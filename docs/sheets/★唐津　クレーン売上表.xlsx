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7360" documentId="8_{E62F0FDE-2D31-4B50-AAD2-9CB4B3F110D4}" xr6:coauthVersionLast="47" xr6:coauthVersionMax="47" xr10:uidLastSave="{580EE037-65AB-494D-915B-4EB0E24307AA}"/>
  <bookViews>
    <workbookView xWindow="-120" yWindow="-120" windowWidth="29040" windowHeight="15720" xr2:uid="{00000000-000D-0000-FFFF-FFFF00000000}"/>
  </bookViews>
  <sheets>
    <sheet name="唐津" sheetId="2" r:id="rId1"/>
  </sheets>
  <definedNames>
    <definedName name="_xlnm._FilterDatabase" localSheetId="0" hidden="1">唐津!$CI$149:$CU$198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0" i="2" l="1"/>
  <c r="BM10" i="2"/>
  <c r="BI10" i="2"/>
  <c r="BP10" i="2"/>
  <c r="BQ10" i="2"/>
  <c r="BR10" i="2"/>
  <c r="BO10" i="2"/>
  <c r="BK10" i="2"/>
  <c r="AX10" i="2"/>
  <c r="AT10" i="2"/>
  <c r="BA10" i="2"/>
  <c r="BB10" i="2"/>
  <c r="AZ10" i="2"/>
  <c r="BC10" i="2"/>
  <c r="AV10" i="2"/>
  <c r="AJ10" i="2"/>
  <c r="AF10" i="2"/>
  <c r="AM10" i="2"/>
  <c r="AN10" i="2"/>
  <c r="AL10" i="2"/>
  <c r="AO10" i="2"/>
  <c r="AH10" i="2"/>
  <c r="V10" i="2"/>
  <c r="R10" i="2"/>
  <c r="Y10" i="2"/>
  <c r="Z10" i="2"/>
  <c r="AA10" i="2"/>
  <c r="X10" i="2"/>
  <c r="T10" i="2"/>
  <c r="H10" i="2"/>
  <c r="D10" i="2"/>
  <c r="K10" i="2"/>
  <c r="L10" i="2"/>
  <c r="J10" i="2"/>
  <c r="M10" i="2"/>
  <c r="F10" i="2"/>
  <c r="BM9" i="2"/>
  <c r="BI9" i="2"/>
  <c r="BP9" i="2"/>
  <c r="BQ9" i="2"/>
  <c r="BR9" i="2"/>
  <c r="BO9" i="2"/>
  <c r="BK9" i="2"/>
  <c r="AX9" i="2"/>
  <c r="AT9" i="2"/>
  <c r="BA9" i="2"/>
  <c r="BB9" i="2"/>
  <c r="AZ9" i="2"/>
  <c r="BC9" i="2"/>
  <c r="AV9" i="2"/>
  <c r="AJ9" i="2"/>
  <c r="AF9" i="2"/>
  <c r="AM9" i="2"/>
  <c r="AN9" i="2"/>
  <c r="AL9" i="2"/>
  <c r="AO9" i="2"/>
  <c r="AH9" i="2"/>
  <c r="V9" i="2"/>
  <c r="R9" i="2"/>
  <c r="Y9" i="2"/>
  <c r="Z9" i="2"/>
  <c r="AA9" i="2"/>
  <c r="X9" i="2"/>
  <c r="T9" i="2"/>
  <c r="H9" i="2"/>
  <c r="D9" i="2"/>
  <c r="K9" i="2"/>
  <c r="L9" i="2"/>
  <c r="J9" i="2"/>
  <c r="M9" i="2"/>
  <c r="F9" i="2"/>
  <c r="BM8" i="2"/>
  <c r="BI8" i="2"/>
  <c r="BP8" i="2"/>
  <c r="BQ8" i="2"/>
  <c r="BR8" i="2"/>
  <c r="BO8" i="2"/>
  <c r="BK8" i="2"/>
  <c r="AX8" i="2"/>
  <c r="AT8" i="2"/>
  <c r="BA8" i="2"/>
  <c r="BB8" i="2"/>
  <c r="AZ8" i="2"/>
  <c r="BC8" i="2"/>
  <c r="AV8" i="2"/>
  <c r="AJ8" i="2"/>
  <c r="AF8" i="2"/>
  <c r="AM8" i="2"/>
  <c r="AN8" i="2"/>
  <c r="AO8" i="2"/>
  <c r="AL8" i="2"/>
  <c r="AH8" i="2"/>
  <c r="V8" i="2"/>
  <c r="R8" i="2"/>
  <c r="Y8" i="2"/>
  <c r="Z8" i="2"/>
  <c r="X8" i="2"/>
  <c r="AA8" i="2"/>
  <c r="T8" i="2"/>
  <c r="H8" i="2"/>
  <c r="D8" i="2"/>
  <c r="K8" i="2"/>
  <c r="L8" i="2"/>
  <c r="J8" i="2"/>
  <c r="M8" i="2"/>
  <c r="F8" i="2"/>
  <c r="BM7" i="2"/>
  <c r="BI7" i="2"/>
  <c r="BP7" i="2"/>
  <c r="BQ7" i="2"/>
  <c r="BR7" i="2"/>
  <c r="BO7" i="2"/>
  <c r="BK7" i="2"/>
  <c r="BF7" i="2"/>
  <c r="AX7" i="2"/>
  <c r="AT7" i="2"/>
  <c r="BA7" i="2"/>
  <c r="BB7" i="2"/>
  <c r="AZ7" i="2"/>
  <c r="BC7" i="2"/>
  <c r="AV7" i="2"/>
  <c r="AR7" i="2"/>
  <c r="AJ7" i="2"/>
  <c r="AF7" i="2"/>
  <c r="AM7" i="2"/>
  <c r="AN7" i="2"/>
  <c r="AL7" i="2"/>
  <c r="AO7" i="2"/>
  <c r="AH7" i="2"/>
  <c r="AD7" i="2"/>
  <c r="V7" i="2"/>
  <c r="R7" i="2"/>
  <c r="Y7" i="2"/>
  <c r="Z7" i="2"/>
  <c r="AA7" i="2"/>
  <c r="X7" i="2"/>
  <c r="T7" i="2"/>
  <c r="P7" i="2"/>
  <c r="H7" i="2"/>
  <c r="D7" i="2"/>
  <c r="K7" i="2"/>
  <c r="L7" i="2"/>
  <c r="J7" i="2"/>
  <c r="M7" i="2"/>
  <c r="F7" i="2"/>
  <c r="EH12" i="2"/>
  <c r="EI12" i="2"/>
  <c r="EJ12" i="2"/>
  <c r="EG12" i="2"/>
  <c r="EE12" i="2"/>
  <c r="EC12" i="2"/>
  <c r="EA12" i="2"/>
  <c r="EH11" i="2"/>
  <c r="EI11" i="2"/>
  <c r="EJ11" i="2"/>
  <c r="EG11" i="2"/>
  <c r="EE11" i="2"/>
  <c r="EC11" i="2"/>
  <c r="EA11" i="2"/>
  <c r="EH10" i="2"/>
  <c r="EI10" i="2"/>
  <c r="EJ10" i="2"/>
  <c r="EG10" i="2"/>
  <c r="EE10" i="2"/>
  <c r="EC10" i="2"/>
  <c r="EA10" i="2"/>
  <c r="EH9" i="2"/>
  <c r="EI9" i="2"/>
  <c r="EJ9" i="2"/>
  <c r="EG9" i="2"/>
  <c r="EE9" i="2"/>
  <c r="EC9" i="2"/>
  <c r="EA9" i="2"/>
  <c r="EH8" i="2"/>
  <c r="EI8" i="2"/>
  <c r="EJ8" i="2"/>
  <c r="EG8" i="2"/>
  <c r="EE8" i="2"/>
  <c r="EC8" i="2"/>
  <c r="EA8" i="2"/>
  <c r="EH7" i="2"/>
  <c r="EE7" i="2"/>
  <c r="EI7" i="2"/>
  <c r="EJ7" i="2"/>
  <c r="EG7" i="2"/>
  <c r="EC7" i="2"/>
  <c r="EA7" i="2"/>
  <c r="EH6" i="2"/>
  <c r="EE6" i="2"/>
  <c r="EI6" i="2"/>
  <c r="EJ6" i="2"/>
  <c r="EG6" i="2"/>
  <c r="EC6" i="2"/>
  <c r="EA6" i="2"/>
  <c r="EH4" i="2"/>
  <c r="EH5" i="2"/>
  <c r="EE5" i="2"/>
  <c r="EI5" i="2"/>
  <c r="EA5" i="2"/>
  <c r="EJ5" i="2"/>
  <c r="EG4" i="2"/>
  <c r="EG5" i="2"/>
  <c r="EC5" i="2"/>
  <c r="EE4" i="2"/>
  <c r="EI4" i="2"/>
  <c r="EA4" i="2"/>
  <c r="EJ4" i="2"/>
  <c r="EC4" i="2"/>
  <c r="DT12" i="2"/>
  <c r="DU12" i="2"/>
  <c r="DV12" i="2"/>
  <c r="DS12" i="2"/>
  <c r="DQ12" i="2"/>
  <c r="DO12" i="2"/>
  <c r="DM12" i="2"/>
  <c r="DT11" i="2"/>
  <c r="DU11" i="2"/>
  <c r="DV11" i="2"/>
  <c r="DS11" i="2"/>
  <c r="DQ11" i="2"/>
  <c r="DO11" i="2"/>
  <c r="DM11" i="2"/>
  <c r="DT10" i="2"/>
  <c r="DU10" i="2"/>
  <c r="DV10" i="2"/>
  <c r="DS10" i="2"/>
  <c r="DQ10" i="2"/>
  <c r="DO10" i="2"/>
  <c r="DM10" i="2"/>
  <c r="DT9" i="2"/>
  <c r="DU9" i="2"/>
  <c r="DV9" i="2"/>
  <c r="DS9" i="2"/>
  <c r="DQ9" i="2"/>
  <c r="DO9" i="2"/>
  <c r="DM9" i="2"/>
  <c r="DT8" i="2"/>
  <c r="DU8" i="2"/>
  <c r="DV8" i="2"/>
  <c r="DS8" i="2"/>
  <c r="DQ8" i="2"/>
  <c r="DO8" i="2"/>
  <c r="DM8" i="2"/>
  <c r="DT7" i="2"/>
  <c r="DQ7" i="2"/>
  <c r="DU7" i="2"/>
  <c r="DV7" i="2"/>
  <c r="DS7" i="2"/>
  <c r="DO7" i="2"/>
  <c r="DM7" i="2"/>
  <c r="DT6" i="2"/>
  <c r="DQ6" i="2"/>
  <c r="DU6" i="2"/>
  <c r="DV6" i="2"/>
  <c r="DS6" i="2"/>
  <c r="DO6" i="2"/>
  <c r="DM6" i="2"/>
  <c r="DT4" i="2"/>
  <c r="DT5" i="2"/>
  <c r="DQ5" i="2"/>
  <c r="DU5" i="2"/>
  <c r="DM5" i="2"/>
  <c r="DV5" i="2"/>
  <c r="DS4" i="2"/>
  <c r="DS5" i="2"/>
  <c r="DO5" i="2"/>
  <c r="DQ4" i="2"/>
  <c r="DU4" i="2"/>
  <c r="DM4" i="2"/>
  <c r="DV4" i="2"/>
  <c r="DO4" i="2"/>
  <c r="DF12" i="2"/>
  <c r="DG12" i="2"/>
  <c r="DH12" i="2"/>
  <c r="DE12" i="2"/>
  <c r="DC12" i="2"/>
  <c r="DA12" i="2"/>
  <c r="CY12" i="2"/>
  <c r="DF11" i="2"/>
  <c r="DG11" i="2"/>
  <c r="DH11" i="2"/>
  <c r="DE11" i="2"/>
  <c r="DC11" i="2"/>
  <c r="DA11" i="2"/>
  <c r="CY11" i="2"/>
  <c r="DF10" i="2"/>
  <c r="DG10" i="2"/>
  <c r="DH10" i="2"/>
  <c r="DE10" i="2"/>
  <c r="DC10" i="2"/>
  <c r="DA10" i="2"/>
  <c r="CY10" i="2"/>
  <c r="DF9" i="2"/>
  <c r="DG9" i="2"/>
  <c r="DH9" i="2"/>
  <c r="DE9" i="2"/>
  <c r="DC9" i="2"/>
  <c r="DA9" i="2"/>
  <c r="CY9" i="2"/>
  <c r="DF8" i="2"/>
  <c r="DG8" i="2"/>
  <c r="DH8" i="2"/>
  <c r="DE8" i="2"/>
  <c r="DC8" i="2"/>
  <c r="DA8" i="2"/>
  <c r="CY8" i="2"/>
  <c r="DF7" i="2"/>
  <c r="DC7" i="2"/>
  <c r="DG7" i="2"/>
  <c r="DH7" i="2"/>
  <c r="DE7" i="2"/>
  <c r="DA7" i="2"/>
  <c r="CY7" i="2"/>
  <c r="DF6" i="2"/>
  <c r="DC6" i="2"/>
  <c r="DG6" i="2"/>
  <c r="CY6" i="2"/>
  <c r="DH6" i="2"/>
  <c r="DE6" i="2"/>
  <c r="DA6" i="2"/>
  <c r="DF4" i="2"/>
  <c r="DF5" i="2"/>
  <c r="DC5" i="2"/>
  <c r="DG5" i="2"/>
  <c r="CY5" i="2"/>
  <c r="DH5" i="2"/>
  <c r="DE4" i="2"/>
  <c r="DE5" i="2"/>
  <c r="DA5" i="2"/>
  <c r="DC4" i="2"/>
  <c r="DG4" i="2"/>
  <c r="CY4" i="2"/>
  <c r="DH4" i="2"/>
  <c r="DA4" i="2"/>
  <c r="CR12" i="2"/>
  <c r="CS12" i="2"/>
  <c r="CT12" i="2"/>
  <c r="CQ12" i="2"/>
  <c r="CO12" i="2"/>
  <c r="CM12" i="2"/>
  <c r="CK12" i="2"/>
  <c r="CR11" i="2"/>
  <c r="CS11" i="2"/>
  <c r="CT11" i="2"/>
  <c r="CQ11" i="2"/>
  <c r="CO11" i="2"/>
  <c r="CM11" i="2"/>
  <c r="CK11" i="2"/>
  <c r="CR10" i="2"/>
  <c r="CS10" i="2"/>
  <c r="CT10" i="2"/>
  <c r="CQ10" i="2"/>
  <c r="CO10" i="2"/>
  <c r="CM10" i="2"/>
  <c r="CK10" i="2"/>
  <c r="CR9" i="2"/>
  <c r="CS9" i="2"/>
  <c r="CT9" i="2"/>
  <c r="CQ9" i="2"/>
  <c r="CO9" i="2"/>
  <c r="CM9" i="2"/>
  <c r="CK9" i="2"/>
  <c r="CR8" i="2"/>
  <c r="CS8" i="2"/>
  <c r="CT8" i="2"/>
  <c r="CQ8" i="2"/>
  <c r="CO8" i="2"/>
  <c r="CM8" i="2"/>
  <c r="CK8" i="2"/>
  <c r="CR7" i="2"/>
  <c r="CO7" i="2"/>
  <c r="CS7" i="2"/>
  <c r="CT7" i="2"/>
  <c r="CQ7" i="2"/>
  <c r="CM7" i="2"/>
  <c r="CK7" i="2"/>
  <c r="CR6" i="2"/>
  <c r="CO6" i="2"/>
  <c r="CS6" i="2"/>
  <c r="CT6" i="2"/>
  <c r="CQ6" i="2"/>
  <c r="CM6" i="2"/>
  <c r="CK6" i="2"/>
  <c r="CR4" i="2"/>
  <c r="CR5" i="2"/>
  <c r="CO5" i="2"/>
  <c r="CS5" i="2"/>
  <c r="CK5" i="2"/>
  <c r="CT5" i="2"/>
  <c r="CQ4" i="2"/>
  <c r="CQ5" i="2"/>
  <c r="CM5" i="2"/>
  <c r="CO4" i="2"/>
  <c r="CS4" i="2"/>
  <c r="CK4" i="2"/>
  <c r="CT4" i="2"/>
  <c r="CM4" i="2"/>
  <c r="BQ42" i="2"/>
  <c r="BO42" i="2"/>
  <c r="BM42" i="2"/>
  <c r="BR42" i="2"/>
  <c r="BK42" i="2"/>
  <c r="BI42" i="2"/>
  <c r="BP42" i="2"/>
  <c r="BQ41" i="2"/>
  <c r="BP41" i="2"/>
  <c r="BO41" i="2"/>
  <c r="BM41" i="2"/>
  <c r="BR41" i="2"/>
  <c r="BK41" i="2"/>
  <c r="BI41" i="2"/>
  <c r="BQ40" i="2"/>
  <c r="BO40" i="2"/>
  <c r="BM40" i="2"/>
  <c r="BR40" i="2"/>
  <c r="BK40" i="2"/>
  <c r="BI40" i="2"/>
  <c r="BP40" i="2"/>
  <c r="BR39" i="2"/>
  <c r="BQ39" i="2"/>
  <c r="BP39" i="2"/>
  <c r="BO39" i="2"/>
  <c r="BM39" i="2"/>
  <c r="BK39" i="2"/>
  <c r="BI39" i="2"/>
  <c r="BQ38" i="2"/>
  <c r="BO38" i="2"/>
  <c r="BM38" i="2"/>
  <c r="BR38" i="2"/>
  <c r="BK38" i="2"/>
  <c r="BI38" i="2"/>
  <c r="BP38" i="2"/>
  <c r="BR37" i="2"/>
  <c r="BQ37" i="2"/>
  <c r="BO37" i="2"/>
  <c r="BM37" i="2"/>
  <c r="BK37" i="2"/>
  <c r="BI37" i="2"/>
  <c r="BP37" i="2"/>
  <c r="BQ36" i="2"/>
  <c r="BP36" i="2"/>
  <c r="BO36" i="2"/>
  <c r="BM36" i="2"/>
  <c r="BR36" i="2"/>
  <c r="BK36" i="2"/>
  <c r="BI36" i="2"/>
  <c r="BQ35" i="2"/>
  <c r="BO35" i="2"/>
  <c r="BM35" i="2"/>
  <c r="BR35" i="2"/>
  <c r="BK35" i="2"/>
  <c r="BI35" i="2"/>
  <c r="BP35" i="2"/>
  <c r="BR34" i="2"/>
  <c r="BQ34" i="2"/>
  <c r="BP34" i="2"/>
  <c r="BO34" i="2"/>
  <c r="BM34" i="2"/>
  <c r="BK34" i="2"/>
  <c r="BI34" i="2"/>
  <c r="BQ33" i="2"/>
  <c r="BO33" i="2"/>
  <c r="BM33" i="2"/>
  <c r="BR33" i="2"/>
  <c r="BK33" i="2"/>
  <c r="BI33" i="2"/>
  <c r="BP33" i="2"/>
  <c r="BR32" i="2"/>
  <c r="BQ32" i="2"/>
  <c r="BO32" i="2"/>
  <c r="BM32" i="2"/>
  <c r="BK32" i="2"/>
  <c r="BI32" i="2"/>
  <c r="BP32" i="2"/>
  <c r="BQ31" i="2"/>
  <c r="BO31" i="2"/>
  <c r="BM31" i="2"/>
  <c r="BR31" i="2"/>
  <c r="BK31" i="2"/>
  <c r="BI31" i="2"/>
  <c r="BP31" i="2"/>
  <c r="BQ30" i="2"/>
  <c r="BO30" i="2"/>
  <c r="BM30" i="2"/>
  <c r="BR30" i="2"/>
  <c r="BK30" i="2"/>
  <c r="BI30" i="2"/>
  <c r="BP30" i="2"/>
  <c r="BQ29" i="2"/>
  <c r="BP29" i="2"/>
  <c r="BO29" i="2"/>
  <c r="BM29" i="2"/>
  <c r="BR29" i="2"/>
  <c r="BK29" i="2"/>
  <c r="BI29" i="2"/>
  <c r="BQ28" i="2"/>
  <c r="BO28" i="2"/>
  <c r="BM28" i="2"/>
  <c r="BR28" i="2"/>
  <c r="BK28" i="2"/>
  <c r="BI28" i="2"/>
  <c r="BP28" i="2"/>
  <c r="BR27" i="2"/>
  <c r="BQ27" i="2"/>
  <c r="BP27" i="2"/>
  <c r="BO27" i="2"/>
  <c r="BM27" i="2"/>
  <c r="BK27" i="2"/>
  <c r="BI27" i="2"/>
  <c r="BQ26" i="2"/>
  <c r="BO26" i="2"/>
  <c r="BM26" i="2"/>
  <c r="BR26" i="2"/>
  <c r="BK26" i="2"/>
  <c r="BI26" i="2"/>
  <c r="BP26" i="2"/>
  <c r="BM25" i="2"/>
  <c r="BR25" i="2"/>
  <c r="BQ25" i="2"/>
  <c r="BO25" i="2"/>
  <c r="BK25" i="2"/>
  <c r="BI25" i="2"/>
  <c r="BP25" i="2"/>
  <c r="BQ24" i="2"/>
  <c r="BI24" i="2"/>
  <c r="BP24" i="2"/>
  <c r="BO24" i="2"/>
  <c r="BM24" i="2"/>
  <c r="BR24" i="2"/>
  <c r="BK24" i="2"/>
  <c r="BQ23" i="2"/>
  <c r="BO23" i="2"/>
  <c r="BM23" i="2"/>
  <c r="BR23" i="2"/>
  <c r="BK23" i="2"/>
  <c r="BI23" i="2"/>
  <c r="BP23" i="2"/>
  <c r="BM22" i="2"/>
  <c r="BQ22" i="2"/>
  <c r="BR22" i="2"/>
  <c r="BI22" i="2"/>
  <c r="BP22" i="2"/>
  <c r="BO22" i="2"/>
  <c r="BK22" i="2"/>
  <c r="BM21" i="2"/>
  <c r="BQ21" i="2"/>
  <c r="BO21" i="2"/>
  <c r="BR21" i="2"/>
  <c r="BK21" i="2"/>
  <c r="BI21" i="2"/>
  <c r="BP21" i="2"/>
  <c r="BM20" i="2"/>
  <c r="BQ20" i="2"/>
  <c r="BR20" i="2"/>
  <c r="BO20" i="2"/>
  <c r="BK20" i="2"/>
  <c r="BI20" i="2"/>
  <c r="BP20" i="2"/>
  <c r="BM19" i="2"/>
  <c r="BQ19" i="2"/>
  <c r="BO19" i="2"/>
  <c r="BR19" i="2"/>
  <c r="BK19" i="2"/>
  <c r="BI19" i="2"/>
  <c r="BP19" i="2"/>
  <c r="BM18" i="2"/>
  <c r="BQ18" i="2"/>
  <c r="BO18" i="2"/>
  <c r="BR18" i="2"/>
  <c r="BK18" i="2"/>
  <c r="BI18" i="2"/>
  <c r="BP18" i="2"/>
  <c r="BM17" i="2"/>
  <c r="BQ17" i="2"/>
  <c r="BI17" i="2"/>
  <c r="BP17" i="2"/>
  <c r="BO17" i="2"/>
  <c r="BR17" i="2"/>
  <c r="BK17" i="2"/>
  <c r="BM16" i="2"/>
  <c r="BQ16" i="2"/>
  <c r="BO16" i="2"/>
  <c r="BR16" i="2"/>
  <c r="BK16" i="2"/>
  <c r="BI16" i="2"/>
  <c r="BP16" i="2"/>
  <c r="BM15" i="2"/>
  <c r="BQ15" i="2"/>
  <c r="BR15" i="2"/>
  <c r="BI15" i="2"/>
  <c r="BP15" i="2"/>
  <c r="BO15" i="2"/>
  <c r="BK15" i="2"/>
  <c r="BM14" i="2"/>
  <c r="BI14" i="2"/>
  <c r="BP14" i="2"/>
  <c r="BQ14" i="2"/>
  <c r="BO14" i="2"/>
  <c r="BR14" i="2"/>
  <c r="BK14" i="2"/>
  <c r="BM13" i="2"/>
  <c r="BI13" i="2"/>
  <c r="BP13" i="2"/>
  <c r="BQ13" i="2"/>
  <c r="BO13" i="2"/>
  <c r="BR13" i="2"/>
  <c r="BK13" i="2"/>
  <c r="BM12" i="2"/>
  <c r="BI12" i="2"/>
  <c r="BP12" i="2"/>
  <c r="BQ12" i="2"/>
  <c r="BO12" i="2"/>
  <c r="BR12" i="2"/>
  <c r="BK12" i="2"/>
  <c r="BM11" i="2"/>
  <c r="BI11" i="2"/>
  <c r="BP11" i="2"/>
  <c r="BQ11" i="2"/>
  <c r="BO11" i="2"/>
  <c r="BR11" i="2"/>
  <c r="BK11" i="2"/>
  <c r="BB42" i="2"/>
  <c r="AZ42" i="2"/>
  <c r="AX42" i="2"/>
  <c r="BC42" i="2"/>
  <c r="AV42" i="2"/>
  <c r="AT42" i="2"/>
  <c r="BA42" i="2"/>
  <c r="BB41" i="2"/>
  <c r="BA41" i="2"/>
  <c r="AZ41" i="2"/>
  <c r="AX41" i="2"/>
  <c r="BC41" i="2"/>
  <c r="AV41" i="2"/>
  <c r="AT41" i="2"/>
  <c r="BB40" i="2"/>
  <c r="AZ40" i="2"/>
  <c r="AX40" i="2"/>
  <c r="BC40" i="2"/>
  <c r="AV40" i="2"/>
  <c r="AT40" i="2"/>
  <c r="BA40" i="2"/>
  <c r="BC39" i="2"/>
  <c r="BB39" i="2"/>
  <c r="BA39" i="2"/>
  <c r="AZ39" i="2"/>
  <c r="AX39" i="2"/>
  <c r="AV39" i="2"/>
  <c r="AT39" i="2"/>
  <c r="BB38" i="2"/>
  <c r="AZ38" i="2"/>
  <c r="AX38" i="2"/>
  <c r="BC38" i="2"/>
  <c r="AV38" i="2"/>
  <c r="AT38" i="2"/>
  <c r="BA38" i="2"/>
  <c r="BC37" i="2"/>
  <c r="BB37" i="2"/>
  <c r="AZ37" i="2"/>
  <c r="AX37" i="2"/>
  <c r="AV37" i="2"/>
  <c r="AT37" i="2"/>
  <c r="BA37" i="2"/>
  <c r="BB36" i="2"/>
  <c r="BA36" i="2"/>
  <c r="AZ36" i="2"/>
  <c r="AX36" i="2"/>
  <c r="BC36" i="2"/>
  <c r="AV36" i="2"/>
  <c r="AT36" i="2"/>
  <c r="BB35" i="2"/>
  <c r="AZ35" i="2"/>
  <c r="AX35" i="2"/>
  <c r="BC35" i="2"/>
  <c r="AV35" i="2"/>
  <c r="AT35" i="2"/>
  <c r="BA35" i="2"/>
  <c r="BC34" i="2"/>
  <c r="BB34" i="2"/>
  <c r="BA34" i="2"/>
  <c r="AZ34" i="2"/>
  <c r="AX34" i="2"/>
  <c r="AV34" i="2"/>
  <c r="AT34" i="2"/>
  <c r="BB33" i="2"/>
  <c r="AZ33" i="2"/>
  <c r="AX33" i="2"/>
  <c r="BC33" i="2"/>
  <c r="AV33" i="2"/>
  <c r="AT33" i="2"/>
  <c r="BA33" i="2"/>
  <c r="BC32" i="2"/>
  <c r="BB32" i="2"/>
  <c r="AZ32" i="2"/>
  <c r="AX32" i="2"/>
  <c r="AV32" i="2"/>
  <c r="AT32" i="2"/>
  <c r="BA32" i="2"/>
  <c r="BB31" i="2"/>
  <c r="AZ31" i="2"/>
  <c r="AX31" i="2"/>
  <c r="BC31" i="2"/>
  <c r="AV31" i="2"/>
  <c r="AT31" i="2"/>
  <c r="BA31" i="2"/>
  <c r="BB30" i="2"/>
  <c r="AZ30" i="2"/>
  <c r="AX30" i="2"/>
  <c r="BC30" i="2"/>
  <c r="AV30" i="2"/>
  <c r="AT30" i="2"/>
  <c r="BA30" i="2"/>
  <c r="BB29" i="2"/>
  <c r="BA29" i="2"/>
  <c r="AZ29" i="2"/>
  <c r="AX29" i="2"/>
  <c r="BC29" i="2"/>
  <c r="AV29" i="2"/>
  <c r="AT29" i="2"/>
  <c r="BB28" i="2"/>
  <c r="AZ28" i="2"/>
  <c r="AX28" i="2"/>
  <c r="BC28" i="2"/>
  <c r="AV28" i="2"/>
  <c r="AT28" i="2"/>
  <c r="BA28" i="2"/>
  <c r="BC27" i="2"/>
  <c r="BB27" i="2"/>
  <c r="BA27" i="2"/>
  <c r="AZ27" i="2"/>
  <c r="AX27" i="2"/>
  <c r="AV27" i="2"/>
  <c r="AT27" i="2"/>
  <c r="BB26" i="2"/>
  <c r="AZ26" i="2"/>
  <c r="AX26" i="2"/>
  <c r="BC26" i="2"/>
  <c r="AV26" i="2"/>
  <c r="AT26" i="2"/>
  <c r="BA26" i="2"/>
  <c r="AX25" i="2"/>
  <c r="BC25" i="2"/>
  <c r="BB25" i="2"/>
  <c r="AZ25" i="2"/>
  <c r="AV25" i="2"/>
  <c r="AT25" i="2"/>
  <c r="BA25" i="2"/>
  <c r="BB24" i="2"/>
  <c r="AT24" i="2"/>
  <c r="BA24" i="2"/>
  <c r="AZ24" i="2"/>
  <c r="AX24" i="2"/>
  <c r="BC24" i="2"/>
  <c r="AV24" i="2"/>
  <c r="BB23" i="2"/>
  <c r="AZ23" i="2"/>
  <c r="AX23" i="2"/>
  <c r="BC23" i="2"/>
  <c r="AV23" i="2"/>
  <c r="AT23" i="2"/>
  <c r="BA23" i="2"/>
  <c r="AX22" i="2"/>
  <c r="BB22" i="2"/>
  <c r="BC22" i="2"/>
  <c r="AT22" i="2"/>
  <c r="BA22" i="2"/>
  <c r="AZ22" i="2"/>
  <c r="AV22" i="2"/>
  <c r="AX21" i="2"/>
  <c r="BB21" i="2"/>
  <c r="AZ21" i="2"/>
  <c r="BC21" i="2"/>
  <c r="AV21" i="2"/>
  <c r="AT21" i="2"/>
  <c r="BA21" i="2"/>
  <c r="AX20" i="2"/>
  <c r="BB20" i="2"/>
  <c r="BC20" i="2"/>
  <c r="AZ20" i="2"/>
  <c r="AV20" i="2"/>
  <c r="AT20" i="2"/>
  <c r="BA20" i="2"/>
  <c r="AX19" i="2"/>
  <c r="BB19" i="2"/>
  <c r="AZ19" i="2"/>
  <c r="BC19" i="2"/>
  <c r="AV19" i="2"/>
  <c r="AT19" i="2"/>
  <c r="BA19" i="2"/>
  <c r="AX18" i="2"/>
  <c r="BB18" i="2"/>
  <c r="AZ18" i="2"/>
  <c r="BC18" i="2"/>
  <c r="AV18" i="2"/>
  <c r="AT18" i="2"/>
  <c r="BA18" i="2"/>
  <c r="AX17" i="2"/>
  <c r="BB17" i="2"/>
  <c r="AT17" i="2"/>
  <c r="BA17" i="2"/>
  <c r="AZ17" i="2"/>
  <c r="BC17" i="2"/>
  <c r="AV17" i="2"/>
  <c r="AX16" i="2"/>
  <c r="BB16" i="2"/>
  <c r="AZ16" i="2"/>
  <c r="BC16" i="2"/>
  <c r="AV16" i="2"/>
  <c r="AT16" i="2"/>
  <c r="BA16" i="2"/>
  <c r="AX15" i="2"/>
  <c r="BB15" i="2"/>
  <c r="BC15" i="2"/>
  <c r="AT15" i="2"/>
  <c r="BA15" i="2"/>
  <c r="AZ15" i="2"/>
  <c r="AV15" i="2"/>
  <c r="AX14" i="2"/>
  <c r="AT14" i="2"/>
  <c r="BA14" i="2"/>
  <c r="BB14" i="2"/>
  <c r="AZ14" i="2"/>
  <c r="BC14" i="2"/>
  <c r="AV14" i="2"/>
  <c r="AX13" i="2"/>
  <c r="AT13" i="2"/>
  <c r="BA13" i="2"/>
  <c r="BB13" i="2"/>
  <c r="AZ13" i="2"/>
  <c r="BC13" i="2"/>
  <c r="AV13" i="2"/>
  <c r="AX12" i="2"/>
  <c r="AT12" i="2"/>
  <c r="BA12" i="2"/>
  <c r="BB12" i="2"/>
  <c r="AZ12" i="2"/>
  <c r="BC12" i="2"/>
  <c r="AV12" i="2"/>
  <c r="AX11" i="2"/>
  <c r="AT11" i="2"/>
  <c r="BA11" i="2"/>
  <c r="BB11" i="2"/>
  <c r="AZ11" i="2"/>
  <c r="BC11" i="2"/>
  <c r="AV11" i="2"/>
  <c r="AN42" i="2"/>
  <c r="AL42" i="2"/>
  <c r="AJ42" i="2"/>
  <c r="AO42" i="2"/>
  <c r="AH42" i="2"/>
  <c r="AF42" i="2"/>
  <c r="AM42" i="2"/>
  <c r="AN41" i="2"/>
  <c r="AM41" i="2"/>
  <c r="AL41" i="2"/>
  <c r="AJ41" i="2"/>
  <c r="AO41" i="2"/>
  <c r="AH41" i="2"/>
  <c r="AF41" i="2"/>
  <c r="AN40" i="2"/>
  <c r="AL40" i="2"/>
  <c r="AJ40" i="2"/>
  <c r="AO40" i="2"/>
  <c r="AH40" i="2"/>
  <c r="AF40" i="2"/>
  <c r="AM40" i="2"/>
  <c r="AO39" i="2"/>
  <c r="AN39" i="2"/>
  <c r="AM39" i="2"/>
  <c r="AL39" i="2"/>
  <c r="AJ39" i="2"/>
  <c r="AH39" i="2"/>
  <c r="AF39" i="2"/>
  <c r="AN38" i="2"/>
  <c r="AL38" i="2"/>
  <c r="AJ38" i="2"/>
  <c r="AO38" i="2"/>
  <c r="AH38" i="2"/>
  <c r="AF38" i="2"/>
  <c r="AM38" i="2"/>
  <c r="AO37" i="2"/>
  <c r="AN37" i="2"/>
  <c r="AL37" i="2"/>
  <c r="AJ37" i="2"/>
  <c r="AH37" i="2"/>
  <c r="AF37" i="2"/>
  <c r="AM37" i="2"/>
  <c r="AN36" i="2"/>
  <c r="AM36" i="2"/>
  <c r="AL36" i="2"/>
  <c r="AJ36" i="2"/>
  <c r="AO36" i="2"/>
  <c r="AH36" i="2"/>
  <c r="AF36" i="2"/>
  <c r="AN35" i="2"/>
  <c r="AL35" i="2"/>
  <c r="AJ35" i="2"/>
  <c r="AO35" i="2"/>
  <c r="AH35" i="2"/>
  <c r="AF35" i="2"/>
  <c r="AM35" i="2"/>
  <c r="AO34" i="2"/>
  <c r="AN34" i="2"/>
  <c r="AM34" i="2"/>
  <c r="AL34" i="2"/>
  <c r="AJ34" i="2"/>
  <c r="AH34" i="2"/>
  <c r="AF34" i="2"/>
  <c r="AN33" i="2"/>
  <c r="AL33" i="2"/>
  <c r="AJ33" i="2"/>
  <c r="AO33" i="2"/>
  <c r="AH33" i="2"/>
  <c r="AF33" i="2"/>
  <c r="AM33" i="2"/>
  <c r="AO32" i="2"/>
  <c r="AN32" i="2"/>
  <c r="AL32" i="2"/>
  <c r="AJ32" i="2"/>
  <c r="AH32" i="2"/>
  <c r="AF32" i="2"/>
  <c r="AM32" i="2"/>
  <c r="AN31" i="2"/>
  <c r="AL31" i="2"/>
  <c r="AJ31" i="2"/>
  <c r="AO31" i="2"/>
  <c r="AH31" i="2"/>
  <c r="AF31" i="2"/>
  <c r="AM31" i="2"/>
  <c r="AN30" i="2"/>
  <c r="AL30" i="2"/>
  <c r="AJ30" i="2"/>
  <c r="AO30" i="2"/>
  <c r="AH30" i="2"/>
  <c r="AF30" i="2"/>
  <c r="AM30" i="2"/>
  <c r="AN29" i="2"/>
  <c r="AM29" i="2"/>
  <c r="AL29" i="2"/>
  <c r="AJ29" i="2"/>
  <c r="AO29" i="2"/>
  <c r="AH29" i="2"/>
  <c r="AF29" i="2"/>
  <c r="AN28" i="2"/>
  <c r="AL28" i="2"/>
  <c r="AJ28" i="2"/>
  <c r="AO28" i="2"/>
  <c r="AH28" i="2"/>
  <c r="AF28" i="2"/>
  <c r="AM28" i="2"/>
  <c r="AO27" i="2"/>
  <c r="AN27" i="2"/>
  <c r="AM27" i="2"/>
  <c r="AL27" i="2"/>
  <c r="AJ27" i="2"/>
  <c r="AH27" i="2"/>
  <c r="AF27" i="2"/>
  <c r="AN26" i="2"/>
  <c r="AL26" i="2"/>
  <c r="AJ26" i="2"/>
  <c r="AO26" i="2"/>
  <c r="AH26" i="2"/>
  <c r="AF26" i="2"/>
  <c r="AM26" i="2"/>
  <c r="AJ25" i="2"/>
  <c r="AO25" i="2"/>
  <c r="AN25" i="2"/>
  <c r="AL25" i="2"/>
  <c r="AH25" i="2"/>
  <c r="AF25" i="2"/>
  <c r="AM25" i="2"/>
  <c r="AN24" i="2"/>
  <c r="AF24" i="2"/>
  <c r="AM24" i="2"/>
  <c r="AL24" i="2"/>
  <c r="AJ24" i="2"/>
  <c r="AO24" i="2"/>
  <c r="AH24" i="2"/>
  <c r="AN23" i="2"/>
  <c r="AL23" i="2"/>
  <c r="AJ23" i="2"/>
  <c r="AO23" i="2"/>
  <c r="AH23" i="2"/>
  <c r="AF23" i="2"/>
  <c r="AM23" i="2"/>
  <c r="AJ22" i="2"/>
  <c r="AN22" i="2"/>
  <c r="AO22" i="2"/>
  <c r="AF22" i="2"/>
  <c r="AM22" i="2"/>
  <c r="AL22" i="2"/>
  <c r="AH22" i="2"/>
  <c r="AJ21" i="2"/>
  <c r="AN21" i="2"/>
  <c r="AL21" i="2"/>
  <c r="AO21" i="2"/>
  <c r="AH21" i="2"/>
  <c r="AF21" i="2"/>
  <c r="AM21" i="2"/>
  <c r="AJ20" i="2"/>
  <c r="AN20" i="2"/>
  <c r="AO20" i="2"/>
  <c r="AL20" i="2"/>
  <c r="AH20" i="2"/>
  <c r="AF20" i="2"/>
  <c r="AM20" i="2"/>
  <c r="AJ19" i="2"/>
  <c r="AN19" i="2"/>
  <c r="AL19" i="2"/>
  <c r="AO19" i="2"/>
  <c r="AH19" i="2"/>
  <c r="AF19" i="2"/>
  <c r="AM19" i="2"/>
  <c r="AJ18" i="2"/>
  <c r="AN18" i="2"/>
  <c r="AL18" i="2"/>
  <c r="AO18" i="2"/>
  <c r="AH18" i="2"/>
  <c r="AF18" i="2"/>
  <c r="AM18" i="2"/>
  <c r="AJ17" i="2"/>
  <c r="AN17" i="2"/>
  <c r="AF17" i="2"/>
  <c r="AM17" i="2"/>
  <c r="AL17" i="2"/>
  <c r="AO17" i="2"/>
  <c r="AH17" i="2"/>
  <c r="AJ16" i="2"/>
  <c r="AN16" i="2"/>
  <c r="AL16" i="2"/>
  <c r="AO16" i="2"/>
  <c r="AH16" i="2"/>
  <c r="AF16" i="2"/>
  <c r="AM16" i="2"/>
  <c r="AJ15" i="2"/>
  <c r="AN15" i="2"/>
  <c r="AO15" i="2"/>
  <c r="AF15" i="2"/>
  <c r="AM15" i="2"/>
  <c r="AL15" i="2"/>
  <c r="AH15" i="2"/>
  <c r="AJ14" i="2"/>
  <c r="AF14" i="2"/>
  <c r="AM14" i="2"/>
  <c r="AN14" i="2"/>
  <c r="AL14" i="2"/>
  <c r="AO14" i="2"/>
  <c r="AH14" i="2"/>
  <c r="AJ13" i="2"/>
  <c r="AF13" i="2"/>
  <c r="AM13" i="2"/>
  <c r="AN13" i="2"/>
  <c r="AO13" i="2"/>
  <c r="AL13" i="2"/>
  <c r="AH13" i="2"/>
  <c r="AJ12" i="2"/>
  <c r="AF12" i="2"/>
  <c r="AM12" i="2"/>
  <c r="AN12" i="2"/>
  <c r="AL12" i="2"/>
  <c r="AO12" i="2"/>
  <c r="AH12" i="2"/>
  <c r="AJ11" i="2"/>
  <c r="AF11" i="2"/>
  <c r="AM11" i="2"/>
  <c r="AN11" i="2"/>
  <c r="AL11" i="2"/>
  <c r="AO11" i="2"/>
  <c r="AH11" i="2"/>
  <c r="Z42" i="2"/>
  <c r="X42" i="2"/>
  <c r="V42" i="2"/>
  <c r="AA42" i="2"/>
  <c r="T42" i="2"/>
  <c r="R42" i="2"/>
  <c r="Y42" i="2"/>
  <c r="AA41" i="2"/>
  <c r="Z41" i="2"/>
  <c r="Y41" i="2"/>
  <c r="X41" i="2"/>
  <c r="V41" i="2"/>
  <c r="T41" i="2"/>
  <c r="R41" i="2"/>
  <c r="Z40" i="2"/>
  <c r="X40" i="2"/>
  <c r="V40" i="2"/>
  <c r="AA40" i="2"/>
  <c r="T40" i="2"/>
  <c r="R40" i="2"/>
  <c r="Y40" i="2"/>
  <c r="AA39" i="2"/>
  <c r="Z39" i="2"/>
  <c r="Y39" i="2"/>
  <c r="X39" i="2"/>
  <c r="V39" i="2"/>
  <c r="T39" i="2"/>
  <c r="R39" i="2"/>
  <c r="Z38" i="2"/>
  <c r="Y38" i="2"/>
  <c r="X38" i="2"/>
  <c r="V38" i="2"/>
  <c r="AA38" i="2"/>
  <c r="T38" i="2"/>
  <c r="R38" i="2"/>
  <c r="AA37" i="2"/>
  <c r="Z37" i="2"/>
  <c r="X37" i="2"/>
  <c r="V37" i="2"/>
  <c r="T37" i="2"/>
  <c r="R37" i="2"/>
  <c r="Y37" i="2"/>
  <c r="AA36" i="2"/>
  <c r="Z36" i="2"/>
  <c r="Y36" i="2"/>
  <c r="X36" i="2"/>
  <c r="V36" i="2"/>
  <c r="T36" i="2"/>
  <c r="R36" i="2"/>
  <c r="Z35" i="2"/>
  <c r="X35" i="2"/>
  <c r="V35" i="2"/>
  <c r="AA35" i="2"/>
  <c r="T35" i="2"/>
  <c r="R35" i="2"/>
  <c r="Y35" i="2"/>
  <c r="AA34" i="2"/>
  <c r="Z34" i="2"/>
  <c r="Y34" i="2"/>
  <c r="X34" i="2"/>
  <c r="V34" i="2"/>
  <c r="T34" i="2"/>
  <c r="R34" i="2"/>
  <c r="Z33" i="2"/>
  <c r="X33" i="2"/>
  <c r="V33" i="2"/>
  <c r="AA33" i="2"/>
  <c r="T33" i="2"/>
  <c r="R33" i="2"/>
  <c r="Y33" i="2"/>
  <c r="AA32" i="2"/>
  <c r="Z32" i="2"/>
  <c r="X32" i="2"/>
  <c r="V32" i="2"/>
  <c r="T32" i="2"/>
  <c r="R32" i="2"/>
  <c r="Y32" i="2"/>
  <c r="Z31" i="2"/>
  <c r="Y31" i="2"/>
  <c r="X31" i="2"/>
  <c r="V31" i="2"/>
  <c r="AA31" i="2"/>
  <c r="T31" i="2"/>
  <c r="R31" i="2"/>
  <c r="Z30" i="2"/>
  <c r="X30" i="2"/>
  <c r="V30" i="2"/>
  <c r="AA30" i="2"/>
  <c r="T30" i="2"/>
  <c r="R30" i="2"/>
  <c r="Y30" i="2"/>
  <c r="AA29" i="2"/>
  <c r="Z29" i="2"/>
  <c r="Y29" i="2"/>
  <c r="X29" i="2"/>
  <c r="V29" i="2"/>
  <c r="T29" i="2"/>
  <c r="R29" i="2"/>
  <c r="Z28" i="2"/>
  <c r="X28" i="2"/>
  <c r="V28" i="2"/>
  <c r="AA28" i="2"/>
  <c r="T28" i="2"/>
  <c r="R28" i="2"/>
  <c r="Y28" i="2"/>
  <c r="AA27" i="2"/>
  <c r="Z27" i="2"/>
  <c r="Y27" i="2"/>
  <c r="X27" i="2"/>
  <c r="V27" i="2"/>
  <c r="T27" i="2"/>
  <c r="R27" i="2"/>
  <c r="Z26" i="2"/>
  <c r="R26" i="2"/>
  <c r="Y26" i="2"/>
  <c r="X26" i="2"/>
  <c r="V26" i="2"/>
  <c r="AA26" i="2"/>
  <c r="T26" i="2"/>
  <c r="V25" i="2"/>
  <c r="AA25" i="2"/>
  <c r="Z25" i="2"/>
  <c r="X25" i="2"/>
  <c r="T25" i="2"/>
  <c r="R25" i="2"/>
  <c r="Y25" i="2"/>
  <c r="V24" i="2"/>
  <c r="AA24" i="2"/>
  <c r="Z24" i="2"/>
  <c r="R24" i="2"/>
  <c r="Y24" i="2"/>
  <c r="X24" i="2"/>
  <c r="T24" i="2"/>
  <c r="Z23" i="2"/>
  <c r="X23" i="2"/>
  <c r="V23" i="2"/>
  <c r="AA23" i="2"/>
  <c r="T23" i="2"/>
  <c r="R23" i="2"/>
  <c r="Y23" i="2"/>
  <c r="V22" i="2"/>
  <c r="Z22" i="2"/>
  <c r="AA22" i="2"/>
  <c r="R22" i="2"/>
  <c r="Y22" i="2"/>
  <c r="X22" i="2"/>
  <c r="T22" i="2"/>
  <c r="V21" i="2"/>
  <c r="Z21" i="2"/>
  <c r="X21" i="2"/>
  <c r="AA21" i="2"/>
  <c r="T21" i="2"/>
  <c r="R21" i="2"/>
  <c r="Y21" i="2"/>
  <c r="V20" i="2"/>
  <c r="Z20" i="2"/>
  <c r="AA20" i="2"/>
  <c r="X20" i="2"/>
  <c r="T20" i="2"/>
  <c r="R20" i="2"/>
  <c r="Y20" i="2"/>
  <c r="V19" i="2"/>
  <c r="Z19" i="2"/>
  <c r="R19" i="2"/>
  <c r="Y19" i="2"/>
  <c r="X19" i="2"/>
  <c r="AA19" i="2"/>
  <c r="T19" i="2"/>
  <c r="V18" i="2"/>
  <c r="Z18" i="2"/>
  <c r="X18" i="2"/>
  <c r="AA18" i="2"/>
  <c r="T18" i="2"/>
  <c r="R18" i="2"/>
  <c r="Y18" i="2"/>
  <c r="V17" i="2"/>
  <c r="Z17" i="2"/>
  <c r="AA17" i="2"/>
  <c r="R17" i="2"/>
  <c r="Y17" i="2"/>
  <c r="X17" i="2"/>
  <c r="T17" i="2"/>
  <c r="V16" i="2"/>
  <c r="Z16" i="2"/>
  <c r="X16" i="2"/>
  <c r="AA16" i="2"/>
  <c r="T16" i="2"/>
  <c r="R16" i="2"/>
  <c r="Y16" i="2"/>
  <c r="V15" i="2"/>
  <c r="Z15" i="2"/>
  <c r="AA15" i="2"/>
  <c r="R15" i="2"/>
  <c r="Y15" i="2"/>
  <c r="X15" i="2"/>
  <c r="T15" i="2"/>
  <c r="V14" i="2"/>
  <c r="R14" i="2"/>
  <c r="Y14" i="2"/>
  <c r="Z14" i="2"/>
  <c r="X14" i="2"/>
  <c r="AA14" i="2"/>
  <c r="T14" i="2"/>
  <c r="V13" i="2"/>
  <c r="R13" i="2"/>
  <c r="Y13" i="2"/>
  <c r="Z13" i="2"/>
  <c r="X13" i="2"/>
  <c r="AA13" i="2"/>
  <c r="T13" i="2"/>
  <c r="V12" i="2"/>
  <c r="R12" i="2"/>
  <c r="Y12" i="2"/>
  <c r="Z12" i="2"/>
  <c r="X12" i="2"/>
  <c r="AA12" i="2"/>
  <c r="T12" i="2"/>
  <c r="V11" i="2"/>
  <c r="R11" i="2"/>
  <c r="Y11" i="2"/>
  <c r="Z11" i="2"/>
  <c r="X11" i="2"/>
  <c r="AA11" i="2"/>
  <c r="T1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H26" i="2"/>
  <c r="M26" i="2"/>
  <c r="L26" i="2"/>
  <c r="D26" i="2"/>
  <c r="K26" i="2"/>
  <c r="J26" i="2"/>
  <c r="H25" i="2"/>
  <c r="M25" i="2"/>
  <c r="L25" i="2"/>
  <c r="D25" i="2"/>
  <c r="K25" i="2"/>
  <c r="J25" i="2"/>
  <c r="H24" i="2"/>
  <c r="M24" i="2"/>
  <c r="L24" i="2"/>
  <c r="D24" i="2"/>
  <c r="K24" i="2"/>
  <c r="J24" i="2"/>
  <c r="H23" i="2"/>
  <c r="M23" i="2"/>
  <c r="L23" i="2"/>
  <c r="D23" i="2"/>
  <c r="K23" i="2"/>
  <c r="J23" i="2"/>
  <c r="H22" i="2"/>
  <c r="L22" i="2"/>
  <c r="M22" i="2"/>
  <c r="D22" i="2"/>
  <c r="H21" i="2"/>
  <c r="L21" i="2"/>
  <c r="M21" i="2"/>
  <c r="D21" i="2"/>
  <c r="H20" i="2"/>
  <c r="L20" i="2"/>
  <c r="M20" i="2"/>
  <c r="D20" i="2"/>
  <c r="K20" i="2"/>
  <c r="J20" i="2"/>
  <c r="H19" i="2"/>
  <c r="L19" i="2"/>
  <c r="M19" i="2"/>
  <c r="D19" i="2"/>
  <c r="K19" i="2"/>
  <c r="J19" i="2"/>
  <c r="H18" i="2"/>
  <c r="L18" i="2"/>
  <c r="M18" i="2"/>
  <c r="D18" i="2"/>
  <c r="K18" i="2"/>
  <c r="J18" i="2"/>
  <c r="H17" i="2"/>
  <c r="L17" i="2"/>
  <c r="M17" i="2"/>
  <c r="D17" i="2"/>
  <c r="K17" i="2"/>
  <c r="J17" i="2"/>
  <c r="H16" i="2"/>
  <c r="L16" i="2"/>
  <c r="M16" i="2"/>
  <c r="D16" i="2"/>
  <c r="K16" i="2"/>
  <c r="J16" i="2"/>
  <c r="H15" i="2"/>
  <c r="L15" i="2"/>
  <c r="M15" i="2"/>
  <c r="D15" i="2"/>
  <c r="K15" i="2"/>
  <c r="J15" i="2"/>
  <c r="BP70" i="2"/>
  <c r="BO70" i="2"/>
  <c r="BA70" i="2"/>
  <c r="AZ70" i="2"/>
  <c r="AM70" i="2"/>
  <c r="AL70" i="2"/>
  <c r="Y70" i="2"/>
  <c r="X70" i="2"/>
  <c r="K70" i="2"/>
  <c r="J70" i="2"/>
  <c r="BP69" i="2"/>
  <c r="BO69" i="2"/>
  <c r="BA69" i="2"/>
  <c r="AZ69" i="2"/>
  <c r="AM69" i="2"/>
  <c r="AL69" i="2"/>
  <c r="Y69" i="2"/>
  <c r="X69" i="2"/>
  <c r="K69" i="2"/>
  <c r="J69" i="2"/>
  <c r="BP68" i="2"/>
  <c r="BO68" i="2"/>
  <c r="BA68" i="2"/>
  <c r="AZ68" i="2"/>
  <c r="AM68" i="2"/>
  <c r="AL68" i="2"/>
  <c r="Y68" i="2"/>
  <c r="X68" i="2"/>
  <c r="K68" i="2"/>
  <c r="J68" i="2"/>
  <c r="BP67" i="2"/>
  <c r="BO67" i="2"/>
  <c r="BA67" i="2"/>
  <c r="AZ67" i="2"/>
  <c r="AM67" i="2"/>
  <c r="AL67" i="2"/>
  <c r="Y67" i="2"/>
  <c r="X67" i="2"/>
  <c r="K67" i="2"/>
  <c r="J67" i="2"/>
  <c r="BQ58" i="2"/>
  <c r="BO58" i="2"/>
  <c r="BM58" i="2"/>
  <c r="BR58" i="2"/>
  <c r="BK58" i="2"/>
  <c r="BI58" i="2"/>
  <c r="BP58" i="2"/>
  <c r="BC58" i="2"/>
  <c r="BB58" i="2"/>
  <c r="AZ58" i="2"/>
  <c r="AX58" i="2"/>
  <c r="AV58" i="2"/>
  <c r="AT58" i="2"/>
  <c r="BA58" i="2"/>
  <c r="AN58" i="2"/>
  <c r="AM58" i="2"/>
  <c r="AL58" i="2"/>
  <c r="AJ58" i="2"/>
  <c r="AO58" i="2"/>
  <c r="AH58" i="2"/>
  <c r="AF58" i="2"/>
  <c r="Z58" i="2"/>
  <c r="X58" i="2"/>
  <c r="V58" i="2"/>
  <c r="AA58" i="2"/>
  <c r="T58" i="2"/>
  <c r="R58" i="2"/>
  <c r="Y58" i="2"/>
  <c r="M58" i="2"/>
  <c r="L58" i="2"/>
  <c r="K58" i="2"/>
  <c r="J58" i="2"/>
  <c r="H58" i="2"/>
  <c r="F58" i="2"/>
  <c r="D58" i="2"/>
  <c r="BQ57" i="2"/>
  <c r="BO57" i="2"/>
  <c r="BM57" i="2"/>
  <c r="BR57" i="2"/>
  <c r="BK57" i="2"/>
  <c r="BI57" i="2"/>
  <c r="BP57" i="2"/>
  <c r="BC57" i="2"/>
  <c r="BB57" i="2"/>
  <c r="BA57" i="2"/>
  <c r="AZ57" i="2"/>
  <c r="AX57" i="2"/>
  <c r="AV57" i="2"/>
  <c r="AT57" i="2"/>
  <c r="AN57" i="2"/>
  <c r="AL57" i="2"/>
  <c r="AJ57" i="2"/>
  <c r="AO57" i="2"/>
  <c r="AH57" i="2"/>
  <c r="AF57" i="2"/>
  <c r="AM57" i="2"/>
  <c r="AA57" i="2"/>
  <c r="Z57" i="2"/>
  <c r="Y57" i="2"/>
  <c r="X57" i="2"/>
  <c r="V57" i="2"/>
  <c r="T57" i="2"/>
  <c r="R57" i="2"/>
  <c r="M57" i="2"/>
  <c r="L57" i="2"/>
  <c r="J57" i="2"/>
  <c r="H57" i="2"/>
  <c r="F57" i="2"/>
  <c r="D57" i="2"/>
  <c r="K57" i="2"/>
  <c r="BR56" i="2"/>
  <c r="BQ56" i="2"/>
  <c r="BO56" i="2"/>
  <c r="BM56" i="2"/>
  <c r="BK56" i="2"/>
  <c r="BI56" i="2"/>
  <c r="BP56" i="2"/>
  <c r="BC56" i="2"/>
  <c r="BB56" i="2"/>
  <c r="BA56" i="2"/>
  <c r="AZ56" i="2"/>
  <c r="AX56" i="2"/>
  <c r="AV56" i="2"/>
  <c r="AT56" i="2"/>
  <c r="AN56" i="2"/>
  <c r="AL56" i="2"/>
  <c r="AJ56" i="2"/>
  <c r="AO56" i="2"/>
  <c r="AH56" i="2"/>
  <c r="AF56" i="2"/>
  <c r="AM56" i="2"/>
  <c r="Z56" i="2"/>
  <c r="Y56" i="2"/>
  <c r="X56" i="2"/>
  <c r="V56" i="2"/>
  <c r="AA56" i="2"/>
  <c r="T56" i="2"/>
  <c r="R56" i="2"/>
  <c r="M56" i="2"/>
  <c r="L56" i="2"/>
  <c r="J56" i="2"/>
  <c r="H56" i="2"/>
  <c r="F56" i="2"/>
  <c r="D56" i="2"/>
  <c r="K56" i="2"/>
  <c r="EJ55" i="2"/>
  <c r="EI55" i="2"/>
  <c r="EE55" i="2"/>
  <c r="DU55" i="2"/>
  <c r="DV55" i="2"/>
  <c r="DQ55" i="2"/>
  <c r="DG55" i="2"/>
  <c r="DH55" i="2"/>
  <c r="DC55" i="2"/>
  <c r="CS55" i="2"/>
  <c r="CT55" i="2"/>
  <c r="CO55" i="2"/>
  <c r="CE55" i="2"/>
  <c r="CF55" i="2"/>
  <c r="CA55" i="2"/>
  <c r="BQ55" i="2"/>
  <c r="BP55" i="2"/>
  <c r="BO55" i="2"/>
  <c r="BM55" i="2"/>
  <c r="BR55" i="2"/>
  <c r="BK55" i="2"/>
  <c r="BI55" i="2"/>
  <c r="BF55" i="2"/>
  <c r="BC55" i="2"/>
  <c r="BB55" i="2"/>
  <c r="AZ55" i="2"/>
  <c r="AX55" i="2"/>
  <c r="AV55" i="2"/>
  <c r="AT55" i="2"/>
  <c r="BA55" i="2"/>
  <c r="AR55" i="2"/>
  <c r="AO55" i="2"/>
  <c r="AN55" i="2"/>
  <c r="AL55" i="2"/>
  <c r="AJ55" i="2"/>
  <c r="AH55" i="2"/>
  <c r="AF55" i="2"/>
  <c r="AM55" i="2"/>
  <c r="AD55" i="2"/>
  <c r="Z55" i="2"/>
  <c r="X55" i="2"/>
  <c r="V55" i="2"/>
  <c r="AA55" i="2"/>
  <c r="T55" i="2"/>
  <c r="R55" i="2"/>
  <c r="Y55" i="2"/>
  <c r="P55" i="2"/>
  <c r="M55" i="2"/>
  <c r="L55" i="2"/>
  <c r="K55" i="2"/>
  <c r="J55" i="2"/>
  <c r="H55" i="2"/>
  <c r="F55" i="2"/>
  <c r="D55" i="2"/>
  <c r="B55" i="2"/>
  <c r="EI54" i="2"/>
  <c r="EJ54" i="2"/>
  <c r="EE54" i="2"/>
  <c r="EA54" i="2"/>
  <c r="DV54" i="2"/>
  <c r="DU54" i="2"/>
  <c r="DQ54" i="2"/>
  <c r="DM54" i="2"/>
  <c r="DG54" i="2"/>
  <c r="DH54" i="2"/>
  <c r="DC54" i="2"/>
  <c r="CY54" i="2"/>
  <c r="CT54" i="2"/>
  <c r="CS54" i="2"/>
  <c r="CO54" i="2"/>
  <c r="CK54" i="2"/>
  <c r="CE54" i="2"/>
  <c r="CF54" i="2"/>
  <c r="CA54" i="2"/>
  <c r="BW54" i="2"/>
  <c r="BQ54" i="2"/>
  <c r="BP54" i="2"/>
  <c r="BO54" i="2"/>
  <c r="BM54" i="2"/>
  <c r="BR54" i="2"/>
  <c r="BK54" i="2"/>
  <c r="BI54" i="2"/>
  <c r="BB54" i="2"/>
  <c r="AZ54" i="2"/>
  <c r="AX54" i="2"/>
  <c r="BC54" i="2"/>
  <c r="AV54" i="2"/>
  <c r="AT54" i="2"/>
  <c r="BA54" i="2"/>
  <c r="AO54" i="2"/>
  <c r="AN54" i="2"/>
  <c r="AL54" i="2"/>
  <c r="AJ54" i="2"/>
  <c r="AH54" i="2"/>
  <c r="AF54" i="2"/>
  <c r="AM54" i="2"/>
  <c r="Z54" i="2"/>
  <c r="Y54" i="2"/>
  <c r="X54" i="2"/>
  <c r="V54" i="2"/>
  <c r="AA54" i="2"/>
  <c r="T54" i="2"/>
  <c r="R54" i="2"/>
  <c r="M54" i="2"/>
  <c r="L54" i="2"/>
  <c r="J54" i="2"/>
  <c r="H54" i="2"/>
  <c r="F54" i="2"/>
  <c r="D54" i="2"/>
  <c r="K54" i="2"/>
  <c r="EJ53" i="2"/>
  <c r="EI53" i="2"/>
  <c r="EE53" i="2"/>
  <c r="EA53" i="2"/>
  <c r="DU53" i="2"/>
  <c r="DV53" i="2"/>
  <c r="DQ53" i="2"/>
  <c r="DM53" i="2"/>
  <c r="DG53" i="2"/>
  <c r="DH53" i="2"/>
  <c r="DC53" i="2"/>
  <c r="CY53" i="2"/>
  <c r="CT53" i="2"/>
  <c r="CS53" i="2"/>
  <c r="CO53" i="2"/>
  <c r="CK53" i="2"/>
  <c r="CE53" i="2"/>
  <c r="CF53" i="2"/>
  <c r="CA53" i="2"/>
  <c r="BW53" i="2"/>
  <c r="BR53" i="2"/>
  <c r="BQ53" i="2"/>
  <c r="BO53" i="2"/>
  <c r="BM53" i="2"/>
  <c r="BK53" i="2"/>
  <c r="BI53" i="2"/>
  <c r="BP53" i="2"/>
  <c r="BC53" i="2"/>
  <c r="BB53" i="2"/>
  <c r="BA53" i="2"/>
  <c r="AZ53" i="2"/>
  <c r="AX53" i="2"/>
  <c r="AV53" i="2"/>
  <c r="AT53" i="2"/>
  <c r="AN53" i="2"/>
  <c r="AM53" i="2"/>
  <c r="AL53" i="2"/>
  <c r="AJ53" i="2"/>
  <c r="AO53" i="2"/>
  <c r="AH53" i="2"/>
  <c r="AF53" i="2"/>
  <c r="AA53" i="2"/>
  <c r="Z53" i="2"/>
  <c r="X53" i="2"/>
  <c r="V53" i="2"/>
  <c r="T53" i="2"/>
  <c r="R53" i="2"/>
  <c r="Y53" i="2"/>
  <c r="M53" i="2"/>
  <c r="L53" i="2"/>
  <c r="J53" i="2"/>
  <c r="H53" i="2"/>
  <c r="F53" i="2"/>
  <c r="D53" i="2"/>
  <c r="K53" i="2"/>
  <c r="EI52" i="2"/>
  <c r="EJ52" i="2"/>
  <c r="EE52" i="2"/>
  <c r="EA52" i="2"/>
  <c r="DV52" i="2"/>
  <c r="DU52" i="2"/>
  <c r="DQ52" i="2"/>
  <c r="DM52" i="2"/>
  <c r="DH52" i="2"/>
  <c r="DG52" i="2"/>
  <c r="DC52" i="2"/>
  <c r="CY52" i="2"/>
  <c r="CS52" i="2"/>
  <c r="CT52" i="2"/>
  <c r="CO52" i="2"/>
  <c r="CK52" i="2"/>
  <c r="CF52" i="2"/>
  <c r="CE52" i="2"/>
  <c r="CA52" i="2"/>
  <c r="BW52" i="2"/>
  <c r="BR52" i="2"/>
  <c r="BQ52" i="2"/>
  <c r="BP52" i="2"/>
  <c r="BO52" i="2"/>
  <c r="BM52" i="2"/>
  <c r="BK52" i="2"/>
  <c r="BI52" i="2"/>
  <c r="BC52" i="2"/>
  <c r="BB52" i="2"/>
  <c r="BA52" i="2"/>
  <c r="AZ52" i="2"/>
  <c r="AX52" i="2"/>
  <c r="AV52" i="2"/>
  <c r="AT52" i="2"/>
  <c r="AO52" i="2"/>
  <c r="AN52" i="2"/>
  <c r="AL52" i="2"/>
  <c r="AJ52" i="2"/>
  <c r="AH52" i="2"/>
  <c r="AF52" i="2"/>
  <c r="AM52" i="2"/>
  <c r="AA52" i="2"/>
  <c r="Z52" i="2"/>
  <c r="X52" i="2"/>
  <c r="V52" i="2"/>
  <c r="T52" i="2"/>
  <c r="R52" i="2"/>
  <c r="Y52" i="2"/>
  <c r="L52" i="2"/>
  <c r="K52" i="2"/>
  <c r="J52" i="2"/>
  <c r="H52" i="2"/>
  <c r="M52" i="2"/>
  <c r="F52" i="2"/>
  <c r="D52" i="2"/>
  <c r="BR51" i="2"/>
  <c r="BQ51" i="2"/>
  <c r="BO51" i="2"/>
  <c r="BM51" i="2"/>
  <c r="BK51" i="2"/>
  <c r="BI51" i="2"/>
  <c r="BP51" i="2"/>
  <c r="BF51" i="2"/>
  <c r="BB51" i="2"/>
  <c r="BA51" i="2"/>
  <c r="AZ51" i="2"/>
  <c r="AX51" i="2"/>
  <c r="BC51" i="2"/>
  <c r="AV51" i="2"/>
  <c r="AT51" i="2"/>
  <c r="AR51" i="2"/>
  <c r="AO51" i="2"/>
  <c r="AN51" i="2"/>
  <c r="AL51" i="2"/>
  <c r="AJ51" i="2"/>
  <c r="AH51" i="2"/>
  <c r="AF51" i="2"/>
  <c r="AM51" i="2"/>
  <c r="AD51" i="2"/>
  <c r="AA51" i="2"/>
  <c r="Z51" i="2"/>
  <c r="X51" i="2"/>
  <c r="V51" i="2"/>
  <c r="T51" i="2"/>
  <c r="R51" i="2"/>
  <c r="Y51" i="2"/>
  <c r="P51" i="2"/>
  <c r="M51" i="2"/>
  <c r="L51" i="2"/>
  <c r="K51" i="2"/>
  <c r="J51" i="2"/>
  <c r="H51" i="2"/>
  <c r="F51" i="2"/>
  <c r="D51" i="2"/>
  <c r="B51" i="2"/>
  <c r="EJ50" i="2"/>
  <c r="EI50" i="2"/>
  <c r="EE50" i="2"/>
  <c r="EA50" i="2"/>
  <c r="DV50" i="2"/>
  <c r="DU50" i="2"/>
  <c r="DQ50" i="2"/>
  <c r="DM50" i="2"/>
  <c r="DG50" i="2"/>
  <c r="DH50" i="2"/>
  <c r="DC50" i="2"/>
  <c r="CY50" i="2"/>
  <c r="CT50" i="2"/>
  <c r="CS50" i="2"/>
  <c r="CO50" i="2"/>
  <c r="CK50" i="2"/>
  <c r="CF50" i="2"/>
  <c r="CE50" i="2"/>
  <c r="CA50" i="2"/>
  <c r="BW50" i="2"/>
  <c r="BQ50" i="2"/>
  <c r="BO50" i="2"/>
  <c r="BM50" i="2"/>
  <c r="BR50" i="2"/>
  <c r="BK50" i="2"/>
  <c r="BI50" i="2"/>
  <c r="BP50" i="2"/>
  <c r="BC50" i="2"/>
  <c r="BB50" i="2"/>
  <c r="BA50" i="2"/>
  <c r="AZ50" i="2"/>
  <c r="AX50" i="2"/>
  <c r="AV50" i="2"/>
  <c r="AT50" i="2"/>
  <c r="AN50" i="2"/>
  <c r="AM50" i="2"/>
  <c r="AL50" i="2"/>
  <c r="AJ50" i="2"/>
  <c r="AO50" i="2"/>
  <c r="AH50" i="2"/>
  <c r="AF50" i="2"/>
  <c r="AA50" i="2"/>
  <c r="Z50" i="2"/>
  <c r="X50" i="2"/>
  <c r="V50" i="2"/>
  <c r="T50" i="2"/>
  <c r="R50" i="2"/>
  <c r="Y50" i="2"/>
  <c r="L50" i="2"/>
  <c r="K50" i="2"/>
  <c r="J50" i="2"/>
  <c r="H50" i="2"/>
  <c r="M50" i="2"/>
  <c r="F50" i="2"/>
  <c r="D50" i="2"/>
  <c r="EI49" i="2"/>
  <c r="EJ49" i="2"/>
  <c r="EE49" i="2"/>
  <c r="EA49" i="2"/>
  <c r="DV49" i="2"/>
  <c r="DU49" i="2"/>
  <c r="DQ49" i="2"/>
  <c r="DM49" i="2"/>
  <c r="DH49" i="2"/>
  <c r="DG49" i="2"/>
  <c r="DC49" i="2"/>
  <c r="CY49" i="2"/>
  <c r="CS49" i="2"/>
  <c r="CT49" i="2"/>
  <c r="CO49" i="2"/>
  <c r="CK49" i="2"/>
  <c r="CE49" i="2"/>
  <c r="CF49" i="2"/>
  <c r="CA49" i="2"/>
  <c r="BW49" i="2"/>
  <c r="BR49" i="2"/>
  <c r="BQ49" i="2"/>
  <c r="BP49" i="2"/>
  <c r="BO49" i="2"/>
  <c r="BM49" i="2"/>
  <c r="BK49" i="2"/>
  <c r="BI49" i="2"/>
  <c r="BB49" i="2"/>
  <c r="AZ49" i="2"/>
  <c r="AX49" i="2"/>
  <c r="BC49" i="2"/>
  <c r="AV49" i="2"/>
  <c r="AT49" i="2"/>
  <c r="BA49" i="2"/>
  <c r="AO49" i="2"/>
  <c r="AN49" i="2"/>
  <c r="AL49" i="2"/>
  <c r="AJ49" i="2"/>
  <c r="AH49" i="2"/>
  <c r="AF49" i="2"/>
  <c r="AM49" i="2"/>
  <c r="Z49" i="2"/>
  <c r="X49" i="2"/>
  <c r="V49" i="2"/>
  <c r="AA49" i="2"/>
  <c r="T49" i="2"/>
  <c r="R49" i="2"/>
  <c r="Y49" i="2"/>
  <c r="L49" i="2"/>
  <c r="K49" i="2"/>
  <c r="J49" i="2"/>
  <c r="H49" i="2"/>
  <c r="M49" i="2"/>
  <c r="F49" i="2"/>
  <c r="D49" i="2"/>
  <c r="EJ48" i="2"/>
  <c r="EI48" i="2"/>
  <c r="EE48" i="2"/>
  <c r="EA48" i="2"/>
  <c r="DV48" i="2"/>
  <c r="DU48" i="2"/>
  <c r="DQ48" i="2"/>
  <c r="DM48" i="2"/>
  <c r="DH48" i="2"/>
  <c r="DG48" i="2"/>
  <c r="DC48" i="2"/>
  <c r="CY48" i="2"/>
  <c r="CT48" i="2"/>
  <c r="CS48" i="2"/>
  <c r="CO48" i="2"/>
  <c r="CK48" i="2"/>
  <c r="CF48" i="2"/>
  <c r="CE48" i="2"/>
  <c r="CA48" i="2"/>
  <c r="BW48" i="2"/>
  <c r="BR48" i="2"/>
  <c r="BQ48" i="2"/>
  <c r="BP48" i="2"/>
  <c r="BO48" i="2"/>
  <c r="BM48" i="2"/>
  <c r="BK48" i="2"/>
  <c r="BI48" i="2"/>
  <c r="BB48" i="2"/>
  <c r="AZ48" i="2"/>
  <c r="AX48" i="2"/>
  <c r="BC48" i="2"/>
  <c r="AV48" i="2"/>
  <c r="AT48" i="2"/>
  <c r="BA48" i="2"/>
  <c r="AO48" i="2"/>
  <c r="AN48" i="2"/>
  <c r="AL48" i="2"/>
  <c r="AJ48" i="2"/>
  <c r="AH48" i="2"/>
  <c r="AF48" i="2"/>
  <c r="AM48" i="2"/>
  <c r="Z48" i="2"/>
  <c r="Y48" i="2"/>
  <c r="X48" i="2"/>
  <c r="V48" i="2"/>
  <c r="AA48" i="2"/>
  <c r="T48" i="2"/>
  <c r="R48" i="2"/>
  <c r="M48" i="2"/>
  <c r="L48" i="2"/>
  <c r="K48" i="2"/>
  <c r="J48" i="2"/>
  <c r="H48" i="2"/>
  <c r="F48" i="2"/>
  <c r="D48" i="2"/>
  <c r="EJ47" i="2"/>
  <c r="EI47" i="2"/>
  <c r="EE47" i="2"/>
  <c r="EA47" i="2"/>
  <c r="DV47" i="2"/>
  <c r="DU47" i="2"/>
  <c r="DQ47" i="2"/>
  <c r="DM47" i="2"/>
  <c r="DG47" i="2"/>
  <c r="DH47" i="2"/>
  <c r="DC47" i="2"/>
  <c r="CY47" i="2"/>
  <c r="CS47" i="2"/>
  <c r="CT47" i="2"/>
  <c r="CO47" i="2"/>
  <c r="CK47" i="2"/>
  <c r="CE47" i="2"/>
  <c r="CF47" i="2"/>
  <c r="CA47" i="2"/>
  <c r="BW47" i="2"/>
  <c r="BQ47" i="2"/>
  <c r="BO47" i="2"/>
  <c r="BM47" i="2"/>
  <c r="BR47" i="2"/>
  <c r="BK47" i="2"/>
  <c r="BI47" i="2"/>
  <c r="BP47" i="2"/>
  <c r="BF47" i="2"/>
  <c r="BC47" i="2"/>
  <c r="BB47" i="2"/>
  <c r="BA47" i="2"/>
  <c r="AZ47" i="2"/>
  <c r="AX47" i="2"/>
  <c r="AV47" i="2"/>
  <c r="AT47" i="2"/>
  <c r="AR47" i="2"/>
  <c r="AN47" i="2"/>
  <c r="AL47" i="2"/>
  <c r="AJ47" i="2"/>
  <c r="AO47" i="2"/>
  <c r="AH47" i="2"/>
  <c r="AF47" i="2"/>
  <c r="AM47" i="2"/>
  <c r="AD47" i="2"/>
  <c r="AA47" i="2"/>
  <c r="Z47" i="2"/>
  <c r="X47" i="2"/>
  <c r="V47" i="2"/>
  <c r="T47" i="2"/>
  <c r="R47" i="2"/>
  <c r="Y47" i="2"/>
  <c r="P47" i="2"/>
  <c r="L47" i="2"/>
  <c r="J47" i="2"/>
  <c r="H47" i="2"/>
  <c r="M47" i="2"/>
  <c r="F47" i="2"/>
  <c r="D47" i="2"/>
  <c r="K47" i="2"/>
  <c r="B47" i="2"/>
  <c r="EJ46" i="2"/>
  <c r="EI46" i="2"/>
  <c r="EE46" i="2"/>
  <c r="EA46" i="2"/>
  <c r="DU46" i="2"/>
  <c r="DV46" i="2"/>
  <c r="DQ46" i="2"/>
  <c r="DM46" i="2"/>
  <c r="DH46" i="2"/>
  <c r="DG46" i="2"/>
  <c r="DC46" i="2"/>
  <c r="CY46" i="2"/>
  <c r="CT46" i="2"/>
  <c r="CS46" i="2"/>
  <c r="CO46" i="2"/>
  <c r="CK46" i="2"/>
  <c r="CE46" i="2"/>
  <c r="CF46" i="2"/>
  <c r="CA46" i="2"/>
  <c r="BW46" i="2"/>
  <c r="BQ46" i="2"/>
  <c r="BO46" i="2"/>
  <c r="BM46" i="2"/>
  <c r="BR46" i="2"/>
  <c r="BK46" i="2"/>
  <c r="BI46" i="2"/>
  <c r="BP46" i="2"/>
  <c r="BB46" i="2"/>
  <c r="AZ46" i="2"/>
  <c r="AX46" i="2"/>
  <c r="BC46" i="2"/>
  <c r="AV46" i="2"/>
  <c r="AT46" i="2"/>
  <c r="BA46" i="2"/>
  <c r="AN46" i="2"/>
  <c r="AL46" i="2"/>
  <c r="AJ46" i="2"/>
  <c r="AO46" i="2"/>
  <c r="AH46" i="2"/>
  <c r="AF46" i="2"/>
  <c r="AM46" i="2"/>
  <c r="Z46" i="2"/>
  <c r="X46" i="2"/>
  <c r="V46" i="2"/>
  <c r="AA46" i="2"/>
  <c r="T46" i="2"/>
  <c r="R46" i="2"/>
  <c r="Y46" i="2"/>
  <c r="L46" i="2"/>
  <c r="J46" i="2"/>
  <c r="H46" i="2"/>
  <c r="M46" i="2"/>
  <c r="F46" i="2"/>
  <c r="D46" i="2"/>
  <c r="K46" i="2"/>
  <c r="EI45" i="2"/>
  <c r="EJ45" i="2"/>
  <c r="EE45" i="2"/>
  <c r="EA45" i="2"/>
  <c r="DV45" i="2"/>
  <c r="DU45" i="2"/>
  <c r="DQ45" i="2"/>
  <c r="DM45" i="2"/>
  <c r="DH45" i="2"/>
  <c r="DG45" i="2"/>
  <c r="DC45" i="2"/>
  <c r="CY45" i="2"/>
  <c r="CS45" i="2"/>
  <c r="CT45" i="2"/>
  <c r="CO45" i="2"/>
  <c r="CK45" i="2"/>
  <c r="CF45" i="2"/>
  <c r="CE45" i="2"/>
  <c r="CA45" i="2"/>
  <c r="BW45" i="2"/>
  <c r="BQ45" i="2"/>
  <c r="BO45" i="2"/>
  <c r="BM45" i="2"/>
  <c r="BR45" i="2"/>
  <c r="BK45" i="2"/>
  <c r="BI45" i="2"/>
  <c r="BP45" i="2"/>
  <c r="BB45" i="2"/>
  <c r="AZ45" i="2"/>
  <c r="AX45" i="2"/>
  <c r="BC45" i="2"/>
  <c r="AV45" i="2"/>
  <c r="AT45" i="2"/>
  <c r="BA45" i="2"/>
  <c r="AN45" i="2"/>
  <c r="AL45" i="2"/>
  <c r="AJ45" i="2"/>
  <c r="AO45" i="2"/>
  <c r="AH45" i="2"/>
  <c r="AF45" i="2"/>
  <c r="AM45" i="2"/>
  <c r="Z45" i="2"/>
  <c r="Y45" i="2"/>
  <c r="X45" i="2"/>
  <c r="V45" i="2"/>
  <c r="AA45" i="2"/>
  <c r="T45" i="2"/>
  <c r="R45" i="2"/>
  <c r="L45" i="2"/>
  <c r="J45" i="2"/>
  <c r="H45" i="2"/>
  <c r="M45" i="2"/>
  <c r="F45" i="2"/>
  <c r="D45" i="2"/>
  <c r="K45" i="2"/>
  <c r="EJ44" i="2"/>
  <c r="EI44" i="2"/>
  <c r="EE44" i="2"/>
  <c r="EA44" i="2"/>
  <c r="DU44" i="2"/>
  <c r="DV44" i="2"/>
  <c r="DQ44" i="2"/>
  <c r="DM44" i="2"/>
  <c r="DG44" i="2"/>
  <c r="DH44" i="2"/>
  <c r="DC44" i="2"/>
  <c r="CY44" i="2"/>
  <c r="CS44" i="2"/>
  <c r="CT44" i="2"/>
  <c r="CO44" i="2"/>
  <c r="CK44" i="2"/>
  <c r="CE44" i="2"/>
  <c r="CF44" i="2"/>
  <c r="CA44" i="2"/>
  <c r="BW44" i="2"/>
  <c r="BQ44" i="2"/>
  <c r="BP44" i="2"/>
  <c r="BO44" i="2"/>
  <c r="BM44" i="2"/>
  <c r="BR44" i="2"/>
  <c r="BK44" i="2"/>
  <c r="BI44" i="2"/>
  <c r="BB44" i="2"/>
  <c r="AZ44" i="2"/>
  <c r="AX44" i="2"/>
  <c r="BC44" i="2"/>
  <c r="AV44" i="2"/>
  <c r="AT44" i="2"/>
  <c r="BA44" i="2"/>
  <c r="AO44" i="2"/>
  <c r="AN44" i="2"/>
  <c r="AL44" i="2"/>
  <c r="AJ44" i="2"/>
  <c r="AH44" i="2"/>
  <c r="AF44" i="2"/>
  <c r="AM44" i="2"/>
  <c r="Z44" i="2"/>
  <c r="X44" i="2"/>
  <c r="V44" i="2"/>
  <c r="AA44" i="2"/>
  <c r="T44" i="2"/>
  <c r="R44" i="2"/>
  <c r="M44" i="2"/>
  <c r="L44" i="2"/>
  <c r="J44" i="2"/>
  <c r="H44" i="2"/>
  <c r="F44" i="2"/>
  <c r="D44" i="2"/>
  <c r="K44" i="2"/>
  <c r="EJ43" i="2"/>
  <c r="EI43" i="2"/>
  <c r="EE43" i="2"/>
  <c r="EA43" i="2"/>
  <c r="DV43" i="2"/>
  <c r="DU43" i="2"/>
  <c r="DQ43" i="2"/>
  <c r="DM43" i="2"/>
  <c r="DH43" i="2"/>
  <c r="DG43" i="2"/>
  <c r="DC43" i="2"/>
  <c r="CY43" i="2"/>
  <c r="CT43" i="2"/>
  <c r="CS43" i="2"/>
  <c r="CO43" i="2"/>
  <c r="CK43" i="2"/>
  <c r="CF43" i="2"/>
  <c r="CE43" i="2"/>
  <c r="CA43" i="2"/>
  <c r="BW43" i="2"/>
  <c r="BR43" i="2"/>
  <c r="BQ43" i="2"/>
  <c r="BO43" i="2"/>
  <c r="BM43" i="2"/>
  <c r="BK43" i="2"/>
  <c r="BI43" i="2"/>
  <c r="BP43" i="2"/>
  <c r="BF43" i="2"/>
  <c r="BB43" i="2"/>
  <c r="AZ43" i="2"/>
  <c r="AX43" i="2"/>
  <c r="BC43" i="2"/>
  <c r="AV43" i="2"/>
  <c r="AT43" i="2"/>
  <c r="BA43" i="2"/>
  <c r="AR43" i="2"/>
  <c r="AN43" i="2"/>
  <c r="AL43" i="2"/>
  <c r="AJ43" i="2"/>
  <c r="AO43" i="2"/>
  <c r="AH43" i="2"/>
  <c r="AF43" i="2"/>
  <c r="AM43" i="2"/>
  <c r="AD43" i="2"/>
  <c r="AA43" i="2"/>
  <c r="Z43" i="2"/>
  <c r="X43" i="2"/>
  <c r="V43" i="2"/>
  <c r="T43" i="2"/>
  <c r="R43" i="2"/>
  <c r="Y43" i="2"/>
  <c r="P43" i="2"/>
  <c r="L43" i="2"/>
  <c r="J43" i="2"/>
  <c r="H43" i="2"/>
  <c r="M43" i="2"/>
  <c r="F43" i="2"/>
  <c r="D43" i="2"/>
  <c r="K43" i="2"/>
  <c r="B43" i="2"/>
  <c r="EJ42" i="2"/>
  <c r="EI42" i="2"/>
  <c r="EE42" i="2"/>
  <c r="EA42" i="2"/>
  <c r="DV42" i="2"/>
  <c r="DU42" i="2"/>
  <c r="DQ42" i="2"/>
  <c r="DM42" i="2"/>
  <c r="DG42" i="2"/>
  <c r="DH42" i="2"/>
  <c r="DC42" i="2"/>
  <c r="CY42" i="2"/>
  <c r="CT42" i="2"/>
  <c r="CS42" i="2"/>
  <c r="CO42" i="2"/>
  <c r="CK42" i="2"/>
  <c r="CF42" i="2"/>
  <c r="CE42" i="2"/>
  <c r="CA42" i="2"/>
  <c r="BW42" i="2"/>
  <c r="H42" i="2"/>
  <c r="F42" i="2"/>
  <c r="D42" i="2"/>
  <c r="EJ41" i="2"/>
  <c r="EI41" i="2"/>
  <c r="EE41" i="2"/>
  <c r="EA41" i="2"/>
  <c r="DV41" i="2"/>
  <c r="DU41" i="2"/>
  <c r="DQ41" i="2"/>
  <c r="DM41" i="2"/>
  <c r="DG41" i="2"/>
  <c r="DH41" i="2"/>
  <c r="DC41" i="2"/>
  <c r="CY41" i="2"/>
  <c r="CT41" i="2"/>
  <c r="CS41" i="2"/>
  <c r="CO41" i="2"/>
  <c r="CK41" i="2"/>
  <c r="CE41" i="2"/>
  <c r="CF41" i="2"/>
  <c r="CA41" i="2"/>
  <c r="BW41" i="2"/>
  <c r="H41" i="2"/>
  <c r="F41" i="2"/>
  <c r="D41" i="2"/>
  <c r="EI40" i="2"/>
  <c r="EJ40" i="2"/>
  <c r="EE40" i="2"/>
  <c r="EA40" i="2"/>
  <c r="DU40" i="2"/>
  <c r="DV40" i="2"/>
  <c r="DQ40" i="2"/>
  <c r="DM40" i="2"/>
  <c r="DG40" i="2"/>
  <c r="DH40" i="2"/>
  <c r="DC40" i="2"/>
  <c r="CY40" i="2"/>
  <c r="CS40" i="2"/>
  <c r="CT40" i="2"/>
  <c r="CO40" i="2"/>
  <c r="CK40" i="2"/>
  <c r="CF40" i="2"/>
  <c r="CE40" i="2"/>
  <c r="CA40" i="2"/>
  <c r="BW40" i="2"/>
  <c r="H40" i="2"/>
  <c r="F40" i="2"/>
  <c r="D40" i="2"/>
  <c r="EJ39" i="2"/>
  <c r="EI39" i="2"/>
  <c r="EE39" i="2"/>
  <c r="EA39" i="2"/>
  <c r="DU39" i="2"/>
  <c r="DV39" i="2"/>
  <c r="DQ39" i="2"/>
  <c r="DM39" i="2"/>
  <c r="DG39" i="2"/>
  <c r="DH39" i="2"/>
  <c r="DC39" i="2"/>
  <c r="CY39" i="2"/>
  <c r="CS39" i="2"/>
  <c r="CT39" i="2"/>
  <c r="CO39" i="2"/>
  <c r="CK39" i="2"/>
  <c r="CE39" i="2"/>
  <c r="CF39" i="2"/>
  <c r="CA39" i="2"/>
  <c r="BW39" i="2"/>
  <c r="BF39" i="2"/>
  <c r="AR39" i="2"/>
  <c r="AD39" i="2"/>
  <c r="P39" i="2"/>
  <c r="H39" i="2"/>
  <c r="F39" i="2"/>
  <c r="D39" i="2"/>
  <c r="EI38" i="2"/>
  <c r="EJ38" i="2"/>
  <c r="EE38" i="2"/>
  <c r="EA38" i="2"/>
  <c r="DU38" i="2"/>
  <c r="DV38" i="2"/>
  <c r="DQ38" i="2"/>
  <c r="DM38" i="2"/>
  <c r="DH38" i="2"/>
  <c r="DG38" i="2"/>
  <c r="DC38" i="2"/>
  <c r="CY38" i="2"/>
  <c r="CS38" i="2"/>
  <c r="CT38" i="2"/>
  <c r="CO38" i="2"/>
  <c r="CK38" i="2"/>
  <c r="CE38" i="2"/>
  <c r="CF38" i="2"/>
  <c r="CA38" i="2"/>
  <c r="BW38" i="2"/>
  <c r="H38" i="2"/>
  <c r="F38" i="2"/>
  <c r="D38" i="2"/>
  <c r="EJ37" i="2"/>
  <c r="EI37" i="2"/>
  <c r="EE37" i="2"/>
  <c r="EA37" i="2"/>
  <c r="DU37" i="2"/>
  <c r="DV37" i="2"/>
  <c r="DQ37" i="2"/>
  <c r="DM37" i="2"/>
  <c r="DH37" i="2"/>
  <c r="DG37" i="2"/>
  <c r="DC37" i="2"/>
  <c r="CY37" i="2"/>
  <c r="CS37" i="2"/>
  <c r="CT37" i="2"/>
  <c r="CO37" i="2"/>
  <c r="CK37" i="2"/>
  <c r="CE37" i="2"/>
  <c r="CF37" i="2"/>
  <c r="CA37" i="2"/>
  <c r="BW37" i="2"/>
  <c r="H37" i="2"/>
  <c r="F37" i="2"/>
  <c r="D37" i="2"/>
  <c r="EJ36" i="2"/>
  <c r="EI36" i="2"/>
  <c r="EE36" i="2"/>
  <c r="EA36" i="2"/>
  <c r="DU36" i="2"/>
  <c r="DV36" i="2"/>
  <c r="DQ36" i="2"/>
  <c r="DM36" i="2"/>
  <c r="DG36" i="2"/>
  <c r="DH36" i="2"/>
  <c r="DC36" i="2"/>
  <c r="CY36" i="2"/>
  <c r="CS36" i="2"/>
  <c r="CT36" i="2"/>
  <c r="CO36" i="2"/>
  <c r="CK36" i="2"/>
  <c r="CE36" i="2"/>
  <c r="CF36" i="2"/>
  <c r="CA36" i="2"/>
  <c r="BW36" i="2"/>
  <c r="H36" i="2"/>
  <c r="F36" i="2"/>
  <c r="D36" i="2"/>
  <c r="EI35" i="2"/>
  <c r="EJ35" i="2"/>
  <c r="EE35" i="2"/>
  <c r="EA35" i="2"/>
  <c r="DV35" i="2"/>
  <c r="DU35" i="2"/>
  <c r="DQ35" i="2"/>
  <c r="DM35" i="2"/>
  <c r="DH35" i="2"/>
  <c r="DG35" i="2"/>
  <c r="DC35" i="2"/>
  <c r="CY35" i="2"/>
  <c r="CS35" i="2"/>
  <c r="CT35" i="2"/>
  <c r="CO35" i="2"/>
  <c r="CK35" i="2"/>
  <c r="CF35" i="2"/>
  <c r="CE35" i="2"/>
  <c r="CA35" i="2"/>
  <c r="BW35" i="2"/>
  <c r="BF35" i="2"/>
  <c r="AR35" i="2"/>
  <c r="AD35" i="2"/>
  <c r="P35" i="2"/>
  <c r="H35" i="2"/>
  <c r="F35" i="2"/>
  <c r="D35" i="2"/>
  <c r="EJ34" i="2"/>
  <c r="EI34" i="2"/>
  <c r="EE34" i="2"/>
  <c r="EA34" i="2"/>
  <c r="DV34" i="2"/>
  <c r="DU34" i="2"/>
  <c r="DQ34" i="2"/>
  <c r="DM34" i="2"/>
  <c r="DH34" i="2"/>
  <c r="DG34" i="2"/>
  <c r="DC34" i="2"/>
  <c r="CY34" i="2"/>
  <c r="CT34" i="2"/>
  <c r="CS34" i="2"/>
  <c r="CO34" i="2"/>
  <c r="CK34" i="2"/>
  <c r="CF34" i="2"/>
  <c r="CE34" i="2"/>
  <c r="CA34" i="2"/>
  <c r="BW34" i="2"/>
  <c r="H34" i="2"/>
  <c r="F34" i="2"/>
  <c r="D34" i="2"/>
  <c r="EJ33" i="2"/>
  <c r="EI33" i="2"/>
  <c r="EE33" i="2"/>
  <c r="EA33" i="2"/>
  <c r="DU33" i="2"/>
  <c r="DV33" i="2"/>
  <c r="DQ33" i="2"/>
  <c r="DM33" i="2"/>
  <c r="DG33" i="2"/>
  <c r="DH33" i="2"/>
  <c r="DC33" i="2"/>
  <c r="CY33" i="2"/>
  <c r="CT33" i="2"/>
  <c r="CS33" i="2"/>
  <c r="CO33" i="2"/>
  <c r="CK33" i="2"/>
  <c r="CE33" i="2"/>
  <c r="CF33" i="2"/>
  <c r="CA33" i="2"/>
  <c r="BW33" i="2"/>
  <c r="H33" i="2"/>
  <c r="F33" i="2"/>
  <c r="D33" i="2"/>
  <c r="EJ32" i="2"/>
  <c r="EI32" i="2"/>
  <c r="EE32" i="2"/>
  <c r="EA32" i="2"/>
  <c r="DU32" i="2"/>
  <c r="DV32" i="2"/>
  <c r="DQ32" i="2"/>
  <c r="DM32" i="2"/>
  <c r="DH32" i="2"/>
  <c r="DG32" i="2"/>
  <c r="DC32" i="2"/>
  <c r="CY32" i="2"/>
  <c r="CT32" i="2"/>
  <c r="CS32" i="2"/>
  <c r="CO32" i="2"/>
  <c r="CK32" i="2"/>
  <c r="CE32" i="2"/>
  <c r="CF32" i="2"/>
  <c r="CA32" i="2"/>
  <c r="BW32" i="2"/>
  <c r="H32" i="2"/>
  <c r="F32" i="2"/>
  <c r="D32" i="2"/>
  <c r="EI31" i="2"/>
  <c r="EJ31" i="2"/>
  <c r="EE31" i="2"/>
  <c r="EA31" i="2"/>
  <c r="DU31" i="2"/>
  <c r="DV31" i="2"/>
  <c r="DQ31" i="2"/>
  <c r="DM31" i="2"/>
  <c r="DG31" i="2"/>
  <c r="DH31" i="2"/>
  <c r="DC31" i="2"/>
  <c r="CY31" i="2"/>
  <c r="CS31" i="2"/>
  <c r="CT31" i="2"/>
  <c r="CO31" i="2"/>
  <c r="CK31" i="2"/>
  <c r="CF31" i="2"/>
  <c r="CE31" i="2"/>
  <c r="CA31" i="2"/>
  <c r="BW31" i="2"/>
  <c r="BF31" i="2"/>
  <c r="AR31" i="2"/>
  <c r="AD31" i="2"/>
  <c r="P31" i="2"/>
  <c r="H31" i="2"/>
  <c r="F31" i="2"/>
  <c r="D31" i="2"/>
  <c r="EJ30" i="2"/>
  <c r="EI30" i="2"/>
  <c r="EE30" i="2"/>
  <c r="EA30" i="2"/>
  <c r="DV30" i="2"/>
  <c r="DU30" i="2"/>
  <c r="DQ30" i="2"/>
  <c r="DM30" i="2"/>
  <c r="DG30" i="2"/>
  <c r="DH30" i="2"/>
  <c r="DC30" i="2"/>
  <c r="CY30" i="2"/>
  <c r="CS30" i="2"/>
  <c r="CT30" i="2"/>
  <c r="CO30" i="2"/>
  <c r="CK30" i="2"/>
  <c r="CE30" i="2"/>
  <c r="CF30" i="2"/>
  <c r="CA30" i="2"/>
  <c r="BW30" i="2"/>
  <c r="H30" i="2"/>
  <c r="F30" i="2"/>
  <c r="D30" i="2"/>
  <c r="EI29" i="2"/>
  <c r="EJ29" i="2"/>
  <c r="EE29" i="2"/>
  <c r="EA29" i="2"/>
  <c r="DV29" i="2"/>
  <c r="DU29" i="2"/>
  <c r="DQ29" i="2"/>
  <c r="DM29" i="2"/>
  <c r="DG29" i="2"/>
  <c r="DH29" i="2"/>
  <c r="DC29" i="2"/>
  <c r="CY29" i="2"/>
  <c r="CT29" i="2"/>
  <c r="CS29" i="2"/>
  <c r="CO29" i="2"/>
  <c r="CK29" i="2"/>
  <c r="CE29" i="2"/>
  <c r="CF29" i="2"/>
  <c r="CA29" i="2"/>
  <c r="BW29" i="2"/>
  <c r="H29" i="2"/>
  <c r="F29" i="2"/>
  <c r="D29" i="2"/>
  <c r="EI28" i="2"/>
  <c r="EJ28" i="2"/>
  <c r="EE28" i="2"/>
  <c r="EC28" i="2"/>
  <c r="EA28" i="2"/>
  <c r="DV28" i="2"/>
  <c r="DU28" i="2"/>
  <c r="DQ28" i="2"/>
  <c r="DO28" i="2"/>
  <c r="DM28" i="2"/>
  <c r="DG28" i="2"/>
  <c r="DH28" i="2"/>
  <c r="DC28" i="2"/>
  <c r="DA28" i="2"/>
  <c r="CY28" i="2"/>
  <c r="CT28" i="2"/>
  <c r="CS28" i="2"/>
  <c r="CO28" i="2"/>
  <c r="CM28" i="2"/>
  <c r="CK28" i="2"/>
  <c r="CF28" i="2"/>
  <c r="CE28" i="2"/>
  <c r="CA28" i="2"/>
  <c r="BY28" i="2"/>
  <c r="BW28" i="2"/>
  <c r="BF28" i="2"/>
  <c r="AR28" i="2"/>
  <c r="AD28" i="2"/>
  <c r="P28" i="2"/>
  <c r="H28" i="2"/>
  <c r="F28" i="2"/>
  <c r="D28" i="2"/>
  <c r="EI27" i="2"/>
  <c r="EJ27" i="2"/>
  <c r="EE27" i="2"/>
  <c r="EC27" i="2"/>
  <c r="EA27" i="2"/>
  <c r="DU27" i="2"/>
  <c r="DV27" i="2"/>
  <c r="DQ27" i="2"/>
  <c r="DO27" i="2"/>
  <c r="DM27" i="2"/>
  <c r="DG27" i="2"/>
  <c r="DH27" i="2"/>
  <c r="DC27" i="2"/>
  <c r="DA27" i="2"/>
  <c r="CY27" i="2"/>
  <c r="CT27" i="2"/>
  <c r="CS27" i="2"/>
  <c r="CO27" i="2"/>
  <c r="CM27" i="2"/>
  <c r="CK27" i="2"/>
  <c r="CE27" i="2"/>
  <c r="CF27" i="2"/>
  <c r="CA27" i="2"/>
  <c r="BY27" i="2"/>
  <c r="BW27" i="2"/>
  <c r="BF27" i="2"/>
  <c r="AR27" i="2"/>
  <c r="AD27" i="2"/>
  <c r="P27" i="2"/>
  <c r="H27" i="2"/>
  <c r="F27" i="2"/>
  <c r="D27" i="2"/>
  <c r="EJ26" i="2"/>
  <c r="EI26" i="2"/>
  <c r="EG26" i="2"/>
  <c r="EE26" i="2"/>
  <c r="EA26" i="2"/>
  <c r="DU26" i="2"/>
  <c r="DV26" i="2"/>
  <c r="DS26" i="2"/>
  <c r="DQ26" i="2"/>
  <c r="DM26" i="2"/>
  <c r="DH26" i="2"/>
  <c r="DG26" i="2"/>
  <c r="DE26" i="2"/>
  <c r="DC26" i="2"/>
  <c r="CY26" i="2"/>
  <c r="CT26" i="2"/>
  <c r="CS26" i="2"/>
  <c r="CQ26" i="2"/>
  <c r="CO26" i="2"/>
  <c r="CK26" i="2"/>
  <c r="CF26" i="2"/>
  <c r="CE26" i="2"/>
  <c r="CC26" i="2"/>
  <c r="CA26" i="2"/>
  <c r="BW26" i="2"/>
  <c r="F26" i="2"/>
  <c r="EI25" i="2"/>
  <c r="EJ25" i="2"/>
  <c r="EG25" i="2"/>
  <c r="EE25" i="2"/>
  <c r="EC25" i="2"/>
  <c r="EA25" i="2"/>
  <c r="DV25" i="2"/>
  <c r="DU25" i="2"/>
  <c r="DS25" i="2"/>
  <c r="DQ25" i="2"/>
  <c r="DO25" i="2"/>
  <c r="DM25" i="2"/>
  <c r="DG25" i="2"/>
  <c r="DH25" i="2"/>
  <c r="DE25" i="2"/>
  <c r="DC25" i="2"/>
  <c r="DA25" i="2"/>
  <c r="CY25" i="2"/>
  <c r="CT25" i="2"/>
  <c r="CS25" i="2"/>
  <c r="CQ25" i="2"/>
  <c r="CO25" i="2"/>
  <c r="CM25" i="2"/>
  <c r="CK25" i="2"/>
  <c r="CE25" i="2"/>
  <c r="CF25" i="2"/>
  <c r="CC25" i="2"/>
  <c r="CA25" i="2"/>
  <c r="BY25" i="2"/>
  <c r="BW25" i="2"/>
  <c r="F25" i="2"/>
  <c r="EI24" i="2"/>
  <c r="EJ24" i="2"/>
  <c r="EG24" i="2"/>
  <c r="EE24" i="2"/>
  <c r="EC24" i="2"/>
  <c r="EA24" i="2"/>
  <c r="DU24" i="2"/>
  <c r="DV24" i="2"/>
  <c r="DS24" i="2"/>
  <c r="DQ24" i="2"/>
  <c r="DO24" i="2"/>
  <c r="DM24" i="2"/>
  <c r="DH24" i="2"/>
  <c r="DG24" i="2"/>
  <c r="DE24" i="2"/>
  <c r="DC24" i="2"/>
  <c r="DA24" i="2"/>
  <c r="CY24" i="2"/>
  <c r="CS24" i="2"/>
  <c r="CT24" i="2"/>
  <c r="CQ24" i="2"/>
  <c r="CO24" i="2"/>
  <c r="CM24" i="2"/>
  <c r="CK24" i="2"/>
  <c r="CF24" i="2"/>
  <c r="CE24" i="2"/>
  <c r="CC24" i="2"/>
  <c r="CA24" i="2"/>
  <c r="BY24" i="2"/>
  <c r="BW24" i="2"/>
  <c r="F24" i="2"/>
  <c r="EH23" i="2"/>
  <c r="EI23" i="2"/>
  <c r="EJ23" i="2"/>
  <c r="EG23" i="2"/>
  <c r="EE23" i="2"/>
  <c r="EC23" i="2"/>
  <c r="EA23" i="2"/>
  <c r="DV23" i="2"/>
  <c r="DU23" i="2"/>
  <c r="DT23" i="2"/>
  <c r="DS23" i="2"/>
  <c r="DQ23" i="2"/>
  <c r="DO23" i="2"/>
  <c r="DM23" i="2"/>
  <c r="DG23" i="2"/>
  <c r="DH23" i="2"/>
  <c r="DF23" i="2"/>
  <c r="DE23" i="2"/>
  <c r="DC23" i="2"/>
  <c r="DA23" i="2"/>
  <c r="CY23" i="2"/>
  <c r="CR23" i="2"/>
  <c r="CS23" i="2"/>
  <c r="CT23" i="2"/>
  <c r="CQ23" i="2"/>
  <c r="CO23" i="2"/>
  <c r="CM23" i="2"/>
  <c r="CK23" i="2"/>
  <c r="CE23" i="2"/>
  <c r="CF23" i="2"/>
  <c r="CD23" i="2"/>
  <c r="CC23" i="2"/>
  <c r="CA23" i="2"/>
  <c r="BY23" i="2"/>
  <c r="BW23" i="2"/>
  <c r="BF23" i="2"/>
  <c r="AR23" i="2"/>
  <c r="AD23" i="2"/>
  <c r="P23" i="2"/>
  <c r="F23" i="2"/>
  <c r="EI22" i="2"/>
  <c r="EJ22" i="2"/>
  <c r="EH22" i="2"/>
  <c r="EG22" i="2"/>
  <c r="EE22" i="2"/>
  <c r="EC22" i="2"/>
  <c r="EA22" i="2"/>
  <c r="DV22" i="2"/>
  <c r="DT22" i="2"/>
  <c r="DU22" i="2"/>
  <c r="DS22" i="2"/>
  <c r="DQ22" i="2"/>
  <c r="DO22" i="2"/>
  <c r="DM22" i="2"/>
  <c r="DH22" i="2"/>
  <c r="DG22" i="2"/>
  <c r="DF22" i="2"/>
  <c r="DE22" i="2"/>
  <c r="DC22" i="2"/>
  <c r="DA22" i="2"/>
  <c r="CY22" i="2"/>
  <c r="CS22" i="2"/>
  <c r="CT22" i="2"/>
  <c r="CR22" i="2"/>
  <c r="CQ22" i="2"/>
  <c r="CO22" i="2"/>
  <c r="CM22" i="2"/>
  <c r="CK22" i="2"/>
  <c r="CD22" i="2"/>
  <c r="CE22" i="2"/>
  <c r="CF22" i="2"/>
  <c r="CC22" i="2"/>
  <c r="CA22" i="2"/>
  <c r="BY22" i="2"/>
  <c r="BW22" i="2"/>
  <c r="F22" i="2"/>
  <c r="EH21" i="2"/>
  <c r="EI21" i="2"/>
  <c r="EJ21" i="2"/>
  <c r="EG21" i="2"/>
  <c r="EE21" i="2"/>
  <c r="EC21" i="2"/>
  <c r="EA21" i="2"/>
  <c r="DV21" i="2"/>
  <c r="DT21" i="2"/>
  <c r="DU21" i="2"/>
  <c r="DS21" i="2"/>
  <c r="DQ21" i="2"/>
  <c r="DO21" i="2"/>
  <c r="DM21" i="2"/>
  <c r="DF21" i="2"/>
  <c r="DG21" i="2"/>
  <c r="DH21" i="2"/>
  <c r="DE21" i="2"/>
  <c r="DC21" i="2"/>
  <c r="DA21" i="2"/>
  <c r="CY21" i="2"/>
  <c r="CR21" i="2"/>
  <c r="CS21" i="2"/>
  <c r="CT21" i="2"/>
  <c r="CQ21" i="2"/>
  <c r="CO21" i="2"/>
  <c r="CM21" i="2"/>
  <c r="CK21" i="2"/>
  <c r="CF21" i="2"/>
  <c r="CE21" i="2"/>
  <c r="CD21" i="2"/>
  <c r="CC21" i="2"/>
  <c r="CA21" i="2"/>
  <c r="BY21" i="2"/>
  <c r="BW21" i="2"/>
  <c r="F21" i="2"/>
  <c r="EH20" i="2"/>
  <c r="EI20" i="2"/>
  <c r="EJ20" i="2"/>
  <c r="EG20" i="2"/>
  <c r="EE20" i="2"/>
  <c r="EC20" i="2"/>
  <c r="EA20" i="2"/>
  <c r="DT20" i="2"/>
  <c r="DU20" i="2"/>
  <c r="DV20" i="2"/>
  <c r="DS20" i="2"/>
  <c r="DQ20" i="2"/>
  <c r="DO20" i="2"/>
  <c r="DM20" i="2"/>
  <c r="DF20" i="2"/>
  <c r="DG20" i="2"/>
  <c r="DH20" i="2"/>
  <c r="DE20" i="2"/>
  <c r="DC20" i="2"/>
  <c r="DA20" i="2"/>
  <c r="CY20" i="2"/>
  <c r="CR20" i="2"/>
  <c r="CS20" i="2"/>
  <c r="CT20" i="2"/>
  <c r="CQ20" i="2"/>
  <c r="CO20" i="2"/>
  <c r="CM20" i="2"/>
  <c r="CK20" i="2"/>
  <c r="CD20" i="2"/>
  <c r="CE20" i="2"/>
  <c r="CF20" i="2"/>
  <c r="CC20" i="2"/>
  <c r="CA20" i="2"/>
  <c r="BY20" i="2"/>
  <c r="BW20" i="2"/>
  <c r="F20" i="2"/>
  <c r="EH19" i="2"/>
  <c r="EI19" i="2"/>
  <c r="EJ19" i="2"/>
  <c r="EG19" i="2"/>
  <c r="EE19" i="2"/>
  <c r="EC19" i="2"/>
  <c r="EA19" i="2"/>
  <c r="DT19" i="2"/>
  <c r="DU19" i="2"/>
  <c r="DV19" i="2"/>
  <c r="DS19" i="2"/>
  <c r="DQ19" i="2"/>
  <c r="DO19" i="2"/>
  <c r="DM19" i="2"/>
  <c r="DF19" i="2"/>
  <c r="DG19" i="2"/>
  <c r="DH19" i="2"/>
  <c r="DE19" i="2"/>
  <c r="DC19" i="2"/>
  <c r="DA19" i="2"/>
  <c r="CY19" i="2"/>
  <c r="CR19" i="2"/>
  <c r="CS19" i="2"/>
  <c r="CT19" i="2"/>
  <c r="CQ19" i="2"/>
  <c r="CO19" i="2"/>
  <c r="CM19" i="2"/>
  <c r="CK19" i="2"/>
  <c r="CD19" i="2"/>
  <c r="CE19" i="2"/>
  <c r="CF19" i="2"/>
  <c r="CC19" i="2"/>
  <c r="CA19" i="2"/>
  <c r="BY19" i="2"/>
  <c r="BW19" i="2"/>
  <c r="BF19" i="2"/>
  <c r="AR19" i="2"/>
  <c r="AD19" i="2"/>
  <c r="P19" i="2"/>
  <c r="F19" i="2"/>
  <c r="EH18" i="2"/>
  <c r="EI18" i="2"/>
  <c r="EJ18" i="2"/>
  <c r="EG18" i="2"/>
  <c r="EE18" i="2"/>
  <c r="EC18" i="2"/>
  <c r="EA18" i="2"/>
  <c r="DT18" i="2"/>
  <c r="DU18" i="2"/>
  <c r="DV18" i="2"/>
  <c r="DS18" i="2"/>
  <c r="DQ18" i="2"/>
  <c r="DO18" i="2"/>
  <c r="DM18" i="2"/>
  <c r="DF18" i="2"/>
  <c r="DG18" i="2"/>
  <c r="DH18" i="2"/>
  <c r="DE18" i="2"/>
  <c r="DC18" i="2"/>
  <c r="DA18" i="2"/>
  <c r="CY18" i="2"/>
  <c r="CR18" i="2"/>
  <c r="CS18" i="2"/>
  <c r="CT18" i="2"/>
  <c r="CQ18" i="2"/>
  <c r="CO18" i="2"/>
  <c r="CM18" i="2"/>
  <c r="CK18" i="2"/>
  <c r="CD18" i="2"/>
  <c r="CE18" i="2"/>
  <c r="CF18" i="2"/>
  <c r="CC18" i="2"/>
  <c r="CA18" i="2"/>
  <c r="BY18" i="2"/>
  <c r="BW18" i="2"/>
  <c r="F18" i="2"/>
  <c r="EJ17" i="2"/>
  <c r="EG17" i="2"/>
  <c r="DV17" i="2"/>
  <c r="DS17" i="2"/>
  <c r="DH17" i="2"/>
  <c r="DE17" i="2"/>
  <c r="CT17" i="2"/>
  <c r="CQ17" i="2"/>
  <c r="CF17" i="2"/>
  <c r="CC17" i="2"/>
  <c r="F17" i="2"/>
  <c r="EH16" i="2"/>
  <c r="EI16" i="2"/>
  <c r="EJ16" i="2"/>
  <c r="EG16" i="2"/>
  <c r="EE16" i="2"/>
  <c r="EC16" i="2"/>
  <c r="EA16" i="2"/>
  <c r="DY16" i="2"/>
  <c r="DT16" i="2"/>
  <c r="DU16" i="2"/>
  <c r="DV16" i="2"/>
  <c r="DS16" i="2"/>
  <c r="DQ16" i="2"/>
  <c r="DO16" i="2"/>
  <c r="DM16" i="2"/>
  <c r="DK16" i="2"/>
  <c r="DF16" i="2"/>
  <c r="DG16" i="2"/>
  <c r="DH16" i="2"/>
  <c r="DE16" i="2"/>
  <c r="DC16" i="2"/>
  <c r="DA16" i="2"/>
  <c r="CY16" i="2"/>
  <c r="CW16" i="2"/>
  <c r="CR16" i="2"/>
  <c r="CS16" i="2"/>
  <c r="CT16" i="2"/>
  <c r="CQ16" i="2"/>
  <c r="CO16" i="2"/>
  <c r="CM16" i="2"/>
  <c r="CK16" i="2"/>
  <c r="CI16" i="2"/>
  <c r="CD16" i="2"/>
  <c r="CE16" i="2"/>
  <c r="CF16" i="2"/>
  <c r="CC16" i="2"/>
  <c r="CA16" i="2"/>
  <c r="BY16" i="2"/>
  <c r="BW16" i="2"/>
  <c r="BU16" i="2"/>
  <c r="F16" i="2"/>
  <c r="EH15" i="2"/>
  <c r="EI15" i="2"/>
  <c r="EJ15" i="2"/>
  <c r="EG15" i="2"/>
  <c r="EE15" i="2"/>
  <c r="EC15" i="2"/>
  <c r="EA15" i="2"/>
  <c r="DY15" i="2"/>
  <c r="DT15" i="2"/>
  <c r="DU15" i="2"/>
  <c r="DV15" i="2"/>
  <c r="DS15" i="2"/>
  <c r="DQ15" i="2"/>
  <c r="DO15" i="2"/>
  <c r="DM15" i="2"/>
  <c r="DK15" i="2"/>
  <c r="DF15" i="2"/>
  <c r="DG15" i="2"/>
  <c r="DH15" i="2"/>
  <c r="DE15" i="2"/>
  <c r="DC15" i="2"/>
  <c r="DA15" i="2"/>
  <c r="CY15" i="2"/>
  <c r="CW15" i="2"/>
  <c r="CR15" i="2"/>
  <c r="CS15" i="2"/>
  <c r="CT15" i="2"/>
  <c r="CQ15" i="2"/>
  <c r="CO15" i="2"/>
  <c r="CM15" i="2"/>
  <c r="CK15" i="2"/>
  <c r="CI15" i="2"/>
  <c r="CD15" i="2"/>
  <c r="CE15" i="2"/>
  <c r="CF15" i="2"/>
  <c r="CC15" i="2"/>
  <c r="CA15" i="2"/>
  <c r="BY15" i="2"/>
  <c r="BW15" i="2"/>
  <c r="BU15" i="2"/>
  <c r="BF15" i="2"/>
  <c r="AR15" i="2"/>
  <c r="AD15" i="2"/>
  <c r="P15" i="2"/>
  <c r="F15" i="2"/>
  <c r="EH14" i="2"/>
  <c r="EI14" i="2"/>
  <c r="EJ14" i="2"/>
  <c r="EG14" i="2"/>
  <c r="EE14" i="2"/>
  <c r="EC14" i="2"/>
  <c r="EA14" i="2"/>
  <c r="DY14" i="2"/>
  <c r="DT14" i="2"/>
  <c r="DU14" i="2"/>
  <c r="DV14" i="2"/>
  <c r="DS14" i="2"/>
  <c r="DQ14" i="2"/>
  <c r="DO14" i="2"/>
  <c r="DM14" i="2"/>
  <c r="DK14" i="2"/>
  <c r="DF14" i="2"/>
  <c r="DG14" i="2"/>
  <c r="DH14" i="2"/>
  <c r="DE14" i="2"/>
  <c r="DC14" i="2"/>
  <c r="DA14" i="2"/>
  <c r="CY14" i="2"/>
  <c r="CW14" i="2"/>
  <c r="CR14" i="2"/>
  <c r="CS14" i="2"/>
  <c r="CT14" i="2"/>
  <c r="CQ14" i="2"/>
  <c r="CO14" i="2"/>
  <c r="CM14" i="2"/>
  <c r="CK14" i="2"/>
  <c r="CI14" i="2"/>
  <c r="CD14" i="2"/>
  <c r="CE14" i="2"/>
  <c r="CF14" i="2"/>
  <c r="CC14" i="2"/>
  <c r="CA14" i="2"/>
  <c r="BY14" i="2"/>
  <c r="BW14" i="2"/>
  <c r="BU14" i="2"/>
  <c r="J14" i="2"/>
  <c r="J34" i="2"/>
  <c r="J38" i="2"/>
  <c r="J42" i="2"/>
  <c r="H14" i="2"/>
  <c r="F14" i="2"/>
  <c r="D14" i="2"/>
  <c r="EH13" i="2"/>
  <c r="EI13" i="2"/>
  <c r="EJ13" i="2"/>
  <c r="EG13" i="2"/>
  <c r="EE13" i="2"/>
  <c r="EC13" i="2"/>
  <c r="EA13" i="2"/>
  <c r="DY13" i="2"/>
  <c r="DT13" i="2"/>
  <c r="DU13" i="2"/>
  <c r="DV13" i="2"/>
  <c r="DS13" i="2"/>
  <c r="DQ13" i="2"/>
  <c r="DO13" i="2"/>
  <c r="DM13" i="2"/>
  <c r="DK13" i="2"/>
  <c r="DF13" i="2"/>
  <c r="DG13" i="2"/>
  <c r="DH13" i="2"/>
  <c r="DE13" i="2"/>
  <c r="DC13" i="2"/>
  <c r="DA13" i="2"/>
  <c r="CY13" i="2"/>
  <c r="CW13" i="2"/>
  <c r="CR13" i="2"/>
  <c r="CS13" i="2"/>
  <c r="CT13" i="2"/>
  <c r="CQ13" i="2"/>
  <c r="CO13" i="2"/>
  <c r="CM13" i="2"/>
  <c r="CK13" i="2"/>
  <c r="CI13" i="2"/>
  <c r="CD13" i="2"/>
  <c r="CE13" i="2"/>
  <c r="CF13" i="2"/>
  <c r="CC13" i="2"/>
  <c r="CA13" i="2"/>
  <c r="BY13" i="2"/>
  <c r="BW13" i="2"/>
  <c r="BU13" i="2"/>
  <c r="J13" i="2"/>
  <c r="J33" i="2"/>
  <c r="J37" i="2"/>
  <c r="J41" i="2"/>
  <c r="H13" i="2"/>
  <c r="F13" i="2"/>
  <c r="D13" i="2"/>
  <c r="DY12" i="2"/>
  <c r="DK12" i="2"/>
  <c r="CW12" i="2"/>
  <c r="CI12" i="2"/>
  <c r="CA12" i="2"/>
  <c r="BY12" i="2"/>
  <c r="BW12" i="2"/>
  <c r="BU12" i="2"/>
  <c r="J12" i="2"/>
  <c r="J32" i="2"/>
  <c r="J36" i="2"/>
  <c r="J40" i="2"/>
  <c r="H12" i="2"/>
  <c r="F12" i="2"/>
  <c r="D12" i="2"/>
  <c r="DY11" i="2"/>
  <c r="DK11" i="2"/>
  <c r="CW11" i="2"/>
  <c r="CI11" i="2"/>
  <c r="CA11" i="2"/>
  <c r="BY11" i="2"/>
  <c r="BW11" i="2"/>
  <c r="BU11" i="2"/>
  <c r="BF11" i="2"/>
  <c r="AR11" i="2"/>
  <c r="AD11" i="2"/>
  <c r="P11" i="2"/>
  <c r="H11" i="2"/>
  <c r="F11" i="2"/>
  <c r="D11" i="2"/>
  <c r="DY10" i="2"/>
  <c r="DK10" i="2"/>
  <c r="CW10" i="2"/>
  <c r="CI10" i="2"/>
  <c r="CA10" i="2"/>
  <c r="BY10" i="2"/>
  <c r="BW10" i="2"/>
  <c r="BU10" i="2"/>
  <c r="DY9" i="2"/>
  <c r="DK9" i="2"/>
  <c r="CW9" i="2"/>
  <c r="CI9" i="2"/>
  <c r="CA9" i="2"/>
  <c r="BY9" i="2"/>
  <c r="BW9" i="2"/>
  <c r="BU9" i="2"/>
  <c r="DY8" i="2"/>
  <c r="DK8" i="2"/>
  <c r="CW8" i="2"/>
  <c r="CI8" i="2"/>
  <c r="CA8" i="2"/>
  <c r="BY8" i="2"/>
  <c r="BW8" i="2"/>
  <c r="BU8" i="2"/>
  <c r="DY7" i="2"/>
  <c r="DK7" i="2"/>
  <c r="CW7" i="2"/>
  <c r="CI7" i="2"/>
  <c r="CA7" i="2"/>
  <c r="BY7" i="2"/>
  <c r="BW7" i="2"/>
  <c r="BU7" i="2"/>
  <c r="J11" i="2"/>
  <c r="J31" i="2"/>
  <c r="J35" i="2"/>
  <c r="J39" i="2"/>
  <c r="DY6" i="2"/>
  <c r="DK6" i="2"/>
  <c r="CW6" i="2"/>
  <c r="CI6" i="2"/>
  <c r="CA6" i="2"/>
  <c r="BY6" i="2"/>
  <c r="BW6" i="2"/>
  <c r="BU6" i="2"/>
  <c r="DY5" i="2"/>
  <c r="DK5" i="2"/>
  <c r="CW5" i="2"/>
  <c r="CI5" i="2"/>
  <c r="CA5" i="2"/>
  <c r="BY5" i="2"/>
  <c r="BW5" i="2"/>
  <c r="BU5" i="2"/>
  <c r="DY4" i="2"/>
  <c r="DK4" i="2"/>
  <c r="CW4" i="2"/>
  <c r="CI4" i="2"/>
  <c r="CD4" i="2"/>
  <c r="CD5" i="2"/>
  <c r="CD6" i="2"/>
  <c r="CD7" i="2"/>
  <c r="CC4" i="2"/>
  <c r="CC5" i="2"/>
  <c r="CC6" i="2"/>
  <c r="CC7" i="2"/>
  <c r="CC8" i="2"/>
  <c r="CC9" i="2"/>
  <c r="CC10" i="2"/>
  <c r="CC11" i="2"/>
  <c r="CC12" i="2"/>
  <c r="CA4" i="2"/>
  <c r="CE4" i="2"/>
  <c r="BY4" i="2"/>
  <c r="BW4" i="2"/>
  <c r="BU4" i="2"/>
  <c r="A134" i="2"/>
  <c r="D100" i="2"/>
  <c r="D88" i="2"/>
  <c r="A208" i="2"/>
  <c r="A213" i="2"/>
  <c r="DS78" i="2"/>
  <c r="DS79" i="2"/>
  <c r="DS81" i="2"/>
  <c r="DT81" i="2"/>
  <c r="AD85" i="2"/>
  <c r="AR85" i="2"/>
  <c r="BF85" i="2"/>
  <c r="BI82" i="2"/>
  <c r="BO82" i="2"/>
  <c r="BO83" i="2"/>
  <c r="BI84" i="2"/>
  <c r="BI85" i="2"/>
  <c r="BK85" i="2"/>
  <c r="BM85" i="2"/>
  <c r="BP85" i="2"/>
  <c r="BI86" i="2"/>
  <c r="BK86" i="2"/>
  <c r="BM86" i="2"/>
  <c r="BO86" i="2"/>
  <c r="BI87" i="2"/>
  <c r="BK87" i="2"/>
  <c r="BM87" i="2"/>
  <c r="BI88" i="2"/>
  <c r="BK88" i="2"/>
  <c r="BM88" i="2"/>
  <c r="BO88" i="2"/>
  <c r="BO92" i="2"/>
  <c r="BO96" i="2"/>
  <c r="BI89" i="2"/>
  <c r="BP89" i="2"/>
  <c r="BI92" i="2"/>
  <c r="BO100" i="2"/>
  <c r="BI100" i="2"/>
  <c r="BO102" i="2"/>
  <c r="BO103" i="2"/>
  <c r="BO104" i="2"/>
  <c r="BO108" i="2"/>
  <c r="BO112" i="2"/>
  <c r="BI105" i="2"/>
  <c r="BO106" i="2"/>
  <c r="BO110" i="2"/>
  <c r="BI107" i="2"/>
  <c r="BI108" i="2"/>
  <c r="BI110" i="2"/>
  <c r="BO111" i="2"/>
  <c r="BI81" i="2"/>
  <c r="BK81" i="2"/>
  <c r="BM81" i="2"/>
  <c r="BO81" i="2"/>
  <c r="BO85" i="2"/>
  <c r="BP81" i="2"/>
  <c r="BK82" i="2"/>
  <c r="BM82" i="2"/>
  <c r="BI83" i="2"/>
  <c r="BK83" i="2"/>
  <c r="BM83" i="2"/>
  <c r="BK84" i="2"/>
  <c r="BM84" i="2"/>
  <c r="BO84" i="2"/>
  <c r="BK89" i="2"/>
  <c r="BM89" i="2"/>
  <c r="BI90" i="2"/>
  <c r="BK90" i="2"/>
  <c r="BM90" i="2"/>
  <c r="BO90" i="2"/>
  <c r="BO94" i="2"/>
  <c r="BO98" i="2"/>
  <c r="BI91" i="2"/>
  <c r="BK91" i="2"/>
  <c r="BM91" i="2"/>
  <c r="BK92" i="2"/>
  <c r="BM92" i="2"/>
  <c r="BI93" i="2"/>
  <c r="BK93" i="2"/>
  <c r="BM93" i="2"/>
  <c r="BI94" i="2"/>
  <c r="BK94" i="2"/>
  <c r="BM94" i="2"/>
  <c r="BI95" i="2"/>
  <c r="BK95" i="2"/>
  <c r="BM95" i="2"/>
  <c r="BI96" i="2"/>
  <c r="BK96" i="2"/>
  <c r="BM96" i="2"/>
  <c r="BI97" i="2"/>
  <c r="BK97" i="2"/>
  <c r="BM97" i="2"/>
  <c r="BO97" i="2"/>
  <c r="BO101" i="2"/>
  <c r="BI98" i="2"/>
  <c r="BK98" i="2"/>
  <c r="BM98" i="2"/>
  <c r="BI99" i="2"/>
  <c r="BK99" i="2"/>
  <c r="BM99" i="2"/>
  <c r="BO99" i="2"/>
  <c r="BK100" i="2"/>
  <c r="BM100" i="2"/>
  <c r="BI101" i="2"/>
  <c r="BK101" i="2"/>
  <c r="BM101" i="2"/>
  <c r="BI102" i="2"/>
  <c r="BK102" i="2"/>
  <c r="BM102" i="2"/>
  <c r="BI103" i="2"/>
  <c r="BK103" i="2"/>
  <c r="BM103" i="2"/>
  <c r="BI104" i="2"/>
  <c r="BK104" i="2"/>
  <c r="BM104" i="2"/>
  <c r="BK105" i="2"/>
  <c r="BM105" i="2"/>
  <c r="BO105" i="2"/>
  <c r="BO109" i="2"/>
  <c r="BI106" i="2"/>
  <c r="BK106" i="2"/>
  <c r="BM106" i="2"/>
  <c r="BK107" i="2"/>
  <c r="BM107" i="2"/>
  <c r="BO107" i="2"/>
  <c r="BK108" i="2"/>
  <c r="BM108" i="2"/>
  <c r="BI109" i="2"/>
  <c r="BK109" i="2"/>
  <c r="BM109" i="2"/>
  <c r="BK110" i="2"/>
  <c r="BM110" i="2"/>
  <c r="BI111" i="2"/>
  <c r="BK111" i="2"/>
  <c r="BM111" i="2"/>
  <c r="BI112" i="2"/>
  <c r="BK112" i="2"/>
  <c r="BM112" i="2"/>
  <c r="BI117" i="2"/>
  <c r="BP117" i="2"/>
  <c r="BK117" i="2"/>
  <c r="BM117" i="2"/>
  <c r="BR117" i="2"/>
  <c r="BO117" i="2"/>
  <c r="BQ117" i="2"/>
  <c r="BI118" i="2"/>
  <c r="BK118" i="2"/>
  <c r="BM118" i="2"/>
  <c r="BR118" i="2"/>
  <c r="BO118" i="2"/>
  <c r="BP118" i="2"/>
  <c r="BQ118" i="2"/>
  <c r="BI119" i="2"/>
  <c r="BP119" i="2"/>
  <c r="BK119" i="2"/>
  <c r="BM119" i="2"/>
  <c r="BR119" i="2"/>
  <c r="BO119" i="2"/>
  <c r="BQ119" i="2"/>
  <c r="BI120" i="2"/>
  <c r="BK120" i="2"/>
  <c r="BM120" i="2"/>
  <c r="BO120" i="2"/>
  <c r="BP120" i="2"/>
  <c r="BQ120" i="2"/>
  <c r="BR120" i="2"/>
  <c r="AT82" i="2"/>
  <c r="AT83" i="2"/>
  <c r="BA83" i="2"/>
  <c r="AT84" i="2"/>
  <c r="BA84" i="2"/>
  <c r="AT85" i="2"/>
  <c r="AV85" i="2"/>
  <c r="AX85" i="2"/>
  <c r="AZ85" i="2"/>
  <c r="BA85" i="2"/>
  <c r="AT86" i="2"/>
  <c r="AV86" i="2"/>
  <c r="AX86" i="2"/>
  <c r="AT87" i="2"/>
  <c r="AV87" i="2"/>
  <c r="AX87" i="2"/>
  <c r="BA87" i="2"/>
  <c r="BA91" i="2"/>
  <c r="BB91" i="2"/>
  <c r="BC91" i="2"/>
  <c r="AT88" i="2"/>
  <c r="AV88" i="2"/>
  <c r="AX88" i="2"/>
  <c r="AZ88" i="2"/>
  <c r="BA88" i="2"/>
  <c r="BB88" i="2"/>
  <c r="BC88" i="2"/>
  <c r="AT92" i="2"/>
  <c r="BA92" i="2"/>
  <c r="AT100" i="2"/>
  <c r="AT108" i="2"/>
  <c r="AT110" i="2"/>
  <c r="AT112" i="2"/>
  <c r="AF82" i="2"/>
  <c r="AF84" i="2"/>
  <c r="AF85" i="2"/>
  <c r="AH85" i="2"/>
  <c r="AJ85" i="2"/>
  <c r="AL85" i="2"/>
  <c r="AL89" i="2"/>
  <c r="AF86" i="2"/>
  <c r="AH86" i="2"/>
  <c r="AJ86" i="2"/>
  <c r="AF87" i="2"/>
  <c r="AH87" i="2"/>
  <c r="AJ87" i="2"/>
  <c r="AL87" i="2"/>
  <c r="AL91" i="2"/>
  <c r="AL95" i="2"/>
  <c r="AL99" i="2"/>
  <c r="AL103" i="2"/>
  <c r="AF88" i="2"/>
  <c r="AH88" i="2"/>
  <c r="AJ88" i="2"/>
  <c r="AF92" i="2"/>
  <c r="AF100" i="2"/>
  <c r="AF105" i="2"/>
  <c r="AO105" i="2"/>
  <c r="AF108" i="2"/>
  <c r="AF110" i="2"/>
  <c r="AF111" i="2"/>
  <c r="AF112" i="2"/>
  <c r="AL117" i="2"/>
  <c r="AL118" i="2"/>
  <c r="AF118" i="2"/>
  <c r="AM118" i="2"/>
  <c r="AL120" i="2"/>
  <c r="P85" i="2"/>
  <c r="R82" i="2"/>
  <c r="R84" i="2"/>
  <c r="Y84" i="2"/>
  <c r="R85" i="2"/>
  <c r="T85" i="2"/>
  <c r="V85" i="2"/>
  <c r="Y85" i="2"/>
  <c r="Y89" i="2"/>
  <c r="Z85" i="2"/>
  <c r="R86" i="2"/>
  <c r="T86" i="2"/>
  <c r="V86" i="2"/>
  <c r="R87" i="2"/>
  <c r="T87" i="2"/>
  <c r="V87" i="2"/>
  <c r="X87" i="2"/>
  <c r="X91" i="2"/>
  <c r="X95" i="2"/>
  <c r="R88" i="2"/>
  <c r="T88" i="2"/>
  <c r="V88" i="2"/>
  <c r="R90" i="2"/>
  <c r="R92" i="2"/>
  <c r="R100" i="2"/>
  <c r="R108" i="2"/>
  <c r="R110" i="2"/>
  <c r="R112" i="2"/>
  <c r="D85" i="2"/>
  <c r="K85" i="2"/>
  <c r="K89" i="2"/>
  <c r="F85" i="2"/>
  <c r="H85" i="2"/>
  <c r="D86" i="2"/>
  <c r="F86" i="2"/>
  <c r="H86" i="2"/>
  <c r="D87" i="2"/>
  <c r="F87" i="2"/>
  <c r="H87" i="2"/>
  <c r="F88" i="2"/>
  <c r="H88" i="2"/>
  <c r="D84" i="2"/>
  <c r="K84" i="2"/>
  <c r="K88" i="2"/>
  <c r="J85" i="2"/>
  <c r="J86" i="2"/>
  <c r="J90" i="2"/>
  <c r="J88" i="2"/>
  <c r="J92" i="2"/>
  <c r="J96" i="2"/>
  <c r="J100" i="2"/>
  <c r="J104" i="2"/>
  <c r="J108" i="2"/>
  <c r="J112" i="2"/>
  <c r="L88" i="2"/>
  <c r="M88" i="2"/>
  <c r="D112" i="2"/>
  <c r="D108" i="2"/>
  <c r="D81" i="2"/>
  <c r="D89" i="2"/>
  <c r="D93" i="2"/>
  <c r="D97" i="2"/>
  <c r="D101" i="2"/>
  <c r="D105" i="2"/>
  <c r="D109" i="2"/>
  <c r="D117" i="2"/>
  <c r="K117" i="2"/>
  <c r="D121" i="2"/>
  <c r="K121" i="2"/>
  <c r="D125" i="2"/>
  <c r="H81" i="2"/>
  <c r="H89" i="2"/>
  <c r="H93" i="2"/>
  <c r="H97" i="2"/>
  <c r="H102" i="2"/>
  <c r="H105" i="2"/>
  <c r="H109" i="2"/>
  <c r="H117" i="2"/>
  <c r="M117" i="2"/>
  <c r="H121" i="2"/>
  <c r="H125" i="2"/>
  <c r="J141" i="2"/>
  <c r="K141" i="2"/>
  <c r="L81" i="2"/>
  <c r="L89" i="2"/>
  <c r="M89" i="2"/>
  <c r="L117" i="2"/>
  <c r="L121" i="2"/>
  <c r="L125" i="2"/>
  <c r="R81" i="2"/>
  <c r="R89" i="2"/>
  <c r="R93" i="2"/>
  <c r="R97" i="2"/>
  <c r="R102" i="2"/>
  <c r="R105" i="2"/>
  <c r="R109" i="2"/>
  <c r="R117" i="2"/>
  <c r="R121" i="2"/>
  <c r="Y121" i="2"/>
  <c r="R125" i="2"/>
  <c r="V81" i="2"/>
  <c r="V89" i="2"/>
  <c r="V93" i="2"/>
  <c r="V97" i="2"/>
  <c r="V102" i="2"/>
  <c r="V105" i="2"/>
  <c r="V109" i="2"/>
  <c r="V117" i="2"/>
  <c r="V121" i="2"/>
  <c r="V125" i="2"/>
  <c r="X141" i="2"/>
  <c r="Y141" i="2"/>
  <c r="Z117" i="2"/>
  <c r="Z121" i="2"/>
  <c r="Z125" i="2"/>
  <c r="AF81" i="2"/>
  <c r="AF89" i="2"/>
  <c r="AF93" i="2"/>
  <c r="AF97" i="2"/>
  <c r="AF101" i="2"/>
  <c r="AF109" i="2"/>
  <c r="AF117" i="2"/>
  <c r="AM117" i="2"/>
  <c r="AF121" i="2"/>
  <c r="AF125" i="2"/>
  <c r="AM125" i="2"/>
  <c r="AJ81" i="2"/>
  <c r="AJ89" i="2"/>
  <c r="AJ93" i="2"/>
  <c r="AJ97" i="2"/>
  <c r="AJ102" i="2"/>
  <c r="AJ105" i="2"/>
  <c r="AN105" i="2"/>
  <c r="AJ109" i="2"/>
  <c r="AJ117" i="2"/>
  <c r="AO117" i="2"/>
  <c r="AJ121" i="2"/>
  <c r="AO121" i="2"/>
  <c r="AJ125" i="2"/>
  <c r="AL141" i="2"/>
  <c r="AM141" i="2"/>
  <c r="AM109" i="2"/>
  <c r="AN109" i="2"/>
  <c r="AN117" i="2"/>
  <c r="AN121" i="2"/>
  <c r="AN125" i="2"/>
  <c r="AT81" i="2"/>
  <c r="AT89" i="2"/>
  <c r="AT93" i="2"/>
  <c r="AT97" i="2"/>
  <c r="BA97" i="2"/>
  <c r="AT102" i="2"/>
  <c r="AT105" i="2"/>
  <c r="AT109" i="2"/>
  <c r="AT117" i="2"/>
  <c r="AT121" i="2"/>
  <c r="AT125" i="2"/>
  <c r="BA125" i="2"/>
  <c r="AX81" i="2"/>
  <c r="AX89" i="2"/>
  <c r="AX93" i="2"/>
  <c r="AX97" i="2"/>
  <c r="AX101" i="2"/>
  <c r="AX105" i="2"/>
  <c r="AX109" i="2"/>
  <c r="AX117" i="2"/>
  <c r="AX121" i="2"/>
  <c r="BC121" i="2"/>
  <c r="AX125" i="2"/>
  <c r="BC125" i="2"/>
  <c r="AZ141" i="2"/>
  <c r="BA141" i="2"/>
  <c r="BB81" i="2"/>
  <c r="AX102" i="2"/>
  <c r="BB117" i="2"/>
  <c r="BB121" i="2"/>
  <c r="BB125" i="2"/>
  <c r="BI121" i="2"/>
  <c r="BI125" i="2"/>
  <c r="BP125" i="2"/>
  <c r="BM121" i="2"/>
  <c r="BR121" i="2"/>
  <c r="BM125" i="2"/>
  <c r="BR125" i="2"/>
  <c r="BO141" i="2"/>
  <c r="BP141" i="2"/>
  <c r="BQ121" i="2"/>
  <c r="BQ125" i="2"/>
  <c r="D82" i="2"/>
  <c r="D90" i="2"/>
  <c r="D94" i="2"/>
  <c r="D98" i="2"/>
  <c r="D102" i="2"/>
  <c r="D106" i="2"/>
  <c r="D110" i="2"/>
  <c r="D118" i="2"/>
  <c r="K118" i="2"/>
  <c r="D122" i="2"/>
  <c r="D126" i="2"/>
  <c r="K126" i="2"/>
  <c r="H82" i="2"/>
  <c r="H90" i="2"/>
  <c r="H94" i="2"/>
  <c r="H98" i="2"/>
  <c r="H101" i="2"/>
  <c r="H106" i="2"/>
  <c r="H110" i="2"/>
  <c r="H118" i="2"/>
  <c r="M118" i="2"/>
  <c r="H122" i="2"/>
  <c r="H126" i="2"/>
  <c r="J142" i="2"/>
  <c r="K142" i="2"/>
  <c r="L118" i="2"/>
  <c r="L122" i="2"/>
  <c r="L126" i="2"/>
  <c r="R94" i="2"/>
  <c r="R98" i="2"/>
  <c r="R101" i="2"/>
  <c r="R106" i="2"/>
  <c r="R118" i="2"/>
  <c r="R142" i="2"/>
  <c r="R122" i="2"/>
  <c r="R126" i="2"/>
  <c r="V82" i="2"/>
  <c r="V90" i="2"/>
  <c r="V94" i="2"/>
  <c r="V98" i="2"/>
  <c r="V101" i="2"/>
  <c r="V106" i="2"/>
  <c r="V110" i="2"/>
  <c r="V118" i="2"/>
  <c r="AA118" i="2"/>
  <c r="V122" i="2"/>
  <c r="V126" i="2"/>
  <c r="AA126" i="2"/>
  <c r="X142" i="2"/>
  <c r="Y142" i="2"/>
  <c r="Z82" i="2"/>
  <c r="Z118" i="2"/>
  <c r="Z122" i="2"/>
  <c r="Z126" i="2"/>
  <c r="AF90" i="2"/>
  <c r="AF94" i="2"/>
  <c r="AF98" i="2"/>
  <c r="AF102" i="2"/>
  <c r="AF106" i="2"/>
  <c r="AF122" i="2"/>
  <c r="AF126" i="2"/>
  <c r="AM126" i="2"/>
  <c r="AJ82" i="2"/>
  <c r="AJ90" i="2"/>
  <c r="AJ94" i="2"/>
  <c r="AJ98" i="2"/>
  <c r="AJ101" i="2"/>
  <c r="AJ106" i="2"/>
  <c r="AJ110" i="2"/>
  <c r="AJ118" i="2"/>
  <c r="AO118" i="2"/>
  <c r="AJ122" i="2"/>
  <c r="AO122" i="2"/>
  <c r="AJ126" i="2"/>
  <c r="AO126" i="2"/>
  <c r="AL142" i="2"/>
  <c r="AM142" i="2"/>
  <c r="AN118" i="2"/>
  <c r="AN122" i="2"/>
  <c r="AN126" i="2"/>
  <c r="AT90" i="2"/>
  <c r="AT94" i="2"/>
  <c r="AT98" i="2"/>
  <c r="AT101" i="2"/>
  <c r="AT106" i="2"/>
  <c r="AT118" i="2"/>
  <c r="AT122" i="2"/>
  <c r="AT126" i="2"/>
  <c r="AX82" i="2"/>
  <c r="AX90" i="2"/>
  <c r="AX94" i="2"/>
  <c r="AX98" i="2"/>
  <c r="AX106" i="2"/>
  <c r="AX110" i="2"/>
  <c r="AX118" i="2"/>
  <c r="BC118" i="2"/>
  <c r="AX122" i="2"/>
  <c r="BC122" i="2"/>
  <c r="AX126" i="2"/>
  <c r="AZ142" i="2"/>
  <c r="BA142" i="2"/>
  <c r="BB118" i="2"/>
  <c r="BB122" i="2"/>
  <c r="BB126" i="2"/>
  <c r="BI122" i="2"/>
  <c r="BI126" i="2"/>
  <c r="BM122" i="2"/>
  <c r="BR122" i="2"/>
  <c r="BM126" i="2"/>
  <c r="BR126" i="2"/>
  <c r="BO142" i="2"/>
  <c r="BP142" i="2"/>
  <c r="BQ122" i="2"/>
  <c r="BQ126" i="2"/>
  <c r="D83" i="2"/>
  <c r="D91" i="2"/>
  <c r="D95" i="2"/>
  <c r="D99" i="2"/>
  <c r="D103" i="2"/>
  <c r="D107" i="2"/>
  <c r="D111" i="2"/>
  <c r="D119" i="2"/>
  <c r="K119" i="2"/>
  <c r="D123" i="2"/>
  <c r="D127" i="2"/>
  <c r="H83" i="2"/>
  <c r="H92" i="2"/>
  <c r="H95" i="2"/>
  <c r="H99" i="2"/>
  <c r="H103" i="2"/>
  <c r="H107" i="2"/>
  <c r="H111" i="2"/>
  <c r="H119" i="2"/>
  <c r="M119" i="2"/>
  <c r="H123" i="2"/>
  <c r="M123" i="2"/>
  <c r="H127" i="2"/>
  <c r="J143" i="2"/>
  <c r="K143" i="2"/>
  <c r="L119" i="2"/>
  <c r="L123" i="2"/>
  <c r="L127" i="2"/>
  <c r="R83" i="2"/>
  <c r="R91" i="2"/>
  <c r="R95" i="2"/>
  <c r="R99" i="2"/>
  <c r="R103" i="2"/>
  <c r="R107" i="2"/>
  <c r="R111" i="2"/>
  <c r="R119" i="2"/>
  <c r="Y119" i="2"/>
  <c r="R123" i="2"/>
  <c r="Y123" i="2"/>
  <c r="R127" i="2"/>
  <c r="Y127" i="2"/>
  <c r="V83" i="2"/>
  <c r="V92" i="2"/>
  <c r="V95" i="2"/>
  <c r="V99" i="2"/>
  <c r="V103" i="2"/>
  <c r="V107" i="2"/>
  <c r="V111" i="2"/>
  <c r="V119" i="2"/>
  <c r="V123" i="2"/>
  <c r="AA123" i="2"/>
  <c r="V127" i="2"/>
  <c r="AA127" i="2"/>
  <c r="X143" i="2"/>
  <c r="Y143" i="2"/>
  <c r="Z119" i="2"/>
  <c r="Z123" i="2"/>
  <c r="Z127" i="2"/>
  <c r="AF83" i="2"/>
  <c r="AF91" i="2"/>
  <c r="AF95" i="2"/>
  <c r="AF99" i="2"/>
  <c r="AF103" i="2"/>
  <c r="AF107" i="2"/>
  <c r="AF119" i="2"/>
  <c r="AM119" i="2"/>
  <c r="AF123" i="2"/>
  <c r="AM123" i="2"/>
  <c r="AF127" i="2"/>
  <c r="AM127" i="2"/>
  <c r="AJ83" i="2"/>
  <c r="AJ92" i="2"/>
  <c r="AJ95" i="2"/>
  <c r="AJ99" i="2"/>
  <c r="AJ103" i="2"/>
  <c r="AJ107" i="2"/>
  <c r="AJ111" i="2"/>
  <c r="AJ119" i="2"/>
  <c r="AO119" i="2"/>
  <c r="AJ123" i="2"/>
  <c r="AJ127" i="2"/>
  <c r="AL143" i="2"/>
  <c r="AM143" i="2"/>
  <c r="AM95" i="2"/>
  <c r="AN95" i="2"/>
  <c r="AO95" i="2"/>
  <c r="AN119" i="2"/>
  <c r="AN123" i="2"/>
  <c r="AN127" i="2"/>
  <c r="AT91" i="2"/>
  <c r="AT95" i="2"/>
  <c r="AT99" i="2"/>
  <c r="AT103" i="2"/>
  <c r="AT107" i="2"/>
  <c r="AT111" i="2"/>
  <c r="AT119" i="2"/>
  <c r="AT143" i="2"/>
  <c r="AT123" i="2"/>
  <c r="AT127" i="2"/>
  <c r="AX83" i="2"/>
  <c r="AX91" i="2"/>
  <c r="AX95" i="2"/>
  <c r="AX99" i="2"/>
  <c r="AX103" i="2"/>
  <c r="AX107" i="2"/>
  <c r="AX111" i="2"/>
  <c r="AX119" i="2"/>
  <c r="AX143" i="2"/>
  <c r="AX123" i="2"/>
  <c r="AX127" i="2"/>
  <c r="AZ143" i="2"/>
  <c r="BA143" i="2"/>
  <c r="AX92" i="2"/>
  <c r="BB119" i="2"/>
  <c r="BB123" i="2"/>
  <c r="BB127" i="2"/>
  <c r="BI123" i="2"/>
  <c r="BP123" i="2"/>
  <c r="BI127" i="2"/>
  <c r="BP127" i="2"/>
  <c r="BM123" i="2"/>
  <c r="BR123" i="2"/>
  <c r="BM127" i="2"/>
  <c r="BO143" i="2"/>
  <c r="BP143" i="2"/>
  <c r="BQ123" i="2"/>
  <c r="BQ127" i="2"/>
  <c r="D92" i="2"/>
  <c r="K92" i="2"/>
  <c r="K96" i="2"/>
  <c r="K100" i="2"/>
  <c r="L100" i="2"/>
  <c r="D96" i="2"/>
  <c r="D104" i="2"/>
  <c r="K104" i="2"/>
  <c r="L104" i="2"/>
  <c r="D120" i="2"/>
  <c r="K120" i="2"/>
  <c r="D124" i="2"/>
  <c r="D128" i="2"/>
  <c r="H84" i="2"/>
  <c r="H91" i="2"/>
  <c r="H96" i="2"/>
  <c r="H100" i="2"/>
  <c r="H104" i="2"/>
  <c r="H108" i="2"/>
  <c r="H112" i="2"/>
  <c r="H120" i="2"/>
  <c r="M120" i="2"/>
  <c r="H124" i="2"/>
  <c r="M124" i="2"/>
  <c r="H128" i="2"/>
  <c r="J144" i="2"/>
  <c r="K144" i="2"/>
  <c r="L120" i="2"/>
  <c r="L124" i="2"/>
  <c r="L128" i="2"/>
  <c r="R96" i="2"/>
  <c r="R104" i="2"/>
  <c r="R120" i="2"/>
  <c r="Y120" i="2"/>
  <c r="R124" i="2"/>
  <c r="R128" i="2"/>
  <c r="R144" i="2"/>
  <c r="V84" i="2"/>
  <c r="V144" i="2"/>
  <c r="U144" i="2"/>
  <c r="V91" i="2"/>
  <c r="V96" i="2"/>
  <c r="V100" i="2"/>
  <c r="V104" i="2"/>
  <c r="V108" i="2"/>
  <c r="V112" i="2"/>
  <c r="V120" i="2"/>
  <c r="AA120" i="2"/>
  <c r="V124" i="2"/>
  <c r="V128" i="2"/>
  <c r="X144" i="2"/>
  <c r="Y144" i="2"/>
  <c r="Z120" i="2"/>
  <c r="Z124" i="2"/>
  <c r="Z128" i="2"/>
  <c r="AF96" i="2"/>
  <c r="AF104" i="2"/>
  <c r="AF120" i="2"/>
  <c r="AM120" i="2"/>
  <c r="AF124" i="2"/>
  <c r="AM124" i="2"/>
  <c r="AF128" i="2"/>
  <c r="AM128" i="2"/>
  <c r="AJ84" i="2"/>
  <c r="AJ91" i="2"/>
  <c r="AJ96" i="2"/>
  <c r="AJ100" i="2"/>
  <c r="AJ104" i="2"/>
  <c r="AJ108" i="2"/>
  <c r="AJ112" i="2"/>
  <c r="AJ120" i="2"/>
  <c r="AO120" i="2"/>
  <c r="AJ124" i="2"/>
  <c r="AJ128" i="2"/>
  <c r="AO128" i="2"/>
  <c r="AL144" i="2"/>
  <c r="AM144" i="2"/>
  <c r="AN91" i="2"/>
  <c r="AN120" i="2"/>
  <c r="AN124" i="2"/>
  <c r="AN128" i="2"/>
  <c r="AT96" i="2"/>
  <c r="AT104" i="2"/>
  <c r="AT120" i="2"/>
  <c r="AT124" i="2"/>
  <c r="BA124" i="2"/>
  <c r="AT128" i="2"/>
  <c r="BA128" i="2"/>
  <c r="AX84" i="2"/>
  <c r="BB84" i="2"/>
  <c r="AX96" i="2"/>
  <c r="AX100" i="2"/>
  <c r="AX104" i="2"/>
  <c r="AX108" i="2"/>
  <c r="AX112" i="2"/>
  <c r="AX120" i="2"/>
  <c r="BC120" i="2"/>
  <c r="AX124" i="2"/>
  <c r="AX128" i="2"/>
  <c r="BC128" i="2"/>
  <c r="AZ144" i="2"/>
  <c r="BA144" i="2"/>
  <c r="BB120" i="2"/>
  <c r="BB124" i="2"/>
  <c r="BB128" i="2"/>
  <c r="BI124" i="2"/>
  <c r="BI128" i="2"/>
  <c r="BM124" i="2"/>
  <c r="BM128" i="2"/>
  <c r="BO144" i="2"/>
  <c r="BP144" i="2"/>
  <c r="BQ124" i="2"/>
  <c r="BQ128" i="2"/>
  <c r="BU78" i="2"/>
  <c r="BW78" i="2"/>
  <c r="BY78" i="2"/>
  <c r="CA78" i="2"/>
  <c r="CC78" i="2"/>
  <c r="CD78" i="2"/>
  <c r="CD79" i="2"/>
  <c r="CE78" i="2"/>
  <c r="CF78" i="2"/>
  <c r="CI78" i="2"/>
  <c r="CK78" i="2"/>
  <c r="CM78" i="2"/>
  <c r="CO78" i="2"/>
  <c r="CQ78" i="2"/>
  <c r="CR78" i="2"/>
  <c r="CS78" i="2"/>
  <c r="CW78" i="2"/>
  <c r="CY78" i="2"/>
  <c r="DA78" i="2"/>
  <c r="DC78" i="2"/>
  <c r="DG78" i="2"/>
  <c r="DE78" i="2"/>
  <c r="DF78" i="2"/>
  <c r="DK78" i="2"/>
  <c r="DM78" i="2"/>
  <c r="DO78" i="2"/>
  <c r="DQ78" i="2"/>
  <c r="DT78" i="2"/>
  <c r="DY78" i="2"/>
  <c r="EA78" i="2"/>
  <c r="EC78" i="2"/>
  <c r="EE78" i="2"/>
  <c r="EG78" i="2"/>
  <c r="EH78" i="2"/>
  <c r="BU79" i="2"/>
  <c r="BW79" i="2"/>
  <c r="BY79" i="2"/>
  <c r="CA79" i="2"/>
  <c r="CE79" i="2"/>
  <c r="CC79" i="2"/>
  <c r="CI79" i="2"/>
  <c r="CK79" i="2"/>
  <c r="CM79" i="2"/>
  <c r="CO79" i="2"/>
  <c r="CQ79" i="2"/>
  <c r="CQ80" i="2"/>
  <c r="CQ81" i="2"/>
  <c r="CQ82" i="2"/>
  <c r="CQ83" i="2"/>
  <c r="CQ84" i="2"/>
  <c r="CR79" i="2"/>
  <c r="CW79" i="2"/>
  <c r="CY79" i="2"/>
  <c r="DA79" i="2"/>
  <c r="DC79" i="2"/>
  <c r="DE79" i="2"/>
  <c r="DF79" i="2"/>
  <c r="DF80" i="2"/>
  <c r="DG79" i="2"/>
  <c r="DH79" i="2"/>
  <c r="DK79" i="2"/>
  <c r="DM79" i="2"/>
  <c r="DO79" i="2"/>
  <c r="DQ79" i="2"/>
  <c r="DY79" i="2"/>
  <c r="EA79" i="2"/>
  <c r="EC79" i="2"/>
  <c r="EE79" i="2"/>
  <c r="EG79" i="2"/>
  <c r="EH79" i="2"/>
  <c r="BU80" i="2"/>
  <c r="BW80" i="2"/>
  <c r="BY80" i="2"/>
  <c r="CA80" i="2"/>
  <c r="CC80" i="2"/>
  <c r="CD80" i="2"/>
  <c r="CI80" i="2"/>
  <c r="CK80" i="2"/>
  <c r="CM80" i="2"/>
  <c r="CO80" i="2"/>
  <c r="CW80" i="2"/>
  <c r="CY80" i="2"/>
  <c r="DA80" i="2"/>
  <c r="DC80" i="2"/>
  <c r="DE80" i="2"/>
  <c r="DG80" i="2"/>
  <c r="DH80" i="2"/>
  <c r="DK80" i="2"/>
  <c r="DM80" i="2"/>
  <c r="DO80" i="2"/>
  <c r="DQ80" i="2"/>
  <c r="DU80" i="2"/>
  <c r="DY80" i="2"/>
  <c r="EA80" i="2"/>
  <c r="EC80" i="2"/>
  <c r="EE80" i="2"/>
  <c r="EG80" i="2"/>
  <c r="EG81" i="2"/>
  <c r="EG82" i="2"/>
  <c r="EG83" i="2"/>
  <c r="EG84" i="2"/>
  <c r="EG85" i="2"/>
  <c r="EH80" i="2"/>
  <c r="EI80" i="2"/>
  <c r="F81" i="2"/>
  <c r="J81" i="2"/>
  <c r="K81" i="2"/>
  <c r="P81" i="2"/>
  <c r="T81" i="2"/>
  <c r="X81" i="2"/>
  <c r="X85" i="2"/>
  <c r="X89" i="2"/>
  <c r="X93" i="2"/>
  <c r="Y81" i="2"/>
  <c r="AD81" i="2"/>
  <c r="AH81" i="2"/>
  <c r="AL81" i="2"/>
  <c r="AR81" i="2"/>
  <c r="AV81" i="2"/>
  <c r="AZ81" i="2"/>
  <c r="BA81" i="2"/>
  <c r="BF81" i="2"/>
  <c r="BU81" i="2"/>
  <c r="BW81" i="2"/>
  <c r="BY81" i="2"/>
  <c r="CA81" i="2"/>
  <c r="CC81" i="2"/>
  <c r="CC82" i="2"/>
  <c r="CC83" i="2"/>
  <c r="CC84" i="2"/>
  <c r="CC85" i="2"/>
  <c r="CI81" i="2"/>
  <c r="CK81" i="2"/>
  <c r="CM81" i="2"/>
  <c r="CO81" i="2"/>
  <c r="CW81" i="2"/>
  <c r="CY81" i="2"/>
  <c r="DA81" i="2"/>
  <c r="DC81" i="2"/>
  <c r="DE81" i="2"/>
  <c r="DE82" i="2"/>
  <c r="DE83" i="2"/>
  <c r="DE84" i="2"/>
  <c r="DE85" i="2"/>
  <c r="DF81" i="2"/>
  <c r="DF82" i="2"/>
  <c r="DG81" i="2"/>
  <c r="DH81" i="2"/>
  <c r="DK81" i="2"/>
  <c r="DM81" i="2"/>
  <c r="DO81" i="2"/>
  <c r="DQ81" i="2"/>
  <c r="DU81" i="2"/>
  <c r="DV81" i="2"/>
  <c r="DY81" i="2"/>
  <c r="EA81" i="2"/>
  <c r="EC81" i="2"/>
  <c r="EE81" i="2"/>
  <c r="EH81" i="2"/>
  <c r="F82" i="2"/>
  <c r="J82" i="2"/>
  <c r="T82" i="2"/>
  <c r="X82" i="2"/>
  <c r="X86" i="2"/>
  <c r="X90" i="2"/>
  <c r="Y82" i="2"/>
  <c r="AA82" i="2"/>
  <c r="AH82" i="2"/>
  <c r="AL82" i="2"/>
  <c r="AL86" i="2"/>
  <c r="AM82" i="2"/>
  <c r="AV82" i="2"/>
  <c r="AZ82" i="2"/>
  <c r="BU82" i="2"/>
  <c r="BW82" i="2"/>
  <c r="BY82" i="2"/>
  <c r="CA82" i="2"/>
  <c r="CI82" i="2"/>
  <c r="CK82" i="2"/>
  <c r="CM82" i="2"/>
  <c r="CO82" i="2"/>
  <c r="CW82" i="2"/>
  <c r="CY82" i="2"/>
  <c r="DA82" i="2"/>
  <c r="DC82" i="2"/>
  <c r="DK82" i="2"/>
  <c r="DM82" i="2"/>
  <c r="DO82" i="2"/>
  <c r="DQ82" i="2"/>
  <c r="DS82" i="2"/>
  <c r="DS83" i="2"/>
  <c r="DS84" i="2"/>
  <c r="DT82" i="2"/>
  <c r="DU82" i="2"/>
  <c r="DV82" i="2"/>
  <c r="DY82" i="2"/>
  <c r="EA82" i="2"/>
  <c r="EC82" i="2"/>
  <c r="EE82" i="2"/>
  <c r="F83" i="2"/>
  <c r="J83" i="2"/>
  <c r="J87" i="2"/>
  <c r="J91" i="2"/>
  <c r="J95" i="2"/>
  <c r="J99" i="2"/>
  <c r="T83" i="2"/>
  <c r="X83" i="2"/>
  <c r="AH83" i="2"/>
  <c r="AL83" i="2"/>
  <c r="AM83" i="2"/>
  <c r="AV83" i="2"/>
  <c r="AZ83" i="2"/>
  <c r="AZ87" i="2"/>
  <c r="AZ91" i="2"/>
  <c r="AZ95" i="2"/>
  <c r="AZ99" i="2"/>
  <c r="AZ103" i="2"/>
  <c r="AZ107" i="2"/>
  <c r="AZ111" i="2"/>
  <c r="BU83" i="2"/>
  <c r="BW83" i="2"/>
  <c r="BY83" i="2"/>
  <c r="CA83" i="2"/>
  <c r="CI83" i="2"/>
  <c r="CK83" i="2"/>
  <c r="CM83" i="2"/>
  <c r="CO83" i="2"/>
  <c r="CW83" i="2"/>
  <c r="CY83" i="2"/>
  <c r="DA83" i="2"/>
  <c r="DC83" i="2"/>
  <c r="DK83" i="2"/>
  <c r="DM83" i="2"/>
  <c r="DO83" i="2"/>
  <c r="DQ83" i="2"/>
  <c r="DT83" i="2"/>
  <c r="DT84" i="2"/>
  <c r="DT85" i="2"/>
  <c r="DU83" i="2"/>
  <c r="DV83" i="2"/>
  <c r="DY83" i="2"/>
  <c r="EA83" i="2"/>
  <c r="EC83" i="2"/>
  <c r="EE83" i="2"/>
  <c r="F84" i="2"/>
  <c r="J84" i="2"/>
  <c r="T84" i="2"/>
  <c r="X84" i="2"/>
  <c r="X88" i="2"/>
  <c r="X92" i="2"/>
  <c r="X96" i="2"/>
  <c r="X100" i="2"/>
  <c r="AH84" i="2"/>
  <c r="AL84" i="2"/>
  <c r="AL88" i="2"/>
  <c r="AL92" i="2"/>
  <c r="AL96" i="2"/>
  <c r="AL100" i="2"/>
  <c r="AL104" i="2"/>
  <c r="AL108" i="2"/>
  <c r="AL112" i="2"/>
  <c r="AV84" i="2"/>
  <c r="AZ84" i="2"/>
  <c r="BC84" i="2"/>
  <c r="BU84" i="2"/>
  <c r="BW84" i="2"/>
  <c r="BY84" i="2"/>
  <c r="CA84" i="2"/>
  <c r="CI84" i="2"/>
  <c r="CK84" i="2"/>
  <c r="CM84" i="2"/>
  <c r="CO84" i="2"/>
  <c r="CW84" i="2"/>
  <c r="CY84" i="2"/>
  <c r="DA84" i="2"/>
  <c r="DC84" i="2"/>
  <c r="DK84" i="2"/>
  <c r="DM84" i="2"/>
  <c r="DO84" i="2"/>
  <c r="DQ84" i="2"/>
  <c r="DU84" i="2"/>
  <c r="DV84" i="2"/>
  <c r="DY84" i="2"/>
  <c r="EA84" i="2"/>
  <c r="EC84" i="2"/>
  <c r="EE84" i="2"/>
  <c r="BU85" i="2"/>
  <c r="BW85" i="2"/>
  <c r="BY85" i="2"/>
  <c r="CA85" i="2"/>
  <c r="CI85" i="2"/>
  <c r="CK85" i="2"/>
  <c r="CM85" i="2"/>
  <c r="CO85" i="2"/>
  <c r="CQ85" i="2"/>
  <c r="CW85" i="2"/>
  <c r="CY85" i="2"/>
  <c r="DA85" i="2"/>
  <c r="DC85" i="2"/>
  <c r="DK85" i="2"/>
  <c r="DM85" i="2"/>
  <c r="DO85" i="2"/>
  <c r="DQ85" i="2"/>
  <c r="DS85" i="2"/>
  <c r="DY85" i="2"/>
  <c r="EA85" i="2"/>
  <c r="EC85" i="2"/>
  <c r="EE85" i="2"/>
  <c r="BU86" i="2"/>
  <c r="BU87" i="2"/>
  <c r="BW87" i="2"/>
  <c r="BY87" i="2"/>
  <c r="CA87" i="2"/>
  <c r="CC87" i="2"/>
  <c r="CD87" i="2"/>
  <c r="CE87" i="2"/>
  <c r="CF87" i="2"/>
  <c r="CI87" i="2"/>
  <c r="CK87" i="2"/>
  <c r="CM87" i="2"/>
  <c r="CO87" i="2"/>
  <c r="CQ87" i="2"/>
  <c r="CR87" i="2"/>
  <c r="CS87" i="2"/>
  <c r="CT87" i="2"/>
  <c r="CW87" i="2"/>
  <c r="CY87" i="2"/>
  <c r="DA87" i="2"/>
  <c r="DC87" i="2"/>
  <c r="DE87" i="2"/>
  <c r="DF87" i="2"/>
  <c r="DG87" i="2"/>
  <c r="DH87" i="2"/>
  <c r="DK87" i="2"/>
  <c r="DM87" i="2"/>
  <c r="DO87" i="2"/>
  <c r="DQ87" i="2"/>
  <c r="DS87" i="2"/>
  <c r="DT87" i="2"/>
  <c r="DU87" i="2"/>
  <c r="DV87" i="2"/>
  <c r="DY87" i="2"/>
  <c r="EA87" i="2"/>
  <c r="EC87" i="2"/>
  <c r="EE87" i="2"/>
  <c r="EG87" i="2"/>
  <c r="EH87" i="2"/>
  <c r="EI87" i="2"/>
  <c r="EJ87" i="2"/>
  <c r="BU88" i="2"/>
  <c r="BW88" i="2"/>
  <c r="BY88" i="2"/>
  <c r="CA88" i="2"/>
  <c r="CC88" i="2"/>
  <c r="CD88" i="2"/>
  <c r="CE88" i="2"/>
  <c r="CF88" i="2"/>
  <c r="CI88" i="2"/>
  <c r="CK88" i="2"/>
  <c r="CM88" i="2"/>
  <c r="CO88" i="2"/>
  <c r="CQ88" i="2"/>
  <c r="CR88" i="2"/>
  <c r="CS88" i="2"/>
  <c r="CT88" i="2"/>
  <c r="CW88" i="2"/>
  <c r="CY88" i="2"/>
  <c r="DA88" i="2"/>
  <c r="DC88" i="2"/>
  <c r="DE88" i="2"/>
  <c r="DF88" i="2"/>
  <c r="DG88" i="2"/>
  <c r="DH88" i="2"/>
  <c r="DK88" i="2"/>
  <c r="DM88" i="2"/>
  <c r="DO88" i="2"/>
  <c r="DQ88" i="2"/>
  <c r="DS88" i="2"/>
  <c r="DT88" i="2"/>
  <c r="DU88" i="2"/>
  <c r="DV88" i="2"/>
  <c r="DY88" i="2"/>
  <c r="EA88" i="2"/>
  <c r="EC88" i="2"/>
  <c r="EE88" i="2"/>
  <c r="EG88" i="2"/>
  <c r="EH88" i="2"/>
  <c r="EI88" i="2"/>
  <c r="EJ88" i="2"/>
  <c r="F89" i="2"/>
  <c r="J89" i="2"/>
  <c r="P89" i="2"/>
  <c r="T89" i="2"/>
  <c r="AD89" i="2"/>
  <c r="AH89" i="2"/>
  <c r="AR89" i="2"/>
  <c r="AV89" i="2"/>
  <c r="AZ89" i="2"/>
  <c r="AZ93" i="2"/>
  <c r="BA89" i="2"/>
  <c r="BA93" i="2"/>
  <c r="BB93" i="2"/>
  <c r="BF89" i="2"/>
  <c r="BU89" i="2"/>
  <c r="BW89" i="2"/>
  <c r="BY89" i="2"/>
  <c r="CA89" i="2"/>
  <c r="CC89" i="2"/>
  <c r="CD89" i="2"/>
  <c r="CE89" i="2"/>
  <c r="CF89" i="2"/>
  <c r="CI89" i="2"/>
  <c r="CK89" i="2"/>
  <c r="CM89" i="2"/>
  <c r="CO89" i="2"/>
  <c r="CQ89" i="2"/>
  <c r="CR89" i="2"/>
  <c r="CS89" i="2"/>
  <c r="CT89" i="2"/>
  <c r="CW89" i="2"/>
  <c r="CY89" i="2"/>
  <c r="DA89" i="2"/>
  <c r="DC89" i="2"/>
  <c r="DE89" i="2"/>
  <c r="DF89" i="2"/>
  <c r="DG89" i="2"/>
  <c r="DH89" i="2"/>
  <c r="DK89" i="2"/>
  <c r="DM89" i="2"/>
  <c r="DO89" i="2"/>
  <c r="DQ89" i="2"/>
  <c r="DS89" i="2"/>
  <c r="DT89" i="2"/>
  <c r="DU89" i="2"/>
  <c r="DV89" i="2"/>
  <c r="DY89" i="2"/>
  <c r="EA89" i="2"/>
  <c r="EC89" i="2"/>
  <c r="EE89" i="2"/>
  <c r="EG89" i="2"/>
  <c r="EH89" i="2"/>
  <c r="EI89" i="2"/>
  <c r="EJ89" i="2"/>
  <c r="F90" i="2"/>
  <c r="T90" i="2"/>
  <c r="AH90" i="2"/>
  <c r="AL90" i="2"/>
  <c r="AL94" i="2"/>
  <c r="AL98" i="2"/>
  <c r="AL102" i="2"/>
  <c r="AL106" i="2"/>
  <c r="AL110" i="2"/>
  <c r="AV90" i="2"/>
  <c r="AZ90" i="2"/>
  <c r="AZ94" i="2"/>
  <c r="BU90" i="2"/>
  <c r="BW90" i="2"/>
  <c r="BY90" i="2"/>
  <c r="CA90" i="2"/>
  <c r="CC90" i="2"/>
  <c r="CD90" i="2"/>
  <c r="CE90" i="2"/>
  <c r="CF90" i="2"/>
  <c r="CI90" i="2"/>
  <c r="CK90" i="2"/>
  <c r="CM90" i="2"/>
  <c r="CO90" i="2"/>
  <c r="CQ90" i="2"/>
  <c r="CR90" i="2"/>
  <c r="CS90" i="2"/>
  <c r="CT90" i="2"/>
  <c r="CW90" i="2"/>
  <c r="CY90" i="2"/>
  <c r="DA90" i="2"/>
  <c r="DC90" i="2"/>
  <c r="DE90" i="2"/>
  <c r="DF90" i="2"/>
  <c r="DG90" i="2"/>
  <c r="DH90" i="2"/>
  <c r="DK90" i="2"/>
  <c r="DM90" i="2"/>
  <c r="DO90" i="2"/>
  <c r="DQ90" i="2"/>
  <c r="DS90" i="2"/>
  <c r="DT90" i="2"/>
  <c r="DU90" i="2"/>
  <c r="DV90" i="2"/>
  <c r="DY90" i="2"/>
  <c r="EA90" i="2"/>
  <c r="EC90" i="2"/>
  <c r="EE90" i="2"/>
  <c r="EG90" i="2"/>
  <c r="EH90" i="2"/>
  <c r="EI90" i="2"/>
  <c r="EJ90" i="2"/>
  <c r="F91" i="2"/>
  <c r="T91" i="2"/>
  <c r="AH91" i="2"/>
  <c r="AO91" i="2"/>
  <c r="AV91" i="2"/>
  <c r="CC91" i="2"/>
  <c r="CF91" i="2"/>
  <c r="CQ91" i="2"/>
  <c r="CT91" i="2"/>
  <c r="DE91" i="2"/>
  <c r="DH91" i="2"/>
  <c r="DS91" i="2"/>
  <c r="DV91" i="2"/>
  <c r="EG91" i="2"/>
  <c r="EJ91" i="2"/>
  <c r="F92" i="2"/>
  <c r="T92" i="2"/>
  <c r="AH92" i="2"/>
  <c r="AV92" i="2"/>
  <c r="AZ92" i="2"/>
  <c r="AZ96" i="2"/>
  <c r="AZ100" i="2"/>
  <c r="AZ104" i="2"/>
  <c r="AZ108" i="2"/>
  <c r="AZ112" i="2"/>
  <c r="BW92" i="2"/>
  <c r="BY92" i="2"/>
  <c r="CA92" i="2"/>
  <c r="CC92" i="2"/>
  <c r="CD92" i="2"/>
  <c r="CE92" i="2"/>
  <c r="CF92" i="2"/>
  <c r="CK92" i="2"/>
  <c r="CM92" i="2"/>
  <c r="CO92" i="2"/>
  <c r="CQ92" i="2"/>
  <c r="CR92" i="2"/>
  <c r="CS92" i="2"/>
  <c r="CT92" i="2"/>
  <c r="CY92" i="2"/>
  <c r="DA92" i="2"/>
  <c r="DC92" i="2"/>
  <c r="DE92" i="2"/>
  <c r="DF92" i="2"/>
  <c r="DG92" i="2"/>
  <c r="DH92" i="2"/>
  <c r="DM92" i="2"/>
  <c r="DO92" i="2"/>
  <c r="DQ92" i="2"/>
  <c r="DS92" i="2"/>
  <c r="DT92" i="2"/>
  <c r="DU92" i="2"/>
  <c r="DV92" i="2"/>
  <c r="EA92" i="2"/>
  <c r="EC92" i="2"/>
  <c r="EE92" i="2"/>
  <c r="EG92" i="2"/>
  <c r="EH92" i="2"/>
  <c r="EI92" i="2"/>
  <c r="EJ92" i="2"/>
  <c r="F93" i="2"/>
  <c r="J93" i="2"/>
  <c r="J97" i="2"/>
  <c r="J101" i="2"/>
  <c r="J105" i="2"/>
  <c r="J109" i="2"/>
  <c r="P93" i="2"/>
  <c r="T93" i="2"/>
  <c r="AD93" i="2"/>
  <c r="AH93" i="2"/>
  <c r="AR93" i="2"/>
  <c r="AV93" i="2"/>
  <c r="BF93" i="2"/>
  <c r="BW93" i="2"/>
  <c r="BY93" i="2"/>
  <c r="CA93" i="2"/>
  <c r="CC93" i="2"/>
  <c r="CD93" i="2"/>
  <c r="CE93" i="2"/>
  <c r="CF93" i="2"/>
  <c r="CK93" i="2"/>
  <c r="CM93" i="2"/>
  <c r="CO93" i="2"/>
  <c r="CQ93" i="2"/>
  <c r="CR93" i="2"/>
  <c r="CS93" i="2"/>
  <c r="CT93" i="2"/>
  <c r="CY93" i="2"/>
  <c r="DA93" i="2"/>
  <c r="DC93" i="2"/>
  <c r="DE93" i="2"/>
  <c r="DF93" i="2"/>
  <c r="DG93" i="2"/>
  <c r="DH93" i="2"/>
  <c r="DM93" i="2"/>
  <c r="DO93" i="2"/>
  <c r="DQ93" i="2"/>
  <c r="DS93" i="2"/>
  <c r="DT93" i="2"/>
  <c r="DU93" i="2"/>
  <c r="DV93" i="2"/>
  <c r="EA93" i="2"/>
  <c r="EC93" i="2"/>
  <c r="EE93" i="2"/>
  <c r="EG93" i="2"/>
  <c r="EH93" i="2"/>
  <c r="EI93" i="2"/>
  <c r="EJ93" i="2"/>
  <c r="F94" i="2"/>
  <c r="J94" i="2"/>
  <c r="J98" i="2"/>
  <c r="J102" i="2"/>
  <c r="J106" i="2"/>
  <c r="T94" i="2"/>
  <c r="X94" i="2"/>
  <c r="X98" i="2"/>
  <c r="X102" i="2"/>
  <c r="X106" i="2"/>
  <c r="X110" i="2"/>
  <c r="AH94" i="2"/>
  <c r="AV94" i="2"/>
  <c r="BW94" i="2"/>
  <c r="BY94" i="2"/>
  <c r="CA94" i="2"/>
  <c r="CC94" i="2"/>
  <c r="CD94" i="2"/>
  <c r="CE94" i="2"/>
  <c r="CF94" i="2"/>
  <c r="CK94" i="2"/>
  <c r="CM94" i="2"/>
  <c r="CO94" i="2"/>
  <c r="CQ94" i="2"/>
  <c r="CR94" i="2"/>
  <c r="CS94" i="2"/>
  <c r="CT94" i="2"/>
  <c r="CY94" i="2"/>
  <c r="DA94" i="2"/>
  <c r="DC94" i="2"/>
  <c r="DE94" i="2"/>
  <c r="DF94" i="2"/>
  <c r="DG94" i="2"/>
  <c r="DH94" i="2"/>
  <c r="DM94" i="2"/>
  <c r="DO94" i="2"/>
  <c r="DQ94" i="2"/>
  <c r="DS94" i="2"/>
  <c r="DT94" i="2"/>
  <c r="DU94" i="2"/>
  <c r="DV94" i="2"/>
  <c r="EA94" i="2"/>
  <c r="EC94" i="2"/>
  <c r="EE94" i="2"/>
  <c r="EG94" i="2"/>
  <c r="EH94" i="2"/>
  <c r="EI94" i="2"/>
  <c r="EJ94" i="2"/>
  <c r="F95" i="2"/>
  <c r="T95" i="2"/>
  <c r="AH95" i="2"/>
  <c r="AV95" i="2"/>
  <c r="BW95" i="2"/>
  <c r="BY95" i="2"/>
  <c r="CA95" i="2"/>
  <c r="CC95" i="2"/>
  <c r="CD95" i="2"/>
  <c r="CE95" i="2"/>
  <c r="CF95" i="2"/>
  <c r="CK95" i="2"/>
  <c r="CM95" i="2"/>
  <c r="CO95" i="2"/>
  <c r="CQ95" i="2"/>
  <c r="CR95" i="2"/>
  <c r="CS95" i="2"/>
  <c r="CT95" i="2"/>
  <c r="CY95" i="2"/>
  <c r="DA95" i="2"/>
  <c r="DC95" i="2"/>
  <c r="DE95" i="2"/>
  <c r="DF95" i="2"/>
  <c r="DG95" i="2"/>
  <c r="DH95" i="2"/>
  <c r="DM95" i="2"/>
  <c r="DO95" i="2"/>
  <c r="DQ95" i="2"/>
  <c r="DS95" i="2"/>
  <c r="DT95" i="2"/>
  <c r="DU95" i="2"/>
  <c r="DV95" i="2"/>
  <c r="EA95" i="2"/>
  <c r="EC95" i="2"/>
  <c r="EE95" i="2"/>
  <c r="EG95" i="2"/>
  <c r="EH95" i="2"/>
  <c r="EI95" i="2"/>
  <c r="EJ95" i="2"/>
  <c r="F96" i="2"/>
  <c r="T96" i="2"/>
  <c r="AH96" i="2"/>
  <c r="AV96" i="2"/>
  <c r="BW96" i="2"/>
  <c r="BY96" i="2"/>
  <c r="CA96" i="2"/>
  <c r="CC96" i="2"/>
  <c r="CD96" i="2"/>
  <c r="CE96" i="2"/>
  <c r="CF96" i="2"/>
  <c r="CK96" i="2"/>
  <c r="CM96" i="2"/>
  <c r="CO96" i="2"/>
  <c r="CQ96" i="2"/>
  <c r="CR96" i="2"/>
  <c r="CS96" i="2"/>
  <c r="CT96" i="2"/>
  <c r="CY96" i="2"/>
  <c r="DA96" i="2"/>
  <c r="DC96" i="2"/>
  <c r="DE96" i="2"/>
  <c r="DF96" i="2"/>
  <c r="DG96" i="2"/>
  <c r="DH96" i="2"/>
  <c r="DM96" i="2"/>
  <c r="DO96" i="2"/>
  <c r="DQ96" i="2"/>
  <c r="DS96" i="2"/>
  <c r="DT96" i="2"/>
  <c r="DU96" i="2"/>
  <c r="DV96" i="2"/>
  <c r="EA96" i="2"/>
  <c r="EC96" i="2"/>
  <c r="EE96" i="2"/>
  <c r="EG96" i="2"/>
  <c r="EH96" i="2"/>
  <c r="EI96" i="2"/>
  <c r="EJ96" i="2"/>
  <c r="F97" i="2"/>
  <c r="P97" i="2"/>
  <c r="T97" i="2"/>
  <c r="X97" i="2"/>
  <c r="X101" i="2"/>
  <c r="X105" i="2"/>
  <c r="X109" i="2"/>
  <c r="AD97" i="2"/>
  <c r="AH97" i="2"/>
  <c r="AL97" i="2"/>
  <c r="AL101" i="2"/>
  <c r="AR97" i="2"/>
  <c r="AV97" i="2"/>
  <c r="BF97" i="2"/>
  <c r="BW97" i="2"/>
  <c r="BY97" i="2"/>
  <c r="CA97" i="2"/>
  <c r="CC97" i="2"/>
  <c r="CD97" i="2"/>
  <c r="CE97" i="2"/>
  <c r="CF97" i="2"/>
  <c r="CK97" i="2"/>
  <c r="CM97" i="2"/>
  <c r="CO97" i="2"/>
  <c r="CQ97" i="2"/>
  <c r="CR97" i="2"/>
  <c r="CS97" i="2"/>
  <c r="CT97" i="2"/>
  <c r="CY97" i="2"/>
  <c r="DA97" i="2"/>
  <c r="DC97" i="2"/>
  <c r="DE97" i="2"/>
  <c r="DF97" i="2"/>
  <c r="DG97" i="2"/>
  <c r="DH97" i="2"/>
  <c r="DM97" i="2"/>
  <c r="DO97" i="2"/>
  <c r="DQ97" i="2"/>
  <c r="DS97" i="2"/>
  <c r="DT97" i="2"/>
  <c r="DU97" i="2"/>
  <c r="DV97" i="2"/>
  <c r="EA97" i="2"/>
  <c r="EC97" i="2"/>
  <c r="EE97" i="2"/>
  <c r="EG97" i="2"/>
  <c r="EH97" i="2"/>
  <c r="EI97" i="2"/>
  <c r="EJ97" i="2"/>
  <c r="F98" i="2"/>
  <c r="T98" i="2"/>
  <c r="AH98" i="2"/>
  <c r="AV98" i="2"/>
  <c r="AZ98" i="2"/>
  <c r="AZ102" i="2"/>
  <c r="AZ106" i="2"/>
  <c r="AZ110" i="2"/>
  <c r="BW98" i="2"/>
  <c r="BY98" i="2"/>
  <c r="CA98" i="2"/>
  <c r="CC98" i="2"/>
  <c r="CE98" i="2"/>
  <c r="CF98" i="2"/>
  <c r="CK98" i="2"/>
  <c r="CM98" i="2"/>
  <c r="CO98" i="2"/>
  <c r="CQ98" i="2"/>
  <c r="CS98" i="2"/>
  <c r="CT98" i="2"/>
  <c r="CY98" i="2"/>
  <c r="DA98" i="2"/>
  <c r="DC98" i="2"/>
  <c r="DE98" i="2"/>
  <c r="DG98" i="2"/>
  <c r="DH98" i="2"/>
  <c r="DM98" i="2"/>
  <c r="DO98" i="2"/>
  <c r="DQ98" i="2"/>
  <c r="DS98" i="2"/>
  <c r="DU98" i="2"/>
  <c r="DV98" i="2"/>
  <c r="EA98" i="2"/>
  <c r="EC98" i="2"/>
  <c r="EE98" i="2"/>
  <c r="EG98" i="2"/>
  <c r="EI98" i="2"/>
  <c r="EJ98" i="2"/>
  <c r="F99" i="2"/>
  <c r="T99" i="2"/>
  <c r="X99" i="2"/>
  <c r="AH99" i="2"/>
  <c r="AV99" i="2"/>
  <c r="BW99" i="2"/>
  <c r="BY99" i="2"/>
  <c r="CA99" i="2"/>
  <c r="CC99" i="2"/>
  <c r="CE99" i="2"/>
  <c r="CF99" i="2"/>
  <c r="CK99" i="2"/>
  <c r="CM99" i="2"/>
  <c r="CO99" i="2"/>
  <c r="CQ99" i="2"/>
  <c r="CS99" i="2"/>
  <c r="CT99" i="2"/>
  <c r="CY99" i="2"/>
  <c r="DA99" i="2"/>
  <c r="DC99" i="2"/>
  <c r="DE99" i="2"/>
  <c r="DG99" i="2"/>
  <c r="DH99" i="2"/>
  <c r="DM99" i="2"/>
  <c r="DO99" i="2"/>
  <c r="DQ99" i="2"/>
  <c r="DS99" i="2"/>
  <c r="DU99" i="2"/>
  <c r="DV99" i="2"/>
  <c r="EA99" i="2"/>
  <c r="EC99" i="2"/>
  <c r="EE99" i="2"/>
  <c r="EG99" i="2"/>
  <c r="EI99" i="2"/>
  <c r="EJ99" i="2"/>
  <c r="F100" i="2"/>
  <c r="T100" i="2"/>
  <c r="AH100" i="2"/>
  <c r="AV100" i="2"/>
  <c r="BW100" i="2"/>
  <c r="BW133" i="2"/>
  <c r="CA100" i="2"/>
  <c r="CC100" i="2"/>
  <c r="CE100" i="2"/>
  <c r="CF100" i="2"/>
  <c r="CK100" i="2"/>
  <c r="CO100" i="2"/>
  <c r="CQ100" i="2"/>
  <c r="CS100" i="2"/>
  <c r="CT100" i="2"/>
  <c r="CY100" i="2"/>
  <c r="DC100" i="2"/>
  <c r="DE100" i="2"/>
  <c r="DG100" i="2"/>
  <c r="DH100" i="2"/>
  <c r="DM100" i="2"/>
  <c r="DQ100" i="2"/>
  <c r="DS100" i="2"/>
  <c r="DU100" i="2"/>
  <c r="DV100" i="2"/>
  <c r="EA100" i="2"/>
  <c r="EE100" i="2"/>
  <c r="EG100" i="2"/>
  <c r="EI100" i="2"/>
  <c r="EJ100" i="2"/>
  <c r="F101" i="2"/>
  <c r="P101" i="2"/>
  <c r="T101" i="2"/>
  <c r="AD101" i="2"/>
  <c r="AH101" i="2"/>
  <c r="AR101" i="2"/>
  <c r="AV101" i="2"/>
  <c r="BF101" i="2"/>
  <c r="BW101" i="2"/>
  <c r="BY101" i="2"/>
  <c r="CA101" i="2"/>
  <c r="CE101" i="2"/>
  <c r="CF101" i="2"/>
  <c r="CK101" i="2"/>
  <c r="CM101" i="2"/>
  <c r="CO101" i="2"/>
  <c r="CS101" i="2"/>
  <c r="CT101" i="2"/>
  <c r="CY101" i="2"/>
  <c r="DA101" i="2"/>
  <c r="DC101" i="2"/>
  <c r="DG101" i="2"/>
  <c r="DH101" i="2"/>
  <c r="DM101" i="2"/>
  <c r="DO101" i="2"/>
  <c r="DQ101" i="2"/>
  <c r="DU101" i="2"/>
  <c r="DV101" i="2"/>
  <c r="EA101" i="2"/>
  <c r="EC101" i="2"/>
  <c r="EE101" i="2"/>
  <c r="EI101" i="2"/>
  <c r="EJ101" i="2"/>
  <c r="F102" i="2"/>
  <c r="P102" i="2"/>
  <c r="T102" i="2"/>
  <c r="AD102" i="2"/>
  <c r="AH102" i="2"/>
  <c r="AR102" i="2"/>
  <c r="AV102" i="2"/>
  <c r="BF102" i="2"/>
  <c r="BW102" i="2"/>
  <c r="BY102" i="2"/>
  <c r="CA102" i="2"/>
  <c r="CE102" i="2"/>
  <c r="CF102" i="2"/>
  <c r="CK102" i="2"/>
  <c r="CM102" i="2"/>
  <c r="CO102" i="2"/>
  <c r="CS102" i="2"/>
  <c r="CT102" i="2"/>
  <c r="CY102" i="2"/>
  <c r="DA102" i="2"/>
  <c r="DC102" i="2"/>
  <c r="DG102" i="2"/>
  <c r="DH102" i="2"/>
  <c r="DM102" i="2"/>
  <c r="DO102" i="2"/>
  <c r="DQ102" i="2"/>
  <c r="DU102" i="2"/>
  <c r="DV102" i="2"/>
  <c r="EA102" i="2"/>
  <c r="EC102" i="2"/>
  <c r="EE102" i="2"/>
  <c r="EI102" i="2"/>
  <c r="EJ102" i="2"/>
  <c r="F103" i="2"/>
  <c r="J103" i="2"/>
  <c r="J107" i="2"/>
  <c r="J111" i="2"/>
  <c r="T103" i="2"/>
  <c r="X103" i="2"/>
  <c r="X107" i="2"/>
  <c r="X111" i="2"/>
  <c r="AH103" i="2"/>
  <c r="AV103" i="2"/>
  <c r="BW103" i="2"/>
  <c r="CA103" i="2"/>
  <c r="CE103" i="2"/>
  <c r="CF103" i="2"/>
  <c r="CK103" i="2"/>
  <c r="CO103" i="2"/>
  <c r="CS103" i="2"/>
  <c r="CT103" i="2"/>
  <c r="CY103" i="2"/>
  <c r="DC103" i="2"/>
  <c r="DG103" i="2"/>
  <c r="DH103" i="2"/>
  <c r="DM103" i="2"/>
  <c r="DQ103" i="2"/>
  <c r="DU103" i="2"/>
  <c r="DV103" i="2"/>
  <c r="EA103" i="2"/>
  <c r="EE103" i="2"/>
  <c r="EI103" i="2"/>
  <c r="EJ103" i="2"/>
  <c r="F104" i="2"/>
  <c r="T104" i="2"/>
  <c r="X104" i="2"/>
  <c r="X108" i="2"/>
  <c r="X112" i="2"/>
  <c r="AH104" i="2"/>
  <c r="AV104" i="2"/>
  <c r="BW104" i="2"/>
  <c r="CA104" i="2"/>
  <c r="CE104" i="2"/>
  <c r="CF104" i="2"/>
  <c r="CK104" i="2"/>
  <c r="CO104" i="2"/>
  <c r="CS104" i="2"/>
  <c r="CT104" i="2"/>
  <c r="CY104" i="2"/>
  <c r="DC104" i="2"/>
  <c r="DG104" i="2"/>
  <c r="DH104" i="2"/>
  <c r="DM104" i="2"/>
  <c r="DQ104" i="2"/>
  <c r="DU104" i="2"/>
  <c r="DV104" i="2"/>
  <c r="EA104" i="2"/>
  <c r="EE104" i="2"/>
  <c r="EI104" i="2"/>
  <c r="EJ104" i="2"/>
  <c r="B105" i="2"/>
  <c r="F105" i="2"/>
  <c r="P105" i="2"/>
  <c r="T105" i="2"/>
  <c r="AD105" i="2"/>
  <c r="AH105" i="2"/>
  <c r="AR105" i="2"/>
  <c r="AV105" i="2"/>
  <c r="AZ105" i="2"/>
  <c r="AZ109" i="2"/>
  <c r="BF105" i="2"/>
  <c r="BW105" i="2"/>
  <c r="CA105" i="2"/>
  <c r="CE105" i="2"/>
  <c r="CF105" i="2"/>
  <c r="CK105" i="2"/>
  <c r="CO105" i="2"/>
  <c r="CS105" i="2"/>
  <c r="CT105" i="2"/>
  <c r="CY105" i="2"/>
  <c r="DC105" i="2"/>
  <c r="DG105" i="2"/>
  <c r="DH105" i="2"/>
  <c r="DM105" i="2"/>
  <c r="DQ105" i="2"/>
  <c r="DU105" i="2"/>
  <c r="DV105" i="2"/>
  <c r="EA105" i="2"/>
  <c r="EE105" i="2"/>
  <c r="EI105" i="2"/>
  <c r="EJ105" i="2"/>
  <c r="F106" i="2"/>
  <c r="T106" i="2"/>
  <c r="AH106" i="2"/>
  <c r="AV106" i="2"/>
  <c r="BW106" i="2"/>
  <c r="CA106" i="2"/>
  <c r="CE106" i="2"/>
  <c r="CF106" i="2"/>
  <c r="CK106" i="2"/>
  <c r="CO106" i="2"/>
  <c r="CS106" i="2"/>
  <c r="CT106" i="2"/>
  <c r="CY106" i="2"/>
  <c r="DC106" i="2"/>
  <c r="DG106" i="2"/>
  <c r="DH106" i="2"/>
  <c r="DM106" i="2"/>
  <c r="DQ106" i="2"/>
  <c r="DU106" i="2"/>
  <c r="DV106" i="2"/>
  <c r="EA106" i="2"/>
  <c r="EE106" i="2"/>
  <c r="EI106" i="2"/>
  <c r="EJ106" i="2"/>
  <c r="F107" i="2"/>
  <c r="T107" i="2"/>
  <c r="AH107" i="2"/>
  <c r="AL107" i="2"/>
  <c r="AL111" i="2"/>
  <c r="AV107" i="2"/>
  <c r="BW107" i="2"/>
  <c r="CA107" i="2"/>
  <c r="CE107" i="2"/>
  <c r="CF107" i="2"/>
  <c r="CK107" i="2"/>
  <c r="CO107" i="2"/>
  <c r="CS107" i="2"/>
  <c r="CT107" i="2"/>
  <c r="CY107" i="2"/>
  <c r="DC107" i="2"/>
  <c r="DG107" i="2"/>
  <c r="DH107" i="2"/>
  <c r="DM107" i="2"/>
  <c r="DQ107" i="2"/>
  <c r="DU107" i="2"/>
  <c r="DV107" i="2"/>
  <c r="EA107" i="2"/>
  <c r="EE107" i="2"/>
  <c r="EI107" i="2"/>
  <c r="EJ107" i="2"/>
  <c r="F108" i="2"/>
  <c r="T108" i="2"/>
  <c r="AH108" i="2"/>
  <c r="AV108" i="2"/>
  <c r="BW108" i="2"/>
  <c r="CA108" i="2"/>
  <c r="CE108" i="2"/>
  <c r="CF108" i="2"/>
  <c r="CK108" i="2"/>
  <c r="CO108" i="2"/>
  <c r="CS108" i="2"/>
  <c r="CT108" i="2"/>
  <c r="CY108" i="2"/>
  <c r="DC108" i="2"/>
  <c r="DG108" i="2"/>
  <c r="DH108" i="2"/>
  <c r="DM108" i="2"/>
  <c r="DQ108" i="2"/>
  <c r="DU108" i="2"/>
  <c r="DV108" i="2"/>
  <c r="EA108" i="2"/>
  <c r="EE108" i="2"/>
  <c r="EI108" i="2"/>
  <c r="EJ108" i="2"/>
  <c r="F109" i="2"/>
  <c r="P109" i="2"/>
  <c r="T109" i="2"/>
  <c r="AD109" i="2"/>
  <c r="AH109" i="2"/>
  <c r="AL109" i="2"/>
  <c r="AR109" i="2"/>
  <c r="AV109" i="2"/>
  <c r="BF109" i="2"/>
  <c r="BW109" i="2"/>
  <c r="CA109" i="2"/>
  <c r="CE109" i="2"/>
  <c r="CF109" i="2"/>
  <c r="CK109" i="2"/>
  <c r="CO109" i="2"/>
  <c r="CS109" i="2"/>
  <c r="CT109" i="2"/>
  <c r="CY109" i="2"/>
  <c r="DC109" i="2"/>
  <c r="DG109" i="2"/>
  <c r="DH109" i="2"/>
  <c r="DM109" i="2"/>
  <c r="DQ109" i="2"/>
  <c r="DU109" i="2"/>
  <c r="DV109" i="2"/>
  <c r="EA109" i="2"/>
  <c r="EE109" i="2"/>
  <c r="EI109" i="2"/>
  <c r="EJ109" i="2"/>
  <c r="F110" i="2"/>
  <c r="J110" i="2"/>
  <c r="T110" i="2"/>
  <c r="AH110" i="2"/>
  <c r="AV110" i="2"/>
  <c r="BW110" i="2"/>
  <c r="CA110" i="2"/>
  <c r="CE110" i="2"/>
  <c r="CF110" i="2"/>
  <c r="CK110" i="2"/>
  <c r="CO110" i="2"/>
  <c r="CS110" i="2"/>
  <c r="CT110" i="2"/>
  <c r="CY110" i="2"/>
  <c r="DC110" i="2"/>
  <c r="DG110" i="2"/>
  <c r="DH110" i="2"/>
  <c r="DM110" i="2"/>
  <c r="DQ110" i="2"/>
  <c r="DU110" i="2"/>
  <c r="DV110" i="2"/>
  <c r="EA110" i="2"/>
  <c r="EE110" i="2"/>
  <c r="EI110" i="2"/>
  <c r="EJ110" i="2"/>
  <c r="F111" i="2"/>
  <c r="T111" i="2"/>
  <c r="AH111" i="2"/>
  <c r="AV111" i="2"/>
  <c r="BW111" i="2"/>
  <c r="CA111" i="2"/>
  <c r="CE111" i="2"/>
  <c r="CF111" i="2"/>
  <c r="CK111" i="2"/>
  <c r="CO111" i="2"/>
  <c r="CS111" i="2"/>
  <c r="CT111" i="2"/>
  <c r="CY111" i="2"/>
  <c r="DC111" i="2"/>
  <c r="DG111" i="2"/>
  <c r="DH111" i="2"/>
  <c r="DM111" i="2"/>
  <c r="DQ111" i="2"/>
  <c r="DU111" i="2"/>
  <c r="DV111" i="2"/>
  <c r="EA111" i="2"/>
  <c r="EE111" i="2"/>
  <c r="EI111" i="2"/>
  <c r="EJ111" i="2"/>
  <c r="F112" i="2"/>
  <c r="T112" i="2"/>
  <c r="AH112" i="2"/>
  <c r="AV112" i="2"/>
  <c r="BW112" i="2"/>
  <c r="CA112" i="2"/>
  <c r="CE112" i="2"/>
  <c r="CF112" i="2"/>
  <c r="CK112" i="2"/>
  <c r="CO112" i="2"/>
  <c r="CS112" i="2"/>
  <c r="CT112" i="2"/>
  <c r="CY112" i="2"/>
  <c r="DC112" i="2"/>
  <c r="DG112" i="2"/>
  <c r="DH112" i="2"/>
  <c r="DM112" i="2"/>
  <c r="DQ112" i="2"/>
  <c r="DU112" i="2"/>
  <c r="DV112" i="2"/>
  <c r="EA112" i="2"/>
  <c r="EE112" i="2"/>
  <c r="EI112" i="2"/>
  <c r="EJ112" i="2"/>
  <c r="BW113" i="2"/>
  <c r="CA113" i="2"/>
  <c r="CE113" i="2"/>
  <c r="CF113" i="2"/>
  <c r="CK113" i="2"/>
  <c r="CO113" i="2"/>
  <c r="CS113" i="2"/>
  <c r="CT113" i="2"/>
  <c r="CY113" i="2"/>
  <c r="DC113" i="2"/>
  <c r="DG113" i="2"/>
  <c r="DH113" i="2"/>
  <c r="DM113" i="2"/>
  <c r="DQ113" i="2"/>
  <c r="DU113" i="2"/>
  <c r="DV113" i="2"/>
  <c r="EA113" i="2"/>
  <c r="EE113" i="2"/>
  <c r="EI113" i="2"/>
  <c r="EJ113" i="2"/>
  <c r="BW114" i="2"/>
  <c r="CA114" i="2"/>
  <c r="CE114" i="2"/>
  <c r="CF114" i="2"/>
  <c r="CK114" i="2"/>
  <c r="CO114" i="2"/>
  <c r="CS114" i="2"/>
  <c r="CT114" i="2"/>
  <c r="CY114" i="2"/>
  <c r="DC114" i="2"/>
  <c r="DG114" i="2"/>
  <c r="DH114" i="2"/>
  <c r="DM114" i="2"/>
  <c r="DQ114" i="2"/>
  <c r="DU114" i="2"/>
  <c r="DV114" i="2"/>
  <c r="EA114" i="2"/>
  <c r="EE114" i="2"/>
  <c r="EI114" i="2"/>
  <c r="EJ114" i="2"/>
  <c r="BW115" i="2"/>
  <c r="CA115" i="2"/>
  <c r="CE115" i="2"/>
  <c r="CF115" i="2"/>
  <c r="CK115" i="2"/>
  <c r="CO115" i="2"/>
  <c r="CS115" i="2"/>
  <c r="CT115" i="2"/>
  <c r="CY115" i="2"/>
  <c r="DC115" i="2"/>
  <c r="DG115" i="2"/>
  <c r="DH115" i="2"/>
  <c r="DM115" i="2"/>
  <c r="DQ115" i="2"/>
  <c r="DU115" i="2"/>
  <c r="DV115" i="2"/>
  <c r="EA115" i="2"/>
  <c r="EE115" i="2"/>
  <c r="EI115" i="2"/>
  <c r="EJ115" i="2"/>
  <c r="BW116" i="2"/>
  <c r="CA116" i="2"/>
  <c r="CE116" i="2"/>
  <c r="CF116" i="2"/>
  <c r="CK116" i="2"/>
  <c r="CO116" i="2"/>
  <c r="CS116" i="2"/>
  <c r="CT116" i="2"/>
  <c r="CY116" i="2"/>
  <c r="DC116" i="2"/>
  <c r="DG116" i="2"/>
  <c r="DH116" i="2"/>
  <c r="DM116" i="2"/>
  <c r="DQ116" i="2"/>
  <c r="DU116" i="2"/>
  <c r="DV116" i="2"/>
  <c r="EA116" i="2"/>
  <c r="EE116" i="2"/>
  <c r="EI116" i="2"/>
  <c r="EJ116" i="2"/>
  <c r="B117" i="2"/>
  <c r="F117" i="2"/>
  <c r="J117" i="2"/>
  <c r="P117" i="2"/>
  <c r="T117" i="2"/>
  <c r="X117" i="2"/>
  <c r="Y117" i="2"/>
  <c r="AA117" i="2"/>
  <c r="AD117" i="2"/>
  <c r="AH117" i="2"/>
  <c r="AR117" i="2"/>
  <c r="AV117" i="2"/>
  <c r="AZ117" i="2"/>
  <c r="BA117" i="2"/>
  <c r="BC117" i="2"/>
  <c r="BF117" i="2"/>
  <c r="BW117" i="2"/>
  <c r="CA117" i="2"/>
  <c r="CE117" i="2"/>
  <c r="CF117" i="2"/>
  <c r="CK117" i="2"/>
  <c r="CO117" i="2"/>
  <c r="CS117" i="2"/>
  <c r="CT117" i="2"/>
  <c r="CY117" i="2"/>
  <c r="DC117" i="2"/>
  <c r="DG117" i="2"/>
  <c r="DH117" i="2"/>
  <c r="DM117" i="2"/>
  <c r="DQ117" i="2"/>
  <c r="DU117" i="2"/>
  <c r="DV117" i="2"/>
  <c r="EA117" i="2"/>
  <c r="EE117" i="2"/>
  <c r="EI117" i="2"/>
  <c r="EJ117" i="2"/>
  <c r="F118" i="2"/>
  <c r="J118" i="2"/>
  <c r="T118" i="2"/>
  <c r="X118" i="2"/>
  <c r="Y118" i="2"/>
  <c r="AH118" i="2"/>
  <c r="AV118" i="2"/>
  <c r="AZ118" i="2"/>
  <c r="BA118" i="2"/>
  <c r="BW118" i="2"/>
  <c r="CA118" i="2"/>
  <c r="CE118" i="2"/>
  <c r="CF118" i="2"/>
  <c r="CK118" i="2"/>
  <c r="CO118" i="2"/>
  <c r="CS118" i="2"/>
  <c r="CT118" i="2"/>
  <c r="CY118" i="2"/>
  <c r="DC118" i="2"/>
  <c r="DG118" i="2"/>
  <c r="DH118" i="2"/>
  <c r="DM118" i="2"/>
  <c r="DQ118" i="2"/>
  <c r="DU118" i="2"/>
  <c r="DV118" i="2"/>
  <c r="EA118" i="2"/>
  <c r="EE118" i="2"/>
  <c r="EI118" i="2"/>
  <c r="EJ118" i="2"/>
  <c r="F119" i="2"/>
  <c r="J119" i="2"/>
  <c r="T119" i="2"/>
  <c r="X119" i="2"/>
  <c r="AA119" i="2"/>
  <c r="AH119" i="2"/>
  <c r="AL119" i="2"/>
  <c r="AV119" i="2"/>
  <c r="AZ119" i="2"/>
  <c r="BW119" i="2"/>
  <c r="CA119" i="2"/>
  <c r="CE119" i="2"/>
  <c r="CF119" i="2"/>
  <c r="CK119" i="2"/>
  <c r="CO119" i="2"/>
  <c r="CS119" i="2"/>
  <c r="CT119" i="2"/>
  <c r="CY119" i="2"/>
  <c r="DC119" i="2"/>
  <c r="DG119" i="2"/>
  <c r="DH119" i="2"/>
  <c r="DM119" i="2"/>
  <c r="DQ119" i="2"/>
  <c r="DU119" i="2"/>
  <c r="DV119" i="2"/>
  <c r="EA119" i="2"/>
  <c r="EE119" i="2"/>
  <c r="EI119" i="2"/>
  <c r="EJ119" i="2"/>
  <c r="F120" i="2"/>
  <c r="J120" i="2"/>
  <c r="T120" i="2"/>
  <c r="X120" i="2"/>
  <c r="AH120" i="2"/>
  <c r="AV120" i="2"/>
  <c r="AZ120" i="2"/>
  <c r="BA120" i="2"/>
  <c r="BW120" i="2"/>
  <c r="CA120" i="2"/>
  <c r="CE120" i="2"/>
  <c r="CF120" i="2"/>
  <c r="CK120" i="2"/>
  <c r="CO120" i="2"/>
  <c r="CS120" i="2"/>
  <c r="CT120" i="2"/>
  <c r="CY120" i="2"/>
  <c r="DC120" i="2"/>
  <c r="DG120" i="2"/>
  <c r="DH120" i="2"/>
  <c r="DM120" i="2"/>
  <c r="DQ120" i="2"/>
  <c r="DU120" i="2"/>
  <c r="DV120" i="2"/>
  <c r="EA120" i="2"/>
  <c r="EE120" i="2"/>
  <c r="EI120" i="2"/>
  <c r="EJ120" i="2"/>
  <c r="B121" i="2"/>
  <c r="F121" i="2"/>
  <c r="J121" i="2"/>
  <c r="M121" i="2"/>
  <c r="P121" i="2"/>
  <c r="T121" i="2"/>
  <c r="X121" i="2"/>
  <c r="AA121" i="2"/>
  <c r="AD121" i="2"/>
  <c r="AH121" i="2"/>
  <c r="AL121" i="2"/>
  <c r="AM121" i="2"/>
  <c r="AR121" i="2"/>
  <c r="AV121" i="2"/>
  <c r="AZ121" i="2"/>
  <c r="BA121" i="2"/>
  <c r="BF121" i="2"/>
  <c r="BK121" i="2"/>
  <c r="BO121" i="2"/>
  <c r="BP121" i="2"/>
  <c r="BW121" i="2"/>
  <c r="CA121" i="2"/>
  <c r="CE121" i="2"/>
  <c r="CF121" i="2"/>
  <c r="CK121" i="2"/>
  <c r="CO121" i="2"/>
  <c r="CS121" i="2"/>
  <c r="CT121" i="2"/>
  <c r="CY121" i="2"/>
  <c r="DC121" i="2"/>
  <c r="DG121" i="2"/>
  <c r="DH121" i="2"/>
  <c r="DM121" i="2"/>
  <c r="DQ121" i="2"/>
  <c r="DU121" i="2"/>
  <c r="DV121" i="2"/>
  <c r="EA121" i="2"/>
  <c r="EE121" i="2"/>
  <c r="EI121" i="2"/>
  <c r="EJ121" i="2"/>
  <c r="F122" i="2"/>
  <c r="J122" i="2"/>
  <c r="K122" i="2"/>
  <c r="M122" i="2"/>
  <c r="T122" i="2"/>
  <c r="X122" i="2"/>
  <c r="Y122" i="2"/>
  <c r="AA122" i="2"/>
  <c r="AH122" i="2"/>
  <c r="AL122" i="2"/>
  <c r="AM122" i="2"/>
  <c r="AV122" i="2"/>
  <c r="AZ122" i="2"/>
  <c r="BA122" i="2"/>
  <c r="BK122" i="2"/>
  <c r="BO122" i="2"/>
  <c r="BP122" i="2"/>
  <c r="BW122" i="2"/>
  <c r="CA122" i="2"/>
  <c r="CE122" i="2"/>
  <c r="CF122" i="2"/>
  <c r="CK122" i="2"/>
  <c r="CO122" i="2"/>
  <c r="CS122" i="2"/>
  <c r="CT122" i="2"/>
  <c r="CY122" i="2"/>
  <c r="DC122" i="2"/>
  <c r="DG122" i="2"/>
  <c r="DH122" i="2"/>
  <c r="DM122" i="2"/>
  <c r="DQ122" i="2"/>
  <c r="DU122" i="2"/>
  <c r="DV122" i="2"/>
  <c r="EA122" i="2"/>
  <c r="EE122" i="2"/>
  <c r="EI122" i="2"/>
  <c r="EJ122" i="2"/>
  <c r="F123" i="2"/>
  <c r="J123" i="2"/>
  <c r="K123" i="2"/>
  <c r="T123" i="2"/>
  <c r="X123" i="2"/>
  <c r="AH123" i="2"/>
  <c r="AL123" i="2"/>
  <c r="AO123" i="2"/>
  <c r="AV123" i="2"/>
  <c r="AZ123" i="2"/>
  <c r="BA123" i="2"/>
  <c r="BC123" i="2"/>
  <c r="BK123" i="2"/>
  <c r="BO123" i="2"/>
  <c r="BW123" i="2"/>
  <c r="CA123" i="2"/>
  <c r="CE123" i="2"/>
  <c r="CF123" i="2"/>
  <c r="CK123" i="2"/>
  <c r="CO123" i="2"/>
  <c r="CS123" i="2"/>
  <c r="CT123" i="2"/>
  <c r="CY123" i="2"/>
  <c r="DC123" i="2"/>
  <c r="DG123" i="2"/>
  <c r="DH123" i="2"/>
  <c r="DM123" i="2"/>
  <c r="DQ123" i="2"/>
  <c r="DU123" i="2"/>
  <c r="DV123" i="2"/>
  <c r="EA123" i="2"/>
  <c r="EE123" i="2"/>
  <c r="EI123" i="2"/>
  <c r="EJ123" i="2"/>
  <c r="F124" i="2"/>
  <c r="J124" i="2"/>
  <c r="K124" i="2"/>
  <c r="T124" i="2"/>
  <c r="X124" i="2"/>
  <c r="Y124" i="2"/>
  <c r="AA124" i="2"/>
  <c r="AH124" i="2"/>
  <c r="AL124" i="2"/>
  <c r="AO124" i="2"/>
  <c r="AV124" i="2"/>
  <c r="AZ124" i="2"/>
  <c r="BC124" i="2"/>
  <c r="BK124" i="2"/>
  <c r="BO124" i="2"/>
  <c r="BP124" i="2"/>
  <c r="BR124" i="2"/>
  <c r="BW124" i="2"/>
  <c r="CA124" i="2"/>
  <c r="CE124" i="2"/>
  <c r="CF124" i="2"/>
  <c r="CK124" i="2"/>
  <c r="CO124" i="2"/>
  <c r="CS124" i="2"/>
  <c r="CT124" i="2"/>
  <c r="CY124" i="2"/>
  <c r="DC124" i="2"/>
  <c r="DG124" i="2"/>
  <c r="DH124" i="2"/>
  <c r="DM124" i="2"/>
  <c r="DQ124" i="2"/>
  <c r="DU124" i="2"/>
  <c r="DV124" i="2"/>
  <c r="EA124" i="2"/>
  <c r="EE124" i="2"/>
  <c r="EI124" i="2"/>
  <c r="EJ124" i="2"/>
  <c r="B125" i="2"/>
  <c r="F125" i="2"/>
  <c r="J125" i="2"/>
  <c r="K125" i="2"/>
  <c r="M125" i="2"/>
  <c r="P125" i="2"/>
  <c r="T125" i="2"/>
  <c r="X125" i="2"/>
  <c r="Y125" i="2"/>
  <c r="AA125" i="2"/>
  <c r="AD125" i="2"/>
  <c r="AH125" i="2"/>
  <c r="AL125" i="2"/>
  <c r="AO125" i="2"/>
  <c r="AR125" i="2"/>
  <c r="AV125" i="2"/>
  <c r="AZ125" i="2"/>
  <c r="BF125" i="2"/>
  <c r="BK125" i="2"/>
  <c r="BO125" i="2"/>
  <c r="F126" i="2"/>
  <c r="J126" i="2"/>
  <c r="M126" i="2"/>
  <c r="T126" i="2"/>
  <c r="X126" i="2"/>
  <c r="Y126" i="2"/>
  <c r="AH126" i="2"/>
  <c r="AL126" i="2"/>
  <c r="AV126" i="2"/>
  <c r="AZ126" i="2"/>
  <c r="BA126" i="2"/>
  <c r="BC126" i="2"/>
  <c r="BK126" i="2"/>
  <c r="BO126" i="2"/>
  <c r="BP126" i="2"/>
  <c r="BW126" i="2"/>
  <c r="CA126" i="2"/>
  <c r="CE126" i="2"/>
  <c r="CF126" i="2"/>
  <c r="CK126" i="2"/>
  <c r="CO126" i="2"/>
  <c r="CS126" i="2"/>
  <c r="CT126" i="2"/>
  <c r="CY126" i="2"/>
  <c r="DC126" i="2"/>
  <c r="DG126" i="2"/>
  <c r="DH126" i="2"/>
  <c r="DM126" i="2"/>
  <c r="DQ126" i="2"/>
  <c r="DU126" i="2"/>
  <c r="DV126" i="2"/>
  <c r="EA126" i="2"/>
  <c r="EE126" i="2"/>
  <c r="EI126" i="2"/>
  <c r="EJ126" i="2"/>
  <c r="F127" i="2"/>
  <c r="J127" i="2"/>
  <c r="K127" i="2"/>
  <c r="M127" i="2"/>
  <c r="T127" i="2"/>
  <c r="X127" i="2"/>
  <c r="AH127" i="2"/>
  <c r="AL127" i="2"/>
  <c r="AO127" i="2"/>
  <c r="AV127" i="2"/>
  <c r="AZ127" i="2"/>
  <c r="BA127" i="2"/>
  <c r="BC127" i="2"/>
  <c r="BK127" i="2"/>
  <c r="BO127" i="2"/>
  <c r="BR127" i="2"/>
  <c r="BW127" i="2"/>
  <c r="CA127" i="2"/>
  <c r="CE127" i="2"/>
  <c r="CF127" i="2"/>
  <c r="CK127" i="2"/>
  <c r="CO127" i="2"/>
  <c r="CS127" i="2"/>
  <c r="CT127" i="2"/>
  <c r="CY127" i="2"/>
  <c r="DC127" i="2"/>
  <c r="DG127" i="2"/>
  <c r="DH127" i="2"/>
  <c r="DM127" i="2"/>
  <c r="DQ127" i="2"/>
  <c r="DU127" i="2"/>
  <c r="DV127" i="2"/>
  <c r="EA127" i="2"/>
  <c r="EE127" i="2"/>
  <c r="EI127" i="2"/>
  <c r="EJ127" i="2"/>
  <c r="F128" i="2"/>
  <c r="J128" i="2"/>
  <c r="K128" i="2"/>
  <c r="M128" i="2"/>
  <c r="T128" i="2"/>
  <c r="X128" i="2"/>
  <c r="Y128" i="2"/>
  <c r="AA128" i="2"/>
  <c r="AH128" i="2"/>
  <c r="AL128" i="2"/>
  <c r="AV128" i="2"/>
  <c r="AZ128" i="2"/>
  <c r="BK128" i="2"/>
  <c r="BO128" i="2"/>
  <c r="BP128" i="2"/>
  <c r="BR128" i="2"/>
  <c r="BW128" i="2"/>
  <c r="CA128" i="2"/>
  <c r="CE128" i="2"/>
  <c r="CF128" i="2"/>
  <c r="CK128" i="2"/>
  <c r="CO128" i="2"/>
  <c r="CS128" i="2"/>
  <c r="CT128" i="2"/>
  <c r="CY128" i="2"/>
  <c r="DC128" i="2"/>
  <c r="DG128" i="2"/>
  <c r="DH128" i="2"/>
  <c r="DM128" i="2"/>
  <c r="DQ128" i="2"/>
  <c r="DU128" i="2"/>
  <c r="DV128" i="2"/>
  <c r="EA128" i="2"/>
  <c r="EE128" i="2"/>
  <c r="EI128" i="2"/>
  <c r="EJ128" i="2"/>
  <c r="B129" i="2"/>
  <c r="D129" i="2"/>
  <c r="F129" i="2"/>
  <c r="H129" i="2"/>
  <c r="J129" i="2"/>
  <c r="K129" i="2"/>
  <c r="L129" i="2"/>
  <c r="M129" i="2"/>
  <c r="P129" i="2"/>
  <c r="R129" i="2"/>
  <c r="T129" i="2"/>
  <c r="V129" i="2"/>
  <c r="X129" i="2"/>
  <c r="Y129" i="2"/>
  <c r="Z129" i="2"/>
  <c r="AA129" i="2"/>
  <c r="AD129" i="2"/>
  <c r="AF129" i="2"/>
  <c r="AM129" i="2"/>
  <c r="AH129" i="2"/>
  <c r="AJ129" i="2"/>
  <c r="AO129" i="2"/>
  <c r="AL129" i="2"/>
  <c r="AN129" i="2"/>
  <c r="AR129" i="2"/>
  <c r="AT129" i="2"/>
  <c r="AV129" i="2"/>
  <c r="AX129" i="2"/>
  <c r="BC129" i="2"/>
  <c r="AZ129" i="2"/>
  <c r="BA129" i="2"/>
  <c r="BB129" i="2"/>
  <c r="BF129" i="2"/>
  <c r="BI129" i="2"/>
  <c r="BK129" i="2"/>
  <c r="BM129" i="2"/>
  <c r="BO129" i="2"/>
  <c r="BP129" i="2"/>
  <c r="BQ129" i="2"/>
  <c r="BR129" i="2"/>
  <c r="CA129" i="2"/>
  <c r="CE129" i="2"/>
  <c r="CF129" i="2"/>
  <c r="CO129" i="2"/>
  <c r="CS129" i="2"/>
  <c r="CT129" i="2"/>
  <c r="DC129" i="2"/>
  <c r="DG129" i="2"/>
  <c r="DH129" i="2"/>
  <c r="DQ129" i="2"/>
  <c r="DU129" i="2"/>
  <c r="DV129" i="2"/>
  <c r="EE129" i="2"/>
  <c r="EI129" i="2"/>
  <c r="EJ129" i="2"/>
  <c r="D130" i="2"/>
  <c r="K130" i="2"/>
  <c r="F130" i="2"/>
  <c r="H130" i="2"/>
  <c r="J130" i="2"/>
  <c r="L130" i="2"/>
  <c r="M130" i="2"/>
  <c r="R130" i="2"/>
  <c r="T130" i="2"/>
  <c r="V130" i="2"/>
  <c r="AA130" i="2"/>
  <c r="X130" i="2"/>
  <c r="Y130" i="2"/>
  <c r="Z130" i="2"/>
  <c r="AF130" i="2"/>
  <c r="AH130" i="2"/>
  <c r="AJ130" i="2"/>
  <c r="AO130" i="2"/>
  <c r="AL130" i="2"/>
  <c r="AM130" i="2"/>
  <c r="AN130" i="2"/>
  <c r="AT130" i="2"/>
  <c r="BA130" i="2"/>
  <c r="AV130" i="2"/>
  <c r="AX130" i="2"/>
  <c r="BC130" i="2"/>
  <c r="AZ130" i="2"/>
  <c r="BB130" i="2"/>
  <c r="BI130" i="2"/>
  <c r="BK130" i="2"/>
  <c r="BM130" i="2"/>
  <c r="BR130" i="2"/>
  <c r="BO130" i="2"/>
  <c r="BP130" i="2"/>
  <c r="BQ130" i="2"/>
  <c r="D131" i="2"/>
  <c r="F131" i="2"/>
  <c r="H131" i="2"/>
  <c r="M131" i="2"/>
  <c r="J131" i="2"/>
  <c r="K131" i="2"/>
  <c r="L131" i="2"/>
  <c r="R131" i="2"/>
  <c r="T131" i="2"/>
  <c r="V131" i="2"/>
  <c r="AA131" i="2"/>
  <c r="X131" i="2"/>
  <c r="Y131" i="2"/>
  <c r="Z131" i="2"/>
  <c r="AF131" i="2"/>
  <c r="AM131" i="2"/>
  <c r="AH131" i="2"/>
  <c r="AJ131" i="2"/>
  <c r="AO131" i="2"/>
  <c r="AL131" i="2"/>
  <c r="AN131" i="2"/>
  <c r="AT131" i="2"/>
  <c r="BA131" i="2"/>
  <c r="AV131" i="2"/>
  <c r="AX131" i="2"/>
  <c r="BC131" i="2"/>
  <c r="AZ131" i="2"/>
  <c r="BB131" i="2"/>
  <c r="BI131" i="2"/>
  <c r="BP131" i="2"/>
  <c r="BK131" i="2"/>
  <c r="BM131" i="2"/>
  <c r="BO131" i="2"/>
  <c r="BQ131" i="2"/>
  <c r="BR131" i="2"/>
  <c r="D132" i="2"/>
  <c r="K132" i="2"/>
  <c r="F132" i="2"/>
  <c r="H132" i="2"/>
  <c r="M132" i="2"/>
  <c r="J132" i="2"/>
  <c r="L132" i="2"/>
  <c r="R132" i="2"/>
  <c r="T132" i="2"/>
  <c r="V132" i="2"/>
  <c r="X132" i="2"/>
  <c r="Y132" i="2"/>
  <c r="Z132" i="2"/>
  <c r="AA132" i="2"/>
  <c r="AF132" i="2"/>
  <c r="AM132" i="2"/>
  <c r="AH132" i="2"/>
  <c r="AJ132" i="2"/>
  <c r="AO132" i="2"/>
  <c r="AL132" i="2"/>
  <c r="AN132" i="2"/>
  <c r="AT132" i="2"/>
  <c r="AV132" i="2"/>
  <c r="AX132" i="2"/>
  <c r="AZ132" i="2"/>
  <c r="BA132" i="2"/>
  <c r="BB132" i="2"/>
  <c r="BC132" i="2"/>
  <c r="BI132" i="2"/>
  <c r="BP132" i="2"/>
  <c r="BK132" i="2"/>
  <c r="BM132" i="2"/>
  <c r="BO132" i="2"/>
  <c r="BQ132" i="2"/>
  <c r="BR132" i="2"/>
  <c r="AF133" i="2"/>
  <c r="D155" i="2"/>
  <c r="D156" i="2"/>
  <c r="D157" i="2"/>
  <c r="D158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B183" i="2"/>
  <c r="D184" i="2"/>
  <c r="D185" i="2"/>
  <c r="D186" i="2"/>
  <c r="D187" i="2"/>
  <c r="D188" i="2"/>
  <c r="D189" i="2"/>
  <c r="D190" i="2"/>
  <c r="D195" i="2"/>
  <c r="D196" i="2"/>
  <c r="K196" i="2"/>
  <c r="D197" i="2"/>
  <c r="K197" i="2"/>
  <c r="D198" i="2"/>
  <c r="D199" i="2"/>
  <c r="K199" i="2"/>
  <c r="D200" i="2"/>
  <c r="K200" i="2"/>
  <c r="D201" i="2"/>
  <c r="D202" i="2"/>
  <c r="D203" i="2"/>
  <c r="R155" i="2"/>
  <c r="R156" i="2"/>
  <c r="R157" i="2"/>
  <c r="Y157" i="2"/>
  <c r="R158" i="2"/>
  <c r="Y158" i="2"/>
  <c r="R163" i="2"/>
  <c r="R164" i="2"/>
  <c r="R165" i="2"/>
  <c r="R166" i="2"/>
  <c r="Y166" i="2"/>
  <c r="Y170" i="2"/>
  <c r="Y174" i="2"/>
  <c r="R167" i="2"/>
  <c r="R168" i="2"/>
  <c r="R169" i="2"/>
  <c r="Y169" i="2"/>
  <c r="R170" i="2"/>
  <c r="R171" i="2"/>
  <c r="R172" i="2"/>
  <c r="Y172" i="2"/>
  <c r="R173" i="2"/>
  <c r="R174" i="2"/>
  <c r="R175" i="2"/>
  <c r="R176" i="2"/>
  <c r="R177" i="2"/>
  <c r="R178" i="2"/>
  <c r="Y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5" i="2"/>
  <c r="R196" i="2"/>
  <c r="Y196" i="2"/>
  <c r="R197" i="2"/>
  <c r="Y197" i="2"/>
  <c r="R198" i="2"/>
  <c r="R199" i="2"/>
  <c r="R200" i="2"/>
  <c r="Y200" i="2"/>
  <c r="R201" i="2"/>
  <c r="Y201" i="2"/>
  <c r="R202" i="2"/>
  <c r="R203" i="2"/>
  <c r="Y203" i="2"/>
  <c r="AF155" i="2"/>
  <c r="AF156" i="2"/>
  <c r="AF157" i="2"/>
  <c r="AF158" i="2"/>
  <c r="AM158" i="2"/>
  <c r="AF163" i="2"/>
  <c r="AF164" i="2"/>
  <c r="AM164" i="2"/>
  <c r="AN164" i="2"/>
  <c r="AF165" i="2"/>
  <c r="AF166" i="2"/>
  <c r="AF167" i="2"/>
  <c r="AM167" i="2"/>
  <c r="AF168" i="2"/>
  <c r="AF169" i="2"/>
  <c r="AF170" i="2"/>
  <c r="AM170" i="2"/>
  <c r="AN170" i="2"/>
  <c r="AO170" i="2"/>
  <c r="AF171" i="2"/>
  <c r="AF172" i="2"/>
  <c r="AF173" i="2"/>
  <c r="AF174" i="2"/>
  <c r="AM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O189" i="2"/>
  <c r="AF190" i="2"/>
  <c r="AM190" i="2"/>
  <c r="AF195" i="2"/>
  <c r="AM195" i="2"/>
  <c r="AF196" i="2"/>
  <c r="AM196" i="2"/>
  <c r="AF197" i="2"/>
  <c r="AF198" i="2"/>
  <c r="AM198" i="2"/>
  <c r="AF199" i="2"/>
  <c r="AF200" i="2"/>
  <c r="AF201" i="2"/>
  <c r="AM201" i="2"/>
  <c r="AF202" i="2"/>
  <c r="AM202" i="2"/>
  <c r="AF203" i="2"/>
  <c r="AT155" i="2"/>
  <c r="AT156" i="2"/>
  <c r="AT157" i="2"/>
  <c r="AT158" i="2"/>
  <c r="AT163" i="2"/>
  <c r="AT164" i="2"/>
  <c r="BA164" i="2"/>
  <c r="BA168" i="2"/>
  <c r="AT165" i="2"/>
  <c r="AT166" i="2"/>
  <c r="AT167" i="2"/>
  <c r="AT168" i="2"/>
  <c r="AT169" i="2"/>
  <c r="AT170" i="2"/>
  <c r="AT171" i="2"/>
  <c r="AT172" i="2"/>
  <c r="BA172" i="2"/>
  <c r="AT173" i="2"/>
  <c r="AT174" i="2"/>
  <c r="BA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5" i="2"/>
  <c r="AT196" i="2"/>
  <c r="AT197" i="2"/>
  <c r="AT198" i="2"/>
  <c r="AT199" i="2"/>
  <c r="AT200" i="2"/>
  <c r="BA200" i="2"/>
  <c r="AT201" i="2"/>
  <c r="AT202" i="2"/>
  <c r="BA202" i="2"/>
  <c r="AT203" i="2"/>
  <c r="BI155" i="2"/>
  <c r="BI156" i="2"/>
  <c r="BP156" i="2"/>
  <c r="BI157" i="2"/>
  <c r="BP157" i="2"/>
  <c r="BQ157" i="2"/>
  <c r="BI158" i="2"/>
  <c r="BI163" i="2"/>
  <c r="BI164" i="2"/>
  <c r="BP164" i="2"/>
  <c r="BQ164" i="2"/>
  <c r="BI165" i="2"/>
  <c r="BI166" i="2"/>
  <c r="BI167" i="2"/>
  <c r="BI168" i="2"/>
  <c r="BP168" i="2"/>
  <c r="BQ168" i="2"/>
  <c r="BI169" i="2"/>
  <c r="BI170" i="2"/>
  <c r="BI171" i="2"/>
  <c r="BI172" i="2"/>
  <c r="BI173" i="2"/>
  <c r="BI174" i="2"/>
  <c r="BI175" i="2"/>
  <c r="BI176" i="2"/>
  <c r="BI215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5" i="2"/>
  <c r="BI196" i="2"/>
  <c r="BP196" i="2"/>
  <c r="BI197" i="2"/>
  <c r="BP197" i="2"/>
  <c r="BI198" i="2"/>
  <c r="BP198" i="2"/>
  <c r="BI199" i="2"/>
  <c r="BI200" i="2"/>
  <c r="BI201" i="2"/>
  <c r="BP201" i="2"/>
  <c r="BI202" i="2"/>
  <c r="BI203" i="2"/>
  <c r="BW152" i="2"/>
  <c r="BW153" i="2"/>
  <c r="BW154" i="2"/>
  <c r="BW155" i="2"/>
  <c r="BW156" i="2"/>
  <c r="BW157" i="2"/>
  <c r="BW158" i="2"/>
  <c r="BW159" i="2"/>
  <c r="BW160" i="2"/>
  <c r="BW162" i="2"/>
  <c r="BW163" i="2"/>
  <c r="BW164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200" i="2"/>
  <c r="BW201" i="2"/>
  <c r="BW202" i="2"/>
  <c r="CK152" i="2"/>
  <c r="CK153" i="2"/>
  <c r="CK154" i="2"/>
  <c r="CK155" i="2"/>
  <c r="CK156" i="2"/>
  <c r="CK157" i="2"/>
  <c r="CK158" i="2"/>
  <c r="CK159" i="2"/>
  <c r="CK160" i="2"/>
  <c r="CK162" i="2"/>
  <c r="CK163" i="2"/>
  <c r="CK164" i="2"/>
  <c r="CK166" i="2"/>
  <c r="CK167" i="2"/>
  <c r="CK168" i="2"/>
  <c r="CK169" i="2"/>
  <c r="CK170" i="2"/>
  <c r="CK171" i="2"/>
  <c r="CK172" i="2"/>
  <c r="CK173" i="2"/>
  <c r="CK174" i="2"/>
  <c r="CK175" i="2"/>
  <c r="CK176" i="2"/>
  <c r="CK177" i="2"/>
  <c r="CK178" i="2"/>
  <c r="CK179" i="2"/>
  <c r="CK180" i="2"/>
  <c r="CK181" i="2"/>
  <c r="CK182" i="2"/>
  <c r="CK183" i="2"/>
  <c r="CK184" i="2"/>
  <c r="CK185" i="2"/>
  <c r="CK186" i="2"/>
  <c r="CK187" i="2"/>
  <c r="CK188" i="2"/>
  <c r="CK189" i="2"/>
  <c r="CK190" i="2"/>
  <c r="CK191" i="2"/>
  <c r="CK192" i="2"/>
  <c r="CK193" i="2"/>
  <c r="CK194" i="2"/>
  <c r="CK195" i="2"/>
  <c r="CK196" i="2"/>
  <c r="CK197" i="2"/>
  <c r="CK198" i="2"/>
  <c r="CK200" i="2"/>
  <c r="CK201" i="2"/>
  <c r="CK202" i="2"/>
  <c r="CY152" i="2"/>
  <c r="CY153" i="2"/>
  <c r="CY154" i="2"/>
  <c r="CY155" i="2"/>
  <c r="CY156" i="2"/>
  <c r="CY157" i="2"/>
  <c r="CY158" i="2"/>
  <c r="CY159" i="2"/>
  <c r="CY160" i="2"/>
  <c r="CY162" i="2"/>
  <c r="CY163" i="2"/>
  <c r="CY164" i="2"/>
  <c r="CY166" i="2"/>
  <c r="CY167" i="2"/>
  <c r="CY168" i="2"/>
  <c r="CY169" i="2"/>
  <c r="CY170" i="2"/>
  <c r="CY171" i="2"/>
  <c r="CY172" i="2"/>
  <c r="CY173" i="2"/>
  <c r="CY174" i="2"/>
  <c r="CY175" i="2"/>
  <c r="CY176" i="2"/>
  <c r="CY177" i="2"/>
  <c r="CY178" i="2"/>
  <c r="CY179" i="2"/>
  <c r="CY180" i="2"/>
  <c r="CY181" i="2"/>
  <c r="CY182" i="2"/>
  <c r="CY183" i="2"/>
  <c r="CY184" i="2"/>
  <c r="CY185" i="2"/>
  <c r="CY186" i="2"/>
  <c r="CY187" i="2"/>
  <c r="CY188" i="2"/>
  <c r="CY189" i="2"/>
  <c r="CY190" i="2"/>
  <c r="CY191" i="2"/>
  <c r="CY192" i="2"/>
  <c r="CY193" i="2"/>
  <c r="CY194" i="2"/>
  <c r="CY195" i="2"/>
  <c r="CY196" i="2"/>
  <c r="CY197" i="2"/>
  <c r="CY198" i="2"/>
  <c r="CY200" i="2"/>
  <c r="CY201" i="2"/>
  <c r="CY202" i="2"/>
  <c r="DM152" i="2"/>
  <c r="DM153" i="2"/>
  <c r="DM154" i="2"/>
  <c r="DM155" i="2"/>
  <c r="DM156" i="2"/>
  <c r="DM157" i="2"/>
  <c r="DM158" i="2"/>
  <c r="DM159" i="2"/>
  <c r="DM160" i="2"/>
  <c r="DV160" i="2"/>
  <c r="DM162" i="2"/>
  <c r="DM163" i="2"/>
  <c r="DM164" i="2"/>
  <c r="DM166" i="2"/>
  <c r="DM167" i="2"/>
  <c r="DM168" i="2"/>
  <c r="DM169" i="2"/>
  <c r="DM170" i="2"/>
  <c r="DM171" i="2"/>
  <c r="DM172" i="2"/>
  <c r="DM173" i="2"/>
  <c r="DM174" i="2"/>
  <c r="DM175" i="2"/>
  <c r="DM176" i="2"/>
  <c r="DM177" i="2"/>
  <c r="DM178" i="2"/>
  <c r="DM179" i="2"/>
  <c r="DM180" i="2"/>
  <c r="DM181" i="2"/>
  <c r="DM182" i="2"/>
  <c r="DM183" i="2"/>
  <c r="DM184" i="2"/>
  <c r="DM185" i="2"/>
  <c r="DM186" i="2"/>
  <c r="DM187" i="2"/>
  <c r="DM188" i="2"/>
  <c r="DM189" i="2"/>
  <c r="DM190" i="2"/>
  <c r="DM191" i="2"/>
  <c r="DM192" i="2"/>
  <c r="DM193" i="2"/>
  <c r="DM194" i="2"/>
  <c r="DM195" i="2"/>
  <c r="DM196" i="2"/>
  <c r="DM197" i="2"/>
  <c r="DM198" i="2"/>
  <c r="DM200" i="2"/>
  <c r="DM201" i="2"/>
  <c r="DM202" i="2"/>
  <c r="EA152" i="2"/>
  <c r="EA153" i="2"/>
  <c r="EA154" i="2"/>
  <c r="EA155" i="2"/>
  <c r="EA156" i="2"/>
  <c r="EA157" i="2"/>
  <c r="EA158" i="2"/>
  <c r="EA159" i="2"/>
  <c r="EA160" i="2"/>
  <c r="EA162" i="2"/>
  <c r="EA163" i="2"/>
  <c r="EA164" i="2"/>
  <c r="EA166" i="2"/>
  <c r="EA167" i="2"/>
  <c r="EA168" i="2"/>
  <c r="EA169" i="2"/>
  <c r="EA170" i="2"/>
  <c r="EA171" i="2"/>
  <c r="EA172" i="2"/>
  <c r="EA173" i="2"/>
  <c r="EA174" i="2"/>
  <c r="EA175" i="2"/>
  <c r="EA176" i="2"/>
  <c r="EA177" i="2"/>
  <c r="EA178" i="2"/>
  <c r="EA179" i="2"/>
  <c r="EA180" i="2"/>
  <c r="EA181" i="2"/>
  <c r="EA182" i="2"/>
  <c r="EA183" i="2"/>
  <c r="EA184" i="2"/>
  <c r="EA185" i="2"/>
  <c r="EA186" i="2"/>
  <c r="EA187" i="2"/>
  <c r="EA188" i="2"/>
  <c r="EA189" i="2"/>
  <c r="EA190" i="2"/>
  <c r="EA191" i="2"/>
  <c r="EA192" i="2"/>
  <c r="EA193" i="2"/>
  <c r="EA194" i="2"/>
  <c r="EA195" i="2"/>
  <c r="EA196" i="2"/>
  <c r="EA197" i="2"/>
  <c r="EA198" i="2"/>
  <c r="EA200" i="2"/>
  <c r="EA201" i="2"/>
  <c r="EA202" i="2"/>
  <c r="BA166" i="2"/>
  <c r="BA170" i="2"/>
  <c r="H182" i="2"/>
  <c r="L182" i="2"/>
  <c r="H179" i="2"/>
  <c r="K163" i="2"/>
  <c r="K167" i="2"/>
  <c r="K171" i="2"/>
  <c r="H183" i="2"/>
  <c r="H187" i="2"/>
  <c r="L195" i="2"/>
  <c r="L199" i="2"/>
  <c r="L203" i="2"/>
  <c r="H180" i="2"/>
  <c r="K164" i="2"/>
  <c r="K168" i="2"/>
  <c r="H184" i="2"/>
  <c r="H188" i="2"/>
  <c r="L196" i="2"/>
  <c r="L200" i="2"/>
  <c r="H181" i="2"/>
  <c r="K165" i="2"/>
  <c r="L165" i="2"/>
  <c r="H185" i="2"/>
  <c r="H189" i="2"/>
  <c r="L197" i="2"/>
  <c r="L201" i="2"/>
  <c r="H186" i="2"/>
  <c r="L186" i="2"/>
  <c r="H190" i="2"/>
  <c r="K190" i="2"/>
  <c r="L190" i="2"/>
  <c r="M190" i="2"/>
  <c r="L198" i="2"/>
  <c r="L202" i="2"/>
  <c r="H155" i="2"/>
  <c r="H215" i="2"/>
  <c r="H156" i="2"/>
  <c r="H157" i="2"/>
  <c r="K157" i="2"/>
  <c r="H158" i="2"/>
  <c r="K158" i="2"/>
  <c r="H163" i="2"/>
  <c r="L163" i="2"/>
  <c r="M163" i="2"/>
  <c r="H164" i="2"/>
  <c r="L164" i="2"/>
  <c r="H165" i="2"/>
  <c r="H166" i="2"/>
  <c r="K166" i="2"/>
  <c r="H167" i="2"/>
  <c r="H168" i="2"/>
  <c r="L168" i="2"/>
  <c r="H169" i="2"/>
  <c r="H170" i="2"/>
  <c r="H171" i="2"/>
  <c r="H172" i="2"/>
  <c r="H173" i="2"/>
  <c r="H174" i="2"/>
  <c r="H175" i="2"/>
  <c r="H176" i="2"/>
  <c r="H177" i="2"/>
  <c r="H178" i="2"/>
  <c r="V181" i="2"/>
  <c r="Y165" i="2"/>
  <c r="V185" i="2"/>
  <c r="V189" i="2"/>
  <c r="Z197" i="2"/>
  <c r="Z201" i="2"/>
  <c r="V182" i="2"/>
  <c r="V186" i="2"/>
  <c r="V179" i="2"/>
  <c r="V183" i="2"/>
  <c r="V187" i="2"/>
  <c r="Z195" i="2"/>
  <c r="Z199" i="2"/>
  <c r="Z203" i="2"/>
  <c r="V180" i="2"/>
  <c r="Y168" i="2"/>
  <c r="V184" i="2"/>
  <c r="V188" i="2"/>
  <c r="Z196" i="2"/>
  <c r="Z200" i="2"/>
  <c r="V190" i="2"/>
  <c r="Z198" i="2"/>
  <c r="Z202" i="2"/>
  <c r="V155" i="2"/>
  <c r="Z155" i="2"/>
  <c r="Y155" i="2"/>
  <c r="V156" i="2"/>
  <c r="V157" i="2"/>
  <c r="Z157" i="2"/>
  <c r="V158" i="2"/>
  <c r="Z158" i="2"/>
  <c r="V163" i="2"/>
  <c r="V164" i="2"/>
  <c r="Z164" i="2"/>
  <c r="V165" i="2"/>
  <c r="Z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Z178" i="2"/>
  <c r="AJ179" i="2"/>
  <c r="AN179" i="2"/>
  <c r="AJ183" i="2"/>
  <c r="AM183" i="2"/>
  <c r="AN183" i="2"/>
  <c r="AJ187" i="2"/>
  <c r="AM187" i="2"/>
  <c r="AN187" i="2"/>
  <c r="AN195" i="2"/>
  <c r="AN199" i="2"/>
  <c r="AN203" i="2"/>
  <c r="AJ180" i="2"/>
  <c r="AJ184" i="2"/>
  <c r="AJ188" i="2"/>
  <c r="AN196" i="2"/>
  <c r="AN200" i="2"/>
  <c r="AJ181" i="2"/>
  <c r="AJ185" i="2"/>
  <c r="AN185" i="2"/>
  <c r="AJ189" i="2"/>
  <c r="AN189" i="2"/>
  <c r="AN197" i="2"/>
  <c r="AN201" i="2"/>
  <c r="AJ182" i="2"/>
  <c r="AM178" i="2"/>
  <c r="AN178" i="2"/>
  <c r="AM182" i="2"/>
  <c r="AJ186" i="2"/>
  <c r="AN186" i="2"/>
  <c r="AO186" i="2"/>
  <c r="AJ190" i="2"/>
  <c r="AN198" i="2"/>
  <c r="AN202" i="2"/>
  <c r="AJ155" i="2"/>
  <c r="AM155" i="2"/>
  <c r="AJ156" i="2"/>
  <c r="AJ157" i="2"/>
  <c r="AM157" i="2"/>
  <c r="AJ158" i="2"/>
  <c r="AN158" i="2"/>
  <c r="AJ163" i="2"/>
  <c r="AM163" i="2"/>
  <c r="AN163" i="2"/>
  <c r="AJ164" i="2"/>
  <c r="AJ165" i="2"/>
  <c r="AJ166" i="2"/>
  <c r="AJ167" i="2"/>
  <c r="AN167" i="2"/>
  <c r="AJ168" i="2"/>
  <c r="AJ169" i="2"/>
  <c r="AJ170" i="2"/>
  <c r="AJ171" i="2"/>
  <c r="AM171" i="2"/>
  <c r="AM175" i="2"/>
  <c r="AJ172" i="2"/>
  <c r="AJ173" i="2"/>
  <c r="AJ174" i="2"/>
  <c r="AJ175" i="2"/>
  <c r="AJ176" i="2"/>
  <c r="AJ177" i="2"/>
  <c r="AJ178" i="2"/>
  <c r="AO178" i="2"/>
  <c r="AX179" i="2"/>
  <c r="BA163" i="2"/>
  <c r="BA167" i="2"/>
  <c r="BB167" i="2"/>
  <c r="BA171" i="2"/>
  <c r="BA175" i="2"/>
  <c r="BB175" i="2"/>
  <c r="BA179" i="2"/>
  <c r="BA183" i="2"/>
  <c r="AX183" i="2"/>
  <c r="AX187" i="2"/>
  <c r="BB195" i="2"/>
  <c r="BB199" i="2"/>
  <c r="BB203" i="2"/>
  <c r="AX180" i="2"/>
  <c r="BA176" i="2"/>
  <c r="AX184" i="2"/>
  <c r="AX188" i="2"/>
  <c r="BB196" i="2"/>
  <c r="BB200" i="2"/>
  <c r="AX181" i="2"/>
  <c r="BA157" i="2"/>
  <c r="BA161" i="2"/>
  <c r="AX185" i="2"/>
  <c r="AX189" i="2"/>
  <c r="BB197" i="2"/>
  <c r="BB201" i="2"/>
  <c r="AX182" i="2"/>
  <c r="AX186" i="2"/>
  <c r="AX190" i="2"/>
  <c r="BB198" i="2"/>
  <c r="BB202" i="2"/>
  <c r="AX155" i="2"/>
  <c r="BB155" i="2"/>
  <c r="BA155" i="2"/>
  <c r="AX156" i="2"/>
  <c r="AX157" i="2"/>
  <c r="BB157" i="2"/>
  <c r="AX158" i="2"/>
  <c r="BA158" i="2"/>
  <c r="AX163" i="2"/>
  <c r="AX164" i="2"/>
  <c r="BB164" i="2"/>
  <c r="BC164" i="2"/>
  <c r="AX165" i="2"/>
  <c r="AX166" i="2"/>
  <c r="AX167" i="2"/>
  <c r="BC167" i="2"/>
  <c r="AX168" i="2"/>
  <c r="AX169" i="2"/>
  <c r="AX170" i="2"/>
  <c r="BB170" i="2"/>
  <c r="AX171" i="2"/>
  <c r="AX172" i="2"/>
  <c r="AX173" i="2"/>
  <c r="AX174" i="2"/>
  <c r="AX175" i="2"/>
  <c r="AX176" i="2"/>
  <c r="AX177" i="2"/>
  <c r="AX178" i="2"/>
  <c r="EH152" i="2"/>
  <c r="EH153" i="2"/>
  <c r="EE158" i="2"/>
  <c r="EE159" i="2"/>
  <c r="EE160" i="2"/>
  <c r="EH162" i="2"/>
  <c r="EI162" i="2"/>
  <c r="EJ162" i="2"/>
  <c r="EH163" i="2"/>
  <c r="EI163" i="2"/>
  <c r="EH164" i="2"/>
  <c r="EI164" i="2"/>
  <c r="EJ164" i="2"/>
  <c r="EH166" i="2"/>
  <c r="EI166" i="2"/>
  <c r="EJ166" i="2"/>
  <c r="EH167" i="2"/>
  <c r="EI167" i="2"/>
  <c r="EJ167" i="2"/>
  <c r="EH168" i="2"/>
  <c r="EI168" i="2"/>
  <c r="EJ168" i="2"/>
  <c r="EE152" i="2"/>
  <c r="EI152" i="2"/>
  <c r="EE153" i="2"/>
  <c r="EE154" i="2"/>
  <c r="EE155" i="2"/>
  <c r="EE156" i="2"/>
  <c r="EE157" i="2"/>
  <c r="EH169" i="2"/>
  <c r="EI169" i="2"/>
  <c r="EJ169" i="2"/>
  <c r="EH170" i="2"/>
  <c r="EI170" i="2"/>
  <c r="EJ170" i="2"/>
  <c r="EH171" i="2"/>
  <c r="EI171" i="2"/>
  <c r="EI172" i="2"/>
  <c r="EJ172" i="2"/>
  <c r="EI173" i="2"/>
  <c r="EJ173" i="2"/>
  <c r="EI174" i="2"/>
  <c r="EI175" i="2"/>
  <c r="EI176" i="2"/>
  <c r="EI177" i="2"/>
  <c r="EI178" i="2"/>
  <c r="EJ178" i="2"/>
  <c r="EI179" i="2"/>
  <c r="EJ179" i="2"/>
  <c r="EI180" i="2"/>
  <c r="EJ180" i="2"/>
  <c r="EI181" i="2"/>
  <c r="EJ181" i="2"/>
  <c r="EI182" i="2"/>
  <c r="EI183" i="2"/>
  <c r="EI184" i="2"/>
  <c r="EI185" i="2"/>
  <c r="EJ185" i="2"/>
  <c r="EI186" i="2"/>
  <c r="EJ186" i="2"/>
  <c r="EI187" i="2"/>
  <c r="EI188" i="2"/>
  <c r="EI189" i="2"/>
  <c r="EI190" i="2"/>
  <c r="EI191" i="2"/>
  <c r="EI192" i="2"/>
  <c r="EJ192" i="2"/>
  <c r="EI193" i="2"/>
  <c r="EJ193" i="2"/>
  <c r="EI194" i="2"/>
  <c r="EI195" i="2"/>
  <c r="EI196" i="2"/>
  <c r="EJ196" i="2"/>
  <c r="EI197" i="2"/>
  <c r="EJ197" i="2"/>
  <c r="EI198" i="2"/>
  <c r="EI200" i="2"/>
  <c r="EJ200" i="2"/>
  <c r="EI201" i="2"/>
  <c r="EJ201" i="2"/>
  <c r="EI202" i="2"/>
  <c r="EI203" i="2"/>
  <c r="EJ203" i="2"/>
  <c r="CR152" i="2"/>
  <c r="CS152" i="2"/>
  <c r="CR153" i="2"/>
  <c r="CO158" i="2"/>
  <c r="CO159" i="2"/>
  <c r="CO160" i="2"/>
  <c r="CR162" i="2"/>
  <c r="CS162" i="2"/>
  <c r="CT162" i="2"/>
  <c r="CR163" i="2"/>
  <c r="CS163" i="2"/>
  <c r="CT163" i="2"/>
  <c r="CR164" i="2"/>
  <c r="CS164" i="2"/>
  <c r="CT164" i="2"/>
  <c r="CR166" i="2"/>
  <c r="CS166" i="2"/>
  <c r="CR167" i="2"/>
  <c r="CS167" i="2"/>
  <c r="CR168" i="2"/>
  <c r="CS168" i="2"/>
  <c r="CT168" i="2"/>
  <c r="CO152" i="2"/>
  <c r="CO153" i="2"/>
  <c r="CO154" i="2"/>
  <c r="CO155" i="2"/>
  <c r="CO156" i="2"/>
  <c r="CO157" i="2"/>
  <c r="CR169" i="2"/>
  <c r="CS169" i="2"/>
  <c r="CT169" i="2"/>
  <c r="CR170" i="2"/>
  <c r="CS170" i="2"/>
  <c r="CT170" i="2"/>
  <c r="CR171" i="2"/>
  <c r="CS171" i="2"/>
  <c r="CT171" i="2"/>
  <c r="CS172" i="2"/>
  <c r="CS173" i="2"/>
  <c r="CT173" i="2"/>
  <c r="CS174" i="2"/>
  <c r="CT174" i="2"/>
  <c r="CS175" i="2"/>
  <c r="CS176" i="2"/>
  <c r="CT176" i="2"/>
  <c r="CS177" i="2"/>
  <c r="CS178" i="2"/>
  <c r="CS179" i="2"/>
  <c r="CT179" i="2"/>
  <c r="CS180" i="2"/>
  <c r="CS181" i="2"/>
  <c r="CS182" i="2"/>
  <c r="CT182" i="2"/>
  <c r="CS183" i="2"/>
  <c r="CT183" i="2"/>
  <c r="CS184" i="2"/>
  <c r="CS185" i="2"/>
  <c r="CT185" i="2"/>
  <c r="CS186" i="2"/>
  <c r="CT186" i="2"/>
  <c r="CS187" i="2"/>
  <c r="CS188" i="2"/>
  <c r="CT188" i="2"/>
  <c r="CS189" i="2"/>
  <c r="CT189" i="2"/>
  <c r="CS190" i="2"/>
  <c r="CS191" i="2"/>
  <c r="CT191" i="2"/>
  <c r="CS192" i="2"/>
  <c r="CT192" i="2"/>
  <c r="CS193" i="2"/>
  <c r="CT193" i="2"/>
  <c r="CS194" i="2"/>
  <c r="CT194" i="2"/>
  <c r="CS195" i="2"/>
  <c r="CT195" i="2"/>
  <c r="CS196" i="2"/>
  <c r="CS197" i="2"/>
  <c r="CS198" i="2"/>
  <c r="CT198" i="2"/>
  <c r="CS200" i="2"/>
  <c r="CT200" i="2"/>
  <c r="CS201" i="2"/>
  <c r="CT201" i="2"/>
  <c r="CS202" i="2"/>
  <c r="CS203" i="2"/>
  <c r="DF152" i="2"/>
  <c r="DF153" i="2"/>
  <c r="DF154" i="2"/>
  <c r="DF155" i="2"/>
  <c r="DC158" i="2"/>
  <c r="DC159" i="2"/>
  <c r="DC160" i="2"/>
  <c r="DF162" i="2"/>
  <c r="DG162" i="2"/>
  <c r="DF163" i="2"/>
  <c r="DG163" i="2"/>
  <c r="DH163" i="2"/>
  <c r="DF164" i="2"/>
  <c r="DG164" i="2"/>
  <c r="DH164" i="2"/>
  <c r="DF166" i="2"/>
  <c r="DG166" i="2"/>
  <c r="DH166" i="2"/>
  <c r="DF167" i="2"/>
  <c r="DG167" i="2"/>
  <c r="DF168" i="2"/>
  <c r="DG168" i="2"/>
  <c r="DC152" i="2"/>
  <c r="DC153" i="2"/>
  <c r="DC154" i="2"/>
  <c r="DG154" i="2"/>
  <c r="DC155" i="2"/>
  <c r="DC156" i="2"/>
  <c r="DC157" i="2"/>
  <c r="DF169" i="2"/>
  <c r="DG169" i="2"/>
  <c r="DH169" i="2"/>
  <c r="DF170" i="2"/>
  <c r="DG170" i="2"/>
  <c r="DF171" i="2"/>
  <c r="DG171" i="2"/>
  <c r="DH171" i="2"/>
  <c r="DG172" i="2"/>
  <c r="DH172" i="2"/>
  <c r="DG173" i="2"/>
  <c r="DH173" i="2"/>
  <c r="DG174" i="2"/>
  <c r="DG175" i="2"/>
  <c r="DG176" i="2"/>
  <c r="DH176" i="2"/>
  <c r="DG177" i="2"/>
  <c r="DG178" i="2"/>
  <c r="DG179" i="2"/>
  <c r="DG180" i="2"/>
  <c r="DH180" i="2"/>
  <c r="DG181" i="2"/>
  <c r="DH181" i="2"/>
  <c r="DG182" i="2"/>
  <c r="DH182" i="2"/>
  <c r="DG183" i="2"/>
  <c r="DH183" i="2"/>
  <c r="DG184" i="2"/>
  <c r="DH184" i="2"/>
  <c r="DG185" i="2"/>
  <c r="DH185" i="2"/>
  <c r="DG186" i="2"/>
  <c r="DG187" i="2"/>
  <c r="DH187" i="2"/>
  <c r="DG188" i="2"/>
  <c r="DH188" i="2"/>
  <c r="DG189" i="2"/>
  <c r="DG190" i="2"/>
  <c r="DG191" i="2"/>
  <c r="DG192" i="2"/>
  <c r="DG193" i="2"/>
  <c r="DG194" i="2"/>
  <c r="DH194" i="2"/>
  <c r="DG195" i="2"/>
  <c r="DH195" i="2"/>
  <c r="DG196" i="2"/>
  <c r="DG197" i="2"/>
  <c r="DG198" i="2"/>
  <c r="DG200" i="2"/>
  <c r="DH200" i="2"/>
  <c r="DG201" i="2"/>
  <c r="DH201" i="2"/>
  <c r="DG202" i="2"/>
  <c r="DG203" i="2"/>
  <c r="DT156" i="2"/>
  <c r="DU156" i="2"/>
  <c r="DT157" i="2"/>
  <c r="DT158" i="2"/>
  <c r="DT159" i="2"/>
  <c r="DU159" i="2"/>
  <c r="DQ158" i="2"/>
  <c r="DU158" i="2"/>
  <c r="DV158" i="2"/>
  <c r="DQ159" i="2"/>
  <c r="DT160" i="2"/>
  <c r="DU160" i="2"/>
  <c r="DQ160" i="2"/>
  <c r="DT162" i="2"/>
  <c r="DU162" i="2"/>
  <c r="DV162" i="2"/>
  <c r="DT163" i="2"/>
  <c r="DU163" i="2"/>
  <c r="DV163" i="2"/>
  <c r="DT164" i="2"/>
  <c r="DU164" i="2"/>
  <c r="DV164" i="2"/>
  <c r="DT166" i="2"/>
  <c r="DU166" i="2"/>
  <c r="DV166" i="2"/>
  <c r="DT167" i="2"/>
  <c r="DU167" i="2"/>
  <c r="DV167" i="2"/>
  <c r="DT168" i="2"/>
  <c r="DU168" i="2"/>
  <c r="DV168" i="2"/>
  <c r="DT152" i="2"/>
  <c r="DQ152" i="2"/>
  <c r="DU152" i="2"/>
  <c r="DV152" i="2"/>
  <c r="DT153" i="2"/>
  <c r="DQ153" i="2"/>
  <c r="DU153" i="2"/>
  <c r="DT154" i="2"/>
  <c r="DQ154" i="2"/>
  <c r="DQ155" i="2"/>
  <c r="DU155" i="2"/>
  <c r="DQ156" i="2"/>
  <c r="DQ157" i="2"/>
  <c r="DT169" i="2"/>
  <c r="DU169" i="2"/>
  <c r="DV169" i="2"/>
  <c r="DT170" i="2"/>
  <c r="DU170" i="2"/>
  <c r="DV170" i="2"/>
  <c r="DT171" i="2"/>
  <c r="DU171" i="2"/>
  <c r="DV171" i="2"/>
  <c r="DU172" i="2"/>
  <c r="DU173" i="2"/>
  <c r="DU174" i="2"/>
  <c r="DV174" i="2"/>
  <c r="DU175" i="2"/>
  <c r="DU176" i="2"/>
  <c r="DV176" i="2"/>
  <c r="DU177" i="2"/>
  <c r="DU178" i="2"/>
  <c r="DU179" i="2"/>
  <c r="DV179" i="2"/>
  <c r="DU180" i="2"/>
  <c r="DV180" i="2"/>
  <c r="DU181" i="2"/>
  <c r="DV181" i="2"/>
  <c r="DU182" i="2"/>
  <c r="DV182" i="2"/>
  <c r="DU183" i="2"/>
  <c r="DV183" i="2"/>
  <c r="DU184" i="2"/>
  <c r="DU185" i="2"/>
  <c r="DV185" i="2"/>
  <c r="DU186" i="2"/>
  <c r="DU187" i="2"/>
  <c r="DU188" i="2"/>
  <c r="DU189" i="2"/>
  <c r="DU190" i="2"/>
  <c r="DU191" i="2"/>
  <c r="DV191" i="2"/>
  <c r="DU192" i="2"/>
  <c r="DU193" i="2"/>
  <c r="DU194" i="2"/>
  <c r="DV194" i="2"/>
  <c r="DU195" i="2"/>
  <c r="DV195" i="2"/>
  <c r="DU196" i="2"/>
  <c r="DU197" i="2"/>
  <c r="DV197" i="2"/>
  <c r="DU198" i="2"/>
  <c r="DV198" i="2"/>
  <c r="DU200" i="2"/>
  <c r="DU201" i="2"/>
  <c r="DU202" i="2"/>
  <c r="DV202" i="2"/>
  <c r="DU203" i="2"/>
  <c r="DV203" i="2"/>
  <c r="BM179" i="2"/>
  <c r="BQ179" i="2"/>
  <c r="BM183" i="2"/>
  <c r="BP183" i="2"/>
  <c r="BM187" i="2"/>
  <c r="BQ195" i="2"/>
  <c r="BQ199" i="2"/>
  <c r="BQ203" i="2"/>
  <c r="BM180" i="2"/>
  <c r="BM184" i="2"/>
  <c r="BM188" i="2"/>
  <c r="BQ196" i="2"/>
  <c r="BQ200" i="2"/>
  <c r="BM181" i="2"/>
  <c r="BQ181" i="2"/>
  <c r="BM185" i="2"/>
  <c r="BP185" i="2"/>
  <c r="BP189" i="2"/>
  <c r="BQ189" i="2"/>
  <c r="BR189" i="2"/>
  <c r="BM189" i="2"/>
  <c r="BQ197" i="2"/>
  <c r="BQ201" i="2"/>
  <c r="BM182" i="2"/>
  <c r="BM186" i="2"/>
  <c r="BM190" i="2"/>
  <c r="BQ198" i="2"/>
  <c r="BQ202" i="2"/>
  <c r="BM155" i="2"/>
  <c r="BQ155" i="2"/>
  <c r="BP155" i="2"/>
  <c r="BM156" i="2"/>
  <c r="BQ156" i="2"/>
  <c r="BM157" i="2"/>
  <c r="BM158" i="2"/>
  <c r="BP158" i="2"/>
  <c r="BQ158" i="2"/>
  <c r="BM163" i="2"/>
  <c r="BM164" i="2"/>
  <c r="BM165" i="2"/>
  <c r="BP165" i="2"/>
  <c r="BQ165" i="2"/>
  <c r="BR165" i="2"/>
  <c r="BM166" i="2"/>
  <c r="BM167" i="2"/>
  <c r="BP167" i="2"/>
  <c r="BP171" i="2"/>
  <c r="BM168" i="2"/>
  <c r="BM169" i="2"/>
  <c r="BP169" i="2"/>
  <c r="BP173" i="2"/>
  <c r="BP177" i="2"/>
  <c r="BM170" i="2"/>
  <c r="BM171" i="2"/>
  <c r="BM172" i="2"/>
  <c r="BM173" i="2"/>
  <c r="BM174" i="2"/>
  <c r="BM218" i="2"/>
  <c r="BM175" i="2"/>
  <c r="BM176" i="2"/>
  <c r="BM177" i="2"/>
  <c r="BM178" i="2"/>
  <c r="EG152" i="2"/>
  <c r="EG153" i="2"/>
  <c r="EG154" i="2"/>
  <c r="EG155" i="2"/>
  <c r="EG156" i="2"/>
  <c r="EG157" i="2"/>
  <c r="EG158" i="2"/>
  <c r="EG159" i="2"/>
  <c r="EG160" i="2"/>
  <c r="EG162" i="2"/>
  <c r="EG163" i="2"/>
  <c r="EG164" i="2"/>
  <c r="EG165" i="2"/>
  <c r="EG166" i="2"/>
  <c r="EG167" i="2"/>
  <c r="EG168" i="2"/>
  <c r="EG169" i="2"/>
  <c r="EG170" i="2"/>
  <c r="EG171" i="2"/>
  <c r="EG172" i="2"/>
  <c r="EG173" i="2"/>
  <c r="EG174" i="2"/>
  <c r="DS152" i="2"/>
  <c r="DS153" i="2"/>
  <c r="DS154" i="2"/>
  <c r="DS156" i="2"/>
  <c r="DS157" i="2"/>
  <c r="DS158" i="2"/>
  <c r="DS159" i="2"/>
  <c r="DS160" i="2"/>
  <c r="DS162" i="2"/>
  <c r="DS163" i="2"/>
  <c r="DS164" i="2"/>
  <c r="DS165" i="2"/>
  <c r="DS166" i="2"/>
  <c r="DS167" i="2"/>
  <c r="DS168" i="2"/>
  <c r="DS169" i="2"/>
  <c r="DS170" i="2"/>
  <c r="DS171" i="2"/>
  <c r="DS172" i="2"/>
  <c r="DS173" i="2"/>
  <c r="DS174" i="2"/>
  <c r="DE152" i="2"/>
  <c r="DE153" i="2"/>
  <c r="DE154" i="2"/>
  <c r="DE155" i="2"/>
  <c r="DE156" i="2"/>
  <c r="DE157" i="2"/>
  <c r="DE158" i="2"/>
  <c r="DE159" i="2"/>
  <c r="DE160" i="2"/>
  <c r="DE162" i="2"/>
  <c r="DE163" i="2"/>
  <c r="DE164" i="2"/>
  <c r="DE165" i="2"/>
  <c r="DE166" i="2"/>
  <c r="DE167" i="2"/>
  <c r="DE168" i="2"/>
  <c r="DE169" i="2"/>
  <c r="DE170" i="2"/>
  <c r="DE171" i="2"/>
  <c r="DE172" i="2"/>
  <c r="DE173" i="2"/>
  <c r="DE174" i="2"/>
  <c r="CQ152" i="2"/>
  <c r="CQ153" i="2"/>
  <c r="CQ154" i="2"/>
  <c r="CQ155" i="2"/>
  <c r="CQ156" i="2"/>
  <c r="CQ157" i="2"/>
  <c r="CQ158" i="2"/>
  <c r="CQ159" i="2"/>
  <c r="CQ160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C152" i="2"/>
  <c r="CC153" i="2"/>
  <c r="CC154" i="2"/>
  <c r="CC155" i="2"/>
  <c r="CC156" i="2"/>
  <c r="CC157" i="2"/>
  <c r="CC158" i="2"/>
  <c r="CC159" i="2"/>
  <c r="CC160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BO166" i="2"/>
  <c r="BO170" i="2"/>
  <c r="BO174" i="2"/>
  <c r="B195" i="2"/>
  <c r="B199" i="2"/>
  <c r="B203" i="2"/>
  <c r="DY300" i="2"/>
  <c r="EA300" i="2"/>
  <c r="EC300" i="2"/>
  <c r="EE300" i="2"/>
  <c r="EH300" i="2"/>
  <c r="DY301" i="2"/>
  <c r="EA301" i="2"/>
  <c r="EC301" i="2"/>
  <c r="EE301" i="2"/>
  <c r="DY302" i="2"/>
  <c r="EA302" i="2"/>
  <c r="EC302" i="2"/>
  <c r="EE302" i="2"/>
  <c r="DY303" i="2"/>
  <c r="EA303" i="2"/>
  <c r="EC303" i="2"/>
  <c r="EE303" i="2"/>
  <c r="DY304" i="2"/>
  <c r="EA304" i="2"/>
  <c r="EC304" i="2"/>
  <c r="EE304" i="2"/>
  <c r="DY305" i="2"/>
  <c r="EA305" i="2"/>
  <c r="EC305" i="2"/>
  <c r="EE305" i="2"/>
  <c r="A287" i="2"/>
  <c r="AZ166" i="2"/>
  <c r="AV166" i="2"/>
  <c r="AZ165" i="2"/>
  <c r="AV165" i="2"/>
  <c r="AZ164" i="2"/>
  <c r="AZ168" i="2"/>
  <c r="AX196" i="2"/>
  <c r="AX200" i="2"/>
  <c r="BC200" i="2"/>
  <c r="AX195" i="2"/>
  <c r="BC195" i="2"/>
  <c r="AX199" i="2"/>
  <c r="AX197" i="2"/>
  <c r="AX201" i="2"/>
  <c r="AX198" i="2"/>
  <c r="AX202" i="2"/>
  <c r="BC202" i="2"/>
  <c r="AV164" i="2"/>
  <c r="AZ163" i="2"/>
  <c r="AZ167" i="2"/>
  <c r="AV163" i="2"/>
  <c r="AZ158" i="2"/>
  <c r="AV158" i="2"/>
  <c r="AZ157" i="2"/>
  <c r="AV157" i="2"/>
  <c r="AZ156" i="2"/>
  <c r="AV156" i="2"/>
  <c r="AZ155" i="2"/>
  <c r="AV155" i="2"/>
  <c r="AH166" i="2"/>
  <c r="AL165" i="2"/>
  <c r="AL169" i="2"/>
  <c r="AJ198" i="2"/>
  <c r="AO198" i="2"/>
  <c r="AJ202" i="2"/>
  <c r="AH165" i="2"/>
  <c r="AL164" i="2"/>
  <c r="AO164" i="2"/>
  <c r="AH164" i="2"/>
  <c r="AL163" i="2"/>
  <c r="AJ195" i="2"/>
  <c r="AJ199" i="2"/>
  <c r="AO199" i="2"/>
  <c r="AH163" i="2"/>
  <c r="AL158" i="2"/>
  <c r="AH158" i="2"/>
  <c r="AL157" i="2"/>
  <c r="AH157" i="2"/>
  <c r="AL156" i="2"/>
  <c r="AH156" i="2"/>
  <c r="AL155" i="2"/>
  <c r="AH155" i="2"/>
  <c r="X166" i="2"/>
  <c r="X170" i="2"/>
  <c r="X174" i="2"/>
  <c r="X178" i="2"/>
  <c r="X182" i="2"/>
  <c r="X186" i="2"/>
  <c r="X190" i="2"/>
  <c r="T166" i="2"/>
  <c r="X165" i="2"/>
  <c r="X169" i="2"/>
  <c r="X173" i="2"/>
  <c r="X177" i="2"/>
  <c r="X181" i="2"/>
  <c r="X185" i="2"/>
  <c r="X189" i="2"/>
  <c r="AA165" i="2"/>
  <c r="T165" i="2"/>
  <c r="AA164" i="2"/>
  <c r="T164" i="2"/>
  <c r="X163" i="2"/>
  <c r="T163" i="2"/>
  <c r="X158" i="2"/>
  <c r="T158" i="2"/>
  <c r="X157" i="2"/>
  <c r="T157" i="2"/>
  <c r="X156" i="2"/>
  <c r="T156" i="2"/>
  <c r="X155" i="2"/>
  <c r="T155" i="2"/>
  <c r="J166" i="2"/>
  <c r="J170" i="2"/>
  <c r="J174" i="2"/>
  <c r="J178" i="2"/>
  <c r="F166" i="2"/>
  <c r="J165" i="2"/>
  <c r="M165" i="2"/>
  <c r="F165" i="2"/>
  <c r="J164" i="2"/>
  <c r="J168" i="2"/>
  <c r="F164" i="2"/>
  <c r="H196" i="2"/>
  <c r="M196" i="2"/>
  <c r="H200" i="2"/>
  <c r="M200" i="2"/>
  <c r="H216" i="2"/>
  <c r="J163" i="2"/>
  <c r="F163" i="2"/>
  <c r="J158" i="2"/>
  <c r="F158" i="2"/>
  <c r="J157" i="2"/>
  <c r="F157" i="2"/>
  <c r="J156" i="2"/>
  <c r="F156" i="2"/>
  <c r="J155" i="2"/>
  <c r="F155" i="2"/>
  <c r="BO190" i="2"/>
  <c r="BO189" i="2"/>
  <c r="BO188" i="2"/>
  <c r="BO179" i="2"/>
  <c r="BO183" i="2"/>
  <c r="BO187" i="2"/>
  <c r="BO169" i="2"/>
  <c r="BO173" i="2"/>
  <c r="BO164" i="2"/>
  <c r="BO168" i="2"/>
  <c r="BO172" i="2"/>
  <c r="BO167" i="2"/>
  <c r="BO171" i="2"/>
  <c r="EC160" i="2"/>
  <c r="EC159" i="2"/>
  <c r="EC158" i="2"/>
  <c r="EC157" i="2"/>
  <c r="EC156" i="2"/>
  <c r="EC155" i="2"/>
  <c r="DO160" i="2"/>
  <c r="DO159" i="2"/>
  <c r="DO158" i="2"/>
  <c r="DO157" i="2"/>
  <c r="DV156" i="2"/>
  <c r="DO156" i="2"/>
  <c r="DV155" i="2"/>
  <c r="DO155" i="2"/>
  <c r="DA160" i="2"/>
  <c r="DA159" i="2"/>
  <c r="DA158" i="2"/>
  <c r="DA157" i="2"/>
  <c r="DA156" i="2"/>
  <c r="DA155" i="2"/>
  <c r="CM160" i="2"/>
  <c r="CM159" i="2"/>
  <c r="CM158" i="2"/>
  <c r="CM157" i="2"/>
  <c r="CM156" i="2"/>
  <c r="CM155" i="2"/>
  <c r="AZ170" i="2"/>
  <c r="AZ174" i="2"/>
  <c r="AZ178" i="2"/>
  <c r="AZ182" i="2"/>
  <c r="AZ186" i="2"/>
  <c r="AZ190" i="2"/>
  <c r="AV190" i="2"/>
  <c r="AZ169" i="2"/>
  <c r="AZ173" i="2"/>
  <c r="AZ177" i="2"/>
  <c r="AZ181" i="2"/>
  <c r="AZ185" i="2"/>
  <c r="AZ189" i="2"/>
  <c r="AV189" i="2"/>
  <c r="AZ172" i="2"/>
  <c r="AZ176" i="2"/>
  <c r="AZ180" i="2"/>
  <c r="AZ184" i="2"/>
  <c r="AZ188" i="2"/>
  <c r="AV188" i="2"/>
  <c r="AZ187" i="2"/>
  <c r="AV187" i="2"/>
  <c r="AV186" i="2"/>
  <c r="AV185" i="2"/>
  <c r="AV184" i="2"/>
  <c r="AV183" i="2"/>
  <c r="AV182" i="2"/>
  <c r="AV181" i="2"/>
  <c r="AV180" i="2"/>
  <c r="AZ171" i="2"/>
  <c r="AZ175" i="2"/>
  <c r="AZ179" i="2"/>
  <c r="AV179" i="2"/>
  <c r="AV178" i="2"/>
  <c r="AV177" i="2"/>
  <c r="AV176" i="2"/>
  <c r="BC175" i="2"/>
  <c r="AV175" i="2"/>
  <c r="AV174" i="2"/>
  <c r="AV173" i="2"/>
  <c r="AV172" i="2"/>
  <c r="AV171" i="2"/>
  <c r="AV170" i="2"/>
  <c r="AV169" i="2"/>
  <c r="AV168" i="2"/>
  <c r="AV167" i="2"/>
  <c r="AL190" i="2"/>
  <c r="AH190" i="2"/>
  <c r="AH189" i="2"/>
  <c r="AL168" i="2"/>
  <c r="AL172" i="2"/>
  <c r="AL176" i="2"/>
  <c r="AL180" i="2"/>
  <c r="AL184" i="2"/>
  <c r="AL188" i="2"/>
  <c r="AH188" i="2"/>
  <c r="AL183" i="2"/>
  <c r="AL187" i="2"/>
  <c r="AO187" i="2"/>
  <c r="AH187" i="2"/>
  <c r="AH186" i="2"/>
  <c r="AO185" i="2"/>
  <c r="AH185" i="2"/>
  <c r="AH184" i="2"/>
  <c r="AH183" i="2"/>
  <c r="AL170" i="2"/>
  <c r="AL174" i="2"/>
  <c r="AL178" i="2"/>
  <c r="AL182" i="2"/>
  <c r="AH182" i="2"/>
  <c r="AL173" i="2"/>
  <c r="AL177" i="2"/>
  <c r="AL181" i="2"/>
  <c r="AH181" i="2"/>
  <c r="AH180" i="2"/>
  <c r="AH179" i="2"/>
  <c r="AH178" i="2"/>
  <c r="AH177" i="2"/>
  <c r="AH176" i="2"/>
  <c r="AL167" i="2"/>
  <c r="AL171" i="2"/>
  <c r="AL175" i="2"/>
  <c r="AH175" i="2"/>
  <c r="AH174" i="2"/>
  <c r="AH173" i="2"/>
  <c r="AH172" i="2"/>
  <c r="AH171" i="2"/>
  <c r="AH170" i="2"/>
  <c r="AH169" i="2"/>
  <c r="AH168" i="2"/>
  <c r="AH167" i="2"/>
  <c r="T190" i="2"/>
  <c r="T189" i="2"/>
  <c r="X168" i="2"/>
  <c r="X172" i="2"/>
  <c r="X176" i="2"/>
  <c r="X180" i="2"/>
  <c r="X184" i="2"/>
  <c r="X188" i="2"/>
  <c r="T188" i="2"/>
  <c r="X167" i="2"/>
  <c r="X171" i="2"/>
  <c r="X175" i="2"/>
  <c r="X179" i="2"/>
  <c r="X183" i="2"/>
  <c r="X187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J186" i="2"/>
  <c r="J190" i="2"/>
  <c r="BP218" i="2"/>
  <c r="BO218" i="2"/>
  <c r="BA218" i="2"/>
  <c r="AZ218" i="2"/>
  <c r="AM218" i="2"/>
  <c r="AL218" i="2"/>
  <c r="Y218" i="2"/>
  <c r="X218" i="2"/>
  <c r="K218" i="2"/>
  <c r="J218" i="2"/>
  <c r="BP217" i="2"/>
  <c r="BO217" i="2"/>
  <c r="BA217" i="2"/>
  <c r="AZ217" i="2"/>
  <c r="AM217" i="2"/>
  <c r="AL217" i="2"/>
  <c r="Y217" i="2"/>
  <c r="X217" i="2"/>
  <c r="K217" i="2"/>
  <c r="J217" i="2"/>
  <c r="BP216" i="2"/>
  <c r="BO216" i="2"/>
  <c r="BA216" i="2"/>
  <c r="AZ216" i="2"/>
  <c r="AM216" i="2"/>
  <c r="AL216" i="2"/>
  <c r="Y216" i="2"/>
  <c r="X216" i="2"/>
  <c r="K216" i="2"/>
  <c r="J216" i="2"/>
  <c r="BP215" i="2"/>
  <c r="BO215" i="2"/>
  <c r="BA215" i="2"/>
  <c r="AZ215" i="2"/>
  <c r="AM215" i="2"/>
  <c r="AL215" i="2"/>
  <c r="Y215" i="2"/>
  <c r="X215" i="2"/>
  <c r="K215" i="2"/>
  <c r="J215" i="2"/>
  <c r="BQ206" i="2"/>
  <c r="BO206" i="2"/>
  <c r="BM206" i="2"/>
  <c r="BR206" i="2"/>
  <c r="BK206" i="2"/>
  <c r="BI206" i="2"/>
  <c r="BP206" i="2"/>
  <c r="AX206" i="2"/>
  <c r="BC206" i="2"/>
  <c r="BB206" i="2"/>
  <c r="AZ206" i="2"/>
  <c r="AV206" i="2"/>
  <c r="AT206" i="2"/>
  <c r="BA206" i="2"/>
  <c r="AJ206" i="2"/>
  <c r="AO206" i="2"/>
  <c r="AN206" i="2"/>
  <c r="AF206" i="2"/>
  <c r="AM206" i="2"/>
  <c r="AL206" i="2"/>
  <c r="AH206" i="2"/>
  <c r="Z206" i="2"/>
  <c r="X206" i="2"/>
  <c r="V206" i="2"/>
  <c r="AA206" i="2"/>
  <c r="T206" i="2"/>
  <c r="R206" i="2"/>
  <c r="Y206" i="2"/>
  <c r="H206" i="2"/>
  <c r="M206" i="2"/>
  <c r="L206" i="2"/>
  <c r="D206" i="2"/>
  <c r="K206" i="2"/>
  <c r="J206" i="2"/>
  <c r="F206" i="2"/>
  <c r="BQ205" i="2"/>
  <c r="BO205" i="2"/>
  <c r="BM205" i="2"/>
  <c r="BR205" i="2"/>
  <c r="BK205" i="2"/>
  <c r="BI205" i="2"/>
  <c r="BP205" i="2"/>
  <c r="BB205" i="2"/>
  <c r="AZ205" i="2"/>
  <c r="AX205" i="2"/>
  <c r="BC205" i="2"/>
  <c r="AV205" i="2"/>
  <c r="AT205" i="2"/>
  <c r="BA205" i="2"/>
  <c r="AN205" i="2"/>
  <c r="AL205" i="2"/>
  <c r="AJ205" i="2"/>
  <c r="AO205" i="2"/>
  <c r="AH205" i="2"/>
  <c r="AF205" i="2"/>
  <c r="AM205" i="2"/>
  <c r="Z205" i="2"/>
  <c r="R205" i="2"/>
  <c r="Y205" i="2"/>
  <c r="X205" i="2"/>
  <c r="V205" i="2"/>
  <c r="AA205" i="2"/>
  <c r="T205" i="2"/>
  <c r="H205" i="2"/>
  <c r="M205" i="2"/>
  <c r="L205" i="2"/>
  <c r="J205" i="2"/>
  <c r="F205" i="2"/>
  <c r="D205" i="2"/>
  <c r="K205" i="2"/>
  <c r="BQ204" i="2"/>
  <c r="BI204" i="2"/>
  <c r="BP204" i="2"/>
  <c r="BO204" i="2"/>
  <c r="BM204" i="2"/>
  <c r="BR204" i="2"/>
  <c r="BK204" i="2"/>
  <c r="BB204" i="2"/>
  <c r="AZ204" i="2"/>
  <c r="AX204" i="2"/>
  <c r="BC204" i="2"/>
  <c r="AV204" i="2"/>
  <c r="AT204" i="2"/>
  <c r="BA204" i="2"/>
  <c r="AN204" i="2"/>
  <c r="AL204" i="2"/>
  <c r="AJ204" i="2"/>
  <c r="AO204" i="2"/>
  <c r="AH204" i="2"/>
  <c r="AF204" i="2"/>
  <c r="AM204" i="2"/>
  <c r="Z204" i="2"/>
  <c r="X204" i="2"/>
  <c r="V204" i="2"/>
  <c r="AA204" i="2"/>
  <c r="T204" i="2"/>
  <c r="R204" i="2"/>
  <c r="Y204" i="2"/>
  <c r="L204" i="2"/>
  <c r="J204" i="2"/>
  <c r="H204" i="2"/>
  <c r="M204" i="2"/>
  <c r="F204" i="2"/>
  <c r="D204" i="2"/>
  <c r="K204" i="2"/>
  <c r="BO203" i="2"/>
  <c r="BM203" i="2"/>
  <c r="BR203" i="2"/>
  <c r="BK203" i="2"/>
  <c r="BP203" i="2"/>
  <c r="BF203" i="2"/>
  <c r="EE203" i="2"/>
  <c r="DQ203" i="2"/>
  <c r="DH203" i="2"/>
  <c r="DC203" i="2"/>
  <c r="CT203" i="2"/>
  <c r="CO203" i="2"/>
  <c r="CE203" i="2"/>
  <c r="CF203" i="2"/>
  <c r="CA203" i="2"/>
  <c r="AZ203" i="2"/>
  <c r="AX203" i="2"/>
  <c r="BC203" i="2"/>
  <c r="AV203" i="2"/>
  <c r="BA203" i="2"/>
  <c r="AR203" i="2"/>
  <c r="AL203" i="2"/>
  <c r="AJ203" i="2"/>
  <c r="AO203" i="2"/>
  <c r="AH203" i="2"/>
  <c r="AM203" i="2"/>
  <c r="AD203" i="2"/>
  <c r="V203" i="2"/>
  <c r="AA203" i="2"/>
  <c r="X203" i="2"/>
  <c r="T203" i="2"/>
  <c r="P203" i="2"/>
  <c r="J203" i="2"/>
  <c r="H203" i="2"/>
  <c r="M203" i="2"/>
  <c r="F203" i="2"/>
  <c r="K203" i="2"/>
  <c r="BO202" i="2"/>
  <c r="BM202" i="2"/>
  <c r="BR202" i="2"/>
  <c r="BK202" i="2"/>
  <c r="BP202" i="2"/>
  <c r="EJ202" i="2"/>
  <c r="EE202" i="2"/>
  <c r="DQ202" i="2"/>
  <c r="DH202" i="2"/>
  <c r="DC202" i="2"/>
  <c r="CT202" i="2"/>
  <c r="CO202" i="2"/>
  <c r="CE202" i="2"/>
  <c r="CF202" i="2"/>
  <c r="CA202" i="2"/>
  <c r="AZ202" i="2"/>
  <c r="AV202" i="2"/>
  <c r="AL202" i="2"/>
  <c r="AO202" i="2"/>
  <c r="AH202" i="2"/>
  <c r="X202" i="2"/>
  <c r="V202" i="2"/>
  <c r="AA202" i="2"/>
  <c r="T202" i="2"/>
  <c r="Y202" i="2"/>
  <c r="H202" i="2"/>
  <c r="M202" i="2"/>
  <c r="J202" i="2"/>
  <c r="F202" i="2"/>
  <c r="K202" i="2"/>
  <c r="BO201" i="2"/>
  <c r="BM201" i="2"/>
  <c r="BR201" i="2"/>
  <c r="BK201" i="2"/>
  <c r="EE201" i="2"/>
  <c r="DV201" i="2"/>
  <c r="DQ201" i="2"/>
  <c r="DC201" i="2"/>
  <c r="CO201" i="2"/>
  <c r="CE201" i="2"/>
  <c r="CF201" i="2"/>
  <c r="CA201" i="2"/>
  <c r="BC201" i="2"/>
  <c r="AZ201" i="2"/>
  <c r="AV201" i="2"/>
  <c r="BA201" i="2"/>
  <c r="AL201" i="2"/>
  <c r="AJ201" i="2"/>
  <c r="AO201" i="2"/>
  <c r="AH201" i="2"/>
  <c r="V201" i="2"/>
  <c r="AA201" i="2"/>
  <c r="X201" i="2"/>
  <c r="T201" i="2"/>
  <c r="J201" i="2"/>
  <c r="H201" i="2"/>
  <c r="M201" i="2"/>
  <c r="F201" i="2"/>
  <c r="K201" i="2"/>
  <c r="BO200" i="2"/>
  <c r="BM200" i="2"/>
  <c r="BR200" i="2"/>
  <c r="BK200" i="2"/>
  <c r="BP200" i="2"/>
  <c r="EE200" i="2"/>
  <c r="DV200" i="2"/>
  <c r="DQ200" i="2"/>
  <c r="DC200" i="2"/>
  <c r="CO200" i="2"/>
  <c r="CE200" i="2"/>
  <c r="CF200" i="2"/>
  <c r="CA200" i="2"/>
  <c r="AZ200" i="2"/>
  <c r="AV200" i="2"/>
  <c r="AL200" i="2"/>
  <c r="AJ200" i="2"/>
  <c r="AO200" i="2"/>
  <c r="AH200" i="2"/>
  <c r="AM200" i="2"/>
  <c r="X200" i="2"/>
  <c r="V200" i="2"/>
  <c r="AA200" i="2"/>
  <c r="T200" i="2"/>
  <c r="J200" i="2"/>
  <c r="F200" i="2"/>
  <c r="BP199" i="2"/>
  <c r="BO199" i="2"/>
  <c r="BM199" i="2"/>
  <c r="BR199" i="2"/>
  <c r="BK199" i="2"/>
  <c r="BF199" i="2"/>
  <c r="AZ199" i="2"/>
  <c r="BC199" i="2"/>
  <c r="AV199" i="2"/>
  <c r="BA199" i="2"/>
  <c r="AR199" i="2"/>
  <c r="AM199" i="2"/>
  <c r="AL199" i="2"/>
  <c r="AH199" i="2"/>
  <c r="AD199" i="2"/>
  <c r="X199" i="2"/>
  <c r="V199" i="2"/>
  <c r="AA199" i="2"/>
  <c r="T199" i="2"/>
  <c r="Y199" i="2"/>
  <c r="P199" i="2"/>
  <c r="J199" i="2"/>
  <c r="H199" i="2"/>
  <c r="M199" i="2"/>
  <c r="F199" i="2"/>
  <c r="BM198" i="2"/>
  <c r="BR198" i="2"/>
  <c r="BO198" i="2"/>
  <c r="BK198" i="2"/>
  <c r="EJ198" i="2"/>
  <c r="EE198" i="2"/>
  <c r="DQ198" i="2"/>
  <c r="DH198" i="2"/>
  <c r="DC198" i="2"/>
  <c r="CO198" i="2"/>
  <c r="CE198" i="2"/>
  <c r="CF198" i="2"/>
  <c r="CA198" i="2"/>
  <c r="AZ198" i="2"/>
  <c r="BC198" i="2"/>
  <c r="AV198" i="2"/>
  <c r="BA198" i="2"/>
  <c r="AL198" i="2"/>
  <c r="AH198" i="2"/>
  <c r="Y198" i="2"/>
  <c r="X198" i="2"/>
  <c r="V198" i="2"/>
  <c r="AA198" i="2"/>
  <c r="T198" i="2"/>
  <c r="H198" i="2"/>
  <c r="M198" i="2"/>
  <c r="J198" i="2"/>
  <c r="F198" i="2"/>
  <c r="K198" i="2"/>
  <c r="BM197" i="2"/>
  <c r="BR197" i="2"/>
  <c r="BO197" i="2"/>
  <c r="BK197" i="2"/>
  <c r="EE197" i="2"/>
  <c r="DQ197" i="2"/>
  <c r="DH197" i="2"/>
  <c r="DC197" i="2"/>
  <c r="CT197" i="2"/>
  <c r="CO197" i="2"/>
  <c r="CE197" i="2"/>
  <c r="CF197" i="2"/>
  <c r="CA197" i="2"/>
  <c r="BA197" i="2"/>
  <c r="AZ197" i="2"/>
  <c r="BC197" i="2"/>
  <c r="AV197" i="2"/>
  <c r="AL197" i="2"/>
  <c r="AJ197" i="2"/>
  <c r="AO197" i="2"/>
  <c r="AH197" i="2"/>
  <c r="AM197" i="2"/>
  <c r="X197" i="2"/>
  <c r="V197" i="2"/>
  <c r="AA197" i="2"/>
  <c r="T197" i="2"/>
  <c r="J197" i="2"/>
  <c r="H197" i="2"/>
  <c r="M197" i="2"/>
  <c r="F197" i="2"/>
  <c r="BO196" i="2"/>
  <c r="BM196" i="2"/>
  <c r="BR196" i="2"/>
  <c r="BK196" i="2"/>
  <c r="EE196" i="2"/>
  <c r="DV196" i="2"/>
  <c r="DQ196" i="2"/>
  <c r="DH196" i="2"/>
  <c r="DC196" i="2"/>
  <c r="CT196" i="2"/>
  <c r="CO196" i="2"/>
  <c r="CE196" i="2"/>
  <c r="CF196" i="2"/>
  <c r="CA196" i="2"/>
  <c r="AZ196" i="2"/>
  <c r="BC196" i="2"/>
  <c r="AV196" i="2"/>
  <c r="BA196" i="2"/>
  <c r="AJ196" i="2"/>
  <c r="AO196" i="2"/>
  <c r="AL196" i="2"/>
  <c r="AH196" i="2"/>
  <c r="X196" i="2"/>
  <c r="V196" i="2"/>
  <c r="AA196" i="2"/>
  <c r="T196" i="2"/>
  <c r="J196" i="2"/>
  <c r="F196" i="2"/>
  <c r="BO195" i="2"/>
  <c r="BM195" i="2"/>
  <c r="BR195" i="2"/>
  <c r="BK195" i="2"/>
  <c r="BP195" i="2"/>
  <c r="BF195" i="2"/>
  <c r="EJ195" i="2"/>
  <c r="EE195" i="2"/>
  <c r="DQ195" i="2"/>
  <c r="DC195" i="2"/>
  <c r="CO195" i="2"/>
  <c r="CE195" i="2"/>
  <c r="CF195" i="2"/>
  <c r="CA195" i="2"/>
  <c r="AZ195" i="2"/>
  <c r="AV195" i="2"/>
  <c r="BA195" i="2"/>
  <c r="AR195" i="2"/>
  <c r="AO195" i="2"/>
  <c r="AL195" i="2"/>
  <c r="AH195" i="2"/>
  <c r="AD195" i="2"/>
  <c r="Y195" i="2"/>
  <c r="X195" i="2"/>
  <c r="V195" i="2"/>
  <c r="AA195" i="2"/>
  <c r="T195" i="2"/>
  <c r="P195" i="2"/>
  <c r="J195" i="2"/>
  <c r="H195" i="2"/>
  <c r="M195" i="2"/>
  <c r="F195" i="2"/>
  <c r="K195" i="2"/>
  <c r="EJ194" i="2"/>
  <c r="EE194" i="2"/>
  <c r="DQ194" i="2"/>
  <c r="DC194" i="2"/>
  <c r="CO194" i="2"/>
  <c r="CE194" i="2"/>
  <c r="CF194" i="2"/>
  <c r="CA194" i="2"/>
  <c r="EE193" i="2"/>
  <c r="DV193" i="2"/>
  <c r="DQ193" i="2"/>
  <c r="DH193" i="2"/>
  <c r="DC193" i="2"/>
  <c r="CO193" i="2"/>
  <c r="CE193" i="2"/>
  <c r="CF193" i="2"/>
  <c r="CA193" i="2"/>
  <c r="EE192" i="2"/>
  <c r="DV192" i="2"/>
  <c r="DQ192" i="2"/>
  <c r="DH192" i="2"/>
  <c r="DC192" i="2"/>
  <c r="CO192" i="2"/>
  <c r="CE192" i="2"/>
  <c r="CF192" i="2"/>
  <c r="CA192" i="2"/>
  <c r="EJ191" i="2"/>
  <c r="EE191" i="2"/>
  <c r="DQ191" i="2"/>
  <c r="DH191" i="2"/>
  <c r="DC191" i="2"/>
  <c r="CO191" i="2"/>
  <c r="CE191" i="2"/>
  <c r="CF191" i="2"/>
  <c r="CA191" i="2"/>
  <c r="BK190" i="2"/>
  <c r="EJ190" i="2"/>
  <c r="EE190" i="2"/>
  <c r="DV190" i="2"/>
  <c r="DQ190" i="2"/>
  <c r="DH190" i="2"/>
  <c r="DC190" i="2"/>
  <c r="CT190" i="2"/>
  <c r="CO190" i="2"/>
  <c r="CE190" i="2"/>
  <c r="CF190" i="2"/>
  <c r="CA190" i="2"/>
  <c r="F190" i="2"/>
  <c r="BK189" i="2"/>
  <c r="EJ189" i="2"/>
  <c r="EE189" i="2"/>
  <c r="DV189" i="2"/>
  <c r="DQ189" i="2"/>
  <c r="DH189" i="2"/>
  <c r="DC189" i="2"/>
  <c r="CO189" i="2"/>
  <c r="CE189" i="2"/>
  <c r="CF189" i="2"/>
  <c r="CA189" i="2"/>
  <c r="F189" i="2"/>
  <c r="BK188" i="2"/>
  <c r="EJ188" i="2"/>
  <c r="EE188" i="2"/>
  <c r="DV188" i="2"/>
  <c r="DQ188" i="2"/>
  <c r="DC188" i="2"/>
  <c r="CO188" i="2"/>
  <c r="CE188" i="2"/>
  <c r="CF188" i="2"/>
  <c r="CA188" i="2"/>
  <c r="F188" i="2"/>
  <c r="BK187" i="2"/>
  <c r="BF187" i="2"/>
  <c r="EJ187" i="2"/>
  <c r="EE187" i="2"/>
  <c r="DV187" i="2"/>
  <c r="DQ187" i="2"/>
  <c r="DC187" i="2"/>
  <c r="CT187" i="2"/>
  <c r="CO187" i="2"/>
  <c r="CE187" i="2"/>
  <c r="CF187" i="2"/>
  <c r="CA187" i="2"/>
  <c r="AR187" i="2"/>
  <c r="AD187" i="2"/>
  <c r="P187" i="2"/>
  <c r="F187" i="2"/>
  <c r="BK186" i="2"/>
  <c r="EE186" i="2"/>
  <c r="DV186" i="2"/>
  <c r="DQ186" i="2"/>
  <c r="DH186" i="2"/>
  <c r="DC186" i="2"/>
  <c r="CO186" i="2"/>
  <c r="CE186" i="2"/>
  <c r="CF186" i="2"/>
  <c r="CA186" i="2"/>
  <c r="F186" i="2"/>
  <c r="BK185" i="2"/>
  <c r="EE185" i="2"/>
  <c r="DQ185" i="2"/>
  <c r="DC185" i="2"/>
  <c r="CO185" i="2"/>
  <c r="CE185" i="2"/>
  <c r="CF185" i="2"/>
  <c r="CA185" i="2"/>
  <c r="F185" i="2"/>
  <c r="BK184" i="2"/>
  <c r="EJ184" i="2"/>
  <c r="EE184" i="2"/>
  <c r="DV184" i="2"/>
  <c r="DQ184" i="2"/>
  <c r="DC184" i="2"/>
  <c r="CT184" i="2"/>
  <c r="CO184" i="2"/>
  <c r="CE184" i="2"/>
  <c r="CF184" i="2"/>
  <c r="CA184" i="2"/>
  <c r="F184" i="2"/>
  <c r="BK183" i="2"/>
  <c r="BF183" i="2"/>
  <c r="EJ183" i="2"/>
  <c r="EE183" i="2"/>
  <c r="DQ183" i="2"/>
  <c r="DC183" i="2"/>
  <c r="CO183" i="2"/>
  <c r="CE183" i="2"/>
  <c r="CF183" i="2"/>
  <c r="CA183" i="2"/>
  <c r="AR183" i="2"/>
  <c r="AD183" i="2"/>
  <c r="P183" i="2"/>
  <c r="F183" i="2"/>
  <c r="BK182" i="2"/>
  <c r="EJ182" i="2"/>
  <c r="EE182" i="2"/>
  <c r="DQ182" i="2"/>
  <c r="DC182" i="2"/>
  <c r="CO182" i="2"/>
  <c r="CE182" i="2"/>
  <c r="CF182" i="2"/>
  <c r="CA182" i="2"/>
  <c r="F182" i="2"/>
  <c r="BO181" i="2"/>
  <c r="BK181" i="2"/>
  <c r="EE181" i="2"/>
  <c r="DQ181" i="2"/>
  <c r="DC181" i="2"/>
  <c r="CT181" i="2"/>
  <c r="CO181" i="2"/>
  <c r="CE181" i="2"/>
  <c r="CF181" i="2"/>
  <c r="CA181" i="2"/>
  <c r="F181" i="2"/>
  <c r="BK180" i="2"/>
  <c r="EE180" i="2"/>
  <c r="DQ180" i="2"/>
  <c r="DC180" i="2"/>
  <c r="CT180" i="2"/>
  <c r="CO180" i="2"/>
  <c r="CE180" i="2"/>
  <c r="CF180" i="2"/>
  <c r="CA180" i="2"/>
  <c r="F180" i="2"/>
  <c r="BK179" i="2"/>
  <c r="BF179" i="2"/>
  <c r="EE179" i="2"/>
  <c r="DQ179" i="2"/>
  <c r="DH179" i="2"/>
  <c r="DC179" i="2"/>
  <c r="CO179" i="2"/>
  <c r="CE179" i="2"/>
  <c r="CF179" i="2"/>
  <c r="CA179" i="2"/>
  <c r="AR179" i="2"/>
  <c r="AD179" i="2"/>
  <c r="P179" i="2"/>
  <c r="F179" i="2"/>
  <c r="BK178" i="2"/>
  <c r="EE178" i="2"/>
  <c r="DV178" i="2"/>
  <c r="DQ178" i="2"/>
  <c r="DH178" i="2"/>
  <c r="DC178" i="2"/>
  <c r="CT178" i="2"/>
  <c r="CO178" i="2"/>
  <c r="CE178" i="2"/>
  <c r="CF178" i="2"/>
  <c r="CA178" i="2"/>
  <c r="F178" i="2"/>
  <c r="BK177" i="2"/>
  <c r="EJ177" i="2"/>
  <c r="EE177" i="2"/>
  <c r="DV177" i="2"/>
  <c r="DQ177" i="2"/>
  <c r="DH177" i="2"/>
  <c r="DC177" i="2"/>
  <c r="CT177" i="2"/>
  <c r="CO177" i="2"/>
  <c r="CE177" i="2"/>
  <c r="CF177" i="2"/>
  <c r="CA177" i="2"/>
  <c r="F177" i="2"/>
  <c r="BK176" i="2"/>
  <c r="BF176" i="2"/>
  <c r="EJ176" i="2"/>
  <c r="EE176" i="2"/>
  <c r="EC176" i="2"/>
  <c r="DQ176" i="2"/>
  <c r="DO176" i="2"/>
  <c r="DC176" i="2"/>
  <c r="DA176" i="2"/>
  <c r="CO176" i="2"/>
  <c r="CM176" i="2"/>
  <c r="CE176" i="2"/>
  <c r="CF176" i="2"/>
  <c r="CA176" i="2"/>
  <c r="BY176" i="2"/>
  <c r="AR176" i="2"/>
  <c r="AD176" i="2"/>
  <c r="P176" i="2"/>
  <c r="F176" i="2"/>
  <c r="BK175" i="2"/>
  <c r="BF175" i="2"/>
  <c r="EJ175" i="2"/>
  <c r="EE175" i="2"/>
  <c r="EC175" i="2"/>
  <c r="DV175" i="2"/>
  <c r="DQ175" i="2"/>
  <c r="DO175" i="2"/>
  <c r="DH175" i="2"/>
  <c r="DC175" i="2"/>
  <c r="DA175" i="2"/>
  <c r="CT175" i="2"/>
  <c r="CO175" i="2"/>
  <c r="CM175" i="2"/>
  <c r="CE175" i="2"/>
  <c r="CF175" i="2"/>
  <c r="CA175" i="2"/>
  <c r="BY175" i="2"/>
  <c r="AR175" i="2"/>
  <c r="AD175" i="2"/>
  <c r="P175" i="2"/>
  <c r="F175" i="2"/>
  <c r="BK174" i="2"/>
  <c r="EJ174" i="2"/>
  <c r="EE174" i="2"/>
  <c r="DQ174" i="2"/>
  <c r="DH174" i="2"/>
  <c r="DC174" i="2"/>
  <c r="CO174" i="2"/>
  <c r="CE174" i="2"/>
  <c r="CF174" i="2"/>
  <c r="CA174" i="2"/>
  <c r="F174" i="2"/>
  <c r="BK173" i="2"/>
  <c r="EE173" i="2"/>
  <c r="EC173" i="2"/>
  <c r="DV173" i="2"/>
  <c r="DQ173" i="2"/>
  <c r="DO173" i="2"/>
  <c r="DC173" i="2"/>
  <c r="DA173" i="2"/>
  <c r="CO173" i="2"/>
  <c r="CM173" i="2"/>
  <c r="CE173" i="2"/>
  <c r="CF173" i="2"/>
  <c r="CA173" i="2"/>
  <c r="BY173" i="2"/>
  <c r="F173" i="2"/>
  <c r="BK172" i="2"/>
  <c r="EE172" i="2"/>
  <c r="EC172" i="2"/>
  <c r="DV172" i="2"/>
  <c r="DQ172" i="2"/>
  <c r="DO172" i="2"/>
  <c r="DC172" i="2"/>
  <c r="DA172" i="2"/>
  <c r="CT172" i="2"/>
  <c r="CO172" i="2"/>
  <c r="CM172" i="2"/>
  <c r="CE172" i="2"/>
  <c r="CF172" i="2"/>
  <c r="CA172" i="2"/>
  <c r="BY172" i="2"/>
  <c r="F172" i="2"/>
  <c r="BK171" i="2"/>
  <c r="BF171" i="2"/>
  <c r="EJ171" i="2"/>
  <c r="EE171" i="2"/>
  <c r="EC171" i="2"/>
  <c r="DQ171" i="2"/>
  <c r="DO171" i="2"/>
  <c r="DC171" i="2"/>
  <c r="DA171" i="2"/>
  <c r="CO171" i="2"/>
  <c r="CM171" i="2"/>
  <c r="CD171" i="2"/>
  <c r="CE171" i="2"/>
  <c r="CF171" i="2"/>
  <c r="CA171" i="2"/>
  <c r="BY171" i="2"/>
  <c r="AR171" i="2"/>
  <c r="AD171" i="2"/>
  <c r="P171" i="2"/>
  <c r="F171" i="2"/>
  <c r="BK170" i="2"/>
  <c r="EE170" i="2"/>
  <c r="EC170" i="2"/>
  <c r="DQ170" i="2"/>
  <c r="DO170" i="2"/>
  <c r="DH170" i="2"/>
  <c r="DC170" i="2"/>
  <c r="DA170" i="2"/>
  <c r="CO170" i="2"/>
  <c r="CM170" i="2"/>
  <c r="CD170" i="2"/>
  <c r="CE170" i="2"/>
  <c r="CF170" i="2"/>
  <c r="CA170" i="2"/>
  <c r="BY170" i="2"/>
  <c r="F170" i="2"/>
  <c r="BK169" i="2"/>
  <c r="EE169" i="2"/>
  <c r="EC169" i="2"/>
  <c r="DQ169" i="2"/>
  <c r="DO169" i="2"/>
  <c r="DC169" i="2"/>
  <c r="DA169" i="2"/>
  <c r="CO169" i="2"/>
  <c r="CM169" i="2"/>
  <c r="CD169" i="2"/>
  <c r="CE169" i="2"/>
  <c r="CF169" i="2"/>
  <c r="CA169" i="2"/>
  <c r="BY169" i="2"/>
  <c r="F169" i="2"/>
  <c r="BK168" i="2"/>
  <c r="EE168" i="2"/>
  <c r="EC168" i="2"/>
  <c r="DQ168" i="2"/>
  <c r="DO168" i="2"/>
  <c r="DH168" i="2"/>
  <c r="DC168" i="2"/>
  <c r="DA168" i="2"/>
  <c r="CO168" i="2"/>
  <c r="CM168" i="2"/>
  <c r="CD168" i="2"/>
  <c r="CE168" i="2"/>
  <c r="CF168" i="2"/>
  <c r="CA168" i="2"/>
  <c r="BY168" i="2"/>
  <c r="J172" i="2"/>
  <c r="J176" i="2"/>
  <c r="J180" i="2"/>
  <c r="J184" i="2"/>
  <c r="J188" i="2"/>
  <c r="F168" i="2"/>
  <c r="BK167" i="2"/>
  <c r="BF167" i="2"/>
  <c r="EE167" i="2"/>
  <c r="EC167" i="2"/>
  <c r="DQ167" i="2"/>
  <c r="DO167" i="2"/>
  <c r="DH167" i="2"/>
  <c r="DC167" i="2"/>
  <c r="DA167" i="2"/>
  <c r="CT167" i="2"/>
  <c r="CO167" i="2"/>
  <c r="CM167" i="2"/>
  <c r="CD167" i="2"/>
  <c r="CE167" i="2"/>
  <c r="CF167" i="2"/>
  <c r="CA167" i="2"/>
  <c r="BY167" i="2"/>
  <c r="AR167" i="2"/>
  <c r="AD167" i="2"/>
  <c r="P167" i="2"/>
  <c r="F167" i="2"/>
  <c r="BK166" i="2"/>
  <c r="EE166" i="2"/>
  <c r="EC166" i="2"/>
  <c r="DQ166" i="2"/>
  <c r="DO166" i="2"/>
  <c r="DC166" i="2"/>
  <c r="DA166" i="2"/>
  <c r="CT166" i="2"/>
  <c r="CO166" i="2"/>
  <c r="CM166" i="2"/>
  <c r="CD166" i="2"/>
  <c r="CE166" i="2"/>
  <c r="CF166" i="2"/>
  <c r="CA166" i="2"/>
  <c r="BY166" i="2"/>
  <c r="BK165" i="2"/>
  <c r="EJ165" i="2"/>
  <c r="DV165" i="2"/>
  <c r="DH165" i="2"/>
  <c r="CT165" i="2"/>
  <c r="CF165" i="2"/>
  <c r="BK164" i="2"/>
  <c r="EE164" i="2"/>
  <c r="EC164" i="2"/>
  <c r="DY164" i="2"/>
  <c r="DQ164" i="2"/>
  <c r="DO164" i="2"/>
  <c r="DK164" i="2"/>
  <c r="DC164" i="2"/>
  <c r="DA164" i="2"/>
  <c r="CW164" i="2"/>
  <c r="CO164" i="2"/>
  <c r="CM164" i="2"/>
  <c r="CI164" i="2"/>
  <c r="CD164" i="2"/>
  <c r="CE164" i="2"/>
  <c r="CF164" i="2"/>
  <c r="CA164" i="2"/>
  <c r="BY164" i="2"/>
  <c r="BU164" i="2"/>
  <c r="BK163" i="2"/>
  <c r="BF163" i="2"/>
  <c r="EJ163" i="2"/>
  <c r="EE163" i="2"/>
  <c r="EC163" i="2"/>
  <c r="DY163" i="2"/>
  <c r="DQ163" i="2"/>
  <c r="DO163" i="2"/>
  <c r="DK163" i="2"/>
  <c r="DC163" i="2"/>
  <c r="DA163" i="2"/>
  <c r="CW163" i="2"/>
  <c r="CO163" i="2"/>
  <c r="CM163" i="2"/>
  <c r="CI163" i="2"/>
  <c r="CD163" i="2"/>
  <c r="CE163" i="2"/>
  <c r="CF163" i="2"/>
  <c r="CA163" i="2"/>
  <c r="BY163" i="2"/>
  <c r="BU163" i="2"/>
  <c r="AR163" i="2"/>
  <c r="AD163" i="2"/>
  <c r="P163" i="2"/>
  <c r="EE162" i="2"/>
  <c r="EC162" i="2"/>
  <c r="DY162" i="2"/>
  <c r="DQ162" i="2"/>
  <c r="DO162" i="2"/>
  <c r="DK162" i="2"/>
  <c r="DH162" i="2"/>
  <c r="DC162" i="2"/>
  <c r="DA162" i="2"/>
  <c r="CW162" i="2"/>
  <c r="CO162" i="2"/>
  <c r="CM162" i="2"/>
  <c r="CI162" i="2"/>
  <c r="CD162" i="2"/>
  <c r="CE162" i="2"/>
  <c r="CF162" i="2"/>
  <c r="CA162" i="2"/>
  <c r="BY162" i="2"/>
  <c r="BU162" i="2"/>
  <c r="DY160" i="2"/>
  <c r="DK160" i="2"/>
  <c r="CW160" i="2"/>
  <c r="CI160" i="2"/>
  <c r="CA160" i="2"/>
  <c r="BY160" i="2"/>
  <c r="BU160" i="2"/>
  <c r="DY159" i="2"/>
  <c r="DK159" i="2"/>
  <c r="CW159" i="2"/>
  <c r="CI159" i="2"/>
  <c r="CA159" i="2"/>
  <c r="BY159" i="2"/>
  <c r="BU159" i="2"/>
  <c r="J167" i="2"/>
  <c r="J171" i="2"/>
  <c r="J175" i="2"/>
  <c r="J179" i="2"/>
  <c r="J183" i="2"/>
  <c r="J187" i="2"/>
  <c r="BO158" i="2"/>
  <c r="BK158" i="2"/>
  <c r="DY158" i="2"/>
  <c r="DK158" i="2"/>
  <c r="CW158" i="2"/>
  <c r="CI158" i="2"/>
  <c r="CA158" i="2"/>
  <c r="BY158" i="2"/>
  <c r="BU158" i="2"/>
  <c r="BK157" i="2"/>
  <c r="DY157" i="2"/>
  <c r="DK157" i="2"/>
  <c r="CW157" i="2"/>
  <c r="CI157" i="2"/>
  <c r="CA157" i="2"/>
  <c r="BY157" i="2"/>
  <c r="BU157" i="2"/>
  <c r="J169" i="2"/>
  <c r="J173" i="2"/>
  <c r="J177" i="2"/>
  <c r="J181" i="2"/>
  <c r="J185" i="2"/>
  <c r="J189" i="2"/>
  <c r="BK156" i="2"/>
  <c r="DY156" i="2"/>
  <c r="DK156" i="2"/>
  <c r="CW156" i="2"/>
  <c r="CI156" i="2"/>
  <c r="CA156" i="2"/>
  <c r="BY156" i="2"/>
  <c r="BU156" i="2"/>
  <c r="BO155" i="2"/>
  <c r="BK155" i="2"/>
  <c r="BF155" i="2"/>
  <c r="DY155" i="2"/>
  <c r="DK155" i="2"/>
  <c r="CW155" i="2"/>
  <c r="CI155" i="2"/>
  <c r="CA155" i="2"/>
  <c r="BY155" i="2"/>
  <c r="BU155" i="2"/>
  <c r="AR155" i="2"/>
  <c r="AD155" i="2"/>
  <c r="P155" i="2"/>
  <c r="EC154" i="2"/>
  <c r="DY154" i="2"/>
  <c r="DO154" i="2"/>
  <c r="DK154" i="2"/>
  <c r="DA154" i="2"/>
  <c r="CW154" i="2"/>
  <c r="CM154" i="2"/>
  <c r="CI154" i="2"/>
  <c r="CA154" i="2"/>
  <c r="BY154" i="2"/>
  <c r="BU154" i="2"/>
  <c r="EC153" i="2"/>
  <c r="DY153" i="2"/>
  <c r="DO153" i="2"/>
  <c r="DK153" i="2"/>
  <c r="DA153" i="2"/>
  <c r="CW153" i="2"/>
  <c r="CM153" i="2"/>
  <c r="CI153" i="2"/>
  <c r="CA153" i="2"/>
  <c r="BY153" i="2"/>
  <c r="BU153" i="2"/>
  <c r="EC152" i="2"/>
  <c r="DY152" i="2"/>
  <c r="DO152" i="2"/>
  <c r="DK152" i="2"/>
  <c r="DA152" i="2"/>
  <c r="CW152" i="2"/>
  <c r="CM152" i="2"/>
  <c r="CI152" i="2"/>
  <c r="CD152" i="2"/>
  <c r="CA152" i="2"/>
  <c r="BY152" i="2"/>
  <c r="BU152" i="2"/>
  <c r="D265" i="2"/>
  <c r="K265" i="2"/>
  <c r="D266" i="2"/>
  <c r="K266" i="2"/>
  <c r="D267" i="2"/>
  <c r="D268" i="2"/>
  <c r="R265" i="2"/>
  <c r="Y265" i="2"/>
  <c r="R266" i="2"/>
  <c r="Y266" i="2"/>
  <c r="R267" i="2"/>
  <c r="Y267" i="2"/>
  <c r="R268" i="2"/>
  <c r="Y268" i="2"/>
  <c r="AF265" i="2"/>
  <c r="AF266" i="2"/>
  <c r="AM266" i="2"/>
  <c r="AF267" i="2"/>
  <c r="AM267" i="2"/>
  <c r="AF268" i="2"/>
  <c r="AM268" i="2"/>
  <c r="AT265" i="2"/>
  <c r="BA265" i="2"/>
  <c r="AT266" i="2"/>
  <c r="BA266" i="2"/>
  <c r="AT267" i="2"/>
  <c r="BA267" i="2"/>
  <c r="AT268" i="2"/>
  <c r="BW235" i="2"/>
  <c r="CK235" i="2"/>
  <c r="CY235" i="2"/>
  <c r="DM235" i="2"/>
  <c r="EA235" i="2"/>
  <c r="BI265" i="2"/>
  <c r="BI266" i="2"/>
  <c r="BP266" i="2"/>
  <c r="BI267" i="2"/>
  <c r="BP267" i="2"/>
  <c r="BI268" i="2"/>
  <c r="BP268" i="2"/>
  <c r="A282" i="2"/>
  <c r="DM232" i="2"/>
  <c r="D249" i="2"/>
  <c r="D250" i="2"/>
  <c r="D251" i="2"/>
  <c r="B249" i="2"/>
  <c r="D252" i="2"/>
  <c r="R249" i="2"/>
  <c r="R250" i="2"/>
  <c r="R251" i="2"/>
  <c r="R252" i="2"/>
  <c r="BI249" i="2"/>
  <c r="BI250" i="2"/>
  <c r="BI251" i="2"/>
  <c r="BP251" i="2"/>
  <c r="BI252" i="2"/>
  <c r="BP252" i="2"/>
  <c r="AF249" i="2"/>
  <c r="AF250" i="2"/>
  <c r="AF251" i="2"/>
  <c r="AF252" i="2"/>
  <c r="AT249" i="2"/>
  <c r="AT250" i="2"/>
  <c r="AT251" i="2"/>
  <c r="AT252" i="2"/>
  <c r="BW231" i="2"/>
  <c r="CK231" i="2"/>
  <c r="CY231" i="2"/>
  <c r="DM231" i="2"/>
  <c r="BI253" i="2"/>
  <c r="BP249" i="2"/>
  <c r="BM253" i="2"/>
  <c r="BI254" i="2"/>
  <c r="BP250" i="2"/>
  <c r="BI255" i="2"/>
  <c r="BP255" i="2"/>
  <c r="BQ255" i="2"/>
  <c r="BR255" i="2"/>
  <c r="BI256" i="2"/>
  <c r="BI257" i="2"/>
  <c r="BI258" i="2"/>
  <c r="BI259" i="2"/>
  <c r="BI260" i="2"/>
  <c r="CK230" i="2"/>
  <c r="D245" i="2"/>
  <c r="D246" i="2"/>
  <c r="D247" i="2"/>
  <c r="D248" i="2"/>
  <c r="BW230" i="2"/>
  <c r="R245" i="2"/>
  <c r="R247" i="2"/>
  <c r="R248" i="2"/>
  <c r="CY230" i="2"/>
  <c r="AF245" i="2"/>
  <c r="AF246" i="2"/>
  <c r="AF247" i="2"/>
  <c r="AF248" i="2"/>
  <c r="DM230" i="2"/>
  <c r="AT245" i="2"/>
  <c r="AT246" i="2"/>
  <c r="AT247" i="2"/>
  <c r="AT248" i="2"/>
  <c r="BO231" i="2"/>
  <c r="BI231" i="2"/>
  <c r="BF229" i="2"/>
  <c r="BF233" i="2"/>
  <c r="BF237" i="2"/>
  <c r="BI229" i="2"/>
  <c r="BP229" i="2"/>
  <c r="BI233" i="2"/>
  <c r="BP233" i="2"/>
  <c r="BI237" i="2"/>
  <c r="BP237" i="2"/>
  <c r="BI241" i="2"/>
  <c r="BI245" i="2"/>
  <c r="BI269" i="2"/>
  <c r="BP269" i="2"/>
  <c r="BI273" i="2"/>
  <c r="BP273" i="2"/>
  <c r="BM229" i="2"/>
  <c r="BR229" i="2"/>
  <c r="BM233" i="2"/>
  <c r="BR233" i="2"/>
  <c r="BM237" i="2"/>
  <c r="BM241" i="2"/>
  <c r="BR241" i="2"/>
  <c r="BM250" i="2"/>
  <c r="BM257" i="2"/>
  <c r="BM265" i="2"/>
  <c r="BR265" i="2"/>
  <c r="BM269" i="2"/>
  <c r="BR269" i="2"/>
  <c r="BM273" i="2"/>
  <c r="BR273" i="2"/>
  <c r="BO289" i="2"/>
  <c r="BP289" i="2"/>
  <c r="BQ229" i="2"/>
  <c r="BQ233" i="2"/>
  <c r="BQ237" i="2"/>
  <c r="BQ241" i="2"/>
  <c r="BQ245" i="2"/>
  <c r="BQ265" i="2"/>
  <c r="BQ269" i="2"/>
  <c r="BQ273" i="2"/>
  <c r="BI230" i="2"/>
  <c r="BI234" i="2"/>
  <c r="BI238" i="2"/>
  <c r="BP238" i="2"/>
  <c r="BI242" i="2"/>
  <c r="BP242" i="2"/>
  <c r="BI246" i="2"/>
  <c r="BI270" i="2"/>
  <c r="BP270" i="2"/>
  <c r="BI274" i="2"/>
  <c r="BP274" i="2"/>
  <c r="BM230" i="2"/>
  <c r="BM234" i="2"/>
  <c r="BM238" i="2"/>
  <c r="BR238" i="2"/>
  <c r="BM242" i="2"/>
  <c r="BR242" i="2"/>
  <c r="BM249" i="2"/>
  <c r="BQ249" i="2"/>
  <c r="BR249" i="2"/>
  <c r="BM254" i="2"/>
  <c r="BM258" i="2"/>
  <c r="BM266" i="2"/>
  <c r="BR266" i="2"/>
  <c r="BM270" i="2"/>
  <c r="BR270" i="2"/>
  <c r="BM274" i="2"/>
  <c r="BR274" i="2"/>
  <c r="BO290" i="2"/>
  <c r="BP290" i="2"/>
  <c r="BQ230" i="2"/>
  <c r="BQ234" i="2"/>
  <c r="BQ238" i="2"/>
  <c r="BQ242" i="2"/>
  <c r="BQ246" i="2"/>
  <c r="BQ266" i="2"/>
  <c r="BQ270" i="2"/>
  <c r="BQ274" i="2"/>
  <c r="BI235" i="2"/>
  <c r="BI239" i="2"/>
  <c r="BP239" i="2"/>
  <c r="BI243" i="2"/>
  <c r="BP243" i="2"/>
  <c r="BI247" i="2"/>
  <c r="BI271" i="2"/>
  <c r="BP271" i="2"/>
  <c r="BI275" i="2"/>
  <c r="BP275" i="2"/>
  <c r="BM231" i="2"/>
  <c r="BR231" i="2"/>
  <c r="BM235" i="2"/>
  <c r="BR235" i="2"/>
  <c r="BM240" i="2"/>
  <c r="BR240" i="2"/>
  <c r="BM243" i="2"/>
  <c r="BR243" i="2"/>
  <c r="BM251" i="2"/>
  <c r="BM255" i="2"/>
  <c r="BM259" i="2"/>
  <c r="BM267" i="2"/>
  <c r="BM271" i="2"/>
  <c r="BR271" i="2"/>
  <c r="BM275" i="2"/>
  <c r="BO291" i="2"/>
  <c r="BP291" i="2"/>
  <c r="BQ231" i="2"/>
  <c r="BQ235" i="2"/>
  <c r="BQ240" i="2"/>
  <c r="BQ243" i="2"/>
  <c r="BQ247" i="2"/>
  <c r="BQ267" i="2"/>
  <c r="BQ271" i="2"/>
  <c r="BQ275" i="2"/>
  <c r="BI232" i="2"/>
  <c r="BI236" i="2"/>
  <c r="BP236" i="2"/>
  <c r="BI240" i="2"/>
  <c r="BP240" i="2"/>
  <c r="BI244" i="2"/>
  <c r="BP244" i="2"/>
  <c r="BI248" i="2"/>
  <c r="BI272" i="2"/>
  <c r="BP272" i="2"/>
  <c r="BI276" i="2"/>
  <c r="BP276" i="2"/>
  <c r="BM232" i="2"/>
  <c r="BR232" i="2"/>
  <c r="BM236" i="2"/>
  <c r="BM239" i="2"/>
  <c r="BR239" i="2"/>
  <c r="BM244" i="2"/>
  <c r="BR244" i="2"/>
  <c r="BM252" i="2"/>
  <c r="BM256" i="2"/>
  <c r="BM260" i="2"/>
  <c r="BM268" i="2"/>
  <c r="BR268" i="2"/>
  <c r="BM272" i="2"/>
  <c r="BR272" i="2"/>
  <c r="BM276" i="2"/>
  <c r="BR276" i="2"/>
  <c r="BO292" i="2"/>
  <c r="BP292" i="2"/>
  <c r="BQ232" i="2"/>
  <c r="BQ236" i="2"/>
  <c r="BQ239" i="2"/>
  <c r="BQ244" i="2"/>
  <c r="BQ248" i="2"/>
  <c r="BQ268" i="2"/>
  <c r="BQ272" i="2"/>
  <c r="BQ276" i="2"/>
  <c r="BK229" i="2"/>
  <c r="BO229" i="2"/>
  <c r="BK230" i="2"/>
  <c r="BO230" i="2"/>
  <c r="BR230" i="2"/>
  <c r="BK231" i="2"/>
  <c r="BK232" i="2"/>
  <c r="BO232" i="2"/>
  <c r="BK233" i="2"/>
  <c r="BO233" i="2"/>
  <c r="BK234" i="2"/>
  <c r="BO234" i="2"/>
  <c r="BP234" i="2"/>
  <c r="BR234" i="2"/>
  <c r="BK235" i="2"/>
  <c r="BO235" i="2"/>
  <c r="BK236" i="2"/>
  <c r="BO236" i="2"/>
  <c r="BK237" i="2"/>
  <c r="BO237" i="2"/>
  <c r="BR237" i="2"/>
  <c r="BK238" i="2"/>
  <c r="BO238" i="2"/>
  <c r="BK239" i="2"/>
  <c r="BO239" i="2"/>
  <c r="BK240" i="2"/>
  <c r="BO240" i="2"/>
  <c r="BF241" i="2"/>
  <c r="BK241" i="2"/>
  <c r="BO241" i="2"/>
  <c r="BK242" i="2"/>
  <c r="BO242" i="2"/>
  <c r="BK243" i="2"/>
  <c r="BO243" i="2"/>
  <c r="BK244" i="2"/>
  <c r="BO244" i="2"/>
  <c r="BF245" i="2"/>
  <c r="BK245" i="2"/>
  <c r="BR245" i="2"/>
  <c r="BK246" i="2"/>
  <c r="BR246" i="2"/>
  <c r="BK247" i="2"/>
  <c r="BR247" i="2"/>
  <c r="BK248" i="2"/>
  <c r="BR248" i="2"/>
  <c r="BF249" i="2"/>
  <c r="BK249" i="2"/>
  <c r="BO249" i="2"/>
  <c r="BO253" i="2"/>
  <c r="BO257" i="2"/>
  <c r="BF250" i="2"/>
  <c r="BK250" i="2"/>
  <c r="BO250" i="2"/>
  <c r="BO254" i="2"/>
  <c r="BK251" i="2"/>
  <c r="BO251" i="2"/>
  <c r="BO255" i="2"/>
  <c r="BO259" i="2"/>
  <c r="BK252" i="2"/>
  <c r="BO252" i="2"/>
  <c r="BF253" i="2"/>
  <c r="BK253" i="2"/>
  <c r="BK254" i="2"/>
  <c r="BK255" i="2"/>
  <c r="BK256" i="2"/>
  <c r="BO256" i="2"/>
  <c r="BO260" i="2"/>
  <c r="BF257" i="2"/>
  <c r="BK257" i="2"/>
  <c r="BK258" i="2"/>
  <c r="BK259" i="2"/>
  <c r="BK260" i="2"/>
  <c r="BF265" i="2"/>
  <c r="BK265" i="2"/>
  <c r="BO265" i="2"/>
  <c r="BP265" i="2"/>
  <c r="BK266" i="2"/>
  <c r="BO266" i="2"/>
  <c r="BK267" i="2"/>
  <c r="BO267" i="2"/>
  <c r="BR267" i="2"/>
  <c r="BK268" i="2"/>
  <c r="BO268" i="2"/>
  <c r="BF269" i="2"/>
  <c r="BK269" i="2"/>
  <c r="BO269" i="2"/>
  <c r="BK270" i="2"/>
  <c r="BO270" i="2"/>
  <c r="BK271" i="2"/>
  <c r="BO271" i="2"/>
  <c r="BK272" i="2"/>
  <c r="BO272" i="2"/>
  <c r="BF273" i="2"/>
  <c r="BK273" i="2"/>
  <c r="BO273" i="2"/>
  <c r="BK274" i="2"/>
  <c r="BO274" i="2"/>
  <c r="BK275" i="2"/>
  <c r="BO275" i="2"/>
  <c r="BK276" i="2"/>
  <c r="BO276" i="2"/>
  <c r="BF277" i="2"/>
  <c r="BI277" i="2"/>
  <c r="BP277" i="2"/>
  <c r="BK277" i="2"/>
  <c r="BM277" i="2"/>
  <c r="BR277" i="2"/>
  <c r="BO277" i="2"/>
  <c r="BQ277" i="2"/>
  <c r="BI278" i="2"/>
  <c r="BP278" i="2"/>
  <c r="BK278" i="2"/>
  <c r="BM278" i="2"/>
  <c r="BR278" i="2"/>
  <c r="BO278" i="2"/>
  <c r="BQ278" i="2"/>
  <c r="BI279" i="2"/>
  <c r="BP279" i="2"/>
  <c r="BK279" i="2"/>
  <c r="BM279" i="2"/>
  <c r="BR279" i="2"/>
  <c r="BO279" i="2"/>
  <c r="BQ279" i="2"/>
  <c r="BI280" i="2"/>
  <c r="BP280" i="2"/>
  <c r="BK280" i="2"/>
  <c r="BM280" i="2"/>
  <c r="BR280" i="2"/>
  <c r="BO280" i="2"/>
  <c r="BQ280" i="2"/>
  <c r="BI284" i="2"/>
  <c r="EA229" i="2"/>
  <c r="EA230" i="2"/>
  <c r="EA231" i="2"/>
  <c r="EA232" i="2"/>
  <c r="EA233" i="2"/>
  <c r="CY228" i="2"/>
  <c r="BV228" i="2"/>
  <c r="D233" i="2"/>
  <c r="D234" i="2"/>
  <c r="D235" i="2"/>
  <c r="D236" i="2"/>
  <c r="R233" i="2"/>
  <c r="R234" i="2"/>
  <c r="R235" i="2"/>
  <c r="R236" i="2"/>
  <c r="AF233" i="2"/>
  <c r="AF229" i="2"/>
  <c r="AM229" i="2"/>
  <c r="AM233" i="2"/>
  <c r="AF234" i="2"/>
  <c r="AF235" i="2"/>
  <c r="AF236" i="2"/>
  <c r="CK227" i="2"/>
  <c r="BW227" i="2"/>
  <c r="CY227" i="2"/>
  <c r="DM227" i="2"/>
  <c r="AT233" i="2"/>
  <c r="AT234" i="2"/>
  <c r="AT235" i="2"/>
  <c r="AT236" i="2"/>
  <c r="EA227" i="2"/>
  <c r="D229" i="2"/>
  <c r="D230" i="2"/>
  <c r="D231" i="2"/>
  <c r="D232" i="2"/>
  <c r="R229" i="2"/>
  <c r="R230" i="2"/>
  <c r="R231" i="2"/>
  <c r="R232" i="2"/>
  <c r="Y232" i="2"/>
  <c r="Y236" i="2"/>
  <c r="Z236" i="2"/>
  <c r="AA236" i="2"/>
  <c r="V232" i="2"/>
  <c r="AF230" i="2"/>
  <c r="AF231" i="2"/>
  <c r="AF232" i="2"/>
  <c r="AT229" i="2"/>
  <c r="AT230" i="2"/>
  <c r="AT231" i="2"/>
  <c r="AX231" i="2"/>
  <c r="AT232" i="2"/>
  <c r="BW226" i="2"/>
  <c r="CK226" i="2"/>
  <c r="CY226" i="2"/>
  <c r="DM226" i="2"/>
  <c r="EA226" i="2"/>
  <c r="EC226" i="2"/>
  <c r="EE226" i="2"/>
  <c r="EH226" i="2"/>
  <c r="EI226" i="2"/>
  <c r="EJ226" i="2"/>
  <c r="EC227" i="2"/>
  <c r="EE227" i="2"/>
  <c r="EH227" i="2"/>
  <c r="EA228" i="2"/>
  <c r="EC228" i="2"/>
  <c r="EE228" i="2"/>
  <c r="EC229" i="2"/>
  <c r="EE229" i="2"/>
  <c r="EC230" i="2"/>
  <c r="EE230" i="2"/>
  <c r="EC231" i="2"/>
  <c r="EE231" i="2"/>
  <c r="EC232" i="2"/>
  <c r="EE232" i="2"/>
  <c r="DO226" i="2"/>
  <c r="DQ226" i="2"/>
  <c r="DT226" i="2"/>
  <c r="DO227" i="2"/>
  <c r="DQ227" i="2"/>
  <c r="DM228" i="2"/>
  <c r="DO228" i="2"/>
  <c r="DQ228" i="2"/>
  <c r="DM229" i="2"/>
  <c r="DO229" i="2"/>
  <c r="DQ229" i="2"/>
  <c r="DO230" i="2"/>
  <c r="DQ230" i="2"/>
  <c r="DO231" i="2"/>
  <c r="DQ231" i="2"/>
  <c r="DO232" i="2"/>
  <c r="DQ232" i="2"/>
  <c r="DA226" i="2"/>
  <c r="DC226" i="2"/>
  <c r="DF226" i="2"/>
  <c r="DA227" i="2"/>
  <c r="DC227" i="2"/>
  <c r="DA228" i="2"/>
  <c r="DC228" i="2"/>
  <c r="CY229" i="2"/>
  <c r="DA229" i="2"/>
  <c r="DC229" i="2"/>
  <c r="DA230" i="2"/>
  <c r="DC230" i="2"/>
  <c r="DA231" i="2"/>
  <c r="DC231" i="2"/>
  <c r="CY232" i="2"/>
  <c r="DA232" i="2"/>
  <c r="DC232" i="2"/>
  <c r="CM226" i="2"/>
  <c r="CO226" i="2"/>
  <c r="CR226" i="2"/>
  <c r="CM227" i="2"/>
  <c r="CO227" i="2"/>
  <c r="CK228" i="2"/>
  <c r="CM228" i="2"/>
  <c r="CO228" i="2"/>
  <c r="CK229" i="2"/>
  <c r="CM229" i="2"/>
  <c r="CO229" i="2"/>
  <c r="CM230" i="2"/>
  <c r="CO230" i="2"/>
  <c r="CM231" i="2"/>
  <c r="CO231" i="2"/>
  <c r="CK232" i="2"/>
  <c r="CM232" i="2"/>
  <c r="CO232" i="2"/>
  <c r="AV229" i="2"/>
  <c r="AX229" i="2"/>
  <c r="AZ229" i="2"/>
  <c r="AZ233" i="2"/>
  <c r="AZ237" i="2"/>
  <c r="AZ241" i="2"/>
  <c r="AZ245" i="2"/>
  <c r="AZ249" i="2"/>
  <c r="AZ253" i="2"/>
  <c r="AZ257" i="2"/>
  <c r="AV230" i="2"/>
  <c r="AX230" i="2"/>
  <c r="AZ230" i="2"/>
  <c r="AZ234" i="2"/>
  <c r="AZ238" i="2"/>
  <c r="AZ242" i="2"/>
  <c r="AZ246" i="2"/>
  <c r="BA230" i="2"/>
  <c r="BA234" i="2"/>
  <c r="AV231" i="2"/>
  <c r="AZ231" i="2"/>
  <c r="AZ235" i="2"/>
  <c r="AZ239" i="2"/>
  <c r="AV232" i="2"/>
  <c r="AX232" i="2"/>
  <c r="AZ232" i="2"/>
  <c r="AZ236" i="2"/>
  <c r="AZ240" i="2"/>
  <c r="AZ244" i="2"/>
  <c r="AZ248" i="2"/>
  <c r="AZ252" i="2"/>
  <c r="AZ256" i="2"/>
  <c r="AZ260" i="2"/>
  <c r="AV233" i="2"/>
  <c r="AX233" i="2"/>
  <c r="AV234" i="2"/>
  <c r="AX234" i="2"/>
  <c r="AV235" i="2"/>
  <c r="AX235" i="2"/>
  <c r="AV236" i="2"/>
  <c r="AX236" i="2"/>
  <c r="AT237" i="2"/>
  <c r="AV237" i="2"/>
  <c r="AX237" i="2"/>
  <c r="AT238" i="2"/>
  <c r="AV238" i="2"/>
  <c r="AX238" i="2"/>
  <c r="AT239" i="2"/>
  <c r="AV239" i="2"/>
  <c r="AX239" i="2"/>
  <c r="AT240" i="2"/>
  <c r="AV240" i="2"/>
  <c r="AX240" i="2"/>
  <c r="AT241" i="2"/>
  <c r="AV241" i="2"/>
  <c r="AX241" i="2"/>
  <c r="BB241" i="2"/>
  <c r="AT242" i="2"/>
  <c r="AV242" i="2"/>
  <c r="AX242" i="2"/>
  <c r="AT243" i="2"/>
  <c r="BC243" i="2"/>
  <c r="AV243" i="2"/>
  <c r="AX243" i="2"/>
  <c r="AT244" i="2"/>
  <c r="AV244" i="2"/>
  <c r="AX244" i="2"/>
  <c r="AV245" i="2"/>
  <c r="AX245" i="2"/>
  <c r="AV246" i="2"/>
  <c r="AX246" i="2"/>
  <c r="AV247" i="2"/>
  <c r="AX247" i="2"/>
  <c r="BA247" i="2"/>
  <c r="AZ247" i="2"/>
  <c r="AZ251" i="2"/>
  <c r="AZ255" i="2"/>
  <c r="AZ259" i="2"/>
  <c r="AV248" i="2"/>
  <c r="AX248" i="2"/>
  <c r="AV249" i="2"/>
  <c r="AX249" i="2"/>
  <c r="AV250" i="2"/>
  <c r="AX250" i="2"/>
  <c r="AV251" i="2"/>
  <c r="AX251" i="2"/>
  <c r="AV252" i="2"/>
  <c r="AX252" i="2"/>
  <c r="AT253" i="2"/>
  <c r="AV253" i="2"/>
  <c r="AX253" i="2"/>
  <c r="AT254" i="2"/>
  <c r="BA254" i="2"/>
  <c r="AV254" i="2"/>
  <c r="AX254" i="2"/>
  <c r="AZ254" i="2"/>
  <c r="AZ258" i="2"/>
  <c r="AT255" i="2"/>
  <c r="AV255" i="2"/>
  <c r="AX255" i="2"/>
  <c r="AT256" i="2"/>
  <c r="AV256" i="2"/>
  <c r="AX256" i="2"/>
  <c r="AH229" i="2"/>
  <c r="AJ229" i="2"/>
  <c r="AL229" i="2"/>
  <c r="AL233" i="2"/>
  <c r="AL237" i="2"/>
  <c r="AL241" i="2"/>
  <c r="AL245" i="2"/>
  <c r="AL249" i="2"/>
  <c r="AL253" i="2"/>
  <c r="AL257" i="2"/>
  <c r="AH230" i="2"/>
  <c r="AJ230" i="2"/>
  <c r="AL230" i="2"/>
  <c r="AL234" i="2"/>
  <c r="AM230" i="2"/>
  <c r="AH231" i="2"/>
  <c r="AJ231" i="2"/>
  <c r="AL231" i="2"/>
  <c r="AL235" i="2"/>
  <c r="AL239" i="2"/>
  <c r="AL243" i="2"/>
  <c r="AL247" i="2"/>
  <c r="AL251" i="2"/>
  <c r="AL255" i="2"/>
  <c r="AL259" i="2"/>
  <c r="AM231" i="2"/>
  <c r="AN231" i="2"/>
  <c r="AH232" i="2"/>
  <c r="AJ232" i="2"/>
  <c r="AL232" i="2"/>
  <c r="AH233" i="2"/>
  <c r="AJ233" i="2"/>
  <c r="AH234" i="2"/>
  <c r="AJ234" i="2"/>
  <c r="AH235" i="2"/>
  <c r="AJ235" i="2"/>
  <c r="AH236" i="2"/>
  <c r="AJ236" i="2"/>
  <c r="AL236" i="2"/>
  <c r="AL240" i="2"/>
  <c r="AL244" i="2"/>
  <c r="AL248" i="2"/>
  <c r="AL252" i="2"/>
  <c r="AL256" i="2"/>
  <c r="AL260" i="2"/>
  <c r="AF237" i="2"/>
  <c r="AH237" i="2"/>
  <c r="AJ237" i="2"/>
  <c r="AF238" i="2"/>
  <c r="AH238" i="2"/>
  <c r="AJ238" i="2"/>
  <c r="AL238" i="2"/>
  <c r="AL242" i="2"/>
  <c r="AL246" i="2"/>
  <c r="AL250" i="2"/>
  <c r="AL254" i="2"/>
  <c r="AL258" i="2"/>
  <c r="AF239" i="2"/>
  <c r="AF243" i="2"/>
  <c r="AH239" i="2"/>
  <c r="AJ239" i="2"/>
  <c r="AF240" i="2"/>
  <c r="AH240" i="2"/>
  <c r="AJ240" i="2"/>
  <c r="AF241" i="2"/>
  <c r="AH241" i="2"/>
  <c r="AJ241" i="2"/>
  <c r="AF242" i="2"/>
  <c r="AH242" i="2"/>
  <c r="AJ242" i="2"/>
  <c r="AH243" i="2"/>
  <c r="AJ243" i="2"/>
  <c r="AF244" i="2"/>
  <c r="AH244" i="2"/>
  <c r="AJ244" i="2"/>
  <c r="AH245" i="2"/>
  <c r="AJ245" i="2"/>
  <c r="AH246" i="2"/>
  <c r="AJ246" i="2"/>
  <c r="AH247" i="2"/>
  <c r="AJ247" i="2"/>
  <c r="AH248" i="2"/>
  <c r="AJ248" i="2"/>
  <c r="AH249" i="2"/>
  <c r="AJ249" i="2"/>
  <c r="AH250" i="2"/>
  <c r="AJ250" i="2"/>
  <c r="AH251" i="2"/>
  <c r="AJ251" i="2"/>
  <c r="AH252" i="2"/>
  <c r="AJ252" i="2"/>
  <c r="AF253" i="2"/>
  <c r="AH253" i="2"/>
  <c r="AJ253" i="2"/>
  <c r="AF254" i="2"/>
  <c r="AH254" i="2"/>
  <c r="AJ254" i="2"/>
  <c r="AF255" i="2"/>
  <c r="AH255" i="2"/>
  <c r="AJ255" i="2"/>
  <c r="AF256" i="2"/>
  <c r="AH256" i="2"/>
  <c r="AJ256" i="2"/>
  <c r="T229" i="2"/>
  <c r="V229" i="2"/>
  <c r="X229" i="2"/>
  <c r="X233" i="2"/>
  <c r="X237" i="2"/>
  <c r="X241" i="2"/>
  <c r="X245" i="2"/>
  <c r="X249" i="2"/>
  <c r="X253" i="2"/>
  <c r="X257" i="2"/>
  <c r="T230" i="2"/>
  <c r="V230" i="2"/>
  <c r="X230" i="2"/>
  <c r="X234" i="2"/>
  <c r="X238" i="2"/>
  <c r="X242" i="2"/>
  <c r="X246" i="2"/>
  <c r="X250" i="2"/>
  <c r="X254" i="2"/>
  <c r="X258" i="2"/>
  <c r="T231" i="2"/>
  <c r="V231" i="2"/>
  <c r="Z231" i="2"/>
  <c r="T232" i="2"/>
  <c r="X232" i="2"/>
  <c r="X236" i="2"/>
  <c r="X240" i="2"/>
  <c r="X244" i="2"/>
  <c r="X248" i="2"/>
  <c r="X252" i="2"/>
  <c r="X256" i="2"/>
  <c r="X260" i="2"/>
  <c r="T233" i="2"/>
  <c r="V233" i="2"/>
  <c r="T234" i="2"/>
  <c r="V234" i="2"/>
  <c r="T235" i="2"/>
  <c r="V235" i="2"/>
  <c r="X235" i="2"/>
  <c r="X239" i="2"/>
  <c r="X243" i="2"/>
  <c r="X247" i="2"/>
  <c r="X251" i="2"/>
  <c r="X255" i="2"/>
  <c r="X259" i="2"/>
  <c r="Y235" i="2"/>
  <c r="T236" i="2"/>
  <c r="V236" i="2"/>
  <c r="R237" i="2"/>
  <c r="T237" i="2"/>
  <c r="V237" i="2"/>
  <c r="R238" i="2"/>
  <c r="T238" i="2"/>
  <c r="V238" i="2"/>
  <c r="R239" i="2"/>
  <c r="T239" i="2"/>
  <c r="V239" i="2"/>
  <c r="R240" i="2"/>
  <c r="T240" i="2"/>
  <c r="V240" i="2"/>
  <c r="R241" i="2"/>
  <c r="T241" i="2"/>
  <c r="V241" i="2"/>
  <c r="R242" i="2"/>
  <c r="T242" i="2"/>
  <c r="V242" i="2"/>
  <c r="R243" i="2"/>
  <c r="T243" i="2"/>
  <c r="V243" i="2"/>
  <c r="R244" i="2"/>
  <c r="T244" i="2"/>
  <c r="V244" i="2"/>
  <c r="T245" i="2"/>
  <c r="V245" i="2"/>
  <c r="T246" i="2"/>
  <c r="V246" i="2"/>
  <c r="T247" i="2"/>
  <c r="V247" i="2"/>
  <c r="T248" i="2"/>
  <c r="V248" i="2"/>
  <c r="T249" i="2"/>
  <c r="V249" i="2"/>
  <c r="T250" i="2"/>
  <c r="V250" i="2"/>
  <c r="T251" i="2"/>
  <c r="V251" i="2"/>
  <c r="T252" i="2"/>
  <c r="V252" i="2"/>
  <c r="R253" i="2"/>
  <c r="T253" i="2"/>
  <c r="V253" i="2"/>
  <c r="R254" i="2"/>
  <c r="T254" i="2"/>
  <c r="V254" i="2"/>
  <c r="R255" i="2"/>
  <c r="T255" i="2"/>
  <c r="V255" i="2"/>
  <c r="R256" i="2"/>
  <c r="T256" i="2"/>
  <c r="V256" i="2"/>
  <c r="D237" i="2"/>
  <c r="D241" i="2"/>
  <c r="D253" i="2"/>
  <c r="D257" i="2"/>
  <c r="D269" i="2"/>
  <c r="K269" i="2"/>
  <c r="D273" i="2"/>
  <c r="K273" i="2"/>
  <c r="H229" i="2"/>
  <c r="H289" i="2"/>
  <c r="H233" i="2"/>
  <c r="H237" i="2"/>
  <c r="H241" i="2"/>
  <c r="H245" i="2"/>
  <c r="H250" i="2"/>
  <c r="H253" i="2"/>
  <c r="H257" i="2"/>
  <c r="H265" i="2"/>
  <c r="M265" i="2"/>
  <c r="H269" i="2"/>
  <c r="M269" i="2"/>
  <c r="H273" i="2"/>
  <c r="M273" i="2"/>
  <c r="J289" i="2"/>
  <c r="K289" i="2"/>
  <c r="L265" i="2"/>
  <c r="L269" i="2"/>
  <c r="L273" i="2"/>
  <c r="R257" i="2"/>
  <c r="R269" i="2"/>
  <c r="Y269" i="2"/>
  <c r="R273" i="2"/>
  <c r="Y273" i="2"/>
  <c r="V257" i="2"/>
  <c r="V265" i="2"/>
  <c r="AA265" i="2"/>
  <c r="V269" i="2"/>
  <c r="AA269" i="2"/>
  <c r="V273" i="2"/>
  <c r="AA273" i="2"/>
  <c r="X289" i="2"/>
  <c r="Y289" i="2"/>
  <c r="Z265" i="2"/>
  <c r="Z269" i="2"/>
  <c r="Z273" i="2"/>
  <c r="AF257" i="2"/>
  <c r="AF269" i="2"/>
  <c r="AM269" i="2"/>
  <c r="AF273" i="2"/>
  <c r="AM273" i="2"/>
  <c r="AJ257" i="2"/>
  <c r="AJ265" i="2"/>
  <c r="AO265" i="2"/>
  <c r="AJ269" i="2"/>
  <c r="AO269" i="2"/>
  <c r="AJ273" i="2"/>
  <c r="AO273" i="2"/>
  <c r="AL289" i="2"/>
  <c r="AM289" i="2"/>
  <c r="AN265" i="2"/>
  <c r="AN269" i="2"/>
  <c r="AN273" i="2"/>
  <c r="AT257" i="2"/>
  <c r="AT269" i="2"/>
  <c r="BA269" i="2"/>
  <c r="AT273" i="2"/>
  <c r="BA273" i="2"/>
  <c r="AX257" i="2"/>
  <c r="AX265" i="2"/>
  <c r="AX269" i="2"/>
  <c r="AX273" i="2"/>
  <c r="BC273" i="2"/>
  <c r="AZ289" i="2"/>
  <c r="BA289" i="2"/>
  <c r="BB265" i="2"/>
  <c r="BB269" i="2"/>
  <c r="BB273" i="2"/>
  <c r="D238" i="2"/>
  <c r="D242" i="2"/>
  <c r="D254" i="2"/>
  <c r="D258" i="2"/>
  <c r="D270" i="2"/>
  <c r="D274" i="2"/>
  <c r="H230" i="2"/>
  <c r="H234" i="2"/>
  <c r="H238" i="2"/>
  <c r="H242" i="2"/>
  <c r="H246" i="2"/>
  <c r="H249" i="2"/>
  <c r="H254" i="2"/>
  <c r="H258" i="2"/>
  <c r="H266" i="2"/>
  <c r="M266" i="2"/>
  <c r="H270" i="2"/>
  <c r="H274" i="2"/>
  <c r="M274" i="2"/>
  <c r="J290" i="2"/>
  <c r="K290" i="2"/>
  <c r="L266" i="2"/>
  <c r="L270" i="2"/>
  <c r="L274" i="2"/>
  <c r="R258" i="2"/>
  <c r="R270" i="2"/>
  <c r="Y270" i="2"/>
  <c r="R274" i="2"/>
  <c r="V258" i="2"/>
  <c r="V266" i="2"/>
  <c r="AA266" i="2"/>
  <c r="V270" i="2"/>
  <c r="AA270" i="2"/>
  <c r="V274" i="2"/>
  <c r="AA274" i="2"/>
  <c r="X290" i="2"/>
  <c r="Y290" i="2"/>
  <c r="Z266" i="2"/>
  <c r="Z270" i="2"/>
  <c r="Z274" i="2"/>
  <c r="AF258" i="2"/>
  <c r="AF270" i="2"/>
  <c r="AM270" i="2"/>
  <c r="AF274" i="2"/>
  <c r="AJ258" i="2"/>
  <c r="AJ266" i="2"/>
  <c r="AO266" i="2"/>
  <c r="AJ270" i="2"/>
  <c r="AO270" i="2"/>
  <c r="AJ274" i="2"/>
  <c r="AO274" i="2"/>
  <c r="AL290" i="2"/>
  <c r="AM290" i="2"/>
  <c r="AN266" i="2"/>
  <c r="AN270" i="2"/>
  <c r="AN274" i="2"/>
  <c r="AT258" i="2"/>
  <c r="BA258" i="2"/>
  <c r="AX258" i="2"/>
  <c r="AT270" i="2"/>
  <c r="BA270" i="2"/>
  <c r="AT274" i="2"/>
  <c r="BA274" i="2"/>
  <c r="AX266" i="2"/>
  <c r="BC266" i="2"/>
  <c r="AX270" i="2"/>
  <c r="BC270" i="2"/>
  <c r="AX274" i="2"/>
  <c r="BC274" i="2"/>
  <c r="AZ290" i="2"/>
  <c r="BA290" i="2"/>
  <c r="BB266" i="2"/>
  <c r="BB270" i="2"/>
  <c r="BB274" i="2"/>
  <c r="D239" i="2"/>
  <c r="D243" i="2"/>
  <c r="D255" i="2"/>
  <c r="D259" i="2"/>
  <c r="D271" i="2"/>
  <c r="K271" i="2"/>
  <c r="D275" i="2"/>
  <c r="K275" i="2"/>
  <c r="H231" i="2"/>
  <c r="H235" i="2"/>
  <c r="H240" i="2"/>
  <c r="H243" i="2"/>
  <c r="H291" i="2"/>
  <c r="H247" i="2"/>
  <c r="H251" i="2"/>
  <c r="H255" i="2"/>
  <c r="H259" i="2"/>
  <c r="H267" i="2"/>
  <c r="H271" i="2"/>
  <c r="M271" i="2"/>
  <c r="H275" i="2"/>
  <c r="M275" i="2"/>
  <c r="J291" i="2"/>
  <c r="K291" i="2"/>
  <c r="D240" i="2"/>
  <c r="L267" i="2"/>
  <c r="L271" i="2"/>
  <c r="L275" i="2"/>
  <c r="R259" i="2"/>
  <c r="R271" i="2"/>
  <c r="Y271" i="2"/>
  <c r="R275" i="2"/>
  <c r="V259" i="2"/>
  <c r="V267" i="2"/>
  <c r="AA267" i="2"/>
  <c r="V271" i="2"/>
  <c r="AA271" i="2"/>
  <c r="V275" i="2"/>
  <c r="AA275" i="2"/>
  <c r="X291" i="2"/>
  <c r="Y291" i="2"/>
  <c r="Z267" i="2"/>
  <c r="Z271" i="2"/>
  <c r="Z275" i="2"/>
  <c r="AF259" i="2"/>
  <c r="AF271" i="2"/>
  <c r="AM271" i="2"/>
  <c r="AF275" i="2"/>
  <c r="AM275" i="2"/>
  <c r="AJ259" i="2"/>
  <c r="AJ267" i="2"/>
  <c r="AO267" i="2"/>
  <c r="AJ271" i="2"/>
  <c r="AJ275" i="2"/>
  <c r="AO275" i="2"/>
  <c r="AL291" i="2"/>
  <c r="AM291" i="2"/>
  <c r="AN267" i="2"/>
  <c r="AN271" i="2"/>
  <c r="AN275" i="2"/>
  <c r="AT259" i="2"/>
  <c r="AT271" i="2"/>
  <c r="AT275" i="2"/>
  <c r="BA275" i="2"/>
  <c r="AX259" i="2"/>
  <c r="AX267" i="2"/>
  <c r="AX271" i="2"/>
  <c r="BC271" i="2"/>
  <c r="AX275" i="2"/>
  <c r="BC275" i="2"/>
  <c r="AZ291" i="2"/>
  <c r="BA291" i="2"/>
  <c r="BB267" i="2"/>
  <c r="BB271" i="2"/>
  <c r="BB275" i="2"/>
  <c r="D244" i="2"/>
  <c r="D256" i="2"/>
  <c r="D260" i="2"/>
  <c r="D272" i="2"/>
  <c r="D276" i="2"/>
  <c r="K276" i="2"/>
  <c r="H232" i="2"/>
  <c r="H236" i="2"/>
  <c r="H239" i="2"/>
  <c r="H244" i="2"/>
  <c r="H248" i="2"/>
  <c r="H252" i="2"/>
  <c r="H256" i="2"/>
  <c r="H260" i="2"/>
  <c r="H268" i="2"/>
  <c r="M268" i="2"/>
  <c r="H272" i="2"/>
  <c r="M272" i="2"/>
  <c r="H276" i="2"/>
  <c r="J292" i="2"/>
  <c r="K292" i="2"/>
  <c r="L268" i="2"/>
  <c r="L272" i="2"/>
  <c r="L276" i="2"/>
  <c r="R260" i="2"/>
  <c r="R272" i="2"/>
  <c r="Y272" i="2"/>
  <c r="R276" i="2"/>
  <c r="Y276" i="2"/>
  <c r="V260" i="2"/>
  <c r="V268" i="2"/>
  <c r="AA268" i="2"/>
  <c r="V272" i="2"/>
  <c r="AA272" i="2"/>
  <c r="V276" i="2"/>
  <c r="X292" i="2"/>
  <c r="Y292" i="2"/>
  <c r="Z268" i="2"/>
  <c r="Z272" i="2"/>
  <c r="Z276" i="2"/>
  <c r="AF260" i="2"/>
  <c r="AF272" i="2"/>
  <c r="AM272" i="2"/>
  <c r="AF276" i="2"/>
  <c r="AM276" i="2"/>
  <c r="AJ260" i="2"/>
  <c r="AJ268" i="2"/>
  <c r="AJ272" i="2"/>
  <c r="AO272" i="2"/>
  <c r="AJ276" i="2"/>
  <c r="AO276" i="2"/>
  <c r="AL292" i="2"/>
  <c r="AM292" i="2"/>
  <c r="AN268" i="2"/>
  <c r="AN272" i="2"/>
  <c r="AN276" i="2"/>
  <c r="AT260" i="2"/>
  <c r="AT272" i="2"/>
  <c r="BA272" i="2"/>
  <c r="AT276" i="2"/>
  <c r="BA276" i="2"/>
  <c r="AX260" i="2"/>
  <c r="AX292" i="2"/>
  <c r="AX268" i="2"/>
  <c r="AX272" i="2"/>
  <c r="AX276" i="2"/>
  <c r="BC276" i="2"/>
  <c r="AZ292" i="2"/>
  <c r="BA292" i="2"/>
  <c r="BB268" i="2"/>
  <c r="BB272" i="2"/>
  <c r="BB276" i="2"/>
  <c r="BU226" i="2"/>
  <c r="BY226" i="2"/>
  <c r="CA226" i="2"/>
  <c r="CD226" i="2"/>
  <c r="CE226" i="2"/>
  <c r="CI226" i="2"/>
  <c r="CW226" i="2"/>
  <c r="DK226" i="2"/>
  <c r="DY226" i="2"/>
  <c r="BU227" i="2"/>
  <c r="BY227" i="2"/>
  <c r="CA227" i="2"/>
  <c r="CD227" i="2"/>
  <c r="CE227" i="2"/>
  <c r="CF227" i="2"/>
  <c r="CI227" i="2"/>
  <c r="CW227" i="2"/>
  <c r="DK227" i="2"/>
  <c r="DY227" i="2"/>
  <c r="BU228" i="2"/>
  <c r="BY228" i="2"/>
  <c r="CA228" i="2"/>
  <c r="CI228" i="2"/>
  <c r="CW228" i="2"/>
  <c r="DK228" i="2"/>
  <c r="DY228" i="2"/>
  <c r="F229" i="2"/>
  <c r="J229" i="2"/>
  <c r="J233" i="2"/>
  <c r="J237" i="2"/>
  <c r="J241" i="2"/>
  <c r="J245" i="2"/>
  <c r="J249" i="2"/>
  <c r="J253" i="2"/>
  <c r="J257" i="2"/>
  <c r="P229" i="2"/>
  <c r="AD229" i="2"/>
  <c r="AR229" i="2"/>
  <c r="BU229" i="2"/>
  <c r="BY229" i="2"/>
  <c r="CA229" i="2"/>
  <c r="CI229" i="2"/>
  <c r="CW229" i="2"/>
  <c r="DK229" i="2"/>
  <c r="DY229" i="2"/>
  <c r="F230" i="2"/>
  <c r="J230" i="2"/>
  <c r="J234" i="2"/>
  <c r="J238" i="2"/>
  <c r="J242" i="2"/>
  <c r="J246" i="2"/>
  <c r="J250" i="2"/>
  <c r="J254" i="2"/>
  <c r="J258" i="2"/>
  <c r="BU230" i="2"/>
  <c r="BY230" i="2"/>
  <c r="CA230" i="2"/>
  <c r="CI230" i="2"/>
  <c r="CW230" i="2"/>
  <c r="DK230" i="2"/>
  <c r="DY230" i="2"/>
  <c r="F231" i="2"/>
  <c r="J231" i="2"/>
  <c r="BU231" i="2"/>
  <c r="BY231" i="2"/>
  <c r="CA231" i="2"/>
  <c r="CI231" i="2"/>
  <c r="CW231" i="2"/>
  <c r="DK231" i="2"/>
  <c r="DY231" i="2"/>
  <c r="F232" i="2"/>
  <c r="J232" i="2"/>
  <c r="BU232" i="2"/>
  <c r="BW232" i="2"/>
  <c r="BY232" i="2"/>
  <c r="CA232" i="2"/>
  <c r="CI232" i="2"/>
  <c r="CW232" i="2"/>
  <c r="DK232" i="2"/>
  <c r="DY232" i="2"/>
  <c r="F233" i="2"/>
  <c r="P233" i="2"/>
  <c r="AD233" i="2"/>
  <c r="AR233" i="2"/>
  <c r="BU233" i="2"/>
  <c r="BW233" i="2"/>
  <c r="BY233" i="2"/>
  <c r="CA233" i="2"/>
  <c r="CI233" i="2"/>
  <c r="CK233" i="2"/>
  <c r="CM233" i="2"/>
  <c r="CO233" i="2"/>
  <c r="CW233" i="2"/>
  <c r="CY233" i="2"/>
  <c r="DA233" i="2"/>
  <c r="DC233" i="2"/>
  <c r="DK233" i="2"/>
  <c r="DM233" i="2"/>
  <c r="DO233" i="2"/>
  <c r="DQ233" i="2"/>
  <c r="DY233" i="2"/>
  <c r="EC233" i="2"/>
  <c r="EE233" i="2"/>
  <c r="F234" i="2"/>
  <c r="BU234" i="2"/>
  <c r="F235" i="2"/>
  <c r="J235" i="2"/>
  <c r="J239" i="2"/>
  <c r="J243" i="2"/>
  <c r="J247" i="2"/>
  <c r="J251" i="2"/>
  <c r="J255" i="2"/>
  <c r="J259" i="2"/>
  <c r="BU235" i="2"/>
  <c r="BY235" i="2"/>
  <c r="CA235" i="2"/>
  <c r="CD235" i="2"/>
  <c r="CE235" i="2"/>
  <c r="CF235" i="2"/>
  <c r="CI235" i="2"/>
  <c r="CM235" i="2"/>
  <c r="CO235" i="2"/>
  <c r="CR235" i="2"/>
  <c r="CS235" i="2"/>
  <c r="CT235" i="2"/>
  <c r="CW235" i="2"/>
  <c r="DA235" i="2"/>
  <c r="DC235" i="2"/>
  <c r="DF235" i="2"/>
  <c r="DG235" i="2"/>
  <c r="DH235" i="2"/>
  <c r="DK235" i="2"/>
  <c r="DO235" i="2"/>
  <c r="DQ235" i="2"/>
  <c r="DT235" i="2"/>
  <c r="DU235" i="2"/>
  <c r="DV235" i="2"/>
  <c r="DY235" i="2"/>
  <c r="EC235" i="2"/>
  <c r="EE235" i="2"/>
  <c r="EH235" i="2"/>
  <c r="EI235" i="2"/>
  <c r="EJ235" i="2"/>
  <c r="F236" i="2"/>
  <c r="J236" i="2"/>
  <c r="J240" i="2"/>
  <c r="J244" i="2"/>
  <c r="J248" i="2"/>
  <c r="J252" i="2"/>
  <c r="J256" i="2"/>
  <c r="BU236" i="2"/>
  <c r="BW236" i="2"/>
  <c r="BY236" i="2"/>
  <c r="CA236" i="2"/>
  <c r="CD236" i="2"/>
  <c r="CE236" i="2"/>
  <c r="CF236" i="2"/>
  <c r="CI236" i="2"/>
  <c r="CK236" i="2"/>
  <c r="CK281" i="2"/>
  <c r="CM236" i="2"/>
  <c r="CO236" i="2"/>
  <c r="CR236" i="2"/>
  <c r="CS236" i="2"/>
  <c r="CT236" i="2"/>
  <c r="CW236" i="2"/>
  <c r="CY236" i="2"/>
  <c r="DA236" i="2"/>
  <c r="DC236" i="2"/>
  <c r="DF236" i="2"/>
  <c r="DG236" i="2"/>
  <c r="DH236" i="2"/>
  <c r="DK236" i="2"/>
  <c r="DM236" i="2"/>
  <c r="DO236" i="2"/>
  <c r="DQ236" i="2"/>
  <c r="DT236" i="2"/>
  <c r="DU236" i="2"/>
  <c r="DV236" i="2"/>
  <c r="DY236" i="2"/>
  <c r="EA236" i="2"/>
  <c r="EC236" i="2"/>
  <c r="EE236" i="2"/>
  <c r="EH236" i="2"/>
  <c r="EI236" i="2"/>
  <c r="EJ236" i="2"/>
  <c r="F237" i="2"/>
  <c r="P237" i="2"/>
  <c r="AD237" i="2"/>
  <c r="AR237" i="2"/>
  <c r="BU237" i="2"/>
  <c r="BW237" i="2"/>
  <c r="BY237" i="2"/>
  <c r="CA237" i="2"/>
  <c r="CD237" i="2"/>
  <c r="CE237" i="2"/>
  <c r="CF237" i="2"/>
  <c r="CI237" i="2"/>
  <c r="CK237" i="2"/>
  <c r="CM237" i="2"/>
  <c r="CO237" i="2"/>
  <c r="CR237" i="2"/>
  <c r="CS237" i="2"/>
  <c r="CT237" i="2"/>
  <c r="CW237" i="2"/>
  <c r="CY237" i="2"/>
  <c r="DA237" i="2"/>
  <c r="DC237" i="2"/>
  <c r="DF237" i="2"/>
  <c r="DG237" i="2"/>
  <c r="DH237" i="2"/>
  <c r="DK237" i="2"/>
  <c r="DM237" i="2"/>
  <c r="DO237" i="2"/>
  <c r="DQ237" i="2"/>
  <c r="DT237" i="2"/>
  <c r="DU237" i="2"/>
  <c r="DV237" i="2"/>
  <c r="DY237" i="2"/>
  <c r="EA237" i="2"/>
  <c r="EC237" i="2"/>
  <c r="EE237" i="2"/>
  <c r="EH237" i="2"/>
  <c r="EI237" i="2"/>
  <c r="EJ237" i="2"/>
  <c r="F238" i="2"/>
  <c r="BU238" i="2"/>
  <c r="BW238" i="2"/>
  <c r="BY238" i="2"/>
  <c r="CA238" i="2"/>
  <c r="CD238" i="2"/>
  <c r="CE238" i="2"/>
  <c r="CF238" i="2"/>
  <c r="CI238" i="2"/>
  <c r="CK238" i="2"/>
  <c r="CM238" i="2"/>
  <c r="CO238" i="2"/>
  <c r="CR238" i="2"/>
  <c r="CS238" i="2"/>
  <c r="CT238" i="2"/>
  <c r="CW238" i="2"/>
  <c r="CY238" i="2"/>
  <c r="DA238" i="2"/>
  <c r="DC238" i="2"/>
  <c r="DF238" i="2"/>
  <c r="DG238" i="2"/>
  <c r="DH238" i="2"/>
  <c r="DK238" i="2"/>
  <c r="DM238" i="2"/>
  <c r="DO238" i="2"/>
  <c r="DQ238" i="2"/>
  <c r="DT238" i="2"/>
  <c r="DU238" i="2"/>
  <c r="DV238" i="2"/>
  <c r="DY238" i="2"/>
  <c r="EA238" i="2"/>
  <c r="EC238" i="2"/>
  <c r="EE238" i="2"/>
  <c r="EH238" i="2"/>
  <c r="EI238" i="2"/>
  <c r="EJ238" i="2"/>
  <c r="F239" i="2"/>
  <c r="CF239" i="2"/>
  <c r="CT239" i="2"/>
  <c r="DH239" i="2"/>
  <c r="DV239" i="2"/>
  <c r="EJ239" i="2"/>
  <c r="F240" i="2"/>
  <c r="BW240" i="2"/>
  <c r="BY240" i="2"/>
  <c r="CA240" i="2"/>
  <c r="CD240" i="2"/>
  <c r="CE240" i="2"/>
  <c r="CF240" i="2"/>
  <c r="CK240" i="2"/>
  <c r="CM240" i="2"/>
  <c r="CO240" i="2"/>
  <c r="CR240" i="2"/>
  <c r="CS240" i="2"/>
  <c r="CT240" i="2"/>
  <c r="CY240" i="2"/>
  <c r="DA240" i="2"/>
  <c r="DC240" i="2"/>
  <c r="DF240" i="2"/>
  <c r="DG240" i="2"/>
  <c r="DH240" i="2"/>
  <c r="DM240" i="2"/>
  <c r="DO240" i="2"/>
  <c r="DQ240" i="2"/>
  <c r="DT240" i="2"/>
  <c r="DU240" i="2"/>
  <c r="DV240" i="2"/>
  <c r="EA240" i="2"/>
  <c r="EC240" i="2"/>
  <c r="EE240" i="2"/>
  <c r="EH240" i="2"/>
  <c r="EI240" i="2"/>
  <c r="EJ240" i="2"/>
  <c r="F241" i="2"/>
  <c r="P241" i="2"/>
  <c r="AD241" i="2"/>
  <c r="AR241" i="2"/>
  <c r="BW241" i="2"/>
  <c r="BY241" i="2"/>
  <c r="CA241" i="2"/>
  <c r="CD241" i="2"/>
  <c r="CE241" i="2"/>
  <c r="CF241" i="2"/>
  <c r="CK241" i="2"/>
  <c r="CM241" i="2"/>
  <c r="CO241" i="2"/>
  <c r="CR241" i="2"/>
  <c r="CS241" i="2"/>
  <c r="CT241" i="2"/>
  <c r="CY241" i="2"/>
  <c r="DA241" i="2"/>
  <c r="DC241" i="2"/>
  <c r="DF241" i="2"/>
  <c r="DG241" i="2"/>
  <c r="DH241" i="2"/>
  <c r="DM241" i="2"/>
  <c r="DO241" i="2"/>
  <c r="DQ241" i="2"/>
  <c r="DT241" i="2"/>
  <c r="DU241" i="2"/>
  <c r="DV241" i="2"/>
  <c r="EA241" i="2"/>
  <c r="EC241" i="2"/>
  <c r="EE241" i="2"/>
  <c r="EH241" i="2"/>
  <c r="EI241" i="2"/>
  <c r="EJ241" i="2"/>
  <c r="F242" i="2"/>
  <c r="BW242" i="2"/>
  <c r="BY242" i="2"/>
  <c r="CA242" i="2"/>
  <c r="CD242" i="2"/>
  <c r="CE242" i="2"/>
  <c r="CF242" i="2"/>
  <c r="CK242" i="2"/>
  <c r="CM242" i="2"/>
  <c r="CO242" i="2"/>
  <c r="CR242" i="2"/>
  <c r="CS242" i="2"/>
  <c r="CT242" i="2"/>
  <c r="CY242" i="2"/>
  <c r="DA242" i="2"/>
  <c r="DC242" i="2"/>
  <c r="DF242" i="2"/>
  <c r="DG242" i="2"/>
  <c r="DH242" i="2"/>
  <c r="DM242" i="2"/>
  <c r="DO242" i="2"/>
  <c r="DQ242" i="2"/>
  <c r="DT242" i="2"/>
  <c r="DU242" i="2"/>
  <c r="DV242" i="2"/>
  <c r="EA242" i="2"/>
  <c r="EC242" i="2"/>
  <c r="EE242" i="2"/>
  <c r="EH242" i="2"/>
  <c r="EI242" i="2"/>
  <c r="EJ242" i="2"/>
  <c r="F243" i="2"/>
  <c r="BW243" i="2"/>
  <c r="BY243" i="2"/>
  <c r="CA243" i="2"/>
  <c r="CD243" i="2"/>
  <c r="CE243" i="2"/>
  <c r="CF243" i="2"/>
  <c r="CK243" i="2"/>
  <c r="CM243" i="2"/>
  <c r="CO243" i="2"/>
  <c r="CR243" i="2"/>
  <c r="CS243" i="2"/>
  <c r="CT243" i="2"/>
  <c r="CY243" i="2"/>
  <c r="DA243" i="2"/>
  <c r="DC243" i="2"/>
  <c r="DF243" i="2"/>
  <c r="DG243" i="2"/>
  <c r="DH243" i="2"/>
  <c r="DM243" i="2"/>
  <c r="DO243" i="2"/>
  <c r="DQ243" i="2"/>
  <c r="DT243" i="2"/>
  <c r="DU243" i="2"/>
  <c r="DV243" i="2"/>
  <c r="EA243" i="2"/>
  <c r="EC243" i="2"/>
  <c r="EE243" i="2"/>
  <c r="EH243" i="2"/>
  <c r="EI243" i="2"/>
  <c r="EJ243" i="2"/>
  <c r="F244" i="2"/>
  <c r="BW244" i="2"/>
  <c r="BY244" i="2"/>
  <c r="CA244" i="2"/>
  <c r="CD244" i="2"/>
  <c r="CE244" i="2"/>
  <c r="CF244" i="2"/>
  <c r="CK244" i="2"/>
  <c r="CM244" i="2"/>
  <c r="CO244" i="2"/>
  <c r="CR244" i="2"/>
  <c r="CS244" i="2"/>
  <c r="CT244" i="2"/>
  <c r="CY244" i="2"/>
  <c r="DA244" i="2"/>
  <c r="DC244" i="2"/>
  <c r="DF244" i="2"/>
  <c r="DG244" i="2"/>
  <c r="DH244" i="2"/>
  <c r="DM244" i="2"/>
  <c r="DO244" i="2"/>
  <c r="DQ244" i="2"/>
  <c r="DT244" i="2"/>
  <c r="DU244" i="2"/>
  <c r="DV244" i="2"/>
  <c r="EA244" i="2"/>
  <c r="EC244" i="2"/>
  <c r="EE244" i="2"/>
  <c r="EH244" i="2"/>
  <c r="EI244" i="2"/>
  <c r="EJ244" i="2"/>
  <c r="F245" i="2"/>
  <c r="P245" i="2"/>
  <c r="AD245" i="2"/>
  <c r="AR245" i="2"/>
  <c r="BW245" i="2"/>
  <c r="BY245" i="2"/>
  <c r="CA245" i="2"/>
  <c r="CD245" i="2"/>
  <c r="CE245" i="2"/>
  <c r="CF245" i="2"/>
  <c r="CK245" i="2"/>
  <c r="CM245" i="2"/>
  <c r="CO245" i="2"/>
  <c r="CR245" i="2"/>
  <c r="CS245" i="2"/>
  <c r="CT245" i="2"/>
  <c r="CY245" i="2"/>
  <c r="DA245" i="2"/>
  <c r="DC245" i="2"/>
  <c r="DF245" i="2"/>
  <c r="DG245" i="2"/>
  <c r="DH245" i="2"/>
  <c r="DM245" i="2"/>
  <c r="DO245" i="2"/>
  <c r="DQ245" i="2"/>
  <c r="DT245" i="2"/>
  <c r="DU245" i="2"/>
  <c r="DV245" i="2"/>
  <c r="EA245" i="2"/>
  <c r="EC245" i="2"/>
  <c r="EE245" i="2"/>
  <c r="EH245" i="2"/>
  <c r="EI245" i="2"/>
  <c r="EJ245" i="2"/>
  <c r="F246" i="2"/>
  <c r="BW246" i="2"/>
  <c r="BY246" i="2"/>
  <c r="CA246" i="2"/>
  <c r="CE246" i="2"/>
  <c r="CF246" i="2"/>
  <c r="CK246" i="2"/>
  <c r="CM246" i="2"/>
  <c r="CO246" i="2"/>
  <c r="CS246" i="2"/>
  <c r="CT246" i="2"/>
  <c r="CY246" i="2"/>
  <c r="DA246" i="2"/>
  <c r="DC246" i="2"/>
  <c r="DG246" i="2"/>
  <c r="DH246" i="2"/>
  <c r="DM246" i="2"/>
  <c r="DO246" i="2"/>
  <c r="DQ246" i="2"/>
  <c r="DU246" i="2"/>
  <c r="DV246" i="2"/>
  <c r="EA246" i="2"/>
  <c r="EC246" i="2"/>
  <c r="EE246" i="2"/>
  <c r="EI246" i="2"/>
  <c r="EJ246" i="2"/>
  <c r="F247" i="2"/>
  <c r="BW247" i="2"/>
  <c r="BY247" i="2"/>
  <c r="CA247" i="2"/>
  <c r="CE247" i="2"/>
  <c r="CF247" i="2"/>
  <c r="CK247" i="2"/>
  <c r="CM247" i="2"/>
  <c r="CO247" i="2"/>
  <c r="CS247" i="2"/>
  <c r="CT247" i="2"/>
  <c r="CY247" i="2"/>
  <c r="DA247" i="2"/>
  <c r="DC247" i="2"/>
  <c r="DG247" i="2"/>
  <c r="DH247" i="2"/>
  <c r="DM247" i="2"/>
  <c r="DO247" i="2"/>
  <c r="DQ247" i="2"/>
  <c r="DU247" i="2"/>
  <c r="DV247" i="2"/>
  <c r="EA247" i="2"/>
  <c r="EC247" i="2"/>
  <c r="EE247" i="2"/>
  <c r="EI247" i="2"/>
  <c r="EJ247" i="2"/>
  <c r="F248" i="2"/>
  <c r="BW248" i="2"/>
  <c r="CA248" i="2"/>
  <c r="CE248" i="2"/>
  <c r="CF248" i="2"/>
  <c r="CK248" i="2"/>
  <c r="CO248" i="2"/>
  <c r="CS248" i="2"/>
  <c r="CT248" i="2"/>
  <c r="CY248" i="2"/>
  <c r="DC248" i="2"/>
  <c r="DG248" i="2"/>
  <c r="DH248" i="2"/>
  <c r="DM248" i="2"/>
  <c r="DQ248" i="2"/>
  <c r="DU248" i="2"/>
  <c r="DV248" i="2"/>
  <c r="EA248" i="2"/>
  <c r="EE248" i="2"/>
  <c r="EI248" i="2"/>
  <c r="EJ248" i="2"/>
  <c r="F249" i="2"/>
  <c r="P249" i="2"/>
  <c r="AD249" i="2"/>
  <c r="AR249" i="2"/>
  <c r="BW249" i="2"/>
  <c r="BY249" i="2"/>
  <c r="CA249" i="2"/>
  <c r="CE249" i="2"/>
  <c r="CF249" i="2"/>
  <c r="CK249" i="2"/>
  <c r="CM249" i="2"/>
  <c r="CO249" i="2"/>
  <c r="CS249" i="2"/>
  <c r="CT249" i="2"/>
  <c r="CY249" i="2"/>
  <c r="DA249" i="2"/>
  <c r="DC249" i="2"/>
  <c r="DG249" i="2"/>
  <c r="DH249" i="2"/>
  <c r="DM249" i="2"/>
  <c r="DO249" i="2"/>
  <c r="DQ249" i="2"/>
  <c r="DU249" i="2"/>
  <c r="DV249" i="2"/>
  <c r="EA249" i="2"/>
  <c r="EC249" i="2"/>
  <c r="EE249" i="2"/>
  <c r="EI249" i="2"/>
  <c r="EJ249" i="2"/>
  <c r="F250" i="2"/>
  <c r="P250" i="2"/>
  <c r="AD250" i="2"/>
  <c r="AR250" i="2"/>
  <c r="BW250" i="2"/>
  <c r="BY250" i="2"/>
  <c r="CA250" i="2"/>
  <c r="CE250" i="2"/>
  <c r="CF250" i="2"/>
  <c r="CK250" i="2"/>
  <c r="CM250" i="2"/>
  <c r="CO250" i="2"/>
  <c r="CS250" i="2"/>
  <c r="CT250" i="2"/>
  <c r="CY250" i="2"/>
  <c r="DA250" i="2"/>
  <c r="DC250" i="2"/>
  <c r="DG250" i="2"/>
  <c r="DH250" i="2"/>
  <c r="DM250" i="2"/>
  <c r="DO250" i="2"/>
  <c r="DQ250" i="2"/>
  <c r="DU250" i="2"/>
  <c r="DV250" i="2"/>
  <c r="EA250" i="2"/>
  <c r="EC250" i="2"/>
  <c r="EE250" i="2"/>
  <c r="EI250" i="2"/>
  <c r="EJ250" i="2"/>
  <c r="F251" i="2"/>
  <c r="BW251" i="2"/>
  <c r="CA251" i="2"/>
  <c r="CE251" i="2"/>
  <c r="CF251" i="2"/>
  <c r="CK251" i="2"/>
  <c r="CO251" i="2"/>
  <c r="CS251" i="2"/>
  <c r="CT251" i="2"/>
  <c r="CY251" i="2"/>
  <c r="DC251" i="2"/>
  <c r="DG251" i="2"/>
  <c r="DH251" i="2"/>
  <c r="DM251" i="2"/>
  <c r="DQ251" i="2"/>
  <c r="DU251" i="2"/>
  <c r="DV251" i="2"/>
  <c r="EA251" i="2"/>
  <c r="EE251" i="2"/>
  <c r="EI251" i="2"/>
  <c r="EJ251" i="2"/>
  <c r="F252" i="2"/>
  <c r="BW252" i="2"/>
  <c r="CA252" i="2"/>
  <c r="CE252" i="2"/>
  <c r="CF252" i="2"/>
  <c r="CK252" i="2"/>
  <c r="CO252" i="2"/>
  <c r="CS252" i="2"/>
  <c r="CT252" i="2"/>
  <c r="CY252" i="2"/>
  <c r="DC252" i="2"/>
  <c r="DG252" i="2"/>
  <c r="DH252" i="2"/>
  <c r="DM252" i="2"/>
  <c r="DQ252" i="2"/>
  <c r="DU252" i="2"/>
  <c r="DV252" i="2"/>
  <c r="EA252" i="2"/>
  <c r="EE252" i="2"/>
  <c r="EI252" i="2"/>
  <c r="EJ252" i="2"/>
  <c r="F253" i="2"/>
  <c r="P253" i="2"/>
  <c r="AD253" i="2"/>
  <c r="AR253" i="2"/>
  <c r="BW253" i="2"/>
  <c r="CA253" i="2"/>
  <c r="CE253" i="2"/>
  <c r="CF253" i="2"/>
  <c r="CK253" i="2"/>
  <c r="CO253" i="2"/>
  <c r="CS253" i="2"/>
  <c r="CT253" i="2"/>
  <c r="CY253" i="2"/>
  <c r="DC253" i="2"/>
  <c r="DG253" i="2"/>
  <c r="DH253" i="2"/>
  <c r="DM253" i="2"/>
  <c r="DQ253" i="2"/>
  <c r="DU253" i="2"/>
  <c r="DV253" i="2"/>
  <c r="EA253" i="2"/>
  <c r="EE253" i="2"/>
  <c r="EI253" i="2"/>
  <c r="EJ253" i="2"/>
  <c r="F254" i="2"/>
  <c r="BW254" i="2"/>
  <c r="CA254" i="2"/>
  <c r="CE254" i="2"/>
  <c r="CF254" i="2"/>
  <c r="CK254" i="2"/>
  <c r="CO254" i="2"/>
  <c r="CS254" i="2"/>
  <c r="CT254" i="2"/>
  <c r="CY254" i="2"/>
  <c r="DC254" i="2"/>
  <c r="DG254" i="2"/>
  <c r="DH254" i="2"/>
  <c r="DM254" i="2"/>
  <c r="DQ254" i="2"/>
  <c r="DU254" i="2"/>
  <c r="DV254" i="2"/>
  <c r="EA254" i="2"/>
  <c r="EE254" i="2"/>
  <c r="EI254" i="2"/>
  <c r="EJ254" i="2"/>
  <c r="F255" i="2"/>
  <c r="BW255" i="2"/>
  <c r="CA255" i="2"/>
  <c r="CE255" i="2"/>
  <c r="CF255" i="2"/>
  <c r="CK255" i="2"/>
  <c r="CO255" i="2"/>
  <c r="CS255" i="2"/>
  <c r="CT255" i="2"/>
  <c r="CY255" i="2"/>
  <c r="DC255" i="2"/>
  <c r="DG255" i="2"/>
  <c r="DH255" i="2"/>
  <c r="DM255" i="2"/>
  <c r="DQ255" i="2"/>
  <c r="DU255" i="2"/>
  <c r="DV255" i="2"/>
  <c r="EA255" i="2"/>
  <c r="EE255" i="2"/>
  <c r="EI255" i="2"/>
  <c r="EJ255" i="2"/>
  <c r="F256" i="2"/>
  <c r="BW256" i="2"/>
  <c r="CA256" i="2"/>
  <c r="CE256" i="2"/>
  <c r="CF256" i="2"/>
  <c r="CK256" i="2"/>
  <c r="CO256" i="2"/>
  <c r="CS256" i="2"/>
  <c r="CT256" i="2"/>
  <c r="CY256" i="2"/>
  <c r="DC256" i="2"/>
  <c r="DG256" i="2"/>
  <c r="DH256" i="2"/>
  <c r="DM256" i="2"/>
  <c r="DQ256" i="2"/>
  <c r="DU256" i="2"/>
  <c r="DV256" i="2"/>
  <c r="EA256" i="2"/>
  <c r="EE256" i="2"/>
  <c r="EI256" i="2"/>
  <c r="EJ256" i="2"/>
  <c r="F257" i="2"/>
  <c r="P257" i="2"/>
  <c r="T257" i="2"/>
  <c r="AD257" i="2"/>
  <c r="AH257" i="2"/>
  <c r="AR257" i="2"/>
  <c r="AV257" i="2"/>
  <c r="BW257" i="2"/>
  <c r="CA257" i="2"/>
  <c r="CE257" i="2"/>
  <c r="CF257" i="2"/>
  <c r="CK257" i="2"/>
  <c r="CO257" i="2"/>
  <c r="CS257" i="2"/>
  <c r="CT257" i="2"/>
  <c r="CY257" i="2"/>
  <c r="DC257" i="2"/>
  <c r="DG257" i="2"/>
  <c r="DH257" i="2"/>
  <c r="DM257" i="2"/>
  <c r="DQ257" i="2"/>
  <c r="DU257" i="2"/>
  <c r="DV257" i="2"/>
  <c r="EA257" i="2"/>
  <c r="EE257" i="2"/>
  <c r="EI257" i="2"/>
  <c r="EJ257" i="2"/>
  <c r="F258" i="2"/>
  <c r="T258" i="2"/>
  <c r="AH258" i="2"/>
  <c r="AV258" i="2"/>
  <c r="BW258" i="2"/>
  <c r="CA258" i="2"/>
  <c r="CE258" i="2"/>
  <c r="CF258" i="2"/>
  <c r="CK258" i="2"/>
  <c r="CO258" i="2"/>
  <c r="CS258" i="2"/>
  <c r="CT258" i="2"/>
  <c r="CY258" i="2"/>
  <c r="DC258" i="2"/>
  <c r="DG258" i="2"/>
  <c r="DH258" i="2"/>
  <c r="DM258" i="2"/>
  <c r="DQ258" i="2"/>
  <c r="DU258" i="2"/>
  <c r="DV258" i="2"/>
  <c r="EA258" i="2"/>
  <c r="EE258" i="2"/>
  <c r="EI258" i="2"/>
  <c r="EJ258" i="2"/>
  <c r="F259" i="2"/>
  <c r="T259" i="2"/>
  <c r="AH259" i="2"/>
  <c r="AV259" i="2"/>
  <c r="BW259" i="2"/>
  <c r="CA259" i="2"/>
  <c r="CE259" i="2"/>
  <c r="CF259" i="2"/>
  <c r="CK259" i="2"/>
  <c r="CO259" i="2"/>
  <c r="CS259" i="2"/>
  <c r="CT259" i="2"/>
  <c r="CY259" i="2"/>
  <c r="DC259" i="2"/>
  <c r="DG259" i="2"/>
  <c r="DH259" i="2"/>
  <c r="DM259" i="2"/>
  <c r="DQ259" i="2"/>
  <c r="DU259" i="2"/>
  <c r="DV259" i="2"/>
  <c r="EA259" i="2"/>
  <c r="EE259" i="2"/>
  <c r="EI259" i="2"/>
  <c r="EJ259" i="2"/>
  <c r="F260" i="2"/>
  <c r="T260" i="2"/>
  <c r="AH260" i="2"/>
  <c r="AV260" i="2"/>
  <c r="BW260" i="2"/>
  <c r="CA260" i="2"/>
  <c r="CE260" i="2"/>
  <c r="CF260" i="2"/>
  <c r="CK260" i="2"/>
  <c r="CO260" i="2"/>
  <c r="CS260" i="2"/>
  <c r="CT260" i="2"/>
  <c r="CY260" i="2"/>
  <c r="DC260" i="2"/>
  <c r="DG260" i="2"/>
  <c r="DH260" i="2"/>
  <c r="DM260" i="2"/>
  <c r="DQ260" i="2"/>
  <c r="DU260" i="2"/>
  <c r="DV260" i="2"/>
  <c r="EA260" i="2"/>
  <c r="EE260" i="2"/>
  <c r="EI260" i="2"/>
  <c r="EJ260" i="2"/>
  <c r="B265" i="2"/>
  <c r="F265" i="2"/>
  <c r="J265" i="2"/>
  <c r="P265" i="2"/>
  <c r="T265" i="2"/>
  <c r="X265" i="2"/>
  <c r="AD265" i="2"/>
  <c r="AH265" i="2"/>
  <c r="AL265" i="2"/>
  <c r="AM265" i="2"/>
  <c r="AR265" i="2"/>
  <c r="AV265" i="2"/>
  <c r="AZ265" i="2"/>
  <c r="BC265" i="2"/>
  <c r="BW265" i="2"/>
  <c r="CA265" i="2"/>
  <c r="CE265" i="2"/>
  <c r="CF265" i="2"/>
  <c r="CK265" i="2"/>
  <c r="CO265" i="2"/>
  <c r="CS265" i="2"/>
  <c r="CT265" i="2"/>
  <c r="CY265" i="2"/>
  <c r="DC265" i="2"/>
  <c r="DG265" i="2"/>
  <c r="DH265" i="2"/>
  <c r="DM265" i="2"/>
  <c r="DQ265" i="2"/>
  <c r="DU265" i="2"/>
  <c r="DV265" i="2"/>
  <c r="EA265" i="2"/>
  <c r="EE265" i="2"/>
  <c r="EI265" i="2"/>
  <c r="EJ265" i="2"/>
  <c r="F266" i="2"/>
  <c r="J266" i="2"/>
  <c r="T266" i="2"/>
  <c r="X266" i="2"/>
  <c r="AH266" i="2"/>
  <c r="AL266" i="2"/>
  <c r="AV266" i="2"/>
  <c r="AZ266" i="2"/>
  <c r="BW266" i="2"/>
  <c r="CA266" i="2"/>
  <c r="CE266" i="2"/>
  <c r="CF266" i="2"/>
  <c r="CK266" i="2"/>
  <c r="CO266" i="2"/>
  <c r="CS266" i="2"/>
  <c r="CT266" i="2"/>
  <c r="CY266" i="2"/>
  <c r="DC266" i="2"/>
  <c r="DG266" i="2"/>
  <c r="DH266" i="2"/>
  <c r="DM266" i="2"/>
  <c r="DQ266" i="2"/>
  <c r="DU266" i="2"/>
  <c r="DV266" i="2"/>
  <c r="EA266" i="2"/>
  <c r="EE266" i="2"/>
  <c r="EI266" i="2"/>
  <c r="EJ266" i="2"/>
  <c r="F267" i="2"/>
  <c r="J267" i="2"/>
  <c r="K267" i="2"/>
  <c r="M267" i="2"/>
  <c r="T267" i="2"/>
  <c r="X267" i="2"/>
  <c r="AH267" i="2"/>
  <c r="AL267" i="2"/>
  <c r="AV267" i="2"/>
  <c r="AZ267" i="2"/>
  <c r="BW267" i="2"/>
  <c r="CA267" i="2"/>
  <c r="CE267" i="2"/>
  <c r="CF267" i="2"/>
  <c r="CK267" i="2"/>
  <c r="CO267" i="2"/>
  <c r="CS267" i="2"/>
  <c r="CT267" i="2"/>
  <c r="CY267" i="2"/>
  <c r="DC267" i="2"/>
  <c r="DG267" i="2"/>
  <c r="DH267" i="2"/>
  <c r="DM267" i="2"/>
  <c r="DQ267" i="2"/>
  <c r="DU267" i="2"/>
  <c r="DV267" i="2"/>
  <c r="EA267" i="2"/>
  <c r="EE267" i="2"/>
  <c r="EI267" i="2"/>
  <c r="EJ267" i="2"/>
  <c r="F268" i="2"/>
  <c r="J268" i="2"/>
  <c r="K268" i="2"/>
  <c r="T268" i="2"/>
  <c r="X268" i="2"/>
  <c r="AH268" i="2"/>
  <c r="AL268" i="2"/>
  <c r="AO268" i="2"/>
  <c r="AV268" i="2"/>
  <c r="AZ268" i="2"/>
  <c r="BA268" i="2"/>
  <c r="BC268" i="2"/>
  <c r="BW268" i="2"/>
  <c r="CA268" i="2"/>
  <c r="CE268" i="2"/>
  <c r="CF268" i="2"/>
  <c r="CK268" i="2"/>
  <c r="CO268" i="2"/>
  <c r="CS268" i="2"/>
  <c r="CT268" i="2"/>
  <c r="CY268" i="2"/>
  <c r="DC268" i="2"/>
  <c r="DG268" i="2"/>
  <c r="DH268" i="2"/>
  <c r="DM268" i="2"/>
  <c r="DQ268" i="2"/>
  <c r="DU268" i="2"/>
  <c r="DV268" i="2"/>
  <c r="EA268" i="2"/>
  <c r="EE268" i="2"/>
  <c r="EI268" i="2"/>
  <c r="EJ268" i="2"/>
  <c r="B269" i="2"/>
  <c r="F269" i="2"/>
  <c r="J269" i="2"/>
  <c r="P269" i="2"/>
  <c r="T269" i="2"/>
  <c r="X269" i="2"/>
  <c r="AD269" i="2"/>
  <c r="AH269" i="2"/>
  <c r="AL269" i="2"/>
  <c r="AR269" i="2"/>
  <c r="AV269" i="2"/>
  <c r="AZ269" i="2"/>
  <c r="BC269" i="2"/>
  <c r="BW269" i="2"/>
  <c r="CA269" i="2"/>
  <c r="CE269" i="2"/>
  <c r="CF269" i="2"/>
  <c r="CK269" i="2"/>
  <c r="CO269" i="2"/>
  <c r="CS269" i="2"/>
  <c r="CT269" i="2"/>
  <c r="CY269" i="2"/>
  <c r="DC269" i="2"/>
  <c r="DG269" i="2"/>
  <c r="DH269" i="2"/>
  <c r="DM269" i="2"/>
  <c r="DQ269" i="2"/>
  <c r="DU269" i="2"/>
  <c r="DV269" i="2"/>
  <c r="EA269" i="2"/>
  <c r="EE269" i="2"/>
  <c r="EI269" i="2"/>
  <c r="EJ269" i="2"/>
  <c r="F270" i="2"/>
  <c r="J270" i="2"/>
  <c r="K270" i="2"/>
  <c r="M270" i="2"/>
  <c r="T270" i="2"/>
  <c r="X270" i="2"/>
  <c r="AH270" i="2"/>
  <c r="AL270" i="2"/>
  <c r="AV270" i="2"/>
  <c r="AZ270" i="2"/>
  <c r="BW270" i="2"/>
  <c r="CA270" i="2"/>
  <c r="CE270" i="2"/>
  <c r="CF270" i="2"/>
  <c r="CK270" i="2"/>
  <c r="CO270" i="2"/>
  <c r="CS270" i="2"/>
  <c r="CT270" i="2"/>
  <c r="CY270" i="2"/>
  <c r="DC270" i="2"/>
  <c r="DG270" i="2"/>
  <c r="DH270" i="2"/>
  <c r="DM270" i="2"/>
  <c r="DQ270" i="2"/>
  <c r="DU270" i="2"/>
  <c r="DV270" i="2"/>
  <c r="EA270" i="2"/>
  <c r="EE270" i="2"/>
  <c r="EI270" i="2"/>
  <c r="EJ270" i="2"/>
  <c r="F271" i="2"/>
  <c r="J271" i="2"/>
  <c r="T271" i="2"/>
  <c r="X271" i="2"/>
  <c r="AH271" i="2"/>
  <c r="AL271" i="2"/>
  <c r="AO271" i="2"/>
  <c r="AV271" i="2"/>
  <c r="AZ271" i="2"/>
  <c r="BA271" i="2"/>
  <c r="BW271" i="2"/>
  <c r="CA271" i="2"/>
  <c r="CE271" i="2"/>
  <c r="CF271" i="2"/>
  <c r="CK271" i="2"/>
  <c r="CO271" i="2"/>
  <c r="CS271" i="2"/>
  <c r="CT271" i="2"/>
  <c r="CY271" i="2"/>
  <c r="DC271" i="2"/>
  <c r="DG271" i="2"/>
  <c r="DH271" i="2"/>
  <c r="DM271" i="2"/>
  <c r="DQ271" i="2"/>
  <c r="DU271" i="2"/>
  <c r="DV271" i="2"/>
  <c r="EA271" i="2"/>
  <c r="EE271" i="2"/>
  <c r="EI271" i="2"/>
  <c r="EJ271" i="2"/>
  <c r="F272" i="2"/>
  <c r="J272" i="2"/>
  <c r="K272" i="2"/>
  <c r="T272" i="2"/>
  <c r="X272" i="2"/>
  <c r="AH272" i="2"/>
  <c r="AL272" i="2"/>
  <c r="AV272" i="2"/>
  <c r="AZ272" i="2"/>
  <c r="BC272" i="2"/>
  <c r="BW272" i="2"/>
  <c r="CA272" i="2"/>
  <c r="CE272" i="2"/>
  <c r="CF272" i="2"/>
  <c r="CK272" i="2"/>
  <c r="CO272" i="2"/>
  <c r="CS272" i="2"/>
  <c r="CT272" i="2"/>
  <c r="CY272" i="2"/>
  <c r="DC272" i="2"/>
  <c r="DG272" i="2"/>
  <c r="DH272" i="2"/>
  <c r="DM272" i="2"/>
  <c r="DQ272" i="2"/>
  <c r="DU272" i="2"/>
  <c r="DV272" i="2"/>
  <c r="EA272" i="2"/>
  <c r="EE272" i="2"/>
  <c r="EI272" i="2"/>
  <c r="EJ272" i="2"/>
  <c r="B273" i="2"/>
  <c r="F273" i="2"/>
  <c r="J273" i="2"/>
  <c r="P273" i="2"/>
  <c r="T273" i="2"/>
  <c r="X273" i="2"/>
  <c r="AD273" i="2"/>
  <c r="AH273" i="2"/>
  <c r="AL273" i="2"/>
  <c r="AR273" i="2"/>
  <c r="AV273" i="2"/>
  <c r="AZ273" i="2"/>
  <c r="F274" i="2"/>
  <c r="J274" i="2"/>
  <c r="K274" i="2"/>
  <c r="T274" i="2"/>
  <c r="X274" i="2"/>
  <c r="Y274" i="2"/>
  <c r="AH274" i="2"/>
  <c r="AL274" i="2"/>
  <c r="AM274" i="2"/>
  <c r="AV274" i="2"/>
  <c r="AZ274" i="2"/>
  <c r="BW274" i="2"/>
  <c r="CA274" i="2"/>
  <c r="CE274" i="2"/>
  <c r="CF274" i="2"/>
  <c r="CK274" i="2"/>
  <c r="CO274" i="2"/>
  <c r="CS274" i="2"/>
  <c r="CT274" i="2"/>
  <c r="CY274" i="2"/>
  <c r="DC274" i="2"/>
  <c r="DG274" i="2"/>
  <c r="DH274" i="2"/>
  <c r="DM274" i="2"/>
  <c r="DQ274" i="2"/>
  <c r="DU274" i="2"/>
  <c r="DV274" i="2"/>
  <c r="EA274" i="2"/>
  <c r="EE274" i="2"/>
  <c r="EI274" i="2"/>
  <c r="EJ274" i="2"/>
  <c r="F275" i="2"/>
  <c r="J275" i="2"/>
  <c r="T275" i="2"/>
  <c r="X275" i="2"/>
  <c r="Y275" i="2"/>
  <c r="AH275" i="2"/>
  <c r="AL275" i="2"/>
  <c r="AV275" i="2"/>
  <c r="AZ275" i="2"/>
  <c r="BW275" i="2"/>
  <c r="CA275" i="2"/>
  <c r="CE275" i="2"/>
  <c r="CF275" i="2"/>
  <c r="CK275" i="2"/>
  <c r="CO275" i="2"/>
  <c r="CS275" i="2"/>
  <c r="CT275" i="2"/>
  <c r="CY275" i="2"/>
  <c r="DC275" i="2"/>
  <c r="DG275" i="2"/>
  <c r="DH275" i="2"/>
  <c r="DM275" i="2"/>
  <c r="DQ275" i="2"/>
  <c r="DU275" i="2"/>
  <c r="DV275" i="2"/>
  <c r="EA275" i="2"/>
  <c r="EE275" i="2"/>
  <c r="EI275" i="2"/>
  <c r="EJ275" i="2"/>
  <c r="F276" i="2"/>
  <c r="J276" i="2"/>
  <c r="M276" i="2"/>
  <c r="T276" i="2"/>
  <c r="X276" i="2"/>
  <c r="AA276" i="2"/>
  <c r="AH276" i="2"/>
  <c r="AL276" i="2"/>
  <c r="AV276" i="2"/>
  <c r="AZ276" i="2"/>
  <c r="BW276" i="2"/>
  <c r="CA276" i="2"/>
  <c r="CE276" i="2"/>
  <c r="CF276" i="2"/>
  <c r="CK276" i="2"/>
  <c r="CO276" i="2"/>
  <c r="CS276" i="2"/>
  <c r="CT276" i="2"/>
  <c r="CY276" i="2"/>
  <c r="DC276" i="2"/>
  <c r="DG276" i="2"/>
  <c r="DH276" i="2"/>
  <c r="DM276" i="2"/>
  <c r="DQ276" i="2"/>
  <c r="DU276" i="2"/>
  <c r="DV276" i="2"/>
  <c r="EA276" i="2"/>
  <c r="EE276" i="2"/>
  <c r="EI276" i="2"/>
  <c r="EJ276" i="2"/>
  <c r="B277" i="2"/>
  <c r="D277" i="2"/>
  <c r="K277" i="2"/>
  <c r="F277" i="2"/>
  <c r="H277" i="2"/>
  <c r="M277" i="2"/>
  <c r="J277" i="2"/>
  <c r="L277" i="2"/>
  <c r="P277" i="2"/>
  <c r="R277" i="2"/>
  <c r="Y277" i="2"/>
  <c r="T277" i="2"/>
  <c r="V277" i="2"/>
  <c r="AA277" i="2"/>
  <c r="X277" i="2"/>
  <c r="Z277" i="2"/>
  <c r="AD277" i="2"/>
  <c r="AF277" i="2"/>
  <c r="AM277" i="2"/>
  <c r="AH277" i="2"/>
  <c r="AJ277" i="2"/>
  <c r="AO277" i="2"/>
  <c r="AL277" i="2"/>
  <c r="AN277" i="2"/>
  <c r="AR277" i="2"/>
  <c r="AT277" i="2"/>
  <c r="AV277" i="2"/>
  <c r="AX277" i="2"/>
  <c r="BC277" i="2"/>
  <c r="AZ277" i="2"/>
  <c r="BA277" i="2"/>
  <c r="BB277" i="2"/>
  <c r="CA277" i="2"/>
  <c r="CE277" i="2"/>
  <c r="CF277" i="2"/>
  <c r="CO277" i="2"/>
  <c r="CS277" i="2"/>
  <c r="CT277" i="2"/>
  <c r="DC277" i="2"/>
  <c r="DG277" i="2"/>
  <c r="DH277" i="2"/>
  <c r="DQ277" i="2"/>
  <c r="DU277" i="2"/>
  <c r="DV277" i="2"/>
  <c r="EE277" i="2"/>
  <c r="EI277" i="2"/>
  <c r="EJ277" i="2"/>
  <c r="D278" i="2"/>
  <c r="F278" i="2"/>
  <c r="H278" i="2"/>
  <c r="J278" i="2"/>
  <c r="K278" i="2"/>
  <c r="L278" i="2"/>
  <c r="M278" i="2"/>
  <c r="R278" i="2"/>
  <c r="Y278" i="2"/>
  <c r="T278" i="2"/>
  <c r="V278" i="2"/>
  <c r="AA278" i="2"/>
  <c r="X278" i="2"/>
  <c r="Z278" i="2"/>
  <c r="AF278" i="2"/>
  <c r="AH278" i="2"/>
  <c r="AJ278" i="2"/>
  <c r="AO278" i="2"/>
  <c r="AL278" i="2"/>
  <c r="AM278" i="2"/>
  <c r="AN278" i="2"/>
  <c r="AT278" i="2"/>
  <c r="BA278" i="2"/>
  <c r="AV278" i="2"/>
  <c r="AX278" i="2"/>
  <c r="BC278" i="2"/>
  <c r="AZ278" i="2"/>
  <c r="BB278" i="2"/>
  <c r="D279" i="2"/>
  <c r="K279" i="2"/>
  <c r="F279" i="2"/>
  <c r="H279" i="2"/>
  <c r="M279" i="2"/>
  <c r="J279" i="2"/>
  <c r="L279" i="2"/>
  <c r="R279" i="2"/>
  <c r="Y279" i="2"/>
  <c r="T279" i="2"/>
  <c r="V279" i="2"/>
  <c r="AA279" i="2"/>
  <c r="X279" i="2"/>
  <c r="Z279" i="2"/>
  <c r="AF279" i="2"/>
  <c r="AM279" i="2"/>
  <c r="AH279" i="2"/>
  <c r="AJ279" i="2"/>
  <c r="AO279" i="2"/>
  <c r="AL279" i="2"/>
  <c r="AN279" i="2"/>
  <c r="AT279" i="2"/>
  <c r="BA279" i="2"/>
  <c r="AV279" i="2"/>
  <c r="AX279" i="2"/>
  <c r="BC279" i="2"/>
  <c r="AZ279" i="2"/>
  <c r="BB279" i="2"/>
  <c r="D280" i="2"/>
  <c r="K280" i="2"/>
  <c r="F280" i="2"/>
  <c r="H280" i="2"/>
  <c r="M280" i="2"/>
  <c r="J280" i="2"/>
  <c r="L280" i="2"/>
  <c r="R280" i="2"/>
  <c r="Y280" i="2"/>
  <c r="T280" i="2"/>
  <c r="V280" i="2"/>
  <c r="AA280" i="2"/>
  <c r="X280" i="2"/>
  <c r="Z280" i="2"/>
  <c r="AF280" i="2"/>
  <c r="AM280" i="2"/>
  <c r="AH280" i="2"/>
  <c r="AJ280" i="2"/>
  <c r="AO280" i="2"/>
  <c r="AL280" i="2"/>
  <c r="AN280" i="2"/>
  <c r="AT280" i="2"/>
  <c r="BA280" i="2"/>
  <c r="AV280" i="2"/>
  <c r="AX280" i="2"/>
  <c r="BC280" i="2"/>
  <c r="AZ280" i="2"/>
  <c r="BB280" i="2"/>
  <c r="D303" i="2"/>
  <c r="D304" i="2"/>
  <c r="D305" i="2"/>
  <c r="D306" i="2"/>
  <c r="D307" i="2"/>
  <c r="D308" i="2"/>
  <c r="D309" i="2"/>
  <c r="D310" i="2"/>
  <c r="K306" i="2"/>
  <c r="K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32" i="2"/>
  <c r="K332" i="2"/>
  <c r="L358" i="2"/>
  <c r="D333" i="2"/>
  <c r="D334" i="2"/>
  <c r="D335" i="2"/>
  <c r="K335" i="2"/>
  <c r="D336" i="2"/>
  <c r="D337" i="2"/>
  <c r="K337" i="2"/>
  <c r="D338" i="2"/>
  <c r="K338" i="2"/>
  <c r="D339" i="2"/>
  <c r="K339" i="2"/>
  <c r="D340" i="2"/>
  <c r="K340" i="2"/>
  <c r="D341" i="2"/>
  <c r="K341" i="2"/>
  <c r="D342" i="2"/>
  <c r="K342" i="2"/>
  <c r="D343" i="2"/>
  <c r="K343" i="2"/>
  <c r="D344" i="2"/>
  <c r="K344" i="2"/>
  <c r="D345" i="2"/>
  <c r="K345" i="2"/>
  <c r="D346" i="2"/>
  <c r="D347" i="2"/>
  <c r="K347" i="2"/>
  <c r="D348" i="2"/>
  <c r="K348" i="2"/>
  <c r="D349" i="2"/>
  <c r="K349" i="2"/>
  <c r="D350" i="2"/>
  <c r="K350" i="2"/>
  <c r="D351" i="2"/>
  <c r="K351" i="2"/>
  <c r="R303" i="2"/>
  <c r="R304" i="2"/>
  <c r="R305" i="2"/>
  <c r="Y305" i="2"/>
  <c r="Z305" i="2"/>
  <c r="V305" i="2"/>
  <c r="R306" i="2"/>
  <c r="Y306" i="2"/>
  <c r="V306" i="2"/>
  <c r="Z306" i="2"/>
  <c r="R307" i="2"/>
  <c r="R308" i="2"/>
  <c r="Y308" i="2"/>
  <c r="R309" i="2"/>
  <c r="R310" i="2"/>
  <c r="R311" i="2"/>
  <c r="R312" i="2"/>
  <c r="R313" i="2"/>
  <c r="R314" i="2"/>
  <c r="Y314" i="2"/>
  <c r="Z314" i="2"/>
  <c r="R315" i="2"/>
  <c r="R316" i="2"/>
  <c r="R364" i="2"/>
  <c r="R317" i="2"/>
  <c r="R318" i="2"/>
  <c r="R319" i="2"/>
  <c r="R320" i="2"/>
  <c r="R321" i="2"/>
  <c r="R322" i="2"/>
  <c r="R323" i="2"/>
  <c r="R324" i="2"/>
  <c r="R325" i="2"/>
  <c r="R326" i="2"/>
  <c r="R332" i="2"/>
  <c r="R333" i="2"/>
  <c r="Y333" i="2"/>
  <c r="R334" i="2"/>
  <c r="Y334" i="2"/>
  <c r="Y332" i="2"/>
  <c r="Z358" i="2"/>
  <c r="R335" i="2"/>
  <c r="Y335" i="2"/>
  <c r="R336" i="2"/>
  <c r="Y336" i="2"/>
  <c r="R337" i="2"/>
  <c r="R338" i="2"/>
  <c r="R339" i="2"/>
  <c r="Y339" i="2"/>
  <c r="R340" i="2"/>
  <c r="Y340" i="2"/>
  <c r="R341" i="2"/>
  <c r="Y341" i="2"/>
  <c r="R342" i="2"/>
  <c r="Y342" i="2"/>
  <c r="R343" i="2"/>
  <c r="Y343" i="2"/>
  <c r="R344" i="2"/>
  <c r="Y344" i="2"/>
  <c r="R345" i="2"/>
  <c r="Y345" i="2"/>
  <c r="R346" i="2"/>
  <c r="Y346" i="2"/>
  <c r="R347" i="2"/>
  <c r="Y347" i="2"/>
  <c r="R348" i="2"/>
  <c r="R349" i="2"/>
  <c r="R350" i="2"/>
  <c r="Y350" i="2"/>
  <c r="R351" i="2"/>
  <c r="Y351" i="2"/>
  <c r="AF303" i="2"/>
  <c r="AM303" i="2"/>
  <c r="AF304" i="2"/>
  <c r="AM304" i="2"/>
  <c r="AF308" i="2"/>
  <c r="AM308" i="2"/>
  <c r="AN308" i="2"/>
  <c r="AJ308" i="2"/>
  <c r="AO308" i="2"/>
  <c r="AF305" i="2"/>
  <c r="AF306" i="2"/>
  <c r="AM306" i="2"/>
  <c r="AF307" i="2"/>
  <c r="AF309" i="2"/>
  <c r="AF310" i="2"/>
  <c r="AM310" i="2"/>
  <c r="AM314" i="2"/>
  <c r="AM318" i="2"/>
  <c r="AN318" i="2"/>
  <c r="AO318" i="2"/>
  <c r="AF311" i="2"/>
  <c r="AF312" i="2"/>
  <c r="AF313" i="2"/>
  <c r="AF314" i="2"/>
  <c r="AF315" i="2"/>
  <c r="AF316" i="2"/>
  <c r="AF317" i="2"/>
  <c r="AF318" i="2"/>
  <c r="AF319" i="2"/>
  <c r="AF320" i="2"/>
  <c r="AO320" i="2"/>
  <c r="AF321" i="2"/>
  <c r="AF322" i="2"/>
  <c r="AF323" i="2"/>
  <c r="AF324" i="2"/>
  <c r="AM324" i="2"/>
  <c r="AF325" i="2"/>
  <c r="AF326" i="2"/>
  <c r="AF332" i="2"/>
  <c r="AM332" i="2"/>
  <c r="AN358" i="2"/>
  <c r="AF333" i="2"/>
  <c r="AM333" i="2"/>
  <c r="AF334" i="2"/>
  <c r="AM334" i="2"/>
  <c r="AF335" i="2"/>
  <c r="AF336" i="2"/>
  <c r="AM336" i="2"/>
  <c r="AF337" i="2"/>
  <c r="AF338" i="2"/>
  <c r="AM338" i="2"/>
  <c r="AF339" i="2"/>
  <c r="AM339" i="2"/>
  <c r="AF340" i="2"/>
  <c r="AM340" i="2"/>
  <c r="AF341" i="2"/>
  <c r="AM341" i="2"/>
  <c r="AF342" i="2"/>
  <c r="AM342" i="2"/>
  <c r="AF343" i="2"/>
  <c r="AM343" i="2"/>
  <c r="AF344" i="2"/>
  <c r="AM344" i="2"/>
  <c r="AF345" i="2"/>
  <c r="AM345" i="2"/>
  <c r="AF346" i="2"/>
  <c r="AM346" i="2"/>
  <c r="AF347" i="2"/>
  <c r="AM347" i="2"/>
  <c r="AF348" i="2"/>
  <c r="AM348" i="2"/>
  <c r="AF349" i="2"/>
  <c r="AF350" i="2"/>
  <c r="AM350" i="2"/>
  <c r="AF351" i="2"/>
  <c r="AM351" i="2"/>
  <c r="AT303" i="2"/>
  <c r="AT304" i="2"/>
  <c r="BA304" i="2"/>
  <c r="AT305" i="2"/>
  <c r="AT306" i="2"/>
  <c r="AT307" i="2"/>
  <c r="AT308" i="2"/>
  <c r="AT309" i="2"/>
  <c r="BA309" i="2"/>
  <c r="BA305" i="2"/>
  <c r="AT310" i="2"/>
  <c r="AT311" i="2"/>
  <c r="AT312" i="2"/>
  <c r="BA312" i="2"/>
  <c r="BA316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32" i="2"/>
  <c r="BA332" i="2"/>
  <c r="AT333" i="2"/>
  <c r="AT334" i="2"/>
  <c r="AT335" i="2"/>
  <c r="BA335" i="2"/>
  <c r="AT336" i="2"/>
  <c r="BA336" i="2"/>
  <c r="AT337" i="2"/>
  <c r="BA337" i="2"/>
  <c r="AT338" i="2"/>
  <c r="AT339" i="2"/>
  <c r="BA339" i="2"/>
  <c r="AT340" i="2"/>
  <c r="BA340" i="2"/>
  <c r="AT341" i="2"/>
  <c r="BA341" i="2"/>
  <c r="AT342" i="2"/>
  <c r="BA342" i="2"/>
  <c r="AT343" i="2"/>
  <c r="BA343" i="2"/>
  <c r="AT344" i="2"/>
  <c r="BA344" i="2"/>
  <c r="AT345" i="2"/>
  <c r="AT346" i="2"/>
  <c r="AT347" i="2"/>
  <c r="BA347" i="2"/>
  <c r="AT348" i="2"/>
  <c r="BA348" i="2"/>
  <c r="AT349" i="2"/>
  <c r="BA349" i="2"/>
  <c r="AT350" i="2"/>
  <c r="AT351" i="2"/>
  <c r="BA351" i="2"/>
  <c r="BW300" i="2"/>
  <c r="BW301" i="2"/>
  <c r="BW302" i="2"/>
  <c r="BW303" i="2"/>
  <c r="BW304" i="2"/>
  <c r="BW305" i="2"/>
  <c r="BW308" i="2"/>
  <c r="BW309" i="2"/>
  <c r="BW310" i="2"/>
  <c r="BW311" i="2"/>
  <c r="BW312" i="2"/>
  <c r="BW314" i="2"/>
  <c r="BW315" i="2"/>
  <c r="BW316" i="2"/>
  <c r="BW317" i="2"/>
  <c r="BW318" i="2"/>
  <c r="BW319" i="2"/>
  <c r="BW320" i="2"/>
  <c r="BW321" i="2"/>
  <c r="BW322" i="2"/>
  <c r="BW323" i="2"/>
  <c r="BW324" i="2"/>
  <c r="BW325" i="2"/>
  <c r="BW326" i="2"/>
  <c r="BW327" i="2"/>
  <c r="BW328" i="2"/>
  <c r="BW329" i="2"/>
  <c r="BW330" i="2"/>
  <c r="BW331" i="2"/>
  <c r="BW332" i="2"/>
  <c r="BW333" i="2"/>
  <c r="BW334" i="2"/>
  <c r="BW335" i="2"/>
  <c r="BW336" i="2"/>
  <c r="BW337" i="2"/>
  <c r="BW338" i="2"/>
  <c r="BW339" i="2"/>
  <c r="BW340" i="2"/>
  <c r="BW341" i="2"/>
  <c r="BW342" i="2"/>
  <c r="BW343" i="2"/>
  <c r="BW344" i="2"/>
  <c r="BW345" i="2"/>
  <c r="BW346" i="2"/>
  <c r="BW348" i="2"/>
  <c r="BW349" i="2"/>
  <c r="BW350" i="2"/>
  <c r="CK300" i="2"/>
  <c r="CK301" i="2"/>
  <c r="CK302" i="2"/>
  <c r="CK303" i="2"/>
  <c r="CK304" i="2"/>
  <c r="CK305" i="2"/>
  <c r="CK308" i="2"/>
  <c r="CK309" i="2"/>
  <c r="CK310" i="2"/>
  <c r="CK311" i="2"/>
  <c r="CK312" i="2"/>
  <c r="CK314" i="2"/>
  <c r="CK315" i="2"/>
  <c r="CK316" i="2"/>
  <c r="CK317" i="2"/>
  <c r="CK318" i="2"/>
  <c r="CK319" i="2"/>
  <c r="CK320" i="2"/>
  <c r="CK321" i="2"/>
  <c r="CK322" i="2"/>
  <c r="CK323" i="2"/>
  <c r="CK324" i="2"/>
  <c r="CK325" i="2"/>
  <c r="CK326" i="2"/>
  <c r="CK327" i="2"/>
  <c r="CK328" i="2"/>
  <c r="CK329" i="2"/>
  <c r="CK330" i="2"/>
  <c r="CK331" i="2"/>
  <c r="CK332" i="2"/>
  <c r="CK333" i="2"/>
  <c r="CK334" i="2"/>
  <c r="CK335" i="2"/>
  <c r="CK336" i="2"/>
  <c r="CK337" i="2"/>
  <c r="CK338" i="2"/>
  <c r="CK339" i="2"/>
  <c r="CK340" i="2"/>
  <c r="CK341" i="2"/>
  <c r="CK342" i="2"/>
  <c r="CK343" i="2"/>
  <c r="CK344" i="2"/>
  <c r="CK345" i="2"/>
  <c r="CK346" i="2"/>
  <c r="CK348" i="2"/>
  <c r="CK349" i="2"/>
  <c r="CK350" i="2"/>
  <c r="CY300" i="2"/>
  <c r="CY301" i="2"/>
  <c r="CY302" i="2"/>
  <c r="CY303" i="2"/>
  <c r="CY304" i="2"/>
  <c r="CY305" i="2"/>
  <c r="CY308" i="2"/>
  <c r="CY309" i="2"/>
  <c r="CY310" i="2"/>
  <c r="CY311" i="2"/>
  <c r="CY312" i="2"/>
  <c r="CY314" i="2"/>
  <c r="CY315" i="2"/>
  <c r="CY316" i="2"/>
  <c r="CY317" i="2"/>
  <c r="CY318" i="2"/>
  <c r="CY319" i="2"/>
  <c r="CY320" i="2"/>
  <c r="CY321" i="2"/>
  <c r="CY322" i="2"/>
  <c r="CY323" i="2"/>
  <c r="CY324" i="2"/>
  <c r="CY325" i="2"/>
  <c r="CY326" i="2"/>
  <c r="CY327" i="2"/>
  <c r="CY328" i="2"/>
  <c r="CY329" i="2"/>
  <c r="CY330" i="2"/>
  <c r="CY331" i="2"/>
  <c r="CY332" i="2"/>
  <c r="CY333" i="2"/>
  <c r="CY334" i="2"/>
  <c r="CY335" i="2"/>
  <c r="CY336" i="2"/>
  <c r="CY337" i="2"/>
  <c r="CY338" i="2"/>
  <c r="CY339" i="2"/>
  <c r="CY340" i="2"/>
  <c r="CY341" i="2"/>
  <c r="CY342" i="2"/>
  <c r="CY343" i="2"/>
  <c r="CY344" i="2"/>
  <c r="CY345" i="2"/>
  <c r="CY346" i="2"/>
  <c r="CY348" i="2"/>
  <c r="CY349" i="2"/>
  <c r="CY350" i="2"/>
  <c r="DM300" i="2"/>
  <c r="DM301" i="2"/>
  <c r="DM302" i="2"/>
  <c r="DM303" i="2"/>
  <c r="DM304" i="2"/>
  <c r="DM305" i="2"/>
  <c r="DM308" i="2"/>
  <c r="DM309" i="2"/>
  <c r="DM310" i="2"/>
  <c r="DM311" i="2"/>
  <c r="DM312" i="2"/>
  <c r="DM314" i="2"/>
  <c r="DM315" i="2"/>
  <c r="DM316" i="2"/>
  <c r="DM317" i="2"/>
  <c r="DM318" i="2"/>
  <c r="DM319" i="2"/>
  <c r="DM320" i="2"/>
  <c r="DM321" i="2"/>
  <c r="DM322" i="2"/>
  <c r="DM323" i="2"/>
  <c r="DM324" i="2"/>
  <c r="DM325" i="2"/>
  <c r="DM326" i="2"/>
  <c r="DM327" i="2"/>
  <c r="DM328" i="2"/>
  <c r="DM329" i="2"/>
  <c r="DM330" i="2"/>
  <c r="DM331" i="2"/>
  <c r="DM332" i="2"/>
  <c r="DM333" i="2"/>
  <c r="DM334" i="2"/>
  <c r="DM335" i="2"/>
  <c r="DM336" i="2"/>
  <c r="DM337" i="2"/>
  <c r="DM338" i="2"/>
  <c r="DM339" i="2"/>
  <c r="DM340" i="2"/>
  <c r="DM341" i="2"/>
  <c r="DM342" i="2"/>
  <c r="DM343" i="2"/>
  <c r="DM344" i="2"/>
  <c r="DM345" i="2"/>
  <c r="DM346" i="2"/>
  <c r="DM348" i="2"/>
  <c r="DM349" i="2"/>
  <c r="DM350" i="2"/>
  <c r="EA308" i="2"/>
  <c r="EA309" i="2"/>
  <c r="EA310" i="2"/>
  <c r="EA311" i="2"/>
  <c r="EA312" i="2"/>
  <c r="EA314" i="2"/>
  <c r="EA315" i="2"/>
  <c r="EA316" i="2"/>
  <c r="EA317" i="2"/>
  <c r="EA318" i="2"/>
  <c r="EA319" i="2"/>
  <c r="EA320" i="2"/>
  <c r="EA321" i="2"/>
  <c r="EA322" i="2"/>
  <c r="EA323" i="2"/>
  <c r="EA324" i="2"/>
  <c r="EA325" i="2"/>
  <c r="EA326" i="2"/>
  <c r="EA327" i="2"/>
  <c r="EA328" i="2"/>
  <c r="EA329" i="2"/>
  <c r="EA330" i="2"/>
  <c r="EA331" i="2"/>
  <c r="EA332" i="2"/>
  <c r="EA333" i="2"/>
  <c r="EA334" i="2"/>
  <c r="EA335" i="2"/>
  <c r="EA336" i="2"/>
  <c r="EA337" i="2"/>
  <c r="EA338" i="2"/>
  <c r="EA339" i="2"/>
  <c r="EA340" i="2"/>
  <c r="EA341" i="2"/>
  <c r="EA342" i="2"/>
  <c r="EA343" i="2"/>
  <c r="EA344" i="2"/>
  <c r="EA345" i="2"/>
  <c r="EA346" i="2"/>
  <c r="EA348" i="2"/>
  <c r="EA349" i="2"/>
  <c r="EA350" i="2"/>
  <c r="A356" i="2"/>
  <c r="EH308" i="2"/>
  <c r="EI308" i="2"/>
  <c r="EJ308" i="2"/>
  <c r="EH309" i="2"/>
  <c r="EI309" i="2"/>
  <c r="EJ309" i="2"/>
  <c r="EH310" i="2"/>
  <c r="EI310" i="2"/>
  <c r="EJ310" i="2"/>
  <c r="EH311" i="2"/>
  <c r="EI311" i="2"/>
  <c r="EJ311" i="2"/>
  <c r="EH312" i="2"/>
  <c r="EI312" i="2"/>
  <c r="EJ312" i="2"/>
  <c r="EH314" i="2"/>
  <c r="EI314" i="2"/>
  <c r="EH315" i="2"/>
  <c r="EI315" i="2"/>
  <c r="EJ315" i="2"/>
  <c r="EH316" i="2"/>
  <c r="EI316" i="2"/>
  <c r="EJ316" i="2"/>
  <c r="EH317" i="2"/>
  <c r="EI317" i="2"/>
  <c r="EJ317" i="2"/>
  <c r="EH318" i="2"/>
  <c r="EI318" i="2"/>
  <c r="EH319" i="2"/>
  <c r="EI319" i="2"/>
  <c r="EJ319" i="2"/>
  <c r="EI320" i="2"/>
  <c r="EJ320" i="2"/>
  <c r="EI321" i="2"/>
  <c r="EJ321" i="2"/>
  <c r="EI322" i="2"/>
  <c r="EJ322" i="2"/>
  <c r="EI323" i="2"/>
  <c r="EJ323" i="2"/>
  <c r="EI324" i="2"/>
  <c r="EI325" i="2"/>
  <c r="EJ325" i="2"/>
  <c r="EI326" i="2"/>
  <c r="EJ326" i="2"/>
  <c r="EI327" i="2"/>
  <c r="EJ327" i="2"/>
  <c r="EI328" i="2"/>
  <c r="EJ328" i="2"/>
  <c r="EI329" i="2"/>
  <c r="EJ329" i="2"/>
  <c r="EI330" i="2"/>
  <c r="EJ330" i="2"/>
  <c r="EI331" i="2"/>
  <c r="EJ331" i="2"/>
  <c r="EI332" i="2"/>
  <c r="EJ332" i="2"/>
  <c r="EI333" i="2"/>
  <c r="EJ333" i="2"/>
  <c r="EI334" i="2"/>
  <c r="EJ334" i="2"/>
  <c r="EI335" i="2"/>
  <c r="EI336" i="2"/>
  <c r="EJ336" i="2"/>
  <c r="EI337" i="2"/>
  <c r="EJ337" i="2"/>
  <c r="EI338" i="2"/>
  <c r="EJ338" i="2"/>
  <c r="EI339" i="2"/>
  <c r="EJ339" i="2"/>
  <c r="EI340" i="2"/>
  <c r="EJ340" i="2"/>
  <c r="EI341" i="2"/>
  <c r="EJ341" i="2"/>
  <c r="EI342" i="2"/>
  <c r="EJ342" i="2"/>
  <c r="EI343" i="2"/>
  <c r="EJ343" i="2"/>
  <c r="EI344" i="2"/>
  <c r="EJ344" i="2"/>
  <c r="EI345" i="2"/>
  <c r="EJ345" i="2"/>
  <c r="EI346" i="2"/>
  <c r="EJ346" i="2"/>
  <c r="EI348" i="2"/>
  <c r="EJ348" i="2"/>
  <c r="EI349" i="2"/>
  <c r="EJ349" i="2"/>
  <c r="EI350" i="2"/>
  <c r="EJ350" i="2"/>
  <c r="EI351" i="2"/>
  <c r="EJ351" i="2"/>
  <c r="EA358" i="2"/>
  <c r="EF359" i="2"/>
  <c r="EE348" i="2"/>
  <c r="EE349" i="2"/>
  <c r="EE350" i="2"/>
  <c r="EE351" i="2"/>
  <c r="DY308" i="2"/>
  <c r="EC308" i="2"/>
  <c r="EE308" i="2"/>
  <c r="DY309" i="2"/>
  <c r="EC309" i="2"/>
  <c r="EE309" i="2"/>
  <c r="DY310" i="2"/>
  <c r="EC310" i="2"/>
  <c r="EE310" i="2"/>
  <c r="DY311" i="2"/>
  <c r="EC311" i="2"/>
  <c r="EE311" i="2"/>
  <c r="DY312" i="2"/>
  <c r="EC312" i="2"/>
  <c r="EE312" i="2"/>
  <c r="EJ313" i="2"/>
  <c r="EC314" i="2"/>
  <c r="EE314" i="2"/>
  <c r="EJ314" i="2"/>
  <c r="EC315" i="2"/>
  <c r="EE315" i="2"/>
  <c r="EC316" i="2"/>
  <c r="EE316" i="2"/>
  <c r="EC317" i="2"/>
  <c r="EE317" i="2"/>
  <c r="EC318" i="2"/>
  <c r="EE318" i="2"/>
  <c r="EJ318" i="2"/>
  <c r="EC319" i="2"/>
  <c r="EE319" i="2"/>
  <c r="EC320" i="2"/>
  <c r="EE320" i="2"/>
  <c r="EC321" i="2"/>
  <c r="EE321" i="2"/>
  <c r="EE322" i="2"/>
  <c r="EC323" i="2"/>
  <c r="EE323" i="2"/>
  <c r="EC324" i="2"/>
  <c r="EE324" i="2"/>
  <c r="EJ324" i="2"/>
  <c r="EE325" i="2"/>
  <c r="EE326" i="2"/>
  <c r="EE327" i="2"/>
  <c r="EE328" i="2"/>
  <c r="EE329" i="2"/>
  <c r="EE330" i="2"/>
  <c r="EE331" i="2"/>
  <c r="EE332" i="2"/>
  <c r="EE333" i="2"/>
  <c r="EE334" i="2"/>
  <c r="EE335" i="2"/>
  <c r="EJ335" i="2"/>
  <c r="EE336" i="2"/>
  <c r="EE337" i="2"/>
  <c r="EE338" i="2"/>
  <c r="EE339" i="2"/>
  <c r="EE340" i="2"/>
  <c r="EE341" i="2"/>
  <c r="EE342" i="2"/>
  <c r="EE343" i="2"/>
  <c r="EE344" i="2"/>
  <c r="EE345" i="2"/>
  <c r="EE346" i="2"/>
  <c r="DO305" i="2"/>
  <c r="H317" i="2"/>
  <c r="AX310" i="2"/>
  <c r="AX306" i="2"/>
  <c r="AX314" i="2"/>
  <c r="AX318" i="2"/>
  <c r="AX322" i="2"/>
  <c r="AX326" i="2"/>
  <c r="AX334" i="2"/>
  <c r="AX338" i="2"/>
  <c r="BC338" i="2"/>
  <c r="AX342" i="2"/>
  <c r="AX346" i="2"/>
  <c r="AX350" i="2"/>
  <c r="BC350" i="2"/>
  <c r="BC334" i="2"/>
  <c r="BC342" i="2"/>
  <c r="BC346" i="2"/>
  <c r="AX309" i="2"/>
  <c r="AX313" i="2"/>
  <c r="AX317" i="2"/>
  <c r="AX321" i="2"/>
  <c r="AX325" i="2"/>
  <c r="AX333" i="2"/>
  <c r="BC333" i="2"/>
  <c r="AX305" i="2"/>
  <c r="AX337" i="2"/>
  <c r="BC337" i="2"/>
  <c r="AX341" i="2"/>
  <c r="BC341" i="2"/>
  <c r="AX345" i="2"/>
  <c r="BC345" i="2"/>
  <c r="AX349" i="2"/>
  <c r="BC349" i="2"/>
  <c r="AX308" i="2"/>
  <c r="AX312" i="2"/>
  <c r="AX316" i="2"/>
  <c r="AX320" i="2"/>
  <c r="AX324" i="2"/>
  <c r="AX332" i="2"/>
  <c r="AX304" i="2"/>
  <c r="AX336" i="2"/>
  <c r="BC336" i="2"/>
  <c r="AX340" i="2"/>
  <c r="BC340" i="2"/>
  <c r="AX344" i="2"/>
  <c r="BC344" i="2"/>
  <c r="AX348" i="2"/>
  <c r="BC348" i="2"/>
  <c r="AX307" i="2"/>
  <c r="AX311" i="2"/>
  <c r="AX315" i="2"/>
  <c r="AX319" i="2"/>
  <c r="AX323" i="2"/>
  <c r="AX303" i="2"/>
  <c r="AX335" i="2"/>
  <c r="BC335" i="2"/>
  <c r="AX339" i="2"/>
  <c r="BC339" i="2"/>
  <c r="AX343" i="2"/>
  <c r="BC343" i="2"/>
  <c r="AX347" i="2"/>
  <c r="BC347" i="2"/>
  <c r="DO300" i="2"/>
  <c r="DQ300" i="2"/>
  <c r="DU300" i="2"/>
  <c r="DT300" i="2"/>
  <c r="DT301" i="2"/>
  <c r="DT302" i="2"/>
  <c r="DV300" i="2"/>
  <c r="DO301" i="2"/>
  <c r="DQ301" i="2"/>
  <c r="DO302" i="2"/>
  <c r="DQ302" i="2"/>
  <c r="DO303" i="2"/>
  <c r="DQ303" i="2"/>
  <c r="DO304" i="2"/>
  <c r="DQ304" i="2"/>
  <c r="DQ305" i="2"/>
  <c r="DO308" i="2"/>
  <c r="DQ308" i="2"/>
  <c r="DT308" i="2"/>
  <c r="DU308" i="2"/>
  <c r="DV308" i="2"/>
  <c r="DO309" i="2"/>
  <c r="DQ309" i="2"/>
  <c r="DT309" i="2"/>
  <c r="DU309" i="2"/>
  <c r="DV309" i="2"/>
  <c r="DO310" i="2"/>
  <c r="DQ310" i="2"/>
  <c r="DT310" i="2"/>
  <c r="DU310" i="2"/>
  <c r="DV310" i="2"/>
  <c r="DO311" i="2"/>
  <c r="DQ311" i="2"/>
  <c r="DT311" i="2"/>
  <c r="DU311" i="2"/>
  <c r="DV311" i="2"/>
  <c r="DO312" i="2"/>
  <c r="DQ312" i="2"/>
  <c r="DT312" i="2"/>
  <c r="DU312" i="2"/>
  <c r="DV312" i="2"/>
  <c r="DV313" i="2"/>
  <c r="DA300" i="2"/>
  <c r="DC300" i="2"/>
  <c r="DF300" i="2"/>
  <c r="DF301" i="2"/>
  <c r="DF302" i="2"/>
  <c r="DF303" i="2"/>
  <c r="DA301" i="2"/>
  <c r="DC301" i="2"/>
  <c r="DA302" i="2"/>
  <c r="DC302" i="2"/>
  <c r="DA303" i="2"/>
  <c r="DC303" i="2"/>
  <c r="DA304" i="2"/>
  <c r="DC304" i="2"/>
  <c r="DA305" i="2"/>
  <c r="DC305" i="2"/>
  <c r="DA308" i="2"/>
  <c r="DC308" i="2"/>
  <c r="DF308" i="2"/>
  <c r="DG308" i="2"/>
  <c r="DH308" i="2"/>
  <c r="DA309" i="2"/>
  <c r="DC309" i="2"/>
  <c r="DF309" i="2"/>
  <c r="DG309" i="2"/>
  <c r="DH309" i="2"/>
  <c r="DA310" i="2"/>
  <c r="DC310" i="2"/>
  <c r="DF310" i="2"/>
  <c r="DG310" i="2"/>
  <c r="DH310" i="2"/>
  <c r="DA311" i="2"/>
  <c r="DC311" i="2"/>
  <c r="DF311" i="2"/>
  <c r="DG311" i="2"/>
  <c r="DH311" i="2"/>
  <c r="DA312" i="2"/>
  <c r="DC312" i="2"/>
  <c r="DF312" i="2"/>
  <c r="DG312" i="2"/>
  <c r="DH312" i="2"/>
  <c r="DH313" i="2"/>
  <c r="CM300" i="2"/>
  <c r="CO300" i="2"/>
  <c r="CR300" i="2"/>
  <c r="CM301" i="2"/>
  <c r="CO301" i="2"/>
  <c r="CM302" i="2"/>
  <c r="CO302" i="2"/>
  <c r="CM303" i="2"/>
  <c r="CO303" i="2"/>
  <c r="CM304" i="2"/>
  <c r="CO304" i="2"/>
  <c r="CM305" i="2"/>
  <c r="CO305" i="2"/>
  <c r="CM308" i="2"/>
  <c r="CO308" i="2"/>
  <c r="CR308" i="2"/>
  <c r="CS308" i="2"/>
  <c r="CT308" i="2"/>
  <c r="CM309" i="2"/>
  <c r="CO309" i="2"/>
  <c r="CR309" i="2"/>
  <c r="CS309" i="2"/>
  <c r="CT309" i="2"/>
  <c r="CM310" i="2"/>
  <c r="CO310" i="2"/>
  <c r="CR310" i="2"/>
  <c r="CS310" i="2"/>
  <c r="CT310" i="2"/>
  <c r="CM311" i="2"/>
  <c r="CO311" i="2"/>
  <c r="CR311" i="2"/>
  <c r="CS311" i="2"/>
  <c r="CT311" i="2"/>
  <c r="CM312" i="2"/>
  <c r="CO312" i="2"/>
  <c r="CR312" i="2"/>
  <c r="CS312" i="2"/>
  <c r="CT312" i="2"/>
  <c r="CT313" i="2"/>
  <c r="AV303" i="2"/>
  <c r="AZ303" i="2"/>
  <c r="AZ307" i="2"/>
  <c r="AZ311" i="2"/>
  <c r="AZ315" i="2"/>
  <c r="AZ319" i="2"/>
  <c r="AZ323" i="2"/>
  <c r="AV304" i="2"/>
  <c r="AZ304" i="2"/>
  <c r="AZ308" i="2"/>
  <c r="AZ312" i="2"/>
  <c r="AZ316" i="2"/>
  <c r="AZ320" i="2"/>
  <c r="AZ324" i="2"/>
  <c r="AV305" i="2"/>
  <c r="AZ305" i="2"/>
  <c r="AV306" i="2"/>
  <c r="AZ306" i="2"/>
  <c r="AZ310" i="2"/>
  <c r="AZ314" i="2"/>
  <c r="AZ318" i="2"/>
  <c r="AZ322" i="2"/>
  <c r="AZ326" i="2"/>
  <c r="AV307" i="2"/>
  <c r="AV308" i="2"/>
  <c r="AV309" i="2"/>
  <c r="AZ309" i="2"/>
  <c r="AZ313" i="2"/>
  <c r="AZ317" i="2"/>
  <c r="AZ321" i="2"/>
  <c r="AZ325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32" i="2"/>
  <c r="AZ332" i="2"/>
  <c r="BB332" i="2"/>
  <c r="BC332" i="2"/>
  <c r="AV333" i="2"/>
  <c r="AZ333" i="2"/>
  <c r="BA333" i="2"/>
  <c r="BB333" i="2"/>
  <c r="AV334" i="2"/>
  <c r="AZ334" i="2"/>
  <c r="BA334" i="2"/>
  <c r="BB334" i="2"/>
  <c r="AV335" i="2"/>
  <c r="AZ335" i="2"/>
  <c r="BB335" i="2"/>
  <c r="AV336" i="2"/>
  <c r="AZ336" i="2"/>
  <c r="BB336" i="2"/>
  <c r="AV337" i="2"/>
  <c r="AZ337" i="2"/>
  <c r="BB337" i="2"/>
  <c r="AV338" i="2"/>
  <c r="AZ338" i="2"/>
  <c r="BB338" i="2"/>
  <c r="AV339" i="2"/>
  <c r="AZ339" i="2"/>
  <c r="BB339" i="2"/>
  <c r="AV340" i="2"/>
  <c r="AZ340" i="2"/>
  <c r="BB340" i="2"/>
  <c r="AV341" i="2"/>
  <c r="AZ341" i="2"/>
  <c r="BB341" i="2"/>
  <c r="AV342" i="2"/>
  <c r="AZ342" i="2"/>
  <c r="BB342" i="2"/>
  <c r="AV343" i="2"/>
  <c r="AZ343" i="2"/>
  <c r="BB343" i="2"/>
  <c r="AV344" i="2"/>
  <c r="AZ344" i="2"/>
  <c r="BB344" i="2"/>
  <c r="AV345" i="2"/>
  <c r="AZ345" i="2"/>
  <c r="BA345" i="2"/>
  <c r="BB345" i="2"/>
  <c r="AV346" i="2"/>
  <c r="AZ346" i="2"/>
  <c r="BA346" i="2"/>
  <c r="BB346" i="2"/>
  <c r="AV347" i="2"/>
  <c r="AZ347" i="2"/>
  <c r="BB347" i="2"/>
  <c r="AV348" i="2"/>
  <c r="AZ348" i="2"/>
  <c r="BB348" i="2"/>
  <c r="AV349" i="2"/>
  <c r="AZ349" i="2"/>
  <c r="BB349" i="2"/>
  <c r="AV350" i="2"/>
  <c r="AZ350" i="2"/>
  <c r="BA350" i="2"/>
  <c r="BB350" i="2"/>
  <c r="AV351" i="2"/>
  <c r="AX351" i="2"/>
  <c r="BC351" i="2"/>
  <c r="AZ351" i="2"/>
  <c r="BB351" i="2"/>
  <c r="AT352" i="2"/>
  <c r="BA352" i="2"/>
  <c r="AV352" i="2"/>
  <c r="AX352" i="2"/>
  <c r="AZ352" i="2"/>
  <c r="BB352" i="2"/>
  <c r="BC352" i="2"/>
  <c r="AT353" i="2"/>
  <c r="BA353" i="2"/>
  <c r="AV353" i="2"/>
  <c r="AX353" i="2"/>
  <c r="BC353" i="2"/>
  <c r="AZ353" i="2"/>
  <c r="BB353" i="2"/>
  <c r="AT354" i="2"/>
  <c r="AV354" i="2"/>
  <c r="AX354" i="2"/>
  <c r="BC354" i="2"/>
  <c r="AZ354" i="2"/>
  <c r="BA354" i="2"/>
  <c r="BB354" i="2"/>
  <c r="AH303" i="2"/>
  <c r="AJ303" i="2"/>
  <c r="AL303" i="2"/>
  <c r="AL307" i="2"/>
  <c r="AH304" i="2"/>
  <c r="AJ304" i="2"/>
  <c r="AL304" i="2"/>
  <c r="AL308" i="2"/>
  <c r="AL312" i="2"/>
  <c r="AL316" i="2"/>
  <c r="AH305" i="2"/>
  <c r="AJ305" i="2"/>
  <c r="AL305" i="2"/>
  <c r="AL309" i="2"/>
  <c r="AL313" i="2"/>
  <c r="AL317" i="2"/>
  <c r="AL321" i="2"/>
  <c r="AH306" i="2"/>
  <c r="AJ306" i="2"/>
  <c r="AN306" i="2"/>
  <c r="AL306" i="2"/>
  <c r="AH307" i="2"/>
  <c r="AJ307" i="2"/>
  <c r="AH308" i="2"/>
  <c r="AH309" i="2"/>
  <c r="AJ309" i="2"/>
  <c r="AH310" i="2"/>
  <c r="AJ310" i="2"/>
  <c r="AL310" i="2"/>
  <c r="AL314" i="2"/>
  <c r="AL318" i="2"/>
  <c r="AL322" i="2"/>
  <c r="AL326" i="2"/>
  <c r="AH311" i="2"/>
  <c r="AJ311" i="2"/>
  <c r="AL311" i="2"/>
  <c r="AL315" i="2"/>
  <c r="AL319" i="2"/>
  <c r="AL323" i="2"/>
  <c r="AH312" i="2"/>
  <c r="AJ312" i="2"/>
  <c r="AH313" i="2"/>
  <c r="AJ313" i="2"/>
  <c r="AH314" i="2"/>
  <c r="AJ314" i="2"/>
  <c r="AH315" i="2"/>
  <c r="AJ315" i="2"/>
  <c r="AH316" i="2"/>
  <c r="AJ316" i="2"/>
  <c r="AH317" i="2"/>
  <c r="AJ317" i="2"/>
  <c r="AL325" i="2"/>
  <c r="AH318" i="2"/>
  <c r="AJ318" i="2"/>
  <c r="AH319" i="2"/>
  <c r="AJ319" i="2"/>
  <c r="AH320" i="2"/>
  <c r="AJ320" i="2"/>
  <c r="AH321" i="2"/>
  <c r="AJ321" i="2"/>
  <c r="AH322" i="2"/>
  <c r="AJ322" i="2"/>
  <c r="AH323" i="2"/>
  <c r="AJ323" i="2"/>
  <c r="AH324" i="2"/>
  <c r="AJ324" i="2"/>
  <c r="AH325" i="2"/>
  <c r="AJ325" i="2"/>
  <c r="AH326" i="2"/>
  <c r="AJ326" i="2"/>
  <c r="AH332" i="2"/>
  <c r="AJ332" i="2"/>
  <c r="AL332" i="2"/>
  <c r="AN332" i="2"/>
  <c r="AH333" i="2"/>
  <c r="AJ333" i="2"/>
  <c r="AO333" i="2"/>
  <c r="AL333" i="2"/>
  <c r="AN333" i="2"/>
  <c r="AH334" i="2"/>
  <c r="AJ334" i="2"/>
  <c r="AO334" i="2"/>
  <c r="AL334" i="2"/>
  <c r="AN334" i="2"/>
  <c r="AH335" i="2"/>
  <c r="AJ335" i="2"/>
  <c r="AL335" i="2"/>
  <c r="AN335" i="2"/>
  <c r="AH336" i="2"/>
  <c r="AJ336" i="2"/>
  <c r="AO336" i="2"/>
  <c r="AL336" i="2"/>
  <c r="AN336" i="2"/>
  <c r="AH337" i="2"/>
  <c r="AJ337" i="2"/>
  <c r="AO337" i="2"/>
  <c r="AL337" i="2"/>
  <c r="AM337" i="2"/>
  <c r="AN337" i="2"/>
  <c r="AH338" i="2"/>
  <c r="AJ338" i="2"/>
  <c r="AO338" i="2"/>
  <c r="AL338" i="2"/>
  <c r="AN338" i="2"/>
  <c r="AH339" i="2"/>
  <c r="AJ339" i="2"/>
  <c r="AO339" i="2"/>
  <c r="AL339" i="2"/>
  <c r="AN339" i="2"/>
  <c r="AH340" i="2"/>
  <c r="AJ340" i="2"/>
  <c r="AO340" i="2"/>
  <c r="AL340" i="2"/>
  <c r="AN340" i="2"/>
  <c r="AH341" i="2"/>
  <c r="AJ341" i="2"/>
  <c r="AO341" i="2"/>
  <c r="AL341" i="2"/>
  <c r="AN341" i="2"/>
  <c r="AH342" i="2"/>
  <c r="AJ342" i="2"/>
  <c r="AO342" i="2"/>
  <c r="AL342" i="2"/>
  <c r="AN342" i="2"/>
  <c r="AH343" i="2"/>
  <c r="AJ343" i="2"/>
  <c r="AO343" i="2"/>
  <c r="AL343" i="2"/>
  <c r="AN343" i="2"/>
  <c r="AH344" i="2"/>
  <c r="AJ344" i="2"/>
  <c r="AO344" i="2"/>
  <c r="AL344" i="2"/>
  <c r="AN344" i="2"/>
  <c r="AH345" i="2"/>
  <c r="AJ345" i="2"/>
  <c r="AO345" i="2"/>
  <c r="AL345" i="2"/>
  <c r="AN345" i="2"/>
  <c r="AH346" i="2"/>
  <c r="AJ346" i="2"/>
  <c r="AO346" i="2"/>
  <c r="AL346" i="2"/>
  <c r="AN346" i="2"/>
  <c r="AH347" i="2"/>
  <c r="AJ347" i="2"/>
  <c r="AO347" i="2"/>
  <c r="AL347" i="2"/>
  <c r="AN347" i="2"/>
  <c r="AH348" i="2"/>
  <c r="AJ348" i="2"/>
  <c r="AO348" i="2"/>
  <c r="AL348" i="2"/>
  <c r="AN348" i="2"/>
  <c r="AH349" i="2"/>
  <c r="AJ349" i="2"/>
  <c r="AO349" i="2"/>
  <c r="AL349" i="2"/>
  <c r="AM349" i="2"/>
  <c r="AN349" i="2"/>
  <c r="AH350" i="2"/>
  <c r="AJ350" i="2"/>
  <c r="AO350" i="2"/>
  <c r="AL350" i="2"/>
  <c r="AN350" i="2"/>
  <c r="AH351" i="2"/>
  <c r="AJ351" i="2"/>
  <c r="AO351" i="2"/>
  <c r="AL351" i="2"/>
  <c r="AN351" i="2"/>
  <c r="AF352" i="2"/>
  <c r="AM352" i="2"/>
  <c r="AH352" i="2"/>
  <c r="AJ352" i="2"/>
  <c r="AO352" i="2"/>
  <c r="AL352" i="2"/>
  <c r="AN352" i="2"/>
  <c r="AF353" i="2"/>
  <c r="AM353" i="2"/>
  <c r="AH353" i="2"/>
  <c r="AJ353" i="2"/>
  <c r="AL353" i="2"/>
  <c r="AN353" i="2"/>
  <c r="AO353" i="2"/>
  <c r="AF354" i="2"/>
  <c r="AM354" i="2"/>
  <c r="AH354" i="2"/>
  <c r="AJ354" i="2"/>
  <c r="AO354" i="2"/>
  <c r="AL354" i="2"/>
  <c r="AN354" i="2"/>
  <c r="T303" i="2"/>
  <c r="V303" i="2"/>
  <c r="X303" i="2"/>
  <c r="X307" i="2"/>
  <c r="X311" i="2"/>
  <c r="X315" i="2"/>
  <c r="X319" i="2"/>
  <c r="X323" i="2"/>
  <c r="Y303" i="2"/>
  <c r="T304" i="2"/>
  <c r="V304" i="2"/>
  <c r="Y304" i="2"/>
  <c r="T305" i="2"/>
  <c r="X305" i="2"/>
  <c r="T306" i="2"/>
  <c r="X306" i="2"/>
  <c r="T307" i="2"/>
  <c r="V307" i="2"/>
  <c r="T308" i="2"/>
  <c r="V308" i="2"/>
  <c r="Z308" i="2"/>
  <c r="X308" i="2"/>
  <c r="X312" i="2"/>
  <c r="X316" i="2"/>
  <c r="X320" i="2"/>
  <c r="X324" i="2"/>
  <c r="T309" i="2"/>
  <c r="V309" i="2"/>
  <c r="X309" i="2"/>
  <c r="X313" i="2"/>
  <c r="X317" i="2"/>
  <c r="X321" i="2"/>
  <c r="X325" i="2"/>
  <c r="T310" i="2"/>
  <c r="V310" i="2"/>
  <c r="T311" i="2"/>
  <c r="V311" i="2"/>
  <c r="T312" i="2"/>
  <c r="V312" i="2"/>
  <c r="T313" i="2"/>
  <c r="V313" i="2"/>
  <c r="T314" i="2"/>
  <c r="V314" i="2"/>
  <c r="X314" i="2"/>
  <c r="X318" i="2"/>
  <c r="X322" i="2"/>
  <c r="X326" i="2"/>
  <c r="T315" i="2"/>
  <c r="V315" i="2"/>
  <c r="T316" i="2"/>
  <c r="V316" i="2"/>
  <c r="T317" i="2"/>
  <c r="V317" i="2"/>
  <c r="T318" i="2"/>
  <c r="V318" i="2"/>
  <c r="T319" i="2"/>
  <c r="V319" i="2"/>
  <c r="T320" i="2"/>
  <c r="V320" i="2"/>
  <c r="T321" i="2"/>
  <c r="V321" i="2"/>
  <c r="T322" i="2"/>
  <c r="V322" i="2"/>
  <c r="T323" i="2"/>
  <c r="V323" i="2"/>
  <c r="T324" i="2"/>
  <c r="V324" i="2"/>
  <c r="T325" i="2"/>
  <c r="V325" i="2"/>
  <c r="T326" i="2"/>
  <c r="V326" i="2"/>
  <c r="T332" i="2"/>
  <c r="V332" i="2"/>
  <c r="AA332" i="2"/>
  <c r="X332" i="2"/>
  <c r="Z332" i="2"/>
  <c r="T333" i="2"/>
  <c r="V333" i="2"/>
  <c r="AA333" i="2"/>
  <c r="X333" i="2"/>
  <c r="Z333" i="2"/>
  <c r="T334" i="2"/>
  <c r="V334" i="2"/>
  <c r="AA334" i="2"/>
  <c r="X334" i="2"/>
  <c r="Z334" i="2"/>
  <c r="T335" i="2"/>
  <c r="V335" i="2"/>
  <c r="AA335" i="2"/>
  <c r="X335" i="2"/>
  <c r="Z335" i="2"/>
  <c r="T336" i="2"/>
  <c r="V336" i="2"/>
  <c r="AA336" i="2"/>
  <c r="X336" i="2"/>
  <c r="Z336" i="2"/>
  <c r="T337" i="2"/>
  <c r="V337" i="2"/>
  <c r="AA337" i="2"/>
  <c r="X337" i="2"/>
  <c r="Y337" i="2"/>
  <c r="Z337" i="2"/>
  <c r="T338" i="2"/>
  <c r="V338" i="2"/>
  <c r="AA338" i="2"/>
  <c r="X338" i="2"/>
  <c r="Z338" i="2"/>
  <c r="T339" i="2"/>
  <c r="V339" i="2"/>
  <c r="AA339" i="2"/>
  <c r="X339" i="2"/>
  <c r="Z339" i="2"/>
  <c r="T340" i="2"/>
  <c r="V340" i="2"/>
  <c r="AA340" i="2"/>
  <c r="X340" i="2"/>
  <c r="Z340" i="2"/>
  <c r="T341" i="2"/>
  <c r="V341" i="2"/>
  <c r="AA341" i="2"/>
  <c r="X341" i="2"/>
  <c r="Z341" i="2"/>
  <c r="T342" i="2"/>
  <c r="V342" i="2"/>
  <c r="AA342" i="2"/>
  <c r="X342" i="2"/>
  <c r="Z342" i="2"/>
  <c r="T343" i="2"/>
  <c r="V343" i="2"/>
  <c r="AA343" i="2"/>
  <c r="X343" i="2"/>
  <c r="Z343" i="2"/>
  <c r="T344" i="2"/>
  <c r="V344" i="2"/>
  <c r="AA344" i="2"/>
  <c r="X344" i="2"/>
  <c r="Z344" i="2"/>
  <c r="T345" i="2"/>
  <c r="V345" i="2"/>
  <c r="X345" i="2"/>
  <c r="Z345" i="2"/>
  <c r="AA345" i="2"/>
  <c r="T346" i="2"/>
  <c r="V346" i="2"/>
  <c r="AA346" i="2"/>
  <c r="X346" i="2"/>
  <c r="Z346" i="2"/>
  <c r="T347" i="2"/>
  <c r="V347" i="2"/>
  <c r="AA347" i="2"/>
  <c r="X347" i="2"/>
  <c r="Z347" i="2"/>
  <c r="T348" i="2"/>
  <c r="V348" i="2"/>
  <c r="AA348" i="2"/>
  <c r="X348" i="2"/>
  <c r="Y348" i="2"/>
  <c r="Z348" i="2"/>
  <c r="T349" i="2"/>
  <c r="V349" i="2"/>
  <c r="AA349" i="2"/>
  <c r="X349" i="2"/>
  <c r="Y349" i="2"/>
  <c r="Z349" i="2"/>
  <c r="T350" i="2"/>
  <c r="V350" i="2"/>
  <c r="AA350" i="2"/>
  <c r="X350" i="2"/>
  <c r="Z350" i="2"/>
  <c r="T351" i="2"/>
  <c r="V351" i="2"/>
  <c r="AA351" i="2"/>
  <c r="X351" i="2"/>
  <c r="Z351" i="2"/>
  <c r="R352" i="2"/>
  <c r="Y352" i="2"/>
  <c r="T352" i="2"/>
  <c r="V352" i="2"/>
  <c r="AA352" i="2"/>
  <c r="X352" i="2"/>
  <c r="Z352" i="2"/>
  <c r="R353" i="2"/>
  <c r="Y353" i="2"/>
  <c r="T353" i="2"/>
  <c r="V353" i="2"/>
  <c r="AA353" i="2"/>
  <c r="X353" i="2"/>
  <c r="Z353" i="2"/>
  <c r="R354" i="2"/>
  <c r="Y354" i="2"/>
  <c r="T354" i="2"/>
  <c r="V354" i="2"/>
  <c r="AA354" i="2"/>
  <c r="X354" i="2"/>
  <c r="Z354" i="2"/>
  <c r="J343" i="2"/>
  <c r="L343" i="2"/>
  <c r="H343" i="2"/>
  <c r="M343" i="2"/>
  <c r="J344" i="2"/>
  <c r="L344" i="2"/>
  <c r="H344" i="2"/>
  <c r="M344" i="2"/>
  <c r="J345" i="2"/>
  <c r="L345" i="2"/>
  <c r="H345" i="2"/>
  <c r="M345" i="2"/>
  <c r="J346" i="2"/>
  <c r="K346" i="2"/>
  <c r="L346" i="2"/>
  <c r="H346" i="2"/>
  <c r="M346" i="2"/>
  <c r="J347" i="2"/>
  <c r="L347" i="2"/>
  <c r="H347" i="2"/>
  <c r="M347" i="2"/>
  <c r="J348" i="2"/>
  <c r="L348" i="2"/>
  <c r="H348" i="2"/>
  <c r="M348" i="2"/>
  <c r="J349" i="2"/>
  <c r="L349" i="2"/>
  <c r="H349" i="2"/>
  <c r="M349" i="2"/>
  <c r="J350" i="2"/>
  <c r="L350" i="2"/>
  <c r="H350" i="2"/>
  <c r="M350" i="2"/>
  <c r="J335" i="2"/>
  <c r="L335" i="2"/>
  <c r="H335" i="2"/>
  <c r="M335" i="2"/>
  <c r="J336" i="2"/>
  <c r="K336" i="2"/>
  <c r="L336" i="2"/>
  <c r="H336" i="2"/>
  <c r="M336" i="2"/>
  <c r="J337" i="2"/>
  <c r="L337" i="2"/>
  <c r="H337" i="2"/>
  <c r="M337" i="2"/>
  <c r="J338" i="2"/>
  <c r="L338" i="2"/>
  <c r="H338" i="2"/>
  <c r="M338" i="2"/>
  <c r="J339" i="2"/>
  <c r="L339" i="2"/>
  <c r="H339" i="2"/>
  <c r="M339" i="2"/>
  <c r="J340" i="2"/>
  <c r="L340" i="2"/>
  <c r="H340" i="2"/>
  <c r="M340" i="2"/>
  <c r="J341" i="2"/>
  <c r="L341" i="2"/>
  <c r="H341" i="2"/>
  <c r="M341" i="2"/>
  <c r="J342" i="2"/>
  <c r="L342" i="2"/>
  <c r="H342" i="2"/>
  <c r="M342" i="2"/>
  <c r="J303" i="2"/>
  <c r="J307" i="2"/>
  <c r="J311" i="2"/>
  <c r="J315" i="2"/>
  <c r="J319" i="2"/>
  <c r="J323" i="2"/>
  <c r="H319" i="2"/>
  <c r="J304" i="2"/>
  <c r="J308" i="2"/>
  <c r="J312" i="2"/>
  <c r="J316" i="2"/>
  <c r="J320" i="2"/>
  <c r="J324" i="2"/>
  <c r="K304" i="2"/>
  <c r="H320" i="2"/>
  <c r="J305" i="2"/>
  <c r="J309" i="2"/>
  <c r="J313" i="2"/>
  <c r="J317" i="2"/>
  <c r="J321" i="2"/>
  <c r="J325" i="2"/>
  <c r="H321" i="2"/>
  <c r="J306" i="2"/>
  <c r="J310" i="2"/>
  <c r="J314" i="2"/>
  <c r="J318" i="2"/>
  <c r="J322" i="2"/>
  <c r="J326" i="2"/>
  <c r="H322" i="2"/>
  <c r="H323" i="2"/>
  <c r="H324" i="2"/>
  <c r="H325" i="2"/>
  <c r="H326" i="2"/>
  <c r="H311" i="2"/>
  <c r="H312" i="2"/>
  <c r="H313" i="2"/>
  <c r="H314" i="2"/>
  <c r="H315" i="2"/>
  <c r="H316" i="2"/>
  <c r="H318" i="2"/>
  <c r="H303" i="2"/>
  <c r="H307" i="2"/>
  <c r="J363" i="2"/>
  <c r="K363" i="2"/>
  <c r="X363" i="2"/>
  <c r="Y363" i="2"/>
  <c r="AL363" i="2"/>
  <c r="AM363" i="2"/>
  <c r="AZ363" i="2"/>
  <c r="BA363" i="2"/>
  <c r="H304" i="2"/>
  <c r="H308" i="2"/>
  <c r="H332" i="2"/>
  <c r="M332" i="2"/>
  <c r="J364" i="2"/>
  <c r="K364" i="2"/>
  <c r="L304" i="2"/>
  <c r="L332" i="2"/>
  <c r="X364" i="2"/>
  <c r="Y364" i="2"/>
  <c r="AL364" i="2"/>
  <c r="AM364" i="2"/>
  <c r="AZ364" i="2"/>
  <c r="BA364" i="2"/>
  <c r="H305" i="2"/>
  <c r="H309" i="2"/>
  <c r="H333" i="2"/>
  <c r="M333" i="2"/>
  <c r="J365" i="2"/>
  <c r="K365" i="2"/>
  <c r="L333" i="2"/>
  <c r="X365" i="2"/>
  <c r="Y365" i="2"/>
  <c r="AL365" i="2"/>
  <c r="AM365" i="2"/>
  <c r="AZ365" i="2"/>
  <c r="BA365" i="2"/>
  <c r="H306" i="2"/>
  <c r="H310" i="2"/>
  <c r="H334" i="2"/>
  <c r="M334" i="2"/>
  <c r="J366" i="2"/>
  <c r="K366" i="2"/>
  <c r="L334" i="2"/>
  <c r="X366" i="2"/>
  <c r="Y366" i="2"/>
  <c r="AL366" i="2"/>
  <c r="AM366" i="2"/>
  <c r="AZ366" i="2"/>
  <c r="BA366" i="2"/>
  <c r="BU300" i="2"/>
  <c r="BY300" i="2"/>
  <c r="CA300" i="2"/>
  <c r="CD300" i="2"/>
  <c r="CI300" i="2"/>
  <c r="CW300" i="2"/>
  <c r="DK300" i="2"/>
  <c r="BU301" i="2"/>
  <c r="BY301" i="2"/>
  <c r="CA301" i="2"/>
  <c r="CI301" i="2"/>
  <c r="CW301" i="2"/>
  <c r="DK301" i="2"/>
  <c r="BU302" i="2"/>
  <c r="BY302" i="2"/>
  <c r="CA302" i="2"/>
  <c r="CI302" i="2"/>
  <c r="CW302" i="2"/>
  <c r="DK302" i="2"/>
  <c r="F303" i="2"/>
  <c r="P303" i="2"/>
  <c r="AD303" i="2"/>
  <c r="AR303" i="2"/>
  <c r="BU303" i="2"/>
  <c r="BY303" i="2"/>
  <c r="CA303" i="2"/>
  <c r="CI303" i="2"/>
  <c r="CW303" i="2"/>
  <c r="DK303" i="2"/>
  <c r="F304" i="2"/>
  <c r="BU304" i="2"/>
  <c r="BY304" i="2"/>
  <c r="CA304" i="2"/>
  <c r="CI304" i="2"/>
  <c r="CW304" i="2"/>
  <c r="DK304" i="2"/>
  <c r="F305" i="2"/>
  <c r="BU305" i="2"/>
  <c r="BY305" i="2"/>
  <c r="CA305" i="2"/>
  <c r="CI305" i="2"/>
  <c r="CW305" i="2"/>
  <c r="DK305" i="2"/>
  <c r="F306" i="2"/>
  <c r="F307" i="2"/>
  <c r="P307" i="2"/>
  <c r="AD307" i="2"/>
  <c r="AR307" i="2"/>
  <c r="F308" i="2"/>
  <c r="BU308" i="2"/>
  <c r="BY308" i="2"/>
  <c r="CA308" i="2"/>
  <c r="CD308" i="2"/>
  <c r="CE308" i="2"/>
  <c r="CF308" i="2"/>
  <c r="CI308" i="2"/>
  <c r="CW308" i="2"/>
  <c r="DK308" i="2"/>
  <c r="F309" i="2"/>
  <c r="BU309" i="2"/>
  <c r="BY309" i="2"/>
  <c r="CA309" i="2"/>
  <c r="CD309" i="2"/>
  <c r="CE309" i="2"/>
  <c r="CF309" i="2"/>
  <c r="CI309" i="2"/>
  <c r="CW309" i="2"/>
  <c r="DK309" i="2"/>
  <c r="F310" i="2"/>
  <c r="BU310" i="2"/>
  <c r="BY310" i="2"/>
  <c r="CA310" i="2"/>
  <c r="CD310" i="2"/>
  <c r="CE310" i="2"/>
  <c r="CF310" i="2"/>
  <c r="CI310" i="2"/>
  <c r="CW310" i="2"/>
  <c r="DK310" i="2"/>
  <c r="F311" i="2"/>
  <c r="P311" i="2"/>
  <c r="AD311" i="2"/>
  <c r="AR311" i="2"/>
  <c r="BU311" i="2"/>
  <c r="BY311" i="2"/>
  <c r="CA311" i="2"/>
  <c r="CD311" i="2"/>
  <c r="CE311" i="2"/>
  <c r="CF311" i="2"/>
  <c r="CI311" i="2"/>
  <c r="CW311" i="2"/>
  <c r="DK311" i="2"/>
  <c r="F312" i="2"/>
  <c r="BU312" i="2"/>
  <c r="BY312" i="2"/>
  <c r="CA312" i="2"/>
  <c r="CD312" i="2"/>
  <c r="CE312" i="2"/>
  <c r="CF312" i="2"/>
  <c r="CI312" i="2"/>
  <c r="CW312" i="2"/>
  <c r="DK312" i="2"/>
  <c r="F313" i="2"/>
  <c r="CF313" i="2"/>
  <c r="F314" i="2"/>
  <c r="BY314" i="2"/>
  <c r="CA314" i="2"/>
  <c r="CD314" i="2"/>
  <c r="CE314" i="2"/>
  <c r="CF314" i="2"/>
  <c r="CM314" i="2"/>
  <c r="CO314" i="2"/>
  <c r="CR314" i="2"/>
  <c r="CS314" i="2"/>
  <c r="CT314" i="2"/>
  <c r="DA314" i="2"/>
  <c r="DC314" i="2"/>
  <c r="DF314" i="2"/>
  <c r="DG314" i="2"/>
  <c r="DH314" i="2"/>
  <c r="DO314" i="2"/>
  <c r="DQ314" i="2"/>
  <c r="DT314" i="2"/>
  <c r="DU314" i="2"/>
  <c r="DV314" i="2"/>
  <c r="F315" i="2"/>
  <c r="P315" i="2"/>
  <c r="AD315" i="2"/>
  <c r="AR315" i="2"/>
  <c r="BY315" i="2"/>
  <c r="CA315" i="2"/>
  <c r="CD315" i="2"/>
  <c r="CE315" i="2"/>
  <c r="CF315" i="2"/>
  <c r="CM315" i="2"/>
  <c r="CO315" i="2"/>
  <c r="CR315" i="2"/>
  <c r="CS315" i="2"/>
  <c r="CT315" i="2"/>
  <c r="DA315" i="2"/>
  <c r="DC315" i="2"/>
  <c r="DF315" i="2"/>
  <c r="DG315" i="2"/>
  <c r="DH315" i="2"/>
  <c r="DO315" i="2"/>
  <c r="DQ315" i="2"/>
  <c r="DT315" i="2"/>
  <c r="DU315" i="2"/>
  <c r="DV315" i="2"/>
  <c r="F316" i="2"/>
  <c r="BY316" i="2"/>
  <c r="CA316" i="2"/>
  <c r="CD316" i="2"/>
  <c r="CE316" i="2"/>
  <c r="CF316" i="2"/>
  <c r="CM316" i="2"/>
  <c r="CO316" i="2"/>
  <c r="CR316" i="2"/>
  <c r="CS316" i="2"/>
  <c r="CT316" i="2"/>
  <c r="DA316" i="2"/>
  <c r="DC316" i="2"/>
  <c r="DF316" i="2"/>
  <c r="DG316" i="2"/>
  <c r="DH316" i="2"/>
  <c r="DO316" i="2"/>
  <c r="DQ316" i="2"/>
  <c r="DT316" i="2"/>
  <c r="DU316" i="2"/>
  <c r="DV316" i="2"/>
  <c r="F317" i="2"/>
  <c r="BY317" i="2"/>
  <c r="CA317" i="2"/>
  <c r="CD317" i="2"/>
  <c r="CE317" i="2"/>
  <c r="CF317" i="2"/>
  <c r="CM317" i="2"/>
  <c r="CO317" i="2"/>
  <c r="CR317" i="2"/>
  <c r="CS317" i="2"/>
  <c r="CT317" i="2"/>
  <c r="DA317" i="2"/>
  <c r="DC317" i="2"/>
  <c r="DF317" i="2"/>
  <c r="DG317" i="2"/>
  <c r="DH317" i="2"/>
  <c r="DO317" i="2"/>
  <c r="DQ317" i="2"/>
  <c r="DT317" i="2"/>
  <c r="DU317" i="2"/>
  <c r="DV317" i="2"/>
  <c r="F318" i="2"/>
  <c r="BY318" i="2"/>
  <c r="CA318" i="2"/>
  <c r="CD318" i="2"/>
  <c r="CE318" i="2"/>
  <c r="CF318" i="2"/>
  <c r="CM318" i="2"/>
  <c r="CO318" i="2"/>
  <c r="CR318" i="2"/>
  <c r="CS318" i="2"/>
  <c r="CT318" i="2"/>
  <c r="DA318" i="2"/>
  <c r="DC318" i="2"/>
  <c r="DF318" i="2"/>
  <c r="DG318" i="2"/>
  <c r="DH318" i="2"/>
  <c r="DO318" i="2"/>
  <c r="DQ318" i="2"/>
  <c r="DT318" i="2"/>
  <c r="DU318" i="2"/>
  <c r="DV318" i="2"/>
  <c r="F319" i="2"/>
  <c r="P319" i="2"/>
  <c r="AD319" i="2"/>
  <c r="AR319" i="2"/>
  <c r="BY319" i="2"/>
  <c r="CA319" i="2"/>
  <c r="CD319" i="2"/>
  <c r="CE319" i="2"/>
  <c r="CF319" i="2"/>
  <c r="CM319" i="2"/>
  <c r="CO319" i="2"/>
  <c r="CR319" i="2"/>
  <c r="CS319" i="2"/>
  <c r="CT319" i="2"/>
  <c r="DA319" i="2"/>
  <c r="DC319" i="2"/>
  <c r="DF319" i="2"/>
  <c r="DG319" i="2"/>
  <c r="DH319" i="2"/>
  <c r="DO319" i="2"/>
  <c r="DQ319" i="2"/>
  <c r="DT319" i="2"/>
  <c r="DU319" i="2"/>
  <c r="DV319" i="2"/>
  <c r="F320" i="2"/>
  <c r="BY320" i="2"/>
  <c r="CA320" i="2"/>
  <c r="CE320" i="2"/>
  <c r="CF320" i="2"/>
  <c r="CM320" i="2"/>
  <c r="CO320" i="2"/>
  <c r="CS320" i="2"/>
  <c r="CT320" i="2"/>
  <c r="DA320" i="2"/>
  <c r="DC320" i="2"/>
  <c r="DG320" i="2"/>
  <c r="DH320" i="2"/>
  <c r="DO320" i="2"/>
  <c r="DQ320" i="2"/>
  <c r="DU320" i="2"/>
  <c r="DV320" i="2"/>
  <c r="F321" i="2"/>
  <c r="BY321" i="2"/>
  <c r="CA321" i="2"/>
  <c r="CE321" i="2"/>
  <c r="CF321" i="2"/>
  <c r="CM321" i="2"/>
  <c r="CO321" i="2"/>
  <c r="CS321" i="2"/>
  <c r="CT321" i="2"/>
  <c r="DA321" i="2"/>
  <c r="DC321" i="2"/>
  <c r="DG321" i="2"/>
  <c r="DH321" i="2"/>
  <c r="DO321" i="2"/>
  <c r="DQ321" i="2"/>
  <c r="DU321" i="2"/>
  <c r="DV321" i="2"/>
  <c r="F322" i="2"/>
  <c r="CA322" i="2"/>
  <c r="CE322" i="2"/>
  <c r="CF322" i="2"/>
  <c r="CO322" i="2"/>
  <c r="CS322" i="2"/>
  <c r="CT322" i="2"/>
  <c r="DC322" i="2"/>
  <c r="DG322" i="2"/>
  <c r="DH322" i="2"/>
  <c r="DQ322" i="2"/>
  <c r="DU322" i="2"/>
  <c r="DV322" i="2"/>
  <c r="F323" i="2"/>
  <c r="P323" i="2"/>
  <c r="AD323" i="2"/>
  <c r="AR323" i="2"/>
  <c r="BY323" i="2"/>
  <c r="CA323" i="2"/>
  <c r="CE323" i="2"/>
  <c r="CF323" i="2"/>
  <c r="CM323" i="2"/>
  <c r="CO323" i="2"/>
  <c r="CS323" i="2"/>
  <c r="CT323" i="2"/>
  <c r="DA323" i="2"/>
  <c r="DC323" i="2"/>
  <c r="DG323" i="2"/>
  <c r="DH323" i="2"/>
  <c r="DO323" i="2"/>
  <c r="DQ323" i="2"/>
  <c r="DU323" i="2"/>
  <c r="DV323" i="2"/>
  <c r="F324" i="2"/>
  <c r="P324" i="2"/>
  <c r="AD324" i="2"/>
  <c r="AR324" i="2"/>
  <c r="BY324" i="2"/>
  <c r="CA324" i="2"/>
  <c r="CE324" i="2"/>
  <c r="CF324" i="2"/>
  <c r="CM324" i="2"/>
  <c r="CO324" i="2"/>
  <c r="CS324" i="2"/>
  <c r="CT324" i="2"/>
  <c r="DA324" i="2"/>
  <c r="DC324" i="2"/>
  <c r="DG324" i="2"/>
  <c r="DH324" i="2"/>
  <c r="DO324" i="2"/>
  <c r="DQ324" i="2"/>
  <c r="DU324" i="2"/>
  <c r="DV324" i="2"/>
  <c r="F325" i="2"/>
  <c r="CA325" i="2"/>
  <c r="CE325" i="2"/>
  <c r="CF325" i="2"/>
  <c r="CO325" i="2"/>
  <c r="CS325" i="2"/>
  <c r="CT325" i="2"/>
  <c r="DC325" i="2"/>
  <c r="DG325" i="2"/>
  <c r="DH325" i="2"/>
  <c r="DQ325" i="2"/>
  <c r="DU325" i="2"/>
  <c r="DV325" i="2"/>
  <c r="F326" i="2"/>
  <c r="CA326" i="2"/>
  <c r="CE326" i="2"/>
  <c r="CF326" i="2"/>
  <c r="CO326" i="2"/>
  <c r="CS326" i="2"/>
  <c r="CT326" i="2"/>
  <c r="DC326" i="2"/>
  <c r="DG326" i="2"/>
  <c r="DH326" i="2"/>
  <c r="DQ326" i="2"/>
  <c r="DU326" i="2"/>
  <c r="DV326" i="2"/>
  <c r="CA327" i="2"/>
  <c r="CE327" i="2"/>
  <c r="CF327" i="2"/>
  <c r="CO327" i="2"/>
  <c r="CS327" i="2"/>
  <c r="CT327" i="2"/>
  <c r="DC327" i="2"/>
  <c r="DG327" i="2"/>
  <c r="DH327" i="2"/>
  <c r="DQ327" i="2"/>
  <c r="DU327" i="2"/>
  <c r="DV327" i="2"/>
  <c r="CA328" i="2"/>
  <c r="CE328" i="2"/>
  <c r="CF328" i="2"/>
  <c r="CO328" i="2"/>
  <c r="CS328" i="2"/>
  <c r="CT328" i="2"/>
  <c r="DC328" i="2"/>
  <c r="DG328" i="2"/>
  <c r="DH328" i="2"/>
  <c r="DQ328" i="2"/>
  <c r="DU328" i="2"/>
  <c r="DV328" i="2"/>
  <c r="CA329" i="2"/>
  <c r="CE329" i="2"/>
  <c r="CF329" i="2"/>
  <c r="CO329" i="2"/>
  <c r="CS329" i="2"/>
  <c r="CT329" i="2"/>
  <c r="DC329" i="2"/>
  <c r="DG329" i="2"/>
  <c r="DH329" i="2"/>
  <c r="DQ329" i="2"/>
  <c r="DU329" i="2"/>
  <c r="DV329" i="2"/>
  <c r="CA330" i="2"/>
  <c r="CE330" i="2"/>
  <c r="CF330" i="2"/>
  <c r="CO330" i="2"/>
  <c r="CS330" i="2"/>
  <c r="CT330" i="2"/>
  <c r="DC330" i="2"/>
  <c r="DG330" i="2"/>
  <c r="DH330" i="2"/>
  <c r="DQ330" i="2"/>
  <c r="DU330" i="2"/>
  <c r="DV330" i="2"/>
  <c r="CA331" i="2"/>
  <c r="CE331" i="2"/>
  <c r="CF331" i="2"/>
  <c r="CO331" i="2"/>
  <c r="CS331" i="2"/>
  <c r="CT331" i="2"/>
  <c r="DC331" i="2"/>
  <c r="DG331" i="2"/>
  <c r="DH331" i="2"/>
  <c r="DQ331" i="2"/>
  <c r="DU331" i="2"/>
  <c r="DV331" i="2"/>
  <c r="F332" i="2"/>
  <c r="J332" i="2"/>
  <c r="CA332" i="2"/>
  <c r="CE332" i="2"/>
  <c r="CF332" i="2"/>
  <c r="CO332" i="2"/>
  <c r="CS332" i="2"/>
  <c r="CT332" i="2"/>
  <c r="DC332" i="2"/>
  <c r="DG332" i="2"/>
  <c r="DH332" i="2"/>
  <c r="DQ332" i="2"/>
  <c r="DU332" i="2"/>
  <c r="DV332" i="2"/>
  <c r="F333" i="2"/>
  <c r="J333" i="2"/>
  <c r="K333" i="2"/>
  <c r="CA333" i="2"/>
  <c r="CE333" i="2"/>
  <c r="CF333" i="2"/>
  <c r="CO333" i="2"/>
  <c r="CS333" i="2"/>
  <c r="CT333" i="2"/>
  <c r="DC333" i="2"/>
  <c r="DG333" i="2"/>
  <c r="DH333" i="2"/>
  <c r="DQ333" i="2"/>
  <c r="DU333" i="2"/>
  <c r="DV333" i="2"/>
  <c r="F334" i="2"/>
  <c r="J334" i="2"/>
  <c r="K334" i="2"/>
  <c r="CA334" i="2"/>
  <c r="CE334" i="2"/>
  <c r="CF334" i="2"/>
  <c r="CO334" i="2"/>
  <c r="CS334" i="2"/>
  <c r="CT334" i="2"/>
  <c r="DC334" i="2"/>
  <c r="DG334" i="2"/>
  <c r="DH334" i="2"/>
  <c r="DQ334" i="2"/>
  <c r="DU334" i="2"/>
  <c r="DV334" i="2"/>
  <c r="B335" i="2"/>
  <c r="F335" i="2"/>
  <c r="P335" i="2"/>
  <c r="AD335" i="2"/>
  <c r="AR335" i="2"/>
  <c r="CA335" i="2"/>
  <c r="CE335" i="2"/>
  <c r="CF335" i="2"/>
  <c r="CO335" i="2"/>
  <c r="CS335" i="2"/>
  <c r="CT335" i="2"/>
  <c r="DC335" i="2"/>
  <c r="DG335" i="2"/>
  <c r="DH335" i="2"/>
  <c r="DQ335" i="2"/>
  <c r="DU335" i="2"/>
  <c r="DV335" i="2"/>
  <c r="F336" i="2"/>
  <c r="CA336" i="2"/>
  <c r="CE336" i="2"/>
  <c r="CF336" i="2"/>
  <c r="CO336" i="2"/>
  <c r="CS336" i="2"/>
  <c r="CT336" i="2"/>
  <c r="DC336" i="2"/>
  <c r="DG336" i="2"/>
  <c r="DH336" i="2"/>
  <c r="DQ336" i="2"/>
  <c r="DU336" i="2"/>
  <c r="DV336" i="2"/>
  <c r="F337" i="2"/>
  <c r="CA337" i="2"/>
  <c r="CE337" i="2"/>
  <c r="CF337" i="2"/>
  <c r="CO337" i="2"/>
  <c r="CS337" i="2"/>
  <c r="CT337" i="2"/>
  <c r="DC337" i="2"/>
  <c r="DG337" i="2"/>
  <c r="DH337" i="2"/>
  <c r="DQ337" i="2"/>
  <c r="DU337" i="2"/>
  <c r="DV337" i="2"/>
  <c r="F338" i="2"/>
  <c r="CA338" i="2"/>
  <c r="CE338" i="2"/>
  <c r="CF338" i="2"/>
  <c r="CO338" i="2"/>
  <c r="CS338" i="2"/>
  <c r="CT338" i="2"/>
  <c r="DC338" i="2"/>
  <c r="DG338" i="2"/>
  <c r="DH338" i="2"/>
  <c r="DQ338" i="2"/>
  <c r="DU338" i="2"/>
  <c r="DV338" i="2"/>
  <c r="B339" i="2"/>
  <c r="F339" i="2"/>
  <c r="P339" i="2"/>
  <c r="AD339" i="2"/>
  <c r="AR339" i="2"/>
  <c r="CA339" i="2"/>
  <c r="CE339" i="2"/>
  <c r="CF339" i="2"/>
  <c r="CO339" i="2"/>
  <c r="CS339" i="2"/>
  <c r="CT339" i="2"/>
  <c r="DC339" i="2"/>
  <c r="DG339" i="2"/>
  <c r="DH339" i="2"/>
  <c r="DQ339" i="2"/>
  <c r="DU339" i="2"/>
  <c r="DV339" i="2"/>
  <c r="F340" i="2"/>
  <c r="CA340" i="2"/>
  <c r="CE340" i="2"/>
  <c r="CF340" i="2"/>
  <c r="CO340" i="2"/>
  <c r="CS340" i="2"/>
  <c r="CT340" i="2"/>
  <c r="DC340" i="2"/>
  <c r="DG340" i="2"/>
  <c r="DH340" i="2"/>
  <c r="DQ340" i="2"/>
  <c r="DU340" i="2"/>
  <c r="DV340" i="2"/>
  <c r="F341" i="2"/>
  <c r="CA341" i="2"/>
  <c r="CE341" i="2"/>
  <c r="CF341" i="2"/>
  <c r="CO341" i="2"/>
  <c r="CS341" i="2"/>
  <c r="CT341" i="2"/>
  <c r="DC341" i="2"/>
  <c r="DG341" i="2"/>
  <c r="DH341" i="2"/>
  <c r="DQ341" i="2"/>
  <c r="DU341" i="2"/>
  <c r="DV341" i="2"/>
  <c r="F342" i="2"/>
  <c r="CA342" i="2"/>
  <c r="CE342" i="2"/>
  <c r="CF342" i="2"/>
  <c r="CO342" i="2"/>
  <c r="CS342" i="2"/>
  <c r="CT342" i="2"/>
  <c r="DC342" i="2"/>
  <c r="DG342" i="2"/>
  <c r="DH342" i="2"/>
  <c r="DQ342" i="2"/>
  <c r="DU342" i="2"/>
  <c r="DV342" i="2"/>
  <c r="B343" i="2"/>
  <c r="F343" i="2"/>
  <c r="P343" i="2"/>
  <c r="AD343" i="2"/>
  <c r="AR343" i="2"/>
  <c r="CA343" i="2"/>
  <c r="CE343" i="2"/>
  <c r="CF343" i="2"/>
  <c r="CO343" i="2"/>
  <c r="CS343" i="2"/>
  <c r="CT343" i="2"/>
  <c r="DC343" i="2"/>
  <c r="DG343" i="2"/>
  <c r="DH343" i="2"/>
  <c r="DQ343" i="2"/>
  <c r="DU343" i="2"/>
  <c r="DV343" i="2"/>
  <c r="F344" i="2"/>
  <c r="CA344" i="2"/>
  <c r="CE344" i="2"/>
  <c r="CF344" i="2"/>
  <c r="CO344" i="2"/>
  <c r="CS344" i="2"/>
  <c r="CT344" i="2"/>
  <c r="DC344" i="2"/>
  <c r="DG344" i="2"/>
  <c r="DH344" i="2"/>
  <c r="DQ344" i="2"/>
  <c r="DU344" i="2"/>
  <c r="DV344" i="2"/>
  <c r="F345" i="2"/>
  <c r="CA345" i="2"/>
  <c r="CE345" i="2"/>
  <c r="CF345" i="2"/>
  <c r="CO345" i="2"/>
  <c r="CS345" i="2"/>
  <c r="CT345" i="2"/>
  <c r="DC345" i="2"/>
  <c r="DG345" i="2"/>
  <c r="DH345" i="2"/>
  <c r="DQ345" i="2"/>
  <c r="DU345" i="2"/>
  <c r="DV345" i="2"/>
  <c r="F346" i="2"/>
  <c r="CA346" i="2"/>
  <c r="CE346" i="2"/>
  <c r="CF346" i="2"/>
  <c r="CO346" i="2"/>
  <c r="CS346" i="2"/>
  <c r="CT346" i="2"/>
  <c r="DC346" i="2"/>
  <c r="DG346" i="2"/>
  <c r="DH346" i="2"/>
  <c r="DQ346" i="2"/>
  <c r="DU346" i="2"/>
  <c r="DV346" i="2"/>
  <c r="B347" i="2"/>
  <c r="F347" i="2"/>
  <c r="P347" i="2"/>
  <c r="AD347" i="2"/>
  <c r="AR347" i="2"/>
  <c r="F348" i="2"/>
  <c r="CA348" i="2"/>
  <c r="CE348" i="2"/>
  <c r="CF348" i="2"/>
  <c r="CO348" i="2"/>
  <c r="CS348" i="2"/>
  <c r="CT348" i="2"/>
  <c r="DC348" i="2"/>
  <c r="DG348" i="2"/>
  <c r="DH348" i="2"/>
  <c r="DQ348" i="2"/>
  <c r="DU348" i="2"/>
  <c r="DV348" i="2"/>
  <c r="F349" i="2"/>
  <c r="CA349" i="2"/>
  <c r="CE349" i="2"/>
  <c r="CF349" i="2"/>
  <c r="CO349" i="2"/>
  <c r="CS349" i="2"/>
  <c r="CT349" i="2"/>
  <c r="DC349" i="2"/>
  <c r="DG349" i="2"/>
  <c r="DH349" i="2"/>
  <c r="DQ349" i="2"/>
  <c r="DU349" i="2"/>
  <c r="DV349" i="2"/>
  <c r="F350" i="2"/>
  <c r="CA350" i="2"/>
  <c r="CE350" i="2"/>
  <c r="CF350" i="2"/>
  <c r="CO350" i="2"/>
  <c r="CS350" i="2"/>
  <c r="CT350" i="2"/>
  <c r="DC350" i="2"/>
  <c r="DG350" i="2"/>
  <c r="DH350" i="2"/>
  <c r="DQ350" i="2"/>
  <c r="DU350" i="2"/>
  <c r="DV350" i="2"/>
  <c r="B351" i="2"/>
  <c r="F351" i="2"/>
  <c r="H351" i="2"/>
  <c r="M351" i="2"/>
  <c r="J351" i="2"/>
  <c r="L351" i="2"/>
  <c r="P351" i="2"/>
  <c r="AD351" i="2"/>
  <c r="AR351" i="2"/>
  <c r="CA351" i="2"/>
  <c r="CE351" i="2"/>
  <c r="CF351" i="2"/>
  <c r="CO351" i="2"/>
  <c r="CS351" i="2"/>
  <c r="CT351" i="2"/>
  <c r="DC351" i="2"/>
  <c r="DG351" i="2"/>
  <c r="DH351" i="2"/>
  <c r="DQ351" i="2"/>
  <c r="DU351" i="2"/>
  <c r="DV351" i="2"/>
  <c r="D352" i="2"/>
  <c r="F352" i="2"/>
  <c r="H352" i="2"/>
  <c r="M352" i="2"/>
  <c r="J352" i="2"/>
  <c r="K352" i="2"/>
  <c r="L352" i="2"/>
  <c r="D353" i="2"/>
  <c r="K353" i="2"/>
  <c r="F353" i="2"/>
  <c r="H353" i="2"/>
  <c r="M353" i="2"/>
  <c r="J353" i="2"/>
  <c r="L353" i="2"/>
  <c r="D354" i="2"/>
  <c r="K354" i="2"/>
  <c r="F354" i="2"/>
  <c r="H354" i="2"/>
  <c r="M354" i="2"/>
  <c r="J354" i="2"/>
  <c r="L354" i="2"/>
  <c r="D377" i="2"/>
  <c r="D378" i="2"/>
  <c r="K378" i="2"/>
  <c r="D382" i="2"/>
  <c r="D379" i="2"/>
  <c r="K379" i="2"/>
  <c r="L379" i="2"/>
  <c r="H379" i="2"/>
  <c r="D380" i="2"/>
  <c r="D381" i="2"/>
  <c r="D383" i="2"/>
  <c r="D384" i="2"/>
  <c r="D385" i="2"/>
  <c r="H385" i="2"/>
  <c r="L385" i="2"/>
  <c r="D386" i="2"/>
  <c r="D387" i="2"/>
  <c r="D388" i="2"/>
  <c r="D389" i="2"/>
  <c r="B389" i="2"/>
  <c r="D390" i="2"/>
  <c r="D391" i="2"/>
  <c r="D392" i="2"/>
  <c r="D393" i="2"/>
  <c r="K393" i="2"/>
  <c r="D394" i="2"/>
  <c r="D395" i="2"/>
  <c r="D396" i="2"/>
  <c r="D397" i="2"/>
  <c r="K397" i="2"/>
  <c r="D398" i="2"/>
  <c r="D399" i="2"/>
  <c r="M399" i="2"/>
  <c r="D400" i="2"/>
  <c r="B397" i="2"/>
  <c r="D401" i="2"/>
  <c r="D402" i="2"/>
  <c r="D403" i="2"/>
  <c r="D404" i="2"/>
  <c r="D405" i="2"/>
  <c r="D406" i="2"/>
  <c r="D407" i="2"/>
  <c r="K407" i="2"/>
  <c r="L407" i="2"/>
  <c r="M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R377" i="2"/>
  <c r="R378" i="2"/>
  <c r="R379" i="2"/>
  <c r="R380" i="2"/>
  <c r="R381" i="2"/>
  <c r="R382" i="2"/>
  <c r="R383" i="2"/>
  <c r="R384" i="2"/>
  <c r="R385" i="2"/>
  <c r="Y385" i="2"/>
  <c r="Z385" i="2"/>
  <c r="R386" i="2"/>
  <c r="R387" i="2"/>
  <c r="R388" i="2"/>
  <c r="R389" i="2"/>
  <c r="R390" i="2"/>
  <c r="R391" i="2"/>
  <c r="R392" i="2"/>
  <c r="R393" i="2"/>
  <c r="Y393" i="2"/>
  <c r="R394" i="2"/>
  <c r="R395" i="2"/>
  <c r="R396" i="2"/>
  <c r="R397" i="2"/>
  <c r="R438" i="2"/>
  <c r="U438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AF377" i="2"/>
  <c r="AM377" i="2"/>
  <c r="AN377" i="2"/>
  <c r="AF378" i="2"/>
  <c r="AF379" i="2"/>
  <c r="AF380" i="2"/>
  <c r="AF381" i="2"/>
  <c r="AF382" i="2"/>
  <c r="AF383" i="2"/>
  <c r="AF384" i="2"/>
  <c r="AF385" i="2"/>
  <c r="AF386" i="2"/>
  <c r="AM386" i="2"/>
  <c r="AN386" i="2"/>
  <c r="AO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T377" i="2"/>
  <c r="AT378" i="2"/>
  <c r="BA378" i="2"/>
  <c r="AT379" i="2"/>
  <c r="AT380" i="2"/>
  <c r="AT381" i="2"/>
  <c r="AT382" i="2"/>
  <c r="AT383" i="2"/>
  <c r="AT384" i="2"/>
  <c r="AT385" i="2"/>
  <c r="AT437" i="2"/>
  <c r="AW437" i="2"/>
  <c r="AT386" i="2"/>
  <c r="AT438" i="2"/>
  <c r="AX386" i="2"/>
  <c r="BB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BW374" i="2"/>
  <c r="BW375" i="2"/>
  <c r="BW376" i="2"/>
  <c r="BW377" i="2"/>
  <c r="BW378" i="2"/>
  <c r="BW379" i="2"/>
  <c r="BW380" i="2"/>
  <c r="BW381" i="2"/>
  <c r="BW382" i="2"/>
  <c r="BW383" i="2"/>
  <c r="BW384" i="2"/>
  <c r="BW385" i="2"/>
  <c r="BW388" i="2"/>
  <c r="BW389" i="2"/>
  <c r="BW390" i="2"/>
  <c r="BW391" i="2"/>
  <c r="BW392" i="2"/>
  <c r="BW393" i="2"/>
  <c r="BW394" i="2"/>
  <c r="BW395" i="2"/>
  <c r="BW396" i="2"/>
  <c r="BW397" i="2"/>
  <c r="BW398" i="2"/>
  <c r="BW399" i="2"/>
  <c r="BW400" i="2"/>
  <c r="BW401" i="2"/>
  <c r="BW402" i="2"/>
  <c r="BW403" i="2"/>
  <c r="BW404" i="2"/>
  <c r="BW405" i="2"/>
  <c r="BW406" i="2"/>
  <c r="BW407" i="2"/>
  <c r="BW408" i="2"/>
  <c r="BW409" i="2"/>
  <c r="BW410" i="2"/>
  <c r="BW411" i="2"/>
  <c r="BW412" i="2"/>
  <c r="BW413" i="2"/>
  <c r="BW414" i="2"/>
  <c r="BW415" i="2"/>
  <c r="BW416" i="2"/>
  <c r="BW417" i="2"/>
  <c r="BW418" i="2"/>
  <c r="BW419" i="2"/>
  <c r="BW420" i="2"/>
  <c r="BW422" i="2"/>
  <c r="BW423" i="2"/>
  <c r="BW424" i="2"/>
  <c r="CK374" i="2"/>
  <c r="CK375" i="2"/>
  <c r="CK376" i="2"/>
  <c r="CK377" i="2"/>
  <c r="CK378" i="2"/>
  <c r="CK379" i="2"/>
  <c r="CK380" i="2"/>
  <c r="CK381" i="2"/>
  <c r="CK382" i="2"/>
  <c r="CK383" i="2"/>
  <c r="CK384" i="2"/>
  <c r="CK385" i="2"/>
  <c r="CK388" i="2"/>
  <c r="CK389" i="2"/>
  <c r="CK390" i="2"/>
  <c r="CK391" i="2"/>
  <c r="CK392" i="2"/>
  <c r="CK393" i="2"/>
  <c r="CK394" i="2"/>
  <c r="CK395" i="2"/>
  <c r="CK396" i="2"/>
  <c r="CK397" i="2"/>
  <c r="CK398" i="2"/>
  <c r="CK399" i="2"/>
  <c r="CK400" i="2"/>
  <c r="CK401" i="2"/>
  <c r="CK402" i="2"/>
  <c r="CK403" i="2"/>
  <c r="CK404" i="2"/>
  <c r="CK405" i="2"/>
  <c r="CK406" i="2"/>
  <c r="CK407" i="2"/>
  <c r="CK408" i="2"/>
  <c r="CK409" i="2"/>
  <c r="CK410" i="2"/>
  <c r="CK411" i="2"/>
  <c r="CK412" i="2"/>
  <c r="CK413" i="2"/>
  <c r="CK414" i="2"/>
  <c r="CK415" i="2"/>
  <c r="CK416" i="2"/>
  <c r="CK417" i="2"/>
  <c r="CK418" i="2"/>
  <c r="CK419" i="2"/>
  <c r="CK420" i="2"/>
  <c r="CK422" i="2"/>
  <c r="CK423" i="2"/>
  <c r="CK424" i="2"/>
  <c r="CY374" i="2"/>
  <c r="CY375" i="2"/>
  <c r="CY376" i="2"/>
  <c r="CY377" i="2"/>
  <c r="CY378" i="2"/>
  <c r="CY379" i="2"/>
  <c r="CY380" i="2"/>
  <c r="CY381" i="2"/>
  <c r="CY382" i="2"/>
  <c r="CY383" i="2"/>
  <c r="CY384" i="2"/>
  <c r="CY385" i="2"/>
  <c r="CY388" i="2"/>
  <c r="CY389" i="2"/>
  <c r="CY390" i="2"/>
  <c r="CY391" i="2"/>
  <c r="CY392" i="2"/>
  <c r="CY393" i="2"/>
  <c r="CY394" i="2"/>
  <c r="CY395" i="2"/>
  <c r="CY396" i="2"/>
  <c r="CY397" i="2"/>
  <c r="CY398" i="2"/>
  <c r="CY399" i="2"/>
  <c r="CY400" i="2"/>
  <c r="CY401" i="2"/>
  <c r="CY402" i="2"/>
  <c r="CY403" i="2"/>
  <c r="CY404" i="2"/>
  <c r="CY405" i="2"/>
  <c r="CY406" i="2"/>
  <c r="CY407" i="2"/>
  <c r="CY408" i="2"/>
  <c r="CY409" i="2"/>
  <c r="CY410" i="2"/>
  <c r="CY411" i="2"/>
  <c r="CY412" i="2"/>
  <c r="CY413" i="2"/>
  <c r="CY414" i="2"/>
  <c r="CY415" i="2"/>
  <c r="CY416" i="2"/>
  <c r="CY417" i="2"/>
  <c r="CY418" i="2"/>
  <c r="CY419" i="2"/>
  <c r="CY420" i="2"/>
  <c r="CY422" i="2"/>
  <c r="CY423" i="2"/>
  <c r="CY424" i="2"/>
  <c r="DM374" i="2"/>
  <c r="DM375" i="2"/>
  <c r="DM376" i="2"/>
  <c r="DM377" i="2"/>
  <c r="DM378" i="2"/>
  <c r="DM379" i="2"/>
  <c r="DM380" i="2"/>
  <c r="DM381" i="2"/>
  <c r="DM382" i="2"/>
  <c r="DM383" i="2"/>
  <c r="DM384" i="2"/>
  <c r="DM385" i="2"/>
  <c r="DM388" i="2"/>
  <c r="DM389" i="2"/>
  <c r="DM390" i="2"/>
  <c r="DM391" i="2"/>
  <c r="DM392" i="2"/>
  <c r="DM393" i="2"/>
  <c r="DM394" i="2"/>
  <c r="DM395" i="2"/>
  <c r="DM396" i="2"/>
  <c r="DM397" i="2"/>
  <c r="DM398" i="2"/>
  <c r="DM399" i="2"/>
  <c r="DM400" i="2"/>
  <c r="DM401" i="2"/>
  <c r="DM402" i="2"/>
  <c r="DM403" i="2"/>
  <c r="DM404" i="2"/>
  <c r="DM405" i="2"/>
  <c r="DM406" i="2"/>
  <c r="DM407" i="2"/>
  <c r="DM408" i="2"/>
  <c r="DM409" i="2"/>
  <c r="DM410" i="2"/>
  <c r="DM411" i="2"/>
  <c r="DM412" i="2"/>
  <c r="DM413" i="2"/>
  <c r="DM414" i="2"/>
  <c r="DM415" i="2"/>
  <c r="DM416" i="2"/>
  <c r="DM417" i="2"/>
  <c r="DM418" i="2"/>
  <c r="DM419" i="2"/>
  <c r="DM420" i="2"/>
  <c r="DM422" i="2"/>
  <c r="DM423" i="2"/>
  <c r="DM424" i="2"/>
  <c r="CB359" i="2"/>
  <c r="CP359" i="2"/>
  <c r="DD359" i="2"/>
  <c r="DR359" i="2"/>
  <c r="A430" i="2"/>
  <c r="J403" i="2"/>
  <c r="J407" i="2"/>
  <c r="J411" i="2"/>
  <c r="J415" i="2"/>
  <c r="J419" i="2"/>
  <c r="J423" i="2"/>
  <c r="DO374" i="2"/>
  <c r="DQ374" i="2"/>
  <c r="DT374" i="2"/>
  <c r="DT375" i="2"/>
  <c r="DO375" i="2"/>
  <c r="DQ375" i="2"/>
  <c r="DO376" i="2"/>
  <c r="DQ376" i="2"/>
  <c r="DO377" i="2"/>
  <c r="DQ377" i="2"/>
  <c r="DO378" i="2"/>
  <c r="DQ378" i="2"/>
  <c r="DO379" i="2"/>
  <c r="DQ379" i="2"/>
  <c r="DO380" i="2"/>
  <c r="DQ380" i="2"/>
  <c r="DO381" i="2"/>
  <c r="DQ381" i="2"/>
  <c r="DO382" i="2"/>
  <c r="DQ382" i="2"/>
  <c r="DO383" i="2"/>
  <c r="DQ383" i="2"/>
  <c r="DA374" i="2"/>
  <c r="DC374" i="2"/>
  <c r="DF374" i="2"/>
  <c r="DA375" i="2"/>
  <c r="DC375" i="2"/>
  <c r="DA376" i="2"/>
  <c r="DC376" i="2"/>
  <c r="DA377" i="2"/>
  <c r="DC377" i="2"/>
  <c r="DA378" i="2"/>
  <c r="DC378" i="2"/>
  <c r="DA379" i="2"/>
  <c r="DC379" i="2"/>
  <c r="DA380" i="2"/>
  <c r="DC380" i="2"/>
  <c r="DA381" i="2"/>
  <c r="DC381" i="2"/>
  <c r="DA382" i="2"/>
  <c r="DC382" i="2"/>
  <c r="DA383" i="2"/>
  <c r="DC383" i="2"/>
  <c r="CM374" i="2"/>
  <c r="CO374" i="2"/>
  <c r="CR374" i="2"/>
  <c r="CR375" i="2"/>
  <c r="CM375" i="2"/>
  <c r="CO375" i="2"/>
  <c r="CM376" i="2"/>
  <c r="CO376" i="2"/>
  <c r="CM377" i="2"/>
  <c r="CO377" i="2"/>
  <c r="CM378" i="2"/>
  <c r="CO378" i="2"/>
  <c r="CM379" i="2"/>
  <c r="CO379" i="2"/>
  <c r="CS379" i="2"/>
  <c r="CT379" i="2"/>
  <c r="CM380" i="2"/>
  <c r="CO380" i="2"/>
  <c r="CR380" i="2"/>
  <c r="CM381" i="2"/>
  <c r="CO381" i="2"/>
  <c r="CM382" i="2"/>
  <c r="CO382" i="2"/>
  <c r="CM383" i="2"/>
  <c r="CO383" i="2"/>
  <c r="CA379" i="2"/>
  <c r="CA380" i="2"/>
  <c r="CA381" i="2"/>
  <c r="CA382" i="2"/>
  <c r="CA383" i="2"/>
  <c r="CD374" i="2"/>
  <c r="AV377" i="2"/>
  <c r="AX377" i="2"/>
  <c r="AZ377" i="2"/>
  <c r="AZ381" i="2"/>
  <c r="AZ385" i="2"/>
  <c r="AZ389" i="2"/>
  <c r="AZ393" i="2"/>
  <c r="AZ397" i="2"/>
  <c r="AZ401" i="2"/>
  <c r="AZ405" i="2"/>
  <c r="AZ409" i="2"/>
  <c r="AZ413" i="2"/>
  <c r="AZ417" i="2"/>
  <c r="AZ421" i="2"/>
  <c r="AV378" i="2"/>
  <c r="AX378" i="2"/>
  <c r="AZ378" i="2"/>
  <c r="AZ382" i="2"/>
  <c r="AV379" i="2"/>
  <c r="AX379" i="2"/>
  <c r="AZ379" i="2"/>
  <c r="AZ383" i="2"/>
  <c r="AZ387" i="2"/>
  <c r="AZ391" i="2"/>
  <c r="AZ395" i="2"/>
  <c r="AZ399" i="2"/>
  <c r="AZ403" i="2"/>
  <c r="AZ407" i="2"/>
  <c r="AZ411" i="2"/>
  <c r="AZ415" i="2"/>
  <c r="AZ419" i="2"/>
  <c r="AZ423" i="2"/>
  <c r="AV380" i="2"/>
  <c r="AX380" i="2"/>
  <c r="AZ380" i="2"/>
  <c r="AV381" i="2"/>
  <c r="AX381" i="2"/>
  <c r="AV382" i="2"/>
  <c r="AX382" i="2"/>
  <c r="AV383" i="2"/>
  <c r="AX383" i="2"/>
  <c r="AV384" i="2"/>
  <c r="AX384" i="2"/>
  <c r="AZ384" i="2"/>
  <c r="AZ388" i="2"/>
  <c r="AZ392" i="2"/>
  <c r="AZ396" i="2"/>
  <c r="AZ400" i="2"/>
  <c r="AZ404" i="2"/>
  <c r="AZ408" i="2"/>
  <c r="AZ412" i="2"/>
  <c r="AZ416" i="2"/>
  <c r="AZ420" i="2"/>
  <c r="AZ424" i="2"/>
  <c r="AV385" i="2"/>
  <c r="AX385" i="2"/>
  <c r="AV386" i="2"/>
  <c r="AV387" i="2"/>
  <c r="AX387" i="2"/>
  <c r="AV388" i="2"/>
  <c r="AX388" i="2"/>
  <c r="AV389" i="2"/>
  <c r="AX389" i="2"/>
  <c r="AV390" i="2"/>
  <c r="AX390" i="2"/>
  <c r="AZ390" i="2"/>
  <c r="AZ394" i="2"/>
  <c r="AZ398" i="2"/>
  <c r="AZ402" i="2"/>
  <c r="AZ406" i="2"/>
  <c r="AZ410" i="2"/>
  <c r="AZ414" i="2"/>
  <c r="AZ418" i="2"/>
  <c r="AZ422" i="2"/>
  <c r="BA390" i="2"/>
  <c r="AV391" i="2"/>
  <c r="AX391" i="2"/>
  <c r="AV392" i="2"/>
  <c r="AX392" i="2"/>
  <c r="AV393" i="2"/>
  <c r="AX393" i="2"/>
  <c r="AV394" i="2"/>
  <c r="AX394" i="2"/>
  <c r="AV395" i="2"/>
  <c r="AX395" i="2"/>
  <c r="AV396" i="2"/>
  <c r="AX396" i="2"/>
  <c r="AX440" i="2"/>
  <c r="AV397" i="2"/>
  <c r="AX397" i="2"/>
  <c r="AV398" i="2"/>
  <c r="AX398" i="2"/>
  <c r="AV399" i="2"/>
  <c r="AX399" i="2"/>
  <c r="AV400" i="2"/>
  <c r="AX400" i="2"/>
  <c r="AV401" i="2"/>
  <c r="AX401" i="2"/>
  <c r="AV402" i="2"/>
  <c r="AX402" i="2"/>
  <c r="AV403" i="2"/>
  <c r="AX403" i="2"/>
  <c r="AV404" i="2"/>
  <c r="AX404" i="2"/>
  <c r="AV405" i="2"/>
  <c r="AX405" i="2"/>
  <c r="AV406" i="2"/>
  <c r="AX406" i="2"/>
  <c r="AV407" i="2"/>
  <c r="AX407" i="2"/>
  <c r="AV408" i="2"/>
  <c r="AX408" i="2"/>
  <c r="AV409" i="2"/>
  <c r="AX409" i="2"/>
  <c r="AX437" i="2"/>
  <c r="AV410" i="2"/>
  <c r="AX410" i="2"/>
  <c r="AV411" i="2"/>
  <c r="AX411" i="2"/>
  <c r="AV412" i="2"/>
  <c r="AX412" i="2"/>
  <c r="AV413" i="2"/>
  <c r="AX413" i="2"/>
  <c r="AV414" i="2"/>
  <c r="AX414" i="2"/>
  <c r="AV415" i="2"/>
  <c r="AX415" i="2"/>
  <c r="AV416" i="2"/>
  <c r="AX416" i="2"/>
  <c r="AH377" i="2"/>
  <c r="AJ377" i="2"/>
  <c r="AL377" i="2"/>
  <c r="AH378" i="2"/>
  <c r="AJ378" i="2"/>
  <c r="AL378" i="2"/>
  <c r="AM378" i="2"/>
  <c r="AH379" i="2"/>
  <c r="AJ379" i="2"/>
  <c r="AL379" i="2"/>
  <c r="AL383" i="2"/>
  <c r="AL387" i="2"/>
  <c r="AH380" i="2"/>
  <c r="AJ380" i="2"/>
  <c r="AL380" i="2"/>
  <c r="AL384" i="2"/>
  <c r="AL388" i="2"/>
  <c r="AL392" i="2"/>
  <c r="AL396" i="2"/>
  <c r="AL400" i="2"/>
  <c r="AL404" i="2"/>
  <c r="AL408" i="2"/>
  <c r="AL412" i="2"/>
  <c r="AL416" i="2"/>
  <c r="AL420" i="2"/>
  <c r="AL424" i="2"/>
  <c r="AM380" i="2"/>
  <c r="AH381" i="2"/>
  <c r="AJ381" i="2"/>
  <c r="AL381" i="2"/>
  <c r="AL385" i="2"/>
  <c r="AL389" i="2"/>
  <c r="AL393" i="2"/>
  <c r="AL397" i="2"/>
  <c r="AL401" i="2"/>
  <c r="AL405" i="2"/>
  <c r="AL409" i="2"/>
  <c r="AL413" i="2"/>
  <c r="AL417" i="2"/>
  <c r="AL421" i="2"/>
  <c r="AH382" i="2"/>
  <c r="AJ382" i="2"/>
  <c r="AL382" i="2"/>
  <c r="AL386" i="2"/>
  <c r="AL390" i="2"/>
  <c r="AL394" i="2"/>
  <c r="AL398" i="2"/>
  <c r="AL402" i="2"/>
  <c r="AL406" i="2"/>
  <c r="AL410" i="2"/>
  <c r="AL414" i="2"/>
  <c r="AL418" i="2"/>
  <c r="AL422" i="2"/>
  <c r="AH383" i="2"/>
  <c r="AJ383" i="2"/>
  <c r="AH384" i="2"/>
  <c r="AJ384" i="2"/>
  <c r="AH385" i="2"/>
  <c r="AJ385" i="2"/>
  <c r="AH386" i="2"/>
  <c r="AJ386" i="2"/>
  <c r="AH387" i="2"/>
  <c r="AJ387" i="2"/>
  <c r="AL391" i="2"/>
  <c r="AL395" i="2"/>
  <c r="AL399" i="2"/>
  <c r="AL403" i="2"/>
  <c r="AL407" i="2"/>
  <c r="AL411" i="2"/>
  <c r="AL415" i="2"/>
  <c r="AL419" i="2"/>
  <c r="AL423" i="2"/>
  <c r="AH388" i="2"/>
  <c r="AJ388" i="2"/>
  <c r="AH389" i="2"/>
  <c r="AJ389" i="2"/>
  <c r="AH390" i="2"/>
  <c r="AJ390" i="2"/>
  <c r="AH391" i="2"/>
  <c r="AJ391" i="2"/>
  <c r="AH392" i="2"/>
  <c r="AJ392" i="2"/>
  <c r="AH393" i="2"/>
  <c r="AJ393" i="2"/>
  <c r="AH394" i="2"/>
  <c r="AJ394" i="2"/>
  <c r="AH395" i="2"/>
  <c r="AJ395" i="2"/>
  <c r="AH396" i="2"/>
  <c r="AJ396" i="2"/>
  <c r="AH397" i="2"/>
  <c r="AJ397" i="2"/>
  <c r="AH398" i="2"/>
  <c r="AJ398" i="2"/>
  <c r="AH399" i="2"/>
  <c r="AJ399" i="2"/>
  <c r="AH400" i="2"/>
  <c r="AJ400" i="2"/>
  <c r="AH401" i="2"/>
  <c r="AJ401" i="2"/>
  <c r="AH402" i="2"/>
  <c r="AJ402" i="2"/>
  <c r="AH403" i="2"/>
  <c r="AJ403" i="2"/>
  <c r="AH404" i="2"/>
  <c r="AJ404" i="2"/>
  <c r="AH405" i="2"/>
  <c r="AJ405" i="2"/>
  <c r="AH406" i="2"/>
  <c r="AJ406" i="2"/>
  <c r="AH407" i="2"/>
  <c r="AJ407" i="2"/>
  <c r="AH408" i="2"/>
  <c r="AJ408" i="2"/>
  <c r="AH409" i="2"/>
  <c r="AJ409" i="2"/>
  <c r="AH410" i="2"/>
  <c r="AJ410" i="2"/>
  <c r="AH411" i="2"/>
  <c r="AJ411" i="2"/>
  <c r="AH412" i="2"/>
  <c r="AJ412" i="2"/>
  <c r="AH413" i="2"/>
  <c r="AJ413" i="2"/>
  <c r="AH414" i="2"/>
  <c r="AJ414" i="2"/>
  <c r="AH415" i="2"/>
  <c r="AJ415" i="2"/>
  <c r="AH416" i="2"/>
  <c r="AJ416" i="2"/>
  <c r="T377" i="2"/>
  <c r="V377" i="2"/>
  <c r="X377" i="2"/>
  <c r="T378" i="2"/>
  <c r="V378" i="2"/>
  <c r="X378" i="2"/>
  <c r="Y378" i="2"/>
  <c r="Z378" i="2"/>
  <c r="T379" i="2"/>
  <c r="V379" i="2"/>
  <c r="X379" i="2"/>
  <c r="X383" i="2"/>
  <c r="X387" i="2"/>
  <c r="X391" i="2"/>
  <c r="X395" i="2"/>
  <c r="X399" i="2"/>
  <c r="X403" i="2"/>
  <c r="X407" i="2"/>
  <c r="X411" i="2"/>
  <c r="X415" i="2"/>
  <c r="X419" i="2"/>
  <c r="X423" i="2"/>
  <c r="Y379" i="2"/>
  <c r="T380" i="2"/>
  <c r="V380" i="2"/>
  <c r="X380" i="2"/>
  <c r="T381" i="2"/>
  <c r="V381" i="2"/>
  <c r="X381" i="2"/>
  <c r="X385" i="2"/>
  <c r="T382" i="2"/>
  <c r="V382" i="2"/>
  <c r="X382" i="2"/>
  <c r="X386" i="2"/>
  <c r="X390" i="2"/>
  <c r="X394" i="2"/>
  <c r="X398" i="2"/>
  <c r="X402" i="2"/>
  <c r="X406" i="2"/>
  <c r="X410" i="2"/>
  <c r="T383" i="2"/>
  <c r="V383" i="2"/>
  <c r="T384" i="2"/>
  <c r="V384" i="2"/>
  <c r="X384" i="2"/>
  <c r="X388" i="2"/>
  <c r="X392" i="2"/>
  <c r="X396" i="2"/>
  <c r="X400" i="2"/>
  <c r="X404" i="2"/>
  <c r="X408" i="2"/>
  <c r="X412" i="2"/>
  <c r="X416" i="2"/>
  <c r="X420" i="2"/>
  <c r="X424" i="2"/>
  <c r="T385" i="2"/>
  <c r="V385" i="2"/>
  <c r="T386" i="2"/>
  <c r="V386" i="2"/>
  <c r="T387" i="2"/>
  <c r="V387" i="2"/>
  <c r="T388" i="2"/>
  <c r="V388" i="2"/>
  <c r="T389" i="2"/>
  <c r="V389" i="2"/>
  <c r="T390" i="2"/>
  <c r="V390" i="2"/>
  <c r="T391" i="2"/>
  <c r="V391" i="2"/>
  <c r="T392" i="2"/>
  <c r="V392" i="2"/>
  <c r="T393" i="2"/>
  <c r="V393" i="2"/>
  <c r="V437" i="2"/>
  <c r="X393" i="2"/>
  <c r="X397" i="2"/>
  <c r="X401" i="2"/>
  <c r="X405" i="2"/>
  <c r="X409" i="2"/>
  <c r="X413" i="2"/>
  <c r="X417" i="2"/>
  <c r="X421" i="2"/>
  <c r="T394" i="2"/>
  <c r="V394" i="2"/>
  <c r="T395" i="2"/>
  <c r="V395" i="2"/>
  <c r="T396" i="2"/>
  <c r="V396" i="2"/>
  <c r="T397" i="2"/>
  <c r="V397" i="2"/>
  <c r="T398" i="2"/>
  <c r="V398" i="2"/>
  <c r="T399" i="2"/>
  <c r="V399" i="2"/>
  <c r="T400" i="2"/>
  <c r="V400" i="2"/>
  <c r="T401" i="2"/>
  <c r="V401" i="2"/>
  <c r="T402" i="2"/>
  <c r="V402" i="2"/>
  <c r="T403" i="2"/>
  <c r="V403" i="2"/>
  <c r="T404" i="2"/>
  <c r="V404" i="2"/>
  <c r="T405" i="2"/>
  <c r="V405" i="2"/>
  <c r="T406" i="2"/>
  <c r="V406" i="2"/>
  <c r="T407" i="2"/>
  <c r="V407" i="2"/>
  <c r="T408" i="2"/>
  <c r="V408" i="2"/>
  <c r="T409" i="2"/>
  <c r="V409" i="2"/>
  <c r="T410" i="2"/>
  <c r="V410" i="2"/>
  <c r="T411" i="2"/>
  <c r="V411" i="2"/>
  <c r="T412" i="2"/>
  <c r="V412" i="2"/>
  <c r="T413" i="2"/>
  <c r="V413" i="2"/>
  <c r="T414" i="2"/>
  <c r="V414" i="2"/>
  <c r="T415" i="2"/>
  <c r="V415" i="2"/>
  <c r="T416" i="2"/>
  <c r="V416" i="2"/>
  <c r="J389" i="2"/>
  <c r="J393" i="2"/>
  <c r="J397" i="2"/>
  <c r="J401" i="2"/>
  <c r="J405" i="2"/>
  <c r="J409" i="2"/>
  <c r="J413" i="2"/>
  <c r="J417" i="2"/>
  <c r="J421" i="2"/>
  <c r="J378" i="2"/>
  <c r="J382" i="2"/>
  <c r="J386" i="2"/>
  <c r="J390" i="2"/>
  <c r="J394" i="2"/>
  <c r="J398" i="2"/>
  <c r="J402" i="2"/>
  <c r="J406" i="2"/>
  <c r="J410" i="2"/>
  <c r="J414" i="2"/>
  <c r="J418" i="2"/>
  <c r="J422" i="2"/>
  <c r="J380" i="2"/>
  <c r="J384" i="2"/>
  <c r="J388" i="2"/>
  <c r="J392" i="2"/>
  <c r="J396" i="2"/>
  <c r="J400" i="2"/>
  <c r="J404" i="2"/>
  <c r="J408" i="2"/>
  <c r="J379" i="2"/>
  <c r="J383" i="2"/>
  <c r="J387" i="2"/>
  <c r="J391" i="2"/>
  <c r="H377" i="2"/>
  <c r="H381" i="2"/>
  <c r="H389" i="2"/>
  <c r="H393" i="2"/>
  <c r="H398" i="2"/>
  <c r="H401" i="2"/>
  <c r="H405" i="2"/>
  <c r="H409" i="2"/>
  <c r="H413" i="2"/>
  <c r="H417" i="2"/>
  <c r="H421" i="2"/>
  <c r="J437" i="2"/>
  <c r="K437" i="2"/>
  <c r="L389" i="2"/>
  <c r="V417" i="2"/>
  <c r="V421" i="2"/>
  <c r="X437" i="2"/>
  <c r="Y437" i="2"/>
  <c r="AJ417" i="2"/>
  <c r="AJ421" i="2"/>
  <c r="AL437" i="2"/>
  <c r="AM437" i="2"/>
  <c r="AX417" i="2"/>
  <c r="AX421" i="2"/>
  <c r="AZ437" i="2"/>
  <c r="BA437" i="2"/>
  <c r="H378" i="2"/>
  <c r="H382" i="2"/>
  <c r="H386" i="2"/>
  <c r="H390" i="2"/>
  <c r="H394" i="2"/>
  <c r="H397" i="2"/>
  <c r="H402" i="2"/>
  <c r="H406" i="2"/>
  <c r="H410" i="2"/>
  <c r="H414" i="2"/>
  <c r="H418" i="2"/>
  <c r="H422" i="2"/>
  <c r="J438" i="2"/>
  <c r="K438" i="2"/>
  <c r="L378" i="2"/>
  <c r="V418" i="2"/>
  <c r="V422" i="2"/>
  <c r="X438" i="2"/>
  <c r="Y438" i="2"/>
  <c r="AJ418" i="2"/>
  <c r="AJ422" i="2"/>
  <c r="AL438" i="2"/>
  <c r="AM438" i="2"/>
  <c r="AX418" i="2"/>
  <c r="AX422" i="2"/>
  <c r="AZ438" i="2"/>
  <c r="BA438" i="2"/>
  <c r="H383" i="2"/>
  <c r="H388" i="2"/>
  <c r="H391" i="2"/>
  <c r="H395" i="2"/>
  <c r="L395" i="2"/>
  <c r="H399" i="2"/>
  <c r="L399" i="2"/>
  <c r="H403" i="2"/>
  <c r="H407" i="2"/>
  <c r="H411" i="2"/>
  <c r="H415" i="2"/>
  <c r="H419" i="2"/>
  <c r="H423" i="2"/>
  <c r="J439" i="2"/>
  <c r="K439" i="2"/>
  <c r="K403" i="2"/>
  <c r="V419" i="2"/>
  <c r="V423" i="2"/>
  <c r="X439" i="2"/>
  <c r="Y439" i="2"/>
  <c r="AJ419" i="2"/>
  <c r="AJ423" i="2"/>
  <c r="AL439" i="2"/>
  <c r="AM439" i="2"/>
  <c r="AX419" i="2"/>
  <c r="AX423" i="2"/>
  <c r="AZ439" i="2"/>
  <c r="BA439" i="2"/>
  <c r="H380" i="2"/>
  <c r="H384" i="2"/>
  <c r="H387" i="2"/>
  <c r="H392" i="2"/>
  <c r="H396" i="2"/>
  <c r="H400" i="2"/>
  <c r="H404" i="2"/>
  <c r="H408" i="2"/>
  <c r="H412" i="2"/>
  <c r="H416" i="2"/>
  <c r="H420" i="2"/>
  <c r="H424" i="2"/>
  <c r="J440" i="2"/>
  <c r="K440" i="2"/>
  <c r="V420" i="2"/>
  <c r="V424" i="2"/>
  <c r="X440" i="2"/>
  <c r="Y440" i="2"/>
  <c r="AJ420" i="2"/>
  <c r="AJ424" i="2"/>
  <c r="AL440" i="2"/>
  <c r="AM440" i="2"/>
  <c r="AX420" i="2"/>
  <c r="AX424" i="2"/>
  <c r="AZ440" i="2"/>
  <c r="BA440" i="2"/>
  <c r="CA374" i="2"/>
  <c r="CA375" i="2"/>
  <c r="CA376" i="2"/>
  <c r="CA377" i="2"/>
  <c r="CA378" i="2"/>
  <c r="CA384" i="2"/>
  <c r="CA385" i="2"/>
  <c r="CD388" i="2"/>
  <c r="CE388" i="2"/>
  <c r="CF388" i="2"/>
  <c r="CD389" i="2"/>
  <c r="CE389" i="2"/>
  <c r="CF389" i="2"/>
  <c r="CD390" i="2"/>
  <c r="CE390" i="2"/>
  <c r="CF390" i="2"/>
  <c r="CD391" i="2"/>
  <c r="CE391" i="2"/>
  <c r="CF391" i="2"/>
  <c r="CD392" i="2"/>
  <c r="CE392" i="2"/>
  <c r="CF392" i="2"/>
  <c r="CD393" i="2"/>
  <c r="CE393" i="2"/>
  <c r="CF393" i="2"/>
  <c r="CE394" i="2"/>
  <c r="CE395" i="2"/>
  <c r="CF395" i="2"/>
  <c r="CE396" i="2"/>
  <c r="CF396" i="2"/>
  <c r="CE397" i="2"/>
  <c r="CF397" i="2"/>
  <c r="CE398" i="2"/>
  <c r="CF398" i="2"/>
  <c r="CE399" i="2"/>
  <c r="CF399" i="2"/>
  <c r="CE400" i="2"/>
  <c r="CF400" i="2"/>
  <c r="CE401" i="2"/>
  <c r="CF401" i="2"/>
  <c r="CE402" i="2"/>
  <c r="CE403" i="2"/>
  <c r="CF403" i="2"/>
  <c r="CE404" i="2"/>
  <c r="CF404" i="2"/>
  <c r="CE405" i="2"/>
  <c r="CF405" i="2"/>
  <c r="CE406" i="2"/>
  <c r="CF406" i="2"/>
  <c r="CE407" i="2"/>
  <c r="CF407" i="2"/>
  <c r="CE408" i="2"/>
  <c r="CF408" i="2"/>
  <c r="CE409" i="2"/>
  <c r="CF409" i="2"/>
  <c r="CE410" i="2"/>
  <c r="CF410" i="2"/>
  <c r="CE411" i="2"/>
  <c r="CF411" i="2"/>
  <c r="CE412" i="2"/>
  <c r="CF412" i="2"/>
  <c r="CE413" i="2"/>
  <c r="CF413" i="2"/>
  <c r="CE414" i="2"/>
  <c r="CE415" i="2"/>
  <c r="CE416" i="2"/>
  <c r="CF416" i="2"/>
  <c r="CE417" i="2"/>
  <c r="CF417" i="2"/>
  <c r="CE418" i="2"/>
  <c r="CE419" i="2"/>
  <c r="CF419" i="2"/>
  <c r="CE420" i="2"/>
  <c r="CF420" i="2"/>
  <c r="CE422" i="2"/>
  <c r="CF422" i="2"/>
  <c r="CE423" i="2"/>
  <c r="CF423" i="2"/>
  <c r="CE424" i="2"/>
  <c r="CF424" i="2"/>
  <c r="CE425" i="2"/>
  <c r="CF425" i="2"/>
  <c r="CO384" i="2"/>
  <c r="CO385" i="2"/>
  <c r="CR388" i="2"/>
  <c r="CS388" i="2"/>
  <c r="CT388" i="2"/>
  <c r="CR389" i="2"/>
  <c r="CS389" i="2"/>
  <c r="CT389" i="2"/>
  <c r="CR390" i="2"/>
  <c r="CS390" i="2"/>
  <c r="CT390" i="2"/>
  <c r="CR391" i="2"/>
  <c r="CS391" i="2"/>
  <c r="CT391" i="2"/>
  <c r="CR392" i="2"/>
  <c r="CS392" i="2"/>
  <c r="CT392" i="2"/>
  <c r="CR393" i="2"/>
  <c r="CS393" i="2"/>
  <c r="CT393" i="2"/>
  <c r="CS394" i="2"/>
  <c r="CS395" i="2"/>
  <c r="CT395" i="2"/>
  <c r="CS396" i="2"/>
  <c r="CT396" i="2"/>
  <c r="CS397" i="2"/>
  <c r="CS398" i="2"/>
  <c r="CT398" i="2"/>
  <c r="CS399" i="2"/>
  <c r="CT399" i="2"/>
  <c r="CS400" i="2"/>
  <c r="CS401" i="2"/>
  <c r="CT401" i="2"/>
  <c r="CS402" i="2"/>
  <c r="CT402" i="2"/>
  <c r="CS403" i="2"/>
  <c r="CT403" i="2"/>
  <c r="CS404" i="2"/>
  <c r="CT404" i="2"/>
  <c r="CS405" i="2"/>
  <c r="CT405" i="2"/>
  <c r="CS406" i="2"/>
  <c r="CS407" i="2"/>
  <c r="CT407" i="2"/>
  <c r="CS408" i="2"/>
  <c r="CT408" i="2"/>
  <c r="CS409" i="2"/>
  <c r="CT409" i="2"/>
  <c r="CS410" i="2"/>
  <c r="CT410" i="2"/>
  <c r="CS411" i="2"/>
  <c r="CT411" i="2"/>
  <c r="CS412" i="2"/>
  <c r="CT412" i="2"/>
  <c r="CS413" i="2"/>
  <c r="CT413" i="2"/>
  <c r="CS414" i="2"/>
  <c r="CT414" i="2"/>
  <c r="CS415" i="2"/>
  <c r="CT415" i="2"/>
  <c r="CS416" i="2"/>
  <c r="CT416" i="2"/>
  <c r="CS417" i="2"/>
  <c r="CT417" i="2"/>
  <c r="CS418" i="2"/>
  <c r="CT418" i="2"/>
  <c r="CS419" i="2"/>
  <c r="CT419" i="2"/>
  <c r="CS420" i="2"/>
  <c r="CT420" i="2"/>
  <c r="CS422" i="2"/>
  <c r="CT422" i="2"/>
  <c r="CS423" i="2"/>
  <c r="CS424" i="2"/>
  <c r="CT424" i="2"/>
  <c r="CS425" i="2"/>
  <c r="DC384" i="2"/>
  <c r="DC385" i="2"/>
  <c r="DF388" i="2"/>
  <c r="DG388" i="2"/>
  <c r="DH388" i="2"/>
  <c r="DF389" i="2"/>
  <c r="DG389" i="2"/>
  <c r="DH389" i="2"/>
  <c r="DF390" i="2"/>
  <c r="DG390" i="2"/>
  <c r="DH390" i="2"/>
  <c r="DF391" i="2"/>
  <c r="DG391" i="2"/>
  <c r="DH391" i="2"/>
  <c r="DF392" i="2"/>
  <c r="DG392" i="2"/>
  <c r="DH392" i="2"/>
  <c r="DF393" i="2"/>
  <c r="DG393" i="2"/>
  <c r="DH393" i="2"/>
  <c r="DG394" i="2"/>
  <c r="DH394" i="2"/>
  <c r="DG395" i="2"/>
  <c r="DH395" i="2"/>
  <c r="DG396" i="2"/>
  <c r="DH396" i="2"/>
  <c r="DG397" i="2"/>
  <c r="DH397" i="2"/>
  <c r="DG398" i="2"/>
  <c r="DH398" i="2"/>
  <c r="DG399" i="2"/>
  <c r="DH399" i="2"/>
  <c r="DG400" i="2"/>
  <c r="DH400" i="2"/>
  <c r="DG401" i="2"/>
  <c r="DH401" i="2"/>
  <c r="DG402" i="2"/>
  <c r="DH402" i="2"/>
  <c r="DG403" i="2"/>
  <c r="DG404" i="2"/>
  <c r="DG405" i="2"/>
  <c r="DH405" i="2"/>
  <c r="DG406" i="2"/>
  <c r="DH406" i="2"/>
  <c r="DG407" i="2"/>
  <c r="DH407" i="2"/>
  <c r="DG408" i="2"/>
  <c r="DH408" i="2"/>
  <c r="DG409" i="2"/>
  <c r="DG410" i="2"/>
  <c r="DH410" i="2"/>
  <c r="DG411" i="2"/>
  <c r="DG412" i="2"/>
  <c r="DH412" i="2"/>
  <c r="DG413" i="2"/>
  <c r="DH413" i="2"/>
  <c r="DG414" i="2"/>
  <c r="DH414" i="2"/>
  <c r="DG415" i="2"/>
  <c r="DH415" i="2"/>
  <c r="DG416" i="2"/>
  <c r="DH416" i="2"/>
  <c r="DG417" i="2"/>
  <c r="DH417" i="2"/>
  <c r="DG418" i="2"/>
  <c r="DG419" i="2"/>
  <c r="DH419" i="2"/>
  <c r="DG420" i="2"/>
  <c r="DG422" i="2"/>
  <c r="DH422" i="2"/>
  <c r="DG423" i="2"/>
  <c r="DH423" i="2"/>
  <c r="DG424" i="2"/>
  <c r="DH424" i="2"/>
  <c r="DG425" i="2"/>
  <c r="DQ384" i="2"/>
  <c r="DQ385" i="2"/>
  <c r="DT388" i="2"/>
  <c r="DU388" i="2"/>
  <c r="DV388" i="2"/>
  <c r="DT389" i="2"/>
  <c r="DU389" i="2"/>
  <c r="DV389" i="2"/>
  <c r="DT390" i="2"/>
  <c r="DU390" i="2"/>
  <c r="DV390" i="2"/>
  <c r="DT391" i="2"/>
  <c r="DU391" i="2"/>
  <c r="DV391" i="2"/>
  <c r="DT392" i="2"/>
  <c r="DU392" i="2"/>
  <c r="DV392" i="2"/>
  <c r="DT393" i="2"/>
  <c r="DU393" i="2"/>
  <c r="DV393" i="2"/>
  <c r="DU394" i="2"/>
  <c r="DU395" i="2"/>
  <c r="DV395" i="2"/>
  <c r="DU396" i="2"/>
  <c r="DV396" i="2"/>
  <c r="DU397" i="2"/>
  <c r="DV397" i="2"/>
  <c r="DU398" i="2"/>
  <c r="DV398" i="2"/>
  <c r="DU399" i="2"/>
  <c r="DV399" i="2"/>
  <c r="DU400" i="2"/>
  <c r="DV400" i="2"/>
  <c r="DU401" i="2"/>
  <c r="DV401" i="2"/>
  <c r="DU402" i="2"/>
  <c r="DV402" i="2"/>
  <c r="DU403" i="2"/>
  <c r="DV403" i="2"/>
  <c r="DU404" i="2"/>
  <c r="DV404" i="2"/>
  <c r="DU405" i="2"/>
  <c r="DU406" i="2"/>
  <c r="DU407" i="2"/>
  <c r="DU408" i="2"/>
  <c r="DU409" i="2"/>
  <c r="DV409" i="2"/>
  <c r="DU410" i="2"/>
  <c r="DV410" i="2"/>
  <c r="DU411" i="2"/>
  <c r="DV411" i="2"/>
  <c r="DU412" i="2"/>
  <c r="DV412" i="2"/>
  <c r="DU413" i="2"/>
  <c r="DV413" i="2"/>
  <c r="DU414" i="2"/>
  <c r="DV414" i="2"/>
  <c r="DU415" i="2"/>
  <c r="DV415" i="2"/>
  <c r="DU416" i="2"/>
  <c r="DV416" i="2"/>
  <c r="DU417" i="2"/>
  <c r="DV417" i="2"/>
  <c r="DU418" i="2"/>
  <c r="DV418" i="2"/>
  <c r="DU419" i="2"/>
  <c r="DV419" i="2"/>
  <c r="DU420" i="2"/>
  <c r="DU422" i="2"/>
  <c r="DV422" i="2"/>
  <c r="DU423" i="2"/>
  <c r="DV423" i="2"/>
  <c r="DU424" i="2"/>
  <c r="DV424" i="2"/>
  <c r="DU425" i="2"/>
  <c r="DV425" i="2"/>
  <c r="D451" i="2"/>
  <c r="D452" i="2"/>
  <c r="D453" i="2"/>
  <c r="D454" i="2"/>
  <c r="K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B483" i="2"/>
  <c r="D484" i="2"/>
  <c r="D485" i="2"/>
  <c r="D486" i="2"/>
  <c r="D491" i="2"/>
  <c r="K491" i="2"/>
  <c r="D492" i="2"/>
  <c r="K492" i="2"/>
  <c r="D493" i="2"/>
  <c r="D494" i="2"/>
  <c r="K494" i="2"/>
  <c r="D495" i="2"/>
  <c r="K495" i="2"/>
  <c r="D496" i="2"/>
  <c r="K496" i="2"/>
  <c r="D497" i="2"/>
  <c r="K497" i="2"/>
  <c r="D498" i="2"/>
  <c r="K498" i="2"/>
  <c r="R451" i="2"/>
  <c r="R452" i="2"/>
  <c r="R456" i="2"/>
  <c r="R453" i="2"/>
  <c r="Y453" i="2"/>
  <c r="R454" i="2"/>
  <c r="Y454" i="2"/>
  <c r="R455" i="2"/>
  <c r="R457" i="2"/>
  <c r="R458" i="2"/>
  <c r="R514" i="2"/>
  <c r="R459" i="2"/>
  <c r="Y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Y481" i="2"/>
  <c r="R482" i="2"/>
  <c r="R483" i="2"/>
  <c r="R484" i="2"/>
  <c r="R485" i="2"/>
  <c r="R486" i="2"/>
  <c r="R491" i="2"/>
  <c r="Y491" i="2"/>
  <c r="R492" i="2"/>
  <c r="Y492" i="2"/>
  <c r="R493" i="2"/>
  <c r="Y493" i="2"/>
  <c r="R494" i="2"/>
  <c r="Y494" i="2"/>
  <c r="R495" i="2"/>
  <c r="Y495" i="2"/>
  <c r="R496" i="2"/>
  <c r="R497" i="2"/>
  <c r="Y497" i="2"/>
  <c r="R498" i="2"/>
  <c r="AF451" i="2"/>
  <c r="AM451" i="2"/>
  <c r="AF452" i="2"/>
  <c r="AF453" i="2"/>
  <c r="AF513" i="2"/>
  <c r="AM453" i="2"/>
  <c r="AF454" i="2"/>
  <c r="AM454" i="2"/>
  <c r="AF455" i="2"/>
  <c r="AF456" i="2"/>
  <c r="AF457" i="2"/>
  <c r="AF458" i="2"/>
  <c r="AM458" i="2"/>
  <c r="AM462" i="2"/>
  <c r="AM466" i="2"/>
  <c r="AF459" i="2"/>
  <c r="AF460" i="2"/>
  <c r="AF461" i="2"/>
  <c r="AF462" i="2"/>
  <c r="AF463" i="2"/>
  <c r="AF464" i="2"/>
  <c r="AM464" i="2"/>
  <c r="AM468" i="2"/>
  <c r="AF465" i="2"/>
  <c r="AF466" i="2"/>
  <c r="AF467" i="2"/>
  <c r="AJ467" i="2"/>
  <c r="AN467" i="2"/>
  <c r="AO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91" i="2"/>
  <c r="AF492" i="2"/>
  <c r="AM492" i="2"/>
  <c r="AF493" i="2"/>
  <c r="AM493" i="2"/>
  <c r="AF494" i="2"/>
  <c r="AM494" i="2"/>
  <c r="AF495" i="2"/>
  <c r="AM495" i="2"/>
  <c r="AF496" i="2"/>
  <c r="AM496" i="2"/>
  <c r="AF497" i="2"/>
  <c r="AM497" i="2"/>
  <c r="AF498" i="2"/>
  <c r="AM498" i="2"/>
  <c r="AT451" i="2"/>
  <c r="AT452" i="2"/>
  <c r="AT453" i="2"/>
  <c r="AT454" i="2"/>
  <c r="AT455" i="2"/>
  <c r="BA455" i="2"/>
  <c r="BB455" i="2"/>
  <c r="BC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91" i="2"/>
  <c r="BA491" i="2"/>
  <c r="AT492" i="2"/>
  <c r="BA492" i="2"/>
  <c r="AT493" i="2"/>
  <c r="BA493" i="2"/>
  <c r="AT494" i="2"/>
  <c r="BA494" i="2"/>
  <c r="AT495" i="2"/>
  <c r="BA495" i="2"/>
  <c r="AT496" i="2"/>
  <c r="BA496" i="2"/>
  <c r="AT497" i="2"/>
  <c r="AT498" i="2"/>
  <c r="BW448" i="2"/>
  <c r="BW449" i="2"/>
  <c r="BW450" i="2"/>
  <c r="BW451" i="2"/>
  <c r="BW452" i="2"/>
  <c r="BW453" i="2"/>
  <c r="BW454" i="2"/>
  <c r="BW455" i="2"/>
  <c r="BW456" i="2"/>
  <c r="BW458" i="2"/>
  <c r="BW459" i="2"/>
  <c r="BW460" i="2"/>
  <c r="BW462" i="2"/>
  <c r="BW463" i="2"/>
  <c r="BW464" i="2"/>
  <c r="BW465" i="2"/>
  <c r="BW466" i="2"/>
  <c r="BW467" i="2"/>
  <c r="BW468" i="2"/>
  <c r="BW469" i="2"/>
  <c r="BW470" i="2"/>
  <c r="BW471" i="2"/>
  <c r="BW472" i="2"/>
  <c r="BW473" i="2"/>
  <c r="BW474" i="2"/>
  <c r="BW475" i="2"/>
  <c r="BW476" i="2"/>
  <c r="BW477" i="2"/>
  <c r="BW478" i="2"/>
  <c r="BW479" i="2"/>
  <c r="BW480" i="2"/>
  <c r="BW481" i="2"/>
  <c r="BW482" i="2"/>
  <c r="BW483" i="2"/>
  <c r="BW484" i="2"/>
  <c r="BW485" i="2"/>
  <c r="BW486" i="2"/>
  <c r="BW487" i="2"/>
  <c r="BW488" i="2"/>
  <c r="BW489" i="2"/>
  <c r="BW490" i="2"/>
  <c r="BW491" i="2"/>
  <c r="BW492" i="2"/>
  <c r="BW493" i="2"/>
  <c r="BW494" i="2"/>
  <c r="BW496" i="2"/>
  <c r="BW497" i="2"/>
  <c r="BW498" i="2"/>
  <c r="CK448" i="2"/>
  <c r="CK449" i="2"/>
  <c r="CK450" i="2"/>
  <c r="CK451" i="2"/>
  <c r="CK452" i="2"/>
  <c r="CK453" i="2"/>
  <c r="CK454" i="2"/>
  <c r="CK455" i="2"/>
  <c r="CK456" i="2"/>
  <c r="CK458" i="2"/>
  <c r="CK459" i="2"/>
  <c r="CK460" i="2"/>
  <c r="CK462" i="2"/>
  <c r="CK463" i="2"/>
  <c r="CK464" i="2"/>
  <c r="CK465" i="2"/>
  <c r="CK466" i="2"/>
  <c r="CK467" i="2"/>
  <c r="CK468" i="2"/>
  <c r="CK469" i="2"/>
  <c r="CK470" i="2"/>
  <c r="CK471" i="2"/>
  <c r="CK472" i="2"/>
  <c r="CK473" i="2"/>
  <c r="CK474" i="2"/>
  <c r="CK475" i="2"/>
  <c r="CK476" i="2"/>
  <c r="CK477" i="2"/>
  <c r="CK478" i="2"/>
  <c r="CK479" i="2"/>
  <c r="CK480" i="2"/>
  <c r="CK481" i="2"/>
  <c r="CK482" i="2"/>
  <c r="CK483" i="2"/>
  <c r="CK484" i="2"/>
  <c r="CK485" i="2"/>
  <c r="CK486" i="2"/>
  <c r="CK487" i="2"/>
  <c r="CK488" i="2"/>
  <c r="CK489" i="2"/>
  <c r="CK490" i="2"/>
  <c r="CK491" i="2"/>
  <c r="CK492" i="2"/>
  <c r="CK493" i="2"/>
  <c r="CK494" i="2"/>
  <c r="CK496" i="2"/>
  <c r="CK497" i="2"/>
  <c r="CK498" i="2"/>
  <c r="CY448" i="2"/>
  <c r="CY449" i="2"/>
  <c r="CY450" i="2"/>
  <c r="CY451" i="2"/>
  <c r="CY452" i="2"/>
  <c r="CY453" i="2"/>
  <c r="CY454" i="2"/>
  <c r="CY455" i="2"/>
  <c r="CY456" i="2"/>
  <c r="CY458" i="2"/>
  <c r="CY459" i="2"/>
  <c r="CY460" i="2"/>
  <c r="CY462" i="2"/>
  <c r="CY463" i="2"/>
  <c r="CY464" i="2"/>
  <c r="CY465" i="2"/>
  <c r="CY466" i="2"/>
  <c r="CY467" i="2"/>
  <c r="CY468" i="2"/>
  <c r="CY469" i="2"/>
  <c r="CY470" i="2"/>
  <c r="CY471" i="2"/>
  <c r="CY472" i="2"/>
  <c r="CY473" i="2"/>
  <c r="CY474" i="2"/>
  <c r="CY475" i="2"/>
  <c r="CY476" i="2"/>
  <c r="CY477" i="2"/>
  <c r="CY478" i="2"/>
  <c r="CY479" i="2"/>
  <c r="CY480" i="2"/>
  <c r="CY481" i="2"/>
  <c r="CY482" i="2"/>
  <c r="CY483" i="2"/>
  <c r="CY484" i="2"/>
  <c r="CY485" i="2"/>
  <c r="CY486" i="2"/>
  <c r="CY487" i="2"/>
  <c r="CY488" i="2"/>
  <c r="CY489" i="2"/>
  <c r="CY490" i="2"/>
  <c r="CY491" i="2"/>
  <c r="CY492" i="2"/>
  <c r="CY493" i="2"/>
  <c r="CY494" i="2"/>
  <c r="CY496" i="2"/>
  <c r="CY497" i="2"/>
  <c r="CY498" i="2"/>
  <c r="DM448" i="2"/>
  <c r="DM449" i="2"/>
  <c r="DM450" i="2"/>
  <c r="DM451" i="2"/>
  <c r="DM452" i="2"/>
  <c r="DM453" i="2"/>
  <c r="DM454" i="2"/>
  <c r="DM455" i="2"/>
  <c r="DM456" i="2"/>
  <c r="DM458" i="2"/>
  <c r="DM459" i="2"/>
  <c r="DM460" i="2"/>
  <c r="DM462" i="2"/>
  <c r="DM463" i="2"/>
  <c r="DM464" i="2"/>
  <c r="DM465" i="2"/>
  <c r="DM466" i="2"/>
  <c r="DM467" i="2"/>
  <c r="DM468" i="2"/>
  <c r="DM469" i="2"/>
  <c r="DM470" i="2"/>
  <c r="DM471" i="2"/>
  <c r="DM472" i="2"/>
  <c r="DM473" i="2"/>
  <c r="DM474" i="2"/>
  <c r="DM475" i="2"/>
  <c r="DM476" i="2"/>
  <c r="DM477" i="2"/>
  <c r="DM478" i="2"/>
  <c r="DM479" i="2"/>
  <c r="DM480" i="2"/>
  <c r="DM481" i="2"/>
  <c r="DM482" i="2"/>
  <c r="DM483" i="2"/>
  <c r="DM484" i="2"/>
  <c r="DM485" i="2"/>
  <c r="DM486" i="2"/>
  <c r="DM487" i="2"/>
  <c r="DM488" i="2"/>
  <c r="DM489" i="2"/>
  <c r="DM490" i="2"/>
  <c r="DM491" i="2"/>
  <c r="DM492" i="2"/>
  <c r="DM493" i="2"/>
  <c r="DM494" i="2"/>
  <c r="DM496" i="2"/>
  <c r="DM497" i="2"/>
  <c r="DM498" i="2"/>
  <c r="BU374" i="2"/>
  <c r="BY374" i="2"/>
  <c r="CI374" i="2"/>
  <c r="CW374" i="2"/>
  <c r="DK374" i="2"/>
  <c r="BU375" i="2"/>
  <c r="BY375" i="2"/>
  <c r="CI375" i="2"/>
  <c r="CW375" i="2"/>
  <c r="DK375" i="2"/>
  <c r="BU376" i="2"/>
  <c r="BY376" i="2"/>
  <c r="CI376" i="2"/>
  <c r="CW376" i="2"/>
  <c r="DK376" i="2"/>
  <c r="F377" i="2"/>
  <c r="J377" i="2"/>
  <c r="J381" i="2"/>
  <c r="P377" i="2"/>
  <c r="AD377" i="2"/>
  <c r="AR377" i="2"/>
  <c r="BU377" i="2"/>
  <c r="BY377" i="2"/>
  <c r="CI377" i="2"/>
  <c r="CW377" i="2"/>
  <c r="DK377" i="2"/>
  <c r="F378" i="2"/>
  <c r="BU378" i="2"/>
  <c r="BY378" i="2"/>
  <c r="CI378" i="2"/>
  <c r="CW378" i="2"/>
  <c r="DK378" i="2"/>
  <c r="F379" i="2"/>
  <c r="BU379" i="2"/>
  <c r="BY379" i="2"/>
  <c r="CI379" i="2"/>
  <c r="CW379" i="2"/>
  <c r="DK379" i="2"/>
  <c r="F380" i="2"/>
  <c r="BU380" i="2"/>
  <c r="BY380" i="2"/>
  <c r="CI380" i="2"/>
  <c r="CW380" i="2"/>
  <c r="DK380" i="2"/>
  <c r="F381" i="2"/>
  <c r="P381" i="2"/>
  <c r="AD381" i="2"/>
  <c r="AR381" i="2"/>
  <c r="BU381" i="2"/>
  <c r="BY381" i="2"/>
  <c r="CI381" i="2"/>
  <c r="CW381" i="2"/>
  <c r="DK381" i="2"/>
  <c r="F382" i="2"/>
  <c r="BU382" i="2"/>
  <c r="BY382" i="2"/>
  <c r="CI382" i="2"/>
  <c r="CW382" i="2"/>
  <c r="DK382" i="2"/>
  <c r="F383" i="2"/>
  <c r="BU383" i="2"/>
  <c r="BY383" i="2"/>
  <c r="CI383" i="2"/>
  <c r="CW383" i="2"/>
  <c r="DK383" i="2"/>
  <c r="F384" i="2"/>
  <c r="BU384" i="2"/>
  <c r="BY384" i="2"/>
  <c r="CI384" i="2"/>
  <c r="CM384" i="2"/>
  <c r="CW384" i="2"/>
  <c r="DA384" i="2"/>
  <c r="DK384" i="2"/>
  <c r="DO384" i="2"/>
  <c r="F385" i="2"/>
  <c r="P385" i="2"/>
  <c r="AD385" i="2"/>
  <c r="AR385" i="2"/>
  <c r="BU385" i="2"/>
  <c r="BY385" i="2"/>
  <c r="CI385" i="2"/>
  <c r="CM385" i="2"/>
  <c r="CW385" i="2"/>
  <c r="DA385" i="2"/>
  <c r="DK385" i="2"/>
  <c r="DO385" i="2"/>
  <c r="F386" i="2"/>
  <c r="F387" i="2"/>
  <c r="F388" i="2"/>
  <c r="BY388" i="2"/>
  <c r="CA388" i="2"/>
  <c r="CM388" i="2"/>
  <c r="CO388" i="2"/>
  <c r="DA388" i="2"/>
  <c r="DC388" i="2"/>
  <c r="DO388" i="2"/>
  <c r="DQ388" i="2"/>
  <c r="F389" i="2"/>
  <c r="P389" i="2"/>
  <c r="AD389" i="2"/>
  <c r="AR389" i="2"/>
  <c r="BY389" i="2"/>
  <c r="CA389" i="2"/>
  <c r="CM389" i="2"/>
  <c r="CO389" i="2"/>
  <c r="DA389" i="2"/>
  <c r="DC389" i="2"/>
  <c r="DO389" i="2"/>
  <c r="DQ389" i="2"/>
  <c r="F390" i="2"/>
  <c r="BY390" i="2"/>
  <c r="CA390" i="2"/>
  <c r="CM390" i="2"/>
  <c r="CO390" i="2"/>
  <c r="DA390" i="2"/>
  <c r="DC390" i="2"/>
  <c r="DO390" i="2"/>
  <c r="DQ390" i="2"/>
  <c r="F391" i="2"/>
  <c r="BY391" i="2"/>
  <c r="CA391" i="2"/>
  <c r="CM391" i="2"/>
  <c r="CO391" i="2"/>
  <c r="DA391" i="2"/>
  <c r="DC391" i="2"/>
  <c r="DO391" i="2"/>
  <c r="DQ391" i="2"/>
  <c r="F392" i="2"/>
  <c r="BY392" i="2"/>
  <c r="CA392" i="2"/>
  <c r="CM392" i="2"/>
  <c r="CO392" i="2"/>
  <c r="DA392" i="2"/>
  <c r="DC392" i="2"/>
  <c r="DO392" i="2"/>
  <c r="DQ392" i="2"/>
  <c r="F393" i="2"/>
  <c r="P393" i="2"/>
  <c r="AD393" i="2"/>
  <c r="AR393" i="2"/>
  <c r="BY393" i="2"/>
  <c r="CA393" i="2"/>
  <c r="CM393" i="2"/>
  <c r="CO393" i="2"/>
  <c r="DA393" i="2"/>
  <c r="DC393" i="2"/>
  <c r="DO393" i="2"/>
  <c r="DQ393" i="2"/>
  <c r="F394" i="2"/>
  <c r="BY394" i="2"/>
  <c r="CA394" i="2"/>
  <c r="CF394" i="2"/>
  <c r="CM394" i="2"/>
  <c r="CO394" i="2"/>
  <c r="CT394" i="2"/>
  <c r="DA394" i="2"/>
  <c r="DC394" i="2"/>
  <c r="DO394" i="2"/>
  <c r="DQ394" i="2"/>
  <c r="DV394" i="2"/>
  <c r="F395" i="2"/>
  <c r="BY395" i="2"/>
  <c r="CA395" i="2"/>
  <c r="CM395" i="2"/>
  <c r="CO395" i="2"/>
  <c r="DA395" i="2"/>
  <c r="DC395" i="2"/>
  <c r="DO395" i="2"/>
  <c r="DQ395" i="2"/>
  <c r="F396" i="2"/>
  <c r="CA396" i="2"/>
  <c r="CO396" i="2"/>
  <c r="DC396" i="2"/>
  <c r="DQ396" i="2"/>
  <c r="F397" i="2"/>
  <c r="P397" i="2"/>
  <c r="AD397" i="2"/>
  <c r="AR397" i="2"/>
  <c r="BY397" i="2"/>
  <c r="CA397" i="2"/>
  <c r="CM397" i="2"/>
  <c r="CO397" i="2"/>
  <c r="CT397" i="2"/>
  <c r="DA397" i="2"/>
  <c r="DC397" i="2"/>
  <c r="DO397" i="2"/>
  <c r="DQ397" i="2"/>
  <c r="F398" i="2"/>
  <c r="P398" i="2"/>
  <c r="AD398" i="2"/>
  <c r="AR398" i="2"/>
  <c r="BY398" i="2"/>
  <c r="CA398" i="2"/>
  <c r="CM398" i="2"/>
  <c r="CO398" i="2"/>
  <c r="DA398" i="2"/>
  <c r="DC398" i="2"/>
  <c r="DO398" i="2"/>
  <c r="DQ398" i="2"/>
  <c r="F399" i="2"/>
  <c r="CA399" i="2"/>
  <c r="CO399" i="2"/>
  <c r="DC399" i="2"/>
  <c r="DQ399" i="2"/>
  <c r="F400" i="2"/>
  <c r="CA400" i="2"/>
  <c r="CO400" i="2"/>
  <c r="CT400" i="2"/>
  <c r="DC400" i="2"/>
  <c r="DQ400" i="2"/>
  <c r="F401" i="2"/>
  <c r="P401" i="2"/>
  <c r="AD401" i="2"/>
  <c r="AR401" i="2"/>
  <c r="CA401" i="2"/>
  <c r="CO401" i="2"/>
  <c r="DC401" i="2"/>
  <c r="DQ401" i="2"/>
  <c r="F402" i="2"/>
  <c r="CA402" i="2"/>
  <c r="CF402" i="2"/>
  <c r="CO402" i="2"/>
  <c r="DC402" i="2"/>
  <c r="DQ402" i="2"/>
  <c r="F403" i="2"/>
  <c r="CA403" i="2"/>
  <c r="CO403" i="2"/>
  <c r="DC403" i="2"/>
  <c r="DH403" i="2"/>
  <c r="DQ403" i="2"/>
  <c r="F404" i="2"/>
  <c r="CA404" i="2"/>
  <c r="CO404" i="2"/>
  <c r="DC404" i="2"/>
  <c r="DH404" i="2"/>
  <c r="DQ404" i="2"/>
  <c r="F405" i="2"/>
  <c r="P405" i="2"/>
  <c r="AD405" i="2"/>
  <c r="AR405" i="2"/>
  <c r="CA405" i="2"/>
  <c r="CO405" i="2"/>
  <c r="DC405" i="2"/>
  <c r="DQ405" i="2"/>
  <c r="DV405" i="2"/>
  <c r="F406" i="2"/>
  <c r="CA406" i="2"/>
  <c r="CO406" i="2"/>
  <c r="CT406" i="2"/>
  <c r="DC406" i="2"/>
  <c r="DQ406" i="2"/>
  <c r="DV406" i="2"/>
  <c r="F407" i="2"/>
  <c r="CA407" i="2"/>
  <c r="CO407" i="2"/>
  <c r="DC407" i="2"/>
  <c r="DQ407" i="2"/>
  <c r="DV407" i="2"/>
  <c r="F408" i="2"/>
  <c r="CA408" i="2"/>
  <c r="CO408" i="2"/>
  <c r="DC408" i="2"/>
  <c r="DQ408" i="2"/>
  <c r="DV408" i="2"/>
  <c r="F409" i="2"/>
  <c r="P409" i="2"/>
  <c r="AD409" i="2"/>
  <c r="AR409" i="2"/>
  <c r="CA409" i="2"/>
  <c r="CO409" i="2"/>
  <c r="DC409" i="2"/>
  <c r="DH409" i="2"/>
  <c r="DQ409" i="2"/>
  <c r="F410" i="2"/>
  <c r="CA410" i="2"/>
  <c r="CO410" i="2"/>
  <c r="DC410" i="2"/>
  <c r="DQ410" i="2"/>
  <c r="F411" i="2"/>
  <c r="CA411" i="2"/>
  <c r="CO411" i="2"/>
  <c r="DC411" i="2"/>
  <c r="DH411" i="2"/>
  <c r="DQ411" i="2"/>
  <c r="F412" i="2"/>
  <c r="CA412" i="2"/>
  <c r="CO412" i="2"/>
  <c r="DC412" i="2"/>
  <c r="DQ412" i="2"/>
  <c r="F413" i="2"/>
  <c r="P413" i="2"/>
  <c r="AD413" i="2"/>
  <c r="AR413" i="2"/>
  <c r="CA413" i="2"/>
  <c r="CO413" i="2"/>
  <c r="DC413" i="2"/>
  <c r="DQ413" i="2"/>
  <c r="F414" i="2"/>
  <c r="CA414" i="2"/>
  <c r="CF414" i="2"/>
  <c r="CO414" i="2"/>
  <c r="DC414" i="2"/>
  <c r="DQ414" i="2"/>
  <c r="F415" i="2"/>
  <c r="CA415" i="2"/>
  <c r="CF415" i="2"/>
  <c r="CO415" i="2"/>
  <c r="DC415" i="2"/>
  <c r="DQ415" i="2"/>
  <c r="F416" i="2"/>
  <c r="J416" i="2"/>
  <c r="J420" i="2"/>
  <c r="CA416" i="2"/>
  <c r="CO416" i="2"/>
  <c r="DC416" i="2"/>
  <c r="DQ416" i="2"/>
  <c r="F417" i="2"/>
  <c r="P417" i="2"/>
  <c r="T417" i="2"/>
  <c r="AD417" i="2"/>
  <c r="AH417" i="2"/>
  <c r="AR417" i="2"/>
  <c r="AV417" i="2"/>
  <c r="CA417" i="2"/>
  <c r="CO417" i="2"/>
  <c r="DC417" i="2"/>
  <c r="DQ417" i="2"/>
  <c r="F418" i="2"/>
  <c r="T418" i="2"/>
  <c r="X418" i="2"/>
  <c r="X422" i="2"/>
  <c r="AH418" i="2"/>
  <c r="AV418" i="2"/>
  <c r="CA418" i="2"/>
  <c r="CF418" i="2"/>
  <c r="CO418" i="2"/>
  <c r="DC418" i="2"/>
  <c r="DH418" i="2"/>
  <c r="DQ418" i="2"/>
  <c r="F419" i="2"/>
  <c r="T419" i="2"/>
  <c r="AH419" i="2"/>
  <c r="AV419" i="2"/>
  <c r="CA419" i="2"/>
  <c r="CO419" i="2"/>
  <c r="DC419" i="2"/>
  <c r="DQ419" i="2"/>
  <c r="F420" i="2"/>
  <c r="T420" i="2"/>
  <c r="AH420" i="2"/>
  <c r="AV420" i="2"/>
  <c r="CA420" i="2"/>
  <c r="CO420" i="2"/>
  <c r="DC420" i="2"/>
  <c r="DH420" i="2"/>
  <c r="DQ420" i="2"/>
  <c r="DV420" i="2"/>
  <c r="F421" i="2"/>
  <c r="P421" i="2"/>
  <c r="T421" i="2"/>
  <c r="AD421" i="2"/>
  <c r="AH421" i="2"/>
  <c r="AR421" i="2"/>
  <c r="AV421" i="2"/>
  <c r="F422" i="2"/>
  <c r="T422" i="2"/>
  <c r="AH422" i="2"/>
  <c r="AV422" i="2"/>
  <c r="CA422" i="2"/>
  <c r="CO422" i="2"/>
  <c r="DC422" i="2"/>
  <c r="DQ422" i="2"/>
  <c r="F423" i="2"/>
  <c r="T423" i="2"/>
  <c r="AH423" i="2"/>
  <c r="AV423" i="2"/>
  <c r="CA423" i="2"/>
  <c r="CO423" i="2"/>
  <c r="CT423" i="2"/>
  <c r="DC423" i="2"/>
  <c r="DQ423" i="2"/>
  <c r="F424" i="2"/>
  <c r="T424" i="2"/>
  <c r="AH424" i="2"/>
  <c r="AV424" i="2"/>
  <c r="CA424" i="2"/>
  <c r="CO424" i="2"/>
  <c r="DC424" i="2"/>
  <c r="DQ424" i="2"/>
  <c r="CA425" i="2"/>
  <c r="CO425" i="2"/>
  <c r="CT425" i="2"/>
  <c r="DC425" i="2"/>
  <c r="DH425" i="2"/>
  <c r="DQ425" i="2"/>
  <c r="A504" i="2"/>
  <c r="BU454" i="2"/>
  <c r="CA453" i="2"/>
  <c r="D557" i="2"/>
  <c r="D558" i="2"/>
  <c r="D559" i="2"/>
  <c r="D560" i="2"/>
  <c r="D528" i="2"/>
  <c r="D532" i="2"/>
  <c r="D536" i="2"/>
  <c r="D540" i="2"/>
  <c r="D544" i="2"/>
  <c r="D548" i="2"/>
  <c r="D552" i="2"/>
  <c r="D556" i="2"/>
  <c r="D572" i="2"/>
  <c r="H528" i="2"/>
  <c r="H532" i="2"/>
  <c r="H535" i="2"/>
  <c r="H540" i="2"/>
  <c r="H544" i="2"/>
  <c r="H548" i="2"/>
  <c r="H552" i="2"/>
  <c r="H556" i="2"/>
  <c r="H560" i="2"/>
  <c r="H572" i="2"/>
  <c r="M572" i="2"/>
  <c r="R557" i="2"/>
  <c r="R525" i="2"/>
  <c r="R529" i="2"/>
  <c r="R533" i="2"/>
  <c r="R537" i="2"/>
  <c r="R541" i="2"/>
  <c r="R546" i="2"/>
  <c r="R549" i="2"/>
  <c r="R553" i="2"/>
  <c r="R569" i="2"/>
  <c r="R558" i="2"/>
  <c r="R559" i="2"/>
  <c r="R560" i="2"/>
  <c r="AF557" i="2"/>
  <c r="AF558" i="2"/>
  <c r="AF559" i="2"/>
  <c r="AF560" i="2"/>
  <c r="AT557" i="2"/>
  <c r="AT558" i="2"/>
  <c r="AT559" i="2"/>
  <c r="AT560" i="2"/>
  <c r="BW530" i="2"/>
  <c r="CK530" i="2"/>
  <c r="CY530" i="2"/>
  <c r="DM530" i="2"/>
  <c r="DO449" i="2"/>
  <c r="DQ449" i="2"/>
  <c r="DT448" i="2"/>
  <c r="DO450" i="2"/>
  <c r="DQ450" i="2"/>
  <c r="DO451" i="2"/>
  <c r="DQ451" i="2"/>
  <c r="DO452" i="2"/>
  <c r="DQ452" i="2"/>
  <c r="DO453" i="2"/>
  <c r="DQ453" i="2"/>
  <c r="DO454" i="2"/>
  <c r="DQ454" i="2"/>
  <c r="DO455" i="2"/>
  <c r="DQ455" i="2"/>
  <c r="DO456" i="2"/>
  <c r="DQ456" i="2"/>
  <c r="DO458" i="2"/>
  <c r="DQ458" i="2"/>
  <c r="DT458" i="2"/>
  <c r="DU458" i="2"/>
  <c r="DV458" i="2"/>
  <c r="DA449" i="2"/>
  <c r="DC449" i="2"/>
  <c r="DF448" i="2"/>
  <c r="DF449" i="2"/>
  <c r="DA450" i="2"/>
  <c r="DC450" i="2"/>
  <c r="DA451" i="2"/>
  <c r="DC451" i="2"/>
  <c r="DA452" i="2"/>
  <c r="DC452" i="2"/>
  <c r="DA453" i="2"/>
  <c r="DC453" i="2"/>
  <c r="DA454" i="2"/>
  <c r="DC454" i="2"/>
  <c r="DA455" i="2"/>
  <c r="DC455" i="2"/>
  <c r="DA456" i="2"/>
  <c r="DC456" i="2"/>
  <c r="DA458" i="2"/>
  <c r="DC458" i="2"/>
  <c r="DF458" i="2"/>
  <c r="DG458" i="2"/>
  <c r="DH458" i="2"/>
  <c r="CM449" i="2"/>
  <c r="CO449" i="2"/>
  <c r="CR448" i="2"/>
  <c r="CS448" i="2"/>
  <c r="CM450" i="2"/>
  <c r="CO450" i="2"/>
  <c r="CM451" i="2"/>
  <c r="CO451" i="2"/>
  <c r="CM452" i="2"/>
  <c r="CO452" i="2"/>
  <c r="CM453" i="2"/>
  <c r="CO453" i="2"/>
  <c r="CM454" i="2"/>
  <c r="CO454" i="2"/>
  <c r="CM455" i="2"/>
  <c r="CO455" i="2"/>
  <c r="CM456" i="2"/>
  <c r="CO456" i="2"/>
  <c r="CM458" i="2"/>
  <c r="CO458" i="2"/>
  <c r="CR458" i="2"/>
  <c r="CS458" i="2"/>
  <c r="CT458" i="2"/>
  <c r="CD458" i="2"/>
  <c r="CE458" i="2"/>
  <c r="CF458" i="2"/>
  <c r="AV455" i="2"/>
  <c r="AX455" i="2"/>
  <c r="AZ455" i="2"/>
  <c r="AZ459" i="2"/>
  <c r="AZ463" i="2"/>
  <c r="AZ467" i="2"/>
  <c r="AZ471" i="2"/>
  <c r="AZ475" i="2"/>
  <c r="AZ479" i="2"/>
  <c r="AZ483" i="2"/>
  <c r="AV456" i="2"/>
  <c r="AX456" i="2"/>
  <c r="AZ452" i="2"/>
  <c r="AZ456" i="2"/>
  <c r="AZ460" i="2"/>
  <c r="AV457" i="2"/>
  <c r="AX457" i="2"/>
  <c r="AZ453" i="2"/>
  <c r="AZ457" i="2"/>
  <c r="AZ461" i="2"/>
  <c r="BA453" i="2"/>
  <c r="BA457" i="2"/>
  <c r="AV458" i="2"/>
  <c r="AX458" i="2"/>
  <c r="AZ454" i="2"/>
  <c r="AZ458" i="2"/>
  <c r="AZ462" i="2"/>
  <c r="AZ466" i="2"/>
  <c r="AZ470" i="2"/>
  <c r="AZ474" i="2"/>
  <c r="AZ478" i="2"/>
  <c r="AZ482" i="2"/>
  <c r="AZ486" i="2"/>
  <c r="BA454" i="2"/>
  <c r="BB454" i="2"/>
  <c r="AX454" i="2"/>
  <c r="AV459" i="2"/>
  <c r="AX459" i="2"/>
  <c r="AV460" i="2"/>
  <c r="AX460" i="2"/>
  <c r="AZ464" i="2"/>
  <c r="AZ468" i="2"/>
  <c r="AZ472" i="2"/>
  <c r="AZ476" i="2"/>
  <c r="AZ480" i="2"/>
  <c r="AZ484" i="2"/>
  <c r="AV461" i="2"/>
  <c r="AX461" i="2"/>
  <c r="AZ465" i="2"/>
  <c r="AZ469" i="2"/>
  <c r="AZ473" i="2"/>
  <c r="AZ477" i="2"/>
  <c r="AZ481" i="2"/>
  <c r="AZ485" i="2"/>
  <c r="AV462" i="2"/>
  <c r="AX462" i="2"/>
  <c r="AV463" i="2"/>
  <c r="AX463" i="2"/>
  <c r="AV464" i="2"/>
  <c r="AX464" i="2"/>
  <c r="AV465" i="2"/>
  <c r="AX465" i="2"/>
  <c r="AV466" i="2"/>
  <c r="AX466" i="2"/>
  <c r="AV467" i="2"/>
  <c r="AX467" i="2"/>
  <c r="AV468" i="2"/>
  <c r="AX468" i="2"/>
  <c r="AV469" i="2"/>
  <c r="AX469" i="2"/>
  <c r="AV470" i="2"/>
  <c r="AX470" i="2"/>
  <c r="AV471" i="2"/>
  <c r="AX471" i="2"/>
  <c r="AV472" i="2"/>
  <c r="AX472" i="2"/>
  <c r="AV473" i="2"/>
  <c r="AX473" i="2"/>
  <c r="AV474" i="2"/>
  <c r="AX474" i="2"/>
  <c r="AV475" i="2"/>
  <c r="AX475" i="2"/>
  <c r="AV476" i="2"/>
  <c r="AX476" i="2"/>
  <c r="AV477" i="2"/>
  <c r="AX477" i="2"/>
  <c r="AV478" i="2"/>
  <c r="AX478" i="2"/>
  <c r="AV479" i="2"/>
  <c r="AX479" i="2"/>
  <c r="AV480" i="2"/>
  <c r="AX480" i="2"/>
  <c r="AV481" i="2"/>
  <c r="AX481" i="2"/>
  <c r="AV482" i="2"/>
  <c r="AX482" i="2"/>
  <c r="AV483" i="2"/>
  <c r="AX483" i="2"/>
  <c r="AV484" i="2"/>
  <c r="AX484" i="2"/>
  <c r="AV485" i="2"/>
  <c r="AX485" i="2"/>
  <c r="AV486" i="2"/>
  <c r="AX486" i="2"/>
  <c r="AV491" i="2"/>
  <c r="AX491" i="2"/>
  <c r="BC491" i="2"/>
  <c r="AZ491" i="2"/>
  <c r="BB491" i="2"/>
  <c r="AV492" i="2"/>
  <c r="AX492" i="2"/>
  <c r="BC492" i="2"/>
  <c r="AZ492" i="2"/>
  <c r="BB492" i="2"/>
  <c r="AV493" i="2"/>
  <c r="AX493" i="2"/>
  <c r="BC493" i="2"/>
  <c r="AZ493" i="2"/>
  <c r="BB493" i="2"/>
  <c r="AV494" i="2"/>
  <c r="AX494" i="2"/>
  <c r="BC494" i="2"/>
  <c r="AZ494" i="2"/>
  <c r="BB494" i="2"/>
  <c r="AH455" i="2"/>
  <c r="AJ455" i="2"/>
  <c r="AL451" i="2"/>
  <c r="AL455" i="2"/>
  <c r="AL459" i="2"/>
  <c r="AL463" i="2"/>
  <c r="AH456" i="2"/>
  <c r="AJ456" i="2"/>
  <c r="AH457" i="2"/>
  <c r="AJ457" i="2"/>
  <c r="AH458" i="2"/>
  <c r="AJ458" i="2"/>
  <c r="AL454" i="2"/>
  <c r="AL458" i="2"/>
  <c r="AL462" i="2"/>
  <c r="AL466" i="2"/>
  <c r="AL470" i="2"/>
  <c r="AL474" i="2"/>
  <c r="AL478" i="2"/>
  <c r="AL482" i="2"/>
  <c r="AL486" i="2"/>
  <c r="AH459" i="2"/>
  <c r="AJ459" i="2"/>
  <c r="AH460" i="2"/>
  <c r="AJ460" i="2"/>
  <c r="AL460" i="2"/>
  <c r="AL464" i="2"/>
  <c r="AL468" i="2"/>
  <c r="AH461" i="2"/>
  <c r="AJ461" i="2"/>
  <c r="AN461" i="2"/>
  <c r="AH462" i="2"/>
  <c r="AJ462" i="2"/>
  <c r="AH463" i="2"/>
  <c r="AJ463" i="2"/>
  <c r="AH464" i="2"/>
  <c r="AJ464" i="2"/>
  <c r="AH465" i="2"/>
  <c r="AJ465" i="2"/>
  <c r="AN465" i="2"/>
  <c r="AL465" i="2"/>
  <c r="AL469" i="2"/>
  <c r="AL473" i="2"/>
  <c r="AL477" i="2"/>
  <c r="AL481" i="2"/>
  <c r="AL485" i="2"/>
  <c r="AM465" i="2"/>
  <c r="AH466" i="2"/>
  <c r="AJ466" i="2"/>
  <c r="AH467" i="2"/>
  <c r="AH468" i="2"/>
  <c r="AJ468" i="2"/>
  <c r="AL472" i="2"/>
  <c r="AH469" i="2"/>
  <c r="AJ469" i="2"/>
  <c r="AH470" i="2"/>
  <c r="AJ470" i="2"/>
  <c r="AH471" i="2"/>
  <c r="AJ471" i="2"/>
  <c r="AL471" i="2"/>
  <c r="AL475" i="2"/>
  <c r="AL479" i="2"/>
  <c r="AL483" i="2"/>
  <c r="AM471" i="2"/>
  <c r="AM475" i="2"/>
  <c r="AM479" i="2"/>
  <c r="AJ475" i="2"/>
  <c r="AN471" i="2"/>
  <c r="AH472" i="2"/>
  <c r="AJ472" i="2"/>
  <c r="AH473" i="2"/>
  <c r="AJ473" i="2"/>
  <c r="AH474" i="2"/>
  <c r="AJ474" i="2"/>
  <c r="AH475" i="2"/>
  <c r="AH476" i="2"/>
  <c r="AJ476" i="2"/>
  <c r="AH477" i="2"/>
  <c r="AJ477" i="2"/>
  <c r="AH478" i="2"/>
  <c r="AJ478" i="2"/>
  <c r="AH479" i="2"/>
  <c r="AJ479" i="2"/>
  <c r="AH480" i="2"/>
  <c r="AJ480" i="2"/>
  <c r="AL480" i="2"/>
  <c r="AL484" i="2"/>
  <c r="AH481" i="2"/>
  <c r="AJ481" i="2"/>
  <c r="AH482" i="2"/>
  <c r="AJ482" i="2"/>
  <c r="AH483" i="2"/>
  <c r="AJ483" i="2"/>
  <c r="AH484" i="2"/>
  <c r="AJ484" i="2"/>
  <c r="AH485" i="2"/>
  <c r="AJ485" i="2"/>
  <c r="AH486" i="2"/>
  <c r="AJ486" i="2"/>
  <c r="AH491" i="2"/>
  <c r="AJ491" i="2"/>
  <c r="AL491" i="2"/>
  <c r="AM491" i="2"/>
  <c r="AN491" i="2"/>
  <c r="AO491" i="2"/>
  <c r="AH492" i="2"/>
  <c r="AJ492" i="2"/>
  <c r="AO492" i="2"/>
  <c r="AL492" i="2"/>
  <c r="AN492" i="2"/>
  <c r="AH493" i="2"/>
  <c r="AJ493" i="2"/>
  <c r="AO493" i="2"/>
  <c r="AL493" i="2"/>
  <c r="AN493" i="2"/>
  <c r="AH494" i="2"/>
  <c r="AJ494" i="2"/>
  <c r="AO494" i="2"/>
  <c r="AL494" i="2"/>
  <c r="AN494" i="2"/>
  <c r="T455" i="2"/>
  <c r="V455" i="2"/>
  <c r="T456" i="2"/>
  <c r="V456" i="2"/>
  <c r="X452" i="2"/>
  <c r="X456" i="2"/>
  <c r="T457" i="2"/>
  <c r="V457" i="2"/>
  <c r="X453" i="2"/>
  <c r="X457" i="2"/>
  <c r="X461" i="2"/>
  <c r="X465" i="2"/>
  <c r="X469" i="2"/>
  <c r="X473" i="2"/>
  <c r="T458" i="2"/>
  <c r="V458" i="2"/>
  <c r="X454" i="2"/>
  <c r="X458" i="2"/>
  <c r="X462" i="2"/>
  <c r="X466" i="2"/>
  <c r="X470" i="2"/>
  <c r="X474" i="2"/>
  <c r="X478" i="2"/>
  <c r="X482" i="2"/>
  <c r="X486" i="2"/>
  <c r="T459" i="2"/>
  <c r="V459" i="2"/>
  <c r="X459" i="2"/>
  <c r="X463" i="2"/>
  <c r="X467" i="2"/>
  <c r="X471" i="2"/>
  <c r="X475" i="2"/>
  <c r="X479" i="2"/>
  <c r="X483" i="2"/>
  <c r="T460" i="2"/>
  <c r="V460" i="2"/>
  <c r="T461" i="2"/>
  <c r="V461" i="2"/>
  <c r="T462" i="2"/>
  <c r="V462" i="2"/>
  <c r="T463" i="2"/>
  <c r="V463" i="2"/>
  <c r="T464" i="2"/>
  <c r="V464" i="2"/>
  <c r="X464" i="2"/>
  <c r="X468" i="2"/>
  <c r="X472" i="2"/>
  <c r="X476" i="2"/>
  <c r="X480" i="2"/>
  <c r="X484" i="2"/>
  <c r="T465" i="2"/>
  <c r="V465" i="2"/>
  <c r="T466" i="2"/>
  <c r="V466" i="2"/>
  <c r="T467" i="2"/>
  <c r="V467" i="2"/>
  <c r="T468" i="2"/>
  <c r="V468" i="2"/>
  <c r="T469" i="2"/>
  <c r="V469" i="2"/>
  <c r="T470" i="2"/>
  <c r="V470" i="2"/>
  <c r="T471" i="2"/>
  <c r="V471" i="2"/>
  <c r="T472" i="2"/>
  <c r="V472" i="2"/>
  <c r="V511" i="2"/>
  <c r="T473" i="2"/>
  <c r="V473" i="2"/>
  <c r="T474" i="2"/>
  <c r="V474" i="2"/>
  <c r="T475" i="2"/>
  <c r="V475" i="2"/>
  <c r="T476" i="2"/>
  <c r="V476" i="2"/>
  <c r="T477" i="2"/>
  <c r="V477" i="2"/>
  <c r="Z477" i="2"/>
  <c r="T478" i="2"/>
  <c r="V478" i="2"/>
  <c r="T479" i="2"/>
  <c r="V479" i="2"/>
  <c r="T480" i="2"/>
  <c r="V480" i="2"/>
  <c r="T481" i="2"/>
  <c r="V481" i="2"/>
  <c r="Z481" i="2"/>
  <c r="X481" i="2"/>
  <c r="T482" i="2"/>
  <c r="V482" i="2"/>
  <c r="T483" i="2"/>
  <c r="V483" i="2"/>
  <c r="T484" i="2"/>
  <c r="V484" i="2"/>
  <c r="T485" i="2"/>
  <c r="V485" i="2"/>
  <c r="X485" i="2"/>
  <c r="T486" i="2"/>
  <c r="V486" i="2"/>
  <c r="T491" i="2"/>
  <c r="V491" i="2"/>
  <c r="AA491" i="2"/>
  <c r="X491" i="2"/>
  <c r="Z491" i="2"/>
  <c r="T492" i="2"/>
  <c r="V492" i="2"/>
  <c r="X492" i="2"/>
  <c r="Z492" i="2"/>
  <c r="AA492" i="2"/>
  <c r="T493" i="2"/>
  <c r="V493" i="2"/>
  <c r="AA493" i="2"/>
  <c r="X493" i="2"/>
  <c r="Z493" i="2"/>
  <c r="T494" i="2"/>
  <c r="V494" i="2"/>
  <c r="AA494" i="2"/>
  <c r="X494" i="2"/>
  <c r="Z494" i="2"/>
  <c r="DO448" i="2"/>
  <c r="DQ448" i="2"/>
  <c r="DA448" i="2"/>
  <c r="DC448" i="2"/>
  <c r="CM448" i="2"/>
  <c r="CO448" i="2"/>
  <c r="BY448" i="2"/>
  <c r="CA448" i="2"/>
  <c r="CE448" i="2"/>
  <c r="BU448" i="2"/>
  <c r="CI448" i="2"/>
  <c r="CW448" i="2"/>
  <c r="DK448" i="2"/>
  <c r="F451" i="2"/>
  <c r="H451" i="2"/>
  <c r="J451" i="2"/>
  <c r="J455" i="2"/>
  <c r="J459" i="2"/>
  <c r="P451" i="2"/>
  <c r="T451" i="2"/>
  <c r="V451" i="2"/>
  <c r="X451" i="2"/>
  <c r="AD451" i="2"/>
  <c r="AH451" i="2"/>
  <c r="AJ451" i="2"/>
  <c r="AR451" i="2"/>
  <c r="AV451" i="2"/>
  <c r="AX451" i="2"/>
  <c r="F452" i="2"/>
  <c r="H452" i="2"/>
  <c r="J452" i="2"/>
  <c r="J456" i="2"/>
  <c r="J460" i="2"/>
  <c r="J464" i="2"/>
  <c r="J468" i="2"/>
  <c r="J472" i="2"/>
  <c r="T452" i="2"/>
  <c r="V452" i="2"/>
  <c r="AH452" i="2"/>
  <c r="AJ452" i="2"/>
  <c r="AL452" i="2"/>
  <c r="AM452" i="2"/>
  <c r="AV452" i="2"/>
  <c r="AX452" i="2"/>
  <c r="F453" i="2"/>
  <c r="H453" i="2"/>
  <c r="J453" i="2"/>
  <c r="J457" i="2"/>
  <c r="J461" i="2"/>
  <c r="J465" i="2"/>
  <c r="J469" i="2"/>
  <c r="J473" i="2"/>
  <c r="J477" i="2"/>
  <c r="J481" i="2"/>
  <c r="J485" i="2"/>
  <c r="K453" i="2"/>
  <c r="L453" i="2"/>
  <c r="T453" i="2"/>
  <c r="V453" i="2"/>
  <c r="Z453" i="2"/>
  <c r="AH453" i="2"/>
  <c r="AJ453" i="2"/>
  <c r="AL453" i="2"/>
  <c r="AV453" i="2"/>
  <c r="AX453" i="2"/>
  <c r="F454" i="2"/>
  <c r="H454" i="2"/>
  <c r="J454" i="2"/>
  <c r="J458" i="2"/>
  <c r="J462" i="2"/>
  <c r="J466" i="2"/>
  <c r="J470" i="2"/>
  <c r="J474" i="2"/>
  <c r="J478" i="2"/>
  <c r="J482" i="2"/>
  <c r="J486" i="2"/>
  <c r="T454" i="2"/>
  <c r="V454" i="2"/>
  <c r="AH454" i="2"/>
  <c r="AJ454" i="2"/>
  <c r="AV454" i="2"/>
  <c r="H455" i="2"/>
  <c r="H459" i="2"/>
  <c r="H463" i="2"/>
  <c r="H467" i="2"/>
  <c r="L467" i="2"/>
  <c r="H472" i="2"/>
  <c r="H475" i="2"/>
  <c r="H479" i="2"/>
  <c r="H483" i="2"/>
  <c r="H491" i="2"/>
  <c r="M491" i="2"/>
  <c r="H495" i="2"/>
  <c r="M495" i="2"/>
  <c r="J511" i="2"/>
  <c r="K511" i="2"/>
  <c r="L491" i="2"/>
  <c r="L495" i="2"/>
  <c r="V495" i="2"/>
  <c r="X511" i="2"/>
  <c r="Y511" i="2"/>
  <c r="Z495" i="2"/>
  <c r="AJ495" i="2"/>
  <c r="AO495" i="2"/>
  <c r="AL511" i="2"/>
  <c r="AM511" i="2"/>
  <c r="AN495" i="2"/>
  <c r="AX495" i="2"/>
  <c r="BC495" i="2"/>
  <c r="AZ511" i="2"/>
  <c r="BA511" i="2"/>
  <c r="BB495" i="2"/>
  <c r="H456" i="2"/>
  <c r="H460" i="2"/>
  <c r="H464" i="2"/>
  <c r="H468" i="2"/>
  <c r="H471" i="2"/>
  <c r="H476" i="2"/>
  <c r="H480" i="2"/>
  <c r="H484" i="2"/>
  <c r="H492" i="2"/>
  <c r="M492" i="2"/>
  <c r="H496" i="2"/>
  <c r="M496" i="2"/>
  <c r="J512" i="2"/>
  <c r="K512" i="2"/>
  <c r="L492" i="2"/>
  <c r="L496" i="2"/>
  <c r="V496" i="2"/>
  <c r="AA496" i="2"/>
  <c r="X512" i="2"/>
  <c r="Y512" i="2"/>
  <c r="Z496" i="2"/>
  <c r="AJ496" i="2"/>
  <c r="AO496" i="2"/>
  <c r="AL512" i="2"/>
  <c r="AM512" i="2"/>
  <c r="AN496" i="2"/>
  <c r="AX496" i="2"/>
  <c r="BC496" i="2"/>
  <c r="AZ512" i="2"/>
  <c r="BA512" i="2"/>
  <c r="BB496" i="2"/>
  <c r="H457" i="2"/>
  <c r="H462" i="2"/>
  <c r="H465" i="2"/>
  <c r="H469" i="2"/>
  <c r="H473" i="2"/>
  <c r="H477" i="2"/>
  <c r="H481" i="2"/>
  <c r="H485" i="2"/>
  <c r="H493" i="2"/>
  <c r="M493" i="2"/>
  <c r="H497" i="2"/>
  <c r="J513" i="2"/>
  <c r="K513" i="2"/>
  <c r="L493" i="2"/>
  <c r="L497" i="2"/>
  <c r="V497" i="2"/>
  <c r="X513" i="2"/>
  <c r="Y513" i="2"/>
  <c r="Z497" i="2"/>
  <c r="AJ497" i="2"/>
  <c r="AO497" i="2"/>
  <c r="AL513" i="2"/>
  <c r="AM513" i="2"/>
  <c r="AN497" i="2"/>
  <c r="AX497" i="2"/>
  <c r="AZ513" i="2"/>
  <c r="BA513" i="2"/>
  <c r="BB497" i="2"/>
  <c r="H458" i="2"/>
  <c r="H461" i="2"/>
  <c r="H466" i="2"/>
  <c r="H470" i="2"/>
  <c r="H474" i="2"/>
  <c r="H478" i="2"/>
  <c r="H482" i="2"/>
  <c r="H486" i="2"/>
  <c r="H494" i="2"/>
  <c r="M494" i="2"/>
  <c r="H498" i="2"/>
  <c r="M498" i="2"/>
  <c r="J514" i="2"/>
  <c r="K514" i="2"/>
  <c r="L494" i="2"/>
  <c r="L498" i="2"/>
  <c r="V498" i="2"/>
  <c r="AA498" i="2"/>
  <c r="X514" i="2"/>
  <c r="Y514" i="2"/>
  <c r="Z498" i="2"/>
  <c r="AJ498" i="2"/>
  <c r="AL514" i="2"/>
  <c r="AM514" i="2"/>
  <c r="AN498" i="2"/>
  <c r="AX498" i="2"/>
  <c r="BC498" i="2"/>
  <c r="AZ514" i="2"/>
  <c r="BA514" i="2"/>
  <c r="BB498" i="2"/>
  <c r="B491" i="2"/>
  <c r="B495" i="2"/>
  <c r="CD449" i="2"/>
  <c r="CD450" i="2"/>
  <c r="CA449" i="2"/>
  <c r="CA450" i="2"/>
  <c r="CA451" i="2"/>
  <c r="CA452" i="2"/>
  <c r="CA454" i="2"/>
  <c r="CA455" i="2"/>
  <c r="CA456" i="2"/>
  <c r="CD459" i="2"/>
  <c r="CE459" i="2"/>
  <c r="CF459" i="2"/>
  <c r="CD460" i="2"/>
  <c r="CE460" i="2"/>
  <c r="CF460" i="2"/>
  <c r="CD462" i="2"/>
  <c r="CE462" i="2"/>
  <c r="CF462" i="2"/>
  <c r="CD463" i="2"/>
  <c r="CE463" i="2"/>
  <c r="CF463" i="2"/>
  <c r="CD464" i="2"/>
  <c r="CE464" i="2"/>
  <c r="CF464" i="2"/>
  <c r="CD465" i="2"/>
  <c r="CE465" i="2"/>
  <c r="CF465" i="2"/>
  <c r="CD466" i="2"/>
  <c r="CE466" i="2"/>
  <c r="CF466" i="2"/>
  <c r="CD467" i="2"/>
  <c r="CE467" i="2"/>
  <c r="CF467" i="2"/>
  <c r="CE468" i="2"/>
  <c r="CF468" i="2"/>
  <c r="CE469" i="2"/>
  <c r="CF469" i="2"/>
  <c r="CE470" i="2"/>
  <c r="CF470" i="2"/>
  <c r="CE471" i="2"/>
  <c r="CF471" i="2"/>
  <c r="CE472" i="2"/>
  <c r="CE473" i="2"/>
  <c r="CF473" i="2"/>
  <c r="CE474" i="2"/>
  <c r="CF474" i="2"/>
  <c r="CE475" i="2"/>
  <c r="CF475" i="2"/>
  <c r="CE476" i="2"/>
  <c r="CF476" i="2"/>
  <c r="CE477" i="2"/>
  <c r="CF477" i="2"/>
  <c r="CE478" i="2"/>
  <c r="CF478" i="2"/>
  <c r="CE479" i="2"/>
  <c r="CF479" i="2"/>
  <c r="CE480" i="2"/>
  <c r="CF480" i="2"/>
  <c r="CE481" i="2"/>
  <c r="CF481" i="2"/>
  <c r="CE482" i="2"/>
  <c r="CF482" i="2"/>
  <c r="CE483" i="2"/>
  <c r="CE484" i="2"/>
  <c r="CE485" i="2"/>
  <c r="CE486" i="2"/>
  <c r="CF486" i="2"/>
  <c r="CE487" i="2"/>
  <c r="CF487" i="2"/>
  <c r="CE488" i="2"/>
  <c r="CF488" i="2"/>
  <c r="CE489" i="2"/>
  <c r="CF489" i="2"/>
  <c r="CE490" i="2"/>
  <c r="CF490" i="2"/>
  <c r="CE491" i="2"/>
  <c r="CF491" i="2"/>
  <c r="CE492" i="2"/>
  <c r="CF492" i="2"/>
  <c r="CE493" i="2"/>
  <c r="CF493" i="2"/>
  <c r="CE494" i="2"/>
  <c r="CF494" i="2"/>
  <c r="CE496" i="2"/>
  <c r="CF496" i="2"/>
  <c r="CE497" i="2"/>
  <c r="CF497" i="2"/>
  <c r="CE498" i="2"/>
  <c r="CF498" i="2"/>
  <c r="CE499" i="2"/>
  <c r="CR459" i="2"/>
  <c r="CS459" i="2"/>
  <c r="CT459" i="2"/>
  <c r="CR460" i="2"/>
  <c r="CS460" i="2"/>
  <c r="CT460" i="2"/>
  <c r="CR462" i="2"/>
  <c r="CS462" i="2"/>
  <c r="CT462" i="2"/>
  <c r="CR463" i="2"/>
  <c r="CS463" i="2"/>
  <c r="CT463" i="2"/>
  <c r="CR464" i="2"/>
  <c r="CS464" i="2"/>
  <c r="CT464" i="2"/>
  <c r="CR465" i="2"/>
  <c r="CS465" i="2"/>
  <c r="CR466" i="2"/>
  <c r="CS466" i="2"/>
  <c r="CT466" i="2"/>
  <c r="CR467" i="2"/>
  <c r="CS467" i="2"/>
  <c r="CT467" i="2"/>
  <c r="CS468" i="2"/>
  <c r="CT468" i="2"/>
  <c r="CS469" i="2"/>
  <c r="CT469" i="2"/>
  <c r="CS470" i="2"/>
  <c r="CS471" i="2"/>
  <c r="CT471" i="2"/>
  <c r="CS472" i="2"/>
  <c r="CT472" i="2"/>
  <c r="CS473" i="2"/>
  <c r="CT473" i="2"/>
  <c r="CS474" i="2"/>
  <c r="CT474" i="2"/>
  <c r="CS475" i="2"/>
  <c r="CT475" i="2"/>
  <c r="CS476" i="2"/>
  <c r="CT476" i="2"/>
  <c r="CS477" i="2"/>
  <c r="CT477" i="2"/>
  <c r="CS478" i="2"/>
  <c r="CT478" i="2"/>
  <c r="CS479" i="2"/>
  <c r="CT479" i="2"/>
  <c r="CS480" i="2"/>
  <c r="CT480" i="2"/>
  <c r="CS481" i="2"/>
  <c r="CT481" i="2"/>
  <c r="CS482" i="2"/>
  <c r="CT482" i="2"/>
  <c r="CS483" i="2"/>
  <c r="CT483" i="2"/>
  <c r="CS484" i="2"/>
  <c r="CT484" i="2"/>
  <c r="CS485" i="2"/>
  <c r="CT485" i="2"/>
  <c r="CS486" i="2"/>
  <c r="CT486" i="2"/>
  <c r="CS487" i="2"/>
  <c r="CT487" i="2"/>
  <c r="CS488" i="2"/>
  <c r="CT488" i="2"/>
  <c r="CS489" i="2"/>
  <c r="CS490" i="2"/>
  <c r="CT490" i="2"/>
  <c r="CS491" i="2"/>
  <c r="CT491" i="2"/>
  <c r="CS492" i="2"/>
  <c r="CT492" i="2"/>
  <c r="CS493" i="2"/>
  <c r="CT493" i="2"/>
  <c r="CS494" i="2"/>
  <c r="CT494" i="2"/>
  <c r="CS496" i="2"/>
  <c r="CT496" i="2"/>
  <c r="CS497" i="2"/>
  <c r="CT497" i="2"/>
  <c r="CS498" i="2"/>
  <c r="CT498" i="2"/>
  <c r="CS499" i="2"/>
  <c r="CT499" i="2"/>
  <c r="DF459" i="2"/>
  <c r="DG459" i="2"/>
  <c r="DH459" i="2"/>
  <c r="DF460" i="2"/>
  <c r="DG460" i="2"/>
  <c r="DH460" i="2"/>
  <c r="DF462" i="2"/>
  <c r="DG462" i="2"/>
  <c r="DH462" i="2"/>
  <c r="DF463" i="2"/>
  <c r="DG463" i="2"/>
  <c r="DH463" i="2"/>
  <c r="DF464" i="2"/>
  <c r="DG464" i="2"/>
  <c r="DH464" i="2"/>
  <c r="DF465" i="2"/>
  <c r="DG465" i="2"/>
  <c r="DH465" i="2"/>
  <c r="DF466" i="2"/>
  <c r="DG466" i="2"/>
  <c r="DH466" i="2"/>
  <c r="DF467" i="2"/>
  <c r="DG467" i="2"/>
  <c r="DH467" i="2"/>
  <c r="DG468" i="2"/>
  <c r="DH468" i="2"/>
  <c r="DG469" i="2"/>
  <c r="DG470" i="2"/>
  <c r="DH470" i="2"/>
  <c r="DG471" i="2"/>
  <c r="DH471" i="2"/>
  <c r="DG472" i="2"/>
  <c r="DH472" i="2"/>
  <c r="DG473" i="2"/>
  <c r="DH473" i="2"/>
  <c r="DG474" i="2"/>
  <c r="DH474" i="2"/>
  <c r="DG475" i="2"/>
  <c r="DH475" i="2"/>
  <c r="DG476" i="2"/>
  <c r="DH476" i="2"/>
  <c r="DG477" i="2"/>
  <c r="DH477" i="2"/>
  <c r="DG478" i="2"/>
  <c r="DH478" i="2"/>
  <c r="DG479" i="2"/>
  <c r="DH479" i="2"/>
  <c r="DG480" i="2"/>
  <c r="DH480" i="2"/>
  <c r="DG481" i="2"/>
  <c r="DG482" i="2"/>
  <c r="DG483" i="2"/>
  <c r="DH483" i="2"/>
  <c r="DG484" i="2"/>
  <c r="DH484" i="2"/>
  <c r="DG485" i="2"/>
  <c r="DH485" i="2"/>
  <c r="DG486" i="2"/>
  <c r="DH486" i="2"/>
  <c r="DG487" i="2"/>
  <c r="DH487" i="2"/>
  <c r="DG488" i="2"/>
  <c r="DH488" i="2"/>
  <c r="DG489" i="2"/>
  <c r="DH489" i="2"/>
  <c r="DG490" i="2"/>
  <c r="DH490" i="2"/>
  <c r="DG491" i="2"/>
  <c r="DH491" i="2"/>
  <c r="DG492" i="2"/>
  <c r="DG493" i="2"/>
  <c r="DG494" i="2"/>
  <c r="DG496" i="2"/>
  <c r="DH496" i="2"/>
  <c r="DG497" i="2"/>
  <c r="DH497" i="2"/>
  <c r="DG498" i="2"/>
  <c r="DG499" i="2"/>
  <c r="DH499" i="2"/>
  <c r="DT459" i="2"/>
  <c r="DU459" i="2"/>
  <c r="DV459" i="2"/>
  <c r="DT460" i="2"/>
  <c r="DU460" i="2"/>
  <c r="DV460" i="2"/>
  <c r="DT462" i="2"/>
  <c r="DU462" i="2"/>
  <c r="DV462" i="2"/>
  <c r="DT463" i="2"/>
  <c r="DU463" i="2"/>
  <c r="DV463" i="2"/>
  <c r="DT464" i="2"/>
  <c r="DU464" i="2"/>
  <c r="DV464" i="2"/>
  <c r="DT465" i="2"/>
  <c r="DU465" i="2"/>
  <c r="DV465" i="2"/>
  <c r="DT466" i="2"/>
  <c r="DU466" i="2"/>
  <c r="DV466" i="2"/>
  <c r="DT467" i="2"/>
  <c r="DU467" i="2"/>
  <c r="DV467" i="2"/>
  <c r="DU468" i="2"/>
  <c r="DU469" i="2"/>
  <c r="DV469" i="2"/>
  <c r="DU470" i="2"/>
  <c r="DV470" i="2"/>
  <c r="DU471" i="2"/>
  <c r="DV471" i="2"/>
  <c r="DU472" i="2"/>
  <c r="DV472" i="2"/>
  <c r="DU473" i="2"/>
  <c r="DV473" i="2"/>
  <c r="DU474" i="2"/>
  <c r="DU475" i="2"/>
  <c r="DV475" i="2"/>
  <c r="DU476" i="2"/>
  <c r="DV476" i="2"/>
  <c r="DU477" i="2"/>
  <c r="DU478" i="2"/>
  <c r="DU479" i="2"/>
  <c r="DV479" i="2"/>
  <c r="DU480" i="2"/>
  <c r="DV480" i="2"/>
  <c r="DU481" i="2"/>
  <c r="DV481" i="2"/>
  <c r="DU482" i="2"/>
  <c r="DU483" i="2"/>
  <c r="DV483" i="2"/>
  <c r="DU484" i="2"/>
  <c r="DV484" i="2"/>
  <c r="DU485" i="2"/>
  <c r="DV485" i="2"/>
  <c r="DU486" i="2"/>
  <c r="DU487" i="2"/>
  <c r="DV487" i="2"/>
  <c r="DU488" i="2"/>
  <c r="DV488" i="2"/>
  <c r="DU489" i="2"/>
  <c r="DU490" i="2"/>
  <c r="DU491" i="2"/>
  <c r="DU492" i="2"/>
  <c r="DU493" i="2"/>
  <c r="DV493" i="2"/>
  <c r="DU494" i="2"/>
  <c r="DV494" i="2"/>
  <c r="DU496" i="2"/>
  <c r="DV496" i="2"/>
  <c r="DU497" i="2"/>
  <c r="DV497" i="2"/>
  <c r="DU498" i="2"/>
  <c r="DV498" i="2"/>
  <c r="DU499" i="2"/>
  <c r="DV499" i="2"/>
  <c r="D525" i="2"/>
  <c r="D526" i="2"/>
  <c r="D527" i="2"/>
  <c r="K528" i="2"/>
  <c r="L528" i="2"/>
  <c r="D529" i="2"/>
  <c r="D530" i="2"/>
  <c r="D531" i="2"/>
  <c r="K532" i="2"/>
  <c r="L532" i="2"/>
  <c r="D533" i="2"/>
  <c r="D537" i="2"/>
  <c r="D541" i="2"/>
  <c r="D545" i="2"/>
  <c r="D549" i="2"/>
  <c r="D553" i="2"/>
  <c r="D569" i="2"/>
  <c r="K569" i="2"/>
  <c r="D534" i="2"/>
  <c r="D535" i="2"/>
  <c r="R534" i="2"/>
  <c r="R535" i="2"/>
  <c r="R536" i="2"/>
  <c r="AF533" i="2"/>
  <c r="AF534" i="2"/>
  <c r="AF535" i="2"/>
  <c r="AF536" i="2"/>
  <c r="AT533" i="2"/>
  <c r="AT534" i="2"/>
  <c r="AT535" i="2"/>
  <c r="AT536" i="2"/>
  <c r="BW524" i="2"/>
  <c r="CK524" i="2"/>
  <c r="CY524" i="2"/>
  <c r="DM524" i="2"/>
  <c r="D538" i="2"/>
  <c r="D539" i="2"/>
  <c r="D542" i="2"/>
  <c r="D543" i="2"/>
  <c r="R542" i="2"/>
  <c r="R543" i="2"/>
  <c r="R544" i="2"/>
  <c r="AF541" i="2"/>
  <c r="AM541" i="2"/>
  <c r="AF542" i="2"/>
  <c r="AF543" i="2"/>
  <c r="AF544" i="2"/>
  <c r="AT541" i="2"/>
  <c r="AT542" i="2"/>
  <c r="AT543" i="2"/>
  <c r="AT544" i="2"/>
  <c r="BW526" i="2"/>
  <c r="CK526" i="2"/>
  <c r="CY526" i="2"/>
  <c r="DM526" i="2"/>
  <c r="D546" i="2"/>
  <c r="D547" i="2"/>
  <c r="D550" i="2"/>
  <c r="D551" i="2"/>
  <c r="D554" i="2"/>
  <c r="D555" i="2"/>
  <c r="D570" i="2"/>
  <c r="K570" i="2"/>
  <c r="D571" i="2"/>
  <c r="K571" i="2"/>
  <c r="R526" i="2"/>
  <c r="R527" i="2"/>
  <c r="R531" i="2"/>
  <c r="R528" i="2"/>
  <c r="Y525" i="2"/>
  <c r="Y529" i="2"/>
  <c r="Y533" i="2"/>
  <c r="R530" i="2"/>
  <c r="R532" i="2"/>
  <c r="Y528" i="2"/>
  <c r="R539" i="2"/>
  <c r="R547" i="2"/>
  <c r="R551" i="2"/>
  <c r="R555" i="2"/>
  <c r="R571" i="2"/>
  <c r="Y571" i="2"/>
  <c r="R538" i="2"/>
  <c r="R540" i="2"/>
  <c r="R545" i="2"/>
  <c r="R548" i="2"/>
  <c r="R550" i="2"/>
  <c r="R552" i="2"/>
  <c r="R554" i="2"/>
  <c r="R556" i="2"/>
  <c r="Y569" i="2"/>
  <c r="R570" i="2"/>
  <c r="Y570" i="2"/>
  <c r="R572" i="2"/>
  <c r="Y572" i="2"/>
  <c r="AF525" i="2"/>
  <c r="AM525" i="2"/>
  <c r="AF526" i="2"/>
  <c r="AM526" i="2"/>
  <c r="AF527" i="2"/>
  <c r="AF528" i="2"/>
  <c r="AF529" i="2"/>
  <c r="AF530" i="2"/>
  <c r="AF531" i="2"/>
  <c r="AF532" i="2"/>
  <c r="AF540" i="2"/>
  <c r="AF548" i="2"/>
  <c r="AM548" i="2"/>
  <c r="AF552" i="2"/>
  <c r="AF556" i="2"/>
  <c r="AF572" i="2"/>
  <c r="AF538" i="2"/>
  <c r="AF546" i="2"/>
  <c r="AF550" i="2"/>
  <c r="AF554" i="2"/>
  <c r="AF570" i="2"/>
  <c r="AM570" i="2"/>
  <c r="AF537" i="2"/>
  <c r="AF539" i="2"/>
  <c r="AF545" i="2"/>
  <c r="AM545" i="2"/>
  <c r="AF547" i="2"/>
  <c r="AF549" i="2"/>
  <c r="AF551" i="2"/>
  <c r="AF553" i="2"/>
  <c r="AF555" i="2"/>
  <c r="AF569" i="2"/>
  <c r="AM569" i="2"/>
  <c r="AF571" i="2"/>
  <c r="AM571" i="2"/>
  <c r="AM572" i="2"/>
  <c r="AT525" i="2"/>
  <c r="AT526" i="2"/>
  <c r="BA526" i="2"/>
  <c r="AT527" i="2"/>
  <c r="AT528" i="2"/>
  <c r="AT529" i="2"/>
  <c r="AT530" i="2"/>
  <c r="AT531" i="2"/>
  <c r="AT532" i="2"/>
  <c r="AT539" i="2"/>
  <c r="AT547" i="2"/>
  <c r="AT551" i="2"/>
  <c r="AT555" i="2"/>
  <c r="AT571" i="2"/>
  <c r="AT537" i="2"/>
  <c r="AT538" i="2"/>
  <c r="AT540" i="2"/>
  <c r="AT545" i="2"/>
  <c r="AT546" i="2"/>
  <c r="AT548" i="2"/>
  <c r="AT549" i="2"/>
  <c r="AT550" i="2"/>
  <c r="AT552" i="2"/>
  <c r="AT553" i="2"/>
  <c r="AT554" i="2"/>
  <c r="AT556" i="2"/>
  <c r="AT569" i="2"/>
  <c r="BA569" i="2"/>
  <c r="AT570" i="2"/>
  <c r="BA570" i="2"/>
  <c r="BA571" i="2"/>
  <c r="AT572" i="2"/>
  <c r="BA572" i="2"/>
  <c r="BW522" i="2"/>
  <c r="BW523" i="2"/>
  <c r="BW525" i="2"/>
  <c r="BW527" i="2"/>
  <c r="BW528" i="2"/>
  <c r="BW529" i="2"/>
  <c r="BW533" i="2"/>
  <c r="BW534" i="2"/>
  <c r="BW542" i="2"/>
  <c r="BW543" i="2"/>
  <c r="BW544" i="2"/>
  <c r="BW545" i="2"/>
  <c r="BW546" i="2"/>
  <c r="BW547" i="2"/>
  <c r="BW548" i="2"/>
  <c r="BW549" i="2"/>
  <c r="BW550" i="2"/>
  <c r="BW551" i="2"/>
  <c r="BW552" i="2"/>
  <c r="BW553" i="2"/>
  <c r="BW554" i="2"/>
  <c r="BW555" i="2"/>
  <c r="BW556" i="2"/>
  <c r="BW557" i="2"/>
  <c r="BW558" i="2"/>
  <c r="BW559" i="2"/>
  <c r="BW560" i="2"/>
  <c r="BW561" i="2"/>
  <c r="BW562" i="2"/>
  <c r="BW563" i="2"/>
  <c r="BW564" i="2"/>
  <c r="BW565" i="2"/>
  <c r="BW566" i="2"/>
  <c r="BW567" i="2"/>
  <c r="BW568" i="2"/>
  <c r="BW570" i="2"/>
  <c r="BW571" i="2"/>
  <c r="BW572" i="2"/>
  <c r="CK522" i="2"/>
  <c r="CK523" i="2"/>
  <c r="CK525" i="2"/>
  <c r="CK527" i="2"/>
  <c r="CK528" i="2"/>
  <c r="CK529" i="2"/>
  <c r="CK533" i="2"/>
  <c r="CK534" i="2"/>
  <c r="CK542" i="2"/>
  <c r="CK543" i="2"/>
  <c r="CK544" i="2"/>
  <c r="CK545" i="2"/>
  <c r="CK546" i="2"/>
  <c r="CK547" i="2"/>
  <c r="CK548" i="2"/>
  <c r="CK549" i="2"/>
  <c r="CK550" i="2"/>
  <c r="CK551" i="2"/>
  <c r="CK552" i="2"/>
  <c r="CK553" i="2"/>
  <c r="CK554" i="2"/>
  <c r="CK555" i="2"/>
  <c r="CK556" i="2"/>
  <c r="CK557" i="2"/>
  <c r="CK558" i="2"/>
  <c r="CK559" i="2"/>
  <c r="CK560" i="2"/>
  <c r="CK561" i="2"/>
  <c r="CK562" i="2"/>
  <c r="CK563" i="2"/>
  <c r="CK564" i="2"/>
  <c r="CK565" i="2"/>
  <c r="CK566" i="2"/>
  <c r="CK567" i="2"/>
  <c r="CK568" i="2"/>
  <c r="CK570" i="2"/>
  <c r="CK571" i="2"/>
  <c r="CK572" i="2"/>
  <c r="CY522" i="2"/>
  <c r="DF522" i="2"/>
  <c r="DC522" i="2"/>
  <c r="CY523" i="2"/>
  <c r="CY525" i="2"/>
  <c r="CY527" i="2"/>
  <c r="CY528" i="2"/>
  <c r="CY529" i="2"/>
  <c r="CY533" i="2"/>
  <c r="CY534" i="2"/>
  <c r="CY542" i="2"/>
  <c r="CY543" i="2"/>
  <c r="CY544" i="2"/>
  <c r="CY545" i="2"/>
  <c r="CY546" i="2"/>
  <c r="CY547" i="2"/>
  <c r="CY548" i="2"/>
  <c r="CY549" i="2"/>
  <c r="CY550" i="2"/>
  <c r="CY551" i="2"/>
  <c r="CY552" i="2"/>
  <c r="CY553" i="2"/>
  <c r="CY554" i="2"/>
  <c r="CY555" i="2"/>
  <c r="CY556" i="2"/>
  <c r="CY557" i="2"/>
  <c r="CY558" i="2"/>
  <c r="CY559" i="2"/>
  <c r="CY560" i="2"/>
  <c r="CY561" i="2"/>
  <c r="CY562" i="2"/>
  <c r="CY563" i="2"/>
  <c r="CY564" i="2"/>
  <c r="CY565" i="2"/>
  <c r="CY566" i="2"/>
  <c r="CY567" i="2"/>
  <c r="CY568" i="2"/>
  <c r="CY570" i="2"/>
  <c r="CY571" i="2"/>
  <c r="CY572" i="2"/>
  <c r="DM522" i="2"/>
  <c r="DM523" i="2"/>
  <c r="DM525" i="2"/>
  <c r="DM527" i="2"/>
  <c r="DM528" i="2"/>
  <c r="DM529" i="2"/>
  <c r="DM533" i="2"/>
  <c r="DM534" i="2"/>
  <c r="DM542" i="2"/>
  <c r="DM543" i="2"/>
  <c r="DM544" i="2"/>
  <c r="DM545" i="2"/>
  <c r="DM546" i="2"/>
  <c r="DM547" i="2"/>
  <c r="DM548" i="2"/>
  <c r="DM549" i="2"/>
  <c r="DM550" i="2"/>
  <c r="DM551" i="2"/>
  <c r="DM552" i="2"/>
  <c r="DM553" i="2"/>
  <c r="DM554" i="2"/>
  <c r="DM555" i="2"/>
  <c r="DM556" i="2"/>
  <c r="DM557" i="2"/>
  <c r="DM558" i="2"/>
  <c r="DM559" i="2"/>
  <c r="DM560" i="2"/>
  <c r="DM561" i="2"/>
  <c r="DM562" i="2"/>
  <c r="DM563" i="2"/>
  <c r="DM564" i="2"/>
  <c r="DM565" i="2"/>
  <c r="DM566" i="2"/>
  <c r="DM567" i="2"/>
  <c r="DM568" i="2"/>
  <c r="DM570" i="2"/>
  <c r="DM571" i="2"/>
  <c r="DM572" i="2"/>
  <c r="BU449" i="2"/>
  <c r="BY449" i="2"/>
  <c r="CI449" i="2"/>
  <c r="CW449" i="2"/>
  <c r="DK449" i="2"/>
  <c r="BU450" i="2"/>
  <c r="BY450" i="2"/>
  <c r="CI450" i="2"/>
  <c r="CW450" i="2"/>
  <c r="DK450" i="2"/>
  <c r="BU451" i="2"/>
  <c r="BY451" i="2"/>
  <c r="CI451" i="2"/>
  <c r="CW451" i="2"/>
  <c r="DK451" i="2"/>
  <c r="BU452" i="2"/>
  <c r="BY452" i="2"/>
  <c r="CI452" i="2"/>
  <c r="CW452" i="2"/>
  <c r="DK452" i="2"/>
  <c r="BU453" i="2"/>
  <c r="BY453" i="2"/>
  <c r="CI453" i="2"/>
  <c r="CW453" i="2"/>
  <c r="DK453" i="2"/>
  <c r="BY454" i="2"/>
  <c r="CI454" i="2"/>
  <c r="CW454" i="2"/>
  <c r="DK454" i="2"/>
  <c r="F455" i="2"/>
  <c r="P455" i="2"/>
  <c r="AD455" i="2"/>
  <c r="AR455" i="2"/>
  <c r="BU455" i="2"/>
  <c r="BY455" i="2"/>
  <c r="CI455" i="2"/>
  <c r="CW455" i="2"/>
  <c r="DK455" i="2"/>
  <c r="F456" i="2"/>
  <c r="BU456" i="2"/>
  <c r="BY456" i="2"/>
  <c r="CI456" i="2"/>
  <c r="CW456" i="2"/>
  <c r="DK456" i="2"/>
  <c r="F457" i="2"/>
  <c r="BU457" i="2"/>
  <c r="F458" i="2"/>
  <c r="BU458" i="2"/>
  <c r="BY458" i="2"/>
  <c r="CA458" i="2"/>
  <c r="CI458" i="2"/>
  <c r="CW458" i="2"/>
  <c r="DK458" i="2"/>
  <c r="F459" i="2"/>
  <c r="P459" i="2"/>
  <c r="AD459" i="2"/>
  <c r="AR459" i="2"/>
  <c r="BU459" i="2"/>
  <c r="BY459" i="2"/>
  <c r="CA459" i="2"/>
  <c r="CI459" i="2"/>
  <c r="CM459" i="2"/>
  <c r="CO459" i="2"/>
  <c r="CW459" i="2"/>
  <c r="DA459" i="2"/>
  <c r="DC459" i="2"/>
  <c r="DK459" i="2"/>
  <c r="DO459" i="2"/>
  <c r="DQ459" i="2"/>
  <c r="F460" i="2"/>
  <c r="BU460" i="2"/>
  <c r="BY460" i="2"/>
  <c r="CA460" i="2"/>
  <c r="CI460" i="2"/>
  <c r="CM460" i="2"/>
  <c r="CO460" i="2"/>
  <c r="CW460" i="2"/>
  <c r="DA460" i="2"/>
  <c r="DC460" i="2"/>
  <c r="DK460" i="2"/>
  <c r="DO460" i="2"/>
  <c r="DQ460" i="2"/>
  <c r="F461" i="2"/>
  <c r="CF461" i="2"/>
  <c r="CT461" i="2"/>
  <c r="F462" i="2"/>
  <c r="BY462" i="2"/>
  <c r="CA462" i="2"/>
  <c r="CM462" i="2"/>
  <c r="CO462" i="2"/>
  <c r="DA462" i="2"/>
  <c r="DC462" i="2"/>
  <c r="DO462" i="2"/>
  <c r="DQ462" i="2"/>
  <c r="F463" i="2"/>
  <c r="P463" i="2"/>
  <c r="AD463" i="2"/>
  <c r="AR463" i="2"/>
  <c r="BY463" i="2"/>
  <c r="CA463" i="2"/>
  <c r="CM463" i="2"/>
  <c r="CO463" i="2"/>
  <c r="DA463" i="2"/>
  <c r="DC463" i="2"/>
  <c r="DO463" i="2"/>
  <c r="DQ463" i="2"/>
  <c r="F464" i="2"/>
  <c r="BY464" i="2"/>
  <c r="CA464" i="2"/>
  <c r="CM464" i="2"/>
  <c r="CO464" i="2"/>
  <c r="DA464" i="2"/>
  <c r="DC464" i="2"/>
  <c r="DO464" i="2"/>
  <c r="DQ464" i="2"/>
  <c r="F465" i="2"/>
  <c r="BY465" i="2"/>
  <c r="CA465" i="2"/>
  <c r="CM465" i="2"/>
  <c r="CO465" i="2"/>
  <c r="CT465" i="2"/>
  <c r="DA465" i="2"/>
  <c r="DC465" i="2"/>
  <c r="DO465" i="2"/>
  <c r="DQ465" i="2"/>
  <c r="F466" i="2"/>
  <c r="BY466" i="2"/>
  <c r="CA466" i="2"/>
  <c r="CM466" i="2"/>
  <c r="CO466" i="2"/>
  <c r="DA466" i="2"/>
  <c r="DC466" i="2"/>
  <c r="DO466" i="2"/>
  <c r="DQ466" i="2"/>
  <c r="F467" i="2"/>
  <c r="J467" i="2"/>
  <c r="J471" i="2"/>
  <c r="J475" i="2"/>
  <c r="J479" i="2"/>
  <c r="J483" i="2"/>
  <c r="P467" i="2"/>
  <c r="AD467" i="2"/>
  <c r="AR467" i="2"/>
  <c r="BY467" i="2"/>
  <c r="CA467" i="2"/>
  <c r="CM467" i="2"/>
  <c r="CO467" i="2"/>
  <c r="DA467" i="2"/>
  <c r="DC467" i="2"/>
  <c r="DO467" i="2"/>
  <c r="DQ467" i="2"/>
  <c r="F468" i="2"/>
  <c r="BY468" i="2"/>
  <c r="CA468" i="2"/>
  <c r="CM468" i="2"/>
  <c r="CO468" i="2"/>
  <c r="DA468" i="2"/>
  <c r="DC468" i="2"/>
  <c r="DO468" i="2"/>
  <c r="DQ468" i="2"/>
  <c r="DV468" i="2"/>
  <c r="F469" i="2"/>
  <c r="BY469" i="2"/>
  <c r="CA469" i="2"/>
  <c r="CM469" i="2"/>
  <c r="CO469" i="2"/>
  <c r="DA469" i="2"/>
  <c r="DC469" i="2"/>
  <c r="DH469" i="2"/>
  <c r="DO469" i="2"/>
  <c r="DQ469" i="2"/>
  <c r="F470" i="2"/>
  <c r="CA470" i="2"/>
  <c r="CO470" i="2"/>
  <c r="CT470" i="2"/>
  <c r="DC470" i="2"/>
  <c r="DQ470" i="2"/>
  <c r="F471" i="2"/>
  <c r="P471" i="2"/>
  <c r="AD471" i="2"/>
  <c r="AR471" i="2"/>
  <c r="BY471" i="2"/>
  <c r="CA471" i="2"/>
  <c r="CM471" i="2"/>
  <c r="CO471" i="2"/>
  <c r="DA471" i="2"/>
  <c r="DC471" i="2"/>
  <c r="DO471" i="2"/>
  <c r="DQ471" i="2"/>
  <c r="F472" i="2"/>
  <c r="P472" i="2"/>
  <c r="AD472" i="2"/>
  <c r="AR472" i="2"/>
  <c r="BY472" i="2"/>
  <c r="CA472" i="2"/>
  <c r="CF472" i="2"/>
  <c r="CM472" i="2"/>
  <c r="CO472" i="2"/>
  <c r="DA472" i="2"/>
  <c r="DC472" i="2"/>
  <c r="DO472" i="2"/>
  <c r="DQ472" i="2"/>
  <c r="F473" i="2"/>
  <c r="CA473" i="2"/>
  <c r="CO473" i="2"/>
  <c r="DC473" i="2"/>
  <c r="DQ473" i="2"/>
  <c r="F474" i="2"/>
  <c r="CA474" i="2"/>
  <c r="CO474" i="2"/>
  <c r="DC474" i="2"/>
  <c r="DQ474" i="2"/>
  <c r="DV474" i="2"/>
  <c r="F475" i="2"/>
  <c r="P475" i="2"/>
  <c r="AD475" i="2"/>
  <c r="AR475" i="2"/>
  <c r="CA475" i="2"/>
  <c r="CO475" i="2"/>
  <c r="DC475" i="2"/>
  <c r="DQ475" i="2"/>
  <c r="F476" i="2"/>
  <c r="CA476" i="2"/>
  <c r="CO476" i="2"/>
  <c r="DC476" i="2"/>
  <c r="DQ476" i="2"/>
  <c r="F477" i="2"/>
  <c r="CA477" i="2"/>
  <c r="CO477" i="2"/>
  <c r="DC477" i="2"/>
  <c r="DQ477" i="2"/>
  <c r="DV477" i="2"/>
  <c r="F478" i="2"/>
  <c r="CA478" i="2"/>
  <c r="CO478" i="2"/>
  <c r="DC478" i="2"/>
  <c r="DQ478" i="2"/>
  <c r="DV478" i="2"/>
  <c r="F479" i="2"/>
  <c r="P479" i="2"/>
  <c r="AD479" i="2"/>
  <c r="AR479" i="2"/>
  <c r="CA479" i="2"/>
  <c r="CO479" i="2"/>
  <c r="DC479" i="2"/>
  <c r="DQ479" i="2"/>
  <c r="F480" i="2"/>
  <c r="J480" i="2"/>
  <c r="J484" i="2"/>
  <c r="CA480" i="2"/>
  <c r="CO480" i="2"/>
  <c r="DC480" i="2"/>
  <c r="DQ480" i="2"/>
  <c r="F481" i="2"/>
  <c r="CA481" i="2"/>
  <c r="CO481" i="2"/>
  <c r="DC481" i="2"/>
  <c r="DH481" i="2"/>
  <c r="DQ481" i="2"/>
  <c r="F482" i="2"/>
  <c r="CA482" i="2"/>
  <c r="CO482" i="2"/>
  <c r="DC482" i="2"/>
  <c r="DH482" i="2"/>
  <c r="DQ482" i="2"/>
  <c r="DV482" i="2"/>
  <c r="F483" i="2"/>
  <c r="P483" i="2"/>
  <c r="AD483" i="2"/>
  <c r="AR483" i="2"/>
  <c r="CA483" i="2"/>
  <c r="CF483" i="2"/>
  <c r="CO483" i="2"/>
  <c r="DC483" i="2"/>
  <c r="DQ483" i="2"/>
  <c r="F484" i="2"/>
  <c r="CA484" i="2"/>
  <c r="CF484" i="2"/>
  <c r="CO484" i="2"/>
  <c r="DC484" i="2"/>
  <c r="DQ484" i="2"/>
  <c r="F485" i="2"/>
  <c r="CA485" i="2"/>
  <c r="CF485" i="2"/>
  <c r="CO485" i="2"/>
  <c r="DC485" i="2"/>
  <c r="DQ485" i="2"/>
  <c r="F486" i="2"/>
  <c r="CA486" i="2"/>
  <c r="CO486" i="2"/>
  <c r="DC486" i="2"/>
  <c r="DQ486" i="2"/>
  <c r="DV486" i="2"/>
  <c r="CA487" i="2"/>
  <c r="CO487" i="2"/>
  <c r="DC487" i="2"/>
  <c r="DQ487" i="2"/>
  <c r="CA488" i="2"/>
  <c r="CO488" i="2"/>
  <c r="DC488" i="2"/>
  <c r="DQ488" i="2"/>
  <c r="CA489" i="2"/>
  <c r="CO489" i="2"/>
  <c r="CT489" i="2"/>
  <c r="DC489" i="2"/>
  <c r="DQ489" i="2"/>
  <c r="DV489" i="2"/>
  <c r="CA490" i="2"/>
  <c r="CO490" i="2"/>
  <c r="DC490" i="2"/>
  <c r="DQ490" i="2"/>
  <c r="DV490" i="2"/>
  <c r="F491" i="2"/>
  <c r="J491" i="2"/>
  <c r="P491" i="2"/>
  <c r="AD491" i="2"/>
  <c r="AR491" i="2"/>
  <c r="CA491" i="2"/>
  <c r="CO491" i="2"/>
  <c r="DC491" i="2"/>
  <c r="DQ491" i="2"/>
  <c r="DV491" i="2"/>
  <c r="F492" i="2"/>
  <c r="J492" i="2"/>
  <c r="CA492" i="2"/>
  <c r="CO492" i="2"/>
  <c r="DC492" i="2"/>
  <c r="DH492" i="2"/>
  <c r="DQ492" i="2"/>
  <c r="DV492" i="2"/>
  <c r="F493" i="2"/>
  <c r="J493" i="2"/>
  <c r="K493" i="2"/>
  <c r="CA493" i="2"/>
  <c r="CO493" i="2"/>
  <c r="DC493" i="2"/>
  <c r="DH493" i="2"/>
  <c r="DQ493" i="2"/>
  <c r="F494" i="2"/>
  <c r="J494" i="2"/>
  <c r="CA494" i="2"/>
  <c r="CO494" i="2"/>
  <c r="DC494" i="2"/>
  <c r="DH494" i="2"/>
  <c r="DQ494" i="2"/>
  <c r="F495" i="2"/>
  <c r="J495" i="2"/>
  <c r="P495" i="2"/>
  <c r="T495" i="2"/>
  <c r="X495" i="2"/>
  <c r="AA495" i="2"/>
  <c r="AD495" i="2"/>
  <c r="AH495" i="2"/>
  <c r="AL495" i="2"/>
  <c r="AR495" i="2"/>
  <c r="AV495" i="2"/>
  <c r="AZ495" i="2"/>
  <c r="F496" i="2"/>
  <c r="J496" i="2"/>
  <c r="T496" i="2"/>
  <c r="X496" i="2"/>
  <c r="Y496" i="2"/>
  <c r="AH496" i="2"/>
  <c r="AL496" i="2"/>
  <c r="AV496" i="2"/>
  <c r="AZ496" i="2"/>
  <c r="CA496" i="2"/>
  <c r="CO496" i="2"/>
  <c r="DC496" i="2"/>
  <c r="DQ496" i="2"/>
  <c r="F497" i="2"/>
  <c r="J497" i="2"/>
  <c r="M497" i="2"/>
  <c r="T497" i="2"/>
  <c r="X497" i="2"/>
  <c r="AH497" i="2"/>
  <c r="AL497" i="2"/>
  <c r="AV497" i="2"/>
  <c r="AZ497" i="2"/>
  <c r="BA497" i="2"/>
  <c r="BC497" i="2"/>
  <c r="CA497" i="2"/>
  <c r="CO497" i="2"/>
  <c r="DC497" i="2"/>
  <c r="DQ497" i="2"/>
  <c r="F498" i="2"/>
  <c r="J498" i="2"/>
  <c r="T498" i="2"/>
  <c r="X498" i="2"/>
  <c r="Y498" i="2"/>
  <c r="AH498" i="2"/>
  <c r="AL498" i="2"/>
  <c r="AO498" i="2"/>
  <c r="AV498" i="2"/>
  <c r="AZ498" i="2"/>
  <c r="BA498" i="2"/>
  <c r="CA498" i="2"/>
  <c r="CO498" i="2"/>
  <c r="DC498" i="2"/>
  <c r="DH498" i="2"/>
  <c r="DQ498" i="2"/>
  <c r="CA499" i="2"/>
  <c r="CF499" i="2"/>
  <c r="CO499" i="2"/>
  <c r="DC499" i="2"/>
  <c r="DQ499" i="2"/>
  <c r="A578" i="2"/>
  <c r="AJ558" i="2"/>
  <c r="B569" i="2"/>
  <c r="BA549" i="2"/>
  <c r="BB549" i="2"/>
  <c r="BC549" i="2"/>
  <c r="K572" i="2"/>
  <c r="H533" i="2"/>
  <c r="H537" i="2"/>
  <c r="H541" i="2"/>
  <c r="H545" i="2"/>
  <c r="H549" i="2"/>
  <c r="H553" i="2"/>
  <c r="H557" i="2"/>
  <c r="L569" i="2"/>
  <c r="H534" i="2"/>
  <c r="K526" i="2"/>
  <c r="K530" i="2"/>
  <c r="H538" i="2"/>
  <c r="H542" i="2"/>
  <c r="H546" i="2"/>
  <c r="H550" i="2"/>
  <c r="H554" i="2"/>
  <c r="H558" i="2"/>
  <c r="L570" i="2"/>
  <c r="H539" i="2"/>
  <c r="H543" i="2"/>
  <c r="H547" i="2"/>
  <c r="H551" i="2"/>
  <c r="H555" i="2"/>
  <c r="H559" i="2"/>
  <c r="L571" i="2"/>
  <c r="H536" i="2"/>
  <c r="L572" i="2"/>
  <c r="H529" i="2"/>
  <c r="H530" i="2"/>
  <c r="H531" i="2"/>
  <c r="K527" i="2"/>
  <c r="V535" i="2"/>
  <c r="V539" i="2"/>
  <c r="V543" i="2"/>
  <c r="V547" i="2"/>
  <c r="V551" i="2"/>
  <c r="V555" i="2"/>
  <c r="V559" i="2"/>
  <c r="Z571" i="2"/>
  <c r="V536" i="2"/>
  <c r="V540" i="2"/>
  <c r="V544" i="2"/>
  <c r="V548" i="2"/>
  <c r="V552" i="2"/>
  <c r="V556" i="2"/>
  <c r="V560" i="2"/>
  <c r="Z572" i="2"/>
  <c r="V533" i="2"/>
  <c r="V529" i="2"/>
  <c r="V537" i="2"/>
  <c r="V541" i="2"/>
  <c r="V545" i="2"/>
  <c r="V549" i="2"/>
  <c r="V553" i="2"/>
  <c r="V557" i="2"/>
  <c r="Z569" i="2"/>
  <c r="V534" i="2"/>
  <c r="Y526" i="2"/>
  <c r="Y530" i="2"/>
  <c r="V526" i="2"/>
  <c r="V586" i="2"/>
  <c r="V538" i="2"/>
  <c r="V542" i="2"/>
  <c r="V546" i="2"/>
  <c r="V550" i="2"/>
  <c r="V554" i="2"/>
  <c r="V558" i="2"/>
  <c r="Z570" i="2"/>
  <c r="AX533" i="2"/>
  <c r="AX537" i="2"/>
  <c r="AX541" i="2"/>
  <c r="AX545" i="2"/>
  <c r="AX549" i="2"/>
  <c r="AX553" i="2"/>
  <c r="AX557" i="2"/>
  <c r="BB569" i="2"/>
  <c r="AX534" i="2"/>
  <c r="AX538" i="2"/>
  <c r="AX542" i="2"/>
  <c r="AX546" i="2"/>
  <c r="AX550" i="2"/>
  <c r="AX554" i="2"/>
  <c r="AX558" i="2"/>
  <c r="BB570" i="2"/>
  <c r="AX535" i="2"/>
  <c r="AX539" i="2"/>
  <c r="AX543" i="2"/>
  <c r="AX547" i="2"/>
  <c r="AX551" i="2"/>
  <c r="AX555" i="2"/>
  <c r="AX559" i="2"/>
  <c r="BB571" i="2"/>
  <c r="AX536" i="2"/>
  <c r="AX528" i="2"/>
  <c r="AX540" i="2"/>
  <c r="AX544" i="2"/>
  <c r="AX548" i="2"/>
  <c r="AX552" i="2"/>
  <c r="AX556" i="2"/>
  <c r="AX560" i="2"/>
  <c r="BB572" i="2"/>
  <c r="AJ533" i="2"/>
  <c r="AJ537" i="2"/>
  <c r="AN537" i="2"/>
  <c r="AJ541" i="2"/>
  <c r="AJ545" i="2"/>
  <c r="AJ549" i="2"/>
  <c r="AJ553" i="2"/>
  <c r="AJ557" i="2"/>
  <c r="AN569" i="2"/>
  <c r="AJ534" i="2"/>
  <c r="AJ538" i="2"/>
  <c r="AJ542" i="2"/>
  <c r="AJ546" i="2"/>
  <c r="AJ550" i="2"/>
  <c r="AJ554" i="2"/>
  <c r="AN570" i="2"/>
  <c r="AJ535" i="2"/>
  <c r="AJ539" i="2"/>
  <c r="AJ543" i="2"/>
  <c r="AJ547" i="2"/>
  <c r="AJ551" i="2"/>
  <c r="AJ555" i="2"/>
  <c r="AJ559" i="2"/>
  <c r="AN571" i="2"/>
  <c r="AJ536" i="2"/>
  <c r="AJ540" i="2"/>
  <c r="AJ544" i="2"/>
  <c r="AJ548" i="2"/>
  <c r="AJ552" i="2"/>
  <c r="AJ556" i="2"/>
  <c r="AJ560" i="2"/>
  <c r="AN572" i="2"/>
  <c r="DO523" i="2"/>
  <c r="DQ523" i="2"/>
  <c r="DU523" i="2"/>
  <c r="DV523" i="2"/>
  <c r="DT522" i="2"/>
  <c r="DT523" i="2"/>
  <c r="DO524" i="2"/>
  <c r="DQ524" i="2"/>
  <c r="DO525" i="2"/>
  <c r="DQ525" i="2"/>
  <c r="DO526" i="2"/>
  <c r="DQ526" i="2"/>
  <c r="DO527" i="2"/>
  <c r="DQ527" i="2"/>
  <c r="DO528" i="2"/>
  <c r="DQ528" i="2"/>
  <c r="DO529" i="2"/>
  <c r="DQ529" i="2"/>
  <c r="DO530" i="2"/>
  <c r="DQ530" i="2"/>
  <c r="DO533" i="2"/>
  <c r="DQ533" i="2"/>
  <c r="DT533" i="2"/>
  <c r="DU533" i="2"/>
  <c r="DV533" i="2"/>
  <c r="DA523" i="2"/>
  <c r="DC523" i="2"/>
  <c r="DA524" i="2"/>
  <c r="DC524" i="2"/>
  <c r="DA525" i="2"/>
  <c r="DC525" i="2"/>
  <c r="DA526" i="2"/>
  <c r="DC526" i="2"/>
  <c r="DA527" i="2"/>
  <c r="DC527" i="2"/>
  <c r="DA528" i="2"/>
  <c r="DC528" i="2"/>
  <c r="DA529" i="2"/>
  <c r="DC529" i="2"/>
  <c r="DA530" i="2"/>
  <c r="DC530" i="2"/>
  <c r="DA533" i="2"/>
  <c r="DC533" i="2"/>
  <c r="DF533" i="2"/>
  <c r="DG533" i="2"/>
  <c r="DH533" i="2"/>
  <c r="CM523" i="2"/>
  <c r="CO523" i="2"/>
  <c r="CR522" i="2"/>
  <c r="CM524" i="2"/>
  <c r="CO524" i="2"/>
  <c r="CM525" i="2"/>
  <c r="CO525" i="2"/>
  <c r="CM526" i="2"/>
  <c r="CO526" i="2"/>
  <c r="CM527" i="2"/>
  <c r="CO527" i="2"/>
  <c r="CM528" i="2"/>
  <c r="CO528" i="2"/>
  <c r="CM529" i="2"/>
  <c r="CO529" i="2"/>
  <c r="CM530" i="2"/>
  <c r="CO530" i="2"/>
  <c r="CM533" i="2"/>
  <c r="CO533" i="2"/>
  <c r="CR533" i="2"/>
  <c r="CS533" i="2"/>
  <c r="CT533" i="2"/>
  <c r="AV529" i="2"/>
  <c r="AX529" i="2"/>
  <c r="AZ525" i="2"/>
  <c r="AZ529" i="2"/>
  <c r="AZ533" i="2"/>
  <c r="AZ537" i="2"/>
  <c r="AZ541" i="2"/>
  <c r="AV530" i="2"/>
  <c r="AX530" i="2"/>
  <c r="AZ526" i="2"/>
  <c r="AZ530" i="2"/>
  <c r="AZ534" i="2"/>
  <c r="AV531" i="2"/>
  <c r="AX531" i="2"/>
  <c r="AZ527" i="2"/>
  <c r="AZ531" i="2"/>
  <c r="AZ535" i="2"/>
  <c r="AZ539" i="2"/>
  <c r="AZ543" i="2"/>
  <c r="AZ547" i="2"/>
  <c r="BA527" i="2"/>
  <c r="BB527" i="2"/>
  <c r="BC527" i="2"/>
  <c r="AV532" i="2"/>
  <c r="AX532" i="2"/>
  <c r="AZ528" i="2"/>
  <c r="AZ532" i="2"/>
  <c r="AZ536" i="2"/>
  <c r="AZ540" i="2"/>
  <c r="AZ544" i="2"/>
  <c r="AZ548" i="2"/>
  <c r="AZ552" i="2"/>
  <c r="AZ556" i="2"/>
  <c r="AZ560" i="2"/>
  <c r="AV533" i="2"/>
  <c r="AV534" i="2"/>
  <c r="AV535" i="2"/>
  <c r="AV536" i="2"/>
  <c r="AV537" i="2"/>
  <c r="AV538" i="2"/>
  <c r="AZ538" i="2"/>
  <c r="AZ542" i="2"/>
  <c r="AZ546" i="2"/>
  <c r="AZ550" i="2"/>
  <c r="AZ554" i="2"/>
  <c r="AZ558" i="2"/>
  <c r="AV539" i="2"/>
  <c r="AZ551" i="2"/>
  <c r="AZ555" i="2"/>
  <c r="AZ559" i="2"/>
  <c r="AV540" i="2"/>
  <c r="AV541" i="2"/>
  <c r="AV542" i="2"/>
  <c r="AV543" i="2"/>
  <c r="AV544" i="2"/>
  <c r="AV545" i="2"/>
  <c r="AV546" i="2"/>
  <c r="AV547" i="2"/>
  <c r="AV548" i="2"/>
  <c r="AV549" i="2"/>
  <c r="AZ549" i="2"/>
  <c r="AZ553" i="2"/>
  <c r="AZ557" i="2"/>
  <c r="AV550" i="2"/>
  <c r="AV551" i="2"/>
  <c r="AV552" i="2"/>
  <c r="AV553" i="2"/>
  <c r="AV554" i="2"/>
  <c r="AV555" i="2"/>
  <c r="AV556" i="2"/>
  <c r="AV557" i="2"/>
  <c r="AV558" i="2"/>
  <c r="AV559" i="2"/>
  <c r="AV560" i="2"/>
  <c r="AH529" i="2"/>
  <c r="AJ529" i="2"/>
  <c r="AL525" i="2"/>
  <c r="AL529" i="2"/>
  <c r="AH530" i="2"/>
  <c r="AJ530" i="2"/>
  <c r="AL526" i="2"/>
  <c r="AL530" i="2"/>
  <c r="AL534" i="2"/>
  <c r="AL538" i="2"/>
  <c r="AL542" i="2"/>
  <c r="AL546" i="2"/>
  <c r="AL550" i="2"/>
  <c r="AL554" i="2"/>
  <c r="AL558" i="2"/>
  <c r="AH531" i="2"/>
  <c r="AJ531" i="2"/>
  <c r="AL527" i="2"/>
  <c r="AL531" i="2"/>
  <c r="AL535" i="2"/>
  <c r="AL539" i="2"/>
  <c r="AL543" i="2"/>
  <c r="AL547" i="2"/>
  <c r="AL551" i="2"/>
  <c r="AL555" i="2"/>
  <c r="AL559" i="2"/>
  <c r="AH532" i="2"/>
  <c r="AJ532" i="2"/>
  <c r="AL528" i="2"/>
  <c r="AL532" i="2"/>
  <c r="AL536" i="2"/>
  <c r="AL540" i="2"/>
  <c r="AM528" i="2"/>
  <c r="AH533" i="2"/>
  <c r="AH534" i="2"/>
  <c r="AH535" i="2"/>
  <c r="AH536" i="2"/>
  <c r="AH537" i="2"/>
  <c r="AH538" i="2"/>
  <c r="AH539" i="2"/>
  <c r="AH540" i="2"/>
  <c r="AH541" i="2"/>
  <c r="AL541" i="2"/>
  <c r="AL545" i="2"/>
  <c r="AL549" i="2"/>
  <c r="AL553" i="2"/>
  <c r="AL557" i="2"/>
  <c r="AH542" i="2"/>
  <c r="AH543" i="2"/>
  <c r="AH544" i="2"/>
  <c r="AH545" i="2"/>
  <c r="AH546" i="2"/>
  <c r="AH547" i="2"/>
  <c r="AH548" i="2"/>
  <c r="AL548" i="2"/>
  <c r="AL552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L560" i="2"/>
  <c r="T529" i="2"/>
  <c r="T530" i="2"/>
  <c r="V530" i="2"/>
  <c r="X526" i="2"/>
  <c r="X530" i="2"/>
  <c r="X534" i="2"/>
  <c r="T531" i="2"/>
  <c r="V531" i="2"/>
  <c r="T532" i="2"/>
  <c r="V532" i="2"/>
  <c r="X528" i="2"/>
  <c r="X532" i="2"/>
  <c r="X536" i="2"/>
  <c r="X540" i="2"/>
  <c r="X544" i="2"/>
  <c r="X548" i="2"/>
  <c r="X552" i="2"/>
  <c r="X556" i="2"/>
  <c r="X560" i="2"/>
  <c r="T533" i="2"/>
  <c r="X525" i="2"/>
  <c r="X529" i="2"/>
  <c r="X533" i="2"/>
  <c r="X537" i="2"/>
  <c r="X541" i="2"/>
  <c r="X545" i="2"/>
  <c r="X549" i="2"/>
  <c r="X553" i="2"/>
  <c r="X557" i="2"/>
  <c r="T534" i="2"/>
  <c r="T535" i="2"/>
  <c r="T536" i="2"/>
  <c r="T537" i="2"/>
  <c r="T538" i="2"/>
  <c r="T539" i="2"/>
  <c r="T540" i="2"/>
  <c r="T541" i="2"/>
  <c r="T542" i="2"/>
  <c r="X542" i="2"/>
  <c r="X546" i="2"/>
  <c r="X550" i="2"/>
  <c r="X554" i="2"/>
  <c r="X558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DQ522" i="2"/>
  <c r="DU522" i="2"/>
  <c r="DO522" i="2"/>
  <c r="DA522" i="2"/>
  <c r="CM522" i="2"/>
  <c r="CO522" i="2"/>
  <c r="BY522" i="2"/>
  <c r="CA522" i="2"/>
  <c r="CD522" i="2"/>
  <c r="CE522" i="2"/>
  <c r="AV525" i="2"/>
  <c r="AX525" i="2"/>
  <c r="AV526" i="2"/>
  <c r="AX526" i="2"/>
  <c r="AV527" i="2"/>
  <c r="AX527" i="2"/>
  <c r="AV528" i="2"/>
  <c r="AH525" i="2"/>
  <c r="AJ525" i="2"/>
  <c r="AH526" i="2"/>
  <c r="AJ526" i="2"/>
  <c r="AH527" i="2"/>
  <c r="AJ527" i="2"/>
  <c r="AM527" i="2"/>
  <c r="AH528" i="2"/>
  <c r="AJ528" i="2"/>
  <c r="T525" i="2"/>
  <c r="V525" i="2"/>
  <c r="T526" i="2"/>
  <c r="T527" i="2"/>
  <c r="V527" i="2"/>
  <c r="X527" i="2"/>
  <c r="X531" i="2"/>
  <c r="X535" i="2"/>
  <c r="X539" i="2"/>
  <c r="X543" i="2"/>
  <c r="X547" i="2"/>
  <c r="X551" i="2"/>
  <c r="X555" i="2"/>
  <c r="X559" i="2"/>
  <c r="T528" i="2"/>
  <c r="V528" i="2"/>
  <c r="F525" i="2"/>
  <c r="H525" i="2"/>
  <c r="J525" i="2"/>
  <c r="J529" i="2"/>
  <c r="J533" i="2"/>
  <c r="J537" i="2"/>
  <c r="J541" i="2"/>
  <c r="J545" i="2"/>
  <c r="J549" i="2"/>
  <c r="J553" i="2"/>
  <c r="J557" i="2"/>
  <c r="F526" i="2"/>
  <c r="H526" i="2"/>
  <c r="J526" i="2"/>
  <c r="J530" i="2"/>
  <c r="J534" i="2"/>
  <c r="J538" i="2"/>
  <c r="J542" i="2"/>
  <c r="J546" i="2"/>
  <c r="J550" i="2"/>
  <c r="J554" i="2"/>
  <c r="J558" i="2"/>
  <c r="F527" i="2"/>
  <c r="H527" i="2"/>
  <c r="J527" i="2"/>
  <c r="J531" i="2"/>
  <c r="J535" i="2"/>
  <c r="J539" i="2"/>
  <c r="J543" i="2"/>
  <c r="J547" i="2"/>
  <c r="J551" i="2"/>
  <c r="J555" i="2"/>
  <c r="J559" i="2"/>
  <c r="F528" i="2"/>
  <c r="J528" i="2"/>
  <c r="J532" i="2"/>
  <c r="J536" i="2"/>
  <c r="J540" i="2"/>
  <c r="J544" i="2"/>
  <c r="J548" i="2"/>
  <c r="J552" i="2"/>
  <c r="J556" i="2"/>
  <c r="J560" i="2"/>
  <c r="H569" i="2"/>
  <c r="M569" i="2"/>
  <c r="J585" i="2"/>
  <c r="K585" i="2"/>
  <c r="V569" i="2"/>
  <c r="AA569" i="2"/>
  <c r="X585" i="2"/>
  <c r="Y585" i="2"/>
  <c r="AJ569" i="2"/>
  <c r="AO569" i="2"/>
  <c r="AL585" i="2"/>
  <c r="AM585" i="2"/>
  <c r="AX569" i="2"/>
  <c r="BC569" i="2"/>
  <c r="AZ585" i="2"/>
  <c r="BA585" i="2"/>
  <c r="H570" i="2"/>
  <c r="M570" i="2"/>
  <c r="J586" i="2"/>
  <c r="K586" i="2"/>
  <c r="V570" i="2"/>
  <c r="AA570" i="2"/>
  <c r="X586" i="2"/>
  <c r="Y586" i="2"/>
  <c r="AJ570" i="2"/>
  <c r="AO570" i="2"/>
  <c r="AL586" i="2"/>
  <c r="AM586" i="2"/>
  <c r="AX570" i="2"/>
  <c r="AZ586" i="2"/>
  <c r="BA586" i="2"/>
  <c r="H571" i="2"/>
  <c r="J587" i="2"/>
  <c r="K587" i="2"/>
  <c r="V571" i="2"/>
  <c r="X587" i="2"/>
  <c r="Y587" i="2"/>
  <c r="AJ571" i="2"/>
  <c r="AL587" i="2"/>
  <c r="AM587" i="2"/>
  <c r="AX571" i="2"/>
  <c r="AZ587" i="2"/>
  <c r="BA587" i="2"/>
  <c r="J588" i="2"/>
  <c r="K588" i="2"/>
  <c r="V572" i="2"/>
  <c r="AA572" i="2"/>
  <c r="X588" i="2"/>
  <c r="Y588" i="2"/>
  <c r="AJ572" i="2"/>
  <c r="AO572" i="2"/>
  <c r="AL588" i="2"/>
  <c r="AM588" i="2"/>
  <c r="AX572" i="2"/>
  <c r="BC572" i="2"/>
  <c r="AZ588" i="2"/>
  <c r="BA588" i="2"/>
  <c r="BU522" i="2"/>
  <c r="CI522" i="2"/>
  <c r="CW522" i="2"/>
  <c r="DK522" i="2"/>
  <c r="BU523" i="2"/>
  <c r="BY523" i="2"/>
  <c r="CA523" i="2"/>
  <c r="CD523" i="2"/>
  <c r="CI523" i="2"/>
  <c r="CW523" i="2"/>
  <c r="DK523" i="2"/>
  <c r="BU524" i="2"/>
  <c r="BY524" i="2"/>
  <c r="CA524" i="2"/>
  <c r="CI524" i="2"/>
  <c r="CW524" i="2"/>
  <c r="DK524" i="2"/>
  <c r="P525" i="2"/>
  <c r="AD525" i="2"/>
  <c r="AR525" i="2"/>
  <c r="BU525" i="2"/>
  <c r="BY525" i="2"/>
  <c r="CA525" i="2"/>
  <c r="CI525" i="2"/>
  <c r="CW525" i="2"/>
  <c r="DK525" i="2"/>
  <c r="BU526" i="2"/>
  <c r="BY526" i="2"/>
  <c r="CA526" i="2"/>
  <c r="CI526" i="2"/>
  <c r="CW526" i="2"/>
  <c r="DK526" i="2"/>
  <c r="BU527" i="2"/>
  <c r="BY527" i="2"/>
  <c r="CA527" i="2"/>
  <c r="CI527" i="2"/>
  <c r="CW527" i="2"/>
  <c r="DK527" i="2"/>
  <c r="BY528" i="2"/>
  <c r="CA528" i="2"/>
  <c r="CI528" i="2"/>
  <c r="CW528" i="2"/>
  <c r="DK528" i="2"/>
  <c r="F529" i="2"/>
  <c r="P529" i="2"/>
  <c r="AD529" i="2"/>
  <c r="AR529" i="2"/>
  <c r="BU529" i="2"/>
  <c r="BY529" i="2"/>
  <c r="CA529" i="2"/>
  <c r="CI529" i="2"/>
  <c r="CW529" i="2"/>
  <c r="DK529" i="2"/>
  <c r="F530" i="2"/>
  <c r="BU530" i="2"/>
  <c r="BY530" i="2"/>
  <c r="CA530" i="2"/>
  <c r="CI530" i="2"/>
  <c r="CW530" i="2"/>
  <c r="DK530" i="2"/>
  <c r="F531" i="2"/>
  <c r="BU531" i="2"/>
  <c r="F532" i="2"/>
  <c r="BU532" i="2"/>
  <c r="F533" i="2"/>
  <c r="P533" i="2"/>
  <c r="AD533" i="2"/>
  <c r="AR533" i="2"/>
  <c r="BU533" i="2"/>
  <c r="BY533" i="2"/>
  <c r="CA533" i="2"/>
  <c r="CD533" i="2"/>
  <c r="CE533" i="2"/>
  <c r="CF533" i="2"/>
  <c r="CI533" i="2"/>
  <c r="CW533" i="2"/>
  <c r="DK533" i="2"/>
  <c r="F534" i="2"/>
  <c r="BU534" i="2"/>
  <c r="BY534" i="2"/>
  <c r="CA534" i="2"/>
  <c r="CD534" i="2"/>
  <c r="CE534" i="2"/>
  <c r="CF534" i="2"/>
  <c r="CI534" i="2"/>
  <c r="CM534" i="2"/>
  <c r="CO534" i="2"/>
  <c r="CR534" i="2"/>
  <c r="CS534" i="2"/>
  <c r="CT534" i="2"/>
  <c r="CW534" i="2"/>
  <c r="DA534" i="2"/>
  <c r="DC534" i="2"/>
  <c r="DF534" i="2"/>
  <c r="DG534" i="2"/>
  <c r="DH534" i="2"/>
  <c r="DK534" i="2"/>
  <c r="DO534" i="2"/>
  <c r="DQ534" i="2"/>
  <c r="DT534" i="2"/>
  <c r="DU534" i="2"/>
  <c r="DV534" i="2"/>
  <c r="F535" i="2"/>
  <c r="F536" i="2"/>
  <c r="F537" i="2"/>
  <c r="P537" i="2"/>
  <c r="AD537" i="2"/>
  <c r="AR537" i="2"/>
  <c r="F538" i="2"/>
  <c r="F539" i="2"/>
  <c r="F540" i="2"/>
  <c r="F541" i="2"/>
  <c r="P541" i="2"/>
  <c r="AD541" i="2"/>
  <c r="AR541" i="2"/>
  <c r="F542" i="2"/>
  <c r="BY542" i="2"/>
  <c r="CA542" i="2"/>
  <c r="CE542" i="2"/>
  <c r="CF542" i="2"/>
  <c r="CM542" i="2"/>
  <c r="CO542" i="2"/>
  <c r="CS542" i="2"/>
  <c r="CT542" i="2"/>
  <c r="DA542" i="2"/>
  <c r="DC542" i="2"/>
  <c r="DG542" i="2"/>
  <c r="DH542" i="2"/>
  <c r="DO542" i="2"/>
  <c r="DQ542" i="2"/>
  <c r="DU542" i="2"/>
  <c r="DV542" i="2"/>
  <c r="F543" i="2"/>
  <c r="BY543" i="2"/>
  <c r="CA543" i="2"/>
  <c r="CE543" i="2"/>
  <c r="CF543" i="2"/>
  <c r="CM543" i="2"/>
  <c r="CO543" i="2"/>
  <c r="CS543" i="2"/>
  <c r="CT543" i="2"/>
  <c r="DA543" i="2"/>
  <c r="DC543" i="2"/>
  <c r="DG543" i="2"/>
  <c r="DH543" i="2"/>
  <c r="DO543" i="2"/>
  <c r="DQ543" i="2"/>
  <c r="DU543" i="2"/>
  <c r="DV543" i="2"/>
  <c r="F544" i="2"/>
  <c r="CA544" i="2"/>
  <c r="CE544" i="2"/>
  <c r="CF544" i="2"/>
  <c r="CO544" i="2"/>
  <c r="CS544" i="2"/>
  <c r="CT544" i="2"/>
  <c r="DC544" i="2"/>
  <c r="DG544" i="2"/>
  <c r="DH544" i="2"/>
  <c r="DQ544" i="2"/>
  <c r="DU544" i="2"/>
  <c r="DV544" i="2"/>
  <c r="F545" i="2"/>
  <c r="P545" i="2"/>
  <c r="AD545" i="2"/>
  <c r="AR545" i="2"/>
  <c r="BY545" i="2"/>
  <c r="CA545" i="2"/>
  <c r="CE545" i="2"/>
  <c r="CF545" i="2"/>
  <c r="CM545" i="2"/>
  <c r="CO545" i="2"/>
  <c r="CS545" i="2"/>
  <c r="CT545" i="2"/>
  <c r="DA545" i="2"/>
  <c r="DC545" i="2"/>
  <c r="DG545" i="2"/>
  <c r="DH545" i="2"/>
  <c r="DO545" i="2"/>
  <c r="DQ545" i="2"/>
  <c r="DU545" i="2"/>
  <c r="DV545" i="2"/>
  <c r="F546" i="2"/>
  <c r="P546" i="2"/>
  <c r="AD546" i="2"/>
  <c r="AR546" i="2"/>
  <c r="BY546" i="2"/>
  <c r="CA546" i="2"/>
  <c r="CE546" i="2"/>
  <c r="CF546" i="2"/>
  <c r="CM546" i="2"/>
  <c r="CO546" i="2"/>
  <c r="CS546" i="2"/>
  <c r="CT546" i="2"/>
  <c r="DA546" i="2"/>
  <c r="DC546" i="2"/>
  <c r="DG546" i="2"/>
  <c r="DH546" i="2"/>
  <c r="DO546" i="2"/>
  <c r="DQ546" i="2"/>
  <c r="DU546" i="2"/>
  <c r="DV546" i="2"/>
  <c r="F547" i="2"/>
  <c r="CA547" i="2"/>
  <c r="CE547" i="2"/>
  <c r="CF547" i="2"/>
  <c r="CO547" i="2"/>
  <c r="CS547" i="2"/>
  <c r="CT547" i="2"/>
  <c r="DC547" i="2"/>
  <c r="DG547" i="2"/>
  <c r="DH547" i="2"/>
  <c r="DQ547" i="2"/>
  <c r="DU547" i="2"/>
  <c r="DV547" i="2"/>
  <c r="F548" i="2"/>
  <c r="CA548" i="2"/>
  <c r="CE548" i="2"/>
  <c r="CF548" i="2"/>
  <c r="CO548" i="2"/>
  <c r="CS548" i="2"/>
  <c r="CT548" i="2"/>
  <c r="DC548" i="2"/>
  <c r="DG548" i="2"/>
  <c r="DH548" i="2"/>
  <c r="DQ548" i="2"/>
  <c r="DU548" i="2"/>
  <c r="DV548" i="2"/>
  <c r="F549" i="2"/>
  <c r="P549" i="2"/>
  <c r="AD549" i="2"/>
  <c r="AR549" i="2"/>
  <c r="CA549" i="2"/>
  <c r="CE549" i="2"/>
  <c r="CF549" i="2"/>
  <c r="CO549" i="2"/>
  <c r="CS549" i="2"/>
  <c r="CT549" i="2"/>
  <c r="DC549" i="2"/>
  <c r="DG549" i="2"/>
  <c r="DH549" i="2"/>
  <c r="DQ549" i="2"/>
  <c r="DU549" i="2"/>
  <c r="DV549" i="2"/>
  <c r="F550" i="2"/>
  <c r="CA550" i="2"/>
  <c r="CE550" i="2"/>
  <c r="CF550" i="2"/>
  <c r="CO550" i="2"/>
  <c r="CS550" i="2"/>
  <c r="CT550" i="2"/>
  <c r="DC550" i="2"/>
  <c r="DG550" i="2"/>
  <c r="DH550" i="2"/>
  <c r="DQ550" i="2"/>
  <c r="DU550" i="2"/>
  <c r="DV550" i="2"/>
  <c r="F551" i="2"/>
  <c r="CA551" i="2"/>
  <c r="CE551" i="2"/>
  <c r="CF551" i="2"/>
  <c r="CO551" i="2"/>
  <c r="CS551" i="2"/>
  <c r="CT551" i="2"/>
  <c r="DC551" i="2"/>
  <c r="DG551" i="2"/>
  <c r="DH551" i="2"/>
  <c r="DQ551" i="2"/>
  <c r="DU551" i="2"/>
  <c r="DV551" i="2"/>
  <c r="F552" i="2"/>
  <c r="CA552" i="2"/>
  <c r="CE552" i="2"/>
  <c r="CF552" i="2"/>
  <c r="CO552" i="2"/>
  <c r="CS552" i="2"/>
  <c r="CT552" i="2"/>
  <c r="DC552" i="2"/>
  <c r="DG552" i="2"/>
  <c r="DH552" i="2"/>
  <c r="DQ552" i="2"/>
  <c r="DU552" i="2"/>
  <c r="DV552" i="2"/>
  <c r="F553" i="2"/>
  <c r="P553" i="2"/>
  <c r="AD553" i="2"/>
  <c r="AR553" i="2"/>
  <c r="CA553" i="2"/>
  <c r="CE553" i="2"/>
  <c r="CF553" i="2"/>
  <c r="CO553" i="2"/>
  <c r="CS553" i="2"/>
  <c r="CT553" i="2"/>
  <c r="DC553" i="2"/>
  <c r="DG553" i="2"/>
  <c r="DH553" i="2"/>
  <c r="DQ553" i="2"/>
  <c r="DU553" i="2"/>
  <c r="DV553" i="2"/>
  <c r="F554" i="2"/>
  <c r="CA554" i="2"/>
  <c r="CE554" i="2"/>
  <c r="CF554" i="2"/>
  <c r="CO554" i="2"/>
  <c r="CS554" i="2"/>
  <c r="CT554" i="2"/>
  <c r="DC554" i="2"/>
  <c r="DG554" i="2"/>
  <c r="DH554" i="2"/>
  <c r="DQ554" i="2"/>
  <c r="DU554" i="2"/>
  <c r="DV554" i="2"/>
  <c r="F555" i="2"/>
  <c r="CA555" i="2"/>
  <c r="CE555" i="2"/>
  <c r="CF555" i="2"/>
  <c r="CO555" i="2"/>
  <c r="CS555" i="2"/>
  <c r="CT555" i="2"/>
  <c r="DC555" i="2"/>
  <c r="DG555" i="2"/>
  <c r="DH555" i="2"/>
  <c r="DQ555" i="2"/>
  <c r="DU555" i="2"/>
  <c r="DV555" i="2"/>
  <c r="F556" i="2"/>
  <c r="CA556" i="2"/>
  <c r="CE556" i="2"/>
  <c r="CF556" i="2"/>
  <c r="CO556" i="2"/>
  <c r="CS556" i="2"/>
  <c r="CT556" i="2"/>
  <c r="DC556" i="2"/>
  <c r="DG556" i="2"/>
  <c r="DH556" i="2"/>
  <c r="DQ556" i="2"/>
  <c r="DU556" i="2"/>
  <c r="DV556" i="2"/>
  <c r="F557" i="2"/>
  <c r="P557" i="2"/>
  <c r="AD557" i="2"/>
  <c r="AR557" i="2"/>
  <c r="CA557" i="2"/>
  <c r="CE557" i="2"/>
  <c r="CF557" i="2"/>
  <c r="CO557" i="2"/>
  <c r="CS557" i="2"/>
  <c r="CT557" i="2"/>
  <c r="DC557" i="2"/>
  <c r="DG557" i="2"/>
  <c r="DH557" i="2"/>
  <c r="DQ557" i="2"/>
  <c r="DU557" i="2"/>
  <c r="DV557" i="2"/>
  <c r="F558" i="2"/>
  <c r="CA558" i="2"/>
  <c r="CE558" i="2"/>
  <c r="CF558" i="2"/>
  <c r="CO558" i="2"/>
  <c r="CS558" i="2"/>
  <c r="CT558" i="2"/>
  <c r="DC558" i="2"/>
  <c r="DG558" i="2"/>
  <c r="DH558" i="2"/>
  <c r="DQ558" i="2"/>
  <c r="DU558" i="2"/>
  <c r="DV558" i="2"/>
  <c r="F559" i="2"/>
  <c r="CA559" i="2"/>
  <c r="CE559" i="2"/>
  <c r="CF559" i="2"/>
  <c r="CO559" i="2"/>
  <c r="CS559" i="2"/>
  <c r="CT559" i="2"/>
  <c r="DC559" i="2"/>
  <c r="DG559" i="2"/>
  <c r="DH559" i="2"/>
  <c r="DQ559" i="2"/>
  <c r="DU559" i="2"/>
  <c r="DV559" i="2"/>
  <c r="F560" i="2"/>
  <c r="CA560" i="2"/>
  <c r="CE560" i="2"/>
  <c r="CF560" i="2"/>
  <c r="CO560" i="2"/>
  <c r="CS560" i="2"/>
  <c r="CT560" i="2"/>
  <c r="DC560" i="2"/>
  <c r="DG560" i="2"/>
  <c r="DH560" i="2"/>
  <c r="DQ560" i="2"/>
  <c r="DU560" i="2"/>
  <c r="DV560" i="2"/>
  <c r="CA561" i="2"/>
  <c r="CE561" i="2"/>
  <c r="CF561" i="2"/>
  <c r="CO561" i="2"/>
  <c r="CS561" i="2"/>
  <c r="CT561" i="2"/>
  <c r="DC561" i="2"/>
  <c r="DG561" i="2"/>
  <c r="DH561" i="2"/>
  <c r="DQ561" i="2"/>
  <c r="DU561" i="2"/>
  <c r="DV561" i="2"/>
  <c r="CA562" i="2"/>
  <c r="CE562" i="2"/>
  <c r="CF562" i="2"/>
  <c r="CO562" i="2"/>
  <c r="CS562" i="2"/>
  <c r="CT562" i="2"/>
  <c r="DC562" i="2"/>
  <c r="DG562" i="2"/>
  <c r="DH562" i="2"/>
  <c r="DQ562" i="2"/>
  <c r="DU562" i="2"/>
  <c r="DV562" i="2"/>
  <c r="CA563" i="2"/>
  <c r="CE563" i="2"/>
  <c r="CF563" i="2"/>
  <c r="CO563" i="2"/>
  <c r="CS563" i="2"/>
  <c r="CT563" i="2"/>
  <c r="DC563" i="2"/>
  <c r="DG563" i="2"/>
  <c r="DH563" i="2"/>
  <c r="DQ563" i="2"/>
  <c r="DU563" i="2"/>
  <c r="DV563" i="2"/>
  <c r="CA564" i="2"/>
  <c r="CE564" i="2"/>
  <c r="CF564" i="2"/>
  <c r="CO564" i="2"/>
  <c r="CS564" i="2"/>
  <c r="CT564" i="2"/>
  <c r="DC564" i="2"/>
  <c r="DG564" i="2"/>
  <c r="DH564" i="2"/>
  <c r="DQ564" i="2"/>
  <c r="DU564" i="2"/>
  <c r="DV564" i="2"/>
  <c r="CA565" i="2"/>
  <c r="CE565" i="2"/>
  <c r="CF565" i="2"/>
  <c r="CO565" i="2"/>
  <c r="CS565" i="2"/>
  <c r="CT565" i="2"/>
  <c r="DC565" i="2"/>
  <c r="DG565" i="2"/>
  <c r="DH565" i="2"/>
  <c r="DQ565" i="2"/>
  <c r="DU565" i="2"/>
  <c r="DV565" i="2"/>
  <c r="CA566" i="2"/>
  <c r="CE566" i="2"/>
  <c r="CF566" i="2"/>
  <c r="CO566" i="2"/>
  <c r="CS566" i="2"/>
  <c r="CT566" i="2"/>
  <c r="DC566" i="2"/>
  <c r="DG566" i="2"/>
  <c r="DH566" i="2"/>
  <c r="DQ566" i="2"/>
  <c r="DU566" i="2"/>
  <c r="DV566" i="2"/>
  <c r="CA567" i="2"/>
  <c r="CE567" i="2"/>
  <c r="CF567" i="2"/>
  <c r="CO567" i="2"/>
  <c r="CS567" i="2"/>
  <c r="CT567" i="2"/>
  <c r="DC567" i="2"/>
  <c r="DG567" i="2"/>
  <c r="DH567" i="2"/>
  <c r="DQ567" i="2"/>
  <c r="DU567" i="2"/>
  <c r="DV567" i="2"/>
  <c r="CA568" i="2"/>
  <c r="CE568" i="2"/>
  <c r="CF568" i="2"/>
  <c r="CO568" i="2"/>
  <c r="CS568" i="2"/>
  <c r="CT568" i="2"/>
  <c r="DC568" i="2"/>
  <c r="DG568" i="2"/>
  <c r="DH568" i="2"/>
  <c r="DQ568" i="2"/>
  <c r="DU568" i="2"/>
  <c r="DV568" i="2"/>
  <c r="F569" i="2"/>
  <c r="J569" i="2"/>
  <c r="P569" i="2"/>
  <c r="T569" i="2"/>
  <c r="X569" i="2"/>
  <c r="AD569" i="2"/>
  <c r="AH569" i="2"/>
  <c r="AL569" i="2"/>
  <c r="AR569" i="2"/>
  <c r="AV569" i="2"/>
  <c r="AZ569" i="2"/>
  <c r="F570" i="2"/>
  <c r="J570" i="2"/>
  <c r="T570" i="2"/>
  <c r="X570" i="2"/>
  <c r="AH570" i="2"/>
  <c r="AL570" i="2"/>
  <c r="AV570" i="2"/>
  <c r="AZ570" i="2"/>
  <c r="BC570" i="2"/>
  <c r="CA570" i="2"/>
  <c r="CE570" i="2"/>
  <c r="CF570" i="2"/>
  <c r="CO570" i="2"/>
  <c r="CS570" i="2"/>
  <c r="CT570" i="2"/>
  <c r="DC570" i="2"/>
  <c r="DG570" i="2"/>
  <c r="DH570" i="2"/>
  <c r="DQ570" i="2"/>
  <c r="DU570" i="2"/>
  <c r="DV570" i="2"/>
  <c r="F571" i="2"/>
  <c r="J571" i="2"/>
  <c r="M571" i="2"/>
  <c r="T571" i="2"/>
  <c r="X571" i="2"/>
  <c r="AA571" i="2"/>
  <c r="AH571" i="2"/>
  <c r="AL571" i="2"/>
  <c r="AO571" i="2"/>
  <c r="AV571" i="2"/>
  <c r="AZ571" i="2"/>
  <c r="BC571" i="2"/>
  <c r="CA571" i="2"/>
  <c r="CE571" i="2"/>
  <c r="CF571" i="2"/>
  <c r="CO571" i="2"/>
  <c r="CS571" i="2"/>
  <c r="CT571" i="2"/>
  <c r="DC571" i="2"/>
  <c r="DG571" i="2"/>
  <c r="DH571" i="2"/>
  <c r="DQ571" i="2"/>
  <c r="DU571" i="2"/>
  <c r="DV571" i="2"/>
  <c r="F572" i="2"/>
  <c r="J572" i="2"/>
  <c r="T572" i="2"/>
  <c r="X572" i="2"/>
  <c r="AH572" i="2"/>
  <c r="AL572" i="2"/>
  <c r="AV572" i="2"/>
  <c r="AZ572" i="2"/>
  <c r="CA572" i="2"/>
  <c r="CE572" i="2"/>
  <c r="CF572" i="2"/>
  <c r="CO572" i="2"/>
  <c r="CS572" i="2"/>
  <c r="CT572" i="2"/>
  <c r="DC572" i="2"/>
  <c r="DG572" i="2"/>
  <c r="DH572" i="2"/>
  <c r="DQ572" i="2"/>
  <c r="DU572" i="2"/>
  <c r="DV572" i="2"/>
  <c r="CA573" i="2"/>
  <c r="CE573" i="2"/>
  <c r="CF573" i="2"/>
  <c r="CO573" i="2"/>
  <c r="CS573" i="2"/>
  <c r="CT573" i="2"/>
  <c r="DC573" i="2"/>
  <c r="DG573" i="2"/>
  <c r="DH573" i="2"/>
  <c r="DQ573" i="2"/>
  <c r="DU573" i="2"/>
  <c r="DV573" i="2"/>
  <c r="D599" i="2"/>
  <c r="H599" i="2"/>
  <c r="D600" i="2"/>
  <c r="D601" i="2"/>
  <c r="K601" i="2"/>
  <c r="D602" i="2"/>
  <c r="D603" i="2"/>
  <c r="D607" i="2"/>
  <c r="D604" i="2"/>
  <c r="D605" i="2"/>
  <c r="D606" i="2"/>
  <c r="D608" i="2"/>
  <c r="D609" i="2"/>
  <c r="D610" i="2"/>
  <c r="D611" i="2"/>
  <c r="D612" i="2"/>
  <c r="D613" i="2"/>
  <c r="D614" i="2"/>
  <c r="D615" i="2"/>
  <c r="D616" i="2"/>
  <c r="K616" i="2"/>
  <c r="L616" i="2"/>
  <c r="D620" i="2"/>
  <c r="D624" i="2"/>
  <c r="H624" i="2"/>
  <c r="D617" i="2"/>
  <c r="D618" i="2"/>
  <c r="D619" i="2"/>
  <c r="D621" i="2"/>
  <c r="D622" i="2"/>
  <c r="D623" i="2"/>
  <c r="D625" i="2"/>
  <c r="B623" i="2"/>
  <c r="D626" i="2"/>
  <c r="D627" i="2"/>
  <c r="D628" i="2"/>
  <c r="D629" i="2"/>
  <c r="D630" i="2"/>
  <c r="D643" i="2"/>
  <c r="K643" i="2"/>
  <c r="D644" i="2"/>
  <c r="K644" i="2"/>
  <c r="D645" i="2"/>
  <c r="D646" i="2"/>
  <c r="K646" i="2"/>
  <c r="R599" i="2"/>
  <c r="Y599" i="2"/>
  <c r="R600" i="2"/>
  <c r="R601" i="2"/>
  <c r="R602" i="2"/>
  <c r="Y602" i="2"/>
  <c r="Z602" i="2"/>
  <c r="R603" i="2"/>
  <c r="R604" i="2"/>
  <c r="R605" i="2"/>
  <c r="R606" i="2"/>
  <c r="R607" i="2"/>
  <c r="Y607" i="2"/>
  <c r="R608" i="2"/>
  <c r="R609" i="2"/>
  <c r="R610" i="2"/>
  <c r="R611" i="2"/>
  <c r="R612" i="2"/>
  <c r="R613" i="2"/>
  <c r="R614" i="2"/>
  <c r="R615" i="2"/>
  <c r="R616" i="2"/>
  <c r="Y616" i="2"/>
  <c r="V616" i="2"/>
  <c r="R617" i="2"/>
  <c r="R618" i="2"/>
  <c r="R619" i="2"/>
  <c r="R620" i="2"/>
  <c r="R624" i="2"/>
  <c r="R628" i="2"/>
  <c r="R621" i="2"/>
  <c r="R622" i="2"/>
  <c r="R623" i="2"/>
  <c r="AA623" i="2"/>
  <c r="R625" i="2"/>
  <c r="Y625" i="2"/>
  <c r="Y629" i="2"/>
  <c r="Z629" i="2"/>
  <c r="AA629" i="2"/>
  <c r="R626" i="2"/>
  <c r="R627" i="2"/>
  <c r="Y627" i="2"/>
  <c r="R629" i="2"/>
  <c r="R630" i="2"/>
  <c r="R643" i="2"/>
  <c r="Y643" i="2"/>
  <c r="R644" i="2"/>
  <c r="Y644" i="2"/>
  <c r="R645" i="2"/>
  <c r="R646" i="2"/>
  <c r="Y646" i="2"/>
  <c r="AF599" i="2"/>
  <c r="AF600" i="2"/>
  <c r="AF601" i="2"/>
  <c r="AF602" i="2"/>
  <c r="AM602" i="2"/>
  <c r="AF606" i="2"/>
  <c r="AJ606" i="2"/>
  <c r="AF603" i="2"/>
  <c r="AF604" i="2"/>
  <c r="AF605" i="2"/>
  <c r="AF607" i="2"/>
  <c r="AF608" i="2"/>
  <c r="AF609" i="2"/>
  <c r="AF610" i="2"/>
  <c r="AF611" i="2"/>
  <c r="AF612" i="2"/>
  <c r="AF613" i="2"/>
  <c r="AF614" i="2"/>
  <c r="AF615" i="2"/>
  <c r="AF616" i="2"/>
  <c r="AM616" i="2"/>
  <c r="AM620" i="2"/>
  <c r="AN620" i="2"/>
  <c r="AO620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43" i="2"/>
  <c r="AM643" i="2"/>
  <c r="AF644" i="2"/>
  <c r="AM644" i="2"/>
  <c r="AF645" i="2"/>
  <c r="AM645" i="2"/>
  <c r="AF646" i="2"/>
  <c r="AM646" i="2"/>
  <c r="AT599" i="2"/>
  <c r="AT600" i="2"/>
  <c r="AT651" i="2"/>
  <c r="BA600" i="2"/>
  <c r="AT604" i="2"/>
  <c r="AT601" i="2"/>
  <c r="AT602" i="2"/>
  <c r="AT603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BA630" i="2"/>
  <c r="AT643" i="2"/>
  <c r="BA643" i="2"/>
  <c r="AT644" i="2"/>
  <c r="BA644" i="2"/>
  <c r="AT645" i="2"/>
  <c r="BA645" i="2"/>
  <c r="AT646" i="2"/>
  <c r="BA646" i="2"/>
  <c r="BW596" i="2"/>
  <c r="BW597" i="2"/>
  <c r="BW598" i="2"/>
  <c r="BW599" i="2"/>
  <c r="BW600" i="2"/>
  <c r="BW601" i="2"/>
  <c r="BW602" i="2"/>
  <c r="BW603" i="2"/>
  <c r="BW606" i="2"/>
  <c r="BW607" i="2"/>
  <c r="BW608" i="2"/>
  <c r="BW610" i="2"/>
  <c r="BW611" i="2"/>
  <c r="BW612" i="2"/>
  <c r="BW613" i="2"/>
  <c r="BW614" i="2"/>
  <c r="BW615" i="2"/>
  <c r="BW616" i="2"/>
  <c r="BW617" i="2"/>
  <c r="BW618" i="2"/>
  <c r="BW619" i="2"/>
  <c r="BW620" i="2"/>
  <c r="BW621" i="2"/>
  <c r="BW622" i="2"/>
  <c r="BW623" i="2"/>
  <c r="BW624" i="2"/>
  <c r="BW625" i="2"/>
  <c r="BW626" i="2"/>
  <c r="BW627" i="2"/>
  <c r="BW628" i="2"/>
  <c r="BW629" i="2"/>
  <c r="BW630" i="2"/>
  <c r="BW631" i="2"/>
  <c r="BW632" i="2"/>
  <c r="BW633" i="2"/>
  <c r="BW634" i="2"/>
  <c r="BW635" i="2"/>
  <c r="BW636" i="2"/>
  <c r="BW637" i="2"/>
  <c r="BW638" i="2"/>
  <c r="BW639" i="2"/>
  <c r="BW640" i="2"/>
  <c r="BW641" i="2"/>
  <c r="BW642" i="2"/>
  <c r="BW644" i="2"/>
  <c r="BW645" i="2"/>
  <c r="BW646" i="2"/>
  <c r="CK596" i="2"/>
  <c r="CK597" i="2"/>
  <c r="CK598" i="2"/>
  <c r="CK599" i="2"/>
  <c r="CK600" i="2"/>
  <c r="CK601" i="2"/>
  <c r="CK602" i="2"/>
  <c r="CK603" i="2"/>
  <c r="CK606" i="2"/>
  <c r="CK607" i="2"/>
  <c r="CK608" i="2"/>
  <c r="CK610" i="2"/>
  <c r="CK611" i="2"/>
  <c r="CK612" i="2"/>
  <c r="CK613" i="2"/>
  <c r="CK614" i="2"/>
  <c r="CK615" i="2"/>
  <c r="CK616" i="2"/>
  <c r="CK617" i="2"/>
  <c r="CK618" i="2"/>
  <c r="CK619" i="2"/>
  <c r="CK620" i="2"/>
  <c r="CK621" i="2"/>
  <c r="CK622" i="2"/>
  <c r="CK623" i="2"/>
  <c r="CK624" i="2"/>
  <c r="CK625" i="2"/>
  <c r="CK626" i="2"/>
  <c r="CK627" i="2"/>
  <c r="CK628" i="2"/>
  <c r="CK629" i="2"/>
  <c r="CK630" i="2"/>
  <c r="CK631" i="2"/>
  <c r="CK632" i="2"/>
  <c r="CK633" i="2"/>
  <c r="CK634" i="2"/>
  <c r="CK635" i="2"/>
  <c r="CK636" i="2"/>
  <c r="CK637" i="2"/>
  <c r="CK638" i="2"/>
  <c r="CK639" i="2"/>
  <c r="CK640" i="2"/>
  <c r="CK641" i="2"/>
  <c r="CK642" i="2"/>
  <c r="CK644" i="2"/>
  <c r="CK645" i="2"/>
  <c r="CK646" i="2"/>
  <c r="CY596" i="2"/>
  <c r="CY597" i="2"/>
  <c r="CY598" i="2"/>
  <c r="CY599" i="2"/>
  <c r="CY600" i="2"/>
  <c r="CY601" i="2"/>
  <c r="CY602" i="2"/>
  <c r="CY603" i="2"/>
  <c r="CY606" i="2"/>
  <c r="CY607" i="2"/>
  <c r="CY608" i="2"/>
  <c r="CY610" i="2"/>
  <c r="CY611" i="2"/>
  <c r="CY612" i="2"/>
  <c r="CY613" i="2"/>
  <c r="CY614" i="2"/>
  <c r="CY615" i="2"/>
  <c r="CY616" i="2"/>
  <c r="CY617" i="2"/>
  <c r="CY618" i="2"/>
  <c r="CY619" i="2"/>
  <c r="CY620" i="2"/>
  <c r="CY621" i="2"/>
  <c r="CY622" i="2"/>
  <c r="CY623" i="2"/>
  <c r="CY624" i="2"/>
  <c r="CY625" i="2"/>
  <c r="CY626" i="2"/>
  <c r="CY627" i="2"/>
  <c r="CY628" i="2"/>
  <c r="CY629" i="2"/>
  <c r="CY630" i="2"/>
  <c r="CY631" i="2"/>
  <c r="CY632" i="2"/>
  <c r="CY633" i="2"/>
  <c r="CY634" i="2"/>
  <c r="CY635" i="2"/>
  <c r="CY636" i="2"/>
  <c r="CY637" i="2"/>
  <c r="CY638" i="2"/>
  <c r="CY639" i="2"/>
  <c r="CY640" i="2"/>
  <c r="CY641" i="2"/>
  <c r="CY642" i="2"/>
  <c r="CY644" i="2"/>
  <c r="CY645" i="2"/>
  <c r="CY646" i="2"/>
  <c r="DM596" i="2"/>
  <c r="DM651" i="2"/>
  <c r="DM597" i="2"/>
  <c r="DM598" i="2"/>
  <c r="DM599" i="2"/>
  <c r="DM600" i="2"/>
  <c r="DM601" i="2"/>
  <c r="DM602" i="2"/>
  <c r="DM603" i="2"/>
  <c r="DM606" i="2"/>
  <c r="DM607" i="2"/>
  <c r="DM608" i="2"/>
  <c r="DM610" i="2"/>
  <c r="DM611" i="2"/>
  <c r="DM612" i="2"/>
  <c r="DM613" i="2"/>
  <c r="DM614" i="2"/>
  <c r="DM615" i="2"/>
  <c r="DM616" i="2"/>
  <c r="DM617" i="2"/>
  <c r="DM618" i="2"/>
  <c r="DM619" i="2"/>
  <c r="DM620" i="2"/>
  <c r="DM621" i="2"/>
  <c r="DM622" i="2"/>
  <c r="DM623" i="2"/>
  <c r="DM624" i="2"/>
  <c r="DM625" i="2"/>
  <c r="DM626" i="2"/>
  <c r="DM627" i="2"/>
  <c r="DM628" i="2"/>
  <c r="DM629" i="2"/>
  <c r="DM630" i="2"/>
  <c r="DM631" i="2"/>
  <c r="DM632" i="2"/>
  <c r="DM633" i="2"/>
  <c r="DM634" i="2"/>
  <c r="DM635" i="2"/>
  <c r="DM636" i="2"/>
  <c r="DM637" i="2"/>
  <c r="DM638" i="2"/>
  <c r="DM639" i="2"/>
  <c r="DM640" i="2"/>
  <c r="DM641" i="2"/>
  <c r="DM642" i="2"/>
  <c r="DM644" i="2"/>
  <c r="DM645" i="2"/>
  <c r="DM646" i="2"/>
  <c r="H601" i="2"/>
  <c r="H605" i="2"/>
  <c r="H610" i="2"/>
  <c r="H613" i="2"/>
  <c r="H617" i="2"/>
  <c r="H621" i="2"/>
  <c r="H625" i="2"/>
  <c r="H629" i="2"/>
  <c r="H645" i="2"/>
  <c r="M645" i="2"/>
  <c r="H606" i="2"/>
  <c r="A652" i="2"/>
  <c r="J601" i="2"/>
  <c r="J605" i="2"/>
  <c r="J609" i="2"/>
  <c r="J613" i="2"/>
  <c r="J617" i="2"/>
  <c r="J621" i="2"/>
  <c r="J625" i="2"/>
  <c r="J629" i="2"/>
  <c r="AJ616" i="2"/>
  <c r="AJ602" i="2"/>
  <c r="AJ662" i="2"/>
  <c r="AX600" i="2"/>
  <c r="CD597" i="2"/>
  <c r="CE597" i="2"/>
  <c r="CF597" i="2"/>
  <c r="CR601" i="2"/>
  <c r="CO601" i="2"/>
  <c r="DF596" i="2"/>
  <c r="DF597" i="2"/>
  <c r="DF598" i="2"/>
  <c r="DG598" i="2"/>
  <c r="DH598" i="2"/>
  <c r="DF599" i="2"/>
  <c r="DT596" i="2"/>
  <c r="DT597" i="2"/>
  <c r="DU597" i="2"/>
  <c r="D705" i="2"/>
  <c r="D701" i="2"/>
  <c r="D697" i="2"/>
  <c r="D693" i="2"/>
  <c r="D689" i="2"/>
  <c r="D685" i="2"/>
  <c r="D681" i="2"/>
  <c r="D677" i="2"/>
  <c r="D673" i="2"/>
  <c r="K673" i="2"/>
  <c r="H673" i="2"/>
  <c r="D707" i="2"/>
  <c r="D703" i="2"/>
  <c r="D699" i="2"/>
  <c r="D695" i="2"/>
  <c r="D691" i="2"/>
  <c r="D687" i="2"/>
  <c r="D683" i="2"/>
  <c r="D679" i="2"/>
  <c r="D675" i="2"/>
  <c r="H675" i="2"/>
  <c r="D708" i="2"/>
  <c r="D704" i="2"/>
  <c r="D700" i="2"/>
  <c r="D696" i="2"/>
  <c r="D692" i="2"/>
  <c r="D688" i="2"/>
  <c r="D684" i="2"/>
  <c r="D680" i="2"/>
  <c r="D676" i="2"/>
  <c r="K676" i="2"/>
  <c r="R706" i="2"/>
  <c r="R702" i="2"/>
  <c r="R698" i="2"/>
  <c r="R694" i="2"/>
  <c r="R690" i="2"/>
  <c r="R686" i="2"/>
  <c r="R682" i="2"/>
  <c r="R678" i="2"/>
  <c r="R674" i="2"/>
  <c r="V682" i="2"/>
  <c r="R707" i="2"/>
  <c r="R703" i="2"/>
  <c r="R699" i="2"/>
  <c r="R695" i="2"/>
  <c r="R691" i="2"/>
  <c r="R687" i="2"/>
  <c r="R683" i="2"/>
  <c r="R679" i="2"/>
  <c r="R675" i="2"/>
  <c r="Y675" i="2"/>
  <c r="V683" i="2"/>
  <c r="R708" i="2"/>
  <c r="R704" i="2"/>
  <c r="R700" i="2"/>
  <c r="R696" i="2"/>
  <c r="R692" i="2"/>
  <c r="R688" i="2"/>
  <c r="Y688" i="2"/>
  <c r="Z688" i="2"/>
  <c r="R684" i="2"/>
  <c r="R680" i="2"/>
  <c r="Y680" i="2"/>
  <c r="Y684" i="2"/>
  <c r="R676" i="2"/>
  <c r="Y676" i="2"/>
  <c r="AF705" i="2"/>
  <c r="AM705" i="2"/>
  <c r="AF706" i="2"/>
  <c r="AF702" i="2"/>
  <c r="AF698" i="2"/>
  <c r="AF694" i="2"/>
  <c r="AF690" i="2"/>
  <c r="AF686" i="2"/>
  <c r="AF682" i="2"/>
  <c r="AF678" i="2"/>
  <c r="AF674" i="2"/>
  <c r="AF707" i="2"/>
  <c r="AM707" i="2"/>
  <c r="AJ707" i="2"/>
  <c r="AN707" i="2"/>
  <c r="AO707" i="2"/>
  <c r="AF708" i="2"/>
  <c r="AF704" i="2"/>
  <c r="AF700" i="2"/>
  <c r="AF696" i="2"/>
  <c r="AF692" i="2"/>
  <c r="AF736" i="2"/>
  <c r="AF688" i="2"/>
  <c r="AF684" i="2"/>
  <c r="AM684" i="2"/>
  <c r="AN684" i="2"/>
  <c r="AF680" i="2"/>
  <c r="AM680" i="2"/>
  <c r="AT705" i="2"/>
  <c r="AT701" i="2"/>
  <c r="AT697" i="2"/>
  <c r="AT693" i="2"/>
  <c r="AT689" i="2"/>
  <c r="AT685" i="2"/>
  <c r="AT673" i="2"/>
  <c r="BA673" i="2"/>
  <c r="AT677" i="2"/>
  <c r="AT681" i="2"/>
  <c r="AT694" i="2"/>
  <c r="AT706" i="2"/>
  <c r="AT702" i="2"/>
  <c r="AT698" i="2"/>
  <c r="AT690" i="2"/>
  <c r="AT686" i="2"/>
  <c r="AT682" i="2"/>
  <c r="B681" i="2"/>
  <c r="AT678" i="2"/>
  <c r="AT674" i="2"/>
  <c r="BA674" i="2"/>
  <c r="AX674" i="2"/>
  <c r="AT708" i="2"/>
  <c r="AT704" i="2"/>
  <c r="AT700" i="2"/>
  <c r="AT696" i="2"/>
  <c r="AT692" i="2"/>
  <c r="BA692" i="2"/>
  <c r="CD670" i="2"/>
  <c r="CE670" i="2"/>
  <c r="CR670" i="2"/>
  <c r="DF670" i="2"/>
  <c r="DT673" i="2"/>
  <c r="B643" i="2"/>
  <c r="H600" i="2"/>
  <c r="H602" i="2"/>
  <c r="H603" i="2"/>
  <c r="H659" i="2"/>
  <c r="H604" i="2"/>
  <c r="H607" i="2"/>
  <c r="H608" i="2"/>
  <c r="H609" i="2"/>
  <c r="H611" i="2"/>
  <c r="H612" i="2"/>
  <c r="L612" i="2"/>
  <c r="H614" i="2"/>
  <c r="H615" i="2"/>
  <c r="H616" i="2"/>
  <c r="H618" i="2"/>
  <c r="H619" i="2"/>
  <c r="H620" i="2"/>
  <c r="H622" i="2"/>
  <c r="H623" i="2"/>
  <c r="H627" i="2"/>
  <c r="H643" i="2"/>
  <c r="M643" i="2"/>
  <c r="H626" i="2"/>
  <c r="H628" i="2"/>
  <c r="H630" i="2"/>
  <c r="L643" i="2"/>
  <c r="L644" i="2"/>
  <c r="L645" i="2"/>
  <c r="L646" i="2"/>
  <c r="V599" i="2"/>
  <c r="V600" i="2"/>
  <c r="Y600" i="2"/>
  <c r="Z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Z612" i="2"/>
  <c r="V613" i="2"/>
  <c r="V614" i="2"/>
  <c r="V615" i="2"/>
  <c r="V617" i="2"/>
  <c r="V618" i="2"/>
  <c r="V619" i="2"/>
  <c r="Z619" i="2"/>
  <c r="V620" i="2"/>
  <c r="V621" i="2"/>
  <c r="Z621" i="2"/>
  <c r="AA621" i="2"/>
  <c r="V622" i="2"/>
  <c r="V623" i="2"/>
  <c r="V624" i="2"/>
  <c r="V625" i="2"/>
  <c r="V626" i="2"/>
  <c r="V627" i="2"/>
  <c r="Z627" i="2"/>
  <c r="V628" i="2"/>
  <c r="V629" i="2"/>
  <c r="V630" i="2"/>
  <c r="Z643" i="2"/>
  <c r="Z644" i="2"/>
  <c r="Z645" i="2"/>
  <c r="Z646" i="2"/>
  <c r="AJ599" i="2"/>
  <c r="AJ600" i="2"/>
  <c r="AJ601" i="2"/>
  <c r="AN601" i="2"/>
  <c r="AJ603" i="2"/>
  <c r="AJ604" i="2"/>
  <c r="AJ605" i="2"/>
  <c r="AJ607" i="2"/>
  <c r="AJ608" i="2"/>
  <c r="AJ609" i="2"/>
  <c r="AJ610" i="2"/>
  <c r="AJ611" i="2"/>
  <c r="AJ612" i="2"/>
  <c r="AJ613" i="2"/>
  <c r="AN613" i="2"/>
  <c r="AO613" i="2"/>
  <c r="AJ614" i="2"/>
  <c r="AJ615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N643" i="2"/>
  <c r="AN644" i="2"/>
  <c r="AN645" i="2"/>
  <c r="AN646" i="2"/>
  <c r="AX599" i="2"/>
  <c r="AX601" i="2"/>
  <c r="AX602" i="2"/>
  <c r="AX603" i="2"/>
  <c r="AX604" i="2"/>
  <c r="AX605" i="2"/>
  <c r="AX606" i="2"/>
  <c r="AX609" i="2"/>
  <c r="AX614" i="2"/>
  <c r="AX618" i="2"/>
  <c r="AX622" i="2"/>
  <c r="AX626" i="2"/>
  <c r="BB626" i="2"/>
  <c r="AX630" i="2"/>
  <c r="AX646" i="2"/>
  <c r="BC646" i="2"/>
  <c r="AX607" i="2"/>
  <c r="AX608" i="2"/>
  <c r="AX610" i="2"/>
  <c r="AX611" i="2"/>
  <c r="AX612" i="2"/>
  <c r="AX613" i="2"/>
  <c r="AX615" i="2"/>
  <c r="AX616" i="2"/>
  <c r="AX617" i="2"/>
  <c r="AX619" i="2"/>
  <c r="AX620" i="2"/>
  <c r="AX621" i="2"/>
  <c r="AX623" i="2"/>
  <c r="AX624" i="2"/>
  <c r="AX625" i="2"/>
  <c r="AX627" i="2"/>
  <c r="AX628" i="2"/>
  <c r="AX629" i="2"/>
  <c r="BB643" i="2"/>
  <c r="BB644" i="2"/>
  <c r="BB645" i="2"/>
  <c r="BB646" i="2"/>
  <c r="BU603" i="2"/>
  <c r="T599" i="2"/>
  <c r="X599" i="2"/>
  <c r="X603" i="2"/>
  <c r="X607" i="2"/>
  <c r="X611" i="2"/>
  <c r="X615" i="2"/>
  <c r="T600" i="2"/>
  <c r="X600" i="2"/>
  <c r="X604" i="2"/>
  <c r="X608" i="2"/>
  <c r="T601" i="2"/>
  <c r="X601" i="2"/>
  <c r="X605" i="2"/>
  <c r="X609" i="2"/>
  <c r="X613" i="2"/>
  <c r="X617" i="2"/>
  <c r="T602" i="2"/>
  <c r="X602" i="2"/>
  <c r="X606" i="2"/>
  <c r="X610" i="2"/>
  <c r="X614" i="2"/>
  <c r="X618" i="2"/>
  <c r="X622" i="2"/>
  <c r="X626" i="2"/>
  <c r="X630" i="2"/>
  <c r="T603" i="2"/>
  <c r="T604" i="2"/>
  <c r="T605" i="2"/>
  <c r="T606" i="2"/>
  <c r="AV607" i="2"/>
  <c r="AZ599" i="2"/>
  <c r="AZ603" i="2"/>
  <c r="AZ607" i="2"/>
  <c r="AZ611" i="2"/>
  <c r="AZ615" i="2"/>
  <c r="AZ619" i="2"/>
  <c r="AZ623" i="2"/>
  <c r="AZ627" i="2"/>
  <c r="AV608" i="2"/>
  <c r="AZ600" i="2"/>
  <c r="AZ604" i="2"/>
  <c r="AZ608" i="2"/>
  <c r="AZ612" i="2"/>
  <c r="AZ616" i="2"/>
  <c r="AZ620" i="2"/>
  <c r="AZ624" i="2"/>
  <c r="AZ628" i="2"/>
  <c r="AV609" i="2"/>
  <c r="AZ601" i="2"/>
  <c r="AZ605" i="2"/>
  <c r="AZ609" i="2"/>
  <c r="AZ613" i="2"/>
  <c r="AZ617" i="2"/>
  <c r="AZ621" i="2"/>
  <c r="AZ625" i="2"/>
  <c r="AZ629" i="2"/>
  <c r="AV610" i="2"/>
  <c r="AZ602" i="2"/>
  <c r="AZ606" i="2"/>
  <c r="AZ610" i="2"/>
  <c r="AZ614" i="2"/>
  <c r="AZ618" i="2"/>
  <c r="AZ622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Z630" i="2"/>
  <c r="AV643" i="2"/>
  <c r="AX643" i="2"/>
  <c r="BC643" i="2"/>
  <c r="AZ643" i="2"/>
  <c r="AV644" i="2"/>
  <c r="AX644" i="2"/>
  <c r="BC644" i="2"/>
  <c r="AZ644" i="2"/>
  <c r="AV645" i="2"/>
  <c r="AX645" i="2"/>
  <c r="BC645" i="2"/>
  <c r="AZ645" i="2"/>
  <c r="AV646" i="2"/>
  <c r="AZ646" i="2"/>
  <c r="AH607" i="2"/>
  <c r="AL599" i="2"/>
  <c r="AL603" i="2"/>
  <c r="AL607" i="2"/>
  <c r="AL611" i="2"/>
  <c r="AL615" i="2"/>
  <c r="AL619" i="2"/>
  <c r="AL623" i="2"/>
  <c r="AL627" i="2"/>
  <c r="AH608" i="2"/>
  <c r="AL600" i="2"/>
  <c r="AL604" i="2"/>
  <c r="AL608" i="2"/>
  <c r="AH609" i="2"/>
  <c r="AL601" i="2"/>
  <c r="AL605" i="2"/>
  <c r="AL609" i="2"/>
  <c r="AH610" i="2"/>
  <c r="AL602" i="2"/>
  <c r="AL606" i="2"/>
  <c r="AL610" i="2"/>
  <c r="AL614" i="2"/>
  <c r="AL618" i="2"/>
  <c r="AL622" i="2"/>
  <c r="AL626" i="2"/>
  <c r="AL630" i="2"/>
  <c r="AH611" i="2"/>
  <c r="AH612" i="2"/>
  <c r="AH613" i="2"/>
  <c r="AH614" i="2"/>
  <c r="AH615" i="2"/>
  <c r="AH616" i="2"/>
  <c r="AL616" i="2"/>
  <c r="AL620" i="2"/>
  <c r="AL624" i="2"/>
  <c r="AL628" i="2"/>
  <c r="AH617" i="2"/>
  <c r="AL617" i="2"/>
  <c r="AL621" i="2"/>
  <c r="AL625" i="2"/>
  <c r="AL629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43" i="2"/>
  <c r="AJ643" i="2"/>
  <c r="AO643" i="2"/>
  <c r="AL643" i="2"/>
  <c r="AH644" i="2"/>
  <c r="AJ644" i="2"/>
  <c r="AO644" i="2"/>
  <c r="AL644" i="2"/>
  <c r="AH645" i="2"/>
  <c r="AJ645" i="2"/>
  <c r="AO645" i="2"/>
  <c r="AL645" i="2"/>
  <c r="AH646" i="2"/>
  <c r="AJ646" i="2"/>
  <c r="AO646" i="2"/>
  <c r="AL646" i="2"/>
  <c r="T607" i="2"/>
  <c r="T608" i="2"/>
  <c r="T609" i="2"/>
  <c r="T610" i="2"/>
  <c r="T611" i="2"/>
  <c r="T612" i="2"/>
  <c r="T613" i="2"/>
  <c r="T614" i="2"/>
  <c r="T615" i="2"/>
  <c r="T616" i="2"/>
  <c r="X616" i="2"/>
  <c r="X620" i="2"/>
  <c r="X624" i="2"/>
  <c r="X628" i="2"/>
  <c r="T617" i="2"/>
  <c r="T618" i="2"/>
  <c r="T619" i="2"/>
  <c r="T620" i="2"/>
  <c r="T621" i="2"/>
  <c r="T622" i="2"/>
  <c r="T623" i="2"/>
  <c r="T624" i="2"/>
  <c r="T625" i="2"/>
  <c r="X625" i="2"/>
  <c r="X629" i="2"/>
  <c r="T626" i="2"/>
  <c r="T627" i="2"/>
  <c r="X627" i="2"/>
  <c r="T628" i="2"/>
  <c r="T629" i="2"/>
  <c r="T630" i="2"/>
  <c r="T643" i="2"/>
  <c r="V643" i="2"/>
  <c r="AA643" i="2"/>
  <c r="X643" i="2"/>
  <c r="T644" i="2"/>
  <c r="V644" i="2"/>
  <c r="X644" i="2"/>
  <c r="AA644" i="2"/>
  <c r="T645" i="2"/>
  <c r="V645" i="2"/>
  <c r="AA645" i="2"/>
  <c r="X645" i="2"/>
  <c r="T646" i="2"/>
  <c r="V646" i="2"/>
  <c r="AA646" i="2"/>
  <c r="X646" i="2"/>
  <c r="BY598" i="2"/>
  <c r="CA598" i="2"/>
  <c r="BY599" i="2"/>
  <c r="CA599" i="2"/>
  <c r="BY600" i="2"/>
  <c r="CA600" i="2"/>
  <c r="BY601" i="2"/>
  <c r="CA601" i="2"/>
  <c r="BY602" i="2"/>
  <c r="CA602" i="2"/>
  <c r="BY603" i="2"/>
  <c r="CA603" i="2"/>
  <c r="BY606" i="2"/>
  <c r="CA606" i="2"/>
  <c r="CD606" i="2"/>
  <c r="CE606" i="2"/>
  <c r="CF606" i="2"/>
  <c r="BY607" i="2"/>
  <c r="CA607" i="2"/>
  <c r="CD607" i="2"/>
  <c r="CE607" i="2"/>
  <c r="CF607" i="2"/>
  <c r="CM598" i="2"/>
  <c r="CO598" i="2"/>
  <c r="CR596" i="2"/>
  <c r="CR597" i="2"/>
  <c r="CO597" i="2"/>
  <c r="CM599" i="2"/>
  <c r="CO599" i="2"/>
  <c r="CM600" i="2"/>
  <c r="CO600" i="2"/>
  <c r="CS600" i="2"/>
  <c r="CM601" i="2"/>
  <c r="CM602" i="2"/>
  <c r="CO602" i="2"/>
  <c r="CM603" i="2"/>
  <c r="CO603" i="2"/>
  <c r="CM606" i="2"/>
  <c r="CO606" i="2"/>
  <c r="CR606" i="2"/>
  <c r="CS606" i="2"/>
  <c r="CT606" i="2"/>
  <c r="CM607" i="2"/>
  <c r="CO607" i="2"/>
  <c r="CR607" i="2"/>
  <c r="CS607" i="2"/>
  <c r="CT607" i="2"/>
  <c r="DA598" i="2"/>
  <c r="DC598" i="2"/>
  <c r="DA599" i="2"/>
  <c r="DC599" i="2"/>
  <c r="DA600" i="2"/>
  <c r="DC600" i="2"/>
  <c r="DA601" i="2"/>
  <c r="DC601" i="2"/>
  <c r="DA602" i="2"/>
  <c r="DC602" i="2"/>
  <c r="DA603" i="2"/>
  <c r="DC603" i="2"/>
  <c r="DA606" i="2"/>
  <c r="DC606" i="2"/>
  <c r="DF606" i="2"/>
  <c r="DG606" i="2"/>
  <c r="DH606" i="2"/>
  <c r="DA607" i="2"/>
  <c r="DC607" i="2"/>
  <c r="DF607" i="2"/>
  <c r="DG607" i="2"/>
  <c r="DH607" i="2"/>
  <c r="DO596" i="2"/>
  <c r="DQ596" i="2"/>
  <c r="DU596" i="2"/>
  <c r="DV596" i="2"/>
  <c r="DO597" i="2"/>
  <c r="DQ597" i="2"/>
  <c r="DA596" i="2"/>
  <c r="DC596" i="2"/>
  <c r="DA597" i="2"/>
  <c r="DC597" i="2"/>
  <c r="CM596" i="2"/>
  <c r="CO596" i="2"/>
  <c r="CS596" i="2"/>
  <c r="CM597" i="2"/>
  <c r="BY596" i="2"/>
  <c r="CA596" i="2"/>
  <c r="CE596" i="2"/>
  <c r="CF596" i="2"/>
  <c r="BY597" i="2"/>
  <c r="CA597" i="2"/>
  <c r="AV599" i="2"/>
  <c r="AV600" i="2"/>
  <c r="AV601" i="2"/>
  <c r="AV602" i="2"/>
  <c r="AV603" i="2"/>
  <c r="AV604" i="2"/>
  <c r="AV605" i="2"/>
  <c r="AV606" i="2"/>
  <c r="AH599" i="2"/>
  <c r="AH600" i="2"/>
  <c r="AH601" i="2"/>
  <c r="AH602" i="2"/>
  <c r="AH603" i="2"/>
  <c r="AH604" i="2"/>
  <c r="AH605" i="2"/>
  <c r="AH606" i="2"/>
  <c r="F599" i="2"/>
  <c r="J599" i="2"/>
  <c r="J603" i="2"/>
  <c r="J607" i="2"/>
  <c r="J611" i="2"/>
  <c r="J615" i="2"/>
  <c r="J619" i="2"/>
  <c r="J623" i="2"/>
  <c r="J627" i="2"/>
  <c r="F600" i="2"/>
  <c r="J600" i="2"/>
  <c r="J604" i="2"/>
  <c r="J608" i="2"/>
  <c r="F601" i="2"/>
  <c r="F602" i="2"/>
  <c r="J602" i="2"/>
  <c r="J606" i="2"/>
  <c r="J610" i="2"/>
  <c r="J614" i="2"/>
  <c r="J618" i="2"/>
  <c r="J622" i="2"/>
  <c r="J626" i="2"/>
  <c r="J630" i="2"/>
  <c r="F603" i="2"/>
  <c r="F604" i="2"/>
  <c r="F605" i="2"/>
  <c r="F606" i="2"/>
  <c r="J659" i="2"/>
  <c r="K659" i="2"/>
  <c r="X659" i="2"/>
  <c r="Y659" i="2"/>
  <c r="AL659" i="2"/>
  <c r="AM659" i="2"/>
  <c r="AZ659" i="2"/>
  <c r="BA659" i="2"/>
  <c r="H644" i="2"/>
  <c r="J660" i="2"/>
  <c r="K660" i="2"/>
  <c r="X660" i="2"/>
  <c r="Y660" i="2"/>
  <c r="AL660" i="2"/>
  <c r="AM660" i="2"/>
  <c r="AZ660" i="2"/>
  <c r="BA660" i="2"/>
  <c r="J661" i="2"/>
  <c r="K661" i="2"/>
  <c r="K645" i="2"/>
  <c r="X661" i="2"/>
  <c r="Y661" i="2"/>
  <c r="AL661" i="2"/>
  <c r="AM661" i="2"/>
  <c r="AZ661" i="2"/>
  <c r="BA661" i="2"/>
  <c r="H646" i="2"/>
  <c r="M646" i="2"/>
  <c r="J662" i="2"/>
  <c r="K662" i="2"/>
  <c r="X662" i="2"/>
  <c r="Y662" i="2"/>
  <c r="AL662" i="2"/>
  <c r="AM662" i="2"/>
  <c r="AZ662" i="2"/>
  <c r="BA662" i="2"/>
  <c r="BU596" i="2"/>
  <c r="CI596" i="2"/>
  <c r="CW596" i="2"/>
  <c r="DK596" i="2"/>
  <c r="BU597" i="2"/>
  <c r="CI597" i="2"/>
  <c r="CW597" i="2"/>
  <c r="DK597" i="2"/>
  <c r="BU598" i="2"/>
  <c r="CI598" i="2"/>
  <c r="CW598" i="2"/>
  <c r="DK598" i="2"/>
  <c r="DO598" i="2"/>
  <c r="DQ598" i="2"/>
  <c r="P599" i="2"/>
  <c r="AD599" i="2"/>
  <c r="AR599" i="2"/>
  <c r="BU599" i="2"/>
  <c r="CI599" i="2"/>
  <c r="CW599" i="2"/>
  <c r="DK599" i="2"/>
  <c r="DO599" i="2"/>
  <c r="DQ599" i="2"/>
  <c r="BU600" i="2"/>
  <c r="CI600" i="2"/>
  <c r="CW600" i="2"/>
  <c r="DK600" i="2"/>
  <c r="DO600" i="2"/>
  <c r="DQ600" i="2"/>
  <c r="BU601" i="2"/>
  <c r="CI601" i="2"/>
  <c r="CW601" i="2"/>
  <c r="DK601" i="2"/>
  <c r="DO601" i="2"/>
  <c r="DQ601" i="2"/>
  <c r="BU602" i="2"/>
  <c r="CI602" i="2"/>
  <c r="CW602" i="2"/>
  <c r="DK602" i="2"/>
  <c r="DO602" i="2"/>
  <c r="DQ602" i="2"/>
  <c r="P603" i="2"/>
  <c r="AD603" i="2"/>
  <c r="AR603" i="2"/>
  <c r="CI603" i="2"/>
  <c r="CW603" i="2"/>
  <c r="DK603" i="2"/>
  <c r="DO603" i="2"/>
  <c r="DQ603" i="2"/>
  <c r="BU604" i="2"/>
  <c r="BU605" i="2"/>
  <c r="BU606" i="2"/>
  <c r="CI606" i="2"/>
  <c r="CW606" i="2"/>
  <c r="DK606" i="2"/>
  <c r="DO606" i="2"/>
  <c r="DQ606" i="2"/>
  <c r="DT606" i="2"/>
  <c r="DU606" i="2"/>
  <c r="DV606" i="2"/>
  <c r="F607" i="2"/>
  <c r="P607" i="2"/>
  <c r="AD607" i="2"/>
  <c r="AR607" i="2"/>
  <c r="BU607" i="2"/>
  <c r="CI607" i="2"/>
  <c r="CW607" i="2"/>
  <c r="DK607" i="2"/>
  <c r="DO607" i="2"/>
  <c r="DQ607" i="2"/>
  <c r="DT607" i="2"/>
  <c r="DU607" i="2"/>
  <c r="DV607" i="2"/>
  <c r="F608" i="2"/>
  <c r="BU608" i="2"/>
  <c r="BY608" i="2"/>
  <c r="CA608" i="2"/>
  <c r="CD608" i="2"/>
  <c r="CE608" i="2"/>
  <c r="CF608" i="2"/>
  <c r="CI608" i="2"/>
  <c r="CM608" i="2"/>
  <c r="CO608" i="2"/>
  <c r="CR608" i="2"/>
  <c r="CS608" i="2"/>
  <c r="CT608" i="2"/>
  <c r="CW608" i="2"/>
  <c r="DA608" i="2"/>
  <c r="DC608" i="2"/>
  <c r="DF608" i="2"/>
  <c r="DG608" i="2"/>
  <c r="DH608" i="2"/>
  <c r="DK608" i="2"/>
  <c r="DO608" i="2"/>
  <c r="DQ608" i="2"/>
  <c r="DT608" i="2"/>
  <c r="DU608" i="2"/>
  <c r="DV608" i="2"/>
  <c r="F609" i="2"/>
  <c r="BU609" i="2"/>
  <c r="CF609" i="2"/>
  <c r="CI609" i="2"/>
  <c r="CT609" i="2"/>
  <c r="CW609" i="2"/>
  <c r="DK609" i="2"/>
  <c r="F610" i="2"/>
  <c r="BU610" i="2"/>
  <c r="BY610" i="2"/>
  <c r="CA610" i="2"/>
  <c r="CD610" i="2"/>
  <c r="CE610" i="2"/>
  <c r="CF610" i="2"/>
  <c r="CI610" i="2"/>
  <c r="CM610" i="2"/>
  <c r="CO610" i="2"/>
  <c r="CR610" i="2"/>
  <c r="CS610" i="2"/>
  <c r="CT610" i="2"/>
  <c r="CW610" i="2"/>
  <c r="DA610" i="2"/>
  <c r="DC610" i="2"/>
  <c r="DF610" i="2"/>
  <c r="DG610" i="2"/>
  <c r="DH610" i="2"/>
  <c r="DK610" i="2"/>
  <c r="DO610" i="2"/>
  <c r="DQ610" i="2"/>
  <c r="DT610" i="2"/>
  <c r="DU610" i="2"/>
  <c r="DV610" i="2"/>
  <c r="F611" i="2"/>
  <c r="P611" i="2"/>
  <c r="AD611" i="2"/>
  <c r="AR611" i="2"/>
  <c r="BU611" i="2"/>
  <c r="BY611" i="2"/>
  <c r="CA611" i="2"/>
  <c r="CD611" i="2"/>
  <c r="CE611" i="2"/>
  <c r="CF611" i="2"/>
  <c r="CI611" i="2"/>
  <c r="CM611" i="2"/>
  <c r="CO611" i="2"/>
  <c r="CR611" i="2"/>
  <c r="CS611" i="2"/>
  <c r="CT611" i="2"/>
  <c r="CW611" i="2"/>
  <c r="DA611" i="2"/>
  <c r="DC611" i="2"/>
  <c r="DF611" i="2"/>
  <c r="DG611" i="2"/>
  <c r="DH611" i="2"/>
  <c r="DK611" i="2"/>
  <c r="DO611" i="2"/>
  <c r="DQ611" i="2"/>
  <c r="DT611" i="2"/>
  <c r="DU611" i="2"/>
  <c r="DV611" i="2"/>
  <c r="F612" i="2"/>
  <c r="BU612" i="2"/>
  <c r="BY612" i="2"/>
  <c r="CA612" i="2"/>
  <c r="CD612" i="2"/>
  <c r="CE612" i="2"/>
  <c r="CF612" i="2"/>
  <c r="CI612" i="2"/>
  <c r="CM612" i="2"/>
  <c r="CO612" i="2"/>
  <c r="CR612" i="2"/>
  <c r="CS612" i="2"/>
  <c r="CT612" i="2"/>
  <c r="CW612" i="2"/>
  <c r="DA612" i="2"/>
  <c r="DC612" i="2"/>
  <c r="DF612" i="2"/>
  <c r="DG612" i="2"/>
  <c r="DH612" i="2"/>
  <c r="DK612" i="2"/>
  <c r="DO612" i="2"/>
  <c r="DQ612" i="2"/>
  <c r="DT612" i="2"/>
  <c r="DU612" i="2"/>
  <c r="DV612" i="2"/>
  <c r="F613" i="2"/>
  <c r="BU613" i="2"/>
  <c r="BY613" i="2"/>
  <c r="CA613" i="2"/>
  <c r="CD613" i="2"/>
  <c r="CE613" i="2"/>
  <c r="CF613" i="2"/>
  <c r="CI613" i="2"/>
  <c r="CM613" i="2"/>
  <c r="CO613" i="2"/>
  <c r="CR613" i="2"/>
  <c r="CS613" i="2"/>
  <c r="CT613" i="2"/>
  <c r="CW613" i="2"/>
  <c r="DA613" i="2"/>
  <c r="DC613" i="2"/>
  <c r="DF613" i="2"/>
  <c r="DG613" i="2"/>
  <c r="DH613" i="2"/>
  <c r="DK613" i="2"/>
  <c r="DO613" i="2"/>
  <c r="DQ613" i="2"/>
  <c r="DT613" i="2"/>
  <c r="DU613" i="2"/>
  <c r="DV613" i="2"/>
  <c r="F614" i="2"/>
  <c r="BU614" i="2"/>
  <c r="BY614" i="2"/>
  <c r="CA614" i="2"/>
  <c r="CD614" i="2"/>
  <c r="CE614" i="2"/>
  <c r="CF614" i="2"/>
  <c r="CI614" i="2"/>
  <c r="CM614" i="2"/>
  <c r="CO614" i="2"/>
  <c r="CR614" i="2"/>
  <c r="CS614" i="2"/>
  <c r="CT614" i="2"/>
  <c r="CW614" i="2"/>
  <c r="DA614" i="2"/>
  <c r="DC614" i="2"/>
  <c r="DF614" i="2"/>
  <c r="DG614" i="2"/>
  <c r="DH614" i="2"/>
  <c r="DK614" i="2"/>
  <c r="DO614" i="2"/>
  <c r="DQ614" i="2"/>
  <c r="DT614" i="2"/>
  <c r="DU614" i="2"/>
  <c r="DV614" i="2"/>
  <c r="F615" i="2"/>
  <c r="P615" i="2"/>
  <c r="AD615" i="2"/>
  <c r="AR615" i="2"/>
  <c r="BU615" i="2"/>
  <c r="BY615" i="2"/>
  <c r="CA615" i="2"/>
  <c r="CD615" i="2"/>
  <c r="CE615" i="2"/>
  <c r="CF615" i="2"/>
  <c r="CI615" i="2"/>
  <c r="CM615" i="2"/>
  <c r="CO615" i="2"/>
  <c r="CR615" i="2"/>
  <c r="CS615" i="2"/>
  <c r="CT615" i="2"/>
  <c r="CW615" i="2"/>
  <c r="DA615" i="2"/>
  <c r="DC615" i="2"/>
  <c r="DF615" i="2"/>
  <c r="DG615" i="2"/>
  <c r="DH615" i="2"/>
  <c r="DK615" i="2"/>
  <c r="DO615" i="2"/>
  <c r="DQ615" i="2"/>
  <c r="DT615" i="2"/>
  <c r="DU615" i="2"/>
  <c r="DV615" i="2"/>
  <c r="F616" i="2"/>
  <c r="J616" i="2"/>
  <c r="J620" i="2"/>
  <c r="J624" i="2"/>
  <c r="J628" i="2"/>
  <c r="BY616" i="2"/>
  <c r="CA616" i="2"/>
  <c r="CE616" i="2"/>
  <c r="CF616" i="2"/>
  <c r="CM616" i="2"/>
  <c r="CO616" i="2"/>
  <c r="CS616" i="2"/>
  <c r="CT616" i="2"/>
  <c r="DA616" i="2"/>
  <c r="DC616" i="2"/>
  <c r="DG616" i="2"/>
  <c r="DH616" i="2"/>
  <c r="DO616" i="2"/>
  <c r="DQ616" i="2"/>
  <c r="DU616" i="2"/>
  <c r="DV616" i="2"/>
  <c r="F617" i="2"/>
  <c r="BY617" i="2"/>
  <c r="CA617" i="2"/>
  <c r="CE617" i="2"/>
  <c r="CF617" i="2"/>
  <c r="CM617" i="2"/>
  <c r="CO617" i="2"/>
  <c r="CS617" i="2"/>
  <c r="CT617" i="2"/>
  <c r="DA617" i="2"/>
  <c r="DC617" i="2"/>
  <c r="DG617" i="2"/>
  <c r="DH617" i="2"/>
  <c r="DO617" i="2"/>
  <c r="DQ617" i="2"/>
  <c r="DU617" i="2"/>
  <c r="DV617" i="2"/>
  <c r="F618" i="2"/>
  <c r="CA618" i="2"/>
  <c r="CE618" i="2"/>
  <c r="CF618" i="2"/>
  <c r="CO618" i="2"/>
  <c r="CS618" i="2"/>
  <c r="CT618" i="2"/>
  <c r="DC618" i="2"/>
  <c r="DG618" i="2"/>
  <c r="DH618" i="2"/>
  <c r="DQ618" i="2"/>
  <c r="DU618" i="2"/>
  <c r="DV618" i="2"/>
  <c r="F619" i="2"/>
  <c r="P619" i="2"/>
  <c r="AD619" i="2"/>
  <c r="AR619" i="2"/>
  <c r="BY619" i="2"/>
  <c r="CA619" i="2"/>
  <c r="CE619" i="2"/>
  <c r="CF619" i="2"/>
  <c r="CM619" i="2"/>
  <c r="CO619" i="2"/>
  <c r="CS619" i="2"/>
  <c r="CT619" i="2"/>
  <c r="DA619" i="2"/>
  <c r="DC619" i="2"/>
  <c r="DG619" i="2"/>
  <c r="DH619" i="2"/>
  <c r="DO619" i="2"/>
  <c r="DQ619" i="2"/>
  <c r="DU619" i="2"/>
  <c r="DV619" i="2"/>
  <c r="F620" i="2"/>
  <c r="P620" i="2"/>
  <c r="AD620" i="2"/>
  <c r="AR620" i="2"/>
  <c r="BY620" i="2"/>
  <c r="CA620" i="2"/>
  <c r="CE620" i="2"/>
  <c r="CF620" i="2"/>
  <c r="CM620" i="2"/>
  <c r="CO620" i="2"/>
  <c r="CS620" i="2"/>
  <c r="CT620" i="2"/>
  <c r="DA620" i="2"/>
  <c r="DC620" i="2"/>
  <c r="DG620" i="2"/>
  <c r="DH620" i="2"/>
  <c r="DO620" i="2"/>
  <c r="DQ620" i="2"/>
  <c r="DU620" i="2"/>
  <c r="DV620" i="2"/>
  <c r="F621" i="2"/>
  <c r="CA621" i="2"/>
  <c r="CE621" i="2"/>
  <c r="CF621" i="2"/>
  <c r="CO621" i="2"/>
  <c r="CS621" i="2"/>
  <c r="CT621" i="2"/>
  <c r="DC621" i="2"/>
  <c r="DG621" i="2"/>
  <c r="DH621" i="2"/>
  <c r="DQ621" i="2"/>
  <c r="DU621" i="2"/>
  <c r="DV621" i="2"/>
  <c r="F622" i="2"/>
  <c r="CA622" i="2"/>
  <c r="CE622" i="2"/>
  <c r="CF622" i="2"/>
  <c r="CO622" i="2"/>
  <c r="CS622" i="2"/>
  <c r="CT622" i="2"/>
  <c r="DC622" i="2"/>
  <c r="DG622" i="2"/>
  <c r="DH622" i="2"/>
  <c r="DQ622" i="2"/>
  <c r="DU622" i="2"/>
  <c r="DV622" i="2"/>
  <c r="F623" i="2"/>
  <c r="P623" i="2"/>
  <c r="AD623" i="2"/>
  <c r="AR623" i="2"/>
  <c r="CA623" i="2"/>
  <c r="CE623" i="2"/>
  <c r="CF623" i="2"/>
  <c r="CO623" i="2"/>
  <c r="CS623" i="2"/>
  <c r="CT623" i="2"/>
  <c r="DC623" i="2"/>
  <c r="DG623" i="2"/>
  <c r="DH623" i="2"/>
  <c r="DQ623" i="2"/>
  <c r="DU623" i="2"/>
  <c r="DV623" i="2"/>
  <c r="F624" i="2"/>
  <c r="CA624" i="2"/>
  <c r="CE624" i="2"/>
  <c r="CF624" i="2"/>
  <c r="CO624" i="2"/>
  <c r="CS624" i="2"/>
  <c r="CT624" i="2"/>
  <c r="DC624" i="2"/>
  <c r="DG624" i="2"/>
  <c r="DH624" i="2"/>
  <c r="DQ624" i="2"/>
  <c r="DU624" i="2"/>
  <c r="DV624" i="2"/>
  <c r="F625" i="2"/>
  <c r="CA625" i="2"/>
  <c r="CE625" i="2"/>
  <c r="CF625" i="2"/>
  <c r="CO625" i="2"/>
  <c r="CS625" i="2"/>
  <c r="CT625" i="2"/>
  <c r="DC625" i="2"/>
  <c r="DG625" i="2"/>
  <c r="DH625" i="2"/>
  <c r="DQ625" i="2"/>
  <c r="DU625" i="2"/>
  <c r="DV625" i="2"/>
  <c r="F626" i="2"/>
  <c r="CA626" i="2"/>
  <c r="CE626" i="2"/>
  <c r="CF626" i="2"/>
  <c r="CO626" i="2"/>
  <c r="CS626" i="2"/>
  <c r="CT626" i="2"/>
  <c r="DC626" i="2"/>
  <c r="DG626" i="2"/>
  <c r="DH626" i="2"/>
  <c r="DQ626" i="2"/>
  <c r="DU626" i="2"/>
  <c r="DV626" i="2"/>
  <c r="F627" i="2"/>
  <c r="P627" i="2"/>
  <c r="AD627" i="2"/>
  <c r="AR627" i="2"/>
  <c r="CA627" i="2"/>
  <c r="CE627" i="2"/>
  <c r="CF627" i="2"/>
  <c r="CO627" i="2"/>
  <c r="CS627" i="2"/>
  <c r="CT627" i="2"/>
  <c r="DC627" i="2"/>
  <c r="DG627" i="2"/>
  <c r="DH627" i="2"/>
  <c r="DQ627" i="2"/>
  <c r="DU627" i="2"/>
  <c r="DV627" i="2"/>
  <c r="F628" i="2"/>
  <c r="CA628" i="2"/>
  <c r="CE628" i="2"/>
  <c r="CF628" i="2"/>
  <c r="CO628" i="2"/>
  <c r="CS628" i="2"/>
  <c r="CT628" i="2"/>
  <c r="DC628" i="2"/>
  <c r="DG628" i="2"/>
  <c r="DH628" i="2"/>
  <c r="DQ628" i="2"/>
  <c r="DU628" i="2"/>
  <c r="DV628" i="2"/>
  <c r="F629" i="2"/>
  <c r="CA629" i="2"/>
  <c r="CE629" i="2"/>
  <c r="CF629" i="2"/>
  <c r="CO629" i="2"/>
  <c r="CS629" i="2"/>
  <c r="CT629" i="2"/>
  <c r="DC629" i="2"/>
  <c r="DG629" i="2"/>
  <c r="DH629" i="2"/>
  <c r="DQ629" i="2"/>
  <c r="DU629" i="2"/>
  <c r="DV629" i="2"/>
  <c r="F630" i="2"/>
  <c r="CA630" i="2"/>
  <c r="CE630" i="2"/>
  <c r="CF630" i="2"/>
  <c r="CO630" i="2"/>
  <c r="CS630" i="2"/>
  <c r="CT630" i="2"/>
  <c r="DC630" i="2"/>
  <c r="DG630" i="2"/>
  <c r="DH630" i="2"/>
  <c r="DQ630" i="2"/>
  <c r="DU630" i="2"/>
  <c r="DV630" i="2"/>
  <c r="CA631" i="2"/>
  <c r="CE631" i="2"/>
  <c r="CF631" i="2"/>
  <c r="CO631" i="2"/>
  <c r="CS631" i="2"/>
  <c r="CT631" i="2"/>
  <c r="DC631" i="2"/>
  <c r="DG631" i="2"/>
  <c r="DH631" i="2"/>
  <c r="DQ631" i="2"/>
  <c r="DU631" i="2"/>
  <c r="DV631" i="2"/>
  <c r="CA632" i="2"/>
  <c r="CE632" i="2"/>
  <c r="CF632" i="2"/>
  <c r="CO632" i="2"/>
  <c r="CS632" i="2"/>
  <c r="CT632" i="2"/>
  <c r="DC632" i="2"/>
  <c r="DG632" i="2"/>
  <c r="DH632" i="2"/>
  <c r="DQ632" i="2"/>
  <c r="DU632" i="2"/>
  <c r="DV632" i="2"/>
  <c r="CA633" i="2"/>
  <c r="CE633" i="2"/>
  <c r="CF633" i="2"/>
  <c r="CO633" i="2"/>
  <c r="CS633" i="2"/>
  <c r="CT633" i="2"/>
  <c r="DC633" i="2"/>
  <c r="DG633" i="2"/>
  <c r="DH633" i="2"/>
  <c r="DQ633" i="2"/>
  <c r="DU633" i="2"/>
  <c r="DV633" i="2"/>
  <c r="CA634" i="2"/>
  <c r="CE634" i="2"/>
  <c r="CF634" i="2"/>
  <c r="CO634" i="2"/>
  <c r="CS634" i="2"/>
  <c r="CT634" i="2"/>
  <c r="DC634" i="2"/>
  <c r="DG634" i="2"/>
  <c r="DH634" i="2"/>
  <c r="DQ634" i="2"/>
  <c r="DU634" i="2"/>
  <c r="DV634" i="2"/>
  <c r="CA635" i="2"/>
  <c r="CE635" i="2"/>
  <c r="CF635" i="2"/>
  <c r="CO635" i="2"/>
  <c r="CS635" i="2"/>
  <c r="CT635" i="2"/>
  <c r="DC635" i="2"/>
  <c r="DG635" i="2"/>
  <c r="DH635" i="2"/>
  <c r="DQ635" i="2"/>
  <c r="DU635" i="2"/>
  <c r="DV635" i="2"/>
  <c r="CA636" i="2"/>
  <c r="CE636" i="2"/>
  <c r="CF636" i="2"/>
  <c r="CO636" i="2"/>
  <c r="CS636" i="2"/>
  <c r="CT636" i="2"/>
  <c r="DC636" i="2"/>
  <c r="DG636" i="2"/>
  <c r="DH636" i="2"/>
  <c r="DQ636" i="2"/>
  <c r="DU636" i="2"/>
  <c r="DV636" i="2"/>
  <c r="CA637" i="2"/>
  <c r="CE637" i="2"/>
  <c r="CF637" i="2"/>
  <c r="CO637" i="2"/>
  <c r="CS637" i="2"/>
  <c r="CT637" i="2"/>
  <c r="DC637" i="2"/>
  <c r="DG637" i="2"/>
  <c r="DH637" i="2"/>
  <c r="DQ637" i="2"/>
  <c r="DU637" i="2"/>
  <c r="DV637" i="2"/>
  <c r="CA638" i="2"/>
  <c r="CE638" i="2"/>
  <c r="CF638" i="2"/>
  <c r="CO638" i="2"/>
  <c r="CS638" i="2"/>
  <c r="CT638" i="2"/>
  <c r="DC638" i="2"/>
  <c r="DG638" i="2"/>
  <c r="DH638" i="2"/>
  <c r="DQ638" i="2"/>
  <c r="DU638" i="2"/>
  <c r="DV638" i="2"/>
  <c r="CA639" i="2"/>
  <c r="CE639" i="2"/>
  <c r="CF639" i="2"/>
  <c r="CO639" i="2"/>
  <c r="CS639" i="2"/>
  <c r="CT639" i="2"/>
  <c r="DC639" i="2"/>
  <c r="DG639" i="2"/>
  <c r="DH639" i="2"/>
  <c r="DQ639" i="2"/>
  <c r="DU639" i="2"/>
  <c r="DV639" i="2"/>
  <c r="CA640" i="2"/>
  <c r="CE640" i="2"/>
  <c r="CF640" i="2"/>
  <c r="CO640" i="2"/>
  <c r="CS640" i="2"/>
  <c r="CT640" i="2"/>
  <c r="DC640" i="2"/>
  <c r="DG640" i="2"/>
  <c r="DH640" i="2"/>
  <c r="DQ640" i="2"/>
  <c r="DU640" i="2"/>
  <c r="DV640" i="2"/>
  <c r="CA641" i="2"/>
  <c r="CE641" i="2"/>
  <c r="CF641" i="2"/>
  <c r="CO641" i="2"/>
  <c r="CS641" i="2"/>
  <c r="CT641" i="2"/>
  <c r="DC641" i="2"/>
  <c r="DG641" i="2"/>
  <c r="DH641" i="2"/>
  <c r="DQ641" i="2"/>
  <c r="DU641" i="2"/>
  <c r="DV641" i="2"/>
  <c r="CA642" i="2"/>
  <c r="CE642" i="2"/>
  <c r="CF642" i="2"/>
  <c r="CO642" i="2"/>
  <c r="CS642" i="2"/>
  <c r="CT642" i="2"/>
  <c r="DC642" i="2"/>
  <c r="DG642" i="2"/>
  <c r="DH642" i="2"/>
  <c r="DQ642" i="2"/>
  <c r="DU642" i="2"/>
  <c r="DV642" i="2"/>
  <c r="F643" i="2"/>
  <c r="J643" i="2"/>
  <c r="P643" i="2"/>
  <c r="AD643" i="2"/>
  <c r="AR643" i="2"/>
  <c r="F644" i="2"/>
  <c r="J644" i="2"/>
  <c r="M644" i="2"/>
  <c r="CA644" i="2"/>
  <c r="CE644" i="2"/>
  <c r="CF644" i="2"/>
  <c r="CO644" i="2"/>
  <c r="CS644" i="2"/>
  <c r="CT644" i="2"/>
  <c r="DC644" i="2"/>
  <c r="DG644" i="2"/>
  <c r="DH644" i="2"/>
  <c r="DQ644" i="2"/>
  <c r="DU644" i="2"/>
  <c r="DV644" i="2"/>
  <c r="F645" i="2"/>
  <c r="J645" i="2"/>
  <c r="CA645" i="2"/>
  <c r="CE645" i="2"/>
  <c r="CF645" i="2"/>
  <c r="CO645" i="2"/>
  <c r="CS645" i="2"/>
  <c r="CT645" i="2"/>
  <c r="DC645" i="2"/>
  <c r="DG645" i="2"/>
  <c r="DH645" i="2"/>
  <c r="DQ645" i="2"/>
  <c r="DU645" i="2"/>
  <c r="DV645" i="2"/>
  <c r="F646" i="2"/>
  <c r="J646" i="2"/>
  <c r="CA646" i="2"/>
  <c r="CE646" i="2"/>
  <c r="CF646" i="2"/>
  <c r="CO646" i="2"/>
  <c r="CS646" i="2"/>
  <c r="CT646" i="2"/>
  <c r="DC646" i="2"/>
  <c r="DG646" i="2"/>
  <c r="DH646" i="2"/>
  <c r="DQ646" i="2"/>
  <c r="DU646" i="2"/>
  <c r="DV646" i="2"/>
  <c r="CA647" i="2"/>
  <c r="CE647" i="2"/>
  <c r="CF647" i="2"/>
  <c r="CO647" i="2"/>
  <c r="CS647" i="2"/>
  <c r="CT647" i="2"/>
  <c r="DC647" i="2"/>
  <c r="DG647" i="2"/>
  <c r="DH647" i="2"/>
  <c r="DQ647" i="2"/>
  <c r="DU647" i="2"/>
  <c r="DV647" i="2"/>
  <c r="D674" i="2"/>
  <c r="D678" i="2"/>
  <c r="D682" i="2"/>
  <c r="D686" i="2"/>
  <c r="D690" i="2"/>
  <c r="D694" i="2"/>
  <c r="D698" i="2"/>
  <c r="D702" i="2"/>
  <c r="D706" i="2"/>
  <c r="R673" i="2"/>
  <c r="Y673" i="2"/>
  <c r="Y677" i="2"/>
  <c r="V673" i="2"/>
  <c r="Z673" i="2"/>
  <c r="R677" i="2"/>
  <c r="R681" i="2"/>
  <c r="R685" i="2"/>
  <c r="Y685" i="2"/>
  <c r="Z685" i="2"/>
  <c r="R689" i="2"/>
  <c r="R693" i="2"/>
  <c r="R697" i="2"/>
  <c r="R701" i="2"/>
  <c r="R705" i="2"/>
  <c r="AF673" i="2"/>
  <c r="AF675" i="2"/>
  <c r="AF676" i="2"/>
  <c r="AF677" i="2"/>
  <c r="AF679" i="2"/>
  <c r="AF681" i="2"/>
  <c r="AF683" i="2"/>
  <c r="AF685" i="2"/>
  <c r="AF687" i="2"/>
  <c r="AF689" i="2"/>
  <c r="AM689" i="2"/>
  <c r="AF693" i="2"/>
  <c r="AM693" i="2"/>
  <c r="AN693" i="2"/>
  <c r="AF691" i="2"/>
  <c r="AF695" i="2"/>
  <c r="AF697" i="2"/>
  <c r="AF699" i="2"/>
  <c r="AF701" i="2"/>
  <c r="AF703" i="2"/>
  <c r="AT675" i="2"/>
  <c r="BA675" i="2"/>
  <c r="BB675" i="2"/>
  <c r="BC675" i="2"/>
  <c r="AT676" i="2"/>
  <c r="AT679" i="2"/>
  <c r="BA679" i="2"/>
  <c r="BA683" i="2"/>
  <c r="BB683" i="2"/>
  <c r="AT680" i="2"/>
  <c r="AT683" i="2"/>
  <c r="AT684" i="2"/>
  <c r="AT688" i="2"/>
  <c r="AT687" i="2"/>
  <c r="AT691" i="2"/>
  <c r="AT695" i="2"/>
  <c r="AT699" i="2"/>
  <c r="AT703" i="2"/>
  <c r="AT707" i="2"/>
  <c r="BC707" i="2"/>
  <c r="BW670" i="2"/>
  <c r="BW671" i="2"/>
  <c r="BW672" i="2"/>
  <c r="BW673" i="2"/>
  <c r="BW674" i="2"/>
  <c r="BW675" i="2"/>
  <c r="BW676" i="2"/>
  <c r="BW677" i="2"/>
  <c r="BW678" i="2"/>
  <c r="BW682" i="2"/>
  <c r="BW684" i="2"/>
  <c r="BW685" i="2"/>
  <c r="BW686" i="2"/>
  <c r="BW687" i="2"/>
  <c r="BW688" i="2"/>
  <c r="BW689" i="2"/>
  <c r="BW690" i="2"/>
  <c r="BW691" i="2"/>
  <c r="BW692" i="2"/>
  <c r="BW693" i="2"/>
  <c r="BW694" i="2"/>
  <c r="BW695" i="2"/>
  <c r="BW696" i="2"/>
  <c r="BW697" i="2"/>
  <c r="BW698" i="2"/>
  <c r="BW699" i="2"/>
  <c r="BW700" i="2"/>
  <c r="BW701" i="2"/>
  <c r="BW702" i="2"/>
  <c r="BW703" i="2"/>
  <c r="BW704" i="2"/>
  <c r="BW705" i="2"/>
  <c r="BW706" i="2"/>
  <c r="BW707" i="2"/>
  <c r="BW708" i="2"/>
  <c r="BW709" i="2"/>
  <c r="BW710" i="2"/>
  <c r="BW711" i="2"/>
  <c r="BW712" i="2"/>
  <c r="BW713" i="2"/>
  <c r="BW714" i="2"/>
  <c r="BW715" i="2"/>
  <c r="BW716" i="2"/>
  <c r="BW718" i="2"/>
  <c r="BW719" i="2"/>
  <c r="BW720" i="2"/>
  <c r="CK670" i="2"/>
  <c r="CK671" i="2"/>
  <c r="CT671" i="2"/>
  <c r="CK672" i="2"/>
  <c r="CK673" i="2"/>
  <c r="CK674" i="2"/>
  <c r="CK675" i="2"/>
  <c r="CK676" i="2"/>
  <c r="CY676" i="2"/>
  <c r="DM676" i="2"/>
  <c r="CK677" i="2"/>
  <c r="CK678" i="2"/>
  <c r="CK682" i="2"/>
  <c r="CK684" i="2"/>
  <c r="CK685" i="2"/>
  <c r="CK686" i="2"/>
  <c r="CK687" i="2"/>
  <c r="CK688" i="2"/>
  <c r="CK689" i="2"/>
  <c r="CK690" i="2"/>
  <c r="CK691" i="2"/>
  <c r="CK692" i="2"/>
  <c r="CK693" i="2"/>
  <c r="CK694" i="2"/>
  <c r="CK695" i="2"/>
  <c r="CK696" i="2"/>
  <c r="CK697" i="2"/>
  <c r="CK698" i="2"/>
  <c r="CK699" i="2"/>
  <c r="CK700" i="2"/>
  <c r="CK701" i="2"/>
  <c r="CK702" i="2"/>
  <c r="CK703" i="2"/>
  <c r="CK704" i="2"/>
  <c r="CK705" i="2"/>
  <c r="CK706" i="2"/>
  <c r="CK707" i="2"/>
  <c r="CK708" i="2"/>
  <c r="CK709" i="2"/>
  <c r="CK710" i="2"/>
  <c r="CK711" i="2"/>
  <c r="CK712" i="2"/>
  <c r="CK713" i="2"/>
  <c r="CK714" i="2"/>
  <c r="CK715" i="2"/>
  <c r="CK716" i="2"/>
  <c r="CK718" i="2"/>
  <c r="CK719" i="2"/>
  <c r="CK720" i="2"/>
  <c r="CY670" i="2"/>
  <c r="CY671" i="2"/>
  <c r="CY672" i="2"/>
  <c r="CY673" i="2"/>
  <c r="CY674" i="2"/>
  <c r="CY675" i="2"/>
  <c r="CY677" i="2"/>
  <c r="CY678" i="2"/>
  <c r="CY682" i="2"/>
  <c r="CY684" i="2"/>
  <c r="CY685" i="2"/>
  <c r="CY686" i="2"/>
  <c r="CY687" i="2"/>
  <c r="CY688" i="2"/>
  <c r="CY689" i="2"/>
  <c r="CY690" i="2"/>
  <c r="CY691" i="2"/>
  <c r="CY692" i="2"/>
  <c r="CY693" i="2"/>
  <c r="CY694" i="2"/>
  <c r="CY695" i="2"/>
  <c r="CY696" i="2"/>
  <c r="CY697" i="2"/>
  <c r="CY698" i="2"/>
  <c r="CY699" i="2"/>
  <c r="CY700" i="2"/>
  <c r="CY701" i="2"/>
  <c r="CY702" i="2"/>
  <c r="CY703" i="2"/>
  <c r="CY704" i="2"/>
  <c r="CY705" i="2"/>
  <c r="CY706" i="2"/>
  <c r="CY707" i="2"/>
  <c r="CY708" i="2"/>
  <c r="CY709" i="2"/>
  <c r="CY710" i="2"/>
  <c r="CY711" i="2"/>
  <c r="CY712" i="2"/>
  <c r="CY713" i="2"/>
  <c r="CY714" i="2"/>
  <c r="CY715" i="2"/>
  <c r="CY716" i="2"/>
  <c r="CY718" i="2"/>
  <c r="CY719" i="2"/>
  <c r="CY720" i="2"/>
  <c r="DM670" i="2"/>
  <c r="DM671" i="2"/>
  <c r="DM672" i="2"/>
  <c r="DM673" i="2"/>
  <c r="DM674" i="2"/>
  <c r="DM675" i="2"/>
  <c r="DM677" i="2"/>
  <c r="DM678" i="2"/>
  <c r="DM682" i="2"/>
  <c r="DM684" i="2"/>
  <c r="DM685" i="2"/>
  <c r="DM686" i="2"/>
  <c r="DM687" i="2"/>
  <c r="DM688" i="2"/>
  <c r="DM689" i="2"/>
  <c r="DM690" i="2"/>
  <c r="DM691" i="2"/>
  <c r="DM692" i="2"/>
  <c r="DM693" i="2"/>
  <c r="DM694" i="2"/>
  <c r="DM695" i="2"/>
  <c r="DM696" i="2"/>
  <c r="DM697" i="2"/>
  <c r="DM698" i="2"/>
  <c r="DM699" i="2"/>
  <c r="DM700" i="2"/>
  <c r="DM701" i="2"/>
  <c r="DM702" i="2"/>
  <c r="DM703" i="2"/>
  <c r="DM704" i="2"/>
  <c r="DM705" i="2"/>
  <c r="DM706" i="2"/>
  <c r="DM707" i="2"/>
  <c r="DM708" i="2"/>
  <c r="DM709" i="2"/>
  <c r="DM710" i="2"/>
  <c r="DM711" i="2"/>
  <c r="DM712" i="2"/>
  <c r="DM713" i="2"/>
  <c r="DM714" i="2"/>
  <c r="DM715" i="2"/>
  <c r="DM716" i="2"/>
  <c r="DM718" i="2"/>
  <c r="DM719" i="2"/>
  <c r="DM720" i="2"/>
  <c r="A726" i="2"/>
  <c r="DT744" i="2"/>
  <c r="DT745" i="2"/>
  <c r="DT746" i="2"/>
  <c r="DF744" i="2"/>
  <c r="DF745" i="2"/>
  <c r="DF746" i="2"/>
  <c r="DF747" i="2"/>
  <c r="CR744" i="2"/>
  <c r="CO744" i="2"/>
  <c r="CD750" i="2"/>
  <c r="CA750" i="2"/>
  <c r="AT771" i="2"/>
  <c r="AT767" i="2"/>
  <c r="AT763" i="2"/>
  <c r="AT759" i="2"/>
  <c r="AT755" i="2"/>
  <c r="AT751" i="2"/>
  <c r="AT747" i="2"/>
  <c r="BA747" i="2"/>
  <c r="AX747" i="2"/>
  <c r="AX759" i="2"/>
  <c r="AT772" i="2"/>
  <c r="AT768" i="2"/>
  <c r="AT764" i="2"/>
  <c r="AT760" i="2"/>
  <c r="AT756" i="2"/>
  <c r="AT752" i="2"/>
  <c r="AT748" i="2"/>
  <c r="BA748" i="2"/>
  <c r="BB748" i="2"/>
  <c r="AT773" i="2"/>
  <c r="AT769" i="2"/>
  <c r="AT765" i="2"/>
  <c r="AT761" i="2"/>
  <c r="AT757" i="2"/>
  <c r="AT753" i="2"/>
  <c r="AT749" i="2"/>
  <c r="AT774" i="2"/>
  <c r="AT770" i="2"/>
  <c r="AT766" i="2"/>
  <c r="AT762" i="2"/>
  <c r="AT758" i="2"/>
  <c r="AT754" i="2"/>
  <c r="AT750" i="2"/>
  <c r="BA750" i="2"/>
  <c r="BB750" i="2"/>
  <c r="BC750" i="2"/>
  <c r="AF771" i="2"/>
  <c r="AF767" i="2"/>
  <c r="AF763" i="2"/>
  <c r="AF759" i="2"/>
  <c r="AF755" i="2"/>
  <c r="AF751" i="2"/>
  <c r="AF747" i="2"/>
  <c r="AM747" i="2"/>
  <c r="AF772" i="2"/>
  <c r="AF768" i="2"/>
  <c r="AF764" i="2"/>
  <c r="AF760" i="2"/>
  <c r="AF756" i="2"/>
  <c r="AF752" i="2"/>
  <c r="AF748" i="2"/>
  <c r="AF773" i="2"/>
  <c r="AF769" i="2"/>
  <c r="AF765" i="2"/>
  <c r="AF761" i="2"/>
  <c r="AF757" i="2"/>
  <c r="AM757" i="2"/>
  <c r="AN757" i="2"/>
  <c r="AF753" i="2"/>
  <c r="AM753" i="2"/>
  <c r="AF774" i="2"/>
  <c r="AF770" i="2"/>
  <c r="AF766" i="2"/>
  <c r="AF762" i="2"/>
  <c r="AF758" i="2"/>
  <c r="AM758" i="2"/>
  <c r="AN758" i="2"/>
  <c r="AO758" i="2"/>
  <c r="AJ770" i="2"/>
  <c r="D771" i="2"/>
  <c r="D767" i="2"/>
  <c r="D763" i="2"/>
  <c r="D759" i="2"/>
  <c r="D755" i="2"/>
  <c r="D751" i="2"/>
  <c r="K747" i="2"/>
  <c r="D772" i="2"/>
  <c r="D768" i="2"/>
  <c r="D764" i="2"/>
  <c r="D760" i="2"/>
  <c r="D756" i="2"/>
  <c r="D752" i="2"/>
  <c r="K748" i="2"/>
  <c r="K752" i="2"/>
  <c r="L752" i="2"/>
  <c r="D773" i="2"/>
  <c r="D769" i="2"/>
  <c r="D765" i="2"/>
  <c r="D761" i="2"/>
  <c r="D757" i="2"/>
  <c r="D753" i="2"/>
  <c r="K749" i="2"/>
  <c r="D774" i="2"/>
  <c r="D770" i="2"/>
  <c r="D766" i="2"/>
  <c r="D762" i="2"/>
  <c r="D758" i="2"/>
  <c r="D754" i="2"/>
  <c r="K750" i="2"/>
  <c r="H754" i="2"/>
  <c r="R771" i="2"/>
  <c r="R767" i="2"/>
  <c r="R763" i="2"/>
  <c r="R759" i="2"/>
  <c r="R755" i="2"/>
  <c r="R751" i="2"/>
  <c r="Y747" i="2"/>
  <c r="R772" i="2"/>
  <c r="R768" i="2"/>
  <c r="R764" i="2"/>
  <c r="R760" i="2"/>
  <c r="R756" i="2"/>
  <c r="R752" i="2"/>
  <c r="Y748" i="2"/>
  <c r="R773" i="2"/>
  <c r="R769" i="2"/>
  <c r="R765" i="2"/>
  <c r="R761" i="2"/>
  <c r="R757" i="2"/>
  <c r="R753" i="2"/>
  <c r="Y753" i="2"/>
  <c r="Y749" i="2"/>
  <c r="AJ681" i="2"/>
  <c r="H674" i="2"/>
  <c r="DO670" i="2"/>
  <c r="DQ670" i="2"/>
  <c r="DT670" i="2"/>
  <c r="DQ671" i="2"/>
  <c r="DO671" i="2"/>
  <c r="DO672" i="2"/>
  <c r="DQ672" i="2"/>
  <c r="DU672" i="2"/>
  <c r="DO673" i="2"/>
  <c r="DQ673" i="2"/>
  <c r="DO674" i="2"/>
  <c r="DQ674" i="2"/>
  <c r="DO675" i="2"/>
  <c r="DQ675" i="2"/>
  <c r="DO676" i="2"/>
  <c r="DQ676" i="2"/>
  <c r="DO677" i="2"/>
  <c r="DQ677" i="2"/>
  <c r="DO678" i="2"/>
  <c r="DQ678" i="2"/>
  <c r="DA670" i="2"/>
  <c r="DC670" i="2"/>
  <c r="DA671" i="2"/>
  <c r="DC671" i="2"/>
  <c r="DA672" i="2"/>
  <c r="DC672" i="2"/>
  <c r="DA673" i="2"/>
  <c r="DC673" i="2"/>
  <c r="DA674" i="2"/>
  <c r="DC674" i="2"/>
  <c r="DA675" i="2"/>
  <c r="DC675" i="2"/>
  <c r="DA676" i="2"/>
  <c r="DC676" i="2"/>
  <c r="DA677" i="2"/>
  <c r="DC677" i="2"/>
  <c r="DA678" i="2"/>
  <c r="DC678" i="2"/>
  <c r="CM670" i="2"/>
  <c r="CO670" i="2"/>
  <c r="CS670" i="2"/>
  <c r="CT670" i="2"/>
  <c r="CM671" i="2"/>
  <c r="CO671" i="2"/>
  <c r="CM672" i="2"/>
  <c r="CO672" i="2"/>
  <c r="CM673" i="2"/>
  <c r="CO673" i="2"/>
  <c r="CM674" i="2"/>
  <c r="CO674" i="2"/>
  <c r="CM675" i="2"/>
  <c r="CO675" i="2"/>
  <c r="CM676" i="2"/>
  <c r="CO676" i="2"/>
  <c r="CM677" i="2"/>
  <c r="CO677" i="2"/>
  <c r="CM678" i="2"/>
  <c r="CO678" i="2"/>
  <c r="BY670" i="2"/>
  <c r="CA670" i="2"/>
  <c r="BY671" i="2"/>
  <c r="CA671" i="2"/>
  <c r="BY672" i="2"/>
  <c r="CA672" i="2"/>
  <c r="BY673" i="2"/>
  <c r="CA673" i="2"/>
  <c r="BY674" i="2"/>
  <c r="CA674" i="2"/>
  <c r="BY675" i="2"/>
  <c r="CA675" i="2"/>
  <c r="BY676" i="2"/>
  <c r="CA676" i="2"/>
  <c r="BY677" i="2"/>
  <c r="CA677" i="2"/>
  <c r="BY678" i="2"/>
  <c r="CA678" i="2"/>
  <c r="AV673" i="2"/>
  <c r="AX673" i="2"/>
  <c r="AZ673" i="2"/>
  <c r="AZ677" i="2"/>
  <c r="AZ681" i="2"/>
  <c r="AZ685" i="2"/>
  <c r="AZ689" i="2"/>
  <c r="AZ693" i="2"/>
  <c r="AZ697" i="2"/>
  <c r="AZ701" i="2"/>
  <c r="AZ705" i="2"/>
  <c r="AV674" i="2"/>
  <c r="AZ674" i="2"/>
  <c r="AZ678" i="2"/>
  <c r="AZ682" i="2"/>
  <c r="AZ686" i="2"/>
  <c r="AZ690" i="2"/>
  <c r="AZ694" i="2"/>
  <c r="AZ698" i="2"/>
  <c r="AZ702" i="2"/>
  <c r="AZ706" i="2"/>
  <c r="AV675" i="2"/>
  <c r="AX675" i="2"/>
  <c r="AZ675" i="2"/>
  <c r="AZ679" i="2"/>
  <c r="AZ683" i="2"/>
  <c r="AZ687" i="2"/>
  <c r="AZ691" i="2"/>
  <c r="AZ695" i="2"/>
  <c r="AZ699" i="2"/>
  <c r="AZ703" i="2"/>
  <c r="AV676" i="2"/>
  <c r="AX676" i="2"/>
  <c r="AZ676" i="2"/>
  <c r="AZ680" i="2"/>
  <c r="AZ684" i="2"/>
  <c r="AV677" i="2"/>
  <c r="AX677" i="2"/>
  <c r="AX733" i="2"/>
  <c r="AV678" i="2"/>
  <c r="AX678" i="2"/>
  <c r="AX679" i="2"/>
  <c r="AV679" i="2"/>
  <c r="AV680" i="2"/>
  <c r="AX680" i="2"/>
  <c r="AX683" i="2"/>
  <c r="AX688" i="2"/>
  <c r="BB688" i="2"/>
  <c r="BC688" i="2"/>
  <c r="AX692" i="2"/>
  <c r="AX696" i="2"/>
  <c r="AX700" i="2"/>
  <c r="AX704" i="2"/>
  <c r="AX708" i="2"/>
  <c r="AV681" i="2"/>
  <c r="AX681" i="2"/>
  <c r="AV682" i="2"/>
  <c r="AX682" i="2"/>
  <c r="AV683" i="2"/>
  <c r="AV684" i="2"/>
  <c r="AX684" i="2"/>
  <c r="AV685" i="2"/>
  <c r="AX685" i="2"/>
  <c r="AV686" i="2"/>
  <c r="AX686" i="2"/>
  <c r="AV687" i="2"/>
  <c r="AX687" i="2"/>
  <c r="AV688" i="2"/>
  <c r="AV689" i="2"/>
  <c r="AX689" i="2"/>
  <c r="AV690" i="2"/>
  <c r="AX690" i="2"/>
  <c r="AV691" i="2"/>
  <c r="AX691" i="2"/>
  <c r="AV692" i="2"/>
  <c r="AZ692" i="2"/>
  <c r="AZ696" i="2"/>
  <c r="AZ700" i="2"/>
  <c r="AZ704" i="2"/>
  <c r="AZ708" i="2"/>
  <c r="AV693" i="2"/>
  <c r="AX693" i="2"/>
  <c r="AV694" i="2"/>
  <c r="AX694" i="2"/>
  <c r="AV695" i="2"/>
  <c r="AX695" i="2"/>
  <c r="AV696" i="2"/>
  <c r="AV697" i="2"/>
  <c r="AX697" i="2"/>
  <c r="AV698" i="2"/>
  <c r="AX698" i="2"/>
  <c r="AV699" i="2"/>
  <c r="AX699" i="2"/>
  <c r="AV700" i="2"/>
  <c r="AV701" i="2"/>
  <c r="AX701" i="2"/>
  <c r="AV702" i="2"/>
  <c r="AX702" i="2"/>
  <c r="AV703" i="2"/>
  <c r="AX703" i="2"/>
  <c r="AV704" i="2"/>
  <c r="AH673" i="2"/>
  <c r="AJ673" i="2"/>
  <c r="AL673" i="2"/>
  <c r="AL677" i="2"/>
  <c r="AL681" i="2"/>
  <c r="AH674" i="2"/>
  <c r="AJ674" i="2"/>
  <c r="AL674" i="2"/>
  <c r="AL678" i="2"/>
  <c r="AL682" i="2"/>
  <c r="AL686" i="2"/>
  <c r="AL690" i="2"/>
  <c r="AL694" i="2"/>
  <c r="AL698" i="2"/>
  <c r="AL702" i="2"/>
  <c r="AL706" i="2"/>
  <c r="AH675" i="2"/>
  <c r="AJ675" i="2"/>
  <c r="AL675" i="2"/>
  <c r="AH676" i="2"/>
  <c r="AJ676" i="2"/>
  <c r="AN676" i="2"/>
  <c r="AH677" i="2"/>
  <c r="AJ677" i="2"/>
  <c r="AM673" i="2"/>
  <c r="AN673" i="2"/>
  <c r="AH678" i="2"/>
  <c r="AJ678" i="2"/>
  <c r="AJ693" i="2"/>
  <c r="AJ682" i="2"/>
  <c r="AJ686" i="2"/>
  <c r="AJ690" i="2"/>
  <c r="AJ698" i="2"/>
  <c r="AJ702" i="2"/>
  <c r="AJ706" i="2"/>
  <c r="AJ679" i="2"/>
  <c r="AN679" i="2"/>
  <c r="AH679" i="2"/>
  <c r="AL679" i="2"/>
  <c r="AL683" i="2"/>
  <c r="AL687" i="2"/>
  <c r="AH680" i="2"/>
  <c r="AJ680" i="2"/>
  <c r="AN680" i="2"/>
  <c r="AL680" i="2"/>
  <c r="AL684" i="2"/>
  <c r="AL688" i="2"/>
  <c r="AL692" i="2"/>
  <c r="AL696" i="2"/>
  <c r="AL700" i="2"/>
  <c r="AL704" i="2"/>
  <c r="AL708" i="2"/>
  <c r="AH681" i="2"/>
  <c r="AH682" i="2"/>
  <c r="AH683" i="2"/>
  <c r="AJ683" i="2"/>
  <c r="AH684" i="2"/>
  <c r="AJ684" i="2"/>
  <c r="AH685" i="2"/>
  <c r="AJ685" i="2"/>
  <c r="AN685" i="2"/>
  <c r="AH686" i="2"/>
  <c r="AH687" i="2"/>
  <c r="AJ687" i="2"/>
  <c r="AH688" i="2"/>
  <c r="AJ688" i="2"/>
  <c r="AH689" i="2"/>
  <c r="AJ689" i="2"/>
  <c r="AL689" i="2"/>
  <c r="AL693" i="2"/>
  <c r="AL697" i="2"/>
  <c r="AH690" i="2"/>
  <c r="AH691" i="2"/>
  <c r="AJ691" i="2"/>
  <c r="AH692" i="2"/>
  <c r="AJ692" i="2"/>
  <c r="AH693" i="2"/>
  <c r="AH694" i="2"/>
  <c r="AJ694" i="2"/>
  <c r="AH695" i="2"/>
  <c r="AJ695" i="2"/>
  <c r="AL695" i="2"/>
  <c r="AL699" i="2"/>
  <c r="AH696" i="2"/>
  <c r="AJ696" i="2"/>
  <c r="AH697" i="2"/>
  <c r="AJ697" i="2"/>
  <c r="AH698" i="2"/>
  <c r="AH699" i="2"/>
  <c r="AJ699" i="2"/>
  <c r="AH700" i="2"/>
  <c r="AJ700" i="2"/>
  <c r="AH701" i="2"/>
  <c r="AJ701" i="2"/>
  <c r="AH702" i="2"/>
  <c r="AH703" i="2"/>
  <c r="AJ703" i="2"/>
  <c r="AH704" i="2"/>
  <c r="AJ704" i="2"/>
  <c r="T673" i="2"/>
  <c r="X673" i="2"/>
  <c r="X677" i="2"/>
  <c r="T674" i="2"/>
  <c r="V674" i="2"/>
  <c r="X674" i="2"/>
  <c r="T675" i="2"/>
  <c r="V675" i="2"/>
  <c r="X675" i="2"/>
  <c r="X679" i="2"/>
  <c r="X683" i="2"/>
  <c r="X687" i="2"/>
  <c r="X691" i="2"/>
  <c r="X695" i="2"/>
  <c r="X699" i="2"/>
  <c r="X703" i="2"/>
  <c r="X707" i="2"/>
  <c r="T676" i="2"/>
  <c r="V676" i="2"/>
  <c r="X676" i="2"/>
  <c r="T677" i="2"/>
  <c r="V677" i="2"/>
  <c r="T678" i="2"/>
  <c r="V678" i="2"/>
  <c r="X678" i="2"/>
  <c r="X682" i="2"/>
  <c r="X686" i="2"/>
  <c r="X690" i="2"/>
  <c r="X694" i="2"/>
  <c r="X698" i="2"/>
  <c r="X702" i="2"/>
  <c r="X706" i="2"/>
  <c r="V686" i="2"/>
  <c r="V690" i="2"/>
  <c r="V693" i="2"/>
  <c r="Y689" i="2"/>
  <c r="V698" i="2"/>
  <c r="V702" i="2"/>
  <c r="V706" i="2"/>
  <c r="T679" i="2"/>
  <c r="V679" i="2"/>
  <c r="V684" i="2"/>
  <c r="V687" i="2"/>
  <c r="V691" i="2"/>
  <c r="V695" i="2"/>
  <c r="V699" i="2"/>
  <c r="V703" i="2"/>
  <c r="V707" i="2"/>
  <c r="T680" i="2"/>
  <c r="V680" i="2"/>
  <c r="V688" i="2"/>
  <c r="V692" i="2"/>
  <c r="V696" i="2"/>
  <c r="V700" i="2"/>
  <c r="V704" i="2"/>
  <c r="V708" i="2"/>
  <c r="X680" i="2"/>
  <c r="X684" i="2"/>
  <c r="X688" i="2"/>
  <c r="X692" i="2"/>
  <c r="X696" i="2"/>
  <c r="X700" i="2"/>
  <c r="X704" i="2"/>
  <c r="X708" i="2"/>
  <c r="T681" i="2"/>
  <c r="V681" i="2"/>
  <c r="Z681" i="2"/>
  <c r="V685" i="2"/>
  <c r="V689" i="2"/>
  <c r="V694" i="2"/>
  <c r="V697" i="2"/>
  <c r="V701" i="2"/>
  <c r="V705" i="2"/>
  <c r="V733" i="2"/>
  <c r="T682" i="2"/>
  <c r="T683" i="2"/>
  <c r="T684" i="2"/>
  <c r="T685" i="2"/>
  <c r="X685" i="2"/>
  <c r="X689" i="2"/>
  <c r="X693" i="2"/>
  <c r="X697" i="2"/>
  <c r="X701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F673" i="2"/>
  <c r="J673" i="2"/>
  <c r="J677" i="2"/>
  <c r="J681" i="2"/>
  <c r="J685" i="2"/>
  <c r="J689" i="2"/>
  <c r="J693" i="2"/>
  <c r="J697" i="2"/>
  <c r="J701" i="2"/>
  <c r="J705" i="2"/>
  <c r="F674" i="2"/>
  <c r="F675" i="2"/>
  <c r="J675" i="2"/>
  <c r="J679" i="2"/>
  <c r="J683" i="2"/>
  <c r="J687" i="2"/>
  <c r="J691" i="2"/>
  <c r="J695" i="2"/>
  <c r="J699" i="2"/>
  <c r="J703" i="2"/>
  <c r="J707" i="2"/>
  <c r="F676" i="2"/>
  <c r="H676" i="2"/>
  <c r="J676" i="2"/>
  <c r="J680" i="2"/>
  <c r="J684" i="2"/>
  <c r="J688" i="2"/>
  <c r="J692" i="2"/>
  <c r="J696" i="2"/>
  <c r="J700" i="2"/>
  <c r="J704" i="2"/>
  <c r="J708" i="2"/>
  <c r="H677" i="2"/>
  <c r="F677" i="2"/>
  <c r="K678" i="2"/>
  <c r="F678" i="2"/>
  <c r="H678" i="2"/>
  <c r="J678" i="2"/>
  <c r="J682" i="2"/>
  <c r="J686" i="2"/>
  <c r="J690" i="2"/>
  <c r="J694" i="2"/>
  <c r="F679" i="2"/>
  <c r="H679" i="2"/>
  <c r="H687" i="2"/>
  <c r="H691" i="2"/>
  <c r="H695" i="2"/>
  <c r="H699" i="2"/>
  <c r="H703" i="2"/>
  <c r="H707" i="2"/>
  <c r="H684" i="2"/>
  <c r="F680" i="2"/>
  <c r="H680" i="2"/>
  <c r="H683" i="2"/>
  <c r="H688" i="2"/>
  <c r="H692" i="2"/>
  <c r="H696" i="2"/>
  <c r="H700" i="2"/>
  <c r="H704" i="2"/>
  <c r="H708" i="2"/>
  <c r="F681" i="2"/>
  <c r="H681" i="2"/>
  <c r="F682" i="2"/>
  <c r="H682" i="2"/>
  <c r="F683" i="2"/>
  <c r="F684" i="2"/>
  <c r="F685" i="2"/>
  <c r="H685" i="2"/>
  <c r="F686" i="2"/>
  <c r="H686" i="2"/>
  <c r="F687" i="2"/>
  <c r="F688" i="2"/>
  <c r="F689" i="2"/>
  <c r="H689" i="2"/>
  <c r="F690" i="2"/>
  <c r="H690" i="2"/>
  <c r="J698" i="2"/>
  <c r="J702" i="2"/>
  <c r="J706" i="2"/>
  <c r="F691" i="2"/>
  <c r="F692" i="2"/>
  <c r="F693" i="2"/>
  <c r="H693" i="2"/>
  <c r="F694" i="2"/>
  <c r="H694" i="2"/>
  <c r="F695" i="2"/>
  <c r="F696" i="2"/>
  <c r="F697" i="2"/>
  <c r="H697" i="2"/>
  <c r="F698" i="2"/>
  <c r="H698" i="2"/>
  <c r="F699" i="2"/>
  <c r="F700" i="2"/>
  <c r="F701" i="2"/>
  <c r="H701" i="2"/>
  <c r="F702" i="2"/>
  <c r="H702" i="2"/>
  <c r="F703" i="2"/>
  <c r="F704" i="2"/>
  <c r="H705" i="2"/>
  <c r="J733" i="2"/>
  <c r="K733" i="2"/>
  <c r="X733" i="2"/>
  <c r="Y733" i="2"/>
  <c r="AJ705" i="2"/>
  <c r="AL733" i="2"/>
  <c r="AM733" i="2"/>
  <c r="AX705" i="2"/>
  <c r="AZ733" i="2"/>
  <c r="BA733" i="2"/>
  <c r="H706" i="2"/>
  <c r="J734" i="2"/>
  <c r="K734" i="2"/>
  <c r="X734" i="2"/>
  <c r="Y734" i="2"/>
  <c r="AL734" i="2"/>
  <c r="AM734" i="2"/>
  <c r="AX706" i="2"/>
  <c r="AZ734" i="2"/>
  <c r="BA734" i="2"/>
  <c r="J735" i="2"/>
  <c r="K735" i="2"/>
  <c r="X735" i="2"/>
  <c r="Y735" i="2"/>
  <c r="AL735" i="2"/>
  <c r="AM735" i="2"/>
  <c r="AX707" i="2"/>
  <c r="BB707" i="2"/>
  <c r="AZ735" i="2"/>
  <c r="BA735" i="2"/>
  <c r="J736" i="2"/>
  <c r="K736" i="2"/>
  <c r="X736" i="2"/>
  <c r="Y736" i="2"/>
  <c r="AJ708" i="2"/>
  <c r="AL736" i="2"/>
  <c r="AM736" i="2"/>
  <c r="AZ736" i="2"/>
  <c r="BA736" i="2"/>
  <c r="BU670" i="2"/>
  <c r="CI670" i="2"/>
  <c r="CW670" i="2"/>
  <c r="DK670" i="2"/>
  <c r="BU671" i="2"/>
  <c r="CI671" i="2"/>
  <c r="CW671" i="2"/>
  <c r="DK671" i="2"/>
  <c r="BU672" i="2"/>
  <c r="CI672" i="2"/>
  <c r="CW672" i="2"/>
  <c r="DK672" i="2"/>
  <c r="P673" i="2"/>
  <c r="AD673" i="2"/>
  <c r="AR673" i="2"/>
  <c r="BU673" i="2"/>
  <c r="CI673" i="2"/>
  <c r="CW673" i="2"/>
  <c r="DK673" i="2"/>
  <c r="BU674" i="2"/>
  <c r="CI674" i="2"/>
  <c r="CW674" i="2"/>
  <c r="DK674" i="2"/>
  <c r="BU675" i="2"/>
  <c r="CI675" i="2"/>
  <c r="CW675" i="2"/>
  <c r="DK675" i="2"/>
  <c r="BU676" i="2"/>
  <c r="CI676" i="2"/>
  <c r="CW676" i="2"/>
  <c r="DK676" i="2"/>
  <c r="P677" i="2"/>
  <c r="AD677" i="2"/>
  <c r="AR677" i="2"/>
  <c r="CI677" i="2"/>
  <c r="CW677" i="2"/>
  <c r="DK677" i="2"/>
  <c r="BU678" i="2"/>
  <c r="CI678" i="2"/>
  <c r="CW678" i="2"/>
  <c r="DK678" i="2"/>
  <c r="BU679" i="2"/>
  <c r="BU680" i="2"/>
  <c r="P681" i="2"/>
  <c r="AD681" i="2"/>
  <c r="AR681" i="2"/>
  <c r="BU681" i="2"/>
  <c r="BU682" i="2"/>
  <c r="BY682" i="2"/>
  <c r="CA682" i="2"/>
  <c r="CD682" i="2"/>
  <c r="CE682" i="2"/>
  <c r="CF682" i="2"/>
  <c r="CI682" i="2"/>
  <c r="CM682" i="2"/>
  <c r="CO682" i="2"/>
  <c r="CR682" i="2"/>
  <c r="CS682" i="2"/>
  <c r="CT682" i="2"/>
  <c r="CW682" i="2"/>
  <c r="DA682" i="2"/>
  <c r="DC682" i="2"/>
  <c r="DF682" i="2"/>
  <c r="DG682" i="2"/>
  <c r="DH682" i="2"/>
  <c r="DK682" i="2"/>
  <c r="DO682" i="2"/>
  <c r="DQ682" i="2"/>
  <c r="DT682" i="2"/>
  <c r="DU682" i="2"/>
  <c r="DV682" i="2"/>
  <c r="BU683" i="2"/>
  <c r="CF683" i="2"/>
  <c r="CI683" i="2"/>
  <c r="CT683" i="2"/>
  <c r="CW683" i="2"/>
  <c r="DK683" i="2"/>
  <c r="BU684" i="2"/>
  <c r="BY684" i="2"/>
  <c r="CA684" i="2"/>
  <c r="CD684" i="2"/>
  <c r="CE684" i="2"/>
  <c r="CF684" i="2"/>
  <c r="CI684" i="2"/>
  <c r="CM684" i="2"/>
  <c r="CO684" i="2"/>
  <c r="CR684" i="2"/>
  <c r="CS684" i="2"/>
  <c r="CT684" i="2"/>
  <c r="CW684" i="2"/>
  <c r="DA684" i="2"/>
  <c r="DC684" i="2"/>
  <c r="DF684" i="2"/>
  <c r="DG684" i="2"/>
  <c r="DH684" i="2"/>
  <c r="DK684" i="2"/>
  <c r="DO684" i="2"/>
  <c r="DQ684" i="2"/>
  <c r="DT684" i="2"/>
  <c r="DU684" i="2"/>
  <c r="DV684" i="2"/>
  <c r="P685" i="2"/>
  <c r="AD685" i="2"/>
  <c r="AR685" i="2"/>
  <c r="BU685" i="2"/>
  <c r="BY685" i="2"/>
  <c r="CA685" i="2"/>
  <c r="CD685" i="2"/>
  <c r="CE685" i="2"/>
  <c r="CF685" i="2"/>
  <c r="CI685" i="2"/>
  <c r="CM685" i="2"/>
  <c r="CO685" i="2"/>
  <c r="CR685" i="2"/>
  <c r="CS685" i="2"/>
  <c r="CT685" i="2"/>
  <c r="CW685" i="2"/>
  <c r="DA685" i="2"/>
  <c r="DC685" i="2"/>
  <c r="DF685" i="2"/>
  <c r="DG685" i="2"/>
  <c r="DH685" i="2"/>
  <c r="DK685" i="2"/>
  <c r="DO685" i="2"/>
  <c r="DQ685" i="2"/>
  <c r="DT685" i="2"/>
  <c r="DU685" i="2"/>
  <c r="DV685" i="2"/>
  <c r="BU686" i="2"/>
  <c r="BY686" i="2"/>
  <c r="CA686" i="2"/>
  <c r="CD686" i="2"/>
  <c r="CE686" i="2"/>
  <c r="CF686" i="2"/>
  <c r="CI686" i="2"/>
  <c r="CM686" i="2"/>
  <c r="CO686" i="2"/>
  <c r="CR686" i="2"/>
  <c r="CS686" i="2"/>
  <c r="CT686" i="2"/>
  <c r="CW686" i="2"/>
  <c r="DA686" i="2"/>
  <c r="DC686" i="2"/>
  <c r="DF686" i="2"/>
  <c r="DG686" i="2"/>
  <c r="DH686" i="2"/>
  <c r="DK686" i="2"/>
  <c r="DO686" i="2"/>
  <c r="DQ686" i="2"/>
  <c r="DT686" i="2"/>
  <c r="DU686" i="2"/>
  <c r="DV686" i="2"/>
  <c r="BU687" i="2"/>
  <c r="BY687" i="2"/>
  <c r="CA687" i="2"/>
  <c r="CD687" i="2"/>
  <c r="CE687" i="2"/>
  <c r="CF687" i="2"/>
  <c r="CI687" i="2"/>
  <c r="CM687" i="2"/>
  <c r="CO687" i="2"/>
  <c r="CR687" i="2"/>
  <c r="CS687" i="2"/>
  <c r="CT687" i="2"/>
  <c r="CW687" i="2"/>
  <c r="DA687" i="2"/>
  <c r="DC687" i="2"/>
  <c r="DF687" i="2"/>
  <c r="DG687" i="2"/>
  <c r="DH687" i="2"/>
  <c r="DK687" i="2"/>
  <c r="DO687" i="2"/>
  <c r="DQ687" i="2"/>
  <c r="DT687" i="2"/>
  <c r="DU687" i="2"/>
  <c r="DV687" i="2"/>
  <c r="BU688" i="2"/>
  <c r="BY688" i="2"/>
  <c r="CA688" i="2"/>
  <c r="CD688" i="2"/>
  <c r="CE688" i="2"/>
  <c r="CF688" i="2"/>
  <c r="CI688" i="2"/>
  <c r="CM688" i="2"/>
  <c r="CO688" i="2"/>
  <c r="CR688" i="2"/>
  <c r="CS688" i="2"/>
  <c r="CT688" i="2"/>
  <c r="CW688" i="2"/>
  <c r="DA688" i="2"/>
  <c r="DC688" i="2"/>
  <c r="DF688" i="2"/>
  <c r="DG688" i="2"/>
  <c r="DH688" i="2"/>
  <c r="DK688" i="2"/>
  <c r="DO688" i="2"/>
  <c r="DQ688" i="2"/>
  <c r="DT688" i="2"/>
  <c r="DU688" i="2"/>
  <c r="DV688" i="2"/>
  <c r="P689" i="2"/>
  <c r="AD689" i="2"/>
  <c r="AR689" i="2"/>
  <c r="BU689" i="2"/>
  <c r="BY689" i="2"/>
  <c r="CA689" i="2"/>
  <c r="CD689" i="2"/>
  <c r="CE689" i="2"/>
  <c r="CF689" i="2"/>
  <c r="CI689" i="2"/>
  <c r="CM689" i="2"/>
  <c r="CO689" i="2"/>
  <c r="CR689" i="2"/>
  <c r="CS689" i="2"/>
  <c r="CT689" i="2"/>
  <c r="CW689" i="2"/>
  <c r="DA689" i="2"/>
  <c r="DC689" i="2"/>
  <c r="DF689" i="2"/>
  <c r="DG689" i="2"/>
  <c r="DH689" i="2"/>
  <c r="DK689" i="2"/>
  <c r="DO689" i="2"/>
  <c r="DQ689" i="2"/>
  <c r="DT689" i="2"/>
  <c r="DU689" i="2"/>
  <c r="DV689" i="2"/>
  <c r="BY690" i="2"/>
  <c r="CA690" i="2"/>
  <c r="CE690" i="2"/>
  <c r="CF690" i="2"/>
  <c r="CM690" i="2"/>
  <c r="CO690" i="2"/>
  <c r="CS690" i="2"/>
  <c r="CT690" i="2"/>
  <c r="DA690" i="2"/>
  <c r="DC690" i="2"/>
  <c r="DG690" i="2"/>
  <c r="DH690" i="2"/>
  <c r="DO690" i="2"/>
  <c r="DQ690" i="2"/>
  <c r="DU690" i="2"/>
  <c r="DV690" i="2"/>
  <c r="BY691" i="2"/>
  <c r="CA691" i="2"/>
  <c r="CE691" i="2"/>
  <c r="CF691" i="2"/>
  <c r="CM691" i="2"/>
  <c r="CO691" i="2"/>
  <c r="CS691" i="2"/>
  <c r="CT691" i="2"/>
  <c r="DA691" i="2"/>
  <c r="DC691" i="2"/>
  <c r="DG691" i="2"/>
  <c r="DH691" i="2"/>
  <c r="DO691" i="2"/>
  <c r="DQ691" i="2"/>
  <c r="DU691" i="2"/>
  <c r="DV691" i="2"/>
  <c r="CA692" i="2"/>
  <c r="CE692" i="2"/>
  <c r="CF692" i="2"/>
  <c r="CO692" i="2"/>
  <c r="CS692" i="2"/>
  <c r="CT692" i="2"/>
  <c r="DC692" i="2"/>
  <c r="DG692" i="2"/>
  <c r="DH692" i="2"/>
  <c r="DQ692" i="2"/>
  <c r="DU692" i="2"/>
  <c r="DV692" i="2"/>
  <c r="P693" i="2"/>
  <c r="AD693" i="2"/>
  <c r="AR693" i="2"/>
  <c r="BY693" i="2"/>
  <c r="CA693" i="2"/>
  <c r="CE693" i="2"/>
  <c r="CF693" i="2"/>
  <c r="CM693" i="2"/>
  <c r="CO693" i="2"/>
  <c r="CS693" i="2"/>
  <c r="CT693" i="2"/>
  <c r="DA693" i="2"/>
  <c r="DC693" i="2"/>
  <c r="DG693" i="2"/>
  <c r="DH693" i="2"/>
  <c r="DO693" i="2"/>
  <c r="DQ693" i="2"/>
  <c r="DU693" i="2"/>
  <c r="DV693" i="2"/>
  <c r="P694" i="2"/>
  <c r="AD694" i="2"/>
  <c r="AR694" i="2"/>
  <c r="BY694" i="2"/>
  <c r="CA694" i="2"/>
  <c r="CE694" i="2"/>
  <c r="CF694" i="2"/>
  <c r="CM694" i="2"/>
  <c r="CO694" i="2"/>
  <c r="CS694" i="2"/>
  <c r="CT694" i="2"/>
  <c r="DA694" i="2"/>
  <c r="DC694" i="2"/>
  <c r="DG694" i="2"/>
  <c r="DH694" i="2"/>
  <c r="DO694" i="2"/>
  <c r="DQ694" i="2"/>
  <c r="DU694" i="2"/>
  <c r="DV694" i="2"/>
  <c r="CA695" i="2"/>
  <c r="CE695" i="2"/>
  <c r="CF695" i="2"/>
  <c r="CO695" i="2"/>
  <c r="CS695" i="2"/>
  <c r="CT695" i="2"/>
  <c r="DC695" i="2"/>
  <c r="DG695" i="2"/>
  <c r="DH695" i="2"/>
  <c r="DQ695" i="2"/>
  <c r="DU695" i="2"/>
  <c r="DV695" i="2"/>
  <c r="CA696" i="2"/>
  <c r="CE696" i="2"/>
  <c r="CF696" i="2"/>
  <c r="CO696" i="2"/>
  <c r="CS696" i="2"/>
  <c r="CT696" i="2"/>
  <c r="DC696" i="2"/>
  <c r="DG696" i="2"/>
  <c r="DH696" i="2"/>
  <c r="DQ696" i="2"/>
  <c r="DU696" i="2"/>
  <c r="DV696" i="2"/>
  <c r="P697" i="2"/>
  <c r="AD697" i="2"/>
  <c r="AR697" i="2"/>
  <c r="CA697" i="2"/>
  <c r="CE697" i="2"/>
  <c r="CF697" i="2"/>
  <c r="CO697" i="2"/>
  <c r="CS697" i="2"/>
  <c r="CT697" i="2"/>
  <c r="DC697" i="2"/>
  <c r="DG697" i="2"/>
  <c r="DH697" i="2"/>
  <c r="DQ697" i="2"/>
  <c r="DU697" i="2"/>
  <c r="DV697" i="2"/>
  <c r="CA698" i="2"/>
  <c r="CE698" i="2"/>
  <c r="CF698" i="2"/>
  <c r="CO698" i="2"/>
  <c r="CS698" i="2"/>
  <c r="CT698" i="2"/>
  <c r="DC698" i="2"/>
  <c r="DG698" i="2"/>
  <c r="DH698" i="2"/>
  <c r="DQ698" i="2"/>
  <c r="DU698" i="2"/>
  <c r="DV698" i="2"/>
  <c r="CA699" i="2"/>
  <c r="CE699" i="2"/>
  <c r="CF699" i="2"/>
  <c r="CO699" i="2"/>
  <c r="CS699" i="2"/>
  <c r="CT699" i="2"/>
  <c r="DC699" i="2"/>
  <c r="DG699" i="2"/>
  <c r="DH699" i="2"/>
  <c r="DQ699" i="2"/>
  <c r="DU699" i="2"/>
  <c r="DV699" i="2"/>
  <c r="CA700" i="2"/>
  <c r="CE700" i="2"/>
  <c r="CF700" i="2"/>
  <c r="CO700" i="2"/>
  <c r="CS700" i="2"/>
  <c r="CT700" i="2"/>
  <c r="DC700" i="2"/>
  <c r="DG700" i="2"/>
  <c r="DH700" i="2"/>
  <c r="DQ700" i="2"/>
  <c r="DU700" i="2"/>
  <c r="DV700" i="2"/>
  <c r="P701" i="2"/>
  <c r="AD701" i="2"/>
  <c r="AR701" i="2"/>
  <c r="CA701" i="2"/>
  <c r="CE701" i="2"/>
  <c r="CF701" i="2"/>
  <c r="CO701" i="2"/>
  <c r="CS701" i="2"/>
  <c r="CT701" i="2"/>
  <c r="DC701" i="2"/>
  <c r="DG701" i="2"/>
  <c r="DH701" i="2"/>
  <c r="DQ701" i="2"/>
  <c r="DU701" i="2"/>
  <c r="DV701" i="2"/>
  <c r="CA702" i="2"/>
  <c r="CE702" i="2"/>
  <c r="CF702" i="2"/>
  <c r="CO702" i="2"/>
  <c r="CS702" i="2"/>
  <c r="CT702" i="2"/>
  <c r="DC702" i="2"/>
  <c r="DG702" i="2"/>
  <c r="DH702" i="2"/>
  <c r="DQ702" i="2"/>
  <c r="DU702" i="2"/>
  <c r="DV702" i="2"/>
  <c r="CA703" i="2"/>
  <c r="CE703" i="2"/>
  <c r="CF703" i="2"/>
  <c r="CO703" i="2"/>
  <c r="CS703" i="2"/>
  <c r="CT703" i="2"/>
  <c r="DC703" i="2"/>
  <c r="DG703" i="2"/>
  <c r="DH703" i="2"/>
  <c r="DQ703" i="2"/>
  <c r="DU703" i="2"/>
  <c r="DV703" i="2"/>
  <c r="CA704" i="2"/>
  <c r="CE704" i="2"/>
  <c r="CF704" i="2"/>
  <c r="CO704" i="2"/>
  <c r="CS704" i="2"/>
  <c r="CT704" i="2"/>
  <c r="DC704" i="2"/>
  <c r="DG704" i="2"/>
  <c r="DH704" i="2"/>
  <c r="DQ704" i="2"/>
  <c r="DU704" i="2"/>
  <c r="DV704" i="2"/>
  <c r="F705" i="2"/>
  <c r="P705" i="2"/>
  <c r="T705" i="2"/>
  <c r="AD705" i="2"/>
  <c r="AH705" i="2"/>
  <c r="AL705" i="2"/>
  <c r="AR705" i="2"/>
  <c r="AV705" i="2"/>
  <c r="CA705" i="2"/>
  <c r="CE705" i="2"/>
  <c r="CF705" i="2"/>
  <c r="CO705" i="2"/>
  <c r="CS705" i="2"/>
  <c r="CT705" i="2"/>
  <c r="DC705" i="2"/>
  <c r="DG705" i="2"/>
  <c r="DH705" i="2"/>
  <c r="DQ705" i="2"/>
  <c r="DU705" i="2"/>
  <c r="DV705" i="2"/>
  <c r="F706" i="2"/>
  <c r="T706" i="2"/>
  <c r="AH706" i="2"/>
  <c r="AV706" i="2"/>
  <c r="CA706" i="2"/>
  <c r="CE706" i="2"/>
  <c r="CF706" i="2"/>
  <c r="CO706" i="2"/>
  <c r="CS706" i="2"/>
  <c r="CT706" i="2"/>
  <c r="DC706" i="2"/>
  <c r="DG706" i="2"/>
  <c r="DH706" i="2"/>
  <c r="DQ706" i="2"/>
  <c r="DU706" i="2"/>
  <c r="DV706" i="2"/>
  <c r="F707" i="2"/>
  <c r="T707" i="2"/>
  <c r="AH707" i="2"/>
  <c r="AL707" i="2"/>
  <c r="AV707" i="2"/>
  <c r="CA707" i="2"/>
  <c r="CE707" i="2"/>
  <c r="CF707" i="2"/>
  <c r="CO707" i="2"/>
  <c r="CS707" i="2"/>
  <c r="CT707" i="2"/>
  <c r="DC707" i="2"/>
  <c r="DG707" i="2"/>
  <c r="DH707" i="2"/>
  <c r="DQ707" i="2"/>
  <c r="DU707" i="2"/>
  <c r="DV707" i="2"/>
  <c r="F708" i="2"/>
  <c r="T708" i="2"/>
  <c r="AH708" i="2"/>
  <c r="AV708" i="2"/>
  <c r="CA708" i="2"/>
  <c r="CE708" i="2"/>
  <c r="CF708" i="2"/>
  <c r="CO708" i="2"/>
  <c r="CS708" i="2"/>
  <c r="CT708" i="2"/>
  <c r="DC708" i="2"/>
  <c r="DG708" i="2"/>
  <c r="DH708" i="2"/>
  <c r="DQ708" i="2"/>
  <c r="DU708" i="2"/>
  <c r="DV708" i="2"/>
  <c r="CA709" i="2"/>
  <c r="CE709" i="2"/>
  <c r="CF709" i="2"/>
  <c r="CO709" i="2"/>
  <c r="CS709" i="2"/>
  <c r="CT709" i="2"/>
  <c r="DC709" i="2"/>
  <c r="DG709" i="2"/>
  <c r="DH709" i="2"/>
  <c r="DQ709" i="2"/>
  <c r="DU709" i="2"/>
  <c r="DV709" i="2"/>
  <c r="CA710" i="2"/>
  <c r="CE710" i="2"/>
  <c r="CF710" i="2"/>
  <c r="CO710" i="2"/>
  <c r="CS710" i="2"/>
  <c r="CT710" i="2"/>
  <c r="DC710" i="2"/>
  <c r="DG710" i="2"/>
  <c r="DH710" i="2"/>
  <c r="DQ710" i="2"/>
  <c r="DU710" i="2"/>
  <c r="DV710" i="2"/>
  <c r="CA711" i="2"/>
  <c r="CE711" i="2"/>
  <c r="CF711" i="2"/>
  <c r="CO711" i="2"/>
  <c r="CS711" i="2"/>
  <c r="CT711" i="2"/>
  <c r="DC711" i="2"/>
  <c r="DG711" i="2"/>
  <c r="DH711" i="2"/>
  <c r="DQ711" i="2"/>
  <c r="DU711" i="2"/>
  <c r="DV711" i="2"/>
  <c r="CA712" i="2"/>
  <c r="CE712" i="2"/>
  <c r="CF712" i="2"/>
  <c r="CO712" i="2"/>
  <c r="CS712" i="2"/>
  <c r="CT712" i="2"/>
  <c r="DC712" i="2"/>
  <c r="DG712" i="2"/>
  <c r="DH712" i="2"/>
  <c r="DQ712" i="2"/>
  <c r="DU712" i="2"/>
  <c r="DV712" i="2"/>
  <c r="CA713" i="2"/>
  <c r="CE713" i="2"/>
  <c r="CF713" i="2"/>
  <c r="CO713" i="2"/>
  <c r="CS713" i="2"/>
  <c r="CT713" i="2"/>
  <c r="DC713" i="2"/>
  <c r="DG713" i="2"/>
  <c r="DH713" i="2"/>
  <c r="DQ713" i="2"/>
  <c r="DU713" i="2"/>
  <c r="DV713" i="2"/>
  <c r="CA714" i="2"/>
  <c r="CE714" i="2"/>
  <c r="CF714" i="2"/>
  <c r="CO714" i="2"/>
  <c r="CS714" i="2"/>
  <c r="CT714" i="2"/>
  <c r="DC714" i="2"/>
  <c r="DG714" i="2"/>
  <c r="DH714" i="2"/>
  <c r="DQ714" i="2"/>
  <c r="DU714" i="2"/>
  <c r="DV714" i="2"/>
  <c r="CA715" i="2"/>
  <c r="CE715" i="2"/>
  <c r="CF715" i="2"/>
  <c r="CO715" i="2"/>
  <c r="CS715" i="2"/>
  <c r="CT715" i="2"/>
  <c r="DC715" i="2"/>
  <c r="DG715" i="2"/>
  <c r="DH715" i="2"/>
  <c r="DQ715" i="2"/>
  <c r="DU715" i="2"/>
  <c r="DV715" i="2"/>
  <c r="CA716" i="2"/>
  <c r="CE716" i="2"/>
  <c r="CF716" i="2"/>
  <c r="CO716" i="2"/>
  <c r="CS716" i="2"/>
  <c r="CT716" i="2"/>
  <c r="DC716" i="2"/>
  <c r="DG716" i="2"/>
  <c r="DH716" i="2"/>
  <c r="DQ716" i="2"/>
  <c r="DU716" i="2"/>
  <c r="DV716" i="2"/>
  <c r="CA718" i="2"/>
  <c r="CE718" i="2"/>
  <c r="CF718" i="2"/>
  <c r="CO718" i="2"/>
  <c r="CS718" i="2"/>
  <c r="CT718" i="2"/>
  <c r="DC718" i="2"/>
  <c r="DG718" i="2"/>
  <c r="DH718" i="2"/>
  <c r="DQ718" i="2"/>
  <c r="DU718" i="2"/>
  <c r="DV718" i="2"/>
  <c r="CA719" i="2"/>
  <c r="CE719" i="2"/>
  <c r="CF719" i="2"/>
  <c r="CO719" i="2"/>
  <c r="CS719" i="2"/>
  <c r="CT719" i="2"/>
  <c r="DC719" i="2"/>
  <c r="DG719" i="2"/>
  <c r="DH719" i="2"/>
  <c r="DQ719" i="2"/>
  <c r="DU719" i="2"/>
  <c r="DV719" i="2"/>
  <c r="CA720" i="2"/>
  <c r="CE720" i="2"/>
  <c r="CF720" i="2"/>
  <c r="CO720" i="2"/>
  <c r="CS720" i="2"/>
  <c r="CT720" i="2"/>
  <c r="DC720" i="2"/>
  <c r="DG720" i="2"/>
  <c r="DH720" i="2"/>
  <c r="DQ720" i="2"/>
  <c r="DU720" i="2"/>
  <c r="DV720" i="2"/>
  <c r="CA721" i="2"/>
  <c r="CE721" i="2"/>
  <c r="CF721" i="2"/>
  <c r="CO721" i="2"/>
  <c r="CS721" i="2"/>
  <c r="CT721" i="2"/>
  <c r="DC721" i="2"/>
  <c r="DG721" i="2"/>
  <c r="DH721" i="2"/>
  <c r="DQ721" i="2"/>
  <c r="DU721" i="2"/>
  <c r="DV721" i="2"/>
  <c r="D780" i="2"/>
  <c r="K780" i="2"/>
  <c r="D781" i="2"/>
  <c r="K781" i="2"/>
  <c r="D782" i="2"/>
  <c r="K782" i="2"/>
  <c r="D783" i="2"/>
  <c r="K783" i="2"/>
  <c r="D784" i="2"/>
  <c r="K784" i="2"/>
  <c r="D785" i="2"/>
  <c r="D786" i="2"/>
  <c r="K786" i="2"/>
  <c r="D787" i="2"/>
  <c r="K787" i="2"/>
  <c r="D788" i="2"/>
  <c r="K788" i="2"/>
  <c r="D789" i="2"/>
  <c r="D790" i="2"/>
  <c r="K790" i="2"/>
  <c r="D791" i="2"/>
  <c r="K791" i="2"/>
  <c r="D792" i="2"/>
  <c r="D793" i="2"/>
  <c r="K793" i="2"/>
  <c r="D794" i="2"/>
  <c r="K794" i="2"/>
  <c r="R754" i="2"/>
  <c r="Y754" i="2"/>
  <c r="R758" i="2"/>
  <c r="R762" i="2"/>
  <c r="R766" i="2"/>
  <c r="R770" i="2"/>
  <c r="R774" i="2"/>
  <c r="R780" i="2"/>
  <c r="Y780" i="2"/>
  <c r="R781" i="2"/>
  <c r="Y781" i="2"/>
  <c r="R782" i="2"/>
  <c r="R783" i="2"/>
  <c r="Y783" i="2"/>
  <c r="R784" i="2"/>
  <c r="R785" i="2"/>
  <c r="Y785" i="2"/>
  <c r="R786" i="2"/>
  <c r="Y786" i="2"/>
  <c r="R787" i="2"/>
  <c r="Y787" i="2"/>
  <c r="R788" i="2"/>
  <c r="R789" i="2"/>
  <c r="Y789" i="2"/>
  <c r="R790" i="2"/>
  <c r="Y790" i="2"/>
  <c r="R791" i="2"/>
  <c r="Y791" i="2"/>
  <c r="R792" i="2"/>
  <c r="Y792" i="2"/>
  <c r="R793" i="2"/>
  <c r="R794" i="2"/>
  <c r="Y794" i="2"/>
  <c r="AF749" i="2"/>
  <c r="AF750" i="2"/>
  <c r="AM750" i="2"/>
  <c r="AF754" i="2"/>
  <c r="AF780" i="2"/>
  <c r="AF781" i="2"/>
  <c r="AM781" i="2"/>
  <c r="AF782" i="2"/>
  <c r="AF783" i="2"/>
  <c r="AM783" i="2"/>
  <c r="AF784" i="2"/>
  <c r="AM784" i="2"/>
  <c r="AF785" i="2"/>
  <c r="AM785" i="2"/>
  <c r="AF786" i="2"/>
  <c r="AF787" i="2"/>
  <c r="AM787" i="2"/>
  <c r="AF788" i="2"/>
  <c r="AM788" i="2"/>
  <c r="AF789" i="2"/>
  <c r="AF790" i="2"/>
  <c r="AM790" i="2"/>
  <c r="AF791" i="2"/>
  <c r="AM791" i="2"/>
  <c r="AF792" i="2"/>
  <c r="AF793" i="2"/>
  <c r="AM793" i="2"/>
  <c r="AF794" i="2"/>
  <c r="AM794" i="2"/>
  <c r="AT780" i="2"/>
  <c r="BA780" i="2"/>
  <c r="AT781" i="2"/>
  <c r="BA781" i="2"/>
  <c r="AT782" i="2"/>
  <c r="BA782" i="2"/>
  <c r="AT783" i="2"/>
  <c r="BA783" i="2"/>
  <c r="AT784" i="2"/>
  <c r="BA784" i="2"/>
  <c r="AT785" i="2"/>
  <c r="BA785" i="2"/>
  <c r="AT786" i="2"/>
  <c r="BA786" i="2"/>
  <c r="AT787" i="2"/>
  <c r="BA787" i="2"/>
  <c r="AT788" i="2"/>
  <c r="AT789" i="2"/>
  <c r="BA789" i="2"/>
  <c r="AT790" i="2"/>
  <c r="BA790" i="2"/>
  <c r="AT791" i="2"/>
  <c r="BA791" i="2"/>
  <c r="AT792" i="2"/>
  <c r="BA792" i="2"/>
  <c r="AT793" i="2"/>
  <c r="BA793" i="2"/>
  <c r="AT794" i="2"/>
  <c r="BA794" i="2"/>
  <c r="BW744" i="2"/>
  <c r="BW745" i="2"/>
  <c r="BW746" i="2"/>
  <c r="BW747" i="2"/>
  <c r="BW748" i="2"/>
  <c r="BW749" i="2"/>
  <c r="BW750" i="2"/>
  <c r="BW752" i="2"/>
  <c r="BW753" i="2"/>
  <c r="BW754" i="2"/>
  <c r="BW755" i="2"/>
  <c r="BW756" i="2"/>
  <c r="BW758" i="2"/>
  <c r="BW759" i="2"/>
  <c r="BW760" i="2"/>
  <c r="BW761" i="2"/>
  <c r="BW762" i="2"/>
  <c r="BW763" i="2"/>
  <c r="BW764" i="2"/>
  <c r="BW765" i="2"/>
  <c r="BW766" i="2"/>
  <c r="BW767" i="2"/>
  <c r="BW768" i="2"/>
  <c r="BW769" i="2"/>
  <c r="BW770" i="2"/>
  <c r="BW771" i="2"/>
  <c r="BW772" i="2"/>
  <c r="BW773" i="2"/>
  <c r="BW774" i="2"/>
  <c r="BW775" i="2"/>
  <c r="BW776" i="2"/>
  <c r="BW777" i="2"/>
  <c r="BW778" i="2"/>
  <c r="BW779" i="2"/>
  <c r="BW780" i="2"/>
  <c r="BW781" i="2"/>
  <c r="BW782" i="2"/>
  <c r="BW783" i="2"/>
  <c r="BW784" i="2"/>
  <c r="BW785" i="2"/>
  <c r="BW786" i="2"/>
  <c r="BW787" i="2"/>
  <c r="BW788" i="2"/>
  <c r="BW789" i="2"/>
  <c r="BW790" i="2"/>
  <c r="BW792" i="2"/>
  <c r="BW793" i="2"/>
  <c r="BW794" i="2"/>
  <c r="CK744" i="2"/>
  <c r="CK745" i="2"/>
  <c r="CK746" i="2"/>
  <c r="CK747" i="2"/>
  <c r="CK748" i="2"/>
  <c r="CK749" i="2"/>
  <c r="CK750" i="2"/>
  <c r="CK752" i="2"/>
  <c r="CK753" i="2"/>
  <c r="CK754" i="2"/>
  <c r="CK755" i="2"/>
  <c r="CK756" i="2"/>
  <c r="CK758" i="2"/>
  <c r="CK759" i="2"/>
  <c r="CK760" i="2"/>
  <c r="CK761" i="2"/>
  <c r="CK762" i="2"/>
  <c r="CK763" i="2"/>
  <c r="CK764" i="2"/>
  <c r="CK765" i="2"/>
  <c r="CK766" i="2"/>
  <c r="CK767" i="2"/>
  <c r="CK768" i="2"/>
  <c r="CK769" i="2"/>
  <c r="CK770" i="2"/>
  <c r="CK771" i="2"/>
  <c r="CK772" i="2"/>
  <c r="CK773" i="2"/>
  <c r="CK774" i="2"/>
  <c r="CK775" i="2"/>
  <c r="CK776" i="2"/>
  <c r="CK777" i="2"/>
  <c r="CK778" i="2"/>
  <c r="CK779" i="2"/>
  <c r="CK780" i="2"/>
  <c r="CK781" i="2"/>
  <c r="CK782" i="2"/>
  <c r="CK783" i="2"/>
  <c r="CK784" i="2"/>
  <c r="CK785" i="2"/>
  <c r="CK786" i="2"/>
  <c r="CK787" i="2"/>
  <c r="CK788" i="2"/>
  <c r="CK789" i="2"/>
  <c r="CK790" i="2"/>
  <c r="CK792" i="2"/>
  <c r="CK793" i="2"/>
  <c r="CK794" i="2"/>
  <c r="CY744" i="2"/>
  <c r="CY745" i="2"/>
  <c r="CY746" i="2"/>
  <c r="CY747" i="2"/>
  <c r="CY748" i="2"/>
  <c r="CY749" i="2"/>
  <c r="CY750" i="2"/>
  <c r="CY752" i="2"/>
  <c r="CY753" i="2"/>
  <c r="CY754" i="2"/>
  <c r="CY755" i="2"/>
  <c r="CY756" i="2"/>
  <c r="CY758" i="2"/>
  <c r="CY759" i="2"/>
  <c r="CY760" i="2"/>
  <c r="CY761" i="2"/>
  <c r="CY762" i="2"/>
  <c r="CY763" i="2"/>
  <c r="CY764" i="2"/>
  <c r="CY765" i="2"/>
  <c r="CY766" i="2"/>
  <c r="CY767" i="2"/>
  <c r="CY768" i="2"/>
  <c r="CY769" i="2"/>
  <c r="CY770" i="2"/>
  <c r="CY771" i="2"/>
  <c r="CY772" i="2"/>
  <c r="CY773" i="2"/>
  <c r="CY774" i="2"/>
  <c r="CY775" i="2"/>
  <c r="CY776" i="2"/>
  <c r="CY777" i="2"/>
  <c r="CY778" i="2"/>
  <c r="CY779" i="2"/>
  <c r="CY780" i="2"/>
  <c r="CY781" i="2"/>
  <c r="CY782" i="2"/>
  <c r="CY783" i="2"/>
  <c r="CY784" i="2"/>
  <c r="CY785" i="2"/>
  <c r="CY786" i="2"/>
  <c r="CY787" i="2"/>
  <c r="CY788" i="2"/>
  <c r="CY789" i="2"/>
  <c r="CY790" i="2"/>
  <c r="CY792" i="2"/>
  <c r="CY793" i="2"/>
  <c r="CY794" i="2"/>
  <c r="DM744" i="2"/>
  <c r="DM745" i="2"/>
  <c r="DM746" i="2"/>
  <c r="DM747" i="2"/>
  <c r="DM748" i="2"/>
  <c r="DM749" i="2"/>
  <c r="DM750" i="2"/>
  <c r="DM752" i="2"/>
  <c r="DM753" i="2"/>
  <c r="DM754" i="2"/>
  <c r="DM755" i="2"/>
  <c r="DM756" i="2"/>
  <c r="DM758" i="2"/>
  <c r="DM759" i="2"/>
  <c r="DM760" i="2"/>
  <c r="DM761" i="2"/>
  <c r="DM762" i="2"/>
  <c r="DM763" i="2"/>
  <c r="DM764" i="2"/>
  <c r="DM765" i="2"/>
  <c r="DM766" i="2"/>
  <c r="DM767" i="2"/>
  <c r="DM768" i="2"/>
  <c r="DM769" i="2"/>
  <c r="DM770" i="2"/>
  <c r="DM771" i="2"/>
  <c r="DM772" i="2"/>
  <c r="DM773" i="2"/>
  <c r="DM774" i="2"/>
  <c r="DM775" i="2"/>
  <c r="DM776" i="2"/>
  <c r="DM777" i="2"/>
  <c r="DM778" i="2"/>
  <c r="DM779" i="2"/>
  <c r="DM780" i="2"/>
  <c r="DM781" i="2"/>
  <c r="DM782" i="2"/>
  <c r="DM783" i="2"/>
  <c r="DM784" i="2"/>
  <c r="DM785" i="2"/>
  <c r="DM786" i="2"/>
  <c r="DM787" i="2"/>
  <c r="DM788" i="2"/>
  <c r="DM789" i="2"/>
  <c r="DM790" i="2"/>
  <c r="DM792" i="2"/>
  <c r="DM793" i="2"/>
  <c r="DM794" i="2"/>
  <c r="A800" i="2"/>
  <c r="T765" i="2"/>
  <c r="AX751" i="2"/>
  <c r="AX752" i="2"/>
  <c r="BA752" i="2"/>
  <c r="AX753" i="2"/>
  <c r="AX754" i="2"/>
  <c r="AJ751" i="2"/>
  <c r="AJ752" i="2"/>
  <c r="AJ753" i="2"/>
  <c r="AN753" i="2"/>
  <c r="AJ754" i="2"/>
  <c r="B783" i="2"/>
  <c r="B787" i="2"/>
  <c r="B791" i="2"/>
  <c r="AJ747" i="2"/>
  <c r="AJ749" i="2"/>
  <c r="AN749" i="2"/>
  <c r="AJ758" i="2"/>
  <c r="AJ762" i="2"/>
  <c r="AJ766" i="2"/>
  <c r="AJ774" i="2"/>
  <c r="AN782" i="2"/>
  <c r="AN786" i="2"/>
  <c r="AN790" i="2"/>
  <c r="AN794" i="2"/>
  <c r="AJ755" i="2"/>
  <c r="AJ756" i="2"/>
  <c r="AJ757" i="2"/>
  <c r="AJ759" i="2"/>
  <c r="AJ760" i="2"/>
  <c r="AJ761" i="2"/>
  <c r="AJ763" i="2"/>
  <c r="AJ764" i="2"/>
  <c r="AJ765" i="2"/>
  <c r="AJ767" i="2"/>
  <c r="AJ768" i="2"/>
  <c r="AJ769" i="2"/>
  <c r="AJ771" i="2"/>
  <c r="AJ772" i="2"/>
  <c r="AJ773" i="2"/>
  <c r="AN780" i="2"/>
  <c r="AN781" i="2"/>
  <c r="AN783" i="2"/>
  <c r="AN784" i="2"/>
  <c r="AN785" i="2"/>
  <c r="AN787" i="2"/>
  <c r="AN788" i="2"/>
  <c r="AN789" i="2"/>
  <c r="AN791" i="2"/>
  <c r="AN792" i="2"/>
  <c r="AN793" i="2"/>
  <c r="AJ748" i="2"/>
  <c r="AJ750" i="2"/>
  <c r="AN750" i="2"/>
  <c r="AX748" i="2"/>
  <c r="AX755" i="2"/>
  <c r="AX756" i="2"/>
  <c r="AX757" i="2"/>
  <c r="AX758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AX749" i="2"/>
  <c r="BB749" i="2"/>
  <c r="BA749" i="2"/>
  <c r="BC749" i="2"/>
  <c r="AX750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H747" i="2"/>
  <c r="H748" i="2"/>
  <c r="L748" i="2"/>
  <c r="H749" i="2"/>
  <c r="H750" i="2"/>
  <c r="H751" i="2"/>
  <c r="H752" i="2"/>
  <c r="H753" i="2"/>
  <c r="V755" i="2"/>
  <c r="V756" i="2"/>
  <c r="V757" i="2"/>
  <c r="V758" i="2"/>
  <c r="Y750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Z774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V747" i="2"/>
  <c r="V748" i="2"/>
  <c r="V749" i="2"/>
  <c r="Z749" i="2"/>
  <c r="V750" i="2"/>
  <c r="Z750" i="2"/>
  <c r="V751" i="2"/>
  <c r="V752" i="2"/>
  <c r="V808" i="2"/>
  <c r="V753" i="2"/>
  <c r="V754" i="2"/>
  <c r="T754" i="2"/>
  <c r="T752" i="2"/>
  <c r="T751" i="2"/>
  <c r="DO746" i="2"/>
  <c r="DQ746" i="2"/>
  <c r="DO747" i="2"/>
  <c r="DQ747" i="2"/>
  <c r="DO748" i="2"/>
  <c r="DQ748" i="2"/>
  <c r="DO749" i="2"/>
  <c r="DQ749" i="2"/>
  <c r="DO750" i="2"/>
  <c r="DQ750" i="2"/>
  <c r="DO752" i="2"/>
  <c r="DQ752" i="2"/>
  <c r="DT752" i="2"/>
  <c r="DU752" i="2"/>
  <c r="DV752" i="2"/>
  <c r="DO753" i="2"/>
  <c r="DQ753" i="2"/>
  <c r="DT753" i="2"/>
  <c r="DU753" i="2"/>
  <c r="DV753" i="2"/>
  <c r="DO754" i="2"/>
  <c r="DQ754" i="2"/>
  <c r="DT754" i="2"/>
  <c r="DU754" i="2"/>
  <c r="DV754" i="2"/>
  <c r="DO755" i="2"/>
  <c r="DQ755" i="2"/>
  <c r="DT755" i="2"/>
  <c r="DU755" i="2"/>
  <c r="DV755" i="2"/>
  <c r="DA746" i="2"/>
  <c r="DC746" i="2"/>
  <c r="DA747" i="2"/>
  <c r="DC747" i="2"/>
  <c r="DA748" i="2"/>
  <c r="DC748" i="2"/>
  <c r="DA749" i="2"/>
  <c r="DC749" i="2"/>
  <c r="DA750" i="2"/>
  <c r="DC750" i="2"/>
  <c r="DA752" i="2"/>
  <c r="DC752" i="2"/>
  <c r="DF752" i="2"/>
  <c r="DG752" i="2"/>
  <c r="DH752" i="2"/>
  <c r="DA753" i="2"/>
  <c r="DC753" i="2"/>
  <c r="DF753" i="2"/>
  <c r="DG753" i="2"/>
  <c r="DH753" i="2"/>
  <c r="DA754" i="2"/>
  <c r="DC754" i="2"/>
  <c r="DF754" i="2"/>
  <c r="DG754" i="2"/>
  <c r="DH754" i="2"/>
  <c r="DA755" i="2"/>
  <c r="DC755" i="2"/>
  <c r="DF755" i="2"/>
  <c r="DG755" i="2"/>
  <c r="DH755" i="2"/>
  <c r="CM746" i="2"/>
  <c r="CO746" i="2"/>
  <c r="CM747" i="2"/>
  <c r="CO747" i="2"/>
  <c r="CM748" i="2"/>
  <c r="CO748" i="2"/>
  <c r="CM749" i="2"/>
  <c r="CO749" i="2"/>
  <c r="CM750" i="2"/>
  <c r="CO750" i="2"/>
  <c r="CM752" i="2"/>
  <c r="CO752" i="2"/>
  <c r="CR752" i="2"/>
  <c r="CS752" i="2"/>
  <c r="CT752" i="2"/>
  <c r="CM753" i="2"/>
  <c r="CO753" i="2"/>
  <c r="CR753" i="2"/>
  <c r="CS753" i="2"/>
  <c r="CT753" i="2"/>
  <c r="CM754" i="2"/>
  <c r="CO754" i="2"/>
  <c r="CR754" i="2"/>
  <c r="CS754" i="2"/>
  <c r="CT754" i="2"/>
  <c r="CM755" i="2"/>
  <c r="CO755" i="2"/>
  <c r="CR755" i="2"/>
  <c r="CS755" i="2"/>
  <c r="CT755" i="2"/>
  <c r="CD755" i="2"/>
  <c r="CE755" i="2"/>
  <c r="CF755" i="2"/>
  <c r="AV755" i="2"/>
  <c r="AZ747" i="2"/>
  <c r="AZ751" i="2"/>
  <c r="AZ755" i="2"/>
  <c r="AZ759" i="2"/>
  <c r="AZ763" i="2"/>
  <c r="AZ767" i="2"/>
  <c r="AZ771" i="2"/>
  <c r="AV756" i="2"/>
  <c r="AZ748" i="2"/>
  <c r="AZ752" i="2"/>
  <c r="AZ756" i="2"/>
  <c r="AZ760" i="2"/>
  <c r="AZ764" i="2"/>
  <c r="AZ768" i="2"/>
  <c r="AZ772" i="2"/>
  <c r="AV757" i="2"/>
  <c r="AZ749" i="2"/>
  <c r="AZ753" i="2"/>
  <c r="AZ757" i="2"/>
  <c r="AZ761" i="2"/>
  <c r="AZ765" i="2"/>
  <c r="AZ769" i="2"/>
  <c r="AZ773" i="2"/>
  <c r="AV758" i="2"/>
  <c r="AZ750" i="2"/>
  <c r="AZ754" i="2"/>
  <c r="AZ758" i="2"/>
  <c r="AZ762" i="2"/>
  <c r="AZ766" i="2"/>
  <c r="AZ770" i="2"/>
  <c r="AZ774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80" i="2"/>
  <c r="AX780" i="2"/>
  <c r="BC780" i="2"/>
  <c r="AZ780" i="2"/>
  <c r="AV781" i="2"/>
  <c r="AX781" i="2"/>
  <c r="BC781" i="2"/>
  <c r="AZ781" i="2"/>
  <c r="AV782" i="2"/>
  <c r="AX782" i="2"/>
  <c r="BC782" i="2"/>
  <c r="AZ782" i="2"/>
  <c r="AV783" i="2"/>
  <c r="AX783" i="2"/>
  <c r="BC783" i="2"/>
  <c r="AZ783" i="2"/>
  <c r="AV784" i="2"/>
  <c r="AX784" i="2"/>
  <c r="BC784" i="2"/>
  <c r="AZ784" i="2"/>
  <c r="AV785" i="2"/>
  <c r="AX785" i="2"/>
  <c r="BC785" i="2"/>
  <c r="AZ785" i="2"/>
  <c r="AV786" i="2"/>
  <c r="AX786" i="2"/>
  <c r="BC786" i="2"/>
  <c r="AZ786" i="2"/>
  <c r="AV787" i="2"/>
  <c r="AX787" i="2"/>
  <c r="AZ787" i="2"/>
  <c r="BC787" i="2"/>
  <c r="AV788" i="2"/>
  <c r="AX788" i="2"/>
  <c r="BC788" i="2"/>
  <c r="AZ788" i="2"/>
  <c r="BA788" i="2"/>
  <c r="AV789" i="2"/>
  <c r="AX789" i="2"/>
  <c r="AZ789" i="2"/>
  <c r="AV790" i="2"/>
  <c r="AX790" i="2"/>
  <c r="AZ790" i="2"/>
  <c r="BC790" i="2"/>
  <c r="AV791" i="2"/>
  <c r="AX791" i="2"/>
  <c r="BC791" i="2"/>
  <c r="AZ791" i="2"/>
  <c r="AV792" i="2"/>
  <c r="AX792" i="2"/>
  <c r="BC792" i="2"/>
  <c r="AZ792" i="2"/>
  <c r="AV793" i="2"/>
  <c r="AX793" i="2"/>
  <c r="BC793" i="2"/>
  <c r="AZ793" i="2"/>
  <c r="AV794" i="2"/>
  <c r="AX794" i="2"/>
  <c r="BC794" i="2"/>
  <c r="AZ794" i="2"/>
  <c r="AH755" i="2"/>
  <c r="AL747" i="2"/>
  <c r="AL751" i="2"/>
  <c r="AL755" i="2"/>
  <c r="AL759" i="2"/>
  <c r="AL763" i="2"/>
  <c r="AL767" i="2"/>
  <c r="AL771" i="2"/>
  <c r="AH756" i="2"/>
  <c r="AL748" i="2"/>
  <c r="AL752" i="2"/>
  <c r="AL756" i="2"/>
  <c r="AL760" i="2"/>
  <c r="AL764" i="2"/>
  <c r="AL768" i="2"/>
  <c r="AL772" i="2"/>
  <c r="AH757" i="2"/>
  <c r="AL753" i="2"/>
  <c r="AL757" i="2"/>
  <c r="AL761" i="2"/>
  <c r="AL765" i="2"/>
  <c r="AL769" i="2"/>
  <c r="AL773" i="2"/>
  <c r="AH758" i="2"/>
  <c r="AL758" i="2"/>
  <c r="AL762" i="2"/>
  <c r="AH759" i="2"/>
  <c r="AH760" i="2"/>
  <c r="AH761" i="2"/>
  <c r="AH762" i="2"/>
  <c r="AH763" i="2"/>
  <c r="AH764" i="2"/>
  <c r="AH765" i="2"/>
  <c r="AH766" i="2"/>
  <c r="AL766" i="2"/>
  <c r="AL770" i="2"/>
  <c r="AL774" i="2"/>
  <c r="AH767" i="2"/>
  <c r="AH768" i="2"/>
  <c r="AH769" i="2"/>
  <c r="AH770" i="2"/>
  <c r="AH771" i="2"/>
  <c r="AH772" i="2"/>
  <c r="AH773" i="2"/>
  <c r="AH774" i="2"/>
  <c r="AH780" i="2"/>
  <c r="AJ780" i="2"/>
  <c r="AO780" i="2"/>
  <c r="AL780" i="2"/>
  <c r="AM780" i="2"/>
  <c r="AH781" i="2"/>
  <c r="AJ781" i="2"/>
  <c r="AO781" i="2"/>
  <c r="AL781" i="2"/>
  <c r="AH782" i="2"/>
  <c r="AJ782" i="2"/>
  <c r="AO782" i="2"/>
  <c r="AL782" i="2"/>
  <c r="AH783" i="2"/>
  <c r="AJ783" i="2"/>
  <c r="AO783" i="2"/>
  <c r="AL783" i="2"/>
  <c r="AH784" i="2"/>
  <c r="AJ784" i="2"/>
  <c r="AO784" i="2"/>
  <c r="AL784" i="2"/>
  <c r="AH785" i="2"/>
  <c r="AJ785" i="2"/>
  <c r="AO785" i="2"/>
  <c r="AL785" i="2"/>
  <c r="AH786" i="2"/>
  <c r="AJ786" i="2"/>
  <c r="AO786" i="2"/>
  <c r="AL786" i="2"/>
  <c r="AM786" i="2"/>
  <c r="AH787" i="2"/>
  <c r="AJ787" i="2"/>
  <c r="AO787" i="2"/>
  <c r="AL787" i="2"/>
  <c r="AH788" i="2"/>
  <c r="AJ788" i="2"/>
  <c r="AL788" i="2"/>
  <c r="AO788" i="2"/>
  <c r="AH789" i="2"/>
  <c r="AJ789" i="2"/>
  <c r="AO789" i="2"/>
  <c r="AL789" i="2"/>
  <c r="AM789" i="2"/>
  <c r="AH790" i="2"/>
  <c r="AJ790" i="2"/>
  <c r="AO790" i="2"/>
  <c r="AL790" i="2"/>
  <c r="AH791" i="2"/>
  <c r="AJ791" i="2"/>
  <c r="AO791" i="2"/>
  <c r="AL791" i="2"/>
  <c r="AH792" i="2"/>
  <c r="AJ792" i="2"/>
  <c r="AO792" i="2"/>
  <c r="AL792" i="2"/>
  <c r="AM792" i="2"/>
  <c r="AH793" i="2"/>
  <c r="AJ793" i="2"/>
  <c r="AL793" i="2"/>
  <c r="AO793" i="2"/>
  <c r="AH794" i="2"/>
  <c r="AJ794" i="2"/>
  <c r="AL794" i="2"/>
  <c r="AO794" i="2"/>
  <c r="T755" i="2"/>
  <c r="X747" i="2"/>
  <c r="X751" i="2"/>
  <c r="X755" i="2"/>
  <c r="X759" i="2"/>
  <c r="X763" i="2"/>
  <c r="X767" i="2"/>
  <c r="X771" i="2"/>
  <c r="T756" i="2"/>
  <c r="X748" i="2"/>
  <c r="X752" i="2"/>
  <c r="X756" i="2"/>
  <c r="X760" i="2"/>
  <c r="X764" i="2"/>
  <c r="X768" i="2"/>
  <c r="X772" i="2"/>
  <c r="T757" i="2"/>
  <c r="X749" i="2"/>
  <c r="X753" i="2"/>
  <c r="X757" i="2"/>
  <c r="X761" i="2"/>
  <c r="X765" i="2"/>
  <c r="X769" i="2"/>
  <c r="X773" i="2"/>
  <c r="T758" i="2"/>
  <c r="X750" i="2"/>
  <c r="X754" i="2"/>
  <c r="X758" i="2"/>
  <c r="X762" i="2"/>
  <c r="X766" i="2"/>
  <c r="X770" i="2"/>
  <c r="T759" i="2"/>
  <c r="T760" i="2"/>
  <c r="T761" i="2"/>
  <c r="T762" i="2"/>
  <c r="T763" i="2"/>
  <c r="T764" i="2"/>
  <c r="T766" i="2"/>
  <c r="T767" i="2"/>
  <c r="T768" i="2"/>
  <c r="T769" i="2"/>
  <c r="T770" i="2"/>
  <c r="T771" i="2"/>
  <c r="T772" i="2"/>
  <c r="T773" i="2"/>
  <c r="T774" i="2"/>
  <c r="T780" i="2"/>
  <c r="V780" i="2"/>
  <c r="AA780" i="2"/>
  <c r="X780" i="2"/>
  <c r="T781" i="2"/>
  <c r="V781" i="2"/>
  <c r="AA781" i="2"/>
  <c r="X781" i="2"/>
  <c r="T782" i="2"/>
  <c r="V782" i="2"/>
  <c r="AA782" i="2"/>
  <c r="X782" i="2"/>
  <c r="Y782" i="2"/>
  <c r="T783" i="2"/>
  <c r="V783" i="2"/>
  <c r="AA783" i="2"/>
  <c r="X783" i="2"/>
  <c r="T784" i="2"/>
  <c r="V784" i="2"/>
  <c r="AA784" i="2"/>
  <c r="X784" i="2"/>
  <c r="T785" i="2"/>
  <c r="V785" i="2"/>
  <c r="AA785" i="2"/>
  <c r="X785" i="2"/>
  <c r="T786" i="2"/>
  <c r="V786" i="2"/>
  <c r="AA786" i="2"/>
  <c r="X786" i="2"/>
  <c r="T787" i="2"/>
  <c r="V787" i="2"/>
  <c r="AA787" i="2"/>
  <c r="X787" i="2"/>
  <c r="T788" i="2"/>
  <c r="V788" i="2"/>
  <c r="AA788" i="2"/>
  <c r="X788" i="2"/>
  <c r="Y788" i="2"/>
  <c r="T789" i="2"/>
  <c r="V789" i="2"/>
  <c r="AA789" i="2"/>
  <c r="X789" i="2"/>
  <c r="T790" i="2"/>
  <c r="V790" i="2"/>
  <c r="AA790" i="2"/>
  <c r="X790" i="2"/>
  <c r="T791" i="2"/>
  <c r="V791" i="2"/>
  <c r="AA791" i="2"/>
  <c r="X791" i="2"/>
  <c r="T792" i="2"/>
  <c r="V792" i="2"/>
  <c r="AA792" i="2"/>
  <c r="X792" i="2"/>
  <c r="T793" i="2"/>
  <c r="V793" i="2"/>
  <c r="AA793" i="2"/>
  <c r="X793" i="2"/>
  <c r="Y793" i="2"/>
  <c r="T794" i="2"/>
  <c r="V794" i="2"/>
  <c r="AA794" i="2"/>
  <c r="X794" i="2"/>
  <c r="F787" i="2"/>
  <c r="F788" i="2"/>
  <c r="F789" i="2"/>
  <c r="F790" i="2"/>
  <c r="J747" i="2"/>
  <c r="J751" i="2"/>
  <c r="J755" i="2"/>
  <c r="J759" i="2"/>
  <c r="J763" i="2"/>
  <c r="J767" i="2"/>
  <c r="J771" i="2"/>
  <c r="J748" i="2"/>
  <c r="J752" i="2"/>
  <c r="J756" i="2"/>
  <c r="J760" i="2"/>
  <c r="J764" i="2"/>
  <c r="J768" i="2"/>
  <c r="J772" i="2"/>
  <c r="J749" i="2"/>
  <c r="J753" i="2"/>
  <c r="J757" i="2"/>
  <c r="J761" i="2"/>
  <c r="J765" i="2"/>
  <c r="J769" i="2"/>
  <c r="J773" i="2"/>
  <c r="J750" i="2"/>
  <c r="J754" i="2"/>
  <c r="J758" i="2"/>
  <c r="J762" i="2"/>
  <c r="J766" i="2"/>
  <c r="J770" i="2"/>
  <c r="J774" i="2"/>
  <c r="DO744" i="2"/>
  <c r="DQ744" i="2"/>
  <c r="DU744" i="2"/>
  <c r="DO745" i="2"/>
  <c r="DQ745" i="2"/>
  <c r="DA744" i="2"/>
  <c r="DC744" i="2"/>
  <c r="DA745" i="2"/>
  <c r="DC745" i="2"/>
  <c r="CM744" i="2"/>
  <c r="CM745" i="2"/>
  <c r="CO745" i="2"/>
  <c r="BY744" i="2"/>
  <c r="CA744" i="2"/>
  <c r="CD744" i="2"/>
  <c r="CE744" i="2"/>
  <c r="BY745" i="2"/>
  <c r="CA745" i="2"/>
  <c r="CE745" i="2"/>
  <c r="CF745" i="2"/>
  <c r="P747" i="2"/>
  <c r="AD747" i="2"/>
  <c r="AH747" i="2"/>
  <c r="AR747" i="2"/>
  <c r="AV747" i="2"/>
  <c r="AH748" i="2"/>
  <c r="AV748" i="2"/>
  <c r="AH749" i="2"/>
  <c r="AV749" i="2"/>
  <c r="AH750" i="2"/>
  <c r="AL750" i="2"/>
  <c r="AV750" i="2"/>
  <c r="F751" i="2"/>
  <c r="P751" i="2"/>
  <c r="AD751" i="2"/>
  <c r="AH751" i="2"/>
  <c r="AR751" i="2"/>
  <c r="AV751" i="2"/>
  <c r="F752" i="2"/>
  <c r="AH752" i="2"/>
  <c r="AV752" i="2"/>
  <c r="F753" i="2"/>
  <c r="T753" i="2"/>
  <c r="AH753" i="2"/>
  <c r="AV753" i="2"/>
  <c r="F754" i="2"/>
  <c r="AH754" i="2"/>
  <c r="AV754" i="2"/>
  <c r="H783" i="2"/>
  <c r="M783" i="2"/>
  <c r="H787" i="2"/>
  <c r="M787" i="2"/>
  <c r="H791" i="2"/>
  <c r="M791" i="2"/>
  <c r="J807" i="2"/>
  <c r="K807" i="2"/>
  <c r="X807" i="2"/>
  <c r="Y807" i="2"/>
  <c r="AL807" i="2"/>
  <c r="AM807" i="2"/>
  <c r="AZ807" i="2"/>
  <c r="BA807" i="2"/>
  <c r="H780" i="2"/>
  <c r="M780" i="2"/>
  <c r="H784" i="2"/>
  <c r="M784" i="2"/>
  <c r="H788" i="2"/>
  <c r="M788" i="2"/>
  <c r="H792" i="2"/>
  <c r="M792" i="2"/>
  <c r="J808" i="2"/>
  <c r="K808" i="2"/>
  <c r="K792" i="2"/>
  <c r="X808" i="2"/>
  <c r="Y808" i="2"/>
  <c r="AL808" i="2"/>
  <c r="AM808" i="2"/>
  <c r="AZ808" i="2"/>
  <c r="BA808" i="2"/>
  <c r="H781" i="2"/>
  <c r="M781" i="2"/>
  <c r="H785" i="2"/>
  <c r="M785" i="2"/>
  <c r="H789" i="2"/>
  <c r="M789" i="2"/>
  <c r="H793" i="2"/>
  <c r="M793" i="2"/>
  <c r="J809" i="2"/>
  <c r="K809" i="2"/>
  <c r="K785" i="2"/>
  <c r="K789" i="2"/>
  <c r="X809" i="2"/>
  <c r="Y809" i="2"/>
  <c r="AL809" i="2"/>
  <c r="AM809" i="2"/>
  <c r="AZ809" i="2"/>
  <c r="BA809" i="2"/>
  <c r="H782" i="2"/>
  <c r="M782" i="2"/>
  <c r="H786" i="2"/>
  <c r="M786" i="2"/>
  <c r="H790" i="2"/>
  <c r="M790" i="2"/>
  <c r="H794" i="2"/>
  <c r="M794" i="2"/>
  <c r="J810" i="2"/>
  <c r="K810" i="2"/>
  <c r="X810" i="2"/>
  <c r="Y810" i="2"/>
  <c r="AL810" i="2"/>
  <c r="AM810" i="2"/>
  <c r="AZ810" i="2"/>
  <c r="BA810" i="2"/>
  <c r="BU744" i="2"/>
  <c r="CI744" i="2"/>
  <c r="CW744" i="2"/>
  <c r="DK744" i="2"/>
  <c r="BU745" i="2"/>
  <c r="CI745" i="2"/>
  <c r="CW745" i="2"/>
  <c r="DK745" i="2"/>
  <c r="BU746" i="2"/>
  <c r="BY746" i="2"/>
  <c r="CA746" i="2"/>
  <c r="CD746" i="2"/>
  <c r="CE746" i="2"/>
  <c r="CF746" i="2"/>
  <c r="CI746" i="2"/>
  <c r="CW746" i="2"/>
  <c r="DK746" i="2"/>
  <c r="BU747" i="2"/>
  <c r="BY747" i="2"/>
  <c r="CA747" i="2"/>
  <c r="CI747" i="2"/>
  <c r="CW747" i="2"/>
  <c r="DK747" i="2"/>
  <c r="BU748" i="2"/>
  <c r="BY748" i="2"/>
  <c r="CA748" i="2"/>
  <c r="CI748" i="2"/>
  <c r="CW748" i="2"/>
  <c r="DK748" i="2"/>
  <c r="BU749" i="2"/>
  <c r="BY749" i="2"/>
  <c r="CA749" i="2"/>
  <c r="CE749" i="2"/>
  <c r="CI749" i="2"/>
  <c r="CW749" i="2"/>
  <c r="DK749" i="2"/>
  <c r="BU750" i="2"/>
  <c r="BY750" i="2"/>
  <c r="CI750" i="2"/>
  <c r="CW750" i="2"/>
  <c r="DK750" i="2"/>
  <c r="BU751" i="2"/>
  <c r="BU752" i="2"/>
  <c r="BY752" i="2"/>
  <c r="CA752" i="2"/>
  <c r="CD752" i="2"/>
  <c r="CE752" i="2"/>
  <c r="CF752" i="2"/>
  <c r="CI752" i="2"/>
  <c r="CW752" i="2"/>
  <c r="DK752" i="2"/>
  <c r="BU753" i="2"/>
  <c r="BY753" i="2"/>
  <c r="CA753" i="2"/>
  <c r="CD753" i="2"/>
  <c r="CE753" i="2"/>
  <c r="CF753" i="2"/>
  <c r="CI753" i="2"/>
  <c r="CW753" i="2"/>
  <c r="DK753" i="2"/>
  <c r="BU754" i="2"/>
  <c r="BY754" i="2"/>
  <c r="CA754" i="2"/>
  <c r="CD754" i="2"/>
  <c r="CE754" i="2"/>
  <c r="CF754" i="2"/>
  <c r="CI754" i="2"/>
  <c r="CW754" i="2"/>
  <c r="DK754" i="2"/>
  <c r="F755" i="2"/>
  <c r="P755" i="2"/>
  <c r="AD755" i="2"/>
  <c r="AR755" i="2"/>
  <c r="BU755" i="2"/>
  <c r="BY755" i="2"/>
  <c r="CA755" i="2"/>
  <c r="CI755" i="2"/>
  <c r="CW755" i="2"/>
  <c r="DK755" i="2"/>
  <c r="F756" i="2"/>
  <c r="BU756" i="2"/>
  <c r="BY756" i="2"/>
  <c r="CA756" i="2"/>
  <c r="CD756" i="2"/>
  <c r="CE756" i="2"/>
  <c r="CF756" i="2"/>
  <c r="CI756" i="2"/>
  <c r="CM756" i="2"/>
  <c r="CO756" i="2"/>
  <c r="CR756" i="2"/>
  <c r="CS756" i="2"/>
  <c r="CT756" i="2"/>
  <c r="CW756" i="2"/>
  <c r="DA756" i="2"/>
  <c r="DC756" i="2"/>
  <c r="DF756" i="2"/>
  <c r="DG756" i="2"/>
  <c r="DH756" i="2"/>
  <c r="DK756" i="2"/>
  <c r="DO756" i="2"/>
  <c r="DQ756" i="2"/>
  <c r="DT756" i="2"/>
  <c r="DU756" i="2"/>
  <c r="DV756" i="2"/>
  <c r="F757" i="2"/>
  <c r="BU757" i="2"/>
  <c r="CF757" i="2"/>
  <c r="CI757" i="2"/>
  <c r="CT757" i="2"/>
  <c r="CW757" i="2"/>
  <c r="DK757" i="2"/>
  <c r="F758" i="2"/>
  <c r="BU758" i="2"/>
  <c r="BY758" i="2"/>
  <c r="CA758" i="2"/>
  <c r="CD758" i="2"/>
  <c r="CE758" i="2"/>
  <c r="CF758" i="2"/>
  <c r="CI758" i="2"/>
  <c r="CM758" i="2"/>
  <c r="CO758" i="2"/>
  <c r="CR758" i="2"/>
  <c r="CS758" i="2"/>
  <c r="CT758" i="2"/>
  <c r="CW758" i="2"/>
  <c r="DA758" i="2"/>
  <c r="DC758" i="2"/>
  <c r="DF758" i="2"/>
  <c r="DG758" i="2"/>
  <c r="DH758" i="2"/>
  <c r="DK758" i="2"/>
  <c r="DO758" i="2"/>
  <c r="DQ758" i="2"/>
  <c r="DT758" i="2"/>
  <c r="DU758" i="2"/>
  <c r="DV758" i="2"/>
  <c r="F759" i="2"/>
  <c r="P759" i="2"/>
  <c r="AD759" i="2"/>
  <c r="AR759" i="2"/>
  <c r="BU759" i="2"/>
  <c r="BY759" i="2"/>
  <c r="CA759" i="2"/>
  <c r="CD759" i="2"/>
  <c r="CE759" i="2"/>
  <c r="CF759" i="2"/>
  <c r="CI759" i="2"/>
  <c r="CM759" i="2"/>
  <c r="CO759" i="2"/>
  <c r="CR759" i="2"/>
  <c r="CS759" i="2"/>
  <c r="CT759" i="2"/>
  <c r="CW759" i="2"/>
  <c r="DA759" i="2"/>
  <c r="DC759" i="2"/>
  <c r="DF759" i="2"/>
  <c r="DG759" i="2"/>
  <c r="DH759" i="2"/>
  <c r="DK759" i="2"/>
  <c r="DO759" i="2"/>
  <c r="DQ759" i="2"/>
  <c r="DT759" i="2"/>
  <c r="DU759" i="2"/>
  <c r="DV759" i="2"/>
  <c r="F760" i="2"/>
  <c r="BU760" i="2"/>
  <c r="BY760" i="2"/>
  <c r="CA760" i="2"/>
  <c r="CD760" i="2"/>
  <c r="CE760" i="2"/>
  <c r="CF760" i="2"/>
  <c r="CI760" i="2"/>
  <c r="CM760" i="2"/>
  <c r="CO760" i="2"/>
  <c r="CR760" i="2"/>
  <c r="CS760" i="2"/>
  <c r="CT760" i="2"/>
  <c r="CW760" i="2"/>
  <c r="DA760" i="2"/>
  <c r="DC760" i="2"/>
  <c r="DF760" i="2"/>
  <c r="DG760" i="2"/>
  <c r="DH760" i="2"/>
  <c r="DK760" i="2"/>
  <c r="DO760" i="2"/>
  <c r="DQ760" i="2"/>
  <c r="DT760" i="2"/>
  <c r="DU760" i="2"/>
  <c r="DV760" i="2"/>
  <c r="F761" i="2"/>
  <c r="BU761" i="2"/>
  <c r="BY761" i="2"/>
  <c r="CA761" i="2"/>
  <c r="CD761" i="2"/>
  <c r="CE761" i="2"/>
  <c r="CF761" i="2"/>
  <c r="CI761" i="2"/>
  <c r="CM761" i="2"/>
  <c r="CO761" i="2"/>
  <c r="CR761" i="2"/>
  <c r="CS761" i="2"/>
  <c r="CT761" i="2"/>
  <c r="CW761" i="2"/>
  <c r="DA761" i="2"/>
  <c r="DC761" i="2"/>
  <c r="DF761" i="2"/>
  <c r="DG761" i="2"/>
  <c r="DH761" i="2"/>
  <c r="DK761" i="2"/>
  <c r="DO761" i="2"/>
  <c r="DQ761" i="2"/>
  <c r="DT761" i="2"/>
  <c r="DU761" i="2"/>
  <c r="DV761" i="2"/>
  <c r="F762" i="2"/>
  <c r="BU762" i="2"/>
  <c r="BY762" i="2"/>
  <c r="CA762" i="2"/>
  <c r="CD762" i="2"/>
  <c r="CE762" i="2"/>
  <c r="CF762" i="2"/>
  <c r="CI762" i="2"/>
  <c r="CM762" i="2"/>
  <c r="CO762" i="2"/>
  <c r="CR762" i="2"/>
  <c r="CS762" i="2"/>
  <c r="CT762" i="2"/>
  <c r="CW762" i="2"/>
  <c r="DA762" i="2"/>
  <c r="DC762" i="2"/>
  <c r="DF762" i="2"/>
  <c r="DG762" i="2"/>
  <c r="DH762" i="2"/>
  <c r="DK762" i="2"/>
  <c r="DO762" i="2"/>
  <c r="DQ762" i="2"/>
  <c r="DT762" i="2"/>
  <c r="DU762" i="2"/>
  <c r="DV762" i="2"/>
  <c r="F763" i="2"/>
  <c r="P763" i="2"/>
  <c r="AD763" i="2"/>
  <c r="AR763" i="2"/>
  <c r="BU763" i="2"/>
  <c r="BY763" i="2"/>
  <c r="CA763" i="2"/>
  <c r="CD763" i="2"/>
  <c r="CE763" i="2"/>
  <c r="CF763" i="2"/>
  <c r="CI763" i="2"/>
  <c r="CM763" i="2"/>
  <c r="CO763" i="2"/>
  <c r="CR763" i="2"/>
  <c r="CS763" i="2"/>
  <c r="CT763" i="2"/>
  <c r="CW763" i="2"/>
  <c r="DA763" i="2"/>
  <c r="DC763" i="2"/>
  <c r="DF763" i="2"/>
  <c r="DG763" i="2"/>
  <c r="DH763" i="2"/>
  <c r="DK763" i="2"/>
  <c r="DO763" i="2"/>
  <c r="DQ763" i="2"/>
  <c r="DT763" i="2"/>
  <c r="DU763" i="2"/>
  <c r="DV763" i="2"/>
  <c r="F764" i="2"/>
  <c r="BY764" i="2"/>
  <c r="CA764" i="2"/>
  <c r="CE764" i="2"/>
  <c r="CF764" i="2"/>
  <c r="CM764" i="2"/>
  <c r="CO764" i="2"/>
  <c r="CS764" i="2"/>
  <c r="CT764" i="2"/>
  <c r="DA764" i="2"/>
  <c r="DC764" i="2"/>
  <c r="DG764" i="2"/>
  <c r="DH764" i="2"/>
  <c r="DO764" i="2"/>
  <c r="DQ764" i="2"/>
  <c r="DU764" i="2"/>
  <c r="DV764" i="2"/>
  <c r="F765" i="2"/>
  <c r="BY765" i="2"/>
  <c r="CA765" i="2"/>
  <c r="CE765" i="2"/>
  <c r="CF765" i="2"/>
  <c r="CM765" i="2"/>
  <c r="CO765" i="2"/>
  <c r="CS765" i="2"/>
  <c r="CT765" i="2"/>
  <c r="DA765" i="2"/>
  <c r="DC765" i="2"/>
  <c r="DG765" i="2"/>
  <c r="DH765" i="2"/>
  <c r="DO765" i="2"/>
  <c r="DQ765" i="2"/>
  <c r="DU765" i="2"/>
  <c r="DV765" i="2"/>
  <c r="F766" i="2"/>
  <c r="CA766" i="2"/>
  <c r="CE766" i="2"/>
  <c r="CF766" i="2"/>
  <c r="CO766" i="2"/>
  <c r="CS766" i="2"/>
  <c r="CT766" i="2"/>
  <c r="DC766" i="2"/>
  <c r="DG766" i="2"/>
  <c r="DH766" i="2"/>
  <c r="DQ766" i="2"/>
  <c r="DU766" i="2"/>
  <c r="DV766" i="2"/>
  <c r="F767" i="2"/>
  <c r="P767" i="2"/>
  <c r="AD767" i="2"/>
  <c r="AR767" i="2"/>
  <c r="BY767" i="2"/>
  <c r="CA767" i="2"/>
  <c r="CE767" i="2"/>
  <c r="CF767" i="2"/>
  <c r="CM767" i="2"/>
  <c r="CO767" i="2"/>
  <c r="CS767" i="2"/>
  <c r="CT767" i="2"/>
  <c r="DA767" i="2"/>
  <c r="DC767" i="2"/>
  <c r="DG767" i="2"/>
  <c r="DH767" i="2"/>
  <c r="DO767" i="2"/>
  <c r="DQ767" i="2"/>
  <c r="DU767" i="2"/>
  <c r="DV767" i="2"/>
  <c r="F768" i="2"/>
  <c r="P768" i="2"/>
  <c r="AD768" i="2"/>
  <c r="AR768" i="2"/>
  <c r="BY768" i="2"/>
  <c r="CA768" i="2"/>
  <c r="CE768" i="2"/>
  <c r="CF768" i="2"/>
  <c r="CM768" i="2"/>
  <c r="CO768" i="2"/>
  <c r="CS768" i="2"/>
  <c r="CT768" i="2"/>
  <c r="DA768" i="2"/>
  <c r="DC768" i="2"/>
  <c r="DG768" i="2"/>
  <c r="DH768" i="2"/>
  <c r="DO768" i="2"/>
  <c r="DQ768" i="2"/>
  <c r="DU768" i="2"/>
  <c r="DV768" i="2"/>
  <c r="F769" i="2"/>
  <c r="CA769" i="2"/>
  <c r="CE769" i="2"/>
  <c r="CF769" i="2"/>
  <c r="CO769" i="2"/>
  <c r="CS769" i="2"/>
  <c r="CT769" i="2"/>
  <c r="DC769" i="2"/>
  <c r="DG769" i="2"/>
  <c r="DH769" i="2"/>
  <c r="DQ769" i="2"/>
  <c r="DU769" i="2"/>
  <c r="DV769" i="2"/>
  <c r="F770" i="2"/>
  <c r="CA770" i="2"/>
  <c r="CE770" i="2"/>
  <c r="CF770" i="2"/>
  <c r="CO770" i="2"/>
  <c r="CS770" i="2"/>
  <c r="CT770" i="2"/>
  <c r="DC770" i="2"/>
  <c r="DG770" i="2"/>
  <c r="DH770" i="2"/>
  <c r="DQ770" i="2"/>
  <c r="DU770" i="2"/>
  <c r="DV770" i="2"/>
  <c r="F771" i="2"/>
  <c r="P771" i="2"/>
  <c r="AD771" i="2"/>
  <c r="AR771" i="2"/>
  <c r="CA771" i="2"/>
  <c r="CE771" i="2"/>
  <c r="CF771" i="2"/>
  <c r="CO771" i="2"/>
  <c r="CS771" i="2"/>
  <c r="CT771" i="2"/>
  <c r="DC771" i="2"/>
  <c r="DG771" i="2"/>
  <c r="DH771" i="2"/>
  <c r="DQ771" i="2"/>
  <c r="DU771" i="2"/>
  <c r="DV771" i="2"/>
  <c r="F772" i="2"/>
  <c r="CA772" i="2"/>
  <c r="CE772" i="2"/>
  <c r="CF772" i="2"/>
  <c r="CO772" i="2"/>
  <c r="CS772" i="2"/>
  <c r="CT772" i="2"/>
  <c r="DC772" i="2"/>
  <c r="DG772" i="2"/>
  <c r="DH772" i="2"/>
  <c r="DQ772" i="2"/>
  <c r="DU772" i="2"/>
  <c r="DV772" i="2"/>
  <c r="F773" i="2"/>
  <c r="CA773" i="2"/>
  <c r="CE773" i="2"/>
  <c r="CF773" i="2"/>
  <c r="CO773" i="2"/>
  <c r="CS773" i="2"/>
  <c r="CT773" i="2"/>
  <c r="DC773" i="2"/>
  <c r="DG773" i="2"/>
  <c r="DH773" i="2"/>
  <c r="DQ773" i="2"/>
  <c r="DU773" i="2"/>
  <c r="DV773" i="2"/>
  <c r="F774" i="2"/>
  <c r="CA774" i="2"/>
  <c r="CE774" i="2"/>
  <c r="CF774" i="2"/>
  <c r="CO774" i="2"/>
  <c r="CS774" i="2"/>
  <c r="CT774" i="2"/>
  <c r="DC774" i="2"/>
  <c r="DG774" i="2"/>
  <c r="DH774" i="2"/>
  <c r="DQ774" i="2"/>
  <c r="DU774" i="2"/>
  <c r="DV774" i="2"/>
  <c r="CA775" i="2"/>
  <c r="CE775" i="2"/>
  <c r="CF775" i="2"/>
  <c r="CO775" i="2"/>
  <c r="CS775" i="2"/>
  <c r="CT775" i="2"/>
  <c r="DC775" i="2"/>
  <c r="DG775" i="2"/>
  <c r="DH775" i="2"/>
  <c r="DQ775" i="2"/>
  <c r="DU775" i="2"/>
  <c r="DV775" i="2"/>
  <c r="CA776" i="2"/>
  <c r="CE776" i="2"/>
  <c r="CF776" i="2"/>
  <c r="CO776" i="2"/>
  <c r="CS776" i="2"/>
  <c r="CT776" i="2"/>
  <c r="DC776" i="2"/>
  <c r="DG776" i="2"/>
  <c r="DH776" i="2"/>
  <c r="DQ776" i="2"/>
  <c r="DU776" i="2"/>
  <c r="DV776" i="2"/>
  <c r="CA777" i="2"/>
  <c r="CE777" i="2"/>
  <c r="CF777" i="2"/>
  <c r="CO777" i="2"/>
  <c r="CS777" i="2"/>
  <c r="CT777" i="2"/>
  <c r="DC777" i="2"/>
  <c r="DG777" i="2"/>
  <c r="DH777" i="2"/>
  <c r="DQ777" i="2"/>
  <c r="DU777" i="2"/>
  <c r="DV777" i="2"/>
  <c r="CA778" i="2"/>
  <c r="CE778" i="2"/>
  <c r="CF778" i="2"/>
  <c r="CO778" i="2"/>
  <c r="CS778" i="2"/>
  <c r="CT778" i="2"/>
  <c r="DC778" i="2"/>
  <c r="DG778" i="2"/>
  <c r="DH778" i="2"/>
  <c r="DQ778" i="2"/>
  <c r="DU778" i="2"/>
  <c r="DV778" i="2"/>
  <c r="CA779" i="2"/>
  <c r="CE779" i="2"/>
  <c r="CF779" i="2"/>
  <c r="CO779" i="2"/>
  <c r="CS779" i="2"/>
  <c r="CT779" i="2"/>
  <c r="DC779" i="2"/>
  <c r="DG779" i="2"/>
  <c r="DH779" i="2"/>
  <c r="DQ779" i="2"/>
  <c r="DU779" i="2"/>
  <c r="DV779" i="2"/>
  <c r="F780" i="2"/>
  <c r="J780" i="2"/>
  <c r="CA780" i="2"/>
  <c r="CE780" i="2"/>
  <c r="CF780" i="2"/>
  <c r="CO780" i="2"/>
  <c r="CS780" i="2"/>
  <c r="CT780" i="2"/>
  <c r="DC780" i="2"/>
  <c r="DG780" i="2"/>
  <c r="DH780" i="2"/>
  <c r="DQ780" i="2"/>
  <c r="DU780" i="2"/>
  <c r="DV780" i="2"/>
  <c r="F781" i="2"/>
  <c r="J781" i="2"/>
  <c r="CA781" i="2"/>
  <c r="CE781" i="2"/>
  <c r="CF781" i="2"/>
  <c r="CO781" i="2"/>
  <c r="CS781" i="2"/>
  <c r="CT781" i="2"/>
  <c r="DC781" i="2"/>
  <c r="DG781" i="2"/>
  <c r="DH781" i="2"/>
  <c r="DQ781" i="2"/>
  <c r="DU781" i="2"/>
  <c r="DV781" i="2"/>
  <c r="F782" i="2"/>
  <c r="J782" i="2"/>
  <c r="CA782" i="2"/>
  <c r="CE782" i="2"/>
  <c r="CF782" i="2"/>
  <c r="CO782" i="2"/>
  <c r="CS782" i="2"/>
  <c r="CT782" i="2"/>
  <c r="DC782" i="2"/>
  <c r="DG782" i="2"/>
  <c r="DH782" i="2"/>
  <c r="DQ782" i="2"/>
  <c r="DU782" i="2"/>
  <c r="DV782" i="2"/>
  <c r="F783" i="2"/>
  <c r="J783" i="2"/>
  <c r="P783" i="2"/>
  <c r="AD783" i="2"/>
  <c r="AR783" i="2"/>
  <c r="CA783" i="2"/>
  <c r="CE783" i="2"/>
  <c r="CF783" i="2"/>
  <c r="CO783" i="2"/>
  <c r="CS783" i="2"/>
  <c r="CT783" i="2"/>
  <c r="DC783" i="2"/>
  <c r="DG783" i="2"/>
  <c r="DH783" i="2"/>
  <c r="DQ783" i="2"/>
  <c r="DU783" i="2"/>
  <c r="DV783" i="2"/>
  <c r="F784" i="2"/>
  <c r="J784" i="2"/>
  <c r="CA784" i="2"/>
  <c r="CE784" i="2"/>
  <c r="CF784" i="2"/>
  <c r="CO784" i="2"/>
  <c r="CS784" i="2"/>
  <c r="CT784" i="2"/>
  <c r="DC784" i="2"/>
  <c r="DG784" i="2"/>
  <c r="DH784" i="2"/>
  <c r="DQ784" i="2"/>
  <c r="DU784" i="2"/>
  <c r="DV784" i="2"/>
  <c r="F785" i="2"/>
  <c r="J785" i="2"/>
  <c r="CA785" i="2"/>
  <c r="CE785" i="2"/>
  <c r="CF785" i="2"/>
  <c r="CO785" i="2"/>
  <c r="CS785" i="2"/>
  <c r="CT785" i="2"/>
  <c r="DC785" i="2"/>
  <c r="DG785" i="2"/>
  <c r="DH785" i="2"/>
  <c r="DQ785" i="2"/>
  <c r="DU785" i="2"/>
  <c r="DV785" i="2"/>
  <c r="F786" i="2"/>
  <c r="J786" i="2"/>
  <c r="CA786" i="2"/>
  <c r="CE786" i="2"/>
  <c r="CF786" i="2"/>
  <c r="CO786" i="2"/>
  <c r="CS786" i="2"/>
  <c r="CT786" i="2"/>
  <c r="DC786" i="2"/>
  <c r="DG786" i="2"/>
  <c r="DH786" i="2"/>
  <c r="DQ786" i="2"/>
  <c r="DU786" i="2"/>
  <c r="DV786" i="2"/>
  <c r="J787" i="2"/>
  <c r="P787" i="2"/>
  <c r="AD787" i="2"/>
  <c r="AR787" i="2"/>
  <c r="CA787" i="2"/>
  <c r="CE787" i="2"/>
  <c r="CF787" i="2"/>
  <c r="CO787" i="2"/>
  <c r="CS787" i="2"/>
  <c r="CT787" i="2"/>
  <c r="DC787" i="2"/>
  <c r="DG787" i="2"/>
  <c r="DH787" i="2"/>
  <c r="DQ787" i="2"/>
  <c r="DU787" i="2"/>
  <c r="DV787" i="2"/>
  <c r="J788" i="2"/>
  <c r="CA788" i="2"/>
  <c r="CE788" i="2"/>
  <c r="CF788" i="2"/>
  <c r="CO788" i="2"/>
  <c r="CS788" i="2"/>
  <c r="CT788" i="2"/>
  <c r="DC788" i="2"/>
  <c r="DG788" i="2"/>
  <c r="DH788" i="2"/>
  <c r="DQ788" i="2"/>
  <c r="DU788" i="2"/>
  <c r="DV788" i="2"/>
  <c r="J789" i="2"/>
  <c r="CA789" i="2"/>
  <c r="CE789" i="2"/>
  <c r="CF789" i="2"/>
  <c r="CO789" i="2"/>
  <c r="CS789" i="2"/>
  <c r="CT789" i="2"/>
  <c r="DC789" i="2"/>
  <c r="DG789" i="2"/>
  <c r="DH789" i="2"/>
  <c r="DQ789" i="2"/>
  <c r="DU789" i="2"/>
  <c r="DV789" i="2"/>
  <c r="J790" i="2"/>
  <c r="CA790" i="2"/>
  <c r="CE790" i="2"/>
  <c r="CF790" i="2"/>
  <c r="CO790" i="2"/>
  <c r="CS790" i="2"/>
  <c r="CT790" i="2"/>
  <c r="DC790" i="2"/>
  <c r="DG790" i="2"/>
  <c r="DH790" i="2"/>
  <c r="DQ790" i="2"/>
  <c r="DU790" i="2"/>
  <c r="DV790" i="2"/>
  <c r="F791" i="2"/>
  <c r="J791" i="2"/>
  <c r="P791" i="2"/>
  <c r="AD791" i="2"/>
  <c r="AR791" i="2"/>
  <c r="F792" i="2"/>
  <c r="J792" i="2"/>
  <c r="CA792" i="2"/>
  <c r="CE792" i="2"/>
  <c r="CF792" i="2"/>
  <c r="CO792" i="2"/>
  <c r="CS792" i="2"/>
  <c r="CT792" i="2"/>
  <c r="DC792" i="2"/>
  <c r="DG792" i="2"/>
  <c r="DH792" i="2"/>
  <c r="DQ792" i="2"/>
  <c r="DU792" i="2"/>
  <c r="DV792" i="2"/>
  <c r="F793" i="2"/>
  <c r="J793" i="2"/>
  <c r="CA793" i="2"/>
  <c r="CE793" i="2"/>
  <c r="CF793" i="2"/>
  <c r="CO793" i="2"/>
  <c r="CS793" i="2"/>
  <c r="CT793" i="2"/>
  <c r="DC793" i="2"/>
  <c r="DG793" i="2"/>
  <c r="DH793" i="2"/>
  <c r="DQ793" i="2"/>
  <c r="DU793" i="2"/>
  <c r="DV793" i="2"/>
  <c r="F794" i="2"/>
  <c r="J794" i="2"/>
  <c r="CA794" i="2"/>
  <c r="CE794" i="2"/>
  <c r="CF794" i="2"/>
  <c r="CO794" i="2"/>
  <c r="CS794" i="2"/>
  <c r="CT794" i="2"/>
  <c r="DC794" i="2"/>
  <c r="DG794" i="2"/>
  <c r="DH794" i="2"/>
  <c r="DQ794" i="2"/>
  <c r="DU794" i="2"/>
  <c r="DV794" i="2"/>
  <c r="CA795" i="2"/>
  <c r="CE795" i="2"/>
  <c r="CF795" i="2"/>
  <c r="CO795" i="2"/>
  <c r="CS795" i="2"/>
  <c r="CT795" i="2"/>
  <c r="DC795" i="2"/>
  <c r="DG795" i="2"/>
  <c r="DH795" i="2"/>
  <c r="DQ795" i="2"/>
  <c r="DU795" i="2"/>
  <c r="DV795" i="2"/>
  <c r="D821" i="2"/>
  <c r="D822" i="2"/>
  <c r="D823" i="2"/>
  <c r="D824" i="2"/>
  <c r="K824" i="2"/>
  <c r="D825" i="2"/>
  <c r="D826" i="2"/>
  <c r="D827" i="2"/>
  <c r="D828" i="2"/>
  <c r="K828" i="2"/>
  <c r="D829" i="2"/>
  <c r="D830" i="2"/>
  <c r="D831" i="2"/>
  <c r="D832" i="2"/>
  <c r="D833" i="2"/>
  <c r="D834" i="2"/>
  <c r="D835" i="2"/>
  <c r="D836" i="2"/>
  <c r="D837" i="2"/>
  <c r="D838" i="2"/>
  <c r="D839" i="2"/>
  <c r="K839" i="2"/>
  <c r="H839" i="2"/>
  <c r="L839" i="2"/>
  <c r="D840" i="2"/>
  <c r="D841" i="2"/>
  <c r="D842" i="2"/>
  <c r="D843" i="2"/>
  <c r="K843" i="2"/>
  <c r="D844" i="2"/>
  <c r="D845" i="2"/>
  <c r="D846" i="2"/>
  <c r="D847" i="2"/>
  <c r="D848" i="2"/>
  <c r="D849" i="2"/>
  <c r="D850" i="2"/>
  <c r="D851" i="2"/>
  <c r="D852" i="2"/>
  <c r="R821" i="2"/>
  <c r="R822" i="2"/>
  <c r="R823" i="2"/>
  <c r="Y823" i="2"/>
  <c r="R827" i="2"/>
  <c r="Y827" i="2"/>
  <c r="Y831" i="2"/>
  <c r="Z831" i="2"/>
  <c r="AA831" i="2"/>
  <c r="R824" i="2"/>
  <c r="Y824" i="2"/>
  <c r="R825" i="2"/>
  <c r="R826" i="2"/>
  <c r="R828" i="2"/>
  <c r="R829" i="2"/>
  <c r="Y829" i="2"/>
  <c r="Z829" i="2"/>
  <c r="AA829" i="2"/>
  <c r="R833" i="2"/>
  <c r="R837" i="2"/>
  <c r="Y837" i="2"/>
  <c r="V837" i="2"/>
  <c r="Z837" i="2"/>
  <c r="R842" i="2"/>
  <c r="R845" i="2"/>
  <c r="R849" i="2"/>
  <c r="R830" i="2"/>
  <c r="R831" i="2"/>
  <c r="R832" i="2"/>
  <c r="R834" i="2"/>
  <c r="R882" i="2"/>
  <c r="U882" i="2"/>
  <c r="R835" i="2"/>
  <c r="R836" i="2"/>
  <c r="R838" i="2"/>
  <c r="R839" i="2"/>
  <c r="Y839" i="2"/>
  <c r="R843" i="2"/>
  <c r="R840" i="2"/>
  <c r="R841" i="2"/>
  <c r="Y841" i="2"/>
  <c r="Y845" i="2"/>
  <c r="Y849" i="2"/>
  <c r="V841" i="2"/>
  <c r="R844" i="2"/>
  <c r="R846" i="2"/>
  <c r="R847" i="2"/>
  <c r="R848" i="2"/>
  <c r="R850" i="2"/>
  <c r="R851" i="2"/>
  <c r="R852" i="2"/>
  <c r="AF821" i="2"/>
  <c r="AF822" i="2"/>
  <c r="AM822" i="2"/>
  <c r="AF823" i="2"/>
  <c r="AF824" i="2"/>
  <c r="AM824" i="2"/>
  <c r="AF828" i="2"/>
  <c r="AM828" i="2"/>
  <c r="AN828" i="2"/>
  <c r="AF825" i="2"/>
  <c r="AM825" i="2"/>
  <c r="AM829" i="2"/>
  <c r="AJ825" i="2"/>
  <c r="AF826" i="2"/>
  <c r="AF827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T821" i="2"/>
  <c r="AT881" i="2"/>
  <c r="AT822" i="2"/>
  <c r="AT823" i="2"/>
  <c r="AT824" i="2"/>
  <c r="BA824" i="2"/>
  <c r="AT825" i="2"/>
  <c r="AT826" i="2"/>
  <c r="AT827" i="2"/>
  <c r="BA823" i="2"/>
  <c r="BA827" i="2"/>
  <c r="AX823" i="2"/>
  <c r="BB823" i="2"/>
  <c r="AT828" i="2"/>
  <c r="BA828" i="2"/>
  <c r="BB828" i="2"/>
  <c r="BC828" i="2"/>
  <c r="AT829" i="2"/>
  <c r="AT830" i="2"/>
  <c r="AT831" i="2"/>
  <c r="AX831" i="2"/>
  <c r="AT832" i="2"/>
  <c r="AT833" i="2"/>
  <c r="AT834" i="2"/>
  <c r="BA834" i="2"/>
  <c r="AX834" i="2"/>
  <c r="BB834" i="2"/>
  <c r="AT835" i="2"/>
  <c r="AT836" i="2"/>
  <c r="BA836" i="2"/>
  <c r="BA840" i="2"/>
  <c r="BB840" i="2"/>
  <c r="BC840" i="2"/>
  <c r="AT840" i="2"/>
  <c r="AT837" i="2"/>
  <c r="BA837" i="2"/>
  <c r="AX837" i="2"/>
  <c r="BB837" i="2"/>
  <c r="AT838" i="2"/>
  <c r="BA838" i="2"/>
  <c r="BA842" i="2"/>
  <c r="AT839" i="2"/>
  <c r="AT841" i="2"/>
  <c r="BA841" i="2"/>
  <c r="AT842" i="2"/>
  <c r="AT843" i="2"/>
  <c r="AT844" i="2"/>
  <c r="AT845" i="2"/>
  <c r="AT846" i="2"/>
  <c r="AT847" i="2"/>
  <c r="AT848" i="2"/>
  <c r="AT849" i="2"/>
  <c r="AT850" i="2"/>
  <c r="AT851" i="2"/>
  <c r="AT852" i="2"/>
  <c r="BW818" i="2"/>
  <c r="BW819" i="2"/>
  <c r="BW820" i="2"/>
  <c r="BW821" i="2"/>
  <c r="BW822" i="2"/>
  <c r="BW823" i="2"/>
  <c r="BW824" i="2"/>
  <c r="BW825" i="2"/>
  <c r="BW832" i="2"/>
  <c r="BW833" i="2"/>
  <c r="BW834" i="2"/>
  <c r="BW835" i="2"/>
  <c r="BW836" i="2"/>
  <c r="BW837" i="2"/>
  <c r="BW838" i="2"/>
  <c r="BW839" i="2"/>
  <c r="BW840" i="2"/>
  <c r="BW841" i="2"/>
  <c r="BW842" i="2"/>
  <c r="BW843" i="2"/>
  <c r="BW844" i="2"/>
  <c r="BW845" i="2"/>
  <c r="BW846" i="2"/>
  <c r="BW847" i="2"/>
  <c r="BW848" i="2"/>
  <c r="BW849" i="2"/>
  <c r="BW850" i="2"/>
  <c r="BW851" i="2"/>
  <c r="BW852" i="2"/>
  <c r="BW853" i="2"/>
  <c r="BW854" i="2"/>
  <c r="BW855" i="2"/>
  <c r="BW856" i="2"/>
  <c r="BW857" i="2"/>
  <c r="BW858" i="2"/>
  <c r="BW859" i="2"/>
  <c r="BW860" i="2"/>
  <c r="BW861" i="2"/>
  <c r="BW862" i="2"/>
  <c r="BW863" i="2"/>
  <c r="BW864" i="2"/>
  <c r="BW866" i="2"/>
  <c r="BW867" i="2"/>
  <c r="BW868" i="2"/>
  <c r="CK818" i="2"/>
  <c r="CK819" i="2"/>
  <c r="CK820" i="2"/>
  <c r="CK821" i="2"/>
  <c r="CK822" i="2"/>
  <c r="CK823" i="2"/>
  <c r="CK824" i="2"/>
  <c r="CK825" i="2"/>
  <c r="CK832" i="2"/>
  <c r="CK833" i="2"/>
  <c r="CK834" i="2"/>
  <c r="CK835" i="2"/>
  <c r="CK836" i="2"/>
  <c r="CK837" i="2"/>
  <c r="CK838" i="2"/>
  <c r="CK839" i="2"/>
  <c r="CK840" i="2"/>
  <c r="CK841" i="2"/>
  <c r="CK842" i="2"/>
  <c r="CK843" i="2"/>
  <c r="CK844" i="2"/>
  <c r="CK845" i="2"/>
  <c r="CK846" i="2"/>
  <c r="CK847" i="2"/>
  <c r="CK848" i="2"/>
  <c r="CK849" i="2"/>
  <c r="CK850" i="2"/>
  <c r="CK851" i="2"/>
  <c r="CK852" i="2"/>
  <c r="CK853" i="2"/>
  <c r="CK854" i="2"/>
  <c r="CK855" i="2"/>
  <c r="CK856" i="2"/>
  <c r="CK857" i="2"/>
  <c r="CK858" i="2"/>
  <c r="CK859" i="2"/>
  <c r="CK860" i="2"/>
  <c r="CK861" i="2"/>
  <c r="CK862" i="2"/>
  <c r="CK863" i="2"/>
  <c r="CK864" i="2"/>
  <c r="CK866" i="2"/>
  <c r="CK867" i="2"/>
  <c r="CK868" i="2"/>
  <c r="CY818" i="2"/>
  <c r="CY819" i="2"/>
  <c r="CY820" i="2"/>
  <c r="CY821" i="2"/>
  <c r="CY822" i="2"/>
  <c r="CY823" i="2"/>
  <c r="CY824" i="2"/>
  <c r="CY825" i="2"/>
  <c r="CY832" i="2"/>
  <c r="CY833" i="2"/>
  <c r="CY834" i="2"/>
  <c r="CY835" i="2"/>
  <c r="CY836" i="2"/>
  <c r="CY837" i="2"/>
  <c r="CY838" i="2"/>
  <c r="CY839" i="2"/>
  <c r="CY840" i="2"/>
  <c r="CY841" i="2"/>
  <c r="CY842" i="2"/>
  <c r="CY843" i="2"/>
  <c r="CY844" i="2"/>
  <c r="CY845" i="2"/>
  <c r="CY846" i="2"/>
  <c r="CY847" i="2"/>
  <c r="CY848" i="2"/>
  <c r="CY849" i="2"/>
  <c r="CY850" i="2"/>
  <c r="CY851" i="2"/>
  <c r="CY852" i="2"/>
  <c r="CY853" i="2"/>
  <c r="CY854" i="2"/>
  <c r="CY855" i="2"/>
  <c r="CY856" i="2"/>
  <c r="CY857" i="2"/>
  <c r="CY858" i="2"/>
  <c r="CY859" i="2"/>
  <c r="CY860" i="2"/>
  <c r="CY861" i="2"/>
  <c r="CY862" i="2"/>
  <c r="CY863" i="2"/>
  <c r="CY864" i="2"/>
  <c r="CY866" i="2"/>
  <c r="CY867" i="2"/>
  <c r="CY868" i="2"/>
  <c r="DM818" i="2"/>
  <c r="DM819" i="2"/>
  <c r="DM820" i="2"/>
  <c r="DM821" i="2"/>
  <c r="DM822" i="2"/>
  <c r="DM823" i="2"/>
  <c r="DM824" i="2"/>
  <c r="DM825" i="2"/>
  <c r="DM832" i="2"/>
  <c r="DM833" i="2"/>
  <c r="DM834" i="2"/>
  <c r="DM835" i="2"/>
  <c r="DM836" i="2"/>
  <c r="DM837" i="2"/>
  <c r="DM838" i="2"/>
  <c r="DM839" i="2"/>
  <c r="DM840" i="2"/>
  <c r="DM841" i="2"/>
  <c r="DM842" i="2"/>
  <c r="DM843" i="2"/>
  <c r="DM844" i="2"/>
  <c r="DM845" i="2"/>
  <c r="DM846" i="2"/>
  <c r="DM847" i="2"/>
  <c r="DM848" i="2"/>
  <c r="DM849" i="2"/>
  <c r="DM850" i="2"/>
  <c r="DM851" i="2"/>
  <c r="DM852" i="2"/>
  <c r="DM853" i="2"/>
  <c r="DM854" i="2"/>
  <c r="DM855" i="2"/>
  <c r="DM856" i="2"/>
  <c r="DM857" i="2"/>
  <c r="DM858" i="2"/>
  <c r="DM859" i="2"/>
  <c r="DM860" i="2"/>
  <c r="DM861" i="2"/>
  <c r="DM862" i="2"/>
  <c r="DM863" i="2"/>
  <c r="DM864" i="2"/>
  <c r="DM866" i="2"/>
  <c r="DM867" i="2"/>
  <c r="DM868" i="2"/>
  <c r="BU829" i="2"/>
  <c r="H822" i="2"/>
  <c r="H828" i="2"/>
  <c r="BU828" i="2"/>
  <c r="AL821" i="2"/>
  <c r="AL825" i="2"/>
  <c r="AL829" i="2"/>
  <c r="AL833" i="2"/>
  <c r="AL837" i="2"/>
  <c r="AL841" i="2"/>
  <c r="AL845" i="2"/>
  <c r="AL849" i="2"/>
  <c r="AJ821" i="2"/>
  <c r="AL822" i="2"/>
  <c r="AL826" i="2"/>
  <c r="AL830" i="2"/>
  <c r="AL834" i="2"/>
  <c r="AL838" i="2"/>
  <c r="AL842" i="2"/>
  <c r="AL846" i="2"/>
  <c r="AL850" i="2"/>
  <c r="AL824" i="2"/>
  <c r="AL828" i="2"/>
  <c r="AL832" i="2"/>
  <c r="AL836" i="2"/>
  <c r="AL840" i="2"/>
  <c r="AL844" i="2"/>
  <c r="AL848" i="2"/>
  <c r="AL852" i="2"/>
  <c r="V821" i="2"/>
  <c r="V822" i="2"/>
  <c r="V823" i="2"/>
  <c r="V831" i="2"/>
  <c r="V824" i="2"/>
  <c r="V825" i="2"/>
  <c r="V826" i="2"/>
  <c r="V827" i="2"/>
  <c r="V828" i="2"/>
  <c r="V829" i="2"/>
  <c r="V830" i="2"/>
  <c r="V832" i="2"/>
  <c r="V833" i="2"/>
  <c r="Z833" i="2"/>
  <c r="V834" i="2"/>
  <c r="V835" i="2"/>
  <c r="V836" i="2"/>
  <c r="V838" i="2"/>
  <c r="V839" i="2"/>
  <c r="Z839" i="2"/>
  <c r="V840" i="2"/>
  <c r="V842" i="2"/>
  <c r="V843" i="2"/>
  <c r="V844" i="2"/>
  <c r="V845" i="2"/>
  <c r="V846" i="2"/>
  <c r="V847" i="2"/>
  <c r="V848" i="2"/>
  <c r="V849" i="2"/>
  <c r="V850" i="2"/>
  <c r="V851" i="2"/>
  <c r="V852" i="2"/>
  <c r="AJ827" i="2"/>
  <c r="AJ822" i="2"/>
  <c r="AN822" i="2"/>
  <c r="AJ823" i="2"/>
  <c r="AJ824" i="2"/>
  <c r="AJ826" i="2"/>
  <c r="AJ828" i="2"/>
  <c r="AO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X821" i="2"/>
  <c r="AX822" i="2"/>
  <c r="AX824" i="2"/>
  <c r="AX825" i="2"/>
  <c r="AX826" i="2"/>
  <c r="AX827" i="2"/>
  <c r="AX828" i="2"/>
  <c r="AX829" i="2"/>
  <c r="AX830" i="2"/>
  <c r="AX832" i="2"/>
  <c r="AX833" i="2"/>
  <c r="BB833" i="2"/>
  <c r="BC833" i="2"/>
  <c r="AX835" i="2"/>
  <c r="AX836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H821" i="2"/>
  <c r="H823" i="2"/>
  <c r="L823" i="2"/>
  <c r="K823" i="2"/>
  <c r="H824" i="2"/>
  <c r="H825" i="2"/>
  <c r="H826" i="2"/>
  <c r="H827" i="2"/>
  <c r="H829" i="2"/>
  <c r="H830" i="2"/>
  <c r="H831" i="2"/>
  <c r="H832" i="2"/>
  <c r="H833" i="2"/>
  <c r="H834" i="2"/>
  <c r="H835" i="2"/>
  <c r="H836" i="2"/>
  <c r="H837" i="2"/>
  <c r="H838" i="2"/>
  <c r="H840" i="2"/>
  <c r="H844" i="2"/>
  <c r="H848" i="2"/>
  <c r="H852" i="2"/>
  <c r="H841" i="2"/>
  <c r="H842" i="2"/>
  <c r="H843" i="2"/>
  <c r="H845" i="2"/>
  <c r="H846" i="2"/>
  <c r="H847" i="2"/>
  <c r="H849" i="2"/>
  <c r="H850" i="2"/>
  <c r="H851" i="2"/>
  <c r="A874" i="2"/>
  <c r="BU827" i="2"/>
  <c r="AZ834" i="2"/>
  <c r="AZ838" i="2"/>
  <c r="AZ842" i="2"/>
  <c r="AZ846" i="2"/>
  <c r="AZ850" i="2"/>
  <c r="AZ823" i="2"/>
  <c r="AZ827" i="2"/>
  <c r="AZ831" i="2"/>
  <c r="AZ835" i="2"/>
  <c r="AZ839" i="2"/>
  <c r="AZ843" i="2"/>
  <c r="AZ847" i="2"/>
  <c r="AZ851" i="2"/>
  <c r="AZ836" i="2"/>
  <c r="AZ840" i="2"/>
  <c r="AZ844" i="2"/>
  <c r="AZ848" i="2"/>
  <c r="AZ852" i="2"/>
  <c r="AL823" i="2"/>
  <c r="AL827" i="2"/>
  <c r="AL831" i="2"/>
  <c r="AL835" i="2"/>
  <c r="AL839" i="2"/>
  <c r="AL843" i="2"/>
  <c r="AL847" i="2"/>
  <c r="AL851" i="2"/>
  <c r="X837" i="2"/>
  <c r="X841" i="2"/>
  <c r="X845" i="2"/>
  <c r="X849" i="2"/>
  <c r="X822" i="2"/>
  <c r="X826" i="2"/>
  <c r="X830" i="2"/>
  <c r="X834" i="2"/>
  <c r="X838" i="2"/>
  <c r="X842" i="2"/>
  <c r="X846" i="2"/>
  <c r="X850" i="2"/>
  <c r="X839" i="2"/>
  <c r="X843" i="2"/>
  <c r="X847" i="2"/>
  <c r="X851" i="2"/>
  <c r="CD818" i="2"/>
  <c r="CD819" i="2"/>
  <c r="CA819" i="2"/>
  <c r="CA825" i="2"/>
  <c r="CA824" i="2"/>
  <c r="CR818" i="2"/>
  <c r="DF818" i="2"/>
  <c r="DC820" i="2"/>
  <c r="DC825" i="2"/>
  <c r="DT824" i="2"/>
  <c r="DT825" i="2"/>
  <c r="DR877" i="2"/>
  <c r="CA823" i="2"/>
  <c r="CO825" i="2"/>
  <c r="CO824" i="2"/>
  <c r="DC824" i="2"/>
  <c r="DQ823" i="2"/>
  <c r="DU823" i="2"/>
  <c r="DV823" i="2"/>
  <c r="DT818" i="2"/>
  <c r="DT819" i="2"/>
  <c r="DQ822" i="2"/>
  <c r="DQ821" i="2"/>
  <c r="DC823" i="2"/>
  <c r="DC822" i="2"/>
  <c r="DC821" i="2"/>
  <c r="CO823" i="2"/>
  <c r="CO822" i="2"/>
  <c r="CO821" i="2"/>
  <c r="CA822" i="2"/>
  <c r="CA821" i="2"/>
  <c r="DQ825" i="2"/>
  <c r="DQ824" i="2"/>
  <c r="CO819" i="2"/>
  <c r="DQ819" i="2"/>
  <c r="DC819" i="2"/>
  <c r="DO818" i="2"/>
  <c r="DQ818" i="2"/>
  <c r="DU818" i="2"/>
  <c r="DO819" i="2"/>
  <c r="DO820" i="2"/>
  <c r="DQ820" i="2"/>
  <c r="DO821" i="2"/>
  <c r="DO822" i="2"/>
  <c r="DO823" i="2"/>
  <c r="DO824" i="2"/>
  <c r="DO825" i="2"/>
  <c r="DA818" i="2"/>
  <c r="DC818" i="2"/>
  <c r="DA819" i="2"/>
  <c r="DA820" i="2"/>
  <c r="DA821" i="2"/>
  <c r="DA822" i="2"/>
  <c r="DA823" i="2"/>
  <c r="DA824" i="2"/>
  <c r="DA825" i="2"/>
  <c r="CM818" i="2"/>
  <c r="CO818" i="2"/>
  <c r="CM819" i="2"/>
  <c r="CM820" i="2"/>
  <c r="CO820" i="2"/>
  <c r="CM821" i="2"/>
  <c r="CM822" i="2"/>
  <c r="CM823" i="2"/>
  <c r="CM824" i="2"/>
  <c r="CM825" i="2"/>
  <c r="CA818" i="2"/>
  <c r="CA820" i="2"/>
  <c r="BY818" i="2"/>
  <c r="BY819" i="2"/>
  <c r="BY820" i="2"/>
  <c r="BY821" i="2"/>
  <c r="BY822" i="2"/>
  <c r="AV821" i="2"/>
  <c r="AZ821" i="2"/>
  <c r="AZ825" i="2"/>
  <c r="AZ829" i="2"/>
  <c r="AV822" i="2"/>
  <c r="AZ822" i="2"/>
  <c r="AZ826" i="2"/>
  <c r="AV823" i="2"/>
  <c r="AV824" i="2"/>
  <c r="AZ824" i="2"/>
  <c r="AZ828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Z837" i="2"/>
  <c r="AZ841" i="2"/>
  <c r="AZ845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T821" i="2"/>
  <c r="X821" i="2"/>
  <c r="X825" i="2"/>
  <c r="X829" i="2"/>
  <c r="T822" i="2"/>
  <c r="T823" i="2"/>
  <c r="X823" i="2"/>
  <c r="X827" i="2"/>
  <c r="T824" i="2"/>
  <c r="X824" i="2"/>
  <c r="X828" i="2"/>
  <c r="X832" i="2"/>
  <c r="X836" i="2"/>
  <c r="X840" i="2"/>
  <c r="X844" i="2"/>
  <c r="X848" i="2"/>
  <c r="X852" i="2"/>
  <c r="T825" i="2"/>
  <c r="T826" i="2"/>
  <c r="T827" i="2"/>
  <c r="X831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F821" i="2"/>
  <c r="J821" i="2"/>
  <c r="J825" i="2"/>
  <c r="J829" i="2"/>
  <c r="J833" i="2"/>
  <c r="J837" i="2"/>
  <c r="J841" i="2"/>
  <c r="J845" i="2"/>
  <c r="J849" i="2"/>
  <c r="F822" i="2"/>
  <c r="J822" i="2"/>
  <c r="J826" i="2"/>
  <c r="J830" i="2"/>
  <c r="J834" i="2"/>
  <c r="J838" i="2"/>
  <c r="J842" i="2"/>
  <c r="J846" i="2"/>
  <c r="J850" i="2"/>
  <c r="F823" i="2"/>
  <c r="J823" i="2"/>
  <c r="J827" i="2"/>
  <c r="J831" i="2"/>
  <c r="F824" i="2"/>
  <c r="J824" i="2"/>
  <c r="J828" i="2"/>
  <c r="J832" i="2"/>
  <c r="J836" i="2"/>
  <c r="J840" i="2"/>
  <c r="J844" i="2"/>
  <c r="J848" i="2"/>
  <c r="J852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J839" i="2"/>
  <c r="J843" i="2"/>
  <c r="J847" i="2"/>
  <c r="J851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J881" i="2"/>
  <c r="K881" i="2"/>
  <c r="X881" i="2"/>
  <c r="Y881" i="2"/>
  <c r="AL881" i="2"/>
  <c r="AM881" i="2"/>
  <c r="AZ881" i="2"/>
  <c r="BA881" i="2"/>
  <c r="J882" i="2"/>
  <c r="K882" i="2"/>
  <c r="X882" i="2"/>
  <c r="Y882" i="2"/>
  <c r="AL882" i="2"/>
  <c r="AM882" i="2"/>
  <c r="AZ882" i="2"/>
  <c r="BA882" i="2"/>
  <c r="J883" i="2"/>
  <c r="K883" i="2"/>
  <c r="X883" i="2"/>
  <c r="Y883" i="2"/>
  <c r="AL883" i="2"/>
  <c r="AM883" i="2"/>
  <c r="AZ883" i="2"/>
  <c r="BA883" i="2"/>
  <c r="J884" i="2"/>
  <c r="K884" i="2"/>
  <c r="X884" i="2"/>
  <c r="Y884" i="2"/>
  <c r="AL884" i="2"/>
  <c r="AM884" i="2"/>
  <c r="AZ884" i="2"/>
  <c r="BA884" i="2"/>
  <c r="BU818" i="2"/>
  <c r="CI818" i="2"/>
  <c r="CW818" i="2"/>
  <c r="DK818" i="2"/>
  <c r="BU819" i="2"/>
  <c r="CI819" i="2"/>
  <c r="CW819" i="2"/>
  <c r="DK819" i="2"/>
  <c r="BU820" i="2"/>
  <c r="CI820" i="2"/>
  <c r="CW820" i="2"/>
  <c r="DK820" i="2"/>
  <c r="P821" i="2"/>
  <c r="AD821" i="2"/>
  <c r="AR821" i="2"/>
  <c r="BU821" i="2"/>
  <c r="CI821" i="2"/>
  <c r="CW821" i="2"/>
  <c r="DK821" i="2"/>
  <c r="BU822" i="2"/>
  <c r="CI822" i="2"/>
  <c r="CW822" i="2"/>
  <c r="DK822" i="2"/>
  <c r="BU823" i="2"/>
  <c r="BY823" i="2"/>
  <c r="CI823" i="2"/>
  <c r="CW823" i="2"/>
  <c r="DK823" i="2"/>
  <c r="BU824" i="2"/>
  <c r="BY824" i="2"/>
  <c r="CI824" i="2"/>
  <c r="CW824" i="2"/>
  <c r="DK824" i="2"/>
  <c r="P825" i="2"/>
  <c r="AD825" i="2"/>
  <c r="AR825" i="2"/>
  <c r="BU825" i="2"/>
  <c r="BY825" i="2"/>
  <c r="CI825" i="2"/>
  <c r="CW825" i="2"/>
  <c r="DK825" i="2"/>
  <c r="BU826" i="2"/>
  <c r="P829" i="2"/>
  <c r="AD829" i="2"/>
  <c r="AR829" i="2"/>
  <c r="BU830" i="2"/>
  <c r="BU831" i="2"/>
  <c r="CF831" i="2"/>
  <c r="CI831" i="2"/>
  <c r="CT831" i="2"/>
  <c r="CW831" i="2"/>
  <c r="DK831" i="2"/>
  <c r="BU832" i="2"/>
  <c r="BY832" i="2"/>
  <c r="CA832" i="2"/>
  <c r="CD832" i="2"/>
  <c r="CE832" i="2"/>
  <c r="CF832" i="2"/>
  <c r="CI832" i="2"/>
  <c r="CM832" i="2"/>
  <c r="CO832" i="2"/>
  <c r="CR832" i="2"/>
  <c r="CS832" i="2"/>
  <c r="CT832" i="2"/>
  <c r="CW832" i="2"/>
  <c r="DA832" i="2"/>
  <c r="DC832" i="2"/>
  <c r="DF832" i="2"/>
  <c r="DG832" i="2"/>
  <c r="DH832" i="2"/>
  <c r="DK832" i="2"/>
  <c r="DO832" i="2"/>
  <c r="DQ832" i="2"/>
  <c r="DT832" i="2"/>
  <c r="DU832" i="2"/>
  <c r="DV832" i="2"/>
  <c r="P833" i="2"/>
  <c r="AD833" i="2"/>
  <c r="AR833" i="2"/>
  <c r="BU833" i="2"/>
  <c r="BY833" i="2"/>
  <c r="CA833" i="2"/>
  <c r="CD833" i="2"/>
  <c r="CE833" i="2"/>
  <c r="CF833" i="2"/>
  <c r="CI833" i="2"/>
  <c r="CM833" i="2"/>
  <c r="CO833" i="2"/>
  <c r="CR833" i="2"/>
  <c r="CS833" i="2"/>
  <c r="CT833" i="2"/>
  <c r="CW833" i="2"/>
  <c r="DA833" i="2"/>
  <c r="DC833" i="2"/>
  <c r="DF833" i="2"/>
  <c r="DG833" i="2"/>
  <c r="DH833" i="2"/>
  <c r="DK833" i="2"/>
  <c r="DO833" i="2"/>
  <c r="DQ833" i="2"/>
  <c r="DT833" i="2"/>
  <c r="DU833" i="2"/>
  <c r="DV833" i="2"/>
  <c r="BU834" i="2"/>
  <c r="BY834" i="2"/>
  <c r="CA834" i="2"/>
  <c r="CD834" i="2"/>
  <c r="CE834" i="2"/>
  <c r="CF834" i="2"/>
  <c r="CI834" i="2"/>
  <c r="CM834" i="2"/>
  <c r="CO834" i="2"/>
  <c r="CR834" i="2"/>
  <c r="CS834" i="2"/>
  <c r="CT834" i="2"/>
  <c r="CW834" i="2"/>
  <c r="DA834" i="2"/>
  <c r="DC834" i="2"/>
  <c r="DF834" i="2"/>
  <c r="DG834" i="2"/>
  <c r="DH834" i="2"/>
  <c r="DK834" i="2"/>
  <c r="DO834" i="2"/>
  <c r="DQ834" i="2"/>
  <c r="DT834" i="2"/>
  <c r="DU834" i="2"/>
  <c r="DV834" i="2"/>
  <c r="BU835" i="2"/>
  <c r="BY835" i="2"/>
  <c r="CA835" i="2"/>
  <c r="CD835" i="2"/>
  <c r="CE835" i="2"/>
  <c r="CF835" i="2"/>
  <c r="CI835" i="2"/>
  <c r="CM835" i="2"/>
  <c r="CO835" i="2"/>
  <c r="CR835" i="2"/>
  <c r="CS835" i="2"/>
  <c r="CT835" i="2"/>
  <c r="CW835" i="2"/>
  <c r="DA835" i="2"/>
  <c r="DC835" i="2"/>
  <c r="DF835" i="2"/>
  <c r="DG835" i="2"/>
  <c r="DH835" i="2"/>
  <c r="DK835" i="2"/>
  <c r="DO835" i="2"/>
  <c r="DQ835" i="2"/>
  <c r="DT835" i="2"/>
  <c r="DU835" i="2"/>
  <c r="DV835" i="2"/>
  <c r="BU836" i="2"/>
  <c r="BY836" i="2"/>
  <c r="CA836" i="2"/>
  <c r="CD836" i="2"/>
  <c r="CE836" i="2"/>
  <c r="CF836" i="2"/>
  <c r="CI836" i="2"/>
  <c r="CM836" i="2"/>
  <c r="CO836" i="2"/>
  <c r="CR836" i="2"/>
  <c r="CS836" i="2"/>
  <c r="CT836" i="2"/>
  <c r="CW836" i="2"/>
  <c r="DA836" i="2"/>
  <c r="DC836" i="2"/>
  <c r="DF836" i="2"/>
  <c r="DG836" i="2"/>
  <c r="DH836" i="2"/>
  <c r="DK836" i="2"/>
  <c r="DO836" i="2"/>
  <c r="DQ836" i="2"/>
  <c r="DT836" i="2"/>
  <c r="DU836" i="2"/>
  <c r="DV836" i="2"/>
  <c r="P837" i="2"/>
  <c r="AD837" i="2"/>
  <c r="AR837" i="2"/>
  <c r="BU837" i="2"/>
  <c r="BY837" i="2"/>
  <c r="CA837" i="2"/>
  <c r="CD837" i="2"/>
  <c r="CE837" i="2"/>
  <c r="CF837" i="2"/>
  <c r="CI837" i="2"/>
  <c r="CM837" i="2"/>
  <c r="CO837" i="2"/>
  <c r="CR837" i="2"/>
  <c r="CS837" i="2"/>
  <c r="CT837" i="2"/>
  <c r="CW837" i="2"/>
  <c r="DA837" i="2"/>
  <c r="DC837" i="2"/>
  <c r="DF837" i="2"/>
  <c r="DG837" i="2"/>
  <c r="DH837" i="2"/>
  <c r="DK837" i="2"/>
  <c r="DO837" i="2"/>
  <c r="DQ837" i="2"/>
  <c r="DT837" i="2"/>
  <c r="DU837" i="2"/>
  <c r="DV837" i="2"/>
  <c r="BY838" i="2"/>
  <c r="CA838" i="2"/>
  <c r="CE838" i="2"/>
  <c r="CF838" i="2"/>
  <c r="CM838" i="2"/>
  <c r="CO838" i="2"/>
  <c r="CS838" i="2"/>
  <c r="CT838" i="2"/>
  <c r="DA838" i="2"/>
  <c r="DC838" i="2"/>
  <c r="DG838" i="2"/>
  <c r="DH838" i="2"/>
  <c r="DO838" i="2"/>
  <c r="DQ838" i="2"/>
  <c r="DU838" i="2"/>
  <c r="DV838" i="2"/>
  <c r="BY839" i="2"/>
  <c r="CA839" i="2"/>
  <c r="CE839" i="2"/>
  <c r="CF839" i="2"/>
  <c r="CM839" i="2"/>
  <c r="CO839" i="2"/>
  <c r="CS839" i="2"/>
  <c r="CT839" i="2"/>
  <c r="DA839" i="2"/>
  <c r="DC839" i="2"/>
  <c r="DG839" i="2"/>
  <c r="DH839" i="2"/>
  <c r="DO839" i="2"/>
  <c r="DQ839" i="2"/>
  <c r="DU839" i="2"/>
  <c r="DV839" i="2"/>
  <c r="CA840" i="2"/>
  <c r="CE840" i="2"/>
  <c r="CF840" i="2"/>
  <c r="CO840" i="2"/>
  <c r="CS840" i="2"/>
  <c r="CT840" i="2"/>
  <c r="DC840" i="2"/>
  <c r="DG840" i="2"/>
  <c r="DH840" i="2"/>
  <c r="DQ840" i="2"/>
  <c r="DU840" i="2"/>
  <c r="DV840" i="2"/>
  <c r="P841" i="2"/>
  <c r="AD841" i="2"/>
  <c r="AR841" i="2"/>
  <c r="BY841" i="2"/>
  <c r="CA841" i="2"/>
  <c r="CE841" i="2"/>
  <c r="CF841" i="2"/>
  <c r="CM841" i="2"/>
  <c r="CO841" i="2"/>
  <c r="CS841" i="2"/>
  <c r="CT841" i="2"/>
  <c r="DA841" i="2"/>
  <c r="DC841" i="2"/>
  <c r="DG841" i="2"/>
  <c r="DH841" i="2"/>
  <c r="DO841" i="2"/>
  <c r="DQ841" i="2"/>
  <c r="DU841" i="2"/>
  <c r="DV841" i="2"/>
  <c r="P842" i="2"/>
  <c r="AD842" i="2"/>
  <c r="AR842" i="2"/>
  <c r="BY842" i="2"/>
  <c r="CA842" i="2"/>
  <c r="CE842" i="2"/>
  <c r="CF842" i="2"/>
  <c r="CM842" i="2"/>
  <c r="CO842" i="2"/>
  <c r="CS842" i="2"/>
  <c r="CT842" i="2"/>
  <c r="DA842" i="2"/>
  <c r="DC842" i="2"/>
  <c r="DG842" i="2"/>
  <c r="DH842" i="2"/>
  <c r="DO842" i="2"/>
  <c r="DQ842" i="2"/>
  <c r="DU842" i="2"/>
  <c r="DV842" i="2"/>
  <c r="CA843" i="2"/>
  <c r="CE843" i="2"/>
  <c r="CF843" i="2"/>
  <c r="CO843" i="2"/>
  <c r="CS843" i="2"/>
  <c r="CT843" i="2"/>
  <c r="DC843" i="2"/>
  <c r="DG843" i="2"/>
  <c r="DH843" i="2"/>
  <c r="DQ843" i="2"/>
  <c r="DU843" i="2"/>
  <c r="DV843" i="2"/>
  <c r="CA844" i="2"/>
  <c r="CE844" i="2"/>
  <c r="CF844" i="2"/>
  <c r="CO844" i="2"/>
  <c r="CS844" i="2"/>
  <c r="CT844" i="2"/>
  <c r="DC844" i="2"/>
  <c r="DG844" i="2"/>
  <c r="DH844" i="2"/>
  <c r="DQ844" i="2"/>
  <c r="DU844" i="2"/>
  <c r="DV844" i="2"/>
  <c r="P845" i="2"/>
  <c r="AD845" i="2"/>
  <c r="AR845" i="2"/>
  <c r="CA845" i="2"/>
  <c r="CE845" i="2"/>
  <c r="CF845" i="2"/>
  <c r="CO845" i="2"/>
  <c r="CS845" i="2"/>
  <c r="CT845" i="2"/>
  <c r="DC845" i="2"/>
  <c r="DG845" i="2"/>
  <c r="DH845" i="2"/>
  <c r="DQ845" i="2"/>
  <c r="DU845" i="2"/>
  <c r="DV845" i="2"/>
  <c r="CA846" i="2"/>
  <c r="CE846" i="2"/>
  <c r="CF846" i="2"/>
  <c r="CO846" i="2"/>
  <c r="CS846" i="2"/>
  <c r="CT846" i="2"/>
  <c r="DC846" i="2"/>
  <c r="DG846" i="2"/>
  <c r="DH846" i="2"/>
  <c r="DQ846" i="2"/>
  <c r="DU846" i="2"/>
  <c r="DV846" i="2"/>
  <c r="CA847" i="2"/>
  <c r="CE847" i="2"/>
  <c r="CF847" i="2"/>
  <c r="CO847" i="2"/>
  <c r="CS847" i="2"/>
  <c r="CT847" i="2"/>
  <c r="DC847" i="2"/>
  <c r="DG847" i="2"/>
  <c r="DH847" i="2"/>
  <c r="DQ847" i="2"/>
  <c r="DU847" i="2"/>
  <c r="DV847" i="2"/>
  <c r="CA848" i="2"/>
  <c r="CE848" i="2"/>
  <c r="CF848" i="2"/>
  <c r="CO848" i="2"/>
  <c r="CS848" i="2"/>
  <c r="CT848" i="2"/>
  <c r="DC848" i="2"/>
  <c r="DG848" i="2"/>
  <c r="DH848" i="2"/>
  <c r="DQ848" i="2"/>
  <c r="DU848" i="2"/>
  <c r="DV848" i="2"/>
  <c r="P849" i="2"/>
  <c r="AD849" i="2"/>
  <c r="AR849" i="2"/>
  <c r="CA849" i="2"/>
  <c r="CE849" i="2"/>
  <c r="CF849" i="2"/>
  <c r="CO849" i="2"/>
  <c r="CS849" i="2"/>
  <c r="CT849" i="2"/>
  <c r="DC849" i="2"/>
  <c r="DG849" i="2"/>
  <c r="DH849" i="2"/>
  <c r="DQ849" i="2"/>
  <c r="DU849" i="2"/>
  <c r="DV849" i="2"/>
  <c r="CA850" i="2"/>
  <c r="CE850" i="2"/>
  <c r="CF850" i="2"/>
  <c r="CO850" i="2"/>
  <c r="CS850" i="2"/>
  <c r="CT850" i="2"/>
  <c r="DC850" i="2"/>
  <c r="DG850" i="2"/>
  <c r="DH850" i="2"/>
  <c r="DQ850" i="2"/>
  <c r="DU850" i="2"/>
  <c r="DV850" i="2"/>
  <c r="CA851" i="2"/>
  <c r="CE851" i="2"/>
  <c r="CF851" i="2"/>
  <c r="CO851" i="2"/>
  <c r="CS851" i="2"/>
  <c r="CT851" i="2"/>
  <c r="DC851" i="2"/>
  <c r="DG851" i="2"/>
  <c r="DH851" i="2"/>
  <c r="DQ851" i="2"/>
  <c r="DU851" i="2"/>
  <c r="DV851" i="2"/>
  <c r="CA852" i="2"/>
  <c r="CE852" i="2"/>
  <c r="CF852" i="2"/>
  <c r="CO852" i="2"/>
  <c r="CS852" i="2"/>
  <c r="CT852" i="2"/>
  <c r="DC852" i="2"/>
  <c r="DG852" i="2"/>
  <c r="DH852" i="2"/>
  <c r="DQ852" i="2"/>
  <c r="DU852" i="2"/>
  <c r="DV852" i="2"/>
  <c r="CA853" i="2"/>
  <c r="CE853" i="2"/>
  <c r="CF853" i="2"/>
  <c r="CO853" i="2"/>
  <c r="CS853" i="2"/>
  <c r="CT853" i="2"/>
  <c r="DC853" i="2"/>
  <c r="DG853" i="2"/>
  <c r="DH853" i="2"/>
  <c r="DQ853" i="2"/>
  <c r="DU853" i="2"/>
  <c r="DV853" i="2"/>
  <c r="CA854" i="2"/>
  <c r="CE854" i="2"/>
  <c r="CF854" i="2"/>
  <c r="CO854" i="2"/>
  <c r="CS854" i="2"/>
  <c r="CT854" i="2"/>
  <c r="DC854" i="2"/>
  <c r="DG854" i="2"/>
  <c r="DH854" i="2"/>
  <c r="DQ854" i="2"/>
  <c r="DU854" i="2"/>
  <c r="DV854" i="2"/>
  <c r="CA855" i="2"/>
  <c r="CE855" i="2"/>
  <c r="CF855" i="2"/>
  <c r="CO855" i="2"/>
  <c r="CS855" i="2"/>
  <c r="CT855" i="2"/>
  <c r="DC855" i="2"/>
  <c r="DG855" i="2"/>
  <c r="DH855" i="2"/>
  <c r="DQ855" i="2"/>
  <c r="DU855" i="2"/>
  <c r="DV855" i="2"/>
  <c r="CA856" i="2"/>
  <c r="CE856" i="2"/>
  <c r="CF856" i="2"/>
  <c r="CO856" i="2"/>
  <c r="CS856" i="2"/>
  <c r="CT856" i="2"/>
  <c r="DC856" i="2"/>
  <c r="DG856" i="2"/>
  <c r="DH856" i="2"/>
  <c r="DQ856" i="2"/>
  <c r="DU856" i="2"/>
  <c r="DV856" i="2"/>
  <c r="CA857" i="2"/>
  <c r="CE857" i="2"/>
  <c r="CF857" i="2"/>
  <c r="CO857" i="2"/>
  <c r="CS857" i="2"/>
  <c r="CT857" i="2"/>
  <c r="DC857" i="2"/>
  <c r="DG857" i="2"/>
  <c r="DH857" i="2"/>
  <c r="DQ857" i="2"/>
  <c r="DU857" i="2"/>
  <c r="DV857" i="2"/>
  <c r="CA858" i="2"/>
  <c r="CE858" i="2"/>
  <c r="CF858" i="2"/>
  <c r="CO858" i="2"/>
  <c r="CS858" i="2"/>
  <c r="CT858" i="2"/>
  <c r="DC858" i="2"/>
  <c r="DG858" i="2"/>
  <c r="DH858" i="2"/>
  <c r="DQ858" i="2"/>
  <c r="DU858" i="2"/>
  <c r="DV858" i="2"/>
  <c r="CA859" i="2"/>
  <c r="CE859" i="2"/>
  <c r="CF859" i="2"/>
  <c r="CO859" i="2"/>
  <c r="CS859" i="2"/>
  <c r="CT859" i="2"/>
  <c r="DC859" i="2"/>
  <c r="DG859" i="2"/>
  <c r="DH859" i="2"/>
  <c r="DQ859" i="2"/>
  <c r="DU859" i="2"/>
  <c r="DV859" i="2"/>
  <c r="CA860" i="2"/>
  <c r="CE860" i="2"/>
  <c r="CF860" i="2"/>
  <c r="CO860" i="2"/>
  <c r="CS860" i="2"/>
  <c r="CT860" i="2"/>
  <c r="DC860" i="2"/>
  <c r="DG860" i="2"/>
  <c r="DH860" i="2"/>
  <c r="DQ860" i="2"/>
  <c r="DU860" i="2"/>
  <c r="DV860" i="2"/>
  <c r="CA861" i="2"/>
  <c r="CE861" i="2"/>
  <c r="CF861" i="2"/>
  <c r="CO861" i="2"/>
  <c r="CS861" i="2"/>
  <c r="CT861" i="2"/>
  <c r="DC861" i="2"/>
  <c r="DG861" i="2"/>
  <c r="DH861" i="2"/>
  <c r="DQ861" i="2"/>
  <c r="DU861" i="2"/>
  <c r="DV861" i="2"/>
  <c r="CA862" i="2"/>
  <c r="CE862" i="2"/>
  <c r="CF862" i="2"/>
  <c r="CO862" i="2"/>
  <c r="CS862" i="2"/>
  <c r="CT862" i="2"/>
  <c r="DC862" i="2"/>
  <c r="DG862" i="2"/>
  <c r="DH862" i="2"/>
  <c r="DQ862" i="2"/>
  <c r="DU862" i="2"/>
  <c r="DV862" i="2"/>
  <c r="CA863" i="2"/>
  <c r="CE863" i="2"/>
  <c r="CF863" i="2"/>
  <c r="CO863" i="2"/>
  <c r="CS863" i="2"/>
  <c r="CT863" i="2"/>
  <c r="DC863" i="2"/>
  <c r="DG863" i="2"/>
  <c r="DH863" i="2"/>
  <c r="DQ863" i="2"/>
  <c r="DU863" i="2"/>
  <c r="DV863" i="2"/>
  <c r="CA864" i="2"/>
  <c r="CE864" i="2"/>
  <c r="CF864" i="2"/>
  <c r="CO864" i="2"/>
  <c r="CS864" i="2"/>
  <c r="CT864" i="2"/>
  <c r="DC864" i="2"/>
  <c r="DG864" i="2"/>
  <c r="DH864" i="2"/>
  <c r="DQ864" i="2"/>
  <c r="DU864" i="2"/>
  <c r="DV864" i="2"/>
  <c r="CA866" i="2"/>
  <c r="CE866" i="2"/>
  <c r="CF866" i="2"/>
  <c r="CO866" i="2"/>
  <c r="CS866" i="2"/>
  <c r="CT866" i="2"/>
  <c r="DC866" i="2"/>
  <c r="DG866" i="2"/>
  <c r="DH866" i="2"/>
  <c r="DQ866" i="2"/>
  <c r="DU866" i="2"/>
  <c r="DV866" i="2"/>
  <c r="CA867" i="2"/>
  <c r="CE867" i="2"/>
  <c r="CF867" i="2"/>
  <c r="CO867" i="2"/>
  <c r="CS867" i="2"/>
  <c r="CT867" i="2"/>
  <c r="DC867" i="2"/>
  <c r="DG867" i="2"/>
  <c r="DH867" i="2"/>
  <c r="DQ867" i="2"/>
  <c r="DU867" i="2"/>
  <c r="DV867" i="2"/>
  <c r="CA868" i="2"/>
  <c r="CE868" i="2"/>
  <c r="CF868" i="2"/>
  <c r="CO868" i="2"/>
  <c r="CS868" i="2"/>
  <c r="CT868" i="2"/>
  <c r="DC868" i="2"/>
  <c r="DG868" i="2"/>
  <c r="DH868" i="2"/>
  <c r="DQ868" i="2"/>
  <c r="DU868" i="2"/>
  <c r="DV868" i="2"/>
  <c r="CA869" i="2"/>
  <c r="CE869" i="2"/>
  <c r="CF869" i="2"/>
  <c r="CO869" i="2"/>
  <c r="CS869" i="2"/>
  <c r="CT869" i="2"/>
  <c r="DC869" i="2"/>
  <c r="DG869" i="2"/>
  <c r="DH869" i="2"/>
  <c r="DQ869" i="2"/>
  <c r="DU869" i="2"/>
  <c r="DV869" i="2"/>
  <c r="D895" i="2"/>
  <c r="K895" i="2"/>
  <c r="L895" i="2"/>
  <c r="D896" i="2"/>
  <c r="K896" i="2"/>
  <c r="K900" i="2"/>
  <c r="L900" i="2"/>
  <c r="M900" i="2"/>
  <c r="D897" i="2"/>
  <c r="D898" i="2"/>
  <c r="K898" i="2"/>
  <c r="K902" i="2"/>
  <c r="L902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K908" i="2"/>
  <c r="L908" i="2"/>
  <c r="M908" i="2"/>
  <c r="D916" i="2"/>
  <c r="D913" i="2"/>
  <c r="D914" i="2"/>
  <c r="D915" i="2"/>
  <c r="D917" i="2"/>
  <c r="D918" i="2"/>
  <c r="D919" i="2"/>
  <c r="D920" i="2"/>
  <c r="D921" i="2"/>
  <c r="D922" i="2"/>
  <c r="D923" i="2"/>
  <c r="D924" i="2"/>
  <c r="D925" i="2"/>
  <c r="D926" i="2"/>
  <c r="D931" i="2"/>
  <c r="K931" i="2"/>
  <c r="D932" i="2"/>
  <c r="D933" i="2"/>
  <c r="D934" i="2"/>
  <c r="K934" i="2"/>
  <c r="D935" i="2"/>
  <c r="D936" i="2"/>
  <c r="K936" i="2"/>
  <c r="D937" i="2"/>
  <c r="K937" i="2"/>
  <c r="D938" i="2"/>
  <c r="K938" i="2"/>
  <c r="D939" i="2"/>
  <c r="K939" i="2"/>
  <c r="D940" i="2"/>
  <c r="K940" i="2"/>
  <c r="D941" i="2"/>
  <c r="K941" i="2"/>
  <c r="D942" i="2"/>
  <c r="K942" i="2"/>
  <c r="R895" i="2"/>
  <c r="Y895" i="2"/>
  <c r="R899" i="2"/>
  <c r="R896" i="2"/>
  <c r="Y896" i="2"/>
  <c r="R897" i="2"/>
  <c r="Y897" i="2"/>
  <c r="R898" i="2"/>
  <c r="Y898" i="2"/>
  <c r="V898" i="2"/>
  <c r="R903" i="2"/>
  <c r="R900" i="2"/>
  <c r="Y900" i="2"/>
  <c r="Z900" i="2"/>
  <c r="AA900" i="2"/>
  <c r="V900" i="2"/>
  <c r="R904" i="2"/>
  <c r="Y904" i="2"/>
  <c r="Z904" i="2"/>
  <c r="AA904" i="2"/>
  <c r="V904" i="2"/>
  <c r="R901" i="2"/>
  <c r="R905" i="2"/>
  <c r="R902" i="2"/>
  <c r="Y902" i="2"/>
  <c r="Z902" i="2"/>
  <c r="AA902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V919" i="2"/>
  <c r="Z919" i="2"/>
  <c r="R920" i="2"/>
  <c r="R921" i="2"/>
  <c r="R922" i="2"/>
  <c r="V922" i="2"/>
  <c r="Z922" i="2"/>
  <c r="R923" i="2"/>
  <c r="Y923" i="2"/>
  <c r="Z923" i="2"/>
  <c r="AA923" i="2"/>
  <c r="V923" i="2"/>
  <c r="R924" i="2"/>
  <c r="R925" i="2"/>
  <c r="Y925" i="2"/>
  <c r="Z925" i="2"/>
  <c r="V925" i="2"/>
  <c r="R926" i="2"/>
  <c r="Y926" i="2"/>
  <c r="V926" i="2"/>
  <c r="Z926" i="2"/>
  <c r="AA926" i="2"/>
  <c r="P931" i="2"/>
  <c r="Q931" i="2"/>
  <c r="R931" i="2"/>
  <c r="X931" i="2"/>
  <c r="R932" i="2"/>
  <c r="Y932" i="2"/>
  <c r="R933" i="2"/>
  <c r="Y933" i="2"/>
  <c r="R934" i="2"/>
  <c r="S934" i="2"/>
  <c r="T934" i="2"/>
  <c r="U934" i="2"/>
  <c r="Z934" i="2"/>
  <c r="R939" i="2"/>
  <c r="Y939" i="2"/>
  <c r="R940" i="2"/>
  <c r="Y940" i="2"/>
  <c r="R941" i="2"/>
  <c r="Y941" i="2"/>
  <c r="R942" i="2"/>
  <c r="Y942" i="2"/>
  <c r="A948" i="2"/>
  <c r="AF895" i="2"/>
  <c r="AF896" i="2"/>
  <c r="AM896" i="2"/>
  <c r="AN896" i="2"/>
  <c r="AJ896" i="2"/>
  <c r="AF897" i="2"/>
  <c r="AM897" i="2"/>
  <c r="AM901" i="2"/>
  <c r="AN901" i="2"/>
  <c r="AF898" i="2"/>
  <c r="AM898" i="2"/>
  <c r="AF902" i="2"/>
  <c r="AF899" i="2"/>
  <c r="AF900" i="2"/>
  <c r="AF901" i="2"/>
  <c r="AF903" i="2"/>
  <c r="AF904" i="2"/>
  <c r="AF905" i="2"/>
  <c r="AF909" i="2"/>
  <c r="AF913" i="2"/>
  <c r="AJ913" i="2"/>
  <c r="AF906" i="2"/>
  <c r="AF907" i="2"/>
  <c r="AF908" i="2"/>
  <c r="AF910" i="2"/>
  <c r="AF911" i="2"/>
  <c r="AF912" i="2"/>
  <c r="AF914" i="2"/>
  <c r="AF915" i="2"/>
  <c r="AF916" i="2"/>
  <c r="AF917" i="2"/>
  <c r="AF918" i="2"/>
  <c r="AF922" i="2"/>
  <c r="AF926" i="2"/>
  <c r="AF934" i="2"/>
  <c r="AF942" i="2"/>
  <c r="AM942" i="2"/>
  <c r="AF919" i="2"/>
  <c r="AF920" i="2"/>
  <c r="AF921" i="2"/>
  <c r="AF923" i="2"/>
  <c r="AF924" i="2"/>
  <c r="AF925" i="2"/>
  <c r="AM925" i="2"/>
  <c r="AN925" i="2"/>
  <c r="AO925" i="2"/>
  <c r="AD931" i="2"/>
  <c r="AE931" i="2"/>
  <c r="AL931" i="2"/>
  <c r="AF932" i="2"/>
  <c r="AM932" i="2"/>
  <c r="AF933" i="2"/>
  <c r="AG933" i="2"/>
  <c r="AH933" i="2"/>
  <c r="AI933" i="2"/>
  <c r="AM933" i="2"/>
  <c r="AF939" i="2"/>
  <c r="AM939" i="2"/>
  <c r="AF940" i="2"/>
  <c r="AM940" i="2"/>
  <c r="AF941" i="2"/>
  <c r="AM941" i="2"/>
  <c r="AT895" i="2"/>
  <c r="BA895" i="2"/>
  <c r="AT896" i="2"/>
  <c r="AT897" i="2"/>
  <c r="AT898" i="2"/>
  <c r="BA898" i="2"/>
  <c r="AX898" i="2"/>
  <c r="AT899" i="2"/>
  <c r="AT903" i="2"/>
  <c r="AT900" i="2"/>
  <c r="AT901" i="2"/>
  <c r="AT902" i="2"/>
  <c r="BA902" i="2"/>
  <c r="AT906" i="2"/>
  <c r="BA906" i="2"/>
  <c r="BA910" i="2"/>
  <c r="AT910" i="2"/>
  <c r="AT904" i="2"/>
  <c r="AT905" i="2"/>
  <c r="AT907" i="2"/>
  <c r="AT908" i="2"/>
  <c r="AT909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BA924" i="2"/>
  <c r="AT925" i="2"/>
  <c r="AT926" i="2"/>
  <c r="AX926" i="2"/>
  <c r="BB926" i="2"/>
  <c r="BC926" i="2"/>
  <c r="AR931" i="2"/>
  <c r="AS931" i="2"/>
  <c r="AT932" i="2"/>
  <c r="AU932" i="2"/>
  <c r="AV932" i="2"/>
  <c r="AW932" i="2"/>
  <c r="AX932" i="2"/>
  <c r="BC932" i="2"/>
  <c r="AY932" i="2"/>
  <c r="BD932" i="2"/>
  <c r="AT933" i="2"/>
  <c r="BA933" i="2"/>
  <c r="AT934" i="2"/>
  <c r="AU934" i="2"/>
  <c r="AV934" i="2"/>
  <c r="AW934" i="2"/>
  <c r="AT939" i="2"/>
  <c r="BA939" i="2"/>
  <c r="AT940" i="2"/>
  <c r="BA940" i="2"/>
  <c r="AT941" i="2"/>
  <c r="BA941" i="2"/>
  <c r="AT942" i="2"/>
  <c r="BA942" i="2"/>
  <c r="BW892" i="2"/>
  <c r="BW894" i="2"/>
  <c r="BW895" i="2"/>
  <c r="BW896" i="2"/>
  <c r="BW897" i="2"/>
  <c r="BW898" i="2"/>
  <c r="BW899" i="2"/>
  <c r="BW901" i="2"/>
  <c r="BW902" i="2"/>
  <c r="BW903" i="2"/>
  <c r="BW904" i="2"/>
  <c r="BW906" i="2"/>
  <c r="BW907" i="2"/>
  <c r="BW908" i="2"/>
  <c r="BW909" i="2"/>
  <c r="BW910" i="2"/>
  <c r="BW911" i="2"/>
  <c r="BW912" i="2"/>
  <c r="BW913" i="2"/>
  <c r="BW914" i="2"/>
  <c r="BW915" i="2"/>
  <c r="BW916" i="2"/>
  <c r="BW917" i="2"/>
  <c r="BW918" i="2"/>
  <c r="BW919" i="2"/>
  <c r="BW920" i="2"/>
  <c r="BW921" i="2"/>
  <c r="BW922" i="2"/>
  <c r="BW923" i="2"/>
  <c r="BW924" i="2"/>
  <c r="BW925" i="2"/>
  <c r="BW926" i="2"/>
  <c r="BW927" i="2"/>
  <c r="BW928" i="2"/>
  <c r="BW929" i="2"/>
  <c r="BW930" i="2"/>
  <c r="BW931" i="2"/>
  <c r="BW932" i="2"/>
  <c r="BW933" i="2"/>
  <c r="BW934" i="2"/>
  <c r="BW935" i="2"/>
  <c r="BW936" i="2"/>
  <c r="BW937" i="2"/>
  <c r="BW938" i="2"/>
  <c r="BW940" i="2"/>
  <c r="BW941" i="2"/>
  <c r="BW942" i="2"/>
  <c r="CK892" i="2"/>
  <c r="CK894" i="2"/>
  <c r="CK895" i="2"/>
  <c r="CK896" i="2"/>
  <c r="CK897" i="2"/>
  <c r="CK898" i="2"/>
  <c r="CK899" i="2"/>
  <c r="CK901" i="2"/>
  <c r="CK902" i="2"/>
  <c r="CK903" i="2"/>
  <c r="CK904" i="2"/>
  <c r="CK906" i="2"/>
  <c r="CK907" i="2"/>
  <c r="CK908" i="2"/>
  <c r="CK909" i="2"/>
  <c r="CK910" i="2"/>
  <c r="CK911" i="2"/>
  <c r="CK912" i="2"/>
  <c r="CK913" i="2"/>
  <c r="CK914" i="2"/>
  <c r="CK915" i="2"/>
  <c r="CK916" i="2"/>
  <c r="CK917" i="2"/>
  <c r="CK918" i="2"/>
  <c r="CK919" i="2"/>
  <c r="CK920" i="2"/>
  <c r="CK921" i="2"/>
  <c r="CK922" i="2"/>
  <c r="CK923" i="2"/>
  <c r="CK924" i="2"/>
  <c r="CK925" i="2"/>
  <c r="CK926" i="2"/>
  <c r="CK927" i="2"/>
  <c r="CK928" i="2"/>
  <c r="CK929" i="2"/>
  <c r="CK930" i="2"/>
  <c r="CK931" i="2"/>
  <c r="CK932" i="2"/>
  <c r="CK933" i="2"/>
  <c r="CK934" i="2"/>
  <c r="CK935" i="2"/>
  <c r="CK936" i="2"/>
  <c r="CK937" i="2"/>
  <c r="CK938" i="2"/>
  <c r="CK940" i="2"/>
  <c r="CK941" i="2"/>
  <c r="CK942" i="2"/>
  <c r="CY892" i="2"/>
  <c r="CY894" i="2"/>
  <c r="DF894" i="2"/>
  <c r="DC894" i="2"/>
  <c r="DG894" i="2"/>
  <c r="CY895" i="2"/>
  <c r="CY896" i="2"/>
  <c r="CY897" i="2"/>
  <c r="CY947" i="2"/>
  <c r="CY898" i="2"/>
  <c r="CY899" i="2"/>
  <c r="CY901" i="2"/>
  <c r="CY902" i="2"/>
  <c r="CY903" i="2"/>
  <c r="CY904" i="2"/>
  <c r="CY906" i="2"/>
  <c r="CY907" i="2"/>
  <c r="CY908" i="2"/>
  <c r="CY909" i="2"/>
  <c r="CY910" i="2"/>
  <c r="CY911" i="2"/>
  <c r="CY912" i="2"/>
  <c r="CY913" i="2"/>
  <c r="CY914" i="2"/>
  <c r="CY915" i="2"/>
  <c r="CY916" i="2"/>
  <c r="CY917" i="2"/>
  <c r="CY918" i="2"/>
  <c r="CY919" i="2"/>
  <c r="CY920" i="2"/>
  <c r="CY921" i="2"/>
  <c r="CY922" i="2"/>
  <c r="CY923" i="2"/>
  <c r="CY924" i="2"/>
  <c r="CY925" i="2"/>
  <c r="CY926" i="2"/>
  <c r="CY927" i="2"/>
  <c r="CY928" i="2"/>
  <c r="CY929" i="2"/>
  <c r="CY930" i="2"/>
  <c r="CY931" i="2"/>
  <c r="CY932" i="2"/>
  <c r="CY933" i="2"/>
  <c r="CY934" i="2"/>
  <c r="CY935" i="2"/>
  <c r="CY936" i="2"/>
  <c r="CY937" i="2"/>
  <c r="CY938" i="2"/>
  <c r="CY940" i="2"/>
  <c r="CY941" i="2"/>
  <c r="CY942" i="2"/>
  <c r="DM892" i="2"/>
  <c r="DM894" i="2"/>
  <c r="DM895" i="2"/>
  <c r="DM896" i="2"/>
  <c r="DM897" i="2"/>
  <c r="DM898" i="2"/>
  <c r="DM947" i="2"/>
  <c r="DM899" i="2"/>
  <c r="DM901" i="2"/>
  <c r="DM902" i="2"/>
  <c r="DM903" i="2"/>
  <c r="DM904" i="2"/>
  <c r="DM906" i="2"/>
  <c r="DM907" i="2"/>
  <c r="DM908" i="2"/>
  <c r="DM909" i="2"/>
  <c r="DM910" i="2"/>
  <c r="DM911" i="2"/>
  <c r="DM912" i="2"/>
  <c r="DM913" i="2"/>
  <c r="DM914" i="2"/>
  <c r="DM915" i="2"/>
  <c r="DM916" i="2"/>
  <c r="DM917" i="2"/>
  <c r="DM918" i="2"/>
  <c r="DM919" i="2"/>
  <c r="DM920" i="2"/>
  <c r="DM921" i="2"/>
  <c r="DM922" i="2"/>
  <c r="DM923" i="2"/>
  <c r="DM924" i="2"/>
  <c r="DM925" i="2"/>
  <c r="DM926" i="2"/>
  <c r="DM927" i="2"/>
  <c r="DM928" i="2"/>
  <c r="DM929" i="2"/>
  <c r="DM930" i="2"/>
  <c r="DM931" i="2"/>
  <c r="DM932" i="2"/>
  <c r="DM933" i="2"/>
  <c r="DM934" i="2"/>
  <c r="DM935" i="2"/>
  <c r="DM936" i="2"/>
  <c r="DM937" i="2"/>
  <c r="DM938" i="2"/>
  <c r="DM940" i="2"/>
  <c r="DM941" i="2"/>
  <c r="DM942" i="2"/>
  <c r="CD892" i="2"/>
  <c r="CE892" i="2"/>
  <c r="CF892" i="2"/>
  <c r="CD894" i="2"/>
  <c r="CD895" i="2"/>
  <c r="CD896" i="2"/>
  <c r="CE896" i="2"/>
  <c r="CF896" i="2"/>
  <c r="CA894" i="2"/>
  <c r="CA895" i="2"/>
  <c r="CE895" i="2"/>
  <c r="CA896" i="2"/>
  <c r="CA897" i="2"/>
  <c r="CA898" i="2"/>
  <c r="CA899" i="2"/>
  <c r="CD901" i="2"/>
  <c r="CE901" i="2"/>
  <c r="CF901" i="2"/>
  <c r="CD902" i="2"/>
  <c r="CE902" i="2"/>
  <c r="CF902" i="2"/>
  <c r="CD903" i="2"/>
  <c r="CE903" i="2"/>
  <c r="CF903" i="2"/>
  <c r="CD904" i="2"/>
  <c r="CE904" i="2"/>
  <c r="CF904" i="2"/>
  <c r="CD906" i="2"/>
  <c r="CE906" i="2"/>
  <c r="CF906" i="2"/>
  <c r="CD907" i="2"/>
  <c r="CE907" i="2"/>
  <c r="CF907" i="2"/>
  <c r="CD908" i="2"/>
  <c r="CE908" i="2"/>
  <c r="CF908" i="2"/>
  <c r="CD909" i="2"/>
  <c r="CE909" i="2"/>
  <c r="CF909" i="2"/>
  <c r="CD910" i="2"/>
  <c r="CE910" i="2"/>
  <c r="CF910" i="2"/>
  <c r="CD911" i="2"/>
  <c r="CE911" i="2"/>
  <c r="CF911" i="2"/>
  <c r="CE912" i="2"/>
  <c r="CE913" i="2"/>
  <c r="CE914" i="2"/>
  <c r="CF914" i="2"/>
  <c r="CE915" i="2"/>
  <c r="CF915" i="2"/>
  <c r="CE916" i="2"/>
  <c r="CE917" i="2"/>
  <c r="CF917" i="2"/>
  <c r="CE918" i="2"/>
  <c r="CF918" i="2"/>
  <c r="CE919" i="2"/>
  <c r="CF919" i="2"/>
  <c r="CE920" i="2"/>
  <c r="CF920" i="2"/>
  <c r="CE921" i="2"/>
  <c r="CF921" i="2"/>
  <c r="CE922" i="2"/>
  <c r="CF922" i="2"/>
  <c r="CE923" i="2"/>
  <c r="CE924" i="2"/>
  <c r="CE925" i="2"/>
  <c r="CF925" i="2"/>
  <c r="CE926" i="2"/>
  <c r="CF926" i="2"/>
  <c r="CE927" i="2"/>
  <c r="CE928" i="2"/>
  <c r="CF928" i="2"/>
  <c r="CE929" i="2"/>
  <c r="CF929" i="2"/>
  <c r="CE930" i="2"/>
  <c r="CF930" i="2"/>
  <c r="CE931" i="2"/>
  <c r="CF931" i="2"/>
  <c r="CE932" i="2"/>
  <c r="CF932" i="2"/>
  <c r="CE933" i="2"/>
  <c r="CE934" i="2"/>
  <c r="CE935" i="2"/>
  <c r="CE936" i="2"/>
  <c r="CF936" i="2"/>
  <c r="CE937" i="2"/>
  <c r="CF937" i="2"/>
  <c r="CE938" i="2"/>
  <c r="CF938" i="2"/>
  <c r="CE940" i="2"/>
  <c r="CE941" i="2"/>
  <c r="CF941" i="2"/>
  <c r="CE942" i="2"/>
  <c r="CF942" i="2"/>
  <c r="CE943" i="2"/>
  <c r="CF943" i="2"/>
  <c r="DT892" i="2"/>
  <c r="DU892" i="2"/>
  <c r="DV892" i="2"/>
  <c r="DT894" i="2"/>
  <c r="DQ894" i="2"/>
  <c r="DT895" i="2"/>
  <c r="DU895" i="2"/>
  <c r="DQ895" i="2"/>
  <c r="DQ896" i="2"/>
  <c r="DQ897" i="2"/>
  <c r="DQ898" i="2"/>
  <c r="DQ899" i="2"/>
  <c r="DT901" i="2"/>
  <c r="DU901" i="2"/>
  <c r="DV901" i="2"/>
  <c r="DT902" i="2"/>
  <c r="DU902" i="2"/>
  <c r="DV902" i="2"/>
  <c r="DT903" i="2"/>
  <c r="DU903" i="2"/>
  <c r="DV903" i="2"/>
  <c r="DT904" i="2"/>
  <c r="DU904" i="2"/>
  <c r="DV904" i="2"/>
  <c r="DT906" i="2"/>
  <c r="DU906" i="2"/>
  <c r="DV906" i="2"/>
  <c r="DT907" i="2"/>
  <c r="DU907" i="2"/>
  <c r="DV907" i="2"/>
  <c r="DT908" i="2"/>
  <c r="DU908" i="2"/>
  <c r="DV908" i="2"/>
  <c r="DT909" i="2"/>
  <c r="DU909" i="2"/>
  <c r="DV909" i="2"/>
  <c r="DT910" i="2"/>
  <c r="DU910" i="2"/>
  <c r="DV910" i="2"/>
  <c r="DT911" i="2"/>
  <c r="DU911" i="2"/>
  <c r="DV911" i="2"/>
  <c r="DU912" i="2"/>
  <c r="DV912" i="2"/>
  <c r="DU913" i="2"/>
  <c r="DV913" i="2"/>
  <c r="DU914" i="2"/>
  <c r="DV914" i="2"/>
  <c r="DU915" i="2"/>
  <c r="DV915" i="2"/>
  <c r="DU916" i="2"/>
  <c r="DU917" i="2"/>
  <c r="DV917" i="2"/>
  <c r="DU918" i="2"/>
  <c r="DV918" i="2"/>
  <c r="DU919" i="2"/>
  <c r="DV919" i="2"/>
  <c r="DU920" i="2"/>
  <c r="DV920" i="2"/>
  <c r="DU921" i="2"/>
  <c r="DV921" i="2"/>
  <c r="DU922" i="2"/>
  <c r="DV922" i="2"/>
  <c r="DU923" i="2"/>
  <c r="DV923" i="2"/>
  <c r="DU924" i="2"/>
  <c r="DV924" i="2"/>
  <c r="DU925" i="2"/>
  <c r="DU926" i="2"/>
  <c r="DV926" i="2"/>
  <c r="DU927" i="2"/>
  <c r="DV927" i="2"/>
  <c r="DU928" i="2"/>
  <c r="DV928" i="2"/>
  <c r="DU929" i="2"/>
  <c r="DV929" i="2"/>
  <c r="DU930" i="2"/>
  <c r="DV930" i="2"/>
  <c r="DU931" i="2"/>
  <c r="DV931" i="2"/>
  <c r="DU932" i="2"/>
  <c r="DV932" i="2"/>
  <c r="DU933" i="2"/>
  <c r="DV933" i="2"/>
  <c r="DU934" i="2"/>
  <c r="DV934" i="2"/>
  <c r="DU935" i="2"/>
  <c r="DV935" i="2"/>
  <c r="DU936" i="2"/>
  <c r="DV936" i="2"/>
  <c r="DU937" i="2"/>
  <c r="DV937" i="2"/>
  <c r="DU938" i="2"/>
  <c r="DV938" i="2"/>
  <c r="DU940" i="2"/>
  <c r="DV940" i="2"/>
  <c r="DU941" i="2"/>
  <c r="DV941" i="2"/>
  <c r="DU942" i="2"/>
  <c r="DV942" i="2"/>
  <c r="DU943" i="2"/>
  <c r="DV943" i="2"/>
  <c r="AX901" i="2"/>
  <c r="BU900" i="2"/>
  <c r="CR894" i="2"/>
  <c r="CO894" i="2"/>
  <c r="CS894" i="2"/>
  <c r="CT894" i="2"/>
  <c r="CO895" i="2"/>
  <c r="CO896" i="2"/>
  <c r="CS896" i="2"/>
  <c r="CT896" i="2"/>
  <c r="CO897" i="2"/>
  <c r="CO898" i="2"/>
  <c r="CO899" i="2"/>
  <c r="CR901" i="2"/>
  <c r="CS901" i="2"/>
  <c r="CT901" i="2"/>
  <c r="CR902" i="2"/>
  <c r="CS902" i="2"/>
  <c r="CT902" i="2"/>
  <c r="CR903" i="2"/>
  <c r="CS903" i="2"/>
  <c r="CT903" i="2"/>
  <c r="CR904" i="2"/>
  <c r="CS904" i="2"/>
  <c r="CT904" i="2"/>
  <c r="CT905" i="2"/>
  <c r="CR906" i="2"/>
  <c r="CS906" i="2"/>
  <c r="CT906" i="2"/>
  <c r="CR907" i="2"/>
  <c r="CS907" i="2"/>
  <c r="CT907" i="2"/>
  <c r="CR908" i="2"/>
  <c r="CS908" i="2"/>
  <c r="CT908" i="2"/>
  <c r="CR909" i="2"/>
  <c r="CS909" i="2"/>
  <c r="CT909" i="2"/>
  <c r="CM899" i="2"/>
  <c r="B931" i="2"/>
  <c r="DA895" i="2"/>
  <c r="DO894" i="2"/>
  <c r="DK899" i="2"/>
  <c r="DK898" i="2"/>
  <c r="DK897" i="2"/>
  <c r="DK896" i="2"/>
  <c r="DK895" i="2"/>
  <c r="DK894" i="2"/>
  <c r="DK893" i="2"/>
  <c r="DK892" i="2"/>
  <c r="CW899" i="2"/>
  <c r="CW898" i="2"/>
  <c r="CW897" i="2"/>
  <c r="CW896" i="2"/>
  <c r="CW895" i="2"/>
  <c r="CW894" i="2"/>
  <c r="CW893" i="2"/>
  <c r="CW892" i="2"/>
  <c r="CI899" i="2"/>
  <c r="CI898" i="2"/>
  <c r="CI897" i="2"/>
  <c r="CI896" i="2"/>
  <c r="CI895" i="2"/>
  <c r="CI894" i="2"/>
  <c r="CI893" i="2"/>
  <c r="CI892" i="2"/>
  <c r="BU899" i="2"/>
  <c r="BU898" i="2"/>
  <c r="BU897" i="2"/>
  <c r="BU896" i="2"/>
  <c r="BU895" i="2"/>
  <c r="BU894" i="2"/>
  <c r="BU892" i="2"/>
  <c r="AV926" i="2"/>
  <c r="AX925" i="2"/>
  <c r="AZ897" i="2"/>
  <c r="AZ901" i="2"/>
  <c r="AZ905" i="2"/>
  <c r="AZ909" i="2"/>
  <c r="AZ913" i="2"/>
  <c r="AZ917" i="2"/>
  <c r="AZ921" i="2"/>
  <c r="AZ925" i="2"/>
  <c r="AV925" i="2"/>
  <c r="AX924" i="2"/>
  <c r="AZ924" i="2"/>
  <c r="AV924" i="2"/>
  <c r="AX923" i="2"/>
  <c r="AZ895" i="2"/>
  <c r="AZ899" i="2"/>
  <c r="AZ903" i="2"/>
  <c r="AZ907" i="2"/>
  <c r="AZ911" i="2"/>
  <c r="AZ915" i="2"/>
  <c r="AZ919" i="2"/>
  <c r="AZ923" i="2"/>
  <c r="AV923" i="2"/>
  <c r="AX922" i="2"/>
  <c r="AZ898" i="2"/>
  <c r="AZ902" i="2"/>
  <c r="AZ906" i="2"/>
  <c r="AZ910" i="2"/>
  <c r="AZ914" i="2"/>
  <c r="AZ918" i="2"/>
  <c r="AZ922" i="2"/>
  <c r="AV922" i="2"/>
  <c r="AX921" i="2"/>
  <c r="AV921" i="2"/>
  <c r="AX920" i="2"/>
  <c r="BB920" i="2"/>
  <c r="AV920" i="2"/>
  <c r="AX919" i="2"/>
  <c r="AV919" i="2"/>
  <c r="AX918" i="2"/>
  <c r="AV918" i="2"/>
  <c r="AX917" i="2"/>
  <c r="AV917" i="2"/>
  <c r="AX916" i="2"/>
  <c r="AZ896" i="2"/>
  <c r="AZ900" i="2"/>
  <c r="AZ904" i="2"/>
  <c r="AZ908" i="2"/>
  <c r="AZ912" i="2"/>
  <c r="AZ916" i="2"/>
  <c r="AV916" i="2"/>
  <c r="AX915" i="2"/>
  <c r="AV915" i="2"/>
  <c r="AX914" i="2"/>
  <c r="AV914" i="2"/>
  <c r="AX913" i="2"/>
  <c r="AV913" i="2"/>
  <c r="AX912" i="2"/>
  <c r="AV912" i="2"/>
  <c r="AX911" i="2"/>
  <c r="AV911" i="2"/>
  <c r="AX910" i="2"/>
  <c r="AV910" i="2"/>
  <c r="AX909" i="2"/>
  <c r="AV909" i="2"/>
  <c r="AX908" i="2"/>
  <c r="AV908" i="2"/>
  <c r="AX907" i="2"/>
  <c r="AV907" i="2"/>
  <c r="AX906" i="2"/>
  <c r="AV906" i="2"/>
  <c r="AX905" i="2"/>
  <c r="AV905" i="2"/>
  <c r="AX904" i="2"/>
  <c r="AV904" i="2"/>
  <c r="AX903" i="2"/>
  <c r="AV903" i="2"/>
  <c r="AJ926" i="2"/>
  <c r="AL898" i="2"/>
  <c r="AL902" i="2"/>
  <c r="AL906" i="2"/>
  <c r="AL910" i="2"/>
  <c r="AL914" i="2"/>
  <c r="AL918" i="2"/>
  <c r="AL922" i="2"/>
  <c r="AL926" i="2"/>
  <c r="AH926" i="2"/>
  <c r="AJ925" i="2"/>
  <c r="AL925" i="2"/>
  <c r="AH925" i="2"/>
  <c r="AJ924" i="2"/>
  <c r="AL896" i="2"/>
  <c r="AL900" i="2"/>
  <c r="AL904" i="2"/>
  <c r="AL908" i="2"/>
  <c r="AL912" i="2"/>
  <c r="AL916" i="2"/>
  <c r="AL920" i="2"/>
  <c r="AL924" i="2"/>
  <c r="AH924" i="2"/>
  <c r="AJ923" i="2"/>
  <c r="AL895" i="2"/>
  <c r="AL899" i="2"/>
  <c r="AL903" i="2"/>
  <c r="AL907" i="2"/>
  <c r="AL911" i="2"/>
  <c r="AL915" i="2"/>
  <c r="AL919" i="2"/>
  <c r="AL923" i="2"/>
  <c r="AH923" i="2"/>
  <c r="AJ922" i="2"/>
  <c r="AH922" i="2"/>
  <c r="AJ921" i="2"/>
  <c r="AN921" i="2"/>
  <c r="AH921" i="2"/>
  <c r="AJ920" i="2"/>
  <c r="AH920" i="2"/>
  <c r="AJ919" i="2"/>
  <c r="AH919" i="2"/>
  <c r="AJ918" i="2"/>
  <c r="AH918" i="2"/>
  <c r="AJ917" i="2"/>
  <c r="AL897" i="2"/>
  <c r="AL901" i="2"/>
  <c r="AL905" i="2"/>
  <c r="AL909" i="2"/>
  <c r="AL913" i="2"/>
  <c r="AL917" i="2"/>
  <c r="AH917" i="2"/>
  <c r="AJ916" i="2"/>
  <c r="AH916" i="2"/>
  <c r="AJ915" i="2"/>
  <c r="AH915" i="2"/>
  <c r="AJ914" i="2"/>
  <c r="AH914" i="2"/>
  <c r="AH913" i="2"/>
  <c r="AJ912" i="2"/>
  <c r="AH912" i="2"/>
  <c r="AJ911" i="2"/>
  <c r="AH911" i="2"/>
  <c r="AJ910" i="2"/>
  <c r="AH910" i="2"/>
  <c r="AJ909" i="2"/>
  <c r="AH909" i="2"/>
  <c r="AJ908" i="2"/>
  <c r="AH908" i="2"/>
  <c r="AJ907" i="2"/>
  <c r="AH907" i="2"/>
  <c r="AJ906" i="2"/>
  <c r="AH906" i="2"/>
  <c r="AJ905" i="2"/>
  <c r="AH905" i="2"/>
  <c r="AJ904" i="2"/>
  <c r="AH904" i="2"/>
  <c r="AJ903" i="2"/>
  <c r="AH903" i="2"/>
  <c r="X926" i="2"/>
  <c r="T926" i="2"/>
  <c r="X925" i="2"/>
  <c r="T925" i="2"/>
  <c r="V924" i="2"/>
  <c r="X896" i="2"/>
  <c r="X900" i="2"/>
  <c r="X904" i="2"/>
  <c r="X908" i="2"/>
  <c r="X912" i="2"/>
  <c r="X916" i="2"/>
  <c r="X920" i="2"/>
  <c r="X924" i="2"/>
  <c r="T924" i="2"/>
  <c r="X923" i="2"/>
  <c r="T923" i="2"/>
  <c r="T922" i="2"/>
  <c r="V921" i="2"/>
  <c r="Z921" i="2"/>
  <c r="T921" i="2"/>
  <c r="V920" i="2"/>
  <c r="T920" i="2"/>
  <c r="T919" i="2"/>
  <c r="V918" i="2"/>
  <c r="X898" i="2"/>
  <c r="X902" i="2"/>
  <c r="X906" i="2"/>
  <c r="X910" i="2"/>
  <c r="X914" i="2"/>
  <c r="X918" i="2"/>
  <c r="T918" i="2"/>
  <c r="V917" i="2"/>
  <c r="X897" i="2"/>
  <c r="X901" i="2"/>
  <c r="X905" i="2"/>
  <c r="X909" i="2"/>
  <c r="X913" i="2"/>
  <c r="X917" i="2"/>
  <c r="T917" i="2"/>
  <c r="V916" i="2"/>
  <c r="T916" i="2"/>
  <c r="V915" i="2"/>
  <c r="X911" i="2"/>
  <c r="X915" i="2"/>
  <c r="T915" i="2"/>
  <c r="V914" i="2"/>
  <c r="T914" i="2"/>
  <c r="V913" i="2"/>
  <c r="T913" i="2"/>
  <c r="V912" i="2"/>
  <c r="T912" i="2"/>
  <c r="V911" i="2"/>
  <c r="T911" i="2"/>
  <c r="V910" i="2"/>
  <c r="T910" i="2"/>
  <c r="V909" i="2"/>
  <c r="T909" i="2"/>
  <c r="V908" i="2"/>
  <c r="T908" i="2"/>
  <c r="V907" i="2"/>
  <c r="T907" i="2"/>
  <c r="V906" i="2"/>
  <c r="T906" i="2"/>
  <c r="V905" i="2"/>
  <c r="T905" i="2"/>
  <c r="T904" i="2"/>
  <c r="V903" i="2"/>
  <c r="X895" i="2"/>
  <c r="X899" i="2"/>
  <c r="X903" i="2"/>
  <c r="T903" i="2"/>
  <c r="D1001" i="2"/>
  <c r="D1002" i="2"/>
  <c r="D1003" i="2"/>
  <c r="K1003" i="2"/>
  <c r="L1003" i="2"/>
  <c r="M1003" i="2"/>
  <c r="D1004" i="2"/>
  <c r="R1001" i="2"/>
  <c r="R1002" i="2"/>
  <c r="R1003" i="2"/>
  <c r="R1004" i="2"/>
  <c r="AF1001" i="2"/>
  <c r="AF1002" i="2"/>
  <c r="AF1003" i="2"/>
  <c r="AF1004" i="2"/>
  <c r="AT1001" i="2"/>
  <c r="AT1002" i="2"/>
  <c r="AT1003" i="2"/>
  <c r="AT1004" i="2"/>
  <c r="D997" i="2"/>
  <c r="D993" i="2"/>
  <c r="D989" i="2"/>
  <c r="D985" i="2"/>
  <c r="D981" i="2"/>
  <c r="D977" i="2"/>
  <c r="D973" i="2"/>
  <c r="D969" i="2"/>
  <c r="K969" i="2"/>
  <c r="D998" i="2"/>
  <c r="D994" i="2"/>
  <c r="D990" i="2"/>
  <c r="D986" i="2"/>
  <c r="B985" i="2"/>
  <c r="D982" i="2"/>
  <c r="D978" i="2"/>
  <c r="B977" i="2"/>
  <c r="D974" i="2"/>
  <c r="D970" i="2"/>
  <c r="K970" i="2"/>
  <c r="H970" i="2"/>
  <c r="L970" i="2"/>
  <c r="D999" i="2"/>
  <c r="K999" i="2"/>
  <c r="D1000" i="2"/>
  <c r="D996" i="2"/>
  <c r="D992" i="2"/>
  <c r="D988" i="2"/>
  <c r="D984" i="2"/>
  <c r="D980" i="2"/>
  <c r="D976" i="2"/>
  <c r="D972" i="2"/>
  <c r="K972" i="2"/>
  <c r="H972" i="2"/>
  <c r="H976" i="2"/>
  <c r="R997" i="2"/>
  <c r="R993" i="2"/>
  <c r="R989" i="2"/>
  <c r="R985" i="2"/>
  <c r="R981" i="2"/>
  <c r="R977" i="2"/>
  <c r="R973" i="2"/>
  <c r="R969" i="2"/>
  <c r="R998" i="2"/>
  <c r="R994" i="2"/>
  <c r="Y994" i="2"/>
  <c r="Y998" i="2"/>
  <c r="V994" i="2"/>
  <c r="Z994" i="2"/>
  <c r="AA994" i="2"/>
  <c r="R999" i="2"/>
  <c r="R995" i="2"/>
  <c r="R991" i="2"/>
  <c r="R987" i="2"/>
  <c r="R983" i="2"/>
  <c r="R979" i="2"/>
  <c r="R975" i="2"/>
  <c r="Y975" i="2"/>
  <c r="Y979" i="2"/>
  <c r="Y983" i="2"/>
  <c r="Y987" i="2"/>
  <c r="Z987" i="2"/>
  <c r="AA987" i="2"/>
  <c r="R971" i="2"/>
  <c r="Y971" i="2"/>
  <c r="V979" i="2"/>
  <c r="V971" i="2"/>
  <c r="R1000" i="2"/>
  <c r="R996" i="2"/>
  <c r="R972" i="2"/>
  <c r="Y972" i="2"/>
  <c r="R976" i="2"/>
  <c r="Y976" i="2"/>
  <c r="Y980" i="2"/>
  <c r="Z980" i="2"/>
  <c r="R980" i="2"/>
  <c r="R984" i="2"/>
  <c r="R988" i="2"/>
  <c r="R992" i="2"/>
  <c r="R1016" i="2"/>
  <c r="V972" i="2"/>
  <c r="AF997" i="2"/>
  <c r="AF993" i="2"/>
  <c r="AF989" i="2"/>
  <c r="AF985" i="2"/>
  <c r="AF981" i="2"/>
  <c r="AF977" i="2"/>
  <c r="AF973" i="2"/>
  <c r="AF969" i="2"/>
  <c r="AM969" i="2"/>
  <c r="AJ969" i="2"/>
  <c r="AJ973" i="2"/>
  <c r="AF998" i="2"/>
  <c r="AF994" i="2"/>
  <c r="AF990" i="2"/>
  <c r="AF986" i="2"/>
  <c r="AF982" i="2"/>
  <c r="AF978" i="2"/>
  <c r="AF974" i="2"/>
  <c r="AF970" i="2"/>
  <c r="AJ978" i="2"/>
  <c r="AF999" i="2"/>
  <c r="AF995" i="2"/>
  <c r="AF991" i="2"/>
  <c r="AF987" i="2"/>
  <c r="AF983" i="2"/>
  <c r="AF979" i="2"/>
  <c r="AF975" i="2"/>
  <c r="AM975" i="2"/>
  <c r="AN975" i="2"/>
  <c r="AO975" i="2"/>
  <c r="AF971" i="2"/>
  <c r="AM971" i="2"/>
  <c r="AJ975" i="2"/>
  <c r="AF1000" i="2"/>
  <c r="AF996" i="2"/>
  <c r="AF992" i="2"/>
  <c r="AF988" i="2"/>
  <c r="AM988" i="2"/>
  <c r="AJ988" i="2"/>
  <c r="AN988" i="2"/>
  <c r="AO988" i="2"/>
  <c r="AT997" i="2"/>
  <c r="AT993" i="2"/>
  <c r="AT989" i="2"/>
  <c r="AT985" i="2"/>
  <c r="AT981" i="2"/>
  <c r="AT977" i="2"/>
  <c r="AT973" i="2"/>
  <c r="AT969" i="2"/>
  <c r="AT999" i="2"/>
  <c r="AT995" i="2"/>
  <c r="AT991" i="2"/>
  <c r="AT971" i="2"/>
  <c r="BA971" i="2"/>
  <c r="BB971" i="2"/>
  <c r="AT975" i="2"/>
  <c r="AT979" i="2"/>
  <c r="AT983" i="2"/>
  <c r="AT987" i="2"/>
  <c r="AT1015" i="2"/>
  <c r="BA1015" i="2"/>
  <c r="AT1000" i="2"/>
  <c r="AT996" i="2"/>
  <c r="AT992" i="2"/>
  <c r="AT988" i="2"/>
  <c r="AT984" i="2"/>
  <c r="AT980" i="2"/>
  <c r="AT976" i="2"/>
  <c r="AT972" i="2"/>
  <c r="AT1032" i="2"/>
  <c r="AU1032" i="2"/>
  <c r="AT1016" i="2"/>
  <c r="BA1016" i="2"/>
  <c r="BY894" i="2"/>
  <c r="CR910" i="2"/>
  <c r="CS910" i="2"/>
  <c r="CT910" i="2"/>
  <c r="CR911" i="2"/>
  <c r="CS911" i="2"/>
  <c r="CT911" i="2"/>
  <c r="CF905" i="2"/>
  <c r="AZ942" i="2"/>
  <c r="AZ941" i="2"/>
  <c r="AX940" i="2"/>
  <c r="BC940" i="2"/>
  <c r="AZ940" i="2"/>
  <c r="AZ939" i="2"/>
  <c r="BC938" i="2"/>
  <c r="AW938" i="2"/>
  <c r="BB938" i="2"/>
  <c r="BA938" i="2"/>
  <c r="AZ938" i="2"/>
  <c r="BC937" i="2"/>
  <c r="AW937" i="2"/>
  <c r="BB937" i="2"/>
  <c r="BA937" i="2"/>
  <c r="AZ937" i="2"/>
  <c r="BC936" i="2"/>
  <c r="BA936" i="2"/>
  <c r="AZ936" i="2"/>
  <c r="BC935" i="2"/>
  <c r="AW935" i="2"/>
  <c r="BB935" i="2"/>
  <c r="BA935" i="2"/>
  <c r="AR935" i="2"/>
  <c r="AS935" i="2"/>
  <c r="AZ935" i="2"/>
  <c r="BA934" i="2"/>
  <c r="AZ934" i="2"/>
  <c r="AZ933" i="2"/>
  <c r="BA932" i="2"/>
  <c r="AZ932" i="2"/>
  <c r="AR903" i="2"/>
  <c r="AL942" i="2"/>
  <c r="AL941" i="2"/>
  <c r="AL940" i="2"/>
  <c r="AJ939" i="2"/>
  <c r="AO939" i="2"/>
  <c r="AL939" i="2"/>
  <c r="AO938" i="2"/>
  <c r="AM938" i="2"/>
  <c r="AL938" i="2"/>
  <c r="AO937" i="2"/>
  <c r="AM937" i="2"/>
  <c r="AL937" i="2"/>
  <c r="AO936" i="2"/>
  <c r="AM936" i="2"/>
  <c r="AL936" i="2"/>
  <c r="AO935" i="2"/>
  <c r="AI935" i="2"/>
  <c r="AN935" i="2"/>
  <c r="AM935" i="2"/>
  <c r="AD935" i="2"/>
  <c r="AE935" i="2"/>
  <c r="AL935" i="2"/>
  <c r="AL934" i="2"/>
  <c r="AL933" i="2"/>
  <c r="AL932" i="2"/>
  <c r="AD903" i="2"/>
  <c r="X942" i="2"/>
  <c r="X941" i="2"/>
  <c r="X940" i="2"/>
  <c r="V939" i="2"/>
  <c r="AA939" i="2"/>
  <c r="X939" i="2"/>
  <c r="AA938" i="2"/>
  <c r="Y938" i="2"/>
  <c r="X938" i="2"/>
  <c r="AA937" i="2"/>
  <c r="Y937" i="2"/>
  <c r="X937" i="2"/>
  <c r="AA936" i="2"/>
  <c r="Y936" i="2"/>
  <c r="X936" i="2"/>
  <c r="AA935" i="2"/>
  <c r="U935" i="2"/>
  <c r="Z935" i="2"/>
  <c r="Y935" i="2"/>
  <c r="P935" i="2"/>
  <c r="Q935" i="2"/>
  <c r="X935" i="2"/>
  <c r="Y934" i="2"/>
  <c r="X934" i="2"/>
  <c r="X933" i="2"/>
  <c r="X932" i="2"/>
  <c r="P903" i="2"/>
  <c r="T895" i="2"/>
  <c r="T896" i="2"/>
  <c r="T897" i="2"/>
  <c r="T898" i="2"/>
  <c r="T899" i="2"/>
  <c r="T900" i="2"/>
  <c r="T901" i="2"/>
  <c r="T902" i="2"/>
  <c r="AX902" i="2"/>
  <c r="AV902" i="2"/>
  <c r="AV901" i="2"/>
  <c r="AX900" i="2"/>
  <c r="AV900" i="2"/>
  <c r="AX899" i="2"/>
  <c r="AV899" i="2"/>
  <c r="AJ902" i="2"/>
  <c r="AH902" i="2"/>
  <c r="AJ901" i="2"/>
  <c r="AO901" i="2"/>
  <c r="AH901" i="2"/>
  <c r="AJ900" i="2"/>
  <c r="AH900" i="2"/>
  <c r="AJ899" i="2"/>
  <c r="AH899" i="2"/>
  <c r="V902" i="2"/>
  <c r="V901" i="2"/>
  <c r="V899" i="2"/>
  <c r="DK904" i="2"/>
  <c r="DK903" i="2"/>
  <c r="CW904" i="2"/>
  <c r="CW903" i="2"/>
  <c r="CI903" i="2"/>
  <c r="CI904" i="2"/>
  <c r="BU903" i="2"/>
  <c r="BU904" i="2"/>
  <c r="BU893" i="2"/>
  <c r="DR1021" i="2"/>
  <c r="DD1021" i="2"/>
  <c r="CP1021" i="2"/>
  <c r="CB1021" i="2"/>
  <c r="DU1017" i="2"/>
  <c r="DV1017" i="2"/>
  <c r="DQ1017" i="2"/>
  <c r="DG1017" i="2"/>
  <c r="DH1017" i="2"/>
  <c r="DC1017" i="2"/>
  <c r="CS1017" i="2"/>
  <c r="CT1017" i="2"/>
  <c r="CO1017" i="2"/>
  <c r="CE1017" i="2"/>
  <c r="CF1017" i="2"/>
  <c r="CA1017" i="2"/>
  <c r="DU1016" i="2"/>
  <c r="DV1016" i="2"/>
  <c r="DQ1016" i="2"/>
  <c r="DM1016" i="2"/>
  <c r="DG1016" i="2"/>
  <c r="DH1016" i="2"/>
  <c r="DC1016" i="2"/>
  <c r="CY1016" i="2"/>
  <c r="CS1016" i="2"/>
  <c r="CT1016" i="2"/>
  <c r="CO1016" i="2"/>
  <c r="CK1016" i="2"/>
  <c r="CE1016" i="2"/>
  <c r="CF1016" i="2"/>
  <c r="CA1016" i="2"/>
  <c r="BW1016" i="2"/>
  <c r="DU1015" i="2"/>
  <c r="DV1015" i="2"/>
  <c r="DQ1015" i="2"/>
  <c r="DM1015" i="2"/>
  <c r="DG1015" i="2"/>
  <c r="DH1015" i="2"/>
  <c r="DC1015" i="2"/>
  <c r="CY1015" i="2"/>
  <c r="CS1015" i="2"/>
  <c r="CT1015" i="2"/>
  <c r="CO1015" i="2"/>
  <c r="CK1015" i="2"/>
  <c r="CE1015" i="2"/>
  <c r="CF1015" i="2"/>
  <c r="CA1015" i="2"/>
  <c r="BW1015" i="2"/>
  <c r="DU1014" i="2"/>
  <c r="DV1014" i="2"/>
  <c r="DQ1014" i="2"/>
  <c r="DM1014" i="2"/>
  <c r="DG1014" i="2"/>
  <c r="DH1014" i="2"/>
  <c r="DC1014" i="2"/>
  <c r="CY1014" i="2"/>
  <c r="CS1014" i="2"/>
  <c r="CT1014" i="2"/>
  <c r="CO1014" i="2"/>
  <c r="CK1014" i="2"/>
  <c r="CE1014" i="2"/>
  <c r="CF1014" i="2"/>
  <c r="CA1014" i="2"/>
  <c r="BW1014" i="2"/>
  <c r="DU1012" i="2"/>
  <c r="DV1012" i="2"/>
  <c r="DQ1012" i="2"/>
  <c r="DM1012" i="2"/>
  <c r="DG1012" i="2"/>
  <c r="DH1012" i="2"/>
  <c r="DC1012" i="2"/>
  <c r="CY1012" i="2"/>
  <c r="CS1012" i="2"/>
  <c r="CT1012" i="2"/>
  <c r="CO1012" i="2"/>
  <c r="CK1012" i="2"/>
  <c r="CE1012" i="2"/>
  <c r="CF1012" i="2"/>
  <c r="CA1012" i="2"/>
  <c r="BW1012" i="2"/>
  <c r="DU1011" i="2"/>
  <c r="DV1011" i="2"/>
  <c r="DQ1011" i="2"/>
  <c r="DM1011" i="2"/>
  <c r="DG1011" i="2"/>
  <c r="DH1011" i="2"/>
  <c r="DC1011" i="2"/>
  <c r="CY1011" i="2"/>
  <c r="CS1011" i="2"/>
  <c r="CT1011" i="2"/>
  <c r="CO1011" i="2"/>
  <c r="CK1011" i="2"/>
  <c r="CE1011" i="2"/>
  <c r="CF1011" i="2"/>
  <c r="CA1011" i="2"/>
  <c r="BW1011" i="2"/>
  <c r="DU1010" i="2"/>
  <c r="DV1010" i="2"/>
  <c r="DQ1010" i="2"/>
  <c r="DM1010" i="2"/>
  <c r="DG1010" i="2"/>
  <c r="DH1010" i="2"/>
  <c r="DC1010" i="2"/>
  <c r="CY1010" i="2"/>
  <c r="CS1010" i="2"/>
  <c r="CT1010" i="2"/>
  <c r="CO1010" i="2"/>
  <c r="CK1010" i="2"/>
  <c r="CE1010" i="2"/>
  <c r="CF1010" i="2"/>
  <c r="CA1010" i="2"/>
  <c r="BW1010" i="2"/>
  <c r="DU1009" i="2"/>
  <c r="DV1009" i="2"/>
  <c r="DQ1009" i="2"/>
  <c r="DM1009" i="2"/>
  <c r="DG1009" i="2"/>
  <c r="DH1009" i="2"/>
  <c r="DC1009" i="2"/>
  <c r="CY1009" i="2"/>
  <c r="CS1009" i="2"/>
  <c r="CT1009" i="2"/>
  <c r="CO1009" i="2"/>
  <c r="CK1009" i="2"/>
  <c r="CE1009" i="2"/>
  <c r="CF1009" i="2"/>
  <c r="CA1009" i="2"/>
  <c r="BW1009" i="2"/>
  <c r="DU1008" i="2"/>
  <c r="DV1008" i="2"/>
  <c r="DQ1008" i="2"/>
  <c r="DM1008" i="2"/>
  <c r="DG1008" i="2"/>
  <c r="DH1008" i="2"/>
  <c r="DC1008" i="2"/>
  <c r="CY1008" i="2"/>
  <c r="CS1008" i="2"/>
  <c r="CT1008" i="2"/>
  <c r="CO1008" i="2"/>
  <c r="CK1008" i="2"/>
  <c r="CE1008" i="2"/>
  <c r="CF1008" i="2"/>
  <c r="CA1008" i="2"/>
  <c r="BW1008" i="2"/>
  <c r="DU1007" i="2"/>
  <c r="DV1007" i="2"/>
  <c r="DQ1007" i="2"/>
  <c r="DM1007" i="2"/>
  <c r="DG1007" i="2"/>
  <c r="DH1007" i="2"/>
  <c r="DC1007" i="2"/>
  <c r="CY1007" i="2"/>
  <c r="CS1007" i="2"/>
  <c r="CT1007" i="2"/>
  <c r="CO1007" i="2"/>
  <c r="CK1007" i="2"/>
  <c r="CE1007" i="2"/>
  <c r="CF1007" i="2"/>
  <c r="CA1007" i="2"/>
  <c r="BW1007" i="2"/>
  <c r="DU1006" i="2"/>
  <c r="DV1006" i="2"/>
  <c r="DQ1006" i="2"/>
  <c r="DM1006" i="2"/>
  <c r="DG1006" i="2"/>
  <c r="DH1006" i="2"/>
  <c r="DC1006" i="2"/>
  <c r="CY1006" i="2"/>
  <c r="CS1006" i="2"/>
  <c r="CT1006" i="2"/>
  <c r="CO1006" i="2"/>
  <c r="CK1006" i="2"/>
  <c r="CE1006" i="2"/>
  <c r="CF1006" i="2"/>
  <c r="CA1006" i="2"/>
  <c r="BW1006" i="2"/>
  <c r="DU1005" i="2"/>
  <c r="DV1005" i="2"/>
  <c r="DQ1005" i="2"/>
  <c r="DM1005" i="2"/>
  <c r="DG1005" i="2"/>
  <c r="DH1005" i="2"/>
  <c r="DC1005" i="2"/>
  <c r="CY1005" i="2"/>
  <c r="CS1005" i="2"/>
  <c r="CT1005" i="2"/>
  <c r="CO1005" i="2"/>
  <c r="CK1005" i="2"/>
  <c r="CE1005" i="2"/>
  <c r="CF1005" i="2"/>
  <c r="CA1005" i="2"/>
  <c r="BW1005" i="2"/>
  <c r="DU1004" i="2"/>
  <c r="DV1004" i="2"/>
  <c r="DQ1004" i="2"/>
  <c r="DM1004" i="2"/>
  <c r="DG1004" i="2"/>
  <c r="DH1004" i="2"/>
  <c r="DC1004" i="2"/>
  <c r="CY1004" i="2"/>
  <c r="CS1004" i="2"/>
  <c r="CT1004" i="2"/>
  <c r="CO1004" i="2"/>
  <c r="CK1004" i="2"/>
  <c r="CE1004" i="2"/>
  <c r="CF1004" i="2"/>
  <c r="CA1004" i="2"/>
  <c r="BW1004" i="2"/>
  <c r="DU1003" i="2"/>
  <c r="DV1003" i="2"/>
  <c r="DQ1003" i="2"/>
  <c r="DM1003" i="2"/>
  <c r="DG1003" i="2"/>
  <c r="DH1003" i="2"/>
  <c r="DC1003" i="2"/>
  <c r="CY1003" i="2"/>
  <c r="CS1003" i="2"/>
  <c r="CT1003" i="2"/>
  <c r="CO1003" i="2"/>
  <c r="CK1003" i="2"/>
  <c r="CE1003" i="2"/>
  <c r="CF1003" i="2"/>
  <c r="CA1003" i="2"/>
  <c r="BW1003" i="2"/>
  <c r="DU1002" i="2"/>
  <c r="DV1002" i="2"/>
  <c r="DQ1002" i="2"/>
  <c r="DM1002" i="2"/>
  <c r="DG1002" i="2"/>
  <c r="DH1002" i="2"/>
  <c r="DC1002" i="2"/>
  <c r="CY1002" i="2"/>
  <c r="CS1002" i="2"/>
  <c r="CT1002" i="2"/>
  <c r="CO1002" i="2"/>
  <c r="CK1002" i="2"/>
  <c r="CE1002" i="2"/>
  <c r="CF1002" i="2"/>
  <c r="CA1002" i="2"/>
  <c r="BW1002" i="2"/>
  <c r="DU1001" i="2"/>
  <c r="DV1001" i="2"/>
  <c r="DQ1001" i="2"/>
  <c r="DM1001" i="2"/>
  <c r="DG1001" i="2"/>
  <c r="DH1001" i="2"/>
  <c r="DC1001" i="2"/>
  <c r="CY1001" i="2"/>
  <c r="CS1001" i="2"/>
  <c r="CT1001" i="2"/>
  <c r="CO1001" i="2"/>
  <c r="CK1001" i="2"/>
  <c r="CE1001" i="2"/>
  <c r="CF1001" i="2"/>
  <c r="CA1001" i="2"/>
  <c r="BW1001" i="2"/>
  <c r="DU1000" i="2"/>
  <c r="DV1000" i="2"/>
  <c r="DQ1000" i="2"/>
  <c r="DM1000" i="2"/>
  <c r="DG1000" i="2"/>
  <c r="DH1000" i="2"/>
  <c r="DC1000" i="2"/>
  <c r="CY1000" i="2"/>
  <c r="CS1000" i="2"/>
  <c r="CT1000" i="2"/>
  <c r="CO1000" i="2"/>
  <c r="CK1000" i="2"/>
  <c r="CE1000" i="2"/>
  <c r="CF1000" i="2"/>
  <c r="CA1000" i="2"/>
  <c r="BW1000" i="2"/>
  <c r="DU999" i="2"/>
  <c r="DV999" i="2"/>
  <c r="DQ999" i="2"/>
  <c r="DM999" i="2"/>
  <c r="DG999" i="2"/>
  <c r="DH999" i="2"/>
  <c r="DC999" i="2"/>
  <c r="CY999" i="2"/>
  <c r="CS999" i="2"/>
  <c r="CT999" i="2"/>
  <c r="CO999" i="2"/>
  <c r="CK999" i="2"/>
  <c r="CE999" i="2"/>
  <c r="CF999" i="2"/>
  <c r="CA999" i="2"/>
  <c r="BW999" i="2"/>
  <c r="DU998" i="2"/>
  <c r="DV998" i="2"/>
  <c r="DQ998" i="2"/>
  <c r="DM998" i="2"/>
  <c r="DG998" i="2"/>
  <c r="DH998" i="2"/>
  <c r="DC998" i="2"/>
  <c r="CY998" i="2"/>
  <c r="CS998" i="2"/>
  <c r="CT998" i="2"/>
  <c r="CO998" i="2"/>
  <c r="CK998" i="2"/>
  <c r="CE998" i="2"/>
  <c r="CF998" i="2"/>
  <c r="CA998" i="2"/>
  <c r="BW998" i="2"/>
  <c r="DU997" i="2"/>
  <c r="DV997" i="2"/>
  <c r="DQ997" i="2"/>
  <c r="DM997" i="2"/>
  <c r="DG997" i="2"/>
  <c r="DH997" i="2"/>
  <c r="DC997" i="2"/>
  <c r="CY997" i="2"/>
  <c r="CS997" i="2"/>
  <c r="CT997" i="2"/>
  <c r="CO997" i="2"/>
  <c r="CK997" i="2"/>
  <c r="CE997" i="2"/>
  <c r="CF997" i="2"/>
  <c r="CA997" i="2"/>
  <c r="BW997" i="2"/>
  <c r="DU996" i="2"/>
  <c r="DV996" i="2"/>
  <c r="DQ996" i="2"/>
  <c r="DM996" i="2"/>
  <c r="DG996" i="2"/>
  <c r="DH996" i="2"/>
  <c r="DC996" i="2"/>
  <c r="CY996" i="2"/>
  <c r="CS996" i="2"/>
  <c r="CT996" i="2"/>
  <c r="CO996" i="2"/>
  <c r="CK996" i="2"/>
  <c r="CE996" i="2"/>
  <c r="CF996" i="2"/>
  <c r="CA996" i="2"/>
  <c r="BW996" i="2"/>
  <c r="DU995" i="2"/>
  <c r="DV995" i="2"/>
  <c r="DQ995" i="2"/>
  <c r="DM995" i="2"/>
  <c r="DG995" i="2"/>
  <c r="DH995" i="2"/>
  <c r="DC995" i="2"/>
  <c r="CY995" i="2"/>
  <c r="CS995" i="2"/>
  <c r="CT995" i="2"/>
  <c r="CO995" i="2"/>
  <c r="CK995" i="2"/>
  <c r="CE995" i="2"/>
  <c r="CF995" i="2"/>
  <c r="CA995" i="2"/>
  <c r="BW995" i="2"/>
  <c r="DU994" i="2"/>
  <c r="DV994" i="2"/>
  <c r="DQ994" i="2"/>
  <c r="DM994" i="2"/>
  <c r="DG994" i="2"/>
  <c r="DH994" i="2"/>
  <c r="DC994" i="2"/>
  <c r="CY994" i="2"/>
  <c r="CS994" i="2"/>
  <c r="CT994" i="2"/>
  <c r="CO994" i="2"/>
  <c r="CK994" i="2"/>
  <c r="CE994" i="2"/>
  <c r="CF994" i="2"/>
  <c r="CA994" i="2"/>
  <c r="BW994" i="2"/>
  <c r="DU993" i="2"/>
  <c r="DV993" i="2"/>
  <c r="DQ993" i="2"/>
  <c r="DM993" i="2"/>
  <c r="DG993" i="2"/>
  <c r="DH993" i="2"/>
  <c r="DC993" i="2"/>
  <c r="CY993" i="2"/>
  <c r="CS993" i="2"/>
  <c r="CT993" i="2"/>
  <c r="CO993" i="2"/>
  <c r="CK993" i="2"/>
  <c r="CE993" i="2"/>
  <c r="CF993" i="2"/>
  <c r="CA993" i="2"/>
  <c r="BW993" i="2"/>
  <c r="DU992" i="2"/>
  <c r="DV992" i="2"/>
  <c r="DQ992" i="2"/>
  <c r="DM992" i="2"/>
  <c r="DG992" i="2"/>
  <c r="DH992" i="2"/>
  <c r="DC992" i="2"/>
  <c r="CY992" i="2"/>
  <c r="CS992" i="2"/>
  <c r="CT992" i="2"/>
  <c r="CO992" i="2"/>
  <c r="CK992" i="2"/>
  <c r="CE992" i="2"/>
  <c r="CF992" i="2"/>
  <c r="CA992" i="2"/>
  <c r="BW992" i="2"/>
  <c r="DU991" i="2"/>
  <c r="DV991" i="2"/>
  <c r="DQ991" i="2"/>
  <c r="DM991" i="2"/>
  <c r="DG991" i="2"/>
  <c r="DH991" i="2"/>
  <c r="DC991" i="2"/>
  <c r="CY991" i="2"/>
  <c r="CS991" i="2"/>
  <c r="CT991" i="2"/>
  <c r="CO991" i="2"/>
  <c r="CK991" i="2"/>
  <c r="CE991" i="2"/>
  <c r="CF991" i="2"/>
  <c r="CA991" i="2"/>
  <c r="BW991" i="2"/>
  <c r="DU990" i="2"/>
  <c r="DV990" i="2"/>
  <c r="DQ990" i="2"/>
  <c r="DO990" i="2"/>
  <c r="DM990" i="2"/>
  <c r="DG990" i="2"/>
  <c r="DH990" i="2"/>
  <c r="DC990" i="2"/>
  <c r="DA990" i="2"/>
  <c r="CY990" i="2"/>
  <c r="CS990" i="2"/>
  <c r="CT990" i="2"/>
  <c r="CO990" i="2"/>
  <c r="CM990" i="2"/>
  <c r="CK990" i="2"/>
  <c r="CE990" i="2"/>
  <c r="CF990" i="2"/>
  <c r="CA990" i="2"/>
  <c r="BY990" i="2"/>
  <c r="BW990" i="2"/>
  <c r="DU989" i="2"/>
  <c r="DV989" i="2"/>
  <c r="DQ989" i="2"/>
  <c r="DO989" i="2"/>
  <c r="DM989" i="2"/>
  <c r="DG989" i="2"/>
  <c r="DH989" i="2"/>
  <c r="DC989" i="2"/>
  <c r="DA989" i="2"/>
  <c r="CY989" i="2"/>
  <c r="CS989" i="2"/>
  <c r="CT989" i="2"/>
  <c r="CO989" i="2"/>
  <c r="CM989" i="2"/>
  <c r="CK989" i="2"/>
  <c r="CE989" i="2"/>
  <c r="CF989" i="2"/>
  <c r="CA989" i="2"/>
  <c r="BY989" i="2"/>
  <c r="BW989" i="2"/>
  <c r="DU988" i="2"/>
  <c r="DV988" i="2"/>
  <c r="DQ988" i="2"/>
  <c r="DM988" i="2"/>
  <c r="DG988" i="2"/>
  <c r="DH988" i="2"/>
  <c r="DC988" i="2"/>
  <c r="CY988" i="2"/>
  <c r="CS988" i="2"/>
  <c r="CT988" i="2"/>
  <c r="CO988" i="2"/>
  <c r="CK988" i="2"/>
  <c r="CE988" i="2"/>
  <c r="CF988" i="2"/>
  <c r="CA988" i="2"/>
  <c r="BW988" i="2"/>
  <c r="DU987" i="2"/>
  <c r="DV987" i="2"/>
  <c r="DQ987" i="2"/>
  <c r="DO987" i="2"/>
  <c r="DM987" i="2"/>
  <c r="DG987" i="2"/>
  <c r="DH987" i="2"/>
  <c r="DC987" i="2"/>
  <c r="DA987" i="2"/>
  <c r="CY987" i="2"/>
  <c r="CS987" i="2"/>
  <c r="CT987" i="2"/>
  <c r="CO987" i="2"/>
  <c r="CM987" i="2"/>
  <c r="CK987" i="2"/>
  <c r="CE987" i="2"/>
  <c r="CF987" i="2"/>
  <c r="CA987" i="2"/>
  <c r="BY987" i="2"/>
  <c r="BW987" i="2"/>
  <c r="DU986" i="2"/>
  <c r="DV986" i="2"/>
  <c r="DQ986" i="2"/>
  <c r="DO986" i="2"/>
  <c r="DM986" i="2"/>
  <c r="DG986" i="2"/>
  <c r="DH986" i="2"/>
  <c r="DC986" i="2"/>
  <c r="DA986" i="2"/>
  <c r="CY986" i="2"/>
  <c r="CS986" i="2"/>
  <c r="CT986" i="2"/>
  <c r="CO986" i="2"/>
  <c r="CM986" i="2"/>
  <c r="CK986" i="2"/>
  <c r="CE986" i="2"/>
  <c r="CF986" i="2"/>
  <c r="CA986" i="2"/>
  <c r="BY986" i="2"/>
  <c r="BW986" i="2"/>
  <c r="DT985" i="2"/>
  <c r="DU985" i="2"/>
  <c r="DV985" i="2"/>
  <c r="DQ985" i="2"/>
  <c r="DO985" i="2"/>
  <c r="DM985" i="2"/>
  <c r="DK985" i="2"/>
  <c r="DF985" i="2"/>
  <c r="DG985" i="2"/>
  <c r="DH985" i="2"/>
  <c r="DC985" i="2"/>
  <c r="DA985" i="2"/>
  <c r="CY985" i="2"/>
  <c r="CW985" i="2"/>
  <c r="CR985" i="2"/>
  <c r="CS985" i="2"/>
  <c r="CT985" i="2"/>
  <c r="CO985" i="2"/>
  <c r="CM985" i="2"/>
  <c r="CK985" i="2"/>
  <c r="CI985" i="2"/>
  <c r="CD985" i="2"/>
  <c r="CE985" i="2"/>
  <c r="CF985" i="2"/>
  <c r="CA985" i="2"/>
  <c r="BY985" i="2"/>
  <c r="BW985" i="2"/>
  <c r="BU985" i="2"/>
  <c r="DT984" i="2"/>
  <c r="DU984" i="2"/>
  <c r="DV984" i="2"/>
  <c r="DQ984" i="2"/>
  <c r="DO984" i="2"/>
  <c r="DM984" i="2"/>
  <c r="DK984" i="2"/>
  <c r="DF984" i="2"/>
  <c r="DG984" i="2"/>
  <c r="DH984" i="2"/>
  <c r="DC984" i="2"/>
  <c r="DA984" i="2"/>
  <c r="CY984" i="2"/>
  <c r="CW984" i="2"/>
  <c r="CR984" i="2"/>
  <c r="CS984" i="2"/>
  <c r="CT984" i="2"/>
  <c r="CO984" i="2"/>
  <c r="CM984" i="2"/>
  <c r="CK984" i="2"/>
  <c r="CI984" i="2"/>
  <c r="CD984" i="2"/>
  <c r="CE984" i="2"/>
  <c r="CF984" i="2"/>
  <c r="CA984" i="2"/>
  <c r="BY984" i="2"/>
  <c r="BW984" i="2"/>
  <c r="BU984" i="2"/>
  <c r="DT983" i="2"/>
  <c r="DU983" i="2"/>
  <c r="DV983" i="2"/>
  <c r="DQ983" i="2"/>
  <c r="DO983" i="2"/>
  <c r="DM983" i="2"/>
  <c r="DK983" i="2"/>
  <c r="DF983" i="2"/>
  <c r="DG983" i="2"/>
  <c r="DH983" i="2"/>
  <c r="DC983" i="2"/>
  <c r="DA983" i="2"/>
  <c r="CY983" i="2"/>
  <c r="CW983" i="2"/>
  <c r="CR983" i="2"/>
  <c r="CS983" i="2"/>
  <c r="CT983" i="2"/>
  <c r="CO983" i="2"/>
  <c r="CM983" i="2"/>
  <c r="CK983" i="2"/>
  <c r="CI983" i="2"/>
  <c r="CD983" i="2"/>
  <c r="CE983" i="2"/>
  <c r="CF983" i="2"/>
  <c r="CA983" i="2"/>
  <c r="BY983" i="2"/>
  <c r="BW983" i="2"/>
  <c r="BU983" i="2"/>
  <c r="DT982" i="2"/>
  <c r="DU982" i="2"/>
  <c r="DV982" i="2"/>
  <c r="DQ982" i="2"/>
  <c r="DO982" i="2"/>
  <c r="DM982" i="2"/>
  <c r="DK982" i="2"/>
  <c r="DF982" i="2"/>
  <c r="DG982" i="2"/>
  <c r="DH982" i="2"/>
  <c r="DC982" i="2"/>
  <c r="DA982" i="2"/>
  <c r="CY982" i="2"/>
  <c r="CW982" i="2"/>
  <c r="CR982" i="2"/>
  <c r="CS982" i="2"/>
  <c r="CT982" i="2"/>
  <c r="CO982" i="2"/>
  <c r="CM982" i="2"/>
  <c r="CK982" i="2"/>
  <c r="CI982" i="2"/>
  <c r="CD982" i="2"/>
  <c r="CE982" i="2"/>
  <c r="CF982" i="2"/>
  <c r="CA982" i="2"/>
  <c r="BY982" i="2"/>
  <c r="BW982" i="2"/>
  <c r="BU982" i="2"/>
  <c r="DT981" i="2"/>
  <c r="DU981" i="2"/>
  <c r="DV981" i="2"/>
  <c r="DQ981" i="2"/>
  <c r="DO981" i="2"/>
  <c r="DM981" i="2"/>
  <c r="DK981" i="2"/>
  <c r="DF981" i="2"/>
  <c r="DG981" i="2"/>
  <c r="DH981" i="2"/>
  <c r="DC981" i="2"/>
  <c r="DA981" i="2"/>
  <c r="CY981" i="2"/>
  <c r="CW981" i="2"/>
  <c r="CR981" i="2"/>
  <c r="CS981" i="2"/>
  <c r="CT981" i="2"/>
  <c r="CO981" i="2"/>
  <c r="CM981" i="2"/>
  <c r="CK981" i="2"/>
  <c r="CI981" i="2"/>
  <c r="CD981" i="2"/>
  <c r="CE981" i="2"/>
  <c r="CF981" i="2"/>
  <c r="CA981" i="2"/>
  <c r="BY981" i="2"/>
  <c r="BW981" i="2"/>
  <c r="BU981" i="2"/>
  <c r="DT980" i="2"/>
  <c r="DU980" i="2"/>
  <c r="DV980" i="2"/>
  <c r="DQ980" i="2"/>
  <c r="DO980" i="2"/>
  <c r="DM980" i="2"/>
  <c r="DK980" i="2"/>
  <c r="DF980" i="2"/>
  <c r="DG980" i="2"/>
  <c r="DH980" i="2"/>
  <c r="DC980" i="2"/>
  <c r="DA980" i="2"/>
  <c r="CY980" i="2"/>
  <c r="CW980" i="2"/>
  <c r="CR980" i="2"/>
  <c r="CS980" i="2"/>
  <c r="CT980" i="2"/>
  <c r="CO980" i="2"/>
  <c r="CM980" i="2"/>
  <c r="CK980" i="2"/>
  <c r="CI980" i="2"/>
  <c r="CD980" i="2"/>
  <c r="CE980" i="2"/>
  <c r="CF980" i="2"/>
  <c r="CA980" i="2"/>
  <c r="BY980" i="2"/>
  <c r="BW980" i="2"/>
  <c r="BU980" i="2"/>
  <c r="DK979" i="2"/>
  <c r="CW979" i="2"/>
  <c r="CI979" i="2"/>
  <c r="BU979" i="2"/>
  <c r="DT978" i="2"/>
  <c r="DU978" i="2"/>
  <c r="DV978" i="2"/>
  <c r="DQ978" i="2"/>
  <c r="DO978" i="2"/>
  <c r="DM978" i="2"/>
  <c r="DK978" i="2"/>
  <c r="DF978" i="2"/>
  <c r="DG978" i="2"/>
  <c r="DH978" i="2"/>
  <c r="DC978" i="2"/>
  <c r="DC966" i="2"/>
  <c r="DC967" i="2"/>
  <c r="DG967" i="2"/>
  <c r="DH967" i="2"/>
  <c r="DF966" i="2"/>
  <c r="DF967" i="2"/>
  <c r="CY967" i="2"/>
  <c r="DC968" i="2"/>
  <c r="DC969" i="2"/>
  <c r="DC970" i="2"/>
  <c r="DC971" i="2"/>
  <c r="DC972" i="2"/>
  <c r="DC974" i="2"/>
  <c r="DC975" i="2"/>
  <c r="DC976" i="2"/>
  <c r="DC977" i="2"/>
  <c r="DA978" i="2"/>
  <c r="CY978" i="2"/>
  <c r="CW978" i="2"/>
  <c r="CR978" i="2"/>
  <c r="CS978" i="2"/>
  <c r="CT978" i="2"/>
  <c r="CO978" i="2"/>
  <c r="CM978" i="2"/>
  <c r="CK978" i="2"/>
  <c r="CI978" i="2"/>
  <c r="CD978" i="2"/>
  <c r="CE978" i="2"/>
  <c r="CF978" i="2"/>
  <c r="CA978" i="2"/>
  <c r="BY978" i="2"/>
  <c r="BW978" i="2"/>
  <c r="BU978" i="2"/>
  <c r="DT977" i="2"/>
  <c r="DU977" i="2"/>
  <c r="DV977" i="2"/>
  <c r="DQ977" i="2"/>
  <c r="DO977" i="2"/>
  <c r="DM977" i="2"/>
  <c r="DK977" i="2"/>
  <c r="DF977" i="2"/>
  <c r="DG977" i="2"/>
  <c r="DH977" i="2"/>
  <c r="DA977" i="2"/>
  <c r="CY977" i="2"/>
  <c r="CW977" i="2"/>
  <c r="CR977" i="2"/>
  <c r="CS977" i="2"/>
  <c r="CT977" i="2"/>
  <c r="CO977" i="2"/>
  <c r="CM977" i="2"/>
  <c r="CK977" i="2"/>
  <c r="CI977" i="2"/>
  <c r="CD977" i="2"/>
  <c r="CE977" i="2"/>
  <c r="CF977" i="2"/>
  <c r="CA977" i="2"/>
  <c r="BY977" i="2"/>
  <c r="BW977" i="2"/>
  <c r="BU977" i="2"/>
  <c r="DT976" i="2"/>
  <c r="DU976" i="2"/>
  <c r="DV976" i="2"/>
  <c r="DQ976" i="2"/>
  <c r="DO976" i="2"/>
  <c r="DM976" i="2"/>
  <c r="DK976" i="2"/>
  <c r="DF976" i="2"/>
  <c r="DG976" i="2"/>
  <c r="DH976" i="2"/>
  <c r="DA976" i="2"/>
  <c r="CY976" i="2"/>
  <c r="CW976" i="2"/>
  <c r="CR976" i="2"/>
  <c r="CS976" i="2"/>
  <c r="CT976" i="2"/>
  <c r="CO976" i="2"/>
  <c r="CM976" i="2"/>
  <c r="CK976" i="2"/>
  <c r="CI976" i="2"/>
  <c r="CD976" i="2"/>
  <c r="CE976" i="2"/>
  <c r="CF976" i="2"/>
  <c r="CA976" i="2"/>
  <c r="BY976" i="2"/>
  <c r="BW976" i="2"/>
  <c r="BU976" i="2"/>
  <c r="DT975" i="2"/>
  <c r="DU975" i="2"/>
  <c r="DV975" i="2"/>
  <c r="DQ975" i="2"/>
  <c r="DO975" i="2"/>
  <c r="DM975" i="2"/>
  <c r="DK975" i="2"/>
  <c r="DF975" i="2"/>
  <c r="DG975" i="2"/>
  <c r="DH975" i="2"/>
  <c r="DA975" i="2"/>
  <c r="CY975" i="2"/>
  <c r="CW975" i="2"/>
  <c r="CR975" i="2"/>
  <c r="CS975" i="2"/>
  <c r="CT975" i="2"/>
  <c r="CO975" i="2"/>
  <c r="CM975" i="2"/>
  <c r="CK975" i="2"/>
  <c r="CI975" i="2"/>
  <c r="CD975" i="2"/>
  <c r="CE975" i="2"/>
  <c r="CF975" i="2"/>
  <c r="CA975" i="2"/>
  <c r="BY975" i="2"/>
  <c r="BW975" i="2"/>
  <c r="BU975" i="2"/>
  <c r="DT974" i="2"/>
  <c r="DU974" i="2"/>
  <c r="DV974" i="2"/>
  <c r="DQ974" i="2"/>
  <c r="DO974" i="2"/>
  <c r="DM974" i="2"/>
  <c r="DK974" i="2"/>
  <c r="DF974" i="2"/>
  <c r="DG974" i="2"/>
  <c r="DH974" i="2"/>
  <c r="DA974" i="2"/>
  <c r="CY974" i="2"/>
  <c r="CW974" i="2"/>
  <c r="CR974" i="2"/>
  <c r="CS974" i="2"/>
  <c r="CT974" i="2"/>
  <c r="CO974" i="2"/>
  <c r="CM974" i="2"/>
  <c r="CK974" i="2"/>
  <c r="CI974" i="2"/>
  <c r="CD974" i="2"/>
  <c r="CE974" i="2"/>
  <c r="CF974" i="2"/>
  <c r="CA974" i="2"/>
  <c r="BY974" i="2"/>
  <c r="BW974" i="2"/>
  <c r="BU974" i="2"/>
  <c r="BU973" i="2"/>
  <c r="DQ972" i="2"/>
  <c r="DO972" i="2"/>
  <c r="DM972" i="2"/>
  <c r="DK972" i="2"/>
  <c r="DA972" i="2"/>
  <c r="CY972" i="2"/>
  <c r="CW972" i="2"/>
  <c r="CO972" i="2"/>
  <c r="CM972" i="2"/>
  <c r="CK972" i="2"/>
  <c r="CI972" i="2"/>
  <c r="CA972" i="2"/>
  <c r="BY972" i="2"/>
  <c r="BY966" i="2"/>
  <c r="BY967" i="2"/>
  <c r="BY968" i="2"/>
  <c r="BY969" i="2"/>
  <c r="BY970" i="2"/>
  <c r="BY971" i="2"/>
  <c r="BW972" i="2"/>
  <c r="BW966" i="2"/>
  <c r="BW967" i="2"/>
  <c r="BW968" i="2"/>
  <c r="BW969" i="2"/>
  <c r="CF969" i="2"/>
  <c r="BW970" i="2"/>
  <c r="BW971" i="2"/>
  <c r="BU972" i="2"/>
  <c r="DQ971" i="2"/>
  <c r="DO971" i="2"/>
  <c r="DM971" i="2"/>
  <c r="DK971" i="2"/>
  <c r="DA971" i="2"/>
  <c r="DA966" i="2"/>
  <c r="DA967" i="2"/>
  <c r="DA968" i="2"/>
  <c r="DA969" i="2"/>
  <c r="DA970" i="2"/>
  <c r="CY971" i="2"/>
  <c r="CW971" i="2"/>
  <c r="CO971" i="2"/>
  <c r="CM971" i="2"/>
  <c r="CK971" i="2"/>
  <c r="CI971" i="2"/>
  <c r="CA971" i="2"/>
  <c r="BU971" i="2"/>
  <c r="DQ970" i="2"/>
  <c r="DQ966" i="2"/>
  <c r="DQ967" i="2"/>
  <c r="DT966" i="2"/>
  <c r="DU966" i="2"/>
  <c r="DV966" i="2"/>
  <c r="DT967" i="2"/>
  <c r="DM967" i="2"/>
  <c r="DQ968" i="2"/>
  <c r="DQ969" i="2"/>
  <c r="DO970" i="2"/>
  <c r="DM970" i="2"/>
  <c r="DK970" i="2"/>
  <c r="CY970" i="2"/>
  <c r="CW970" i="2"/>
  <c r="CO970" i="2"/>
  <c r="CM970" i="2"/>
  <c r="CK970" i="2"/>
  <c r="CI970" i="2"/>
  <c r="CA970" i="2"/>
  <c r="BU970" i="2"/>
  <c r="DO969" i="2"/>
  <c r="DM969" i="2"/>
  <c r="DK969" i="2"/>
  <c r="CY969" i="2"/>
  <c r="CW969" i="2"/>
  <c r="CO969" i="2"/>
  <c r="CM969" i="2"/>
  <c r="CK969" i="2"/>
  <c r="CI969" i="2"/>
  <c r="CA969" i="2"/>
  <c r="BU969" i="2"/>
  <c r="DO968" i="2"/>
  <c r="DO1021" i="2"/>
  <c r="DO966" i="2"/>
  <c r="DO967" i="2"/>
  <c r="DM968" i="2"/>
  <c r="DK968" i="2"/>
  <c r="CY968" i="2"/>
  <c r="CW968" i="2"/>
  <c r="CR966" i="2"/>
  <c r="CO968" i="2"/>
  <c r="CK968" i="2"/>
  <c r="CM968" i="2"/>
  <c r="CI968" i="2"/>
  <c r="CA968" i="2"/>
  <c r="CE968" i="2"/>
  <c r="CF968" i="2"/>
  <c r="BU968" i="2"/>
  <c r="DK967" i="2"/>
  <c r="CW967" i="2"/>
  <c r="CO967" i="2"/>
  <c r="CK967" i="2"/>
  <c r="CM967" i="2"/>
  <c r="CM966" i="2"/>
  <c r="CI967" i="2"/>
  <c r="CD966" i="2"/>
  <c r="CD967" i="2"/>
  <c r="CD968" i="2"/>
  <c r="CD969" i="2"/>
  <c r="CE969" i="2"/>
  <c r="CA967" i="2"/>
  <c r="CE967" i="2"/>
  <c r="CF967" i="2"/>
  <c r="BU967" i="2"/>
  <c r="DM966" i="2"/>
  <c r="DK966" i="2"/>
  <c r="DG966" i="2"/>
  <c r="CY966" i="2"/>
  <c r="DH966" i="2"/>
  <c r="DF968" i="2"/>
  <c r="DG968" i="2"/>
  <c r="CW966" i="2"/>
  <c r="CO966" i="2"/>
  <c r="CK966" i="2"/>
  <c r="CI966" i="2"/>
  <c r="CA966" i="2"/>
  <c r="BU966" i="2"/>
  <c r="DQ943" i="2"/>
  <c r="DG943" i="2"/>
  <c r="DH943" i="2"/>
  <c r="DC943" i="2"/>
  <c r="CS943" i="2"/>
  <c r="CT943" i="2"/>
  <c r="CO943" i="2"/>
  <c r="CA943" i="2"/>
  <c r="DQ942" i="2"/>
  <c r="DG942" i="2"/>
  <c r="DH942" i="2"/>
  <c r="DC942" i="2"/>
  <c r="CS942" i="2"/>
  <c r="CT942" i="2"/>
  <c r="CO942" i="2"/>
  <c r="CA942" i="2"/>
  <c r="DQ941" i="2"/>
  <c r="DG941" i="2"/>
  <c r="DH941" i="2"/>
  <c r="DC941" i="2"/>
  <c r="CS941" i="2"/>
  <c r="CT941" i="2"/>
  <c r="CO941" i="2"/>
  <c r="CA941" i="2"/>
  <c r="DQ940" i="2"/>
  <c r="DG940" i="2"/>
  <c r="DH940" i="2"/>
  <c r="DC940" i="2"/>
  <c r="CS940" i="2"/>
  <c r="CT940" i="2"/>
  <c r="CO940" i="2"/>
  <c r="CF940" i="2"/>
  <c r="CA940" i="2"/>
  <c r="DQ938" i="2"/>
  <c r="DG938" i="2"/>
  <c r="DH938" i="2"/>
  <c r="DC938" i="2"/>
  <c r="CS938" i="2"/>
  <c r="CT938" i="2"/>
  <c r="CO938" i="2"/>
  <c r="CA938" i="2"/>
  <c r="DQ937" i="2"/>
  <c r="DG937" i="2"/>
  <c r="DH937" i="2"/>
  <c r="DC937" i="2"/>
  <c r="CS937" i="2"/>
  <c r="CT937" i="2"/>
  <c r="CO937" i="2"/>
  <c r="CA937" i="2"/>
  <c r="DQ936" i="2"/>
  <c r="DG936" i="2"/>
  <c r="DH936" i="2"/>
  <c r="DC936" i="2"/>
  <c r="CS936" i="2"/>
  <c r="CT936" i="2"/>
  <c r="CO936" i="2"/>
  <c r="CA936" i="2"/>
  <c r="DQ935" i="2"/>
  <c r="DG935" i="2"/>
  <c r="DH935" i="2"/>
  <c r="DC935" i="2"/>
  <c r="CS935" i="2"/>
  <c r="CT935" i="2"/>
  <c r="CO935" i="2"/>
  <c r="CF935" i="2"/>
  <c r="CA935" i="2"/>
  <c r="DQ934" i="2"/>
  <c r="DG934" i="2"/>
  <c r="DH934" i="2"/>
  <c r="DC934" i="2"/>
  <c r="CS934" i="2"/>
  <c r="CT934" i="2"/>
  <c r="CO934" i="2"/>
  <c r="CF934" i="2"/>
  <c r="CA934" i="2"/>
  <c r="DQ933" i="2"/>
  <c r="DG933" i="2"/>
  <c r="DH933" i="2"/>
  <c r="DC933" i="2"/>
  <c r="CS933" i="2"/>
  <c r="CT933" i="2"/>
  <c r="CO933" i="2"/>
  <c r="CF933" i="2"/>
  <c r="CA933" i="2"/>
  <c r="DQ932" i="2"/>
  <c r="DG932" i="2"/>
  <c r="DH932" i="2"/>
  <c r="DC932" i="2"/>
  <c r="CS932" i="2"/>
  <c r="CT932" i="2"/>
  <c r="CO932" i="2"/>
  <c r="CA932" i="2"/>
  <c r="DQ931" i="2"/>
  <c r="DG931" i="2"/>
  <c r="DH931" i="2"/>
  <c r="DC931" i="2"/>
  <c r="CS931" i="2"/>
  <c r="CT931" i="2"/>
  <c r="CO931" i="2"/>
  <c r="CA931" i="2"/>
  <c r="DQ930" i="2"/>
  <c r="DG930" i="2"/>
  <c r="DH930" i="2"/>
  <c r="DC930" i="2"/>
  <c r="CS930" i="2"/>
  <c r="CT930" i="2"/>
  <c r="CO930" i="2"/>
  <c r="CA930" i="2"/>
  <c r="DQ929" i="2"/>
  <c r="DG929" i="2"/>
  <c r="DH929" i="2"/>
  <c r="DC929" i="2"/>
  <c r="CS929" i="2"/>
  <c r="CT929" i="2"/>
  <c r="CO929" i="2"/>
  <c r="CA929" i="2"/>
  <c r="DQ928" i="2"/>
  <c r="DG928" i="2"/>
  <c r="DH928" i="2"/>
  <c r="DC928" i="2"/>
  <c r="CS928" i="2"/>
  <c r="CT928" i="2"/>
  <c r="CO928" i="2"/>
  <c r="CA928" i="2"/>
  <c r="DQ927" i="2"/>
  <c r="DG927" i="2"/>
  <c r="DH927" i="2"/>
  <c r="DC927" i="2"/>
  <c r="CS927" i="2"/>
  <c r="CT927" i="2"/>
  <c r="CO927" i="2"/>
  <c r="CF927" i="2"/>
  <c r="CA927" i="2"/>
  <c r="DQ926" i="2"/>
  <c r="DG926" i="2"/>
  <c r="DH926" i="2"/>
  <c r="DC926" i="2"/>
  <c r="CS926" i="2"/>
  <c r="CT926" i="2"/>
  <c r="CO926" i="2"/>
  <c r="CA926" i="2"/>
  <c r="DV925" i="2"/>
  <c r="DQ925" i="2"/>
  <c r="DG925" i="2"/>
  <c r="DH925" i="2"/>
  <c r="DC925" i="2"/>
  <c r="CS925" i="2"/>
  <c r="CT925" i="2"/>
  <c r="CO925" i="2"/>
  <c r="CA925" i="2"/>
  <c r="DQ924" i="2"/>
  <c r="DG924" i="2"/>
  <c r="DH924" i="2"/>
  <c r="DC924" i="2"/>
  <c r="CS924" i="2"/>
  <c r="CT924" i="2"/>
  <c r="CO924" i="2"/>
  <c r="CF924" i="2"/>
  <c r="CA924" i="2"/>
  <c r="DQ923" i="2"/>
  <c r="DG923" i="2"/>
  <c r="DH923" i="2"/>
  <c r="DC923" i="2"/>
  <c r="CS923" i="2"/>
  <c r="CT923" i="2"/>
  <c r="CO923" i="2"/>
  <c r="CF923" i="2"/>
  <c r="CA923" i="2"/>
  <c r="DQ922" i="2"/>
  <c r="DG922" i="2"/>
  <c r="DH922" i="2"/>
  <c r="DC922" i="2"/>
  <c r="CS922" i="2"/>
  <c r="CT922" i="2"/>
  <c r="CO922" i="2"/>
  <c r="CA922" i="2"/>
  <c r="DQ921" i="2"/>
  <c r="DG921" i="2"/>
  <c r="DH921" i="2"/>
  <c r="DC921" i="2"/>
  <c r="CS921" i="2"/>
  <c r="CT921" i="2"/>
  <c r="CO921" i="2"/>
  <c r="CA921" i="2"/>
  <c r="DQ920" i="2"/>
  <c r="DG920" i="2"/>
  <c r="DH920" i="2"/>
  <c r="DC920" i="2"/>
  <c r="CS920" i="2"/>
  <c r="CT920" i="2"/>
  <c r="CO920" i="2"/>
  <c r="CA920" i="2"/>
  <c r="DQ919" i="2"/>
  <c r="DG919" i="2"/>
  <c r="DH919" i="2"/>
  <c r="DC919" i="2"/>
  <c r="CS919" i="2"/>
  <c r="CT919" i="2"/>
  <c r="CO919" i="2"/>
  <c r="CA919" i="2"/>
  <c r="DQ918" i="2"/>
  <c r="DG918" i="2"/>
  <c r="DH918" i="2"/>
  <c r="DC918" i="2"/>
  <c r="CS918" i="2"/>
  <c r="CT918" i="2"/>
  <c r="CO918" i="2"/>
  <c r="CA918" i="2"/>
  <c r="DQ917" i="2"/>
  <c r="DG917" i="2"/>
  <c r="DH917" i="2"/>
  <c r="DC917" i="2"/>
  <c r="CS917" i="2"/>
  <c r="CT917" i="2"/>
  <c r="CO917" i="2"/>
  <c r="CA917" i="2"/>
  <c r="DV916" i="2"/>
  <c r="DQ916" i="2"/>
  <c r="DO916" i="2"/>
  <c r="DG916" i="2"/>
  <c r="DH916" i="2"/>
  <c r="DC916" i="2"/>
  <c r="DA916" i="2"/>
  <c r="CS916" i="2"/>
  <c r="CT916" i="2"/>
  <c r="CO916" i="2"/>
  <c r="CM916" i="2"/>
  <c r="CF916" i="2"/>
  <c r="CA916" i="2"/>
  <c r="BY916" i="2"/>
  <c r="DQ915" i="2"/>
  <c r="DO915" i="2"/>
  <c r="DG915" i="2"/>
  <c r="DH915" i="2"/>
  <c r="DC915" i="2"/>
  <c r="DA915" i="2"/>
  <c r="CS915" i="2"/>
  <c r="CT915" i="2"/>
  <c r="CO915" i="2"/>
  <c r="CM915" i="2"/>
  <c r="CA915" i="2"/>
  <c r="BY915" i="2"/>
  <c r="DQ914" i="2"/>
  <c r="DG914" i="2"/>
  <c r="DH914" i="2"/>
  <c r="DC914" i="2"/>
  <c r="CS914" i="2"/>
  <c r="CT914" i="2"/>
  <c r="CO914" i="2"/>
  <c r="CA914" i="2"/>
  <c r="DQ913" i="2"/>
  <c r="DO913" i="2"/>
  <c r="DG913" i="2"/>
  <c r="DH913" i="2"/>
  <c r="DC913" i="2"/>
  <c r="DA913" i="2"/>
  <c r="CS913" i="2"/>
  <c r="CT913" i="2"/>
  <c r="CO913" i="2"/>
  <c r="CM913" i="2"/>
  <c r="CF913" i="2"/>
  <c r="CA913" i="2"/>
  <c r="BY913" i="2"/>
  <c r="DQ912" i="2"/>
  <c r="DO912" i="2"/>
  <c r="DG912" i="2"/>
  <c r="DH912" i="2"/>
  <c r="DC912" i="2"/>
  <c r="DA912" i="2"/>
  <c r="CS912" i="2"/>
  <c r="CT912" i="2"/>
  <c r="CO912" i="2"/>
  <c r="CM912" i="2"/>
  <c r="CF912" i="2"/>
  <c r="CA912" i="2"/>
  <c r="BY912" i="2"/>
  <c r="DQ911" i="2"/>
  <c r="DO911" i="2"/>
  <c r="DK911" i="2"/>
  <c r="DF911" i="2"/>
  <c r="DG911" i="2"/>
  <c r="DH911" i="2"/>
  <c r="DC911" i="2"/>
  <c r="DA911" i="2"/>
  <c r="CW911" i="2"/>
  <c r="CO911" i="2"/>
  <c r="CM911" i="2"/>
  <c r="CI911" i="2"/>
  <c r="CA911" i="2"/>
  <c r="BY911" i="2"/>
  <c r="BU911" i="2"/>
  <c r="DQ910" i="2"/>
  <c r="DO910" i="2"/>
  <c r="DK910" i="2"/>
  <c r="DF910" i="2"/>
  <c r="DG910" i="2"/>
  <c r="DH910" i="2"/>
  <c r="DC910" i="2"/>
  <c r="DA910" i="2"/>
  <c r="CW910" i="2"/>
  <c r="CO910" i="2"/>
  <c r="CM910" i="2"/>
  <c r="CI910" i="2"/>
  <c r="CA910" i="2"/>
  <c r="BY910" i="2"/>
  <c r="BU910" i="2"/>
  <c r="DQ909" i="2"/>
  <c r="DO909" i="2"/>
  <c r="DK909" i="2"/>
  <c r="DF909" i="2"/>
  <c r="DG909" i="2"/>
  <c r="DH909" i="2"/>
  <c r="DC909" i="2"/>
  <c r="DA909" i="2"/>
  <c r="CW909" i="2"/>
  <c r="CO909" i="2"/>
  <c r="CM909" i="2"/>
  <c r="CI909" i="2"/>
  <c r="CA909" i="2"/>
  <c r="BY909" i="2"/>
  <c r="BU909" i="2"/>
  <c r="DQ908" i="2"/>
  <c r="DO908" i="2"/>
  <c r="DK908" i="2"/>
  <c r="DF908" i="2"/>
  <c r="DG908" i="2"/>
  <c r="DH908" i="2"/>
  <c r="DC908" i="2"/>
  <c r="DA908" i="2"/>
  <c r="CW908" i="2"/>
  <c r="CO908" i="2"/>
  <c r="CM908" i="2"/>
  <c r="CI908" i="2"/>
  <c r="CA908" i="2"/>
  <c r="BY908" i="2"/>
  <c r="BU908" i="2"/>
  <c r="DQ907" i="2"/>
  <c r="DO907" i="2"/>
  <c r="DK907" i="2"/>
  <c r="DF907" i="2"/>
  <c r="DG907" i="2"/>
  <c r="DH907" i="2"/>
  <c r="DC907" i="2"/>
  <c r="DA907" i="2"/>
  <c r="CW907" i="2"/>
  <c r="CO907" i="2"/>
  <c r="CM907" i="2"/>
  <c r="CI907" i="2"/>
  <c r="CA907" i="2"/>
  <c r="BY907" i="2"/>
  <c r="BU907" i="2"/>
  <c r="DQ906" i="2"/>
  <c r="DO906" i="2"/>
  <c r="DK906" i="2"/>
  <c r="DF906" i="2"/>
  <c r="DG906" i="2"/>
  <c r="DH906" i="2"/>
  <c r="DC906" i="2"/>
  <c r="DA906" i="2"/>
  <c r="CW906" i="2"/>
  <c r="CO906" i="2"/>
  <c r="CM906" i="2"/>
  <c r="CI906" i="2"/>
  <c r="CA906" i="2"/>
  <c r="BY906" i="2"/>
  <c r="BU906" i="2"/>
  <c r="DK905" i="2"/>
  <c r="CW905" i="2"/>
  <c r="CI905" i="2"/>
  <c r="BU905" i="2"/>
  <c r="DQ904" i="2"/>
  <c r="DO904" i="2"/>
  <c r="DF904" i="2"/>
  <c r="DG904" i="2"/>
  <c r="DH904" i="2"/>
  <c r="DC904" i="2"/>
  <c r="DA904" i="2"/>
  <c r="CO904" i="2"/>
  <c r="CM904" i="2"/>
  <c r="CA904" i="2"/>
  <c r="BY904" i="2"/>
  <c r="DQ903" i="2"/>
  <c r="DO903" i="2"/>
  <c r="DF903" i="2"/>
  <c r="DG903" i="2"/>
  <c r="DH903" i="2"/>
  <c r="DC903" i="2"/>
  <c r="DA903" i="2"/>
  <c r="CO903" i="2"/>
  <c r="CM903" i="2"/>
  <c r="CA903" i="2"/>
  <c r="BY903" i="2"/>
  <c r="DQ902" i="2"/>
  <c r="DO902" i="2"/>
  <c r="DF902" i="2"/>
  <c r="DG902" i="2"/>
  <c r="DH902" i="2"/>
  <c r="DC902" i="2"/>
  <c r="DA902" i="2"/>
  <c r="CO902" i="2"/>
  <c r="CM902" i="2"/>
  <c r="CA902" i="2"/>
  <c r="BY902" i="2"/>
  <c r="DQ901" i="2"/>
  <c r="DO901" i="2"/>
  <c r="DF901" i="2"/>
  <c r="DG901" i="2"/>
  <c r="DH901" i="2"/>
  <c r="DC901" i="2"/>
  <c r="DA901" i="2"/>
  <c r="CO901" i="2"/>
  <c r="CM901" i="2"/>
  <c r="CA901" i="2"/>
  <c r="BY901" i="2"/>
  <c r="DR951" i="2"/>
  <c r="DD951" i="2"/>
  <c r="CP951" i="2"/>
  <c r="DO899" i="2"/>
  <c r="DF895" i="2"/>
  <c r="DC895" i="2"/>
  <c r="DG895" i="2"/>
  <c r="DH895" i="2"/>
  <c r="DF896" i="2"/>
  <c r="DC896" i="2"/>
  <c r="DC899" i="2"/>
  <c r="DA899" i="2"/>
  <c r="BY899" i="2"/>
  <c r="DO898" i="2"/>
  <c r="DC898" i="2"/>
  <c r="DA898" i="2"/>
  <c r="CM898" i="2"/>
  <c r="BY898" i="2"/>
  <c r="DO897" i="2"/>
  <c r="DC897" i="2"/>
  <c r="DA897" i="2"/>
  <c r="CM897" i="2"/>
  <c r="BY897" i="2"/>
  <c r="DO896" i="2"/>
  <c r="DA896" i="2"/>
  <c r="CM896" i="2"/>
  <c r="BY896" i="2"/>
  <c r="DO895" i="2"/>
  <c r="CM895" i="2"/>
  <c r="BY895" i="2"/>
  <c r="DA894" i="2"/>
  <c r="CM894" i="2"/>
  <c r="DQ893" i="2"/>
  <c r="DC893" i="2"/>
  <c r="CO893" i="2"/>
  <c r="CA893" i="2"/>
  <c r="DQ892" i="2"/>
  <c r="DO892" i="2"/>
  <c r="DF892" i="2"/>
  <c r="DG892" i="2"/>
  <c r="DC892" i="2"/>
  <c r="DA892" i="2"/>
  <c r="CR892" i="2"/>
  <c r="CS892" i="2"/>
  <c r="CO892" i="2"/>
  <c r="CM892" i="2"/>
  <c r="CA892" i="2"/>
  <c r="BY892" i="2"/>
  <c r="AY938" i="2"/>
  <c r="BD938" i="2"/>
  <c r="AU938" i="2"/>
  <c r="AY937" i="2"/>
  <c r="BD937" i="2"/>
  <c r="AU937" i="2"/>
  <c r="AY936" i="2"/>
  <c r="BD936" i="2"/>
  <c r="AW936" i="2"/>
  <c r="BB936" i="2"/>
  <c r="AU936" i="2"/>
  <c r="AY935" i="2"/>
  <c r="BD935" i="2"/>
  <c r="AU935" i="2"/>
  <c r="AK938" i="2"/>
  <c r="AP938" i="2"/>
  <c r="AI938" i="2"/>
  <c r="AN938" i="2"/>
  <c r="AG938" i="2"/>
  <c r="AK937" i="2"/>
  <c r="AP937" i="2"/>
  <c r="AI937" i="2"/>
  <c r="AN937" i="2"/>
  <c r="AG937" i="2"/>
  <c r="AK936" i="2"/>
  <c r="AP936" i="2"/>
  <c r="AI936" i="2"/>
  <c r="AN936" i="2"/>
  <c r="AG936" i="2"/>
  <c r="AK935" i="2"/>
  <c r="AP935" i="2"/>
  <c r="AG935" i="2"/>
  <c r="W938" i="2"/>
  <c r="AB938" i="2"/>
  <c r="U938" i="2"/>
  <c r="Z938" i="2"/>
  <c r="S938" i="2"/>
  <c r="W937" i="2"/>
  <c r="AB937" i="2"/>
  <c r="U937" i="2"/>
  <c r="Z937" i="2"/>
  <c r="S937" i="2"/>
  <c r="W936" i="2"/>
  <c r="AB936" i="2"/>
  <c r="U936" i="2"/>
  <c r="Z936" i="2"/>
  <c r="S936" i="2"/>
  <c r="W935" i="2"/>
  <c r="AB935" i="2"/>
  <c r="S935" i="2"/>
  <c r="S932" i="2"/>
  <c r="T932" i="2"/>
  <c r="U932" i="2"/>
  <c r="Z932" i="2"/>
  <c r="H922" i="2"/>
  <c r="J898" i="2"/>
  <c r="J902" i="2"/>
  <c r="J906" i="2"/>
  <c r="J910" i="2"/>
  <c r="J914" i="2"/>
  <c r="J918" i="2"/>
  <c r="J922" i="2"/>
  <c r="J926" i="2"/>
  <c r="H921" i="2"/>
  <c r="J897" i="2"/>
  <c r="J901" i="2"/>
  <c r="J905" i="2"/>
  <c r="J909" i="2"/>
  <c r="J913" i="2"/>
  <c r="J917" i="2"/>
  <c r="J921" i="2"/>
  <c r="J925" i="2"/>
  <c r="H920" i="2"/>
  <c r="J908" i="2"/>
  <c r="J912" i="2"/>
  <c r="J916" i="2"/>
  <c r="J920" i="2"/>
  <c r="J924" i="2"/>
  <c r="H919" i="2"/>
  <c r="J895" i="2"/>
  <c r="J899" i="2"/>
  <c r="J903" i="2"/>
  <c r="J907" i="2"/>
  <c r="J911" i="2"/>
  <c r="J915" i="2"/>
  <c r="J919" i="2"/>
  <c r="J923" i="2"/>
  <c r="H918" i="2"/>
  <c r="H917" i="2"/>
  <c r="H916" i="2"/>
  <c r="H915" i="2"/>
  <c r="H914" i="2"/>
  <c r="H913" i="2"/>
  <c r="H897" i="2"/>
  <c r="H901" i="2"/>
  <c r="H906" i="2"/>
  <c r="H909" i="2"/>
  <c r="H925" i="2"/>
  <c r="H933" i="2"/>
  <c r="H937" i="2"/>
  <c r="H941" i="2"/>
  <c r="H912" i="2"/>
  <c r="H911" i="2"/>
  <c r="H910" i="2"/>
  <c r="H908" i="2"/>
  <c r="H907" i="2"/>
  <c r="AV898" i="2"/>
  <c r="AJ898" i="2"/>
  <c r="AH898" i="2"/>
  <c r="H898" i="2"/>
  <c r="F898" i="2"/>
  <c r="AX897" i="2"/>
  <c r="AV897" i="2"/>
  <c r="AJ897" i="2"/>
  <c r="AH897" i="2"/>
  <c r="V897" i="2"/>
  <c r="Z897" i="2"/>
  <c r="F897" i="2"/>
  <c r="AX896" i="2"/>
  <c r="BA896" i="2"/>
  <c r="AV896" i="2"/>
  <c r="AH896" i="2"/>
  <c r="V896" i="2"/>
  <c r="J896" i="2"/>
  <c r="J900" i="2"/>
  <c r="J932" i="2"/>
  <c r="J936" i="2"/>
  <c r="H896" i="2"/>
  <c r="F896" i="2"/>
  <c r="AX895" i="2"/>
  <c r="BB895" i="2"/>
  <c r="AV895" i="2"/>
  <c r="AR895" i="2"/>
  <c r="AJ895" i="2"/>
  <c r="AH895" i="2"/>
  <c r="AD895" i="2"/>
  <c r="V895" i="2"/>
  <c r="P895" i="2"/>
  <c r="H895" i="2"/>
  <c r="F895" i="2"/>
  <c r="BA958" i="2"/>
  <c r="AZ958" i="2"/>
  <c r="AM958" i="2"/>
  <c r="AL958" i="2"/>
  <c r="Y958" i="2"/>
  <c r="X958" i="2"/>
  <c r="K958" i="2"/>
  <c r="J958" i="2"/>
  <c r="BA957" i="2"/>
  <c r="AZ957" i="2"/>
  <c r="AM957" i="2"/>
  <c r="AL957" i="2"/>
  <c r="Y957" i="2"/>
  <c r="X957" i="2"/>
  <c r="K957" i="2"/>
  <c r="J957" i="2"/>
  <c r="BA956" i="2"/>
  <c r="AZ956" i="2"/>
  <c r="AM956" i="2"/>
  <c r="AL956" i="2"/>
  <c r="Y956" i="2"/>
  <c r="X956" i="2"/>
  <c r="K956" i="2"/>
  <c r="J956" i="2"/>
  <c r="BA955" i="2"/>
  <c r="AZ955" i="2"/>
  <c r="AM955" i="2"/>
  <c r="AL955" i="2"/>
  <c r="Y955" i="2"/>
  <c r="X955" i="2"/>
  <c r="K955" i="2"/>
  <c r="J955" i="2"/>
  <c r="AX942" i="2"/>
  <c r="BC942" i="2"/>
  <c r="AV942" i="2"/>
  <c r="AJ942" i="2"/>
  <c r="AO942" i="2"/>
  <c r="AH942" i="2"/>
  <c r="V942" i="2"/>
  <c r="AA942" i="2"/>
  <c r="T942" i="2"/>
  <c r="H942" i="2"/>
  <c r="M942" i="2"/>
  <c r="J942" i="2"/>
  <c r="F942" i="2"/>
  <c r="AX941" i="2"/>
  <c r="BC941" i="2"/>
  <c r="AV941" i="2"/>
  <c r="AJ941" i="2"/>
  <c r="AO941" i="2"/>
  <c r="AH941" i="2"/>
  <c r="V941" i="2"/>
  <c r="AA941" i="2"/>
  <c r="T941" i="2"/>
  <c r="M941" i="2"/>
  <c r="J941" i="2"/>
  <c r="F941" i="2"/>
  <c r="AV940" i="2"/>
  <c r="AJ940" i="2"/>
  <c r="AO940" i="2"/>
  <c r="AH940" i="2"/>
  <c r="V940" i="2"/>
  <c r="AA940" i="2"/>
  <c r="T940" i="2"/>
  <c r="J940" i="2"/>
  <c r="H940" i="2"/>
  <c r="M940" i="2"/>
  <c r="F940" i="2"/>
  <c r="AX939" i="2"/>
  <c r="BC939" i="2"/>
  <c r="AV939" i="2"/>
  <c r="AH939" i="2"/>
  <c r="T939" i="2"/>
  <c r="J939" i="2"/>
  <c r="H939" i="2"/>
  <c r="M939" i="2"/>
  <c r="F939" i="2"/>
  <c r="H938" i="2"/>
  <c r="M938" i="2"/>
  <c r="F938" i="2"/>
  <c r="M937" i="2"/>
  <c r="F937" i="2"/>
  <c r="H936" i="2"/>
  <c r="M936" i="2"/>
  <c r="F936" i="2"/>
  <c r="H935" i="2"/>
  <c r="M935" i="2"/>
  <c r="F935" i="2"/>
  <c r="H934" i="2"/>
  <c r="M934" i="2"/>
  <c r="F934" i="2"/>
  <c r="M933" i="2"/>
  <c r="F933" i="2"/>
  <c r="H932" i="2"/>
  <c r="M932" i="2"/>
  <c r="F932" i="2"/>
  <c r="H931" i="2"/>
  <c r="M931" i="2"/>
  <c r="F931" i="2"/>
  <c r="J933" i="2"/>
  <c r="J937" i="2"/>
  <c r="H926" i="2"/>
  <c r="F926" i="2"/>
  <c r="F925" i="2"/>
  <c r="H924" i="2"/>
  <c r="F924" i="2"/>
  <c r="AR923" i="2"/>
  <c r="AD923" i="2"/>
  <c r="P923" i="2"/>
  <c r="H923" i="2"/>
  <c r="F923" i="2"/>
  <c r="F922" i="2"/>
  <c r="F921" i="2"/>
  <c r="F920" i="2"/>
  <c r="AR919" i="2"/>
  <c r="AD919" i="2"/>
  <c r="P919" i="2"/>
  <c r="F919" i="2"/>
  <c r="F918" i="2"/>
  <c r="F917" i="2"/>
  <c r="AR916" i="2"/>
  <c r="AD916" i="2"/>
  <c r="P916" i="2"/>
  <c r="F916" i="2"/>
  <c r="AR915" i="2"/>
  <c r="AD915" i="2"/>
  <c r="P915" i="2"/>
  <c r="F915" i="2"/>
  <c r="F914" i="2"/>
  <c r="F913" i="2"/>
  <c r="F912" i="2"/>
  <c r="AR911" i="2"/>
  <c r="AD911" i="2"/>
  <c r="P911" i="2"/>
  <c r="F911" i="2"/>
  <c r="F910" i="2"/>
  <c r="F909" i="2"/>
  <c r="F908" i="2"/>
  <c r="AR907" i="2"/>
  <c r="AD907" i="2"/>
  <c r="P907" i="2"/>
  <c r="F907" i="2"/>
  <c r="F906" i="2"/>
  <c r="H905" i="2"/>
  <c r="F905" i="2"/>
  <c r="H904" i="2"/>
  <c r="L904" i="2"/>
  <c r="F904" i="2"/>
  <c r="H903" i="2"/>
  <c r="F903" i="2"/>
  <c r="H902" i="2"/>
  <c r="F902" i="2"/>
  <c r="F901" i="2"/>
  <c r="H900" i="2"/>
  <c r="F900" i="2"/>
  <c r="AR899" i="2"/>
  <c r="AD899" i="2"/>
  <c r="P899" i="2"/>
  <c r="H899" i="2"/>
  <c r="F899" i="2"/>
  <c r="J934" i="2"/>
  <c r="J938" i="2"/>
  <c r="J931" i="2"/>
  <c r="J935" i="2"/>
  <c r="A1022" i="2"/>
  <c r="H997" i="2"/>
  <c r="H1001" i="2"/>
  <c r="H1013" i="2"/>
  <c r="M1013" i="2"/>
  <c r="D1013" i="2"/>
  <c r="K1013" i="2"/>
  <c r="AT990" i="2"/>
  <c r="AX990" i="2"/>
  <c r="BB990" i="2"/>
  <c r="D991" i="2"/>
  <c r="K991" i="2"/>
  <c r="L991" i="2"/>
  <c r="R990" i="2"/>
  <c r="D995" i="2"/>
  <c r="AT994" i="2"/>
  <c r="BA994" i="2"/>
  <c r="BB994" i="2"/>
  <c r="BC994" i="2"/>
  <c r="AT998" i="2"/>
  <c r="BA998" i="2"/>
  <c r="BB998" i="2"/>
  <c r="BC998" i="2"/>
  <c r="AV969" i="2"/>
  <c r="AV1021" i="2"/>
  <c r="AX969" i="2"/>
  <c r="AZ969" i="2"/>
  <c r="AT970" i="2"/>
  <c r="AX970" i="2"/>
  <c r="AV970" i="2"/>
  <c r="AZ970" i="2"/>
  <c r="AZ974" i="2"/>
  <c r="AZ978" i="2"/>
  <c r="AZ982" i="2"/>
  <c r="AZ986" i="2"/>
  <c r="AV971" i="2"/>
  <c r="AX971" i="2"/>
  <c r="AZ971" i="2"/>
  <c r="AZ975" i="2"/>
  <c r="AZ979" i="2"/>
  <c r="AZ983" i="2"/>
  <c r="AZ987" i="2"/>
  <c r="AZ991" i="2"/>
  <c r="AZ995" i="2"/>
  <c r="AZ999" i="2"/>
  <c r="AZ1003" i="2"/>
  <c r="AV972" i="2"/>
  <c r="AX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13" i="2"/>
  <c r="AV1014" i="2"/>
  <c r="AV1015" i="2"/>
  <c r="AV1016" i="2"/>
  <c r="AX973" i="2"/>
  <c r="AZ973" i="2"/>
  <c r="AZ977" i="2"/>
  <c r="AZ981" i="2"/>
  <c r="AZ985" i="2"/>
  <c r="AZ989" i="2"/>
  <c r="AZ993" i="2"/>
  <c r="AZ997" i="2"/>
  <c r="AZ1001" i="2"/>
  <c r="AT974" i="2"/>
  <c r="AX974" i="2"/>
  <c r="AX975" i="2"/>
  <c r="AX976" i="2"/>
  <c r="BA976" i="2"/>
  <c r="AZ976" i="2"/>
  <c r="AZ980" i="2"/>
  <c r="AZ984" i="2"/>
  <c r="AZ988" i="2"/>
  <c r="AZ992" i="2"/>
  <c r="AZ996" i="2"/>
  <c r="AZ1000" i="2"/>
  <c r="AZ1004" i="2"/>
  <c r="AX977" i="2"/>
  <c r="AT978" i="2"/>
  <c r="AX978" i="2"/>
  <c r="AX979" i="2"/>
  <c r="AX980" i="2"/>
  <c r="AX981" i="2"/>
  <c r="AX985" i="2"/>
  <c r="AX993" i="2"/>
  <c r="AX997" i="2"/>
  <c r="AX1001" i="2"/>
  <c r="AX1013" i="2"/>
  <c r="AT982" i="2"/>
  <c r="AX982" i="2"/>
  <c r="AX983" i="2"/>
  <c r="AX984" i="2"/>
  <c r="AT986" i="2"/>
  <c r="AX986" i="2"/>
  <c r="AX987" i="2"/>
  <c r="AX992" i="2"/>
  <c r="AX996" i="2"/>
  <c r="AX1000" i="2"/>
  <c r="AX1004" i="2"/>
  <c r="AX1016" i="2"/>
  <c r="BC1016" i="2"/>
  <c r="AX988" i="2"/>
  <c r="AX989" i="2"/>
  <c r="AX991" i="2"/>
  <c r="AX994" i="2"/>
  <c r="AZ994" i="2"/>
  <c r="AX995" i="2"/>
  <c r="AX998" i="2"/>
  <c r="AZ998" i="2"/>
  <c r="AX999" i="2"/>
  <c r="AX1002" i="2"/>
  <c r="BB1002" i="2"/>
  <c r="AX1003" i="2"/>
  <c r="AH969" i="2"/>
  <c r="AL969" i="2"/>
  <c r="AL973" i="2"/>
  <c r="AL977" i="2"/>
  <c r="AL981" i="2"/>
  <c r="AL985" i="2"/>
  <c r="AL989" i="2"/>
  <c r="AL993" i="2"/>
  <c r="AL997" i="2"/>
  <c r="AL1001" i="2"/>
  <c r="AH970" i="2"/>
  <c r="AJ970" i="2"/>
  <c r="AH971" i="2"/>
  <c r="AJ971" i="2"/>
  <c r="AL971" i="2"/>
  <c r="AL975" i="2"/>
  <c r="AL979" i="2"/>
  <c r="AL983" i="2"/>
  <c r="AL987" i="2"/>
  <c r="AL991" i="2"/>
  <c r="AL995" i="2"/>
  <c r="AL999" i="2"/>
  <c r="AL1003" i="2"/>
  <c r="AF972" i="2"/>
  <c r="AM972" i="2"/>
  <c r="AH972" i="2"/>
  <c r="AJ972" i="2"/>
  <c r="AL972" i="2"/>
  <c r="AL976" i="2"/>
  <c r="AL980" i="2"/>
  <c r="AH973" i="2"/>
  <c r="AH974" i="2"/>
  <c r="AJ974" i="2"/>
  <c r="AL974" i="2"/>
  <c r="AL978" i="2"/>
  <c r="AL982" i="2"/>
  <c r="AL986" i="2"/>
  <c r="AL990" i="2"/>
  <c r="AL994" i="2"/>
  <c r="AL998" i="2"/>
  <c r="AL1002" i="2"/>
  <c r="AH975" i="2"/>
  <c r="AF976" i="2"/>
  <c r="AF980" i="2"/>
  <c r="AJ980" i="2"/>
  <c r="AH976" i="2"/>
  <c r="AJ976" i="2"/>
  <c r="AN976" i="2"/>
  <c r="AO976" i="2"/>
  <c r="AH977" i="2"/>
  <c r="AJ977" i="2"/>
  <c r="AH978" i="2"/>
  <c r="AH979" i="2"/>
  <c r="AJ979" i="2"/>
  <c r="AH980" i="2"/>
  <c r="AH981" i="2"/>
  <c r="AJ981" i="2"/>
  <c r="AH982" i="2"/>
  <c r="AJ982" i="2"/>
  <c r="AH983" i="2"/>
  <c r="AJ983" i="2"/>
  <c r="AF984" i="2"/>
  <c r="AJ984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13" i="2"/>
  <c r="AH1014" i="2"/>
  <c r="AH1015" i="2"/>
  <c r="AH1016" i="2"/>
  <c r="AJ985" i="2"/>
  <c r="AJ986" i="2"/>
  <c r="AJ989" i="2"/>
  <c r="AJ994" i="2"/>
  <c r="AJ998" i="2"/>
  <c r="AJ1002" i="2"/>
  <c r="AJ987" i="2"/>
  <c r="AL988" i="2"/>
  <c r="AL992" i="2"/>
  <c r="AL996" i="2"/>
  <c r="AL1000" i="2"/>
  <c r="AL1004" i="2"/>
  <c r="AJ990" i="2"/>
  <c r="AJ991" i="2"/>
  <c r="AJ992" i="2"/>
  <c r="AJ993" i="2"/>
  <c r="AJ995" i="2"/>
  <c r="AJ996" i="2"/>
  <c r="AJ997" i="2"/>
  <c r="AJ999" i="2"/>
  <c r="AJ1000" i="2"/>
  <c r="AJ1001" i="2"/>
  <c r="AJ1013" i="2"/>
  <c r="AO1013" i="2"/>
  <c r="AJ1003" i="2"/>
  <c r="AJ1004" i="2"/>
  <c r="V973" i="2"/>
  <c r="T969" i="2"/>
  <c r="V969" i="2"/>
  <c r="X969" i="2"/>
  <c r="X973" i="2"/>
  <c r="X977" i="2"/>
  <c r="X981" i="2"/>
  <c r="X985" i="2"/>
  <c r="X989" i="2"/>
  <c r="X993" i="2"/>
  <c r="X997" i="2"/>
  <c r="X1001" i="2"/>
  <c r="R970" i="2"/>
  <c r="Y970" i="2"/>
  <c r="Y974" i="2"/>
  <c r="Y978" i="2"/>
  <c r="T970" i="2"/>
  <c r="V970" i="2"/>
  <c r="X970" i="2"/>
  <c r="X974" i="2"/>
  <c r="X978" i="2"/>
  <c r="T971" i="2"/>
  <c r="X971" i="2"/>
  <c r="X975" i="2"/>
  <c r="X979" i="2"/>
  <c r="X983" i="2"/>
  <c r="X987" i="2"/>
  <c r="X991" i="2"/>
  <c r="X995" i="2"/>
  <c r="X999" i="2"/>
  <c r="X1003" i="2"/>
  <c r="T972" i="2"/>
  <c r="X972" i="2"/>
  <c r="X976" i="2"/>
  <c r="X980" i="2"/>
  <c r="X984" i="2"/>
  <c r="X988" i="2"/>
  <c r="X992" i="2"/>
  <c r="X996" i="2"/>
  <c r="X1000" i="2"/>
  <c r="X1004" i="2"/>
  <c r="T973" i="2"/>
  <c r="R974" i="2"/>
  <c r="T974" i="2"/>
  <c r="V974" i="2"/>
  <c r="T975" i="2"/>
  <c r="V975" i="2"/>
  <c r="T976" i="2"/>
  <c r="V976" i="2"/>
  <c r="T977" i="2"/>
  <c r="V977" i="2"/>
  <c r="R978" i="2"/>
  <c r="T978" i="2"/>
  <c r="V978" i="2"/>
  <c r="T979" i="2"/>
  <c r="V984" i="2"/>
  <c r="V988" i="2"/>
  <c r="V992" i="2"/>
  <c r="V996" i="2"/>
  <c r="V1000" i="2"/>
  <c r="V1004" i="2"/>
  <c r="V1016" i="2"/>
  <c r="AA1016" i="2"/>
  <c r="T980" i="2"/>
  <c r="V980" i="2"/>
  <c r="T981" i="2"/>
  <c r="V981" i="2"/>
  <c r="R982" i="2"/>
  <c r="T982" i="2"/>
  <c r="V982" i="2"/>
  <c r="Z982" i="2"/>
  <c r="T983" i="2"/>
  <c r="V983" i="2"/>
  <c r="T984" i="2"/>
  <c r="T985" i="2"/>
  <c r="V985" i="2"/>
  <c r="R986" i="2"/>
  <c r="Y986" i="2"/>
  <c r="T986" i="2"/>
  <c r="V986" i="2"/>
  <c r="X986" i="2"/>
  <c r="R1015" i="2"/>
  <c r="Y1015" i="2"/>
  <c r="R1013" i="2"/>
  <c r="Y1013" i="2"/>
  <c r="R1014" i="2"/>
  <c r="Y1014" i="2"/>
  <c r="V991" i="2"/>
  <c r="V995" i="2"/>
  <c r="V999" i="2"/>
  <c r="V1003" i="2"/>
  <c r="V1015" i="2"/>
  <c r="AA1015" i="2"/>
  <c r="T987" i="2"/>
  <c r="V987" i="2"/>
  <c r="T988" i="2"/>
  <c r="T989" i="2"/>
  <c r="V989" i="2"/>
  <c r="T990" i="2"/>
  <c r="T993" i="2"/>
  <c r="T994" i="2"/>
  <c r="T991" i="2"/>
  <c r="T995" i="2"/>
  <c r="T992" i="2"/>
  <c r="T996" i="2"/>
  <c r="T997" i="2"/>
  <c r="T998" i="2"/>
  <c r="T999" i="2"/>
  <c r="T1000" i="2"/>
  <c r="T1001" i="2"/>
  <c r="T1002" i="2"/>
  <c r="T1003" i="2"/>
  <c r="T1004" i="2"/>
  <c r="T1013" i="2"/>
  <c r="T1014" i="2"/>
  <c r="T1015" i="2"/>
  <c r="T1016" i="2"/>
  <c r="V990" i="2"/>
  <c r="V993" i="2"/>
  <c r="X994" i="2"/>
  <c r="X998" i="2"/>
  <c r="V997" i="2"/>
  <c r="V998" i="2"/>
  <c r="X1002" i="2"/>
  <c r="V1001" i="2"/>
  <c r="V1002" i="2"/>
  <c r="F969" i="2"/>
  <c r="H969" i="2"/>
  <c r="L969" i="2"/>
  <c r="J969" i="2"/>
  <c r="J973" i="2"/>
  <c r="J977" i="2"/>
  <c r="J981" i="2"/>
  <c r="J985" i="2"/>
  <c r="J989" i="2"/>
  <c r="J993" i="2"/>
  <c r="J997" i="2"/>
  <c r="J1001" i="2"/>
  <c r="F970" i="2"/>
  <c r="J970" i="2"/>
  <c r="J974" i="2"/>
  <c r="J978" i="2"/>
  <c r="D971" i="2"/>
  <c r="K971" i="2"/>
  <c r="F971" i="2"/>
  <c r="H971" i="2"/>
  <c r="L971" i="2"/>
  <c r="J971" i="2"/>
  <c r="J975" i="2"/>
  <c r="J979" i="2"/>
  <c r="J983" i="2"/>
  <c r="J987" i="2"/>
  <c r="J991" i="2"/>
  <c r="F972" i="2"/>
  <c r="J972" i="2"/>
  <c r="J976" i="2"/>
  <c r="J980" i="2"/>
  <c r="J984" i="2"/>
  <c r="J988" i="2"/>
  <c r="J992" i="2"/>
  <c r="J996" i="2"/>
  <c r="J1000" i="2"/>
  <c r="F973" i="2"/>
  <c r="H973" i="2"/>
  <c r="F974" i="2"/>
  <c r="H974" i="2"/>
  <c r="J982" i="2"/>
  <c r="J986" i="2"/>
  <c r="J990" i="2"/>
  <c r="J994" i="2"/>
  <c r="J998" i="2"/>
  <c r="J1002" i="2"/>
  <c r="D975" i="2"/>
  <c r="D1031" i="2"/>
  <c r="K975" i="2"/>
  <c r="K979" i="2"/>
  <c r="L979" i="2"/>
  <c r="F975" i="2"/>
  <c r="H975" i="2"/>
  <c r="F976" i="2"/>
  <c r="J1004" i="2"/>
  <c r="F977" i="2"/>
  <c r="H977" i="2"/>
  <c r="F978" i="2"/>
  <c r="H978" i="2"/>
  <c r="D979" i="2"/>
  <c r="F979" i="2"/>
  <c r="H979" i="2"/>
  <c r="F980" i="2"/>
  <c r="H980" i="2"/>
  <c r="F981" i="2"/>
  <c r="H981" i="2"/>
  <c r="H985" i="2"/>
  <c r="H990" i="2"/>
  <c r="H993" i="2"/>
  <c r="F982" i="2"/>
  <c r="H982" i="2"/>
  <c r="D983" i="2"/>
  <c r="F983" i="2"/>
  <c r="H983" i="2"/>
  <c r="F984" i="2"/>
  <c r="H984" i="2"/>
  <c r="F985" i="2"/>
  <c r="F986" i="2"/>
  <c r="H986" i="2"/>
  <c r="D987" i="2"/>
  <c r="K987" i="2"/>
  <c r="H987" i="2"/>
  <c r="L987" i="2"/>
  <c r="F987" i="2"/>
  <c r="D1016" i="2"/>
  <c r="K1016" i="2"/>
  <c r="H988" i="2"/>
  <c r="H992" i="2"/>
  <c r="H996" i="2"/>
  <c r="H1000" i="2"/>
  <c r="H1004" i="2"/>
  <c r="F988" i="2"/>
  <c r="F989" i="2"/>
  <c r="H989" i="2"/>
  <c r="F990" i="2"/>
  <c r="H991" i="2"/>
  <c r="F991" i="2"/>
  <c r="F992" i="2"/>
  <c r="F993" i="2"/>
  <c r="F994" i="2"/>
  <c r="H994" i="2"/>
  <c r="F995" i="2"/>
  <c r="H995" i="2"/>
  <c r="F996" i="2"/>
  <c r="F997" i="2"/>
  <c r="F998" i="2"/>
  <c r="H998" i="2"/>
  <c r="F999" i="2"/>
  <c r="H999" i="2"/>
  <c r="L999" i="2"/>
  <c r="J999" i="2"/>
  <c r="J1003" i="2"/>
  <c r="F1000" i="2"/>
  <c r="F1001" i="2"/>
  <c r="F1002" i="2"/>
  <c r="H1002" i="2"/>
  <c r="F1003" i="2"/>
  <c r="H1003" i="2"/>
  <c r="F1004" i="2"/>
  <c r="P969" i="2"/>
  <c r="AD969" i="2"/>
  <c r="AR969" i="2"/>
  <c r="P973" i="2"/>
  <c r="AD973" i="2"/>
  <c r="AR973" i="2"/>
  <c r="P977" i="2"/>
  <c r="AD977" i="2"/>
  <c r="AR977" i="2"/>
  <c r="P981" i="2"/>
  <c r="AD981" i="2"/>
  <c r="AR981" i="2"/>
  <c r="P985" i="2"/>
  <c r="AD985" i="2"/>
  <c r="AR985" i="2"/>
  <c r="P989" i="2"/>
  <c r="AD989" i="2"/>
  <c r="AR989" i="2"/>
  <c r="P990" i="2"/>
  <c r="AD990" i="2"/>
  <c r="AR990" i="2"/>
  <c r="P993" i="2"/>
  <c r="AD993" i="2"/>
  <c r="AR993" i="2"/>
  <c r="P997" i="2"/>
  <c r="AD997" i="2"/>
  <c r="AR997" i="2"/>
  <c r="P1001" i="2"/>
  <c r="AD1001" i="2"/>
  <c r="AR1001" i="2"/>
  <c r="F1013" i="2"/>
  <c r="F1014" i="2"/>
  <c r="F1015" i="2"/>
  <c r="F1016" i="2"/>
  <c r="J1013" i="2"/>
  <c r="V1013" i="2"/>
  <c r="AA1013" i="2"/>
  <c r="X1013" i="2"/>
  <c r="Z1013" i="2"/>
  <c r="AF1013" i="2"/>
  <c r="AM1013" i="2"/>
  <c r="AL1013" i="2"/>
  <c r="AT1013" i="2"/>
  <c r="BA1013" i="2"/>
  <c r="BC1013" i="2"/>
  <c r="AZ1013" i="2"/>
  <c r="BB1013" i="2"/>
  <c r="D1014" i="2"/>
  <c r="K1014" i="2"/>
  <c r="H1014" i="2"/>
  <c r="M1014" i="2"/>
  <c r="J1014" i="2"/>
  <c r="V1014" i="2"/>
  <c r="AA1014" i="2"/>
  <c r="X1014" i="2"/>
  <c r="Z1014" i="2"/>
  <c r="AF1014" i="2"/>
  <c r="AM1014" i="2"/>
  <c r="AJ1014" i="2"/>
  <c r="AO1014" i="2"/>
  <c r="AL1014" i="2"/>
  <c r="AT1014" i="2"/>
  <c r="BA1014" i="2"/>
  <c r="AX1014" i="2"/>
  <c r="BC1014" i="2"/>
  <c r="AZ1014" i="2"/>
  <c r="BB1014" i="2"/>
  <c r="D1015" i="2"/>
  <c r="H1015" i="2"/>
  <c r="M1015" i="2"/>
  <c r="J1015" i="2"/>
  <c r="X1015" i="2"/>
  <c r="Z1015" i="2"/>
  <c r="AF1015" i="2"/>
  <c r="AM1015" i="2"/>
  <c r="AJ1015" i="2"/>
  <c r="AO1015" i="2"/>
  <c r="AL1015" i="2"/>
  <c r="AX1015" i="2"/>
  <c r="BC1015" i="2"/>
  <c r="AZ1015" i="2"/>
  <c r="BB1015" i="2"/>
  <c r="H1016" i="2"/>
  <c r="M1016" i="2"/>
  <c r="J1016" i="2"/>
  <c r="X1016" i="2"/>
  <c r="Y1016" i="2"/>
  <c r="Z1016" i="2"/>
  <c r="AF1016" i="2"/>
  <c r="AM1016" i="2"/>
  <c r="AJ1016" i="2"/>
  <c r="AO1016" i="2"/>
  <c r="AL1016" i="2"/>
  <c r="AZ1016" i="2"/>
  <c r="BB1016" i="2"/>
  <c r="J1029" i="2"/>
  <c r="K1029" i="2"/>
  <c r="X1029" i="2"/>
  <c r="Y1029" i="2"/>
  <c r="AL1029" i="2"/>
  <c r="AM1029" i="2"/>
  <c r="AZ1029" i="2"/>
  <c r="BA1029" i="2"/>
  <c r="J1030" i="2"/>
  <c r="K1030" i="2"/>
  <c r="X1030" i="2"/>
  <c r="Y1030" i="2"/>
  <c r="AL1030" i="2"/>
  <c r="AM1030" i="2"/>
  <c r="AZ1030" i="2"/>
  <c r="BA1030" i="2"/>
  <c r="J1031" i="2"/>
  <c r="K1031" i="2"/>
  <c r="X1031" i="2"/>
  <c r="Y1031" i="2"/>
  <c r="AL1031" i="2"/>
  <c r="AM1031" i="2"/>
  <c r="AZ1031" i="2"/>
  <c r="BA1031" i="2"/>
  <c r="J1032" i="2"/>
  <c r="K1032" i="2"/>
  <c r="X1032" i="2"/>
  <c r="Y1032" i="2"/>
  <c r="AL1032" i="2"/>
  <c r="AM1032" i="2"/>
  <c r="AZ1032" i="2"/>
  <c r="BA1032" i="2"/>
  <c r="CB951" i="2"/>
  <c r="BW1024" i="2"/>
  <c r="CK1024" i="2"/>
  <c r="K1015" i="2"/>
  <c r="B935" i="2"/>
  <c r="K933" i="2"/>
  <c r="L933" i="2"/>
  <c r="L937" i="2"/>
  <c r="CY1024" i="2"/>
  <c r="DM1024" i="2"/>
  <c r="R1024" i="2"/>
  <c r="AF1024" i="2"/>
  <c r="AT1024" i="2"/>
  <c r="D1024" i="2"/>
  <c r="K932" i="2"/>
  <c r="L936" i="2"/>
  <c r="L932" i="2"/>
  <c r="K935" i="2"/>
  <c r="L935" i="2"/>
  <c r="L931" i="2"/>
  <c r="L934" i="2"/>
  <c r="L938" i="2"/>
  <c r="AU933" i="2"/>
  <c r="AV933" i="2"/>
  <c r="AW933" i="2"/>
  <c r="Y969" i="2"/>
  <c r="Z677" i="2"/>
  <c r="AA677" i="2"/>
  <c r="AM895" i="2"/>
  <c r="BA821" i="2"/>
  <c r="BB821" i="2"/>
  <c r="Y1002" i="2"/>
  <c r="AN824" i="2"/>
  <c r="AO824" i="2"/>
  <c r="AF662" i="2"/>
  <c r="AN612" i="2"/>
  <c r="AA619" i="2"/>
  <c r="BA601" i="2"/>
  <c r="BA605" i="2"/>
  <c r="BB605" i="2"/>
  <c r="BC605" i="2"/>
  <c r="BB601" i="2"/>
  <c r="BA602" i="2"/>
  <c r="CD598" i="2"/>
  <c r="CD599" i="2"/>
  <c r="BA525" i="2"/>
  <c r="K525" i="2"/>
  <c r="AA673" i="2"/>
  <c r="BR156" i="2"/>
  <c r="BR157" i="2"/>
  <c r="AF511" i="2"/>
  <c r="AM455" i="2"/>
  <c r="AM459" i="2"/>
  <c r="AN459" i="2"/>
  <c r="AO459" i="2"/>
  <c r="Y451" i="2"/>
  <c r="AX290" i="2"/>
  <c r="M823" i="2"/>
  <c r="AM674" i="2"/>
  <c r="BB453" i="2"/>
  <c r="BC453" i="2"/>
  <c r="AA627" i="2"/>
  <c r="K899" i="2"/>
  <c r="AX809" i="2"/>
  <c r="BC789" i="2"/>
  <c r="CY355" i="2"/>
  <c r="CD747" i="2"/>
  <c r="CS226" i="2"/>
  <c r="CT226" i="2"/>
  <c r="CR227" i="2"/>
  <c r="BW228" i="2"/>
  <c r="BW229" i="2"/>
  <c r="BP259" i="2"/>
  <c r="BQ259" i="2"/>
  <c r="BR259" i="2"/>
  <c r="BB832" i="2"/>
  <c r="BC832" i="2"/>
  <c r="AA749" i="2"/>
  <c r="Z680" i="2"/>
  <c r="AA680" i="2"/>
  <c r="DG596" i="2"/>
  <c r="DH596" i="2"/>
  <c r="Z455" i="2"/>
  <c r="AA455" i="2"/>
  <c r="CE598" i="2"/>
  <c r="CF598" i="2"/>
  <c r="Z823" i="2"/>
  <c r="DT598" i="2"/>
  <c r="DU598" i="2"/>
  <c r="DV598" i="2"/>
  <c r="AX365" i="2"/>
  <c r="Z684" i="2"/>
  <c r="AF809" i="2"/>
  <c r="M969" i="2"/>
  <c r="BA461" i="2"/>
  <c r="Y822" i="2"/>
  <c r="Y826" i="2"/>
  <c r="Z826" i="2"/>
  <c r="AA826" i="2"/>
  <c r="Y830" i="2"/>
  <c r="Z830" i="2"/>
  <c r="AA830" i="2"/>
  <c r="BC748" i="2"/>
  <c r="K605" i="2"/>
  <c r="D661" i="2"/>
  <c r="BB910" i="2"/>
  <c r="BC910" i="2"/>
  <c r="BC920" i="2"/>
  <c r="R513" i="2"/>
  <c r="U513" i="2"/>
  <c r="BB243" i="2"/>
  <c r="R956" i="2"/>
  <c r="AJ881" i="2"/>
  <c r="D955" i="2"/>
  <c r="AA837" i="2"/>
  <c r="Z689" i="2"/>
  <c r="AA689" i="2"/>
  <c r="DU374" i="2"/>
  <c r="DV374" i="2"/>
  <c r="B413" i="2"/>
  <c r="K377" i="2"/>
  <c r="K381" i="2"/>
  <c r="L381" i="2"/>
  <c r="M381" i="2"/>
  <c r="D437" i="2"/>
  <c r="Z971" i="2"/>
  <c r="CF749" i="2"/>
  <c r="AJ660" i="2"/>
  <c r="D512" i="2"/>
  <c r="AA897" i="2"/>
  <c r="Y901" i="2"/>
  <c r="M752" i="2"/>
  <c r="CK725" i="2"/>
  <c r="AF585" i="2"/>
  <c r="AF587" i="2"/>
  <c r="AA477" i="2"/>
  <c r="AM469" i="2"/>
  <c r="AN469" i="2"/>
  <c r="AO469" i="2"/>
  <c r="AT511" i="2"/>
  <c r="AO471" i="2"/>
  <c r="L403" i="2"/>
  <c r="M403" i="2"/>
  <c r="Z304" i="2"/>
  <c r="Y834" i="2"/>
  <c r="Y838" i="2"/>
  <c r="Y842" i="2"/>
  <c r="Z842" i="2"/>
  <c r="AA842" i="2"/>
  <c r="Z834" i="2"/>
  <c r="AA834" i="2"/>
  <c r="BC626" i="2"/>
  <c r="BI289" i="2"/>
  <c r="M616" i="2"/>
  <c r="Z525" i="2"/>
  <c r="AA525" i="2"/>
  <c r="BB457" i="2"/>
  <c r="BC457" i="2"/>
  <c r="Z389" i="2"/>
  <c r="AA389" i="2"/>
  <c r="Y312" i="2"/>
  <c r="K308" i="2"/>
  <c r="L308" i="2"/>
  <c r="M308" i="2"/>
  <c r="AA612" i="2"/>
  <c r="CE449" i="2"/>
  <c r="Y318" i="2"/>
  <c r="Y322" i="2"/>
  <c r="Y326" i="2"/>
  <c r="Z326" i="2"/>
  <c r="AA326" i="2"/>
  <c r="CD153" i="2"/>
  <c r="CD154" i="2"/>
  <c r="CE153" i="2"/>
  <c r="CF153" i="2"/>
  <c r="CE152" i="2"/>
  <c r="CF152" i="2"/>
  <c r="DU894" i="2"/>
  <c r="DV894" i="2"/>
  <c r="BB692" i="2"/>
  <c r="BC692" i="2"/>
  <c r="DG597" i="2"/>
  <c r="DH597" i="2"/>
  <c r="BP241" i="2"/>
  <c r="L749" i="2"/>
  <c r="Y604" i="2"/>
  <c r="Y608" i="2"/>
  <c r="Z608" i="2"/>
  <c r="AA608" i="2"/>
  <c r="DG448" i="2"/>
  <c r="Y485" i="2"/>
  <c r="Z485" i="2"/>
  <c r="AA485" i="2"/>
  <c r="AM307" i="2"/>
  <c r="AN303" i="2"/>
  <c r="AO303" i="2"/>
  <c r="R588" i="2"/>
  <c r="Y380" i="2"/>
  <c r="Y384" i="2"/>
  <c r="Z380" i="2"/>
  <c r="BP256" i="2"/>
  <c r="BQ256" i="2"/>
  <c r="BR256" i="2"/>
  <c r="BB358" i="2"/>
  <c r="BB230" i="2"/>
  <c r="BC230" i="2"/>
  <c r="Z459" i="2"/>
  <c r="AA459" i="2"/>
  <c r="BA308" i="2"/>
  <c r="BB308" i="2"/>
  <c r="BC308" i="2"/>
  <c r="DG300" i="2"/>
  <c r="CD228" i="2"/>
  <c r="BA238" i="2"/>
  <c r="BB238" i="2"/>
  <c r="BC238" i="2"/>
  <c r="BA242" i="2"/>
  <c r="BB242" i="2"/>
  <c r="AM382" i="2"/>
  <c r="BB304" i="2"/>
  <c r="BC304" i="2"/>
  <c r="Y457" i="2"/>
  <c r="Y461" i="2"/>
  <c r="Y465" i="2"/>
  <c r="Z457" i="2"/>
  <c r="Y397" i="2"/>
  <c r="BB234" i="2"/>
  <c r="BC234" i="2"/>
  <c r="BQ252" i="2"/>
  <c r="BR252" i="2"/>
  <c r="AF440" i="2"/>
  <c r="AM312" i="2"/>
  <c r="AN312" i="2"/>
  <c r="AO312" i="2"/>
  <c r="BR179" i="2"/>
  <c r="AA497" i="2"/>
  <c r="V513" i="2"/>
  <c r="M971" i="2"/>
  <c r="V934" i="2"/>
  <c r="Z753" i="2"/>
  <c r="Y757" i="2"/>
  <c r="Y761" i="2"/>
  <c r="Z761" i="2"/>
  <c r="AA761" i="2"/>
  <c r="AN544" i="2"/>
  <c r="AO544" i="2"/>
  <c r="AF884" i="2"/>
  <c r="R884" i="2"/>
  <c r="DG744" i="2"/>
  <c r="DH744" i="2"/>
  <c r="AJ734" i="2"/>
  <c r="Z529" i="2"/>
  <c r="AA529" i="2"/>
  <c r="AO676" i="2"/>
  <c r="Y784" i="2"/>
  <c r="AN703" i="2"/>
  <c r="AO703" i="2"/>
  <c r="V438" i="2"/>
  <c r="Z990" i="2"/>
  <c r="H955" i="2"/>
  <c r="DU745" i="2"/>
  <c r="DV745" i="2"/>
  <c r="BB932" i="2"/>
  <c r="CS966" i="2"/>
  <c r="CT966" i="2"/>
  <c r="CR967" i="2"/>
  <c r="CR968" i="2"/>
  <c r="CS968" i="2"/>
  <c r="CT968" i="2"/>
  <c r="L706" i="2"/>
  <c r="M706" i="2"/>
  <c r="BA394" i="2"/>
  <c r="BA382" i="2"/>
  <c r="B417" i="2"/>
  <c r="Z895" i="2"/>
  <c r="V932" i="2"/>
  <c r="W932" i="2"/>
  <c r="BA969" i="2"/>
  <c r="H881" i="2"/>
  <c r="R439" i="2"/>
  <c r="U439" i="2"/>
  <c r="V439" i="2"/>
  <c r="BB390" i="2"/>
  <c r="BC390" i="2"/>
  <c r="BC1002" i="2"/>
  <c r="Z896" i="2"/>
  <c r="BA914" i="2"/>
  <c r="D883" i="2"/>
  <c r="K827" i="2"/>
  <c r="K831" i="2"/>
  <c r="DF969" i="2"/>
  <c r="Z1002" i="2"/>
  <c r="AA1002" i="2"/>
  <c r="CK947" i="2"/>
  <c r="BA822" i="2"/>
  <c r="BA826" i="2"/>
  <c r="BB826" i="2"/>
  <c r="BC826" i="2"/>
  <c r="AO753" i="2"/>
  <c r="BW355" i="2"/>
  <c r="AG932" i="2"/>
  <c r="AH932" i="2"/>
  <c r="AI932" i="2"/>
  <c r="AN932" i="2"/>
  <c r="K897" i="2"/>
  <c r="Z827" i="2"/>
  <c r="AA827" i="2"/>
  <c r="AM823" i="2"/>
  <c r="AM827" i="2"/>
  <c r="DT747" i="2"/>
  <c r="AM675" i="2"/>
  <c r="AM679" i="2"/>
  <c r="AM683" i="2"/>
  <c r="AN683" i="2"/>
  <c r="AO683" i="2"/>
  <c r="CF448" i="2"/>
  <c r="AN378" i="2"/>
  <c r="AO378" i="2"/>
  <c r="AJ438" i="2"/>
  <c r="V882" i="2"/>
  <c r="L983" i="2"/>
  <c r="Z675" i="2"/>
  <c r="V735" i="2"/>
  <c r="CR671" i="2"/>
  <c r="CS671" i="2"/>
  <c r="Y679" i="2"/>
  <c r="Z679" i="2"/>
  <c r="CD897" i="2"/>
  <c r="V809" i="2"/>
  <c r="AA681" i="2"/>
  <c r="Z623" i="2"/>
  <c r="Y603" i="2"/>
  <c r="BB451" i="2"/>
  <c r="BC451" i="2"/>
  <c r="DV597" i="2"/>
  <c r="AM976" i="2"/>
  <c r="AF1032" i="2"/>
  <c r="DH892" i="2"/>
  <c r="AT1031" i="2"/>
  <c r="H585" i="2"/>
  <c r="AA306" i="2"/>
  <c r="R1030" i="2"/>
  <c r="DT896" i="2"/>
  <c r="DU896" i="2"/>
  <c r="AA833" i="2"/>
  <c r="Y751" i="2"/>
  <c r="CD671" i="2"/>
  <c r="DT524" i="2"/>
  <c r="BA599" i="2"/>
  <c r="BA603" i="2"/>
  <c r="BA607" i="2"/>
  <c r="BB607" i="2"/>
  <c r="BC607" i="2"/>
  <c r="AM601" i="2"/>
  <c r="AX512" i="2"/>
  <c r="AM381" i="2"/>
  <c r="AM385" i="2"/>
  <c r="AM389" i="2"/>
  <c r="AF437" i="2"/>
  <c r="BA303" i="2"/>
  <c r="BA307" i="2"/>
  <c r="BA311" i="2"/>
  <c r="BB307" i="2"/>
  <c r="BC307" i="2"/>
  <c r="M999" i="2"/>
  <c r="T1021" i="2"/>
  <c r="Y821" i="2"/>
  <c r="D514" i="2"/>
  <c r="K458" i="2"/>
  <c r="L458" i="2"/>
  <c r="M458" i="2"/>
  <c r="K462" i="2"/>
  <c r="K466" i="2"/>
  <c r="K470" i="2"/>
  <c r="AO377" i="2"/>
  <c r="AN972" i="2"/>
  <c r="AO972" i="2"/>
  <c r="CR895" i="2"/>
  <c r="CR896" i="2"/>
  <c r="AM470" i="2"/>
  <c r="AF514" i="2"/>
  <c r="R512" i="2"/>
  <c r="D513" i="2"/>
  <c r="K457" i="2"/>
  <c r="L457" i="2"/>
  <c r="M457" i="2"/>
  <c r="R215" i="2"/>
  <c r="V215" i="2"/>
  <c r="L835" i="2"/>
  <c r="AT735" i="2"/>
  <c r="Y601" i="2"/>
  <c r="AO461" i="2"/>
  <c r="H437" i="2"/>
  <c r="AA304" i="2"/>
  <c r="AN304" i="2"/>
  <c r="AO304" i="2"/>
  <c r="AO749" i="2"/>
  <c r="V807" i="2"/>
  <c r="AO822" i="2"/>
  <c r="L747" i="2"/>
  <c r="M747" i="2"/>
  <c r="Z705" i="2"/>
  <c r="AA705" i="2"/>
  <c r="AN451" i="2"/>
  <c r="AO451" i="2"/>
  <c r="M378" i="2"/>
  <c r="Z322" i="2"/>
  <c r="DU302" i="2"/>
  <c r="DV302" i="2"/>
  <c r="DT303" i="2"/>
  <c r="DU303" i="2"/>
  <c r="DV303" i="2"/>
  <c r="AF931" i="2"/>
  <c r="CR819" i="2"/>
  <c r="CR820" i="2"/>
  <c r="CS818" i="2"/>
  <c r="AA971" i="2"/>
  <c r="AN823" i="2"/>
  <c r="AO823" i="2"/>
  <c r="Z676" i="2"/>
  <c r="AA676" i="2"/>
  <c r="AO684" i="2"/>
  <c r="BB603" i="2"/>
  <c r="BC603" i="2"/>
  <c r="AN452" i="2"/>
  <c r="AO452" i="2"/>
  <c r="AJ512" i="2"/>
  <c r="H440" i="2"/>
  <c r="AO306" i="2"/>
  <c r="DG302" i="2"/>
  <c r="DH302" i="2"/>
  <c r="M991" i="2"/>
  <c r="AM973" i="2"/>
  <c r="AM977" i="2"/>
  <c r="CE894" i="2"/>
  <c r="B759" i="2"/>
  <c r="AJ661" i="2"/>
  <c r="Y463" i="2"/>
  <c r="Z463" i="2"/>
  <c r="AA463" i="2"/>
  <c r="DG303" i="2"/>
  <c r="DH303" i="2"/>
  <c r="DF304" i="2"/>
  <c r="DF305" i="2"/>
  <c r="DG305" i="2"/>
  <c r="DH305" i="2"/>
  <c r="K314" i="2"/>
  <c r="Z748" i="2"/>
  <c r="AA748" i="2"/>
  <c r="AM600" i="2"/>
  <c r="BA459" i="2"/>
  <c r="BA463" i="2"/>
  <c r="BB463" i="2"/>
  <c r="BC463" i="2"/>
  <c r="AM460" i="2"/>
  <c r="AN460" i="2"/>
  <c r="AN324" i="2"/>
  <c r="AO324" i="2"/>
  <c r="CF226" i="2"/>
  <c r="BC267" i="2"/>
  <c r="AX291" i="2"/>
  <c r="Z986" i="2"/>
  <c r="AA986" i="2"/>
  <c r="AM821" i="2"/>
  <c r="AN821" i="2"/>
  <c r="H809" i="2"/>
  <c r="AN616" i="2"/>
  <c r="AO616" i="2"/>
  <c r="CD301" i="2"/>
  <c r="CE300" i="2"/>
  <c r="AA679" i="2"/>
  <c r="BB630" i="2"/>
  <c r="BC630" i="2"/>
  <c r="AO537" i="2"/>
  <c r="CR449" i="2"/>
  <c r="K467" i="2"/>
  <c r="DU375" i="2"/>
  <c r="DT376" i="2"/>
  <c r="AN230" i="2"/>
  <c r="BR181" i="2"/>
  <c r="Y828" i="2"/>
  <c r="AN525" i="2"/>
  <c r="AO525" i="2"/>
  <c r="AM552" i="2"/>
  <c r="AM556" i="2"/>
  <c r="AM560" i="2"/>
  <c r="AN548" i="2"/>
  <c r="AN466" i="2"/>
  <c r="AO466" i="2"/>
  <c r="BA306" i="2"/>
  <c r="BB254" i="2"/>
  <c r="BC254" i="2"/>
  <c r="Z901" i="2"/>
  <c r="AA901" i="2"/>
  <c r="AJ1029" i="2"/>
  <c r="Z379" i="2"/>
  <c r="Y377" i="2"/>
  <c r="Y381" i="2"/>
  <c r="AA305" i="2"/>
  <c r="Z235" i="2"/>
  <c r="AM992" i="2"/>
  <c r="L824" i="2"/>
  <c r="Z841" i="2"/>
  <c r="AA841" i="2"/>
  <c r="Z599" i="2"/>
  <c r="AA599" i="2"/>
  <c r="V364" i="2"/>
  <c r="D215" i="2"/>
  <c r="D218" i="2"/>
  <c r="V216" i="2"/>
  <c r="AM832" i="2"/>
  <c r="AM836" i="2"/>
  <c r="AM532" i="2"/>
  <c r="AN532" i="2"/>
  <c r="Z451" i="2"/>
  <c r="BA380" i="2"/>
  <c r="BB380" i="2"/>
  <c r="BC380" i="2"/>
  <c r="BA384" i="2"/>
  <c r="BB384" i="2"/>
  <c r="BA388" i="2"/>
  <c r="AT440" i="2"/>
  <c r="AW440" i="2"/>
  <c r="BB312" i="2"/>
  <c r="AF366" i="2"/>
  <c r="R366" i="2"/>
  <c r="Y338" i="2"/>
  <c r="R365" i="2"/>
  <c r="Y309" i="2"/>
  <c r="BB459" i="2"/>
  <c r="BC459" i="2"/>
  <c r="AJ439" i="2"/>
  <c r="BA379" i="2"/>
  <c r="AT364" i="2"/>
  <c r="L260" i="2"/>
  <c r="M260" i="2"/>
  <c r="BP235" i="2"/>
  <c r="BI281" i="2"/>
  <c r="AO465" i="2"/>
  <c r="K452" i="2"/>
  <c r="K456" i="2"/>
  <c r="M395" i="2"/>
  <c r="CS374" i="2"/>
  <c r="B377" i="2"/>
  <c r="K380" i="2"/>
  <c r="DG226" i="2"/>
  <c r="DF227" i="2"/>
  <c r="BA229" i="2"/>
  <c r="K229" i="2"/>
  <c r="K233" i="2"/>
  <c r="AM234" i="2"/>
  <c r="AM238" i="2"/>
  <c r="AN238" i="2"/>
  <c r="AO238" i="2"/>
  <c r="EA281" i="2"/>
  <c r="BA377" i="2"/>
  <c r="BB377" i="2"/>
  <c r="BB309" i="2"/>
  <c r="V290" i="2"/>
  <c r="R216" i="2"/>
  <c r="BB599" i="2"/>
  <c r="BC599" i="2"/>
  <c r="AF291" i="2"/>
  <c r="DU226" i="2"/>
  <c r="DT227" i="2"/>
  <c r="R281" i="2"/>
  <c r="K411" i="2"/>
  <c r="K415" i="2"/>
  <c r="L415" i="2"/>
  <c r="M415" i="2"/>
  <c r="Z303" i="2"/>
  <c r="DV153" i="2"/>
  <c r="AN456" i="2"/>
  <c r="AO456" i="2"/>
  <c r="AT513" i="2"/>
  <c r="CD375" i="2"/>
  <c r="CE375" i="2"/>
  <c r="CE374" i="2"/>
  <c r="V363" i="2"/>
  <c r="EA355" i="2"/>
  <c r="EA284" i="2"/>
  <c r="AM305" i="2"/>
  <c r="AN381" i="2"/>
  <c r="AO381" i="2"/>
  <c r="CY429" i="2"/>
  <c r="L306" i="2"/>
  <c r="Z318" i="2"/>
  <c r="AA318" i="2"/>
  <c r="AM311" i="2"/>
  <c r="BQ250" i="2"/>
  <c r="AF215" i="2"/>
  <c r="DU301" i="2"/>
  <c r="BP232" i="2"/>
  <c r="BI291" i="2"/>
  <c r="BB305" i="2"/>
  <c r="Y229" i="2"/>
  <c r="Y233" i="2"/>
  <c r="BM290" i="2"/>
  <c r="AA314" i="2"/>
  <c r="D292" i="2"/>
  <c r="K232" i="2"/>
  <c r="B233" i="2"/>
  <c r="AJ217" i="2"/>
  <c r="AF438" i="2"/>
  <c r="AI438" i="2"/>
  <c r="AT290" i="2"/>
  <c r="AW290" i="2"/>
  <c r="BB250" i="2"/>
  <c r="BC250" i="2"/>
  <c r="Y239" i="2"/>
  <c r="Y243" i="2"/>
  <c r="Y247" i="2"/>
  <c r="Z247" i="2"/>
  <c r="AA247" i="2"/>
  <c r="BI217" i="2"/>
  <c r="AN229" i="2"/>
  <c r="BP230" i="2"/>
  <c r="BI290" i="2"/>
  <c r="BL290" i="2"/>
  <c r="AN234" i="2"/>
  <c r="AO234" i="2"/>
  <c r="BR236" i="2"/>
  <c r="BM292" i="2"/>
  <c r="BP231" i="2"/>
  <c r="AM237" i="2"/>
  <c r="AN237" i="2"/>
  <c r="AO237" i="2"/>
  <c r="V292" i="2"/>
  <c r="R218" i="2"/>
  <c r="AN233" i="2"/>
  <c r="M186" i="2"/>
  <c r="AT215" i="2"/>
  <c r="BC242" i="2"/>
  <c r="BA246" i="2"/>
  <c r="BB246" i="2"/>
  <c r="AM474" i="2"/>
  <c r="AN474" i="2"/>
  <c r="AO474" i="2"/>
  <c r="AM478" i="2"/>
  <c r="AN479" i="2"/>
  <c r="AO479" i="2"/>
  <c r="Z822" i="2"/>
  <c r="AA822" i="2"/>
  <c r="AN674" i="2"/>
  <c r="AO674" i="2"/>
  <c r="AM678" i="2"/>
  <c r="AM682" i="2"/>
  <c r="DT599" i="2"/>
  <c r="BB303" i="2"/>
  <c r="AN382" i="2"/>
  <c r="AO382" i="2"/>
  <c r="BA233" i="2"/>
  <c r="BB233" i="2"/>
  <c r="BC233" i="2"/>
  <c r="BA237" i="2"/>
  <c r="BA241" i="2"/>
  <c r="BA245" i="2"/>
  <c r="AN675" i="2"/>
  <c r="AO821" i="2"/>
  <c r="E360" i="2"/>
  <c r="CD155" i="2"/>
  <c r="CE154" i="2"/>
  <c r="CF154" i="2"/>
  <c r="CT448" i="2"/>
  <c r="CT818" i="2"/>
  <c r="BC683" i="2"/>
  <c r="AM549" i="2"/>
  <c r="AM553" i="2"/>
  <c r="CS967" i="2"/>
  <c r="CT967" i="2"/>
  <c r="DF228" i="2"/>
  <c r="DF229" i="2"/>
  <c r="DG227" i="2"/>
  <c r="DH227" i="2"/>
  <c r="BC305" i="2"/>
  <c r="U364" i="2"/>
  <c r="AA451" i="2"/>
  <c r="BA381" i="2"/>
  <c r="BB381" i="2"/>
  <c r="BC381" i="2"/>
  <c r="K236" i="2"/>
  <c r="L232" i="2"/>
  <c r="CT152" i="2"/>
  <c r="AA934" i="2"/>
  <c r="W934" i="2"/>
  <c r="AB934" i="2"/>
  <c r="M467" i="2"/>
  <c r="BA398" i="2"/>
  <c r="BI283" i="2"/>
  <c r="Y984" i="2"/>
  <c r="Y988" i="2"/>
  <c r="BC377" i="2"/>
  <c r="EJ152" i="2"/>
  <c r="AM241" i="2"/>
  <c r="L411" i="2"/>
  <c r="M411" i="2"/>
  <c r="AN992" i="2"/>
  <c r="AO992" i="2"/>
  <c r="Y832" i="2"/>
  <c r="Y836" i="2"/>
  <c r="Z836" i="2"/>
  <c r="Z828" i="2"/>
  <c r="DG745" i="2"/>
  <c r="DH745" i="2"/>
  <c r="BB306" i="2"/>
  <c r="BC306" i="2"/>
  <c r="BA310" i="2"/>
  <c r="BA314" i="2"/>
  <c r="BA318" i="2"/>
  <c r="K318" i="2"/>
  <c r="L314" i="2"/>
  <c r="AM980" i="2"/>
  <c r="AN980" i="2"/>
  <c r="BB969" i="2"/>
  <c r="CR672" i="2"/>
  <c r="CS672" i="2"/>
  <c r="M306" i="2"/>
  <c r="AM309" i="2"/>
  <c r="AN309" i="2"/>
  <c r="AO309" i="2"/>
  <c r="AN305" i="2"/>
  <c r="CE819" i="2"/>
  <c r="CF819" i="2"/>
  <c r="CD820" i="2"/>
  <c r="EA356" i="2"/>
  <c r="EB356" i="2"/>
  <c r="BB379" i="2"/>
  <c r="M970" i="2"/>
  <c r="CE897" i="2"/>
  <c r="CF897" i="2"/>
  <c r="CD898" i="2"/>
  <c r="Z239" i="2"/>
  <c r="AA239" i="2"/>
  <c r="AA385" i="2"/>
  <c r="Z381" i="2"/>
  <c r="AA381" i="2"/>
  <c r="Y606" i="2"/>
  <c r="Y610" i="2"/>
  <c r="Z610" i="2"/>
  <c r="AA610" i="2"/>
  <c r="DT304" i="2"/>
  <c r="CD970" i="2"/>
  <c r="CD971" i="2"/>
  <c r="CF374" i="2"/>
  <c r="AN311" i="2"/>
  <c r="AO311" i="2"/>
  <c r="AM315" i="2"/>
  <c r="CF375" i="2"/>
  <c r="CD376" i="2"/>
  <c r="AA378" i="2"/>
  <c r="AM536" i="2"/>
  <c r="AO532" i="2"/>
  <c r="AA685" i="2"/>
  <c r="AA379" i="2"/>
  <c r="CD302" i="2"/>
  <c r="CE302" i="2"/>
  <c r="CE301" i="2"/>
  <c r="CF301" i="2"/>
  <c r="AN973" i="2"/>
  <c r="AO973" i="2"/>
  <c r="Y931" i="2"/>
  <c r="S931" i="2"/>
  <c r="T931" i="2"/>
  <c r="U931" i="2"/>
  <c r="DG304" i="2"/>
  <c r="CF894" i="2"/>
  <c r="CS597" i="2"/>
  <c r="CT597" i="2"/>
  <c r="CR598" i="2"/>
  <c r="CS598" i="2"/>
  <c r="AB932" i="2"/>
  <c r="AA932" i="2"/>
  <c r="V956" i="2"/>
  <c r="M895" i="2"/>
  <c r="CT596" i="2"/>
  <c r="BB914" i="2"/>
  <c r="BC914" i="2"/>
  <c r="AO757" i="2"/>
  <c r="CS895" i="2"/>
  <c r="CT895" i="2"/>
  <c r="DT897" i="2"/>
  <c r="AJ932" i="2"/>
  <c r="AO932" i="2"/>
  <c r="BW357" i="2"/>
  <c r="BW284" i="2"/>
  <c r="BW356" i="2"/>
  <c r="BX356" i="2"/>
  <c r="Y825" i="2"/>
  <c r="AN385" i="2"/>
  <c r="AO385" i="2"/>
  <c r="DT748" i="2"/>
  <c r="L470" i="2"/>
  <c r="M470" i="2"/>
  <c r="K474" i="2"/>
  <c r="K478" i="2"/>
  <c r="K482" i="2"/>
  <c r="K486" i="2"/>
  <c r="Z384" i="2"/>
  <c r="AA384" i="2"/>
  <c r="AN464" i="2"/>
  <c r="AO464" i="2"/>
  <c r="AN678" i="2"/>
  <c r="AO678" i="2"/>
  <c r="AA602" i="2"/>
  <c r="AK932" i="2"/>
  <c r="AP932" i="2"/>
  <c r="DV896" i="2"/>
  <c r="CR897" i="2"/>
  <c r="DG746" i="2"/>
  <c r="DH746" i="2"/>
  <c r="AM322" i="2"/>
  <c r="AM326" i="2"/>
  <c r="AM981" i="2"/>
  <c r="DG228" i="2"/>
  <c r="DH228" i="2"/>
  <c r="AN389" i="2"/>
  <c r="AM393" i="2"/>
  <c r="AN393" i="2"/>
  <c r="AO393" i="2"/>
  <c r="CT672" i="2"/>
  <c r="BB237" i="2"/>
  <c r="BC237" i="2"/>
  <c r="M902" i="2"/>
  <c r="Z849" i="2"/>
  <c r="CE970" i="2"/>
  <c r="CF970" i="2"/>
  <c r="K240" i="2"/>
  <c r="L240" i="2"/>
  <c r="M240" i="2"/>
  <c r="L236" i="2"/>
  <c r="CR599" i="2"/>
  <c r="CS599" i="2"/>
  <c r="CT599" i="2"/>
  <c r="DH304" i="2"/>
  <c r="DH154" i="2"/>
  <c r="AO601" i="2"/>
  <c r="CD303" i="2"/>
  <c r="BB310" i="2"/>
  <c r="BC310" i="2"/>
  <c r="BA385" i="2"/>
  <c r="BA389" i="2"/>
  <c r="Z607" i="2"/>
  <c r="AA607" i="2"/>
  <c r="Y611" i="2"/>
  <c r="K460" i="2"/>
  <c r="L460" i="2"/>
  <c r="M460" i="2"/>
  <c r="Z243" i="2"/>
  <c r="AA243" i="2"/>
  <c r="BC379" i="2"/>
  <c r="M232" i="2"/>
  <c r="CR969" i="2"/>
  <c r="AM686" i="2"/>
  <c r="AN686" i="2"/>
  <c r="AO686" i="2"/>
  <c r="AM472" i="2"/>
  <c r="AM476" i="2"/>
  <c r="AN468" i="2"/>
  <c r="AO468" i="2"/>
  <c r="AO389" i="2"/>
  <c r="AM557" i="2"/>
  <c r="AN557" i="2"/>
  <c r="AO557" i="2"/>
  <c r="Y840" i="2"/>
  <c r="Y844" i="2"/>
  <c r="Z844" i="2"/>
  <c r="AA844" i="2"/>
  <c r="M168" i="2"/>
  <c r="AN326" i="2"/>
  <c r="AO326" i="2"/>
  <c r="AN322" i="2"/>
  <c r="AO322" i="2"/>
  <c r="K464" i="2"/>
  <c r="K468" i="2"/>
  <c r="L468" i="2"/>
  <c r="M468" i="2"/>
  <c r="CF302" i="2"/>
  <c r="Y251" i="2"/>
  <c r="Y614" i="2"/>
  <c r="Y618" i="2"/>
  <c r="CT598" i="2"/>
  <c r="AM397" i="2"/>
  <c r="AN472" i="2"/>
  <c r="AO472" i="2"/>
  <c r="Z840" i="2"/>
  <c r="AA840" i="2"/>
  <c r="BB318" i="2"/>
  <c r="BC318" i="2"/>
  <c r="BA322" i="2"/>
  <c r="BA326" i="2"/>
  <c r="BB326" i="2"/>
  <c r="BC326" i="2"/>
  <c r="AM401" i="2"/>
  <c r="AA836" i="2"/>
  <c r="M182" i="2"/>
  <c r="K472" i="2"/>
  <c r="DR211" i="2"/>
  <c r="AF218" i="2"/>
  <c r="AO158" i="2"/>
  <c r="BC155" i="2"/>
  <c r="AA158" i="2"/>
  <c r="AA155" i="2"/>
  <c r="BR155" i="2"/>
  <c r="AT218" i="2"/>
  <c r="R217" i="2"/>
  <c r="BI216" i="2"/>
  <c r="EA133" i="2"/>
  <c r="BC119" i="2"/>
  <c r="BA119" i="2"/>
  <c r="CE5" i="2"/>
  <c r="CF5" i="2"/>
  <c r="R69" i="2"/>
  <c r="K13" i="2"/>
  <c r="DM59" i="2"/>
  <c r="K14" i="2"/>
  <c r="L14" i="2"/>
  <c r="M14" i="2"/>
  <c r="L530" i="2"/>
  <c r="M530" i="2"/>
  <c r="K534" i="2"/>
  <c r="BC821" i="2"/>
  <c r="CT600" i="2"/>
  <c r="AI291" i="2"/>
  <c r="AO560" i="2"/>
  <c r="AN560" i="2"/>
  <c r="AN553" i="2"/>
  <c r="AO553" i="2"/>
  <c r="BC545" i="2"/>
  <c r="BB545" i="2"/>
  <c r="AX586" i="2"/>
  <c r="Z530" i="2"/>
  <c r="AA530" i="2"/>
  <c r="Y534" i="2"/>
  <c r="V588" i="2"/>
  <c r="U588" i="2"/>
  <c r="H587" i="2"/>
  <c r="AT355" i="2"/>
  <c r="AF62" i="2"/>
  <c r="AF135" i="2"/>
  <c r="AF134" i="2"/>
  <c r="AG134" i="2"/>
  <c r="AF441" i="2"/>
  <c r="CT892" i="2"/>
  <c r="CY873" i="2"/>
  <c r="D881" i="2"/>
  <c r="D873" i="2"/>
  <c r="B821" i="2"/>
  <c r="K821" i="2"/>
  <c r="AN705" i="2"/>
  <c r="AO705" i="2"/>
  <c r="AN556" i="2"/>
  <c r="AO556" i="2"/>
  <c r="AN549" i="2"/>
  <c r="AO549" i="2"/>
  <c r="BB316" i="2"/>
  <c r="BC316" i="2"/>
  <c r="BA320" i="2"/>
  <c r="AF141" i="2"/>
  <c r="AM81" i="2"/>
  <c r="AN81" i="2"/>
  <c r="AM480" i="2"/>
  <c r="AN476" i="2"/>
  <c r="AO476" i="2"/>
  <c r="BA313" i="2"/>
  <c r="AA896" i="2"/>
  <c r="CA1021" i="2"/>
  <c r="CE966" i="2"/>
  <c r="AO921" i="2"/>
  <c r="BC823" i="2"/>
  <c r="AF882" i="2"/>
  <c r="AM826" i="2"/>
  <c r="K832" i="2"/>
  <c r="D884" i="2"/>
  <c r="G884" i="2"/>
  <c r="AN552" i="2"/>
  <c r="AO552" i="2"/>
  <c r="AJ588" i="2"/>
  <c r="AN545" i="2"/>
  <c r="AO545" i="2"/>
  <c r="AJ586" i="2"/>
  <c r="AX588" i="2"/>
  <c r="V365" i="2"/>
  <c r="AT365" i="2"/>
  <c r="AW365" i="2"/>
  <c r="BW1021" i="2"/>
  <c r="B837" i="2"/>
  <c r="DM799" i="2"/>
  <c r="CY799" i="2"/>
  <c r="AN536" i="2"/>
  <c r="AO536" i="2"/>
  <c r="AM540" i="2"/>
  <c r="AN540" i="2"/>
  <c r="AO540" i="2"/>
  <c r="AO750" i="2"/>
  <c r="BA756" i="2"/>
  <c r="BA760" i="2"/>
  <c r="K175" i="2"/>
  <c r="K179" i="2"/>
  <c r="L179" i="2"/>
  <c r="M179" i="2"/>
  <c r="L171" i="2"/>
  <c r="M171" i="2"/>
  <c r="DM61" i="2"/>
  <c r="DM60" i="2"/>
  <c r="DN60" i="2"/>
  <c r="AT70" i="2"/>
  <c r="AN401" i="2"/>
  <c r="AO401" i="2"/>
  <c r="AM405" i="2"/>
  <c r="CD821" i="2"/>
  <c r="CE820" i="2"/>
  <c r="CF820" i="2"/>
  <c r="DU599" i="2"/>
  <c r="DV599" i="2"/>
  <c r="DT600" i="2"/>
  <c r="CT374" i="2"/>
  <c r="H807" i="2"/>
  <c r="AX933" i="2"/>
  <c r="BB933" i="2"/>
  <c r="L995" i="2"/>
  <c r="M995" i="2"/>
  <c r="AN984" i="2"/>
  <c r="AO984" i="2"/>
  <c r="AJ1032" i="2"/>
  <c r="AN977" i="2"/>
  <c r="AO977" i="2"/>
  <c r="AM617" i="2"/>
  <c r="B615" i="2"/>
  <c r="AF661" i="2"/>
  <c r="AI661" i="2"/>
  <c r="AM605" i="2"/>
  <c r="Y645" i="2"/>
  <c r="R661" i="2"/>
  <c r="R662" i="2"/>
  <c r="Y622" i="2"/>
  <c r="Y626" i="2"/>
  <c r="B619" i="2"/>
  <c r="BM215" i="2"/>
  <c r="BQ163" i="2"/>
  <c r="L478" i="2"/>
  <c r="M478" i="2"/>
  <c r="AN241" i="2"/>
  <c r="AM245" i="2"/>
  <c r="AN245" i="2"/>
  <c r="AO245" i="2"/>
  <c r="AU1031" i="2"/>
  <c r="AW1031" i="2"/>
  <c r="AF958" i="2"/>
  <c r="AF947" i="2"/>
  <c r="AM902" i="2"/>
  <c r="BA604" i="2"/>
  <c r="BB600" i="2"/>
  <c r="AM628" i="2"/>
  <c r="AN628" i="2"/>
  <c r="AO628" i="2"/>
  <c r="AF660" i="2"/>
  <c r="AI660" i="2"/>
  <c r="AM604" i="2"/>
  <c r="AM608" i="2"/>
  <c r="B603" i="2"/>
  <c r="CK282" i="2"/>
  <c r="CL282" i="2"/>
  <c r="CK210" i="2"/>
  <c r="CK283" i="2"/>
  <c r="L92" i="2"/>
  <c r="M92" i="2"/>
  <c r="D143" i="2"/>
  <c r="D133" i="2"/>
  <c r="K83" i="2"/>
  <c r="CY358" i="2"/>
  <c r="CY430" i="2"/>
  <c r="CZ430" i="2"/>
  <c r="CY431" i="2"/>
  <c r="Z970" i="2"/>
  <c r="AA970" i="2"/>
  <c r="V1021" i="2"/>
  <c r="V1030" i="2"/>
  <c r="AN983" i="2"/>
  <c r="AO983" i="2"/>
  <c r="AN895" i="2"/>
  <c r="AN898" i="2"/>
  <c r="AO898" i="2"/>
  <c r="AM934" i="2"/>
  <c r="AG934" i="2"/>
  <c r="AH934" i="2"/>
  <c r="AI934" i="2"/>
  <c r="B907" i="2"/>
  <c r="AX735" i="2"/>
  <c r="AW735" i="2"/>
  <c r="BA753" i="2"/>
  <c r="BA757" i="2"/>
  <c r="AT809" i="2"/>
  <c r="AW809" i="2"/>
  <c r="B751" i="2"/>
  <c r="AT807" i="2"/>
  <c r="B545" i="2"/>
  <c r="EA62" i="2"/>
  <c r="EA135" i="2"/>
  <c r="EA134" i="2"/>
  <c r="EB134" i="2"/>
  <c r="CF79" i="2"/>
  <c r="H217" i="2"/>
  <c r="H219" i="2"/>
  <c r="DU897" i="2"/>
  <c r="DV897" i="2"/>
  <c r="DT898" i="2"/>
  <c r="Z931" i="2"/>
  <c r="V931" i="2"/>
  <c r="EA282" i="2"/>
  <c r="EB282" i="2"/>
  <c r="EA210" i="2"/>
  <c r="EA283" i="2"/>
  <c r="D1021" i="2"/>
  <c r="Y401" i="2"/>
  <c r="Z397" i="2"/>
  <c r="AA397" i="2"/>
  <c r="G955" i="2"/>
  <c r="AN933" i="2"/>
  <c r="AJ933" i="2"/>
  <c r="K756" i="2"/>
  <c r="D799" i="2"/>
  <c r="D808" i="2"/>
  <c r="G808" i="2"/>
  <c r="AM748" i="2"/>
  <c r="AF799" i="2"/>
  <c r="B747" i="2"/>
  <c r="AF808" i="2"/>
  <c r="AT808" i="2"/>
  <c r="AW808" i="2"/>
  <c r="BC454" i="2"/>
  <c r="H588" i="2"/>
  <c r="CY503" i="2"/>
  <c r="CK503" i="2"/>
  <c r="BA452" i="2"/>
  <c r="AT503" i="2"/>
  <c r="B451" i="2"/>
  <c r="AT512" i="2"/>
  <c r="AN453" i="2"/>
  <c r="AM457" i="2"/>
  <c r="AN457" i="2"/>
  <c r="AO457" i="2"/>
  <c r="B479" i="2"/>
  <c r="Y467" i="2"/>
  <c r="B467" i="2"/>
  <c r="Y458" i="2"/>
  <c r="Z454" i="2"/>
  <c r="B471" i="2"/>
  <c r="K471" i="2"/>
  <c r="L471" i="2"/>
  <c r="M471" i="2"/>
  <c r="B459" i="2"/>
  <c r="D511" i="2"/>
  <c r="Z465" i="2"/>
  <c r="AA465" i="2"/>
  <c r="Y469" i="2"/>
  <c r="BA825" i="2"/>
  <c r="BA918" i="2"/>
  <c r="BB918" i="2"/>
  <c r="BC918" i="2"/>
  <c r="AT958" i="2"/>
  <c r="BA897" i="2"/>
  <c r="AT957" i="2"/>
  <c r="M528" i="2"/>
  <c r="Y240" i="2"/>
  <c r="B237" i="2"/>
  <c r="R292" i="2"/>
  <c r="U292" i="2"/>
  <c r="AN478" i="2"/>
  <c r="AO478" i="2"/>
  <c r="AM482" i="2"/>
  <c r="Y255" i="2"/>
  <c r="Z251" i="2"/>
  <c r="AA251" i="2"/>
  <c r="DT305" i="2"/>
  <c r="DU305" i="2"/>
  <c r="DV305" i="2"/>
  <c r="DU304" i="2"/>
  <c r="DV304" i="2"/>
  <c r="BB388" i="2"/>
  <c r="BC388" i="2"/>
  <c r="BA392" i="2"/>
  <c r="BB392" i="2"/>
  <c r="BC392" i="2"/>
  <c r="L899" i="2"/>
  <c r="K903" i="2"/>
  <c r="L903" i="2"/>
  <c r="M903" i="2"/>
  <c r="Y615" i="2"/>
  <c r="Z615" i="2"/>
  <c r="AA615" i="2"/>
  <c r="Z611" i="2"/>
  <c r="AA611" i="2"/>
  <c r="BC384" i="2"/>
  <c r="AM833" i="2"/>
  <c r="AN833" i="2"/>
  <c r="AO833" i="2"/>
  <c r="AN829" i="2"/>
  <c r="AO829" i="2"/>
  <c r="K322" i="2"/>
  <c r="L318" i="2"/>
  <c r="M318" i="2"/>
  <c r="R210" i="2"/>
  <c r="R282" i="2"/>
  <c r="S282" i="2"/>
  <c r="R283" i="2"/>
  <c r="AJ885" i="2"/>
  <c r="F1021" i="2"/>
  <c r="Y765" i="2"/>
  <c r="R809" i="2"/>
  <c r="U809" i="2"/>
  <c r="R807" i="2"/>
  <c r="Y755" i="2"/>
  <c r="L461" i="2"/>
  <c r="M461" i="2"/>
  <c r="AN470" i="2"/>
  <c r="AO470" i="2"/>
  <c r="Y537" i="2"/>
  <c r="R585" i="2"/>
  <c r="B537" i="2"/>
  <c r="AM253" i="2"/>
  <c r="AF289" i="2"/>
  <c r="AM242" i="2"/>
  <c r="AF290" i="2"/>
  <c r="CE898" i="2"/>
  <c r="CF898" i="2"/>
  <c r="CD899" i="2"/>
  <c r="CE899" i="2"/>
  <c r="CF899" i="2"/>
  <c r="DT228" i="2"/>
  <c r="DU227" i="2"/>
  <c r="DV227" i="2"/>
  <c r="CD672" i="2"/>
  <c r="CE671" i="2"/>
  <c r="AA675" i="2"/>
  <c r="DV226" i="2"/>
  <c r="AA895" i="2"/>
  <c r="BB924" i="2"/>
  <c r="BC924" i="2"/>
  <c r="AX956" i="2"/>
  <c r="CF895" i="2"/>
  <c r="CA949" i="2"/>
  <c r="CB949" i="2"/>
  <c r="DM948" i="2"/>
  <c r="DN948" i="2"/>
  <c r="DM876" i="2"/>
  <c r="DM949" i="2"/>
  <c r="CY949" i="2"/>
  <c r="CY876" i="2"/>
  <c r="CY948" i="2"/>
  <c r="CZ948" i="2"/>
  <c r="Z526" i="2"/>
  <c r="BA553" i="2"/>
  <c r="BA531" i="2"/>
  <c r="BB531" i="2"/>
  <c r="AT587" i="2"/>
  <c r="AA453" i="2"/>
  <c r="AM335" i="2"/>
  <c r="AF363" i="2"/>
  <c r="AF355" i="2"/>
  <c r="AF365" i="2"/>
  <c r="B323" i="2"/>
  <c r="D364" i="2"/>
  <c r="G364" i="2"/>
  <c r="B311" i="2"/>
  <c r="K312" i="2"/>
  <c r="B253" i="2"/>
  <c r="D281" i="2"/>
  <c r="EI300" i="2"/>
  <c r="EH301" i="2"/>
  <c r="AN82" i="2"/>
  <c r="AM86" i="2"/>
  <c r="AN86" i="2"/>
  <c r="AO86" i="2"/>
  <c r="BI143" i="2"/>
  <c r="BL143" i="2"/>
  <c r="BP83" i="2"/>
  <c r="BQ83" i="2"/>
  <c r="BB389" i="2"/>
  <c r="BC389" i="2"/>
  <c r="BA393" i="2"/>
  <c r="BB398" i="2"/>
  <c r="BC398" i="2"/>
  <c r="BA402" i="2"/>
  <c r="AG1032" i="2"/>
  <c r="AI1032" i="2"/>
  <c r="CK876" i="2"/>
  <c r="CK948" i="2"/>
  <c r="CL948" i="2"/>
  <c r="CK949" i="2"/>
  <c r="H958" i="2"/>
  <c r="BA844" i="2"/>
  <c r="BA831" i="2"/>
  <c r="BB827" i="2"/>
  <c r="Y846" i="2"/>
  <c r="AN608" i="2"/>
  <c r="AO608" i="2"/>
  <c r="H663" i="2"/>
  <c r="L605" i="2"/>
  <c r="M605" i="2"/>
  <c r="AT659" i="2"/>
  <c r="BA611" i="2"/>
  <c r="B611" i="2"/>
  <c r="V587" i="2"/>
  <c r="DT449" i="2"/>
  <c r="DU448" i="2"/>
  <c r="V441" i="2"/>
  <c r="H68" i="2"/>
  <c r="AM931" i="2"/>
  <c r="AG931" i="2"/>
  <c r="AH931" i="2"/>
  <c r="AI931" i="2"/>
  <c r="Z995" i="2"/>
  <c r="AA995" i="2"/>
  <c r="AO980" i="2"/>
  <c r="L601" i="2"/>
  <c r="H661" i="2"/>
  <c r="AT662" i="2"/>
  <c r="AX514" i="2"/>
  <c r="AM316" i="2"/>
  <c r="AN316" i="2"/>
  <c r="AO316" i="2"/>
  <c r="AF364" i="2"/>
  <c r="AI364" i="2"/>
  <c r="AN168" i="2"/>
  <c r="AO168" i="2"/>
  <c r="AJ216" i="2"/>
  <c r="BA82" i="2"/>
  <c r="AT142" i="2"/>
  <c r="CE303" i="2"/>
  <c r="CF303" i="2"/>
  <c r="CD304" i="2"/>
  <c r="AN825" i="2"/>
  <c r="AF881" i="2"/>
  <c r="DF970" i="2"/>
  <c r="DG969" i="2"/>
  <c r="DH969" i="2"/>
  <c r="CK727" i="2"/>
  <c r="CK654" i="2"/>
  <c r="CK726" i="2"/>
  <c r="CL726" i="2"/>
  <c r="BA465" i="2"/>
  <c r="BB461" i="2"/>
  <c r="BC461" i="2"/>
  <c r="CD600" i="2"/>
  <c r="CE599" i="2"/>
  <c r="H1031" i="2"/>
  <c r="G1031" i="2"/>
  <c r="E1031" i="2"/>
  <c r="BB972" i="2"/>
  <c r="AX1032" i="2"/>
  <c r="R735" i="2"/>
  <c r="U735" i="2"/>
  <c r="B689" i="2"/>
  <c r="BA609" i="2"/>
  <c r="AT661" i="2"/>
  <c r="AW661" i="2"/>
  <c r="H586" i="2"/>
  <c r="H589" i="2"/>
  <c r="M526" i="2"/>
  <c r="L526" i="2"/>
  <c r="AO455" i="2"/>
  <c r="AJ511" i="2"/>
  <c r="AN455" i="2"/>
  <c r="DF450" i="2"/>
  <c r="DG449" i="2"/>
  <c r="BA396" i="2"/>
  <c r="AW438" i="2"/>
  <c r="K387" i="2"/>
  <c r="K382" i="2"/>
  <c r="L382" i="2"/>
  <c r="D438" i="2"/>
  <c r="B381" i="2"/>
  <c r="D429" i="2"/>
  <c r="Z310" i="2"/>
  <c r="AA310" i="2"/>
  <c r="BA180" i="2"/>
  <c r="BB176" i="2"/>
  <c r="AW143" i="2"/>
  <c r="AM99" i="2"/>
  <c r="AF143" i="2"/>
  <c r="AI143" i="2"/>
  <c r="AJ70" i="2"/>
  <c r="AM985" i="2"/>
  <c r="AN985" i="2"/>
  <c r="AO985" i="2"/>
  <c r="AN981" i="2"/>
  <c r="AO981" i="2"/>
  <c r="CE155" i="2"/>
  <c r="CD156" i="2"/>
  <c r="BA249" i="2"/>
  <c r="BA253" i="2"/>
  <c r="BB245" i="2"/>
  <c r="BC245" i="2"/>
  <c r="L233" i="2"/>
  <c r="M233" i="2"/>
  <c r="K237" i="2"/>
  <c r="U1030" i="2"/>
  <c r="S1030" i="2"/>
  <c r="G437" i="2"/>
  <c r="CR228" i="2"/>
  <c r="CS227" i="2"/>
  <c r="AA976" i="2"/>
  <c r="Z976" i="2"/>
  <c r="K907" i="2"/>
  <c r="DF819" i="2"/>
  <c r="DG818" i="2"/>
  <c r="Z852" i="2"/>
  <c r="AA852" i="2"/>
  <c r="Z825" i="2"/>
  <c r="AA825" i="2"/>
  <c r="AX662" i="2"/>
  <c r="BB606" i="2"/>
  <c r="AN604" i="2"/>
  <c r="AO604" i="2"/>
  <c r="Z618" i="2"/>
  <c r="AA618" i="2"/>
  <c r="Z606" i="2"/>
  <c r="AA606" i="2"/>
  <c r="V662" i="2"/>
  <c r="BB674" i="2"/>
  <c r="BA678" i="2"/>
  <c r="BA682" i="2"/>
  <c r="BA677" i="2"/>
  <c r="BB673" i="2"/>
  <c r="AM690" i="2"/>
  <c r="Y692" i="2"/>
  <c r="L673" i="2"/>
  <c r="K677" i="2"/>
  <c r="K681" i="2"/>
  <c r="DG599" i="2"/>
  <c r="DH599" i="2"/>
  <c r="DF600" i="2"/>
  <c r="AM624" i="2"/>
  <c r="L486" i="2"/>
  <c r="M486" i="2"/>
  <c r="L472" i="2"/>
  <c r="M472" i="2"/>
  <c r="DM429" i="2"/>
  <c r="CK429" i="2"/>
  <c r="BW429" i="2"/>
  <c r="B421" i="2"/>
  <c r="B409" i="2"/>
  <c r="K409" i="2"/>
  <c r="K401" i="2"/>
  <c r="K405" i="2"/>
  <c r="L397" i="2"/>
  <c r="M397" i="2"/>
  <c r="K386" i="2"/>
  <c r="B385" i="2"/>
  <c r="M304" i="2"/>
  <c r="H366" i="2"/>
  <c r="AO335" i="2"/>
  <c r="AJ363" i="2"/>
  <c r="AJ143" i="2"/>
  <c r="Y848" i="2"/>
  <c r="Y852" i="2"/>
  <c r="L464" i="2"/>
  <c r="M464" i="2"/>
  <c r="BR250" i="2"/>
  <c r="BC309" i="2"/>
  <c r="AN836" i="2"/>
  <c r="AO836" i="2"/>
  <c r="AM840" i="2"/>
  <c r="AA235" i="2"/>
  <c r="CF300" i="2"/>
  <c r="B895" i="2"/>
  <c r="B948" i="2"/>
  <c r="B949" i="2"/>
  <c r="B950" i="2"/>
  <c r="AM697" i="2"/>
  <c r="AN697" i="2"/>
  <c r="AO697" i="2"/>
  <c r="R873" i="2"/>
  <c r="V366" i="2"/>
  <c r="U366" i="2"/>
  <c r="AF1031" i="2"/>
  <c r="AX364" i="2"/>
  <c r="BB602" i="2"/>
  <c r="BA606" i="2"/>
  <c r="Z998" i="2"/>
  <c r="AA998" i="2"/>
  <c r="CY1021" i="2"/>
  <c r="CK1021" i="2"/>
  <c r="DC1021" i="2"/>
  <c r="Y991" i="2"/>
  <c r="Z991" i="2"/>
  <c r="AA991" i="2"/>
  <c r="R1021" i="2"/>
  <c r="Z898" i="2"/>
  <c r="V958" i="2"/>
  <c r="B915" i="2"/>
  <c r="H884" i="2"/>
  <c r="BB838" i="2"/>
  <c r="BC838" i="2"/>
  <c r="BC824" i="2"/>
  <c r="BB824" i="2"/>
  <c r="AX884" i="2"/>
  <c r="AJ884" i="2"/>
  <c r="AI884" i="2"/>
  <c r="Z838" i="2"/>
  <c r="AA838" i="2"/>
  <c r="V884" i="2"/>
  <c r="U884" i="2"/>
  <c r="Z824" i="2"/>
  <c r="AA824" i="2"/>
  <c r="AM782" i="2"/>
  <c r="AF810" i="2"/>
  <c r="AX659" i="2"/>
  <c r="DU673" i="2"/>
  <c r="DV673" i="2"/>
  <c r="DT674" i="2"/>
  <c r="AT734" i="2"/>
  <c r="AW734" i="2"/>
  <c r="AT725" i="2"/>
  <c r="L675" i="2"/>
  <c r="H735" i="2"/>
  <c r="B673" i="2"/>
  <c r="D733" i="2"/>
  <c r="D725" i="2"/>
  <c r="H662" i="2"/>
  <c r="B607" i="2"/>
  <c r="L482" i="2"/>
  <c r="M482" i="2"/>
  <c r="L456" i="2"/>
  <c r="M456" i="2"/>
  <c r="H512" i="2"/>
  <c r="G512" i="2"/>
  <c r="H514" i="2"/>
  <c r="G514" i="2"/>
  <c r="L454" i="2"/>
  <c r="V512" i="2"/>
  <c r="V515" i="2"/>
  <c r="V514" i="2"/>
  <c r="Z461" i="2"/>
  <c r="AA461" i="2"/>
  <c r="BB378" i="2"/>
  <c r="BC378" i="2"/>
  <c r="AX438" i="2"/>
  <c r="CS375" i="2"/>
  <c r="CT375" i="2"/>
  <c r="CR376" i="2"/>
  <c r="H290" i="2"/>
  <c r="AM232" i="2"/>
  <c r="AF281" i="2"/>
  <c r="AF292" i="2"/>
  <c r="AN176" i="2"/>
  <c r="AO176" i="2"/>
  <c r="Z163" i="2"/>
  <c r="CR673" i="2"/>
  <c r="L831" i="2"/>
  <c r="M831" i="2"/>
  <c r="CD377" i="2"/>
  <c r="CE376" i="2"/>
  <c r="AO679" i="2"/>
  <c r="AO229" i="2"/>
  <c r="BI210" i="2"/>
  <c r="BI282" i="2"/>
  <c r="BJ282" i="2"/>
  <c r="DT377" i="2"/>
  <c r="DU376" i="2"/>
  <c r="DV376" i="2"/>
  <c r="AA839" i="2"/>
  <c r="AT733" i="2"/>
  <c r="D947" i="2"/>
  <c r="AF733" i="2"/>
  <c r="AT1021" i="2"/>
  <c r="R725" i="2"/>
  <c r="AA380" i="2"/>
  <c r="B627" i="2"/>
  <c r="AJ957" i="2"/>
  <c r="H1030" i="2"/>
  <c r="Z975" i="2"/>
  <c r="V1031" i="2"/>
  <c r="BB976" i="2"/>
  <c r="BC976" i="2"/>
  <c r="BA980" i="2"/>
  <c r="B981" i="2"/>
  <c r="Y995" i="2"/>
  <c r="Y999" i="2"/>
  <c r="B993" i="2"/>
  <c r="B1001" i="2"/>
  <c r="Y906" i="2"/>
  <c r="Y910" i="2"/>
  <c r="Y914" i="2"/>
  <c r="BB849" i="2"/>
  <c r="AX881" i="2"/>
  <c r="AX885" i="2"/>
  <c r="BC849" i="2"/>
  <c r="BB836" i="2"/>
  <c r="BC836" i="2"/>
  <c r="BB822" i="2"/>
  <c r="AX882" i="2"/>
  <c r="BA846" i="2"/>
  <c r="BB846" i="2"/>
  <c r="BC846" i="2"/>
  <c r="BB842" i="2"/>
  <c r="BC842" i="2"/>
  <c r="BB831" i="2"/>
  <c r="BC831" i="2"/>
  <c r="AA750" i="2"/>
  <c r="AA688" i="2"/>
  <c r="H734" i="2"/>
  <c r="Z625" i="2"/>
  <c r="AA625" i="2"/>
  <c r="Z604" i="2"/>
  <c r="AA604" i="2"/>
  <c r="DF671" i="2"/>
  <c r="DG670" i="2"/>
  <c r="K675" i="2"/>
  <c r="K679" i="2"/>
  <c r="D735" i="2"/>
  <c r="G735" i="2"/>
  <c r="CE450" i="2"/>
  <c r="CF450" i="2"/>
  <c r="CD451" i="2"/>
  <c r="L463" i="2"/>
  <c r="M463" i="2"/>
  <c r="AM483" i="2"/>
  <c r="AN483" i="2"/>
  <c r="AO483" i="2"/>
  <c r="BA383" i="2"/>
  <c r="AT429" i="2"/>
  <c r="AF439" i="2"/>
  <c r="AI439" i="2"/>
  <c r="R429" i="2"/>
  <c r="Y383" i="2"/>
  <c r="Z383" i="2"/>
  <c r="K419" i="2"/>
  <c r="D440" i="2"/>
  <c r="G440" i="2"/>
  <c r="B393" i="2"/>
  <c r="M385" i="2"/>
  <c r="BB171" i="2"/>
  <c r="BC171" i="2"/>
  <c r="BW207" i="2"/>
  <c r="B159" i="2"/>
  <c r="BI218" i="2"/>
  <c r="BP166" i="2"/>
  <c r="BQ166" i="2"/>
  <c r="BI207" i="2"/>
  <c r="AM165" i="2"/>
  <c r="AM169" i="2"/>
  <c r="AF217" i="2"/>
  <c r="AI217" i="2"/>
  <c r="EJ80" i="2"/>
  <c r="BB104" i="2"/>
  <c r="BC104" i="2"/>
  <c r="AX144" i="2"/>
  <c r="H141" i="2"/>
  <c r="H67" i="2"/>
  <c r="BI67" i="2"/>
  <c r="BB385" i="2"/>
  <c r="BC385" i="2"/>
  <c r="V217" i="2"/>
  <c r="V219" i="2"/>
  <c r="DV375" i="2"/>
  <c r="AX1021" i="2"/>
  <c r="D956" i="2"/>
  <c r="CD229" i="2"/>
  <c r="CE228" i="2"/>
  <c r="BA922" i="2"/>
  <c r="BB922" i="2"/>
  <c r="B903" i="2"/>
  <c r="Z835" i="2"/>
  <c r="AA835" i="2"/>
  <c r="CA801" i="2"/>
  <c r="CB801" i="2"/>
  <c r="CF744" i="2"/>
  <c r="AM529" i="2"/>
  <c r="AF577" i="2"/>
  <c r="AO231" i="2"/>
  <c r="BC157" i="2"/>
  <c r="EH82" i="2"/>
  <c r="EI81" i="2"/>
  <c r="EJ81" i="2"/>
  <c r="M81" i="2"/>
  <c r="V68" i="2"/>
  <c r="AM390" i="2"/>
  <c r="AN832" i="2"/>
  <c r="AO832" i="2"/>
  <c r="BC606" i="2"/>
  <c r="L380" i="2"/>
  <c r="K384" i="2"/>
  <c r="CE747" i="2"/>
  <c r="CF747" i="2"/>
  <c r="CD748" i="2"/>
  <c r="CE748" i="2"/>
  <c r="CF748" i="2"/>
  <c r="AM979" i="2"/>
  <c r="AN979" i="2"/>
  <c r="AO979" i="2"/>
  <c r="B833" i="2"/>
  <c r="Z988" i="2"/>
  <c r="AA988" i="2"/>
  <c r="DF897" i="2"/>
  <c r="DG896" i="2"/>
  <c r="B919" i="2"/>
  <c r="B911" i="2"/>
  <c r="AM900" i="2"/>
  <c r="AF956" i="2"/>
  <c r="R955" i="2"/>
  <c r="R957" i="2"/>
  <c r="Y905" i="2"/>
  <c r="Z905" i="2"/>
  <c r="AA905" i="2"/>
  <c r="B923" i="2"/>
  <c r="L827" i="2"/>
  <c r="M827" i="2"/>
  <c r="DV744" i="2"/>
  <c r="AA758" i="2"/>
  <c r="Z758" i="2"/>
  <c r="B763" i="2"/>
  <c r="B693" i="2"/>
  <c r="Z616" i="2"/>
  <c r="AA616" i="2"/>
  <c r="Y620" i="2"/>
  <c r="Y624" i="2"/>
  <c r="Y628" i="2"/>
  <c r="R660" i="2"/>
  <c r="U660" i="2"/>
  <c r="R651" i="2"/>
  <c r="DV522" i="2"/>
  <c r="BA539" i="2"/>
  <c r="R586" i="2"/>
  <c r="U586" i="2"/>
  <c r="BA467" i="2"/>
  <c r="U514" i="2"/>
  <c r="BR275" i="2"/>
  <c r="BM291" i="2"/>
  <c r="BL291" i="2"/>
  <c r="BM216" i="2"/>
  <c r="BL216" i="2"/>
  <c r="BC170" i="2"/>
  <c r="AA157" i="2"/>
  <c r="BL215" i="2"/>
  <c r="BM67" i="2"/>
  <c r="DV895" i="2"/>
  <c r="AX934" i="2"/>
  <c r="BB934" i="2"/>
  <c r="AM837" i="2"/>
  <c r="AM841" i="2"/>
  <c r="B829" i="2"/>
  <c r="Z754" i="2"/>
  <c r="AA754" i="2"/>
  <c r="Y758" i="2"/>
  <c r="Y762" i="2"/>
  <c r="DM652" i="2"/>
  <c r="DN652" i="2"/>
  <c r="DM653" i="2"/>
  <c r="DM580" i="2"/>
  <c r="AT580" i="2"/>
  <c r="AT653" i="2"/>
  <c r="AT652" i="2"/>
  <c r="AU652" i="2"/>
  <c r="B557" i="2"/>
  <c r="DV301" i="2"/>
  <c r="DQ357" i="2"/>
  <c r="V811" i="2"/>
  <c r="G661" i="2"/>
  <c r="BB896" i="2"/>
  <c r="BC896" i="2"/>
  <c r="L897" i="2"/>
  <c r="H957" i="2"/>
  <c r="CD524" i="2"/>
  <c r="CE523" i="2"/>
  <c r="M453" i="2"/>
  <c r="CS969" i="2"/>
  <c r="CR970" i="2"/>
  <c r="AO230" i="2"/>
  <c r="CS897" i="2"/>
  <c r="CR898" i="2"/>
  <c r="AT441" i="2"/>
  <c r="BA610" i="2"/>
  <c r="H364" i="2"/>
  <c r="R437" i="2"/>
  <c r="AF659" i="2"/>
  <c r="AN971" i="2"/>
  <c r="AO971" i="2"/>
  <c r="AJ1031" i="2"/>
  <c r="AW1032" i="2"/>
  <c r="AM989" i="2"/>
  <c r="AA849" i="2"/>
  <c r="AA823" i="2"/>
  <c r="V883" i="2"/>
  <c r="BA850" i="2"/>
  <c r="BB850" i="2"/>
  <c r="BC850" i="2"/>
  <c r="AF807" i="2"/>
  <c r="AM751" i="2"/>
  <c r="AX660" i="2"/>
  <c r="AN600" i="2"/>
  <c r="Z624" i="2"/>
  <c r="AA624" i="2"/>
  <c r="Z614" i="2"/>
  <c r="AA614" i="2"/>
  <c r="V659" i="2"/>
  <c r="Z603" i="2"/>
  <c r="M612" i="2"/>
  <c r="H660" i="2"/>
  <c r="B701" i="2"/>
  <c r="B553" i="2"/>
  <c r="L474" i="2"/>
  <c r="M474" i="2"/>
  <c r="AJ440" i="2"/>
  <c r="AI440" i="2"/>
  <c r="K244" i="2"/>
  <c r="CD972" i="2"/>
  <c r="CE971" i="2"/>
  <c r="CF971" i="2"/>
  <c r="Y237" i="2"/>
  <c r="Z233" i="2"/>
  <c r="AA233" i="2"/>
  <c r="B405" i="2"/>
  <c r="G218" i="2"/>
  <c r="AT660" i="2"/>
  <c r="H511" i="2"/>
  <c r="DH300" i="2"/>
  <c r="DC357" i="2"/>
  <c r="DD357" i="2"/>
  <c r="CF449" i="2"/>
  <c r="Z983" i="2"/>
  <c r="AA983" i="2"/>
  <c r="AJ1030" i="2"/>
  <c r="AN970" i="2"/>
  <c r="BC971" i="2"/>
  <c r="BW947" i="2"/>
  <c r="AZ931" i="2"/>
  <c r="AT931" i="2"/>
  <c r="BB898" i="2"/>
  <c r="AF955" i="2"/>
  <c r="AM899" i="2"/>
  <c r="AW881" i="2"/>
  <c r="K847" i="2"/>
  <c r="L843" i="2"/>
  <c r="M843" i="2"/>
  <c r="Z757" i="2"/>
  <c r="V810" i="2"/>
  <c r="AA757" i="2"/>
  <c r="H736" i="2"/>
  <c r="B767" i="2"/>
  <c r="BW725" i="2"/>
  <c r="AM687" i="2"/>
  <c r="Y693" i="2"/>
  <c r="Z622" i="2"/>
  <c r="AA622" i="2"/>
  <c r="V585" i="2"/>
  <c r="V589" i="2"/>
  <c r="Z533" i="2"/>
  <c r="AA533" i="2"/>
  <c r="BW577" i="2"/>
  <c r="AT585" i="2"/>
  <c r="K529" i="2"/>
  <c r="B529" i="2"/>
  <c r="D585" i="2"/>
  <c r="K461" i="2"/>
  <c r="K465" i="2"/>
  <c r="BB394" i="2"/>
  <c r="BC394" i="2"/>
  <c r="V289" i="2"/>
  <c r="Z229" i="2"/>
  <c r="AA229" i="2"/>
  <c r="CY281" i="2"/>
  <c r="BI292" i="2"/>
  <c r="BL292" i="2"/>
  <c r="V218" i="2"/>
  <c r="U218" i="2"/>
  <c r="Z170" i="2"/>
  <c r="DG82" i="2"/>
  <c r="DH82" i="2"/>
  <c r="DF83" i="2"/>
  <c r="AN897" i="2"/>
  <c r="Z979" i="2"/>
  <c r="AA979" i="2"/>
  <c r="L972" i="2"/>
  <c r="H1032" i="2"/>
  <c r="D1029" i="2"/>
  <c r="B973" i="2"/>
  <c r="K973" i="2"/>
  <c r="L973" i="2"/>
  <c r="AF957" i="2"/>
  <c r="AI957" i="2"/>
  <c r="M824" i="2"/>
  <c r="AF883" i="2"/>
  <c r="AF873" i="2"/>
  <c r="AX734" i="2"/>
  <c r="DT671" i="2"/>
  <c r="DU671" i="2"/>
  <c r="DV671" i="2"/>
  <c r="DU670" i="2"/>
  <c r="K753" i="2"/>
  <c r="D809" i="2"/>
  <c r="G809" i="2"/>
  <c r="BB747" i="2"/>
  <c r="AX807" i="2"/>
  <c r="R733" i="2"/>
  <c r="Y674" i="2"/>
  <c r="R734" i="2"/>
  <c r="U734" i="2"/>
  <c r="D736" i="2"/>
  <c r="G736" i="2"/>
  <c r="K613" i="2"/>
  <c r="L613" i="2"/>
  <c r="M613" i="2"/>
  <c r="AN528" i="2"/>
  <c r="AT588" i="2"/>
  <c r="AW588" i="2"/>
  <c r="BA528" i="2"/>
  <c r="B525" i="2"/>
  <c r="D586" i="2"/>
  <c r="AA457" i="2"/>
  <c r="AN462" i="2"/>
  <c r="AO462" i="2"/>
  <c r="AJ513" i="2"/>
  <c r="AI513" i="2"/>
  <c r="AJ437" i="2"/>
  <c r="AI437" i="2"/>
  <c r="AN397" i="2"/>
  <c r="AO397" i="2"/>
  <c r="H365" i="2"/>
  <c r="H363" i="2"/>
  <c r="AM313" i="2"/>
  <c r="EH228" i="2"/>
  <c r="EI227" i="2"/>
  <c r="AT292" i="2"/>
  <c r="AW292" i="2"/>
  <c r="Y230" i="2"/>
  <c r="R290" i="2"/>
  <c r="U290" i="2"/>
  <c r="B175" i="2"/>
  <c r="Y163" i="2"/>
  <c r="Y167" i="2"/>
  <c r="Y171" i="2"/>
  <c r="Z171" i="2"/>
  <c r="AA171" i="2"/>
  <c r="B163" i="2"/>
  <c r="AA85" i="2"/>
  <c r="V141" i="2"/>
  <c r="BP84" i="2"/>
  <c r="BI144" i="2"/>
  <c r="EA59" i="2"/>
  <c r="AJ68" i="2"/>
  <c r="DU747" i="2"/>
  <c r="DV747" i="2"/>
  <c r="AX1031" i="2"/>
  <c r="DT968" i="2"/>
  <c r="DU967" i="2"/>
  <c r="DV967" i="2"/>
  <c r="BY1021" i="2"/>
  <c r="AM983" i="2"/>
  <c r="AM987" i="2"/>
  <c r="AA921" i="2"/>
  <c r="AT956" i="2"/>
  <c r="BC834" i="2"/>
  <c r="Z747" i="2"/>
  <c r="AA747" i="2"/>
  <c r="AJ807" i="2"/>
  <c r="AN747" i="2"/>
  <c r="BB752" i="2"/>
  <c r="BC752" i="2"/>
  <c r="V736" i="2"/>
  <c r="CY725" i="2"/>
  <c r="BA676" i="2"/>
  <c r="BB676" i="2"/>
  <c r="AT736" i="2"/>
  <c r="B685" i="2"/>
  <c r="BC601" i="2"/>
  <c r="AX661" i="2"/>
  <c r="AO624" i="2"/>
  <c r="AN624" i="2"/>
  <c r="AO548" i="2"/>
  <c r="AN541" i="2"/>
  <c r="AO541" i="2"/>
  <c r="R587" i="2"/>
  <c r="U587" i="2"/>
  <c r="Y527" i="2"/>
  <c r="BA535" i="2"/>
  <c r="BB535" i="2"/>
  <c r="BC535" i="2"/>
  <c r="AX511" i="2"/>
  <c r="AO332" i="2"/>
  <c r="AJ364" i="2"/>
  <c r="B319" i="2"/>
  <c r="CR154" i="2"/>
  <c r="CS153" i="2"/>
  <c r="CT153" i="2"/>
  <c r="BW62" i="2"/>
  <c r="BW134" i="2"/>
  <c r="BX134" i="2"/>
  <c r="CY133" i="2"/>
  <c r="DM133" i="2"/>
  <c r="AT67" i="2"/>
  <c r="B27" i="2"/>
  <c r="AT59" i="2"/>
  <c r="CF670" i="2"/>
  <c r="L229" i="2"/>
  <c r="R577" i="2"/>
  <c r="BB525" i="2"/>
  <c r="BA529" i="2"/>
  <c r="BA533" i="2"/>
  <c r="AI662" i="2"/>
  <c r="Z974" i="2"/>
  <c r="AX1030" i="2"/>
  <c r="V1032" i="2"/>
  <c r="Z972" i="2"/>
  <c r="L976" i="2"/>
  <c r="M976" i="2"/>
  <c r="Y912" i="2"/>
  <c r="Z912" i="2"/>
  <c r="AA912" i="2"/>
  <c r="D957" i="2"/>
  <c r="K901" i="2"/>
  <c r="DV818" i="2"/>
  <c r="AJ882" i="2"/>
  <c r="AA832" i="2"/>
  <c r="Z832" i="2"/>
  <c r="L828" i="2"/>
  <c r="M828" i="2"/>
  <c r="DM873" i="2"/>
  <c r="BW873" i="2"/>
  <c r="B849" i="2"/>
  <c r="AM762" i="2"/>
  <c r="CE750" i="2"/>
  <c r="CF750" i="2"/>
  <c r="AF735" i="2"/>
  <c r="K682" i="2"/>
  <c r="L682" i="2"/>
  <c r="M682" i="2"/>
  <c r="D734" i="2"/>
  <c r="AO612" i="2"/>
  <c r="V661" i="2"/>
  <c r="Z601" i="2"/>
  <c r="CR602" i="2"/>
  <c r="CS601" i="2"/>
  <c r="K602" i="2"/>
  <c r="D662" i="2"/>
  <c r="G662" i="2"/>
  <c r="H513" i="2"/>
  <c r="G513" i="2"/>
  <c r="AN454" i="2"/>
  <c r="AO454" i="2"/>
  <c r="AJ514" i="2"/>
  <c r="DM503" i="2"/>
  <c r="BW503" i="2"/>
  <c r="L310" i="2"/>
  <c r="M310" i="2"/>
  <c r="AN310" i="2"/>
  <c r="AO305" i="2"/>
  <c r="DM281" i="2"/>
  <c r="BW135" i="2"/>
  <c r="R59" i="2"/>
  <c r="R67" i="2"/>
  <c r="BW59" i="2"/>
  <c r="B15" i="2"/>
  <c r="Y313" i="2"/>
  <c r="Z309" i="2"/>
  <c r="BC895" i="2"/>
  <c r="L462" i="2"/>
  <c r="M462" i="2"/>
  <c r="DU824" i="2"/>
  <c r="DV824" i="2"/>
  <c r="AT586" i="2"/>
  <c r="AW586" i="2"/>
  <c r="B841" i="2"/>
  <c r="DU524" i="2"/>
  <c r="DV524" i="2"/>
  <c r="DT525" i="2"/>
  <c r="AW511" i="2"/>
  <c r="R659" i="2"/>
  <c r="AJ809" i="2"/>
  <c r="AI809" i="2"/>
  <c r="AO747" i="2"/>
  <c r="Z984" i="2"/>
  <c r="AA984" i="2"/>
  <c r="Y899" i="2"/>
  <c r="Z899" i="2"/>
  <c r="K912" i="2"/>
  <c r="BB830" i="2"/>
  <c r="BC830" i="2"/>
  <c r="AN837" i="2"/>
  <c r="AO837" i="2"/>
  <c r="R881" i="2"/>
  <c r="G215" i="2"/>
  <c r="BB314" i="2"/>
  <c r="BC314" i="2"/>
  <c r="L452" i="2"/>
  <c r="EA357" i="2"/>
  <c r="AN314" i="2"/>
  <c r="AO314" i="2"/>
  <c r="AT947" i="2"/>
  <c r="CS819" i="2"/>
  <c r="AM473" i="2"/>
  <c r="Z377" i="2"/>
  <c r="BA232" i="2"/>
  <c r="AJ292" i="2"/>
  <c r="AF503" i="2"/>
  <c r="DH226" i="2"/>
  <c r="D577" i="2"/>
  <c r="AT577" i="2"/>
  <c r="BB311" i="2"/>
  <c r="BC311" i="2"/>
  <c r="BA315" i="2"/>
  <c r="BA319" i="2"/>
  <c r="BB906" i="2"/>
  <c r="BC906" i="2"/>
  <c r="AX810" i="2"/>
  <c r="DH448" i="2"/>
  <c r="AT883" i="2"/>
  <c r="AW883" i="2"/>
  <c r="V1029" i="2"/>
  <c r="Z969" i="2"/>
  <c r="AH1021" i="2"/>
  <c r="DH968" i="2"/>
  <c r="CM1021" i="2"/>
  <c r="DQ1021" i="2"/>
  <c r="AJ1021" i="2"/>
  <c r="AO969" i="2"/>
  <c r="AN969" i="2"/>
  <c r="Y992" i="2"/>
  <c r="Z992" i="2"/>
  <c r="AA992" i="2"/>
  <c r="K977" i="2"/>
  <c r="L977" i="2"/>
  <c r="M977" i="2"/>
  <c r="DH894" i="2"/>
  <c r="H882" i="2"/>
  <c r="H885" i="2"/>
  <c r="CK799" i="2"/>
  <c r="BW799" i="2"/>
  <c r="AN682" i="2"/>
  <c r="AO682" i="2"/>
  <c r="AO675" i="2"/>
  <c r="AJ735" i="2"/>
  <c r="AO673" i="2"/>
  <c r="AJ733" i="2"/>
  <c r="R808" i="2"/>
  <c r="U808" i="2"/>
  <c r="Y752" i="2"/>
  <c r="R799" i="2"/>
  <c r="K757" i="2"/>
  <c r="L757" i="2"/>
  <c r="M757" i="2"/>
  <c r="B771" i="2"/>
  <c r="BA754" i="2"/>
  <c r="BB754" i="2"/>
  <c r="AT810" i="2"/>
  <c r="CS744" i="2"/>
  <c r="CR745" i="2"/>
  <c r="DM725" i="2"/>
  <c r="K600" i="2"/>
  <c r="K604" i="2"/>
  <c r="D660" i="2"/>
  <c r="G660" i="2"/>
  <c r="D651" i="2"/>
  <c r="L525" i="2"/>
  <c r="M525" i="2"/>
  <c r="DG522" i="2"/>
  <c r="DF523" i="2"/>
  <c r="AF588" i="2"/>
  <c r="AI588" i="2"/>
  <c r="B549" i="2"/>
  <c r="K383" i="2"/>
  <c r="Z393" i="2"/>
  <c r="AA393" i="2"/>
  <c r="B257" i="2"/>
  <c r="V291" i="2"/>
  <c r="B241" i="2"/>
  <c r="R289" i="2"/>
  <c r="AJ289" i="2"/>
  <c r="AO233" i="2"/>
  <c r="BC246" i="2"/>
  <c r="BB183" i="2"/>
  <c r="BC183" i="2"/>
  <c r="BA187" i="2"/>
  <c r="Z172" i="2"/>
  <c r="AA172" i="2"/>
  <c r="B19" i="2"/>
  <c r="R947" i="2"/>
  <c r="AO693" i="2"/>
  <c r="K761" i="2"/>
  <c r="BB322" i="2"/>
  <c r="BC322" i="2"/>
  <c r="B315" i="2"/>
  <c r="AX289" i="2"/>
  <c r="AX293" i="2"/>
  <c r="BA231" i="2"/>
  <c r="BA235" i="2"/>
  <c r="AT281" i="2"/>
  <c r="AN827" i="2"/>
  <c r="AM831" i="2"/>
  <c r="AJ365" i="2"/>
  <c r="M609" i="2"/>
  <c r="Z973" i="2"/>
  <c r="AA973" i="2"/>
  <c r="BA973" i="2"/>
  <c r="AT1029" i="2"/>
  <c r="AM996" i="2"/>
  <c r="AJ956" i="2"/>
  <c r="AA919" i="2"/>
  <c r="Y908" i="2"/>
  <c r="Z908" i="2"/>
  <c r="AA908" i="2"/>
  <c r="D958" i="2"/>
  <c r="G958" i="2"/>
  <c r="BC827" i="2"/>
  <c r="B845" i="2"/>
  <c r="AX736" i="2"/>
  <c r="K751" i="2"/>
  <c r="D807" i="2"/>
  <c r="DU746" i="2"/>
  <c r="DV746" i="2"/>
  <c r="Z620" i="2"/>
  <c r="AA620" i="2"/>
  <c r="M603" i="2"/>
  <c r="Y683" i="2"/>
  <c r="CY651" i="2"/>
  <c r="CK651" i="2"/>
  <c r="K617" i="2"/>
  <c r="AA528" i="2"/>
  <c r="Z528" i="2"/>
  <c r="AJ587" i="2"/>
  <c r="AI587" i="2"/>
  <c r="AN527" i="2"/>
  <c r="AO527" i="2"/>
  <c r="CK577" i="2"/>
  <c r="K540" i="2"/>
  <c r="K476" i="2"/>
  <c r="CS380" i="2"/>
  <c r="CT380" i="2"/>
  <c r="CR381" i="2"/>
  <c r="AM388" i="2"/>
  <c r="R440" i="2"/>
  <c r="U440" i="2"/>
  <c r="Y388" i="2"/>
  <c r="M379" i="2"/>
  <c r="BB315" i="2"/>
  <c r="BC315" i="2"/>
  <c r="BC312" i="2"/>
  <c r="R355" i="2"/>
  <c r="R363" i="2"/>
  <c r="Y307" i="2"/>
  <c r="M236" i="2"/>
  <c r="H292" i="2"/>
  <c r="G292" i="2"/>
  <c r="K231" i="2"/>
  <c r="K235" i="2"/>
  <c r="B229" i="2"/>
  <c r="D291" i="2"/>
  <c r="G291" i="2"/>
  <c r="BP187" i="2"/>
  <c r="AN184" i="2"/>
  <c r="AO184" i="2"/>
  <c r="Y156" i="2"/>
  <c r="R207" i="2"/>
  <c r="Y83" i="2"/>
  <c r="R143" i="2"/>
  <c r="R133" i="2"/>
  <c r="B97" i="2"/>
  <c r="BI142" i="2"/>
  <c r="BP82" i="2"/>
  <c r="BP86" i="2"/>
  <c r="BQ86" i="2"/>
  <c r="BR86" i="2"/>
  <c r="DT749" i="2"/>
  <c r="DU748" i="2"/>
  <c r="DV748" i="2"/>
  <c r="AN315" i="2"/>
  <c r="AO315" i="2"/>
  <c r="AM319" i="2"/>
  <c r="U216" i="2"/>
  <c r="AW364" i="2"/>
  <c r="CS449" i="2"/>
  <c r="CR450" i="2"/>
  <c r="AI514" i="2"/>
  <c r="CE818" i="2"/>
  <c r="U956" i="2"/>
  <c r="CY284" i="2"/>
  <c r="CY356" i="2"/>
  <c r="CZ356" i="2"/>
  <c r="M973" i="2"/>
  <c r="Z978" i="2"/>
  <c r="AT1030" i="2"/>
  <c r="BA970" i="2"/>
  <c r="K981" i="2"/>
  <c r="CK873" i="2"/>
  <c r="AA774" i="2"/>
  <c r="L750" i="2"/>
  <c r="H810" i="2"/>
  <c r="M750" i="2"/>
  <c r="AN754" i="2"/>
  <c r="AJ810" i="2"/>
  <c r="R810" i="2"/>
  <c r="U810" i="2"/>
  <c r="L681" i="2"/>
  <c r="M681" i="2"/>
  <c r="AO680" i="2"/>
  <c r="AJ736" i="2"/>
  <c r="AI736" i="2"/>
  <c r="BA758" i="2"/>
  <c r="DF748" i="2"/>
  <c r="DG747" i="2"/>
  <c r="AF734" i="2"/>
  <c r="AI734" i="2"/>
  <c r="AN602" i="2"/>
  <c r="AO602" i="2"/>
  <c r="AM599" i="2"/>
  <c r="AF651" i="2"/>
  <c r="BB526" i="2"/>
  <c r="BA530" i="2"/>
  <c r="B541" i="2"/>
  <c r="BA458" i="2"/>
  <c r="BA462" i="2"/>
  <c r="L383" i="2"/>
  <c r="L401" i="2"/>
  <c r="M401" i="2"/>
  <c r="D365" i="2"/>
  <c r="G365" i="2"/>
  <c r="K305" i="2"/>
  <c r="AJ291" i="2"/>
  <c r="BC241" i="2"/>
  <c r="AA163" i="2"/>
  <c r="AM180" i="2"/>
  <c r="AM184" i="2"/>
  <c r="AM168" i="2"/>
  <c r="AM172" i="2"/>
  <c r="AM176" i="2"/>
  <c r="AF216" i="2"/>
  <c r="DH78" i="2"/>
  <c r="B101" i="2"/>
  <c r="BQ89" i="2"/>
  <c r="BP93" i="2"/>
  <c r="BQ93" i="2"/>
  <c r="BR93" i="2"/>
  <c r="AM905" i="2"/>
  <c r="AM909" i="2"/>
  <c r="AM913" i="2"/>
  <c r="AM463" i="2"/>
  <c r="AN463" i="2"/>
  <c r="AO463" i="2"/>
  <c r="B899" i="2"/>
  <c r="CB803" i="2"/>
  <c r="U215" i="2"/>
  <c r="B969" i="2"/>
  <c r="H1021" i="2"/>
  <c r="AT291" i="2"/>
  <c r="AW291" i="2"/>
  <c r="BW281" i="2"/>
  <c r="L975" i="2"/>
  <c r="AX1029" i="2"/>
  <c r="AX1033" i="2"/>
  <c r="M904" i="2"/>
  <c r="DA1021" i="2"/>
  <c r="R219" i="2"/>
  <c r="DU825" i="2"/>
  <c r="DV825" i="2"/>
  <c r="DG229" i="2"/>
  <c r="DF230" i="2"/>
  <c r="AJ366" i="2"/>
  <c r="AI366" i="2"/>
  <c r="AX439" i="2"/>
  <c r="D355" i="2"/>
  <c r="AA978" i="2"/>
  <c r="CR821" i="2"/>
  <c r="CS820" i="2"/>
  <c r="CT820" i="2"/>
  <c r="M983" i="2"/>
  <c r="AF725" i="2"/>
  <c r="CY357" i="2"/>
  <c r="AT882" i="2"/>
  <c r="R883" i="2"/>
  <c r="U883" i="2"/>
  <c r="H733" i="2"/>
  <c r="AA974" i="2"/>
  <c r="AA982" i="2"/>
  <c r="L674" i="2"/>
  <c r="L898" i="2"/>
  <c r="CO1021" i="2"/>
  <c r="AM970" i="2"/>
  <c r="AM974" i="2"/>
  <c r="AM978" i="2"/>
  <c r="AF1030" i="2"/>
  <c r="AF1021" i="2"/>
  <c r="AF1029" i="2"/>
  <c r="R1029" i="2"/>
  <c r="Y973" i="2"/>
  <c r="Y977" i="2"/>
  <c r="K980" i="2"/>
  <c r="B989" i="2"/>
  <c r="Z910" i="2"/>
  <c r="AA910" i="2"/>
  <c r="BA900" i="2"/>
  <c r="BB900" i="2"/>
  <c r="BC900" i="2"/>
  <c r="Y903" i="2"/>
  <c r="Z751" i="2"/>
  <c r="AA751" i="2"/>
  <c r="M748" i="2"/>
  <c r="H808" i="2"/>
  <c r="L677" i="2"/>
  <c r="M677" i="2"/>
  <c r="AN701" i="2"/>
  <c r="AO701" i="2"/>
  <c r="AN689" i="2"/>
  <c r="AO689" i="2"/>
  <c r="B705" i="2"/>
  <c r="Y605" i="2"/>
  <c r="K609" i="2"/>
  <c r="L609" i="2"/>
  <c r="AM530" i="2"/>
  <c r="Y532" i="2"/>
  <c r="K536" i="2"/>
  <c r="L536" i="2"/>
  <c r="M536" i="2"/>
  <c r="B533" i="2"/>
  <c r="K475" i="2"/>
  <c r="B475" i="2"/>
  <c r="B463" i="2"/>
  <c r="K451" i="2"/>
  <c r="D503" i="2"/>
  <c r="L393" i="2"/>
  <c r="M393" i="2"/>
  <c r="BC386" i="2"/>
  <c r="Y387" i="2"/>
  <c r="D439" i="2"/>
  <c r="CS300" i="2"/>
  <c r="CR301" i="2"/>
  <c r="AT363" i="2"/>
  <c r="K303" i="2"/>
  <c r="D363" i="2"/>
  <c r="B303" i="2"/>
  <c r="AJ290" i="2"/>
  <c r="B167" i="2"/>
  <c r="AO179" i="2"/>
  <c r="BA156" i="2"/>
  <c r="AT207" i="2"/>
  <c r="AT216" i="2"/>
  <c r="V143" i="2"/>
  <c r="B93" i="2"/>
  <c r="D141" i="2"/>
  <c r="K93" i="2"/>
  <c r="L93" i="2"/>
  <c r="M93" i="2"/>
  <c r="BA96" i="2"/>
  <c r="BB96" i="2"/>
  <c r="BC96" i="2"/>
  <c r="BB92" i="2"/>
  <c r="BC92" i="2"/>
  <c r="BP97" i="2"/>
  <c r="BP101" i="2"/>
  <c r="BP105" i="2"/>
  <c r="BP109" i="2"/>
  <c r="AN458" i="2"/>
  <c r="AO458" i="2"/>
  <c r="AF512" i="2"/>
  <c r="V440" i="2"/>
  <c r="Y382" i="2"/>
  <c r="BA338" i="2"/>
  <c r="AT366" i="2"/>
  <c r="AT289" i="2"/>
  <c r="B245" i="2"/>
  <c r="BQ169" i="2"/>
  <c r="BR169" i="2"/>
  <c r="BQ183" i="2"/>
  <c r="BR183" i="2"/>
  <c r="AX217" i="2"/>
  <c r="AN180" i="2"/>
  <c r="AO180" i="2"/>
  <c r="L170" i="2"/>
  <c r="M170" i="2"/>
  <c r="Y181" i="2"/>
  <c r="BB97" i="2"/>
  <c r="BC97" i="2"/>
  <c r="Y93" i="2"/>
  <c r="R141" i="2"/>
  <c r="BQ82" i="2"/>
  <c r="BM142" i="2"/>
  <c r="D289" i="2"/>
  <c r="R1032" i="2"/>
  <c r="BI293" i="2"/>
  <c r="M979" i="2"/>
  <c r="L974" i="2"/>
  <c r="DM1021" i="2"/>
  <c r="D1032" i="2"/>
  <c r="D1030" i="2"/>
  <c r="R958" i="2"/>
  <c r="U958" i="2"/>
  <c r="K906" i="2"/>
  <c r="BB753" i="2"/>
  <c r="AA684" i="2"/>
  <c r="B755" i="2"/>
  <c r="AT799" i="2"/>
  <c r="BA687" i="2"/>
  <c r="AM677" i="2"/>
  <c r="AA600" i="2"/>
  <c r="L676" i="2"/>
  <c r="K680" i="2"/>
  <c r="B677" i="2"/>
  <c r="K599" i="2"/>
  <c r="L599" i="2"/>
  <c r="B599" i="2"/>
  <c r="B652" i="2"/>
  <c r="B653" i="2"/>
  <c r="B654" i="2"/>
  <c r="D659" i="2"/>
  <c r="AJ585" i="2"/>
  <c r="BB529" i="2"/>
  <c r="BC529" i="2"/>
  <c r="AT514" i="2"/>
  <c r="AW514" i="2"/>
  <c r="DM355" i="2"/>
  <c r="CK355" i="2"/>
  <c r="L231" i="2"/>
  <c r="BP253" i="2"/>
  <c r="AM249" i="2"/>
  <c r="AN249" i="2"/>
  <c r="AO249" i="2"/>
  <c r="BB187" i="2"/>
  <c r="BC187" i="2"/>
  <c r="AN175" i="2"/>
  <c r="AO175" i="2"/>
  <c r="AA178" i="2"/>
  <c r="Z156" i="2"/>
  <c r="H218" i="2"/>
  <c r="AA308" i="2"/>
  <c r="H883" i="2"/>
  <c r="G883" i="2"/>
  <c r="S933" i="2"/>
  <c r="T933" i="2"/>
  <c r="U933" i="2"/>
  <c r="AX585" i="2"/>
  <c r="BM289" i="2"/>
  <c r="AM688" i="2"/>
  <c r="R736" i="2"/>
  <c r="AA990" i="2"/>
  <c r="BC990" i="2"/>
  <c r="L896" i="2"/>
  <c r="H956" i="2"/>
  <c r="R1031" i="2"/>
  <c r="K976" i="2"/>
  <c r="K974" i="2"/>
  <c r="K978" i="2"/>
  <c r="K982" i="2"/>
  <c r="L982" i="2"/>
  <c r="M982" i="2"/>
  <c r="AA922" i="2"/>
  <c r="Z821" i="2"/>
  <c r="V881" i="2"/>
  <c r="V885" i="2"/>
  <c r="Y843" i="2"/>
  <c r="B825" i="2"/>
  <c r="AA753" i="2"/>
  <c r="AJ808" i="2"/>
  <c r="AM761" i="2"/>
  <c r="K685" i="2"/>
  <c r="DM577" i="2"/>
  <c r="L466" i="2"/>
  <c r="M466" i="2"/>
  <c r="R511" i="2"/>
  <c r="BB382" i="2"/>
  <c r="BC382" i="2"/>
  <c r="Z312" i="2"/>
  <c r="DG301" i="2"/>
  <c r="DH301" i="2"/>
  <c r="Z232" i="2"/>
  <c r="BP260" i="2"/>
  <c r="BQ260" i="2"/>
  <c r="B179" i="2"/>
  <c r="BQ177" i="2"/>
  <c r="BR177" i="2"/>
  <c r="BR168" i="2"/>
  <c r="BR158" i="2"/>
  <c r="L158" i="2"/>
  <c r="M158" i="2"/>
  <c r="K172" i="2"/>
  <c r="K176" i="2"/>
  <c r="L176" i="2"/>
  <c r="M176" i="2"/>
  <c r="B171" i="2"/>
  <c r="K156" i="2"/>
  <c r="L156" i="2"/>
  <c r="D216" i="2"/>
  <c r="Z84" i="2"/>
  <c r="BB89" i="2"/>
  <c r="BC89" i="2"/>
  <c r="AT141" i="2"/>
  <c r="AT144" i="2"/>
  <c r="AX68" i="2"/>
  <c r="AX69" i="2"/>
  <c r="AX70" i="2"/>
  <c r="V67" i="2"/>
  <c r="B23" i="2"/>
  <c r="R70" i="2"/>
  <c r="Y44" i="2"/>
  <c r="R68" i="2"/>
  <c r="AA980" i="2"/>
  <c r="L678" i="2"/>
  <c r="M678" i="2"/>
  <c r="AJ659" i="2"/>
  <c r="AJ663" i="2"/>
  <c r="CF522" i="2"/>
  <c r="AX587" i="2"/>
  <c r="CY577" i="2"/>
  <c r="AA481" i="2"/>
  <c r="H439" i="2"/>
  <c r="AM384" i="2"/>
  <c r="AN384" i="2"/>
  <c r="AO384" i="2"/>
  <c r="AN380" i="2"/>
  <c r="AN307" i="2"/>
  <c r="BC303" i="2"/>
  <c r="AX363" i="2"/>
  <c r="AX367" i="2"/>
  <c r="B307" i="2"/>
  <c r="BB247" i="2"/>
  <c r="BQ167" i="2"/>
  <c r="BR167" i="2"/>
  <c r="DF156" i="2"/>
  <c r="DG155" i="2"/>
  <c r="DH155" i="2"/>
  <c r="V142" i="2"/>
  <c r="BI69" i="2"/>
  <c r="M987" i="2"/>
  <c r="L978" i="2"/>
  <c r="M978" i="2"/>
  <c r="AN909" i="2"/>
  <c r="AO909" i="2"/>
  <c r="AA925" i="2"/>
  <c r="DT820" i="2"/>
  <c r="DU819" i="2"/>
  <c r="BA835" i="2"/>
  <c r="BB835" i="2"/>
  <c r="BC835" i="2"/>
  <c r="AT873" i="2"/>
  <c r="M749" i="2"/>
  <c r="AX808" i="2"/>
  <c r="DV672" i="2"/>
  <c r="D810" i="2"/>
  <c r="G810" i="2"/>
  <c r="AA303" i="2"/>
  <c r="BM217" i="2"/>
  <c r="BL217" i="2"/>
  <c r="V660" i="2"/>
  <c r="AJ883" i="2"/>
  <c r="BC531" i="2"/>
  <c r="Y316" i="2"/>
  <c r="H1029" i="2"/>
  <c r="H1033" i="2"/>
  <c r="AN974" i="2"/>
  <c r="AO974" i="2"/>
  <c r="BC969" i="2"/>
  <c r="BA975" i="2"/>
  <c r="BA979" i="2"/>
  <c r="K986" i="2"/>
  <c r="K990" i="2"/>
  <c r="B997" i="2"/>
  <c r="BC922" i="2"/>
  <c r="M835" i="2"/>
  <c r="K822" i="2"/>
  <c r="D882" i="2"/>
  <c r="V734" i="2"/>
  <c r="BB679" i="2"/>
  <c r="BC679" i="2"/>
  <c r="BA680" i="2"/>
  <c r="L600" i="2"/>
  <c r="L527" i="2"/>
  <c r="AN526" i="2"/>
  <c r="AN475" i="2"/>
  <c r="AO475" i="2"/>
  <c r="AX513" i="2"/>
  <c r="AW513" i="2"/>
  <c r="B455" i="2"/>
  <c r="H438" i="2"/>
  <c r="H441" i="2"/>
  <c r="DF375" i="2"/>
  <c r="DG374" i="2"/>
  <c r="AA322" i="2"/>
  <c r="R291" i="2"/>
  <c r="U291" i="2"/>
  <c r="BB163" i="2"/>
  <c r="AX215" i="2"/>
  <c r="AO190" i="2"/>
  <c r="AN190" i="2"/>
  <c r="Y176" i="2"/>
  <c r="BB83" i="2"/>
  <c r="BC83" i="2"/>
  <c r="CD8" i="2"/>
  <c r="CE7" i="2"/>
  <c r="CF7" i="2"/>
  <c r="BI68" i="2"/>
  <c r="AF70" i="2"/>
  <c r="B35" i="2"/>
  <c r="AW215" i="2"/>
  <c r="BA899" i="2"/>
  <c r="AO896" i="2"/>
  <c r="Z845" i="2"/>
  <c r="AA845" i="2"/>
  <c r="BC837" i="2"/>
  <c r="M839" i="2"/>
  <c r="BA751" i="2"/>
  <c r="BA696" i="2"/>
  <c r="B697" i="2"/>
  <c r="K620" i="2"/>
  <c r="AO460" i="2"/>
  <c r="BB458" i="2"/>
  <c r="BC458" i="2"/>
  <c r="D588" i="2"/>
  <c r="G588" i="2"/>
  <c r="L377" i="2"/>
  <c r="AA231" i="2"/>
  <c r="BR173" i="2"/>
  <c r="BQ173" i="2"/>
  <c r="DV159" i="2"/>
  <c r="BB156" i="2"/>
  <c r="AX216" i="2"/>
  <c r="BC156" i="2"/>
  <c r="BB179" i="2"/>
  <c r="BC179" i="2"/>
  <c r="AO163" i="2"/>
  <c r="Z169" i="2"/>
  <c r="AA169" i="2"/>
  <c r="EA207" i="2"/>
  <c r="DM207" i="2"/>
  <c r="CY207" i="2"/>
  <c r="M104" i="2"/>
  <c r="BP90" i="2"/>
  <c r="AF69" i="2"/>
  <c r="BB841" i="2"/>
  <c r="BC841" i="2"/>
  <c r="AX883" i="2"/>
  <c r="AA828" i="2"/>
  <c r="L753" i="2"/>
  <c r="AO685" i="2"/>
  <c r="K607" i="2"/>
  <c r="K531" i="2"/>
  <c r="D587" i="2"/>
  <c r="G587" i="2"/>
  <c r="Y452" i="2"/>
  <c r="Z452" i="2"/>
  <c r="R503" i="2"/>
  <c r="AT439" i="2"/>
  <c r="AM379" i="2"/>
  <c r="AF429" i="2"/>
  <c r="B401" i="2"/>
  <c r="AX366" i="2"/>
  <c r="BB229" i="2"/>
  <c r="K230" i="2"/>
  <c r="D290" i="2"/>
  <c r="G290" i="2"/>
  <c r="AM235" i="2"/>
  <c r="M164" i="2"/>
  <c r="BA165" i="2"/>
  <c r="BA169" i="2"/>
  <c r="AT217" i="2"/>
  <c r="AW217" i="2"/>
  <c r="K183" i="2"/>
  <c r="B155" i="2"/>
  <c r="K155" i="2"/>
  <c r="L155" i="2"/>
  <c r="D207" i="2"/>
  <c r="L96" i="2"/>
  <c r="M96" i="2"/>
  <c r="H144" i="2"/>
  <c r="H143" i="2"/>
  <c r="U142" i="2"/>
  <c r="BM143" i="2"/>
  <c r="B11" i="2"/>
  <c r="D69" i="2"/>
  <c r="H69" i="2"/>
  <c r="G69" i="2"/>
  <c r="BB902" i="2"/>
  <c r="BC902" i="2"/>
  <c r="BA845" i="2"/>
  <c r="BB845" i="2"/>
  <c r="BC845" i="2"/>
  <c r="AT884" i="2"/>
  <c r="AW884" i="2"/>
  <c r="BW651" i="2"/>
  <c r="K603" i="2"/>
  <c r="L603" i="2"/>
  <c r="CR523" i="2"/>
  <c r="CS522" i="2"/>
  <c r="AM531" i="2"/>
  <c r="M532" i="2"/>
  <c r="M314" i="2"/>
  <c r="BR164" i="2"/>
  <c r="BC176" i="2"/>
  <c r="AJ218" i="2"/>
  <c r="AI218" i="2"/>
  <c r="CD81" i="2"/>
  <c r="CE80" i="2"/>
  <c r="B85" i="2"/>
  <c r="BM70" i="2"/>
  <c r="K754" i="2"/>
  <c r="AM606" i="2"/>
  <c r="D366" i="2"/>
  <c r="BA251" i="2"/>
  <c r="BB174" i="2"/>
  <c r="BC174" i="2"/>
  <c r="AN174" i="2"/>
  <c r="AO174" i="2"/>
  <c r="AO167" i="2"/>
  <c r="Z166" i="2"/>
  <c r="AA166" i="2"/>
  <c r="L167" i="2"/>
  <c r="M167" i="2"/>
  <c r="L157" i="2"/>
  <c r="B187" i="2"/>
  <c r="DV80" i="2"/>
  <c r="BM144" i="2"/>
  <c r="V69" i="2"/>
  <c r="U69" i="2"/>
  <c r="AF586" i="2"/>
  <c r="BP254" i="2"/>
  <c r="DU154" i="2"/>
  <c r="DU157" i="2"/>
  <c r="DV157" i="2"/>
  <c r="BC172" i="2"/>
  <c r="BB172" i="2"/>
  <c r="AO165" i="2"/>
  <c r="AN165" i="2"/>
  <c r="AJ215" i="2"/>
  <c r="Z174" i="2"/>
  <c r="AA174" i="2"/>
  <c r="K174" i="2"/>
  <c r="L174" i="2"/>
  <c r="M174" i="2"/>
  <c r="DR137" i="2"/>
  <c r="DU85" i="2"/>
  <c r="DV85" i="2"/>
  <c r="BA99" i="2"/>
  <c r="BB99" i="2"/>
  <c r="BC99" i="2"/>
  <c r="AM90" i="2"/>
  <c r="B109" i="2"/>
  <c r="AF144" i="2"/>
  <c r="AM84" i="2"/>
  <c r="AM88" i="2"/>
  <c r="AN88" i="2"/>
  <c r="AO88" i="2"/>
  <c r="CF4" i="2"/>
  <c r="BI70" i="2"/>
  <c r="Y456" i="2"/>
  <c r="BQ187" i="2"/>
  <c r="BR187" i="2"/>
  <c r="DG153" i="2"/>
  <c r="DH153" i="2"/>
  <c r="CK207" i="2"/>
  <c r="BP170" i="2"/>
  <c r="BA178" i="2"/>
  <c r="AF207" i="2"/>
  <c r="AM156" i="2"/>
  <c r="AN156" i="2"/>
  <c r="DU78" i="2"/>
  <c r="DT79" i="2"/>
  <c r="DU79" i="2"/>
  <c r="DV79" i="2"/>
  <c r="CT78" i="2"/>
  <c r="BA101" i="2"/>
  <c r="BM69" i="2"/>
  <c r="AF68" i="2"/>
  <c r="H70" i="2"/>
  <c r="BB231" i="2"/>
  <c r="DG152" i="2"/>
  <c r="AN172" i="2"/>
  <c r="AO172" i="2"/>
  <c r="AN182" i="2"/>
  <c r="AO182" i="2"/>
  <c r="L84" i="2"/>
  <c r="AO109" i="2"/>
  <c r="AA89" i="2"/>
  <c r="Z89" i="2"/>
  <c r="L85" i="2"/>
  <c r="M85" i="2"/>
  <c r="AM85" i="2"/>
  <c r="AN85" i="2"/>
  <c r="AO85" i="2"/>
  <c r="BI133" i="2"/>
  <c r="BI141" i="2"/>
  <c r="BR85" i="2"/>
  <c r="AJ69" i="2"/>
  <c r="AX67" i="2"/>
  <c r="BC247" i="2"/>
  <c r="BQ171" i="2"/>
  <c r="BR171" i="2"/>
  <c r="BC166" i="2"/>
  <c r="BB166" i="2"/>
  <c r="AX218" i="2"/>
  <c r="AW218" i="2"/>
  <c r="Z168" i="2"/>
  <c r="AA168" i="2"/>
  <c r="EI79" i="2"/>
  <c r="EJ79" i="2"/>
  <c r="BA95" i="2"/>
  <c r="BB95" i="2"/>
  <c r="BC95" i="2"/>
  <c r="AM87" i="2"/>
  <c r="AN87" i="2"/>
  <c r="AO87" i="2"/>
  <c r="AF142" i="2"/>
  <c r="BR83" i="2"/>
  <c r="AT68" i="2"/>
  <c r="M389" i="2"/>
  <c r="BB258" i="2"/>
  <c r="BC258" i="2"/>
  <c r="BQ251" i="2"/>
  <c r="AN155" i="2"/>
  <c r="L166" i="2"/>
  <c r="M166" i="2"/>
  <c r="BP172" i="2"/>
  <c r="BQ172" i="2"/>
  <c r="BR172" i="2"/>
  <c r="D217" i="2"/>
  <c r="G217" i="2"/>
  <c r="D144" i="2"/>
  <c r="BP87" i="2"/>
  <c r="AF59" i="2"/>
  <c r="AF67" i="2"/>
  <c r="D68" i="2"/>
  <c r="BM68" i="2"/>
  <c r="L13" i="2"/>
  <c r="BQ185" i="2"/>
  <c r="BR185" i="2"/>
  <c r="AN166" i="2"/>
  <c r="AO166" i="2"/>
  <c r="AN157" i="2"/>
  <c r="AO183" i="2"/>
  <c r="Z167" i="2"/>
  <c r="AA167" i="2"/>
  <c r="L175" i="2"/>
  <c r="M175" i="2"/>
  <c r="BP175" i="2"/>
  <c r="BQ175" i="2"/>
  <c r="BR175" i="2"/>
  <c r="Y173" i="2"/>
  <c r="Y177" i="2"/>
  <c r="Z177" i="2"/>
  <c r="AA177" i="2"/>
  <c r="K169" i="2"/>
  <c r="CR80" i="2"/>
  <c r="CS79" i="2"/>
  <c r="AN83" i="2"/>
  <c r="AO83" i="2"/>
  <c r="AM89" i="2"/>
  <c r="Z81" i="2"/>
  <c r="AA81" i="2"/>
  <c r="EI78" i="2"/>
  <c r="CK133" i="2"/>
  <c r="AX142" i="2"/>
  <c r="B89" i="2"/>
  <c r="BC81" i="2"/>
  <c r="K108" i="2"/>
  <c r="BB87" i="2"/>
  <c r="BC87" i="2"/>
  <c r="BQ85" i="2"/>
  <c r="CY59" i="2"/>
  <c r="AT69" i="2"/>
  <c r="EH154" i="2"/>
  <c r="EI153" i="2"/>
  <c r="EJ153" i="2"/>
  <c r="AN171" i="2"/>
  <c r="AO171" i="2"/>
  <c r="Y182" i="2"/>
  <c r="Z182" i="2"/>
  <c r="AA182" i="2"/>
  <c r="AT133" i="2"/>
  <c r="D142" i="2"/>
  <c r="B81" i="2"/>
  <c r="K82" i="2"/>
  <c r="L82" i="2"/>
  <c r="AX141" i="2"/>
  <c r="AJ141" i="2"/>
  <c r="AO81" i="2"/>
  <c r="BA100" i="2"/>
  <c r="BA104" i="2"/>
  <c r="BA108" i="2"/>
  <c r="BR89" i="2"/>
  <c r="CE6" i="2"/>
  <c r="CF6" i="2"/>
  <c r="D67" i="2"/>
  <c r="B7" i="2"/>
  <c r="D59" i="2"/>
  <c r="AJ67" i="2"/>
  <c r="BB168" i="2"/>
  <c r="BC168" i="2"/>
  <c r="BB158" i="2"/>
  <c r="AJ144" i="2"/>
  <c r="AN84" i="2"/>
  <c r="M100" i="2"/>
  <c r="AJ142" i="2"/>
  <c r="BQ81" i="2"/>
  <c r="BM141" i="2"/>
  <c r="B39" i="2"/>
  <c r="Y186" i="2"/>
  <c r="K170" i="2"/>
  <c r="BC93" i="2"/>
  <c r="BB85" i="2"/>
  <c r="BC85" i="2"/>
  <c r="BI59" i="2"/>
  <c r="D70" i="2"/>
  <c r="Y88" i="2"/>
  <c r="Y86" i="2"/>
  <c r="V70" i="2"/>
  <c r="B31" i="2"/>
  <c r="H142" i="2"/>
  <c r="CK59" i="2"/>
  <c r="AI142" i="2"/>
  <c r="G144" i="2"/>
  <c r="AW144" i="2"/>
  <c r="BM145" i="2"/>
  <c r="AI144" i="2"/>
  <c r="BL142" i="2"/>
  <c r="V145" i="2"/>
  <c r="G142" i="2"/>
  <c r="G68" i="2"/>
  <c r="BL70" i="2"/>
  <c r="AI69" i="2"/>
  <c r="U68" i="2"/>
  <c r="B60" i="2"/>
  <c r="B61" i="2"/>
  <c r="A64" i="2"/>
  <c r="AW69" i="2"/>
  <c r="AI68" i="2"/>
  <c r="U70" i="2"/>
  <c r="AW68" i="2"/>
  <c r="V71" i="2"/>
  <c r="BQ109" i="2"/>
  <c r="BR109" i="2"/>
  <c r="BR81" i="2"/>
  <c r="EI154" i="2"/>
  <c r="EJ154" i="2"/>
  <c r="EH155" i="2"/>
  <c r="AF208" i="2"/>
  <c r="AG208" i="2"/>
  <c r="AF209" i="2"/>
  <c r="AF136" i="2"/>
  <c r="K11" i="2"/>
  <c r="AN606" i="2"/>
  <c r="AO606" i="2"/>
  <c r="AM610" i="2"/>
  <c r="CR524" i="2"/>
  <c r="CS523" i="2"/>
  <c r="CT523" i="2"/>
  <c r="BA903" i="2"/>
  <c r="BB899" i="2"/>
  <c r="DU820" i="2"/>
  <c r="DV820" i="2"/>
  <c r="DT821" i="2"/>
  <c r="L680" i="2"/>
  <c r="M680" i="2"/>
  <c r="K684" i="2"/>
  <c r="D293" i="2"/>
  <c r="G289" i="2"/>
  <c r="DG748" i="2"/>
  <c r="DH748" i="2"/>
  <c r="DF749" i="2"/>
  <c r="DM726" i="2"/>
  <c r="DN726" i="2"/>
  <c r="DM727" i="2"/>
  <c r="DM654" i="2"/>
  <c r="CT601" i="2"/>
  <c r="CY726" i="2"/>
  <c r="CZ726" i="2"/>
  <c r="CY727" i="2"/>
  <c r="CY654" i="2"/>
  <c r="Z659" i="2"/>
  <c r="AA603" i="2"/>
  <c r="L384" i="2"/>
  <c r="M384" i="2"/>
  <c r="K388" i="2"/>
  <c r="M673" i="2"/>
  <c r="BB553" i="2"/>
  <c r="BC553" i="2"/>
  <c r="AM486" i="2"/>
  <c r="AN486" i="2"/>
  <c r="AO486" i="2"/>
  <c r="AN482" i="2"/>
  <c r="AO482" i="2"/>
  <c r="K758" i="2"/>
  <c r="L754" i="2"/>
  <c r="M754" i="2"/>
  <c r="CE8" i="2"/>
  <c r="CF8" i="2"/>
  <c r="CD9" i="2"/>
  <c r="M600" i="2"/>
  <c r="DU525" i="2"/>
  <c r="DV525" i="2"/>
  <c r="DT526" i="2"/>
  <c r="BW875" i="2"/>
  <c r="BW802" i="2"/>
  <c r="BW874" i="2"/>
  <c r="BX874" i="2"/>
  <c r="E1029" i="2"/>
  <c r="D1033" i="2"/>
  <c r="G1029" i="2"/>
  <c r="AA975" i="2"/>
  <c r="CK1023" i="2"/>
  <c r="CK1022" i="2"/>
  <c r="CL1022" i="2"/>
  <c r="CK950" i="2"/>
  <c r="Y696" i="2"/>
  <c r="Z692" i="2"/>
  <c r="AA692" i="2"/>
  <c r="BC972" i="2"/>
  <c r="Y769" i="2"/>
  <c r="Z765" i="2"/>
  <c r="AO453" i="2"/>
  <c r="D71" i="2"/>
  <c r="G67" i="2"/>
  <c r="AN363" i="2"/>
  <c r="AO307" i="2"/>
  <c r="AT293" i="2"/>
  <c r="AW289" i="2"/>
  <c r="B282" i="2"/>
  <c r="B283" i="2"/>
  <c r="B284" i="2"/>
  <c r="AA972" i="2"/>
  <c r="M229" i="2"/>
  <c r="CT897" i="2"/>
  <c r="CO949" i="2"/>
  <c r="CP949" i="2"/>
  <c r="CY950" i="2"/>
  <c r="CY1023" i="2"/>
  <c r="CY1022" i="2"/>
  <c r="CZ1022" i="2"/>
  <c r="AF293" i="2"/>
  <c r="AI289" i="2"/>
  <c r="BA317" i="2"/>
  <c r="BB313" i="2"/>
  <c r="K825" i="2"/>
  <c r="L821" i="2"/>
  <c r="AM257" i="2"/>
  <c r="AN253" i="2"/>
  <c r="AO253" i="2"/>
  <c r="BC600" i="2"/>
  <c r="CY61" i="2"/>
  <c r="CY60" i="2"/>
  <c r="CZ60" i="2"/>
  <c r="AM93" i="2"/>
  <c r="AN89" i="2"/>
  <c r="AO89" i="2"/>
  <c r="AF430" i="2"/>
  <c r="AG430" i="2"/>
  <c r="AF431" i="2"/>
  <c r="AF358" i="2"/>
  <c r="R515" i="2"/>
  <c r="U511" i="2"/>
  <c r="Z881" i="2"/>
  <c r="AA821" i="2"/>
  <c r="AN218" i="2"/>
  <c r="AO218" i="2"/>
  <c r="AU1029" i="2"/>
  <c r="AW1029" i="2"/>
  <c r="AT1033" i="2"/>
  <c r="AU1033" i="2"/>
  <c r="CT819" i="2"/>
  <c r="AO600" i="2"/>
  <c r="AN989" i="2"/>
  <c r="AO989" i="2"/>
  <c r="AM993" i="2"/>
  <c r="DF898" i="2"/>
  <c r="DG897" i="2"/>
  <c r="DH897" i="2"/>
  <c r="DU449" i="2"/>
  <c r="DV449" i="2"/>
  <c r="DT450" i="2"/>
  <c r="AM621" i="2"/>
  <c r="AN617" i="2"/>
  <c r="AO617" i="2"/>
  <c r="M13" i="2"/>
  <c r="BA182" i="2"/>
  <c r="BB178" i="2"/>
  <c r="BC178" i="2"/>
  <c r="DV154" i="2"/>
  <c r="DQ209" i="2"/>
  <c r="DR209" i="2"/>
  <c r="CF80" i="2"/>
  <c r="M155" i="2"/>
  <c r="DH374" i="2"/>
  <c r="CT449" i="2"/>
  <c r="DG523" i="2"/>
  <c r="DH523" i="2"/>
  <c r="DF524" i="2"/>
  <c r="AA377" i="2"/>
  <c r="DM875" i="2"/>
  <c r="DM802" i="2"/>
  <c r="DM874" i="2"/>
  <c r="DN874" i="2"/>
  <c r="AT515" i="2"/>
  <c r="AW512" i="2"/>
  <c r="BC231" i="2"/>
  <c r="B430" i="2"/>
  <c r="B431" i="2"/>
  <c r="B432" i="2"/>
  <c r="K624" i="2"/>
  <c r="L620" i="2"/>
  <c r="M620" i="2"/>
  <c r="DG375" i="2"/>
  <c r="DH375" i="2"/>
  <c r="DF376" i="2"/>
  <c r="BA684" i="2"/>
  <c r="BB684" i="2"/>
  <c r="BC684" i="2"/>
  <c r="BB680" i="2"/>
  <c r="BC680" i="2"/>
  <c r="K994" i="2"/>
  <c r="L990" i="2"/>
  <c r="M990" i="2"/>
  <c r="AO380" i="2"/>
  <c r="AT145" i="2"/>
  <c r="AW141" i="2"/>
  <c r="E1030" i="2"/>
  <c r="G1030" i="2"/>
  <c r="K479" i="2"/>
  <c r="L475" i="2"/>
  <c r="M475" i="2"/>
  <c r="AM917" i="2"/>
  <c r="AN917" i="2"/>
  <c r="AO917" i="2"/>
  <c r="AN913" i="2"/>
  <c r="AO913" i="2"/>
  <c r="L981" i="2"/>
  <c r="M981" i="2"/>
  <c r="K985" i="2"/>
  <c r="K97" i="2"/>
  <c r="K239" i="2"/>
  <c r="L235" i="2"/>
  <c r="M235" i="2"/>
  <c r="AM392" i="2"/>
  <c r="AN388" i="2"/>
  <c r="AO388" i="2"/>
  <c r="AM1000" i="2"/>
  <c r="AN996" i="2"/>
  <c r="DH522" i="2"/>
  <c r="AN473" i="2"/>
  <c r="AO473" i="2"/>
  <c r="AM477" i="2"/>
  <c r="AO528" i="2"/>
  <c r="DM358" i="2"/>
  <c r="DM430" i="2"/>
  <c r="DN430" i="2"/>
  <c r="DM431" i="2"/>
  <c r="DV448" i="2"/>
  <c r="BM219" i="2"/>
  <c r="V367" i="2"/>
  <c r="U365" i="2"/>
  <c r="BQ105" i="2"/>
  <c r="BR105" i="2"/>
  <c r="K187" i="2"/>
  <c r="L187" i="2"/>
  <c r="M187" i="2"/>
  <c r="L183" i="2"/>
  <c r="M183" i="2"/>
  <c r="L218" i="2"/>
  <c r="M218" i="2"/>
  <c r="AM681" i="2"/>
  <c r="AN681" i="2"/>
  <c r="AO681" i="2"/>
  <c r="AN677" i="2"/>
  <c r="BB970" i="2"/>
  <c r="BA974" i="2"/>
  <c r="K621" i="2"/>
  <c r="L617" i="2"/>
  <c r="M617" i="2"/>
  <c r="BB975" i="2"/>
  <c r="H293" i="2"/>
  <c r="M899" i="2"/>
  <c r="BR163" i="2"/>
  <c r="Y90" i="2"/>
  <c r="Z86" i="2"/>
  <c r="BA105" i="2"/>
  <c r="BB101" i="2"/>
  <c r="BC101" i="2"/>
  <c r="AI586" i="2"/>
  <c r="AF589" i="2"/>
  <c r="BB687" i="2"/>
  <c r="BC687" i="2"/>
  <c r="BA691" i="2"/>
  <c r="D357" i="2"/>
  <c r="D356" i="2"/>
  <c r="E356" i="2"/>
  <c r="D284" i="2"/>
  <c r="AU1030" i="2"/>
  <c r="AW1030" i="2"/>
  <c r="CP433" i="2"/>
  <c r="CR382" i="2"/>
  <c r="CS381" i="2"/>
  <c r="CT381" i="2"/>
  <c r="CS970" i="2"/>
  <c r="CT970" i="2"/>
  <c r="CR971" i="2"/>
  <c r="AA383" i="2"/>
  <c r="Z884" i="2"/>
  <c r="AA884" i="2"/>
  <c r="L387" i="2"/>
  <c r="M387" i="2"/>
  <c r="K391" i="2"/>
  <c r="L391" i="2"/>
  <c r="M391" i="2"/>
  <c r="M601" i="2"/>
  <c r="D62" i="2"/>
  <c r="D134" i="2"/>
  <c r="E134" i="2"/>
  <c r="D135" i="2"/>
  <c r="AM906" i="2"/>
  <c r="AN902" i="2"/>
  <c r="AO902" i="2"/>
  <c r="CD822" i="2"/>
  <c r="CE821" i="2"/>
  <c r="CF821" i="2"/>
  <c r="BA764" i="2"/>
  <c r="BB760" i="2"/>
  <c r="BC760" i="2"/>
  <c r="L832" i="2"/>
  <c r="M832" i="2"/>
  <c r="K836" i="2"/>
  <c r="Z88" i="2"/>
  <c r="AA88" i="2"/>
  <c r="Y92" i="2"/>
  <c r="BB108" i="2"/>
  <c r="BC108" i="2"/>
  <c r="BA112" i="2"/>
  <c r="K178" i="2"/>
  <c r="L178" i="2"/>
  <c r="M178" i="2"/>
  <c r="L172" i="2"/>
  <c r="M172" i="2"/>
  <c r="BA173" i="2"/>
  <c r="BB169" i="2"/>
  <c r="BC169" i="2"/>
  <c r="BA700" i="2"/>
  <c r="BB696" i="2"/>
  <c r="BC696" i="2"/>
  <c r="DM578" i="2"/>
  <c r="DN578" i="2"/>
  <c r="DM506" i="2"/>
  <c r="DM579" i="2"/>
  <c r="BL289" i="2"/>
  <c r="BM293" i="2"/>
  <c r="AT728" i="2"/>
  <c r="AT800" i="2"/>
  <c r="AU800" i="2"/>
  <c r="AT801" i="2"/>
  <c r="Y536" i="2"/>
  <c r="Z532" i="2"/>
  <c r="AA532" i="2"/>
  <c r="L980" i="2"/>
  <c r="M980" i="2"/>
  <c r="K984" i="2"/>
  <c r="AM323" i="2"/>
  <c r="AN323" i="2"/>
  <c r="AN319" i="2"/>
  <c r="AO319" i="2"/>
  <c r="Y87" i="2"/>
  <c r="Z83" i="2"/>
  <c r="L761" i="2"/>
  <c r="M761" i="2"/>
  <c r="K765" i="2"/>
  <c r="D653" i="2"/>
  <c r="D580" i="2"/>
  <c r="D652" i="2"/>
  <c r="E652" i="2"/>
  <c r="A656" i="2"/>
  <c r="L912" i="2"/>
  <c r="M912" i="2"/>
  <c r="K916" i="2"/>
  <c r="Y234" i="2"/>
  <c r="Z230" i="2"/>
  <c r="AF802" i="2"/>
  <c r="AF875" i="2"/>
  <c r="AF874" i="2"/>
  <c r="AG874" i="2"/>
  <c r="R358" i="2"/>
  <c r="R430" i="2"/>
  <c r="S430" i="2"/>
  <c r="R431" i="2"/>
  <c r="Z958" i="2"/>
  <c r="AA958" i="2"/>
  <c r="AA898" i="2"/>
  <c r="DH818" i="2"/>
  <c r="BA613" i="2"/>
  <c r="BB609" i="2"/>
  <c r="BC609" i="2"/>
  <c r="CF671" i="2"/>
  <c r="AO895" i="2"/>
  <c r="G143" i="2"/>
  <c r="AF949" i="2"/>
  <c r="AF876" i="2"/>
  <c r="AF948" i="2"/>
  <c r="AG948" i="2"/>
  <c r="L986" i="2"/>
  <c r="M986" i="2"/>
  <c r="AN405" i="2"/>
  <c r="AO405" i="2"/>
  <c r="AM409" i="2"/>
  <c r="AM830" i="2"/>
  <c r="AN826" i="2"/>
  <c r="AF145" i="2"/>
  <c r="AI141" i="2"/>
  <c r="BB100" i="2"/>
  <c r="AO84" i="2"/>
  <c r="BQ97" i="2"/>
  <c r="BR97" i="2"/>
  <c r="CK135" i="2"/>
  <c r="CK134" i="2"/>
  <c r="CL134" i="2"/>
  <c r="CK62" i="2"/>
  <c r="R504" i="2"/>
  <c r="S504" i="2"/>
  <c r="R505" i="2"/>
  <c r="R432" i="2"/>
  <c r="BA755" i="2"/>
  <c r="BB751" i="2"/>
  <c r="BC751" i="2"/>
  <c r="Z176" i="2"/>
  <c r="AA176" i="2"/>
  <c r="Y180" i="2"/>
  <c r="V737" i="2"/>
  <c r="BP176" i="2"/>
  <c r="AJ589" i="2"/>
  <c r="AI585" i="2"/>
  <c r="G363" i="2"/>
  <c r="D367" i="2"/>
  <c r="AM534" i="2"/>
  <c r="AN530" i="2"/>
  <c r="AO530" i="2"/>
  <c r="R136" i="2"/>
  <c r="R208" i="2"/>
  <c r="S208" i="2"/>
  <c r="R209" i="2"/>
  <c r="AI735" i="2"/>
  <c r="Z693" i="2"/>
  <c r="AA693" i="2"/>
  <c r="Y697" i="2"/>
  <c r="Z237" i="2"/>
  <c r="AA237" i="2"/>
  <c r="Y241" i="2"/>
  <c r="AN841" i="2"/>
  <c r="AO841" i="2"/>
  <c r="AM845" i="2"/>
  <c r="R726" i="2"/>
  <c r="S726" i="2"/>
  <c r="R654" i="2"/>
  <c r="R727" i="2"/>
  <c r="M675" i="2"/>
  <c r="AN99" i="2"/>
  <c r="AO99" i="2"/>
  <c r="AM103" i="2"/>
  <c r="AN905" i="2"/>
  <c r="AO905" i="2"/>
  <c r="AJ145" i="2"/>
  <c r="EJ78" i="2"/>
  <c r="CT79" i="2"/>
  <c r="AX71" i="2"/>
  <c r="BA103" i="2"/>
  <c r="BB165" i="2"/>
  <c r="BC165" i="2"/>
  <c r="AM92" i="2"/>
  <c r="AA452" i="2"/>
  <c r="CY136" i="2"/>
  <c r="CY209" i="2"/>
  <c r="CY208" i="2"/>
  <c r="CZ208" i="2"/>
  <c r="CY579" i="2"/>
  <c r="CY578" i="2"/>
  <c r="CZ578" i="2"/>
  <c r="CY506" i="2"/>
  <c r="K689" i="2"/>
  <c r="L685" i="2"/>
  <c r="M685" i="2"/>
  <c r="U1031" i="2"/>
  <c r="S1031" i="2"/>
  <c r="Z933" i="2"/>
  <c r="V933" i="2"/>
  <c r="D663" i="2"/>
  <c r="G659" i="2"/>
  <c r="M974" i="2"/>
  <c r="BR82" i="2"/>
  <c r="K307" i="2"/>
  <c r="L303" i="2"/>
  <c r="R1033" i="2"/>
  <c r="S1033" i="2"/>
  <c r="U1029" i="2"/>
  <c r="S1029" i="2"/>
  <c r="AO754" i="2"/>
  <c r="L604" i="2"/>
  <c r="M604" i="2"/>
  <c r="K608" i="2"/>
  <c r="L608" i="2"/>
  <c r="M608" i="2"/>
  <c r="R728" i="2"/>
  <c r="R801" i="2"/>
  <c r="R800" i="2"/>
  <c r="S800" i="2"/>
  <c r="M452" i="2"/>
  <c r="EJ227" i="2"/>
  <c r="DG83" i="2"/>
  <c r="DF84" i="2"/>
  <c r="AN687" i="2"/>
  <c r="AM691" i="2"/>
  <c r="BB467" i="2"/>
  <c r="BA471" i="2"/>
  <c r="BL218" i="2"/>
  <c r="BI219" i="2"/>
  <c r="Z999" i="2"/>
  <c r="AA999" i="2"/>
  <c r="Y1003" i="2"/>
  <c r="Z1003" i="2"/>
  <c r="AA1003" i="2"/>
  <c r="AT1023" i="2"/>
  <c r="AT1022" i="2"/>
  <c r="AU1022" i="2"/>
  <c r="AT950" i="2"/>
  <c r="CF376" i="2"/>
  <c r="K911" i="2"/>
  <c r="L907" i="2"/>
  <c r="M907" i="2"/>
  <c r="BB82" i="2"/>
  <c r="BA86" i="2"/>
  <c r="AO82" i="2"/>
  <c r="BA904" i="2"/>
  <c r="D800" i="2"/>
  <c r="E800" i="2"/>
  <c r="D801" i="2"/>
  <c r="D728" i="2"/>
  <c r="M527" i="2"/>
  <c r="Y907" i="2"/>
  <c r="Z903" i="2"/>
  <c r="AA903" i="2"/>
  <c r="BI60" i="2"/>
  <c r="BJ60" i="2"/>
  <c r="BI61" i="2"/>
  <c r="BQ90" i="2"/>
  <c r="BR90" i="2"/>
  <c r="BP94" i="2"/>
  <c r="AA312" i="2"/>
  <c r="M231" i="2"/>
  <c r="Z181" i="2"/>
  <c r="AA181" i="2"/>
  <c r="Y185" i="2"/>
  <c r="Y391" i="2"/>
  <c r="Z387" i="2"/>
  <c r="BA762" i="2"/>
  <c r="BB758" i="2"/>
  <c r="BC758" i="2"/>
  <c r="CR603" i="2"/>
  <c r="CS602" i="2"/>
  <c r="CT602" i="2"/>
  <c r="M753" i="2"/>
  <c r="Y847" i="2"/>
  <c r="Z843" i="2"/>
  <c r="AA843" i="2"/>
  <c r="BP258" i="2"/>
  <c r="BQ258" i="2"/>
  <c r="BR258" i="2"/>
  <c r="BQ254" i="2"/>
  <c r="CS821" i="2"/>
  <c r="CT821" i="2"/>
  <c r="CR822" i="2"/>
  <c r="DH896" i="2"/>
  <c r="AO157" i="2"/>
  <c r="BP174" i="2"/>
  <c r="BQ170" i="2"/>
  <c r="BB979" i="2"/>
  <c r="BC979" i="2"/>
  <c r="BA983" i="2"/>
  <c r="CK136" i="2"/>
  <c r="CK209" i="2"/>
  <c r="CK208" i="2"/>
  <c r="CL208" i="2"/>
  <c r="AN379" i="2"/>
  <c r="AM383" i="2"/>
  <c r="DM1023" i="2"/>
  <c r="DM950" i="2"/>
  <c r="DM1022" i="2"/>
  <c r="DN1022" i="2"/>
  <c r="M674" i="2"/>
  <c r="Z186" i="2"/>
  <c r="AA186" i="2"/>
  <c r="Y190" i="2"/>
  <c r="Z190" i="2"/>
  <c r="AA190" i="2"/>
  <c r="BC158" i="2"/>
  <c r="AJ71" i="2"/>
  <c r="AX145" i="2"/>
  <c r="CS80" i="2"/>
  <c r="CT80" i="2"/>
  <c r="CR81" i="2"/>
  <c r="AF60" i="2"/>
  <c r="AG60" i="2"/>
  <c r="AF61" i="2"/>
  <c r="AN215" i="2"/>
  <c r="AO155" i="2"/>
  <c r="M84" i="2"/>
  <c r="DM136" i="2"/>
  <c r="DM209" i="2"/>
  <c r="DM208" i="2"/>
  <c r="DN208" i="2"/>
  <c r="G882" i="2"/>
  <c r="Y320" i="2"/>
  <c r="Z316" i="2"/>
  <c r="AA316" i="2"/>
  <c r="AT874" i="2"/>
  <c r="AU874" i="2"/>
  <c r="AT802" i="2"/>
  <c r="AT875" i="2"/>
  <c r="AN761" i="2"/>
  <c r="AM765" i="2"/>
  <c r="H959" i="2"/>
  <c r="AG1029" i="2"/>
  <c r="AI1029" i="2"/>
  <c r="AF1033" i="2"/>
  <c r="AG1033" i="2"/>
  <c r="AM835" i="2"/>
  <c r="AN831" i="2"/>
  <c r="Z752" i="2"/>
  <c r="Y756" i="2"/>
  <c r="Y317" i="2"/>
  <c r="Z313" i="2"/>
  <c r="AA313" i="2"/>
  <c r="BC934" i="2"/>
  <c r="AY934" i="2"/>
  <c r="BD934" i="2"/>
  <c r="AX958" i="2"/>
  <c r="AW958" i="2"/>
  <c r="CE377" i="2"/>
  <c r="CF377" i="2"/>
  <c r="CD378" i="2"/>
  <c r="AT727" i="2"/>
  <c r="AT654" i="2"/>
  <c r="AT726" i="2"/>
  <c r="AU726" i="2"/>
  <c r="CD157" i="2"/>
  <c r="CE156" i="2"/>
  <c r="CF156" i="2"/>
  <c r="Y909" i="2"/>
  <c r="BA557" i="2"/>
  <c r="BB557" i="2"/>
  <c r="BC557" i="2"/>
  <c r="Z173" i="2"/>
  <c r="AA173" i="2"/>
  <c r="M82" i="2"/>
  <c r="K173" i="2"/>
  <c r="L169" i="2"/>
  <c r="M169" i="2"/>
  <c r="BQ87" i="2"/>
  <c r="BR87" i="2"/>
  <c r="BP91" i="2"/>
  <c r="BR251" i="2"/>
  <c r="BQ291" i="2"/>
  <c r="BR291" i="2"/>
  <c r="K180" i="2"/>
  <c r="Z456" i="2"/>
  <c r="AA456" i="2"/>
  <c r="Y460" i="2"/>
  <c r="BB251" i="2"/>
  <c r="BC251" i="2"/>
  <c r="BA255" i="2"/>
  <c r="K86" i="2"/>
  <c r="AM535" i="2"/>
  <c r="AN531" i="2"/>
  <c r="AO531" i="2"/>
  <c r="AM239" i="2"/>
  <c r="AN235" i="2"/>
  <c r="L531" i="2"/>
  <c r="M531" i="2"/>
  <c r="K535" i="2"/>
  <c r="L822" i="2"/>
  <c r="K826" i="2"/>
  <c r="BL69" i="2"/>
  <c r="BC753" i="2"/>
  <c r="AT208" i="2"/>
  <c r="AU208" i="2"/>
  <c r="AT136" i="2"/>
  <c r="AT209" i="2"/>
  <c r="AW882" i="2"/>
  <c r="AT885" i="2"/>
  <c r="M383" i="2"/>
  <c r="AX811" i="2"/>
  <c r="AA170" i="2"/>
  <c r="L529" i="2"/>
  <c r="M529" i="2"/>
  <c r="K533" i="2"/>
  <c r="AF959" i="2"/>
  <c r="BB980" i="2"/>
  <c r="BC980" i="2"/>
  <c r="BA984" i="2"/>
  <c r="AF737" i="2"/>
  <c r="AI733" i="2"/>
  <c r="CR377" i="2"/>
  <c r="CS376" i="2"/>
  <c r="CT376" i="2"/>
  <c r="L409" i="2"/>
  <c r="M409" i="2"/>
  <c r="K413" i="2"/>
  <c r="CF155" i="2"/>
  <c r="Z255" i="2"/>
  <c r="AA255" i="2"/>
  <c r="Y259" i="2"/>
  <c r="Z259" i="2"/>
  <c r="AA259" i="2"/>
  <c r="BB757" i="2"/>
  <c r="BC757" i="2"/>
  <c r="BA761" i="2"/>
  <c r="AN605" i="2"/>
  <c r="AM609" i="2"/>
  <c r="AN609" i="2"/>
  <c r="AO609" i="2"/>
  <c r="CY800" i="2"/>
  <c r="CZ800" i="2"/>
  <c r="CY728" i="2"/>
  <c r="CY801" i="2"/>
  <c r="D578" i="2"/>
  <c r="E578" i="2"/>
  <c r="D506" i="2"/>
  <c r="D579" i="2"/>
  <c r="DM282" i="2"/>
  <c r="DN282" i="2"/>
  <c r="DM210" i="2"/>
  <c r="DM283" i="2"/>
  <c r="EI228" i="2"/>
  <c r="EJ228" i="2"/>
  <c r="EH229" i="2"/>
  <c r="BQ101" i="2"/>
  <c r="BR101" i="2"/>
  <c r="AM94" i="2"/>
  <c r="AN90" i="2"/>
  <c r="AO90" i="2"/>
  <c r="M157" i="2"/>
  <c r="G366" i="2"/>
  <c r="CT522" i="2"/>
  <c r="BC163" i="2"/>
  <c r="BB215" i="2"/>
  <c r="AO526" i="2"/>
  <c r="DV819" i="2"/>
  <c r="M156" i="2"/>
  <c r="AA232" i="2"/>
  <c r="BP257" i="2"/>
  <c r="BQ253" i="2"/>
  <c r="S1032" i="2"/>
  <c r="U1032" i="2"/>
  <c r="D505" i="2"/>
  <c r="D432" i="2"/>
  <c r="D504" i="2"/>
  <c r="E504" i="2"/>
  <c r="A508" i="2"/>
  <c r="AI216" i="2"/>
  <c r="AF219" i="2"/>
  <c r="BB462" i="2"/>
  <c r="BA466" i="2"/>
  <c r="DH747" i="2"/>
  <c r="AJ293" i="2"/>
  <c r="U659" i="2"/>
  <c r="R663" i="2"/>
  <c r="AO310" i="2"/>
  <c r="K606" i="2"/>
  <c r="L602" i="2"/>
  <c r="BC676" i="2"/>
  <c r="AN987" i="2"/>
  <c r="AO987" i="2"/>
  <c r="AM991" i="2"/>
  <c r="BQ84" i="2"/>
  <c r="BP88" i="2"/>
  <c r="BC747" i="2"/>
  <c r="BC898" i="2"/>
  <c r="BB756" i="2"/>
  <c r="BC756" i="2"/>
  <c r="BB539" i="2"/>
  <c r="BC539" i="2"/>
  <c r="BA543" i="2"/>
  <c r="BC822" i="2"/>
  <c r="BB882" i="2"/>
  <c r="BC882" i="2"/>
  <c r="U217" i="2"/>
  <c r="AO241" i="2"/>
  <c r="Y981" i="2"/>
  <c r="Z977" i="2"/>
  <c r="AA977" i="2"/>
  <c r="M975" i="2"/>
  <c r="L1031" i="2"/>
  <c r="M1031" i="2"/>
  <c r="Y392" i="2"/>
  <c r="Z388" i="2"/>
  <c r="AA388" i="2"/>
  <c r="BB973" i="2"/>
  <c r="BA977" i="2"/>
  <c r="AM766" i="2"/>
  <c r="AN762" i="2"/>
  <c r="AO762" i="2"/>
  <c r="CS154" i="2"/>
  <c r="CR155" i="2"/>
  <c r="CB1025" i="2"/>
  <c r="CE972" i="2"/>
  <c r="CF972" i="2"/>
  <c r="CS898" i="2"/>
  <c r="CT898" i="2"/>
  <c r="CR899" i="2"/>
  <c r="CS899" i="2"/>
  <c r="CT899" i="2"/>
  <c r="M897" i="2"/>
  <c r="M380" i="2"/>
  <c r="L419" i="2"/>
  <c r="M419" i="2"/>
  <c r="K423" i="2"/>
  <c r="L423" i="2"/>
  <c r="M423" i="2"/>
  <c r="AJ367" i="2"/>
  <c r="DF820" i="2"/>
  <c r="DG819" i="2"/>
  <c r="DH819" i="2"/>
  <c r="K760" i="2"/>
  <c r="L756" i="2"/>
  <c r="L83" i="2"/>
  <c r="K87" i="2"/>
  <c r="BA608" i="2"/>
  <c r="BB604" i="2"/>
  <c r="BC604" i="2"/>
  <c r="BB396" i="2"/>
  <c r="BC396" i="2"/>
  <c r="BA400" i="2"/>
  <c r="CF599" i="2"/>
  <c r="BB393" i="2"/>
  <c r="BA397" i="2"/>
  <c r="D515" i="2"/>
  <c r="G511" i="2"/>
  <c r="B504" i="2"/>
  <c r="B505" i="2"/>
  <c r="B506" i="2"/>
  <c r="DM728" i="2"/>
  <c r="DM800" i="2"/>
  <c r="DN800" i="2"/>
  <c r="DM801" i="2"/>
  <c r="G70" i="2"/>
  <c r="D61" i="2"/>
  <c r="D60" i="2"/>
  <c r="E60" i="2"/>
  <c r="B134" i="2"/>
  <c r="B135" i="2"/>
  <c r="A138" i="2"/>
  <c r="K12" i="2"/>
  <c r="BI62" i="2"/>
  <c r="BI134" i="2"/>
  <c r="BJ134" i="2"/>
  <c r="BI135" i="2"/>
  <c r="DV78" i="2"/>
  <c r="DQ135" i="2"/>
  <c r="DR135" i="2"/>
  <c r="AJ219" i="2"/>
  <c r="CD82" i="2"/>
  <c r="CE81" i="2"/>
  <c r="CF81" i="2"/>
  <c r="BW580" i="2"/>
  <c r="BW653" i="2"/>
  <c r="BW652" i="2"/>
  <c r="BX652" i="2"/>
  <c r="L230" i="2"/>
  <c r="K234" i="2"/>
  <c r="BL68" i="2"/>
  <c r="U736" i="2"/>
  <c r="DM357" i="2"/>
  <c r="DQ358" i="2"/>
  <c r="DR358" i="2"/>
  <c r="DM284" i="2"/>
  <c r="DM356" i="2"/>
  <c r="DN356" i="2"/>
  <c r="CT300" i="2"/>
  <c r="AM982" i="2"/>
  <c r="AN978" i="2"/>
  <c r="AO978" i="2"/>
  <c r="BB530" i="2"/>
  <c r="BC530" i="2"/>
  <c r="BA534" i="2"/>
  <c r="Z307" i="2"/>
  <c r="Y311" i="2"/>
  <c r="CY652" i="2"/>
  <c r="CZ652" i="2"/>
  <c r="CY653" i="2"/>
  <c r="CY580" i="2"/>
  <c r="R876" i="2"/>
  <c r="R949" i="2"/>
  <c r="R948" i="2"/>
  <c r="S948" i="2"/>
  <c r="AA899" i="2"/>
  <c r="BW61" i="2"/>
  <c r="BW60" i="2"/>
  <c r="BX60" i="2"/>
  <c r="BW505" i="2"/>
  <c r="BW504" i="2"/>
  <c r="BX504" i="2"/>
  <c r="BW432" i="2"/>
  <c r="AM317" i="2"/>
  <c r="AN313" i="2"/>
  <c r="AO313" i="2"/>
  <c r="BB678" i="2"/>
  <c r="BC678" i="2"/>
  <c r="AW585" i="2"/>
  <c r="AT589" i="2"/>
  <c r="DR357" i="2"/>
  <c r="Y916" i="2"/>
  <c r="AF506" i="2"/>
  <c r="AF578" i="2"/>
  <c r="AG578" i="2"/>
  <c r="AF579" i="2"/>
  <c r="D876" i="2"/>
  <c r="D948" i="2"/>
  <c r="E948" i="2"/>
  <c r="D949" i="2"/>
  <c r="CR674" i="2"/>
  <c r="CS673" i="2"/>
  <c r="DT675" i="2"/>
  <c r="DU674" i="2"/>
  <c r="DV674" i="2"/>
  <c r="AM694" i="2"/>
  <c r="AN690" i="2"/>
  <c r="CT227" i="2"/>
  <c r="CD601" i="2"/>
  <c r="CE600" i="2"/>
  <c r="CF600" i="2"/>
  <c r="AI215" i="2"/>
  <c r="AJ931" i="2"/>
  <c r="AN931" i="2"/>
  <c r="AT505" i="2"/>
  <c r="AT432" i="2"/>
  <c r="AT504" i="2"/>
  <c r="AU504" i="2"/>
  <c r="DH152" i="2"/>
  <c r="D208" i="2"/>
  <c r="E208" i="2"/>
  <c r="D136" i="2"/>
  <c r="D209" i="2"/>
  <c r="BC229" i="2"/>
  <c r="K611" i="2"/>
  <c r="L607" i="2"/>
  <c r="M607" i="2"/>
  <c r="G216" i="2"/>
  <c r="D219" i="2"/>
  <c r="BR260" i="2"/>
  <c r="BQ292" i="2"/>
  <c r="BR292" i="2"/>
  <c r="AN688" i="2"/>
  <c r="AM692" i="2"/>
  <c r="AA156" i="2"/>
  <c r="L906" i="2"/>
  <c r="M906" i="2"/>
  <c r="K910" i="2"/>
  <c r="Z382" i="2"/>
  <c r="Y386" i="2"/>
  <c r="G439" i="2"/>
  <c r="R367" i="2"/>
  <c r="U363" i="2"/>
  <c r="BW800" i="2"/>
  <c r="BX800" i="2"/>
  <c r="BW728" i="2"/>
  <c r="BW801" i="2"/>
  <c r="CA802" i="2"/>
  <c r="CB802" i="2"/>
  <c r="AF504" i="2"/>
  <c r="AG504" i="2"/>
  <c r="AF505" i="2"/>
  <c r="AF432" i="2"/>
  <c r="R71" i="2"/>
  <c r="U67" i="2"/>
  <c r="AW67" i="2"/>
  <c r="AT71" i="2"/>
  <c r="AW956" i="2"/>
  <c r="AX737" i="2"/>
  <c r="M972" i="2"/>
  <c r="BW506" i="2"/>
  <c r="BW579" i="2"/>
  <c r="BW578" i="2"/>
  <c r="BX578" i="2"/>
  <c r="AM533" i="2"/>
  <c r="AN533" i="2"/>
  <c r="AO533" i="2"/>
  <c r="AN529" i="2"/>
  <c r="H145" i="2"/>
  <c r="BW208" i="2"/>
  <c r="BX208" i="2"/>
  <c r="BW136" i="2"/>
  <c r="BW209" i="2"/>
  <c r="AT737" i="2"/>
  <c r="AW733" i="2"/>
  <c r="AX441" i="2"/>
  <c r="AG1031" i="2"/>
  <c r="AI1031" i="2"/>
  <c r="BC673" i="2"/>
  <c r="CS228" i="2"/>
  <c r="CT228" i="2"/>
  <c r="CR229" i="2"/>
  <c r="BB180" i="2"/>
  <c r="BC180" i="2"/>
  <c r="BA184" i="2"/>
  <c r="DH449" i="2"/>
  <c r="AO825" i="2"/>
  <c r="Y759" i="2"/>
  <c r="Z755" i="2"/>
  <c r="AA755" i="2"/>
  <c r="BA456" i="2"/>
  <c r="BB452" i="2"/>
  <c r="DU600" i="2"/>
  <c r="DT601" i="2"/>
  <c r="CF966" i="2"/>
  <c r="CA1023" i="2"/>
  <c r="CB1023" i="2"/>
  <c r="BA324" i="2"/>
  <c r="BB324" i="2"/>
  <c r="BC324" i="2"/>
  <c r="BB320" i="2"/>
  <c r="CK875" i="2"/>
  <c r="CK874" i="2"/>
  <c r="CL874" i="2"/>
  <c r="CK802" i="2"/>
  <c r="R356" i="2"/>
  <c r="S356" i="2"/>
  <c r="R284" i="2"/>
  <c r="R357" i="2"/>
  <c r="K544" i="2"/>
  <c r="L540" i="2"/>
  <c r="M540" i="2"/>
  <c r="Y687" i="2"/>
  <c r="Z683" i="2"/>
  <c r="R293" i="2"/>
  <c r="U289" i="2"/>
  <c r="CK728" i="2"/>
  <c r="CK800" i="2"/>
  <c r="CL800" i="2"/>
  <c r="CK801" i="2"/>
  <c r="R60" i="2"/>
  <c r="S60" i="2"/>
  <c r="R61" i="2"/>
  <c r="DM62" i="2"/>
  <c r="DM134" i="2"/>
  <c r="DN134" i="2"/>
  <c r="DM135" i="2"/>
  <c r="K686" i="2"/>
  <c r="AO970" i="2"/>
  <c r="BA681" i="2"/>
  <c r="BB677" i="2"/>
  <c r="BC677" i="2"/>
  <c r="BA469" i="2"/>
  <c r="BB465" i="2"/>
  <c r="BC465" i="2"/>
  <c r="CE304" i="2"/>
  <c r="CD305" i="2"/>
  <c r="CE305" i="2"/>
  <c r="CF305" i="2"/>
  <c r="AI365" i="2"/>
  <c r="AA526" i="2"/>
  <c r="AI290" i="2"/>
  <c r="R811" i="2"/>
  <c r="U807" i="2"/>
  <c r="Z401" i="2"/>
  <c r="AA401" i="2"/>
  <c r="Y405" i="2"/>
  <c r="G141" i="2"/>
  <c r="D145" i="2"/>
  <c r="K455" i="2"/>
  <c r="L451" i="2"/>
  <c r="M898" i="2"/>
  <c r="AM603" i="2"/>
  <c r="AN599" i="2"/>
  <c r="CS450" i="2"/>
  <c r="CT450" i="2"/>
  <c r="CR451" i="2"/>
  <c r="BA239" i="2"/>
  <c r="BB239" i="2"/>
  <c r="BC239" i="2"/>
  <c r="BB235" i="2"/>
  <c r="BC235" i="2"/>
  <c r="BA236" i="2"/>
  <c r="BB232" i="2"/>
  <c r="AA309" i="2"/>
  <c r="Y531" i="2"/>
  <c r="Z527" i="2"/>
  <c r="AW736" i="2"/>
  <c r="U733" i="2"/>
  <c r="R737" i="2"/>
  <c r="V293" i="2"/>
  <c r="AN899" i="2"/>
  <c r="AO899" i="2"/>
  <c r="AM903" i="2"/>
  <c r="AJ1033" i="2"/>
  <c r="CE524" i="2"/>
  <c r="CF524" i="2"/>
  <c r="CD525" i="2"/>
  <c r="AI810" i="2"/>
  <c r="R874" i="2"/>
  <c r="S874" i="2"/>
  <c r="R875" i="2"/>
  <c r="R802" i="2"/>
  <c r="L405" i="2"/>
  <c r="M405" i="2"/>
  <c r="BB682" i="2"/>
  <c r="BC682" i="2"/>
  <c r="BA686" i="2"/>
  <c r="AF357" i="2"/>
  <c r="AF284" i="2"/>
  <c r="AF356" i="2"/>
  <c r="AG356" i="2"/>
  <c r="AN242" i="2"/>
  <c r="AM246" i="2"/>
  <c r="BB897" i="2"/>
  <c r="BA901" i="2"/>
  <c r="AA454" i="2"/>
  <c r="D950" i="2"/>
  <c r="D1023" i="2"/>
  <c r="D1022" i="2"/>
  <c r="E1022" i="2"/>
  <c r="BA323" i="2"/>
  <c r="BB323" i="2"/>
  <c r="BC323" i="2"/>
  <c r="BB319" i="2"/>
  <c r="BC319" i="2"/>
  <c r="AT876" i="2"/>
  <c r="AT948" i="2"/>
  <c r="AU948" i="2"/>
  <c r="AT949" i="2"/>
  <c r="U881" i="2"/>
  <c r="R885" i="2"/>
  <c r="DM504" i="2"/>
  <c r="DN504" i="2"/>
  <c r="DM505" i="2"/>
  <c r="DM432" i="2"/>
  <c r="CY62" i="2"/>
  <c r="CY135" i="2"/>
  <c r="CY134" i="2"/>
  <c r="CZ134" i="2"/>
  <c r="H367" i="2"/>
  <c r="Y678" i="2"/>
  <c r="Z674" i="2"/>
  <c r="AI883" i="2"/>
  <c r="BW654" i="2"/>
  <c r="BW726" i="2"/>
  <c r="BX726" i="2"/>
  <c r="BW727" i="2"/>
  <c r="K248" i="2"/>
  <c r="L244" i="2"/>
  <c r="M244" i="2"/>
  <c r="CT969" i="2"/>
  <c r="R959" i="2"/>
  <c r="CD452" i="2"/>
  <c r="CE451" i="2"/>
  <c r="AX663" i="2"/>
  <c r="BC674" i="2"/>
  <c r="DF451" i="2"/>
  <c r="DG450" i="2"/>
  <c r="DH450" i="2"/>
  <c r="EI301" i="2"/>
  <c r="EJ301" i="2"/>
  <c r="EH302" i="2"/>
  <c r="AF367" i="2"/>
  <c r="AI363" i="2"/>
  <c r="CD673" i="2"/>
  <c r="CE672" i="2"/>
  <c r="CF672" i="2"/>
  <c r="L322" i="2"/>
  <c r="M322" i="2"/>
  <c r="K326" i="2"/>
  <c r="L326" i="2"/>
  <c r="M326" i="2"/>
  <c r="Z458" i="2"/>
  <c r="AA458" i="2"/>
  <c r="Y462" i="2"/>
  <c r="AI882" i="2"/>
  <c r="B874" i="2"/>
  <c r="B875" i="2"/>
  <c r="B876" i="2"/>
  <c r="AI67" i="2"/>
  <c r="AF71" i="2"/>
  <c r="B208" i="2"/>
  <c r="B209" i="2"/>
  <c r="A212" i="2"/>
  <c r="EA208" i="2"/>
  <c r="EB208" i="2"/>
  <c r="EA136" i="2"/>
  <c r="EA209" i="2"/>
  <c r="AI70" i="2"/>
  <c r="DF157" i="2"/>
  <c r="DG156" i="2"/>
  <c r="DH156" i="2"/>
  <c r="CK356" i="2"/>
  <c r="CL356" i="2"/>
  <c r="CK284" i="2"/>
  <c r="CK357" i="2"/>
  <c r="M599" i="2"/>
  <c r="G1032" i="2"/>
  <c r="E1032" i="2"/>
  <c r="AW366" i="2"/>
  <c r="AW216" i="2"/>
  <c r="AT219" i="2"/>
  <c r="B356" i="2"/>
  <c r="B357" i="2"/>
  <c r="B358" i="2"/>
  <c r="AF950" i="2"/>
  <c r="AF1023" i="2"/>
  <c r="AF1022" i="2"/>
  <c r="AG1022" i="2"/>
  <c r="H737" i="2"/>
  <c r="DF231" i="2"/>
  <c r="DG230" i="2"/>
  <c r="DH230" i="2"/>
  <c r="BW283" i="2"/>
  <c r="BW210" i="2"/>
  <c r="BW282" i="2"/>
  <c r="BX282" i="2"/>
  <c r="BC526" i="2"/>
  <c r="R62" i="2"/>
  <c r="R134" i="2"/>
  <c r="S134" i="2"/>
  <c r="R135" i="2"/>
  <c r="AO827" i="2"/>
  <c r="CS745" i="2"/>
  <c r="CT745" i="2"/>
  <c r="CR746" i="2"/>
  <c r="BA839" i="2"/>
  <c r="H515" i="2"/>
  <c r="V663" i="2"/>
  <c r="AN751" i="2"/>
  <c r="AO751" i="2"/>
  <c r="AM755" i="2"/>
  <c r="AF663" i="2"/>
  <c r="AI659" i="2"/>
  <c r="Z848" i="2"/>
  <c r="AA848" i="2"/>
  <c r="AI956" i="2"/>
  <c r="Y996" i="2"/>
  <c r="BI71" i="2"/>
  <c r="BL67" i="2"/>
  <c r="BB249" i="2"/>
  <c r="AI292" i="2"/>
  <c r="D654" i="2"/>
  <c r="D727" i="2"/>
  <c r="D726" i="2"/>
  <c r="E726" i="2"/>
  <c r="AN511" i="2"/>
  <c r="Z846" i="2"/>
  <c r="AA846" i="2"/>
  <c r="Y850" i="2"/>
  <c r="EJ300" i="2"/>
  <c r="CK505" i="2"/>
  <c r="CK504" i="2"/>
  <c r="CL504" i="2"/>
  <c r="CK432" i="2"/>
  <c r="AI808" i="2"/>
  <c r="AW70" i="2"/>
  <c r="BW1022" i="2"/>
  <c r="BX1022" i="2"/>
  <c r="BW1023" i="2"/>
  <c r="BW950" i="2"/>
  <c r="AN480" i="2"/>
  <c r="AM484" i="2"/>
  <c r="AN484" i="2"/>
  <c r="AO484" i="2"/>
  <c r="D875" i="2"/>
  <c r="D802" i="2"/>
  <c r="D874" i="2"/>
  <c r="E874" i="2"/>
  <c r="AI1030" i="2"/>
  <c r="AG1030" i="2"/>
  <c r="DH229" i="2"/>
  <c r="AN210" i="2"/>
  <c r="AM188" i="2"/>
  <c r="AN188" i="2"/>
  <c r="AO188" i="2"/>
  <c r="L305" i="2"/>
  <c r="K309" i="2"/>
  <c r="AF580" i="2"/>
  <c r="AF652" i="2"/>
  <c r="AG652" i="2"/>
  <c r="AF653" i="2"/>
  <c r="DT750" i="2"/>
  <c r="DU749" i="2"/>
  <c r="DV749" i="2"/>
  <c r="U143" i="2"/>
  <c r="K480" i="2"/>
  <c r="L476" i="2"/>
  <c r="M476" i="2"/>
  <c r="CK653" i="2"/>
  <c r="CK580" i="2"/>
  <c r="CK652" i="2"/>
  <c r="CL652" i="2"/>
  <c r="CT744" i="2"/>
  <c r="AT506" i="2"/>
  <c r="AT578" i="2"/>
  <c r="AU578" i="2"/>
  <c r="AT579" i="2"/>
  <c r="BB533" i="2"/>
  <c r="BC533" i="2"/>
  <c r="BA537" i="2"/>
  <c r="AX515" i="2"/>
  <c r="AJ811" i="2"/>
  <c r="AW660" i="2"/>
  <c r="AF811" i="2"/>
  <c r="AI807" i="2"/>
  <c r="R580" i="2"/>
  <c r="R653" i="2"/>
  <c r="R652" i="2"/>
  <c r="S652" i="2"/>
  <c r="AN900" i="2"/>
  <c r="AM904" i="2"/>
  <c r="AN390" i="2"/>
  <c r="AM394" i="2"/>
  <c r="AN169" i="2"/>
  <c r="AO169" i="2"/>
  <c r="AM173" i="2"/>
  <c r="Y918" i="2"/>
  <c r="Z918" i="2"/>
  <c r="AA918" i="2"/>
  <c r="Z914" i="2"/>
  <c r="AA914" i="2"/>
  <c r="DU377" i="2"/>
  <c r="DT378" i="2"/>
  <c r="AF210" i="2"/>
  <c r="AF282" i="2"/>
  <c r="AG282" i="2"/>
  <c r="AF283" i="2"/>
  <c r="G733" i="2"/>
  <c r="D737" i="2"/>
  <c r="K241" i="2"/>
  <c r="L237" i="2"/>
  <c r="M237" i="2"/>
  <c r="D430" i="2"/>
  <c r="E430" i="2"/>
  <c r="D358" i="2"/>
  <c r="D431" i="2"/>
  <c r="AJ515" i="2"/>
  <c r="AI511" i="2"/>
  <c r="D283" i="2"/>
  <c r="D210" i="2"/>
  <c r="D282" i="2"/>
  <c r="E282" i="2"/>
  <c r="A286" i="2"/>
  <c r="U585" i="2"/>
  <c r="R589" i="2"/>
  <c r="Z467" i="2"/>
  <c r="Y471" i="2"/>
  <c r="CY505" i="2"/>
  <c r="CY504" i="2"/>
  <c r="CZ504" i="2"/>
  <c r="CY432" i="2"/>
  <c r="B800" i="2"/>
  <c r="B801" i="2"/>
  <c r="B802" i="2"/>
  <c r="W931" i="2"/>
  <c r="AB931" i="2"/>
  <c r="AA931" i="2"/>
  <c r="V955" i="2"/>
  <c r="G881" i="2"/>
  <c r="D885" i="2"/>
  <c r="Z534" i="2"/>
  <c r="AA534" i="2"/>
  <c r="Y538" i="2"/>
  <c r="AN514" i="2"/>
  <c r="AO514" i="2"/>
  <c r="BC525" i="2"/>
  <c r="AT60" i="2"/>
  <c r="AU60" i="2"/>
  <c r="AT61" i="2"/>
  <c r="DT969" i="2"/>
  <c r="DU968" i="2"/>
  <c r="G586" i="2"/>
  <c r="AO897" i="2"/>
  <c r="BA931" i="2"/>
  <c r="AU931" i="2"/>
  <c r="AV931" i="2"/>
  <c r="AW931" i="2"/>
  <c r="R441" i="2"/>
  <c r="U437" i="2"/>
  <c r="Y766" i="2"/>
  <c r="Z762" i="2"/>
  <c r="BM71" i="2"/>
  <c r="EI82" i="2"/>
  <c r="EJ82" i="2"/>
  <c r="EH83" i="2"/>
  <c r="CF228" i="2"/>
  <c r="K683" i="2"/>
  <c r="L679" i="2"/>
  <c r="M679" i="2"/>
  <c r="AN232" i="2"/>
  <c r="AM236" i="2"/>
  <c r="B726" i="2"/>
  <c r="B727" i="2"/>
  <c r="B728" i="2"/>
  <c r="Z906" i="2"/>
  <c r="DG600" i="2"/>
  <c r="DF601" i="2"/>
  <c r="DF971" i="2"/>
  <c r="DG970" i="2"/>
  <c r="DU228" i="2"/>
  <c r="DT229" i="2"/>
  <c r="Z537" i="2"/>
  <c r="AA537" i="2"/>
  <c r="Y541" i="2"/>
  <c r="BB363" i="2"/>
  <c r="BB825" i="2"/>
  <c r="BA829" i="2"/>
  <c r="BB829" i="2"/>
  <c r="BC829" i="2"/>
  <c r="AF800" i="2"/>
  <c r="AG800" i="2"/>
  <c r="AF801" i="2"/>
  <c r="AF728" i="2"/>
  <c r="AK933" i="2"/>
  <c r="AP933" i="2"/>
  <c r="AO933" i="2"/>
  <c r="AJ934" i="2"/>
  <c r="AN934" i="2"/>
  <c r="Z626" i="2"/>
  <c r="AA626" i="2"/>
  <c r="Y630" i="2"/>
  <c r="Z630" i="2"/>
  <c r="AA630" i="2"/>
  <c r="BC933" i="2"/>
  <c r="AY933" i="2"/>
  <c r="BD933" i="2"/>
  <c r="AX957" i="2"/>
  <c r="AW957" i="2"/>
  <c r="L534" i="2"/>
  <c r="M534" i="2"/>
  <c r="K538" i="2"/>
  <c r="AA84" i="2"/>
  <c r="AX589" i="2"/>
  <c r="M676" i="2"/>
  <c r="R145" i="2"/>
  <c r="U141" i="2"/>
  <c r="AW363" i="2"/>
  <c r="AT367" i="2"/>
  <c r="Z605" i="2"/>
  <c r="AA605" i="2"/>
  <c r="Y609" i="2"/>
  <c r="DC358" i="2"/>
  <c r="DD358" i="2"/>
  <c r="B1022" i="2"/>
  <c r="B1023" i="2"/>
  <c r="B1024" i="2"/>
  <c r="CF818" i="2"/>
  <c r="D811" i="2"/>
  <c r="G807" i="2"/>
  <c r="AW810" i="2"/>
  <c r="AJ737" i="2"/>
  <c r="AA969" i="2"/>
  <c r="AA601" i="2"/>
  <c r="K905" i="2"/>
  <c r="L901" i="2"/>
  <c r="M901" i="2"/>
  <c r="R506" i="2"/>
  <c r="R579" i="2"/>
  <c r="R578" i="2"/>
  <c r="S578" i="2"/>
  <c r="EA60" i="2"/>
  <c r="EB60" i="2"/>
  <c r="EA61" i="2"/>
  <c r="B578" i="2"/>
  <c r="B579" i="2"/>
  <c r="B580" i="2"/>
  <c r="DV670" i="2"/>
  <c r="AT955" i="2"/>
  <c r="CY210" i="2"/>
  <c r="CY283" i="2"/>
  <c r="CY282" i="2"/>
  <c r="CZ282" i="2"/>
  <c r="K469" i="2"/>
  <c r="L465" i="2"/>
  <c r="Z628" i="2"/>
  <c r="AA628" i="2"/>
  <c r="Z654" i="2"/>
  <c r="CE229" i="2"/>
  <c r="CF229" i="2"/>
  <c r="CD230" i="2"/>
  <c r="BI136" i="2"/>
  <c r="BI208" i="2"/>
  <c r="BJ208" i="2"/>
  <c r="BI209" i="2"/>
  <c r="AT431" i="2"/>
  <c r="AT358" i="2"/>
  <c r="AT430" i="2"/>
  <c r="AU430" i="2"/>
  <c r="DH670" i="2"/>
  <c r="AM844" i="2"/>
  <c r="AN840" i="2"/>
  <c r="AO840" i="2"/>
  <c r="BW431" i="2"/>
  <c r="BW430" i="2"/>
  <c r="BX430" i="2"/>
  <c r="BW358" i="2"/>
  <c r="G438" i="2"/>
  <c r="D441" i="2"/>
  <c r="U512" i="2"/>
  <c r="BA615" i="2"/>
  <c r="BB611" i="2"/>
  <c r="BA406" i="2"/>
  <c r="BB402" i="2"/>
  <c r="BC402" i="2"/>
  <c r="AW587" i="2"/>
  <c r="Z240" i="2"/>
  <c r="Y244" i="2"/>
  <c r="Y473" i="2"/>
  <c r="Z473" i="2"/>
  <c r="AA473" i="2"/>
  <c r="Z469" i="2"/>
  <c r="AA469" i="2"/>
  <c r="AN748" i="2"/>
  <c r="AM752" i="2"/>
  <c r="DT899" i="2"/>
  <c r="DU899" i="2"/>
  <c r="DV899" i="2"/>
  <c r="DU898" i="2"/>
  <c r="AW807" i="2"/>
  <c r="AT811" i="2"/>
  <c r="U662" i="2"/>
  <c r="H811" i="2"/>
  <c r="CY875" i="2"/>
  <c r="CY802" i="2"/>
  <c r="CY874" i="2"/>
  <c r="CZ874" i="2"/>
  <c r="AT284" i="2"/>
  <c r="AT357" i="2"/>
  <c r="AT356" i="2"/>
  <c r="AU356" i="2"/>
  <c r="CK61" i="2"/>
  <c r="CK60" i="2"/>
  <c r="CL60" i="2"/>
  <c r="AT134" i="2"/>
  <c r="AU134" i="2"/>
  <c r="AT135" i="2"/>
  <c r="AT62" i="2"/>
  <c r="L108" i="2"/>
  <c r="M108" i="2"/>
  <c r="K112" i="2"/>
  <c r="BI145" i="2"/>
  <c r="BL141" i="2"/>
  <c r="AO156" i="2"/>
  <c r="AN216" i="2"/>
  <c r="AO216" i="2"/>
  <c r="AW439" i="2"/>
  <c r="M377" i="2"/>
  <c r="AX219" i="2"/>
  <c r="M896" i="2"/>
  <c r="Y97" i="2"/>
  <c r="Z93" i="2"/>
  <c r="AA93" i="2"/>
  <c r="AI512" i="2"/>
  <c r="AF515" i="2"/>
  <c r="Y175" i="2"/>
  <c r="CR302" i="2"/>
  <c r="CS301" i="2"/>
  <c r="CT301" i="2"/>
  <c r="AF727" i="2"/>
  <c r="AF726" i="2"/>
  <c r="AG726" i="2"/>
  <c r="AF654" i="2"/>
  <c r="CK579" i="2"/>
  <c r="CK506" i="2"/>
  <c r="CK578" i="2"/>
  <c r="CL578" i="2"/>
  <c r="L751" i="2"/>
  <c r="K755" i="2"/>
  <c r="AT282" i="2"/>
  <c r="AU282" i="2"/>
  <c r="AT210" i="2"/>
  <c r="AT283" i="2"/>
  <c r="BC754" i="2"/>
  <c r="V1033" i="2"/>
  <c r="G734" i="2"/>
  <c r="G957" i="2"/>
  <c r="BL144" i="2"/>
  <c r="AJ441" i="2"/>
  <c r="BA532" i="2"/>
  <c r="BB528" i="2"/>
  <c r="G585" i="2"/>
  <c r="D589" i="2"/>
  <c r="K851" i="2"/>
  <c r="L851" i="2"/>
  <c r="M851" i="2"/>
  <c r="L847" i="2"/>
  <c r="M847" i="2"/>
  <c r="BW949" i="2"/>
  <c r="CA950" i="2"/>
  <c r="CB950" i="2"/>
  <c r="BW948" i="2"/>
  <c r="BX948" i="2"/>
  <c r="BW876" i="2"/>
  <c r="BB610" i="2"/>
  <c r="BA614" i="2"/>
  <c r="CF523" i="2"/>
  <c r="L883" i="2"/>
  <c r="M883" i="2"/>
  <c r="G956" i="2"/>
  <c r="H71" i="2"/>
  <c r="BR166" i="2"/>
  <c r="BQ217" i="2"/>
  <c r="BR217" i="2"/>
  <c r="BA387" i="2"/>
  <c r="BB383" i="2"/>
  <c r="DF672" i="2"/>
  <c r="DG671" i="2"/>
  <c r="DH671" i="2"/>
  <c r="L514" i="2"/>
  <c r="M514" i="2"/>
  <c r="M454" i="2"/>
  <c r="R950" i="2"/>
  <c r="R1023" i="2"/>
  <c r="R1022" i="2"/>
  <c r="S1022" i="2"/>
  <c r="BC602" i="2"/>
  <c r="K390" i="2"/>
  <c r="L386" i="2"/>
  <c r="M386" i="2"/>
  <c r="CK358" i="2"/>
  <c r="CK431" i="2"/>
  <c r="CK430" i="2"/>
  <c r="CL430" i="2"/>
  <c r="BB253" i="2"/>
  <c r="BC253" i="2"/>
  <c r="BA257" i="2"/>
  <c r="M382" i="2"/>
  <c r="AF885" i="2"/>
  <c r="AI881" i="2"/>
  <c r="AW142" i="2"/>
  <c r="AW662" i="2"/>
  <c r="AW659" i="2"/>
  <c r="AT663" i="2"/>
  <c r="BA848" i="2"/>
  <c r="BB844" i="2"/>
  <c r="BC844" i="2"/>
  <c r="L312" i="2"/>
  <c r="K316" i="2"/>
  <c r="D959" i="2"/>
  <c r="U661" i="2"/>
  <c r="EH156" i="2"/>
  <c r="EI155" i="2"/>
  <c r="EJ155" i="2"/>
  <c r="BC825" i="2"/>
  <c r="BB881" i="2"/>
  <c r="L538" i="2"/>
  <c r="K542" i="2"/>
  <c r="DV968" i="2"/>
  <c r="BA905" i="2"/>
  <c r="BB901" i="2"/>
  <c r="BC901" i="2"/>
  <c r="CF304" i="2"/>
  <c r="CA357" i="2"/>
  <c r="DV600" i="2"/>
  <c r="CT673" i="2"/>
  <c r="CT154" i="2"/>
  <c r="M602" i="2"/>
  <c r="EI229" i="2"/>
  <c r="EJ229" i="2"/>
  <c r="EH230" i="2"/>
  <c r="L173" i="2"/>
  <c r="K177" i="2"/>
  <c r="CS822" i="2"/>
  <c r="CT822" i="2"/>
  <c r="CR823" i="2"/>
  <c r="AO687" i="2"/>
  <c r="BB755" i="2"/>
  <c r="BA759" i="2"/>
  <c r="Z536" i="2"/>
  <c r="AA536" i="2"/>
  <c r="Y540" i="2"/>
  <c r="K243" i="2"/>
  <c r="L239" i="2"/>
  <c r="AA765" i="2"/>
  <c r="DG601" i="2"/>
  <c r="DH601" i="2"/>
  <c r="DF602" i="2"/>
  <c r="DG231" i="2"/>
  <c r="DH231" i="2"/>
  <c r="DF232" i="2"/>
  <c r="CR230" i="2"/>
  <c r="CS229" i="2"/>
  <c r="CT229" i="2"/>
  <c r="AO605" i="2"/>
  <c r="M822" i="2"/>
  <c r="CS81" i="2"/>
  <c r="CT81" i="2"/>
  <c r="CR82" i="2"/>
  <c r="BA704" i="2"/>
  <c r="BB700" i="2"/>
  <c r="BC700" i="2"/>
  <c r="AA86" i="2"/>
  <c r="K625" i="2"/>
  <c r="L621" i="2"/>
  <c r="M621" i="2"/>
  <c r="DF525" i="2"/>
  <c r="DG524" i="2"/>
  <c r="DH524" i="2"/>
  <c r="AA881" i="2"/>
  <c r="Y773" i="2"/>
  <c r="Z773" i="2"/>
  <c r="AA773" i="2"/>
  <c r="Z769" i="2"/>
  <c r="AA769" i="2"/>
  <c r="CR525" i="2"/>
  <c r="CS524" i="2"/>
  <c r="K320" i="2"/>
  <c r="L316" i="2"/>
  <c r="M316" i="2"/>
  <c r="Z175" i="2"/>
  <c r="Y179" i="2"/>
  <c r="BA410" i="2"/>
  <c r="BB406" i="2"/>
  <c r="BC406" i="2"/>
  <c r="DH600" i="2"/>
  <c r="AA762" i="2"/>
  <c r="DU750" i="2"/>
  <c r="DR803" i="2"/>
  <c r="A878" i="2"/>
  <c r="CE673" i="2"/>
  <c r="CF673" i="2"/>
  <c r="CD674" i="2"/>
  <c r="AN246" i="2"/>
  <c r="AO246" i="2"/>
  <c r="AM250" i="2"/>
  <c r="BB469" i="2"/>
  <c r="BC469" i="2"/>
  <c r="BA473" i="2"/>
  <c r="BB456" i="2"/>
  <c r="BC456" i="2"/>
  <c r="BA460" i="2"/>
  <c r="AN692" i="2"/>
  <c r="AO692" i="2"/>
  <c r="AM696" i="2"/>
  <c r="AO931" i="2"/>
  <c r="AK931" i="2"/>
  <c r="AP931" i="2"/>
  <c r="AJ955" i="2"/>
  <c r="AN317" i="2"/>
  <c r="AM321" i="2"/>
  <c r="BA404" i="2"/>
  <c r="BB400" i="2"/>
  <c r="BC400" i="2"/>
  <c r="BB761" i="2"/>
  <c r="BC761" i="2"/>
  <c r="BA765" i="2"/>
  <c r="L535" i="2"/>
  <c r="K539" i="2"/>
  <c r="A804" i="2"/>
  <c r="BB216" i="2"/>
  <c r="BC216" i="2"/>
  <c r="Z90" i="2"/>
  <c r="AA90" i="2"/>
  <c r="Y94" i="2"/>
  <c r="BB974" i="2"/>
  <c r="BC974" i="2"/>
  <c r="BA978" i="2"/>
  <c r="L985" i="2"/>
  <c r="K989" i="2"/>
  <c r="AM614" i="2"/>
  <c r="AN610" i="2"/>
  <c r="AO610" i="2"/>
  <c r="BB257" i="2"/>
  <c r="BC257" i="2"/>
  <c r="BC528" i="2"/>
  <c r="BC611" i="2"/>
  <c r="AA906" i="2"/>
  <c r="BC249" i="2"/>
  <c r="BB290" i="2"/>
  <c r="BC290" i="2"/>
  <c r="AA674" i="2"/>
  <c r="AO242" i="2"/>
  <c r="CR452" i="2"/>
  <c r="CS451" i="2"/>
  <c r="AO688" i="2"/>
  <c r="A952" i="2"/>
  <c r="AN366" i="2"/>
  <c r="AO366" i="2"/>
  <c r="AA387" i="2"/>
  <c r="BB904" i="2"/>
  <c r="BA908" i="2"/>
  <c r="AO826" i="2"/>
  <c r="K769" i="2"/>
  <c r="L765" i="2"/>
  <c r="M765" i="2"/>
  <c r="A360" i="2"/>
  <c r="BC970" i="2"/>
  <c r="AM481" i="2"/>
  <c r="AN477" i="2"/>
  <c r="AO477" i="2"/>
  <c r="L994" i="2"/>
  <c r="M994" i="2"/>
  <c r="K998" i="2"/>
  <c r="CD10" i="2"/>
  <c r="CE9" i="2"/>
  <c r="CF9" i="2"/>
  <c r="BB839" i="2"/>
  <c r="BA843" i="2"/>
  <c r="Y682" i="2"/>
  <c r="Z678" i="2"/>
  <c r="AA678" i="2"/>
  <c r="Z241" i="2"/>
  <c r="AA241" i="2"/>
  <c r="Y245" i="2"/>
  <c r="BB764" i="2"/>
  <c r="BC764" i="2"/>
  <c r="BA768" i="2"/>
  <c r="BB182" i="2"/>
  <c r="BC182" i="2"/>
  <c r="BA186" i="2"/>
  <c r="AN752" i="2"/>
  <c r="AO752" i="2"/>
  <c r="AM756" i="2"/>
  <c r="AM240" i="2"/>
  <c r="AN236" i="2"/>
  <c r="AO236" i="2"/>
  <c r="Y535" i="2"/>
  <c r="Z531" i="2"/>
  <c r="AA531" i="2"/>
  <c r="K238" i="2"/>
  <c r="L234" i="2"/>
  <c r="M234" i="2"/>
  <c r="BA612" i="2"/>
  <c r="BB608" i="2"/>
  <c r="BA695" i="2"/>
  <c r="BB691" i="2"/>
  <c r="BC691" i="2"/>
  <c r="AO363" i="2"/>
  <c r="Y700" i="2"/>
  <c r="Z696" i="2"/>
  <c r="AA696" i="2"/>
  <c r="AA659" i="2"/>
  <c r="AO232" i="2"/>
  <c r="BA538" i="2"/>
  <c r="BB534" i="2"/>
  <c r="M230" i="2"/>
  <c r="K91" i="2"/>
  <c r="L87" i="2"/>
  <c r="M87" i="2"/>
  <c r="BC973" i="2"/>
  <c r="BP92" i="2"/>
  <c r="BQ88" i="2"/>
  <c r="AN94" i="2"/>
  <c r="AM98" i="2"/>
  <c r="AO761" i="2"/>
  <c r="CO950" i="2"/>
  <c r="CP950" i="2"/>
  <c r="M303" i="2"/>
  <c r="AN103" i="2"/>
  <c r="AO103" i="2"/>
  <c r="AM107" i="2"/>
  <c r="Z697" i="2"/>
  <c r="AA697" i="2"/>
  <c r="Y701" i="2"/>
  <c r="Z701" i="2"/>
  <c r="AA701" i="2"/>
  <c r="Z87" i="2"/>
  <c r="AA87" i="2"/>
  <c r="Y91" i="2"/>
  <c r="CE822" i="2"/>
  <c r="CD823" i="2"/>
  <c r="DF377" i="2"/>
  <c r="DG376" i="2"/>
  <c r="AN257" i="2"/>
  <c r="AO257" i="2"/>
  <c r="K762" i="2"/>
  <c r="L758" i="2"/>
  <c r="L684" i="2"/>
  <c r="K688" i="2"/>
  <c r="DF673" i="2"/>
  <c r="DG672" i="2"/>
  <c r="K33" i="2"/>
  <c r="BB931" i="2"/>
  <c r="AX931" i="2"/>
  <c r="M305" i="2"/>
  <c r="Z850" i="2"/>
  <c r="AA850" i="2"/>
  <c r="DG157" i="2"/>
  <c r="DF158" i="2"/>
  <c r="A1026" i="2"/>
  <c r="BA690" i="2"/>
  <c r="BB686" i="2"/>
  <c r="BC686" i="2"/>
  <c r="CD526" i="2"/>
  <c r="CE525" i="2"/>
  <c r="BC320" i="2"/>
  <c r="BB364" i="2"/>
  <c r="BC364" i="2"/>
  <c r="Y390" i="2"/>
  <c r="Z386" i="2"/>
  <c r="M83" i="2"/>
  <c r="BR84" i="2"/>
  <c r="A582" i="2"/>
  <c r="L533" i="2"/>
  <c r="K537" i="2"/>
  <c r="Y913" i="2"/>
  <c r="Z909" i="2"/>
  <c r="AA909" i="2"/>
  <c r="Y321" i="2"/>
  <c r="Z317" i="2"/>
  <c r="AN383" i="2"/>
  <c r="AO383" i="2"/>
  <c r="AM387" i="2"/>
  <c r="Z907" i="2"/>
  <c r="Y911" i="2"/>
  <c r="BB86" i="2"/>
  <c r="BC86" i="2"/>
  <c r="BA90" i="2"/>
  <c r="L307" i="2"/>
  <c r="M307" i="2"/>
  <c r="K311" i="2"/>
  <c r="L689" i="2"/>
  <c r="M689" i="2"/>
  <c r="K693" i="2"/>
  <c r="BP180" i="2"/>
  <c r="BQ176" i="2"/>
  <c r="CR972" i="2"/>
  <c r="CS971" i="2"/>
  <c r="AO996" i="2"/>
  <c r="L479" i="2"/>
  <c r="M479" i="2"/>
  <c r="K483" i="2"/>
  <c r="L483" i="2"/>
  <c r="M483" i="2"/>
  <c r="M821" i="2"/>
  <c r="BC383" i="2"/>
  <c r="AT959" i="2"/>
  <c r="K909" i="2"/>
  <c r="L905" i="2"/>
  <c r="DT230" i="2"/>
  <c r="DU229" i="2"/>
  <c r="DV229" i="2"/>
  <c r="L683" i="2"/>
  <c r="K687" i="2"/>
  <c r="Z538" i="2"/>
  <c r="AA538" i="2"/>
  <c r="Y542" i="2"/>
  <c r="Z471" i="2"/>
  <c r="AA471" i="2"/>
  <c r="Y475" i="2"/>
  <c r="A434" i="2"/>
  <c r="AN173" i="2"/>
  <c r="AM177" i="2"/>
  <c r="CA1024" i="2"/>
  <c r="CB1024" i="2"/>
  <c r="Y466" i="2"/>
  <c r="Z462" i="2"/>
  <c r="M451" i="2"/>
  <c r="AA683" i="2"/>
  <c r="AA382" i="2"/>
  <c r="AO690" i="2"/>
  <c r="Z916" i="2"/>
  <c r="AA916" i="2"/>
  <c r="Y920" i="2"/>
  <c r="M756" i="2"/>
  <c r="AM995" i="2"/>
  <c r="AN991" i="2"/>
  <c r="BC215" i="2"/>
  <c r="K417" i="2"/>
  <c r="L413" i="2"/>
  <c r="M413" i="2"/>
  <c r="AM539" i="2"/>
  <c r="AN535" i="2"/>
  <c r="Z756" i="2"/>
  <c r="Y760" i="2"/>
  <c r="AO379" i="2"/>
  <c r="Z847" i="2"/>
  <c r="Y851" i="2"/>
  <c r="Z851" i="2"/>
  <c r="AA851" i="2"/>
  <c r="BC82" i="2"/>
  <c r="BA617" i="2"/>
  <c r="BB613" i="2"/>
  <c r="BC613" i="2"/>
  <c r="AA230" i="2"/>
  <c r="AO323" i="2"/>
  <c r="AN364" i="2"/>
  <c r="AO364" i="2"/>
  <c r="AN906" i="2"/>
  <c r="AM910" i="2"/>
  <c r="AM1004" i="2"/>
  <c r="AN1004" i="2"/>
  <c r="AO1004" i="2"/>
  <c r="AN1000" i="2"/>
  <c r="AO1000" i="2"/>
  <c r="AM625" i="2"/>
  <c r="AN621" i="2"/>
  <c r="AO621" i="2"/>
  <c r="K829" i="2"/>
  <c r="L825" i="2"/>
  <c r="M825" i="2"/>
  <c r="DT527" i="2"/>
  <c r="DU526" i="2"/>
  <c r="DU821" i="2"/>
  <c r="DT822" i="2"/>
  <c r="DU822" i="2"/>
  <c r="DV822" i="2"/>
  <c r="L11" i="2"/>
  <c r="M11" i="2"/>
  <c r="AM759" i="2"/>
  <c r="AN755" i="2"/>
  <c r="AO755" i="2"/>
  <c r="DU969" i="2"/>
  <c r="DV969" i="2"/>
  <c r="DT970" i="2"/>
  <c r="BC897" i="2"/>
  <c r="CR675" i="2"/>
  <c r="CS674" i="2"/>
  <c r="CT674" i="2"/>
  <c r="CD379" i="2"/>
  <c r="CE378" i="2"/>
  <c r="BA987" i="2"/>
  <c r="BB983" i="2"/>
  <c r="BC983" i="2"/>
  <c r="AN534" i="2"/>
  <c r="AO534" i="2"/>
  <c r="AM538" i="2"/>
  <c r="L836" i="2"/>
  <c r="K840" i="2"/>
  <c r="AM848" i="2"/>
  <c r="AN844" i="2"/>
  <c r="AO844" i="2"/>
  <c r="CE452" i="2"/>
  <c r="CF452" i="2"/>
  <c r="CD453" i="2"/>
  <c r="AM770" i="2"/>
  <c r="AN766" i="2"/>
  <c r="AO766" i="2"/>
  <c r="L180" i="2"/>
  <c r="K184" i="2"/>
  <c r="BR254" i="2"/>
  <c r="BQ290" i="2"/>
  <c r="BR290" i="2"/>
  <c r="AN845" i="2"/>
  <c r="AO845" i="2"/>
  <c r="AM849" i="2"/>
  <c r="K392" i="2"/>
  <c r="L388" i="2"/>
  <c r="K759" i="2"/>
  <c r="L755" i="2"/>
  <c r="Y770" i="2"/>
  <c r="Z770" i="2"/>
  <c r="AA770" i="2"/>
  <c r="Z766" i="2"/>
  <c r="AA766" i="2"/>
  <c r="BR170" i="2"/>
  <c r="M751" i="2"/>
  <c r="L469" i="2"/>
  <c r="M469" i="2"/>
  <c r="K473" i="2"/>
  <c r="Y763" i="2"/>
  <c r="Z759" i="2"/>
  <c r="BB173" i="2"/>
  <c r="BA177" i="2"/>
  <c r="BC610" i="2"/>
  <c r="AO748" i="2"/>
  <c r="Y1000" i="2"/>
  <c r="Z996" i="2"/>
  <c r="Y248" i="2"/>
  <c r="Z244" i="2"/>
  <c r="L455" i="2"/>
  <c r="M455" i="2"/>
  <c r="K459" i="2"/>
  <c r="L459" i="2"/>
  <c r="M459" i="2"/>
  <c r="K690" i="2"/>
  <c r="L686" i="2"/>
  <c r="Z687" i="2"/>
  <c r="Y691" i="2"/>
  <c r="K615" i="2"/>
  <c r="L611" i="2"/>
  <c r="AM986" i="2"/>
  <c r="AN982" i="2"/>
  <c r="L760" i="2"/>
  <c r="M760" i="2"/>
  <c r="K764" i="2"/>
  <c r="BA547" i="2"/>
  <c r="BB543" i="2"/>
  <c r="BC543" i="2"/>
  <c r="AO215" i="2"/>
  <c r="Y238" i="2"/>
  <c r="Z234" i="2"/>
  <c r="BB112" i="2"/>
  <c r="BC112" i="2"/>
  <c r="L215" i="2"/>
  <c r="L248" i="2"/>
  <c r="M248" i="2"/>
  <c r="K252" i="2"/>
  <c r="AM907" i="2"/>
  <c r="AN903" i="2"/>
  <c r="DQ136" i="2"/>
  <c r="DR136" i="2"/>
  <c r="L12" i="2"/>
  <c r="M12" i="2"/>
  <c r="BB397" i="2"/>
  <c r="BA401" i="2"/>
  <c r="BA470" i="2"/>
  <c r="BB466" i="2"/>
  <c r="BQ257" i="2"/>
  <c r="BR257" i="2"/>
  <c r="BQ284" i="2"/>
  <c r="Z218" i="2"/>
  <c r="AA218" i="2"/>
  <c r="BB255" i="2"/>
  <c r="BC255" i="2"/>
  <c r="BA259" i="2"/>
  <c r="BB259" i="2"/>
  <c r="BC259" i="2"/>
  <c r="AO831" i="2"/>
  <c r="K915" i="2"/>
  <c r="L911" i="2"/>
  <c r="BC467" i="2"/>
  <c r="K920" i="2"/>
  <c r="L916" i="2"/>
  <c r="M916" i="2"/>
  <c r="CR383" i="2"/>
  <c r="CS382" i="2"/>
  <c r="CT382" i="2"/>
  <c r="BA109" i="2"/>
  <c r="BB105" i="2"/>
  <c r="BC105" i="2"/>
  <c r="AN392" i="2"/>
  <c r="AO392" i="2"/>
  <c r="AM396" i="2"/>
  <c r="DT451" i="2"/>
  <c r="DU450" i="2"/>
  <c r="BA321" i="2"/>
  <c r="BB317" i="2"/>
  <c r="Z1031" i="2"/>
  <c r="AA1031" i="2"/>
  <c r="BC899" i="2"/>
  <c r="DG971" i="2"/>
  <c r="DH971" i="2"/>
  <c r="DF972" i="2"/>
  <c r="AN904" i="2"/>
  <c r="AO904" i="2"/>
  <c r="AM908" i="2"/>
  <c r="BA240" i="2"/>
  <c r="BB236" i="2"/>
  <c r="BC236" i="2"/>
  <c r="L826" i="2"/>
  <c r="M826" i="2"/>
  <c r="K830" i="2"/>
  <c r="Y464" i="2"/>
  <c r="Z460" i="2"/>
  <c r="AA460" i="2"/>
  <c r="CP655" i="2"/>
  <c r="CS603" i="2"/>
  <c r="BC100" i="2"/>
  <c r="BB144" i="2"/>
  <c r="BC144" i="2"/>
  <c r="CS302" i="2"/>
  <c r="CT302" i="2"/>
  <c r="CR303" i="2"/>
  <c r="AO900" i="2"/>
  <c r="CF451" i="2"/>
  <c r="Z405" i="2"/>
  <c r="AA405" i="2"/>
  <c r="Y409" i="2"/>
  <c r="BC452" i="2"/>
  <c r="Y985" i="2"/>
  <c r="Z981" i="2"/>
  <c r="AA981" i="2"/>
  <c r="L606" i="2"/>
  <c r="M606" i="2"/>
  <c r="K610" i="2"/>
  <c r="DG84" i="2"/>
  <c r="DH84" i="2"/>
  <c r="DF85" i="2"/>
  <c r="K101" i="2"/>
  <c r="L97" i="2"/>
  <c r="DG898" i="2"/>
  <c r="DH898" i="2"/>
  <c r="DF899" i="2"/>
  <c r="DG899" i="2"/>
  <c r="DH899" i="2"/>
  <c r="BA988" i="2"/>
  <c r="BB984" i="2"/>
  <c r="BC984" i="2"/>
  <c r="BA766" i="2"/>
  <c r="BB762" i="2"/>
  <c r="BC762" i="2"/>
  <c r="DH83" i="2"/>
  <c r="AA933" i="2"/>
  <c r="W933" i="2"/>
  <c r="AB933" i="2"/>
  <c r="V957" i="2"/>
  <c r="U957" i="2"/>
  <c r="AM997" i="2"/>
  <c r="AN993" i="2"/>
  <c r="AO993" i="2"/>
  <c r="DF750" i="2"/>
  <c r="DG749" i="2"/>
  <c r="DH749" i="2"/>
  <c r="M312" i="2"/>
  <c r="DV898" i="2"/>
  <c r="DQ949" i="2"/>
  <c r="M465" i="2"/>
  <c r="U955" i="2"/>
  <c r="BB532" i="2"/>
  <c r="BC532" i="2"/>
  <c r="BA536" i="2"/>
  <c r="BA619" i="2"/>
  <c r="BB615" i="2"/>
  <c r="BC615" i="2"/>
  <c r="DT379" i="2"/>
  <c r="DU378" i="2"/>
  <c r="DV378" i="2"/>
  <c r="AA527" i="2"/>
  <c r="BA685" i="2"/>
  <c r="BB681" i="2"/>
  <c r="BC681" i="2"/>
  <c r="AO529" i="2"/>
  <c r="Z311" i="2"/>
  <c r="AA311" i="2"/>
  <c r="Y315" i="2"/>
  <c r="AO235" i="2"/>
  <c r="DQ210" i="2"/>
  <c r="DR210" i="2"/>
  <c r="BQ174" i="2"/>
  <c r="BR174" i="2"/>
  <c r="BP178" i="2"/>
  <c r="Z391" i="2"/>
  <c r="Y395" i="2"/>
  <c r="AM834" i="2"/>
  <c r="AN830" i="2"/>
  <c r="AO830" i="2"/>
  <c r="AO677" i="2"/>
  <c r="BB848" i="2"/>
  <c r="BC848" i="2"/>
  <c r="BA852" i="2"/>
  <c r="BB852" i="2"/>
  <c r="BC852" i="2"/>
  <c r="BB614" i="2"/>
  <c r="BA618" i="2"/>
  <c r="BC363" i="2"/>
  <c r="DV377" i="2"/>
  <c r="EH303" i="2"/>
  <c r="EI302" i="2"/>
  <c r="AO599" i="2"/>
  <c r="CE601" i="2"/>
  <c r="CD602" i="2"/>
  <c r="AA307" i="2"/>
  <c r="BA981" i="2"/>
  <c r="BB977" i="2"/>
  <c r="BC977" i="2"/>
  <c r="AN239" i="2"/>
  <c r="AO239" i="2"/>
  <c r="AM243" i="2"/>
  <c r="AM769" i="2"/>
  <c r="AN765" i="2"/>
  <c r="AO765" i="2"/>
  <c r="Y189" i="2"/>
  <c r="Z189" i="2"/>
  <c r="AA189" i="2"/>
  <c r="Z185" i="2"/>
  <c r="AA185" i="2"/>
  <c r="AN92" i="2"/>
  <c r="AM96" i="2"/>
  <c r="AN409" i="2"/>
  <c r="AO409" i="2"/>
  <c r="AM413" i="2"/>
  <c r="AA83" i="2"/>
  <c r="Y101" i="2"/>
  <c r="Z97" i="2"/>
  <c r="AA97" i="2"/>
  <c r="Y545" i="2"/>
  <c r="Z541" i="2"/>
  <c r="K313" i="2"/>
  <c r="L309" i="2"/>
  <c r="M309" i="2"/>
  <c r="AO480" i="2"/>
  <c r="AN512" i="2"/>
  <c r="AO512" i="2"/>
  <c r="AN603" i="2"/>
  <c r="AO603" i="2"/>
  <c r="AM607" i="2"/>
  <c r="BB387" i="2"/>
  <c r="BA391" i="2"/>
  <c r="L112" i="2"/>
  <c r="M112" i="2"/>
  <c r="AO934" i="2"/>
  <c r="AK934" i="2"/>
  <c r="AP934" i="2"/>
  <c r="AJ958" i="2"/>
  <c r="AI958" i="2"/>
  <c r="DV228" i="2"/>
  <c r="AA467" i="2"/>
  <c r="AO511" i="2"/>
  <c r="DF452" i="2"/>
  <c r="DG451" i="2"/>
  <c r="K914" i="2"/>
  <c r="L910" i="2"/>
  <c r="M910" i="2"/>
  <c r="AM698" i="2"/>
  <c r="AN694" i="2"/>
  <c r="AO694" i="2"/>
  <c r="Y396" i="2"/>
  <c r="Z392" i="2"/>
  <c r="AA392" i="2"/>
  <c r="BQ289" i="2"/>
  <c r="BR253" i="2"/>
  <c r="K90" i="2"/>
  <c r="L86" i="2"/>
  <c r="BQ91" i="2"/>
  <c r="BR91" i="2"/>
  <c r="BP95" i="2"/>
  <c r="CD158" i="2"/>
  <c r="CE157" i="2"/>
  <c r="AA752" i="2"/>
  <c r="BA475" i="2"/>
  <c r="BB471" i="2"/>
  <c r="BC471" i="2"/>
  <c r="BB103" i="2"/>
  <c r="BA107" i="2"/>
  <c r="Z180" i="2"/>
  <c r="AA180" i="2"/>
  <c r="Y184" i="2"/>
  <c r="K988" i="2"/>
  <c r="L984" i="2"/>
  <c r="K628" i="2"/>
  <c r="L628" i="2"/>
  <c r="M628" i="2"/>
  <c r="L624" i="2"/>
  <c r="M624" i="2"/>
  <c r="BC313" i="2"/>
  <c r="BB366" i="2"/>
  <c r="BC366" i="2"/>
  <c r="K394" i="2"/>
  <c r="L390" i="2"/>
  <c r="AA240" i="2"/>
  <c r="Z291" i="2"/>
  <c r="AA291" i="2"/>
  <c r="L241" i="2"/>
  <c r="M241" i="2"/>
  <c r="K245" i="2"/>
  <c r="AN394" i="2"/>
  <c r="AO394" i="2"/>
  <c r="AM398" i="2"/>
  <c r="BA541" i="2"/>
  <c r="BB541" i="2"/>
  <c r="BC541" i="2"/>
  <c r="BB537" i="2"/>
  <c r="Z366" i="2"/>
  <c r="AA366" i="2"/>
  <c r="CE230" i="2"/>
  <c r="CF230" i="2"/>
  <c r="CD231" i="2"/>
  <c r="Y613" i="2"/>
  <c r="Z609" i="2"/>
  <c r="DH970" i="2"/>
  <c r="EI83" i="2"/>
  <c r="EJ83" i="2"/>
  <c r="EH84" i="2"/>
  <c r="AO390" i="2"/>
  <c r="L480" i="2"/>
  <c r="M480" i="2"/>
  <c r="K484" i="2"/>
  <c r="L484" i="2"/>
  <c r="M484" i="2"/>
  <c r="A730" i="2"/>
  <c r="CS746" i="2"/>
  <c r="CT746" i="2"/>
  <c r="CR747" i="2"/>
  <c r="BC232" i="2"/>
  <c r="L544" i="2"/>
  <c r="M544" i="2"/>
  <c r="K548" i="2"/>
  <c r="DU601" i="2"/>
  <c r="DV601" i="2"/>
  <c r="DT602" i="2"/>
  <c r="BA188" i="2"/>
  <c r="BB188" i="2"/>
  <c r="BC188" i="2"/>
  <c r="BB184" i="2"/>
  <c r="BC184" i="2"/>
  <c r="BB289" i="2"/>
  <c r="DT676" i="2"/>
  <c r="DU675" i="2"/>
  <c r="CD83" i="2"/>
  <c r="CE82" i="2"/>
  <c r="CF82" i="2"/>
  <c r="BC393" i="2"/>
  <c r="DG820" i="2"/>
  <c r="DF821" i="2"/>
  <c r="CR156" i="2"/>
  <c r="CS155" i="2"/>
  <c r="CT155" i="2"/>
  <c r="BC462" i="2"/>
  <c r="CR378" i="2"/>
  <c r="CS378" i="2"/>
  <c r="CT378" i="2"/>
  <c r="CS377" i="2"/>
  <c r="AN835" i="2"/>
  <c r="AM839" i="2"/>
  <c r="Z320" i="2"/>
  <c r="Y324" i="2"/>
  <c r="Z324" i="2"/>
  <c r="AA324" i="2"/>
  <c r="BP98" i="2"/>
  <c r="BQ94" i="2"/>
  <c r="BR94" i="2"/>
  <c r="Z882" i="2"/>
  <c r="AA882" i="2"/>
  <c r="AN691" i="2"/>
  <c r="AO691" i="2"/>
  <c r="AM695" i="2"/>
  <c r="Z92" i="2"/>
  <c r="AA92" i="2"/>
  <c r="Y96" i="2"/>
  <c r="BC975" i="2"/>
  <c r="AN93" i="2"/>
  <c r="AM97" i="2"/>
  <c r="Z660" i="2"/>
  <c r="AA660" i="2"/>
  <c r="BB903" i="2"/>
  <c r="BC903" i="2"/>
  <c r="BA907" i="2"/>
  <c r="BA474" i="2"/>
  <c r="BB470" i="2"/>
  <c r="BC470" i="2"/>
  <c r="AO835" i="2"/>
  <c r="K552" i="2"/>
  <c r="L548" i="2"/>
  <c r="M548" i="2"/>
  <c r="CE231" i="2"/>
  <c r="CF231" i="2"/>
  <c r="CD232" i="2"/>
  <c r="BB391" i="2"/>
  <c r="BA395" i="2"/>
  <c r="AA541" i="2"/>
  <c r="CR384" i="2"/>
  <c r="CS383" i="2"/>
  <c r="CT383" i="2"/>
  <c r="BC466" i="2"/>
  <c r="AN907" i="2"/>
  <c r="AO907" i="2"/>
  <c r="AM911" i="2"/>
  <c r="AA687" i="2"/>
  <c r="Z763" i="2"/>
  <c r="AA763" i="2"/>
  <c r="Y767" i="2"/>
  <c r="L184" i="2"/>
  <c r="M184" i="2"/>
  <c r="K188" i="2"/>
  <c r="L188" i="2"/>
  <c r="M188" i="2"/>
  <c r="M836" i="2"/>
  <c r="DV526" i="2"/>
  <c r="AO906" i="2"/>
  <c r="AN957" i="2"/>
  <c r="AO957" i="2"/>
  <c r="K913" i="2"/>
  <c r="L909" i="2"/>
  <c r="CP1025" i="2"/>
  <c r="CS972" i="2"/>
  <c r="CT972" i="2"/>
  <c r="Z911" i="2"/>
  <c r="AA911" i="2"/>
  <c r="Y915" i="2"/>
  <c r="CD527" i="2"/>
  <c r="CE526" i="2"/>
  <c r="CF526" i="2"/>
  <c r="L688" i="2"/>
  <c r="M688" i="2"/>
  <c r="K692" i="2"/>
  <c r="CD824" i="2"/>
  <c r="CE823" i="2"/>
  <c r="CF823" i="2"/>
  <c r="BP96" i="2"/>
  <c r="BQ92" i="2"/>
  <c r="Z535" i="2"/>
  <c r="Y539" i="2"/>
  <c r="Y686" i="2"/>
  <c r="Z682" i="2"/>
  <c r="AJ959" i="2"/>
  <c r="AI955" i="2"/>
  <c r="AA175" i="2"/>
  <c r="AN97" i="2"/>
  <c r="AO97" i="2"/>
  <c r="AM101" i="2"/>
  <c r="AN101" i="2"/>
  <c r="AO101" i="2"/>
  <c r="CT377" i="2"/>
  <c r="CE83" i="2"/>
  <c r="CF83" i="2"/>
  <c r="CD84" i="2"/>
  <c r="M984" i="2"/>
  <c r="Y400" i="2"/>
  <c r="Z396" i="2"/>
  <c r="AA396" i="2"/>
  <c r="Z545" i="2"/>
  <c r="AA545" i="2"/>
  <c r="Y549" i="2"/>
  <c r="Z315" i="2"/>
  <c r="Y319" i="2"/>
  <c r="BB619" i="2"/>
  <c r="BC619" i="2"/>
  <c r="BA623" i="2"/>
  <c r="M97" i="2"/>
  <c r="CR304" i="2"/>
  <c r="CS303" i="2"/>
  <c r="CT303" i="2"/>
  <c r="M180" i="2"/>
  <c r="L216" i="2"/>
  <c r="M216" i="2"/>
  <c r="AN538" i="2"/>
  <c r="AO538" i="2"/>
  <c r="AM542" i="2"/>
  <c r="DT971" i="2"/>
  <c r="DU970" i="2"/>
  <c r="DV970" i="2"/>
  <c r="DT528" i="2"/>
  <c r="DU527" i="2"/>
  <c r="DV527" i="2"/>
  <c r="BR176" i="2"/>
  <c r="BQ215" i="2"/>
  <c r="AA907" i="2"/>
  <c r="BC931" i="2"/>
  <c r="AY931" i="2"/>
  <c r="BD931" i="2"/>
  <c r="AX955" i="2"/>
  <c r="M684" i="2"/>
  <c r="CF822" i="2"/>
  <c r="BB843" i="2"/>
  <c r="BA847" i="2"/>
  <c r="M239" i="2"/>
  <c r="EI230" i="2"/>
  <c r="EJ230" i="2"/>
  <c r="EH231" i="2"/>
  <c r="BC881" i="2"/>
  <c r="AO93" i="2"/>
  <c r="AM699" i="2"/>
  <c r="AN699" i="2"/>
  <c r="AO699" i="2"/>
  <c r="AN695" i="2"/>
  <c r="K992" i="2"/>
  <c r="L988" i="2"/>
  <c r="M988" i="2"/>
  <c r="AM611" i="2"/>
  <c r="AN607" i="2"/>
  <c r="AO607" i="2"/>
  <c r="BB536" i="2"/>
  <c r="BA540" i="2"/>
  <c r="K105" i="2"/>
  <c r="L101" i="2"/>
  <c r="M101" i="2"/>
  <c r="AN908" i="2"/>
  <c r="AO908" i="2"/>
  <c r="AM912" i="2"/>
  <c r="BC317" i="2"/>
  <c r="L920" i="2"/>
  <c r="M920" i="2"/>
  <c r="K924" i="2"/>
  <c r="L924" i="2"/>
  <c r="M924" i="2"/>
  <c r="K256" i="2"/>
  <c r="L256" i="2"/>
  <c r="M256" i="2"/>
  <c r="L252" i="2"/>
  <c r="M252" i="2"/>
  <c r="L690" i="2"/>
  <c r="M690" i="2"/>
  <c r="K694" i="2"/>
  <c r="K477" i="2"/>
  <c r="L473" i="2"/>
  <c r="M473" i="2"/>
  <c r="M755" i="2"/>
  <c r="K421" i="2"/>
  <c r="L421" i="2"/>
  <c r="M421" i="2"/>
  <c r="L417" i="2"/>
  <c r="M417" i="2"/>
  <c r="Z475" i="2"/>
  <c r="AA475" i="2"/>
  <c r="Y479" i="2"/>
  <c r="BP184" i="2"/>
  <c r="BQ180" i="2"/>
  <c r="DC949" i="2"/>
  <c r="BB690" i="2"/>
  <c r="BC690" i="2"/>
  <c r="BA694" i="2"/>
  <c r="M758" i="2"/>
  <c r="AN240" i="2"/>
  <c r="AM244" i="2"/>
  <c r="BC839" i="2"/>
  <c r="AN614" i="2"/>
  <c r="AM618" i="2"/>
  <c r="K324" i="2"/>
  <c r="L324" i="2"/>
  <c r="M324" i="2"/>
  <c r="L320" i="2"/>
  <c r="K629" i="2"/>
  <c r="L629" i="2"/>
  <c r="M629" i="2"/>
  <c r="L625" i="2"/>
  <c r="M625" i="2"/>
  <c r="K247" i="2"/>
  <c r="L243" i="2"/>
  <c r="M390" i="2"/>
  <c r="Y188" i="2"/>
  <c r="Z188" i="2"/>
  <c r="AA188" i="2"/>
  <c r="Z184" i="2"/>
  <c r="AA184" i="2"/>
  <c r="CF157" i="2"/>
  <c r="AM838" i="2"/>
  <c r="AN834" i="2"/>
  <c r="AO834" i="2"/>
  <c r="DD803" i="2"/>
  <c r="DG750" i="2"/>
  <c r="DH750" i="2"/>
  <c r="BB766" i="2"/>
  <c r="BA770" i="2"/>
  <c r="BB321" i="2"/>
  <c r="BC321" i="2"/>
  <c r="BA325" i="2"/>
  <c r="BB325" i="2"/>
  <c r="BC325" i="2"/>
  <c r="BB401" i="2"/>
  <c r="BA405" i="2"/>
  <c r="K763" i="2"/>
  <c r="L759" i="2"/>
  <c r="M759" i="2"/>
  <c r="AM774" i="2"/>
  <c r="AN774" i="2"/>
  <c r="AO774" i="2"/>
  <c r="AN770" i="2"/>
  <c r="AO770" i="2"/>
  <c r="AA847" i="2"/>
  <c r="Z883" i="2"/>
  <c r="AA883" i="2"/>
  <c r="Z873" i="2"/>
  <c r="L511" i="2"/>
  <c r="AM391" i="2"/>
  <c r="AN387" i="2"/>
  <c r="K766" i="2"/>
  <c r="L762" i="2"/>
  <c r="Z91" i="2"/>
  <c r="Y95" i="2"/>
  <c r="BB695" i="2"/>
  <c r="BC695" i="2"/>
  <c r="BA699" i="2"/>
  <c r="AM760" i="2"/>
  <c r="AN756" i="2"/>
  <c r="AN696" i="2"/>
  <c r="AM700" i="2"/>
  <c r="DV750" i="2"/>
  <c r="DQ801" i="2"/>
  <c r="CT524" i="2"/>
  <c r="CR231" i="2"/>
  <c r="CS230" i="2"/>
  <c r="CT230" i="2"/>
  <c r="Y544" i="2"/>
  <c r="Z540" i="2"/>
  <c r="AA540" i="2"/>
  <c r="DT677" i="2"/>
  <c r="DU676" i="2"/>
  <c r="DV676" i="2"/>
  <c r="EI84" i="2"/>
  <c r="EH85" i="2"/>
  <c r="K398" i="2"/>
  <c r="L394" i="2"/>
  <c r="M394" i="2"/>
  <c r="CD159" i="2"/>
  <c r="CE158" i="2"/>
  <c r="CF158" i="2"/>
  <c r="Z101" i="2"/>
  <c r="AA101" i="2"/>
  <c r="Y105" i="2"/>
  <c r="CD603" i="2"/>
  <c r="CE602" i="2"/>
  <c r="CF602" i="2"/>
  <c r="Z395" i="2"/>
  <c r="AA395" i="2"/>
  <c r="Y399" i="2"/>
  <c r="DG85" i="2"/>
  <c r="DD137" i="2"/>
  <c r="DG972" i="2"/>
  <c r="DH972" i="2"/>
  <c r="DD1025" i="2"/>
  <c r="DV450" i="2"/>
  <c r="BC397" i="2"/>
  <c r="BB547" i="2"/>
  <c r="BC547" i="2"/>
  <c r="BA551" i="2"/>
  <c r="M388" i="2"/>
  <c r="L439" i="2"/>
  <c r="M439" i="2"/>
  <c r="BA991" i="2"/>
  <c r="BB987" i="2"/>
  <c r="BC987" i="2"/>
  <c r="Y924" i="2"/>
  <c r="Z924" i="2"/>
  <c r="AA924" i="2"/>
  <c r="Z920" i="2"/>
  <c r="AA920" i="2"/>
  <c r="Z542" i="2"/>
  <c r="AA542" i="2"/>
  <c r="Y546" i="2"/>
  <c r="K37" i="2"/>
  <c r="L33" i="2"/>
  <c r="M33" i="2"/>
  <c r="BC608" i="2"/>
  <c r="K773" i="2"/>
  <c r="L773" i="2"/>
  <c r="M773" i="2"/>
  <c r="L769" i="2"/>
  <c r="M769" i="2"/>
  <c r="K543" i="2"/>
  <c r="L539" i="2"/>
  <c r="CR526" i="2"/>
  <c r="CS525" i="2"/>
  <c r="CT525" i="2"/>
  <c r="DG232" i="2"/>
  <c r="DF233" i="2"/>
  <c r="EI156" i="2"/>
  <c r="EH157" i="2"/>
  <c r="BC289" i="2"/>
  <c r="BC537" i="2"/>
  <c r="BQ95" i="2"/>
  <c r="BR95" i="2"/>
  <c r="BP99" i="2"/>
  <c r="AM702" i="2"/>
  <c r="AN698" i="2"/>
  <c r="CF601" i="2"/>
  <c r="BB618" i="2"/>
  <c r="BC618" i="2"/>
  <c r="BA622" i="2"/>
  <c r="BB622" i="2"/>
  <c r="BC622" i="2"/>
  <c r="AA391" i="2"/>
  <c r="BB988" i="2"/>
  <c r="BC988" i="2"/>
  <c r="BA992" i="2"/>
  <c r="Y413" i="2"/>
  <c r="Z409" i="2"/>
  <c r="AA409" i="2"/>
  <c r="CT603" i="2"/>
  <c r="CO653" i="2"/>
  <c r="DT452" i="2"/>
  <c r="DU451" i="2"/>
  <c r="DV451" i="2"/>
  <c r="L764" i="2"/>
  <c r="K768" i="2"/>
  <c r="L392" i="2"/>
  <c r="K396" i="2"/>
  <c r="CD454" i="2"/>
  <c r="CE453" i="2"/>
  <c r="CF453" i="2"/>
  <c r="CF378" i="2"/>
  <c r="AM763" i="2"/>
  <c r="AN759" i="2"/>
  <c r="AO759" i="2"/>
  <c r="L829" i="2"/>
  <c r="K833" i="2"/>
  <c r="K697" i="2"/>
  <c r="L693" i="2"/>
  <c r="M693" i="2"/>
  <c r="DG158" i="2"/>
  <c r="DH158" i="2"/>
  <c r="DF159" i="2"/>
  <c r="L91" i="2"/>
  <c r="K95" i="2"/>
  <c r="BA616" i="2"/>
  <c r="BB612" i="2"/>
  <c r="BC612" i="2"/>
  <c r="BB186" i="2"/>
  <c r="BA190" i="2"/>
  <c r="BB190" i="2"/>
  <c r="BC190" i="2"/>
  <c r="CE10" i="2"/>
  <c r="CD11" i="2"/>
  <c r="CT451" i="2"/>
  <c r="M535" i="2"/>
  <c r="BB460" i="2"/>
  <c r="BA464" i="2"/>
  <c r="Z810" i="2"/>
  <c r="AA810" i="2"/>
  <c r="BB759" i="2"/>
  <c r="BC759" i="2"/>
  <c r="BA763" i="2"/>
  <c r="BP102" i="2"/>
  <c r="BQ98" i="2"/>
  <c r="BR98" i="2"/>
  <c r="DC1023" i="2"/>
  <c r="BA111" i="2"/>
  <c r="BB107" i="2"/>
  <c r="BC107" i="2"/>
  <c r="AM773" i="2"/>
  <c r="AN773" i="2"/>
  <c r="AO773" i="2"/>
  <c r="AN769" i="2"/>
  <c r="AO769" i="2"/>
  <c r="BC614" i="2"/>
  <c r="BB662" i="2"/>
  <c r="BC662" i="2"/>
  <c r="BP182" i="2"/>
  <c r="BQ178" i="2"/>
  <c r="BB685" i="2"/>
  <c r="BC685" i="2"/>
  <c r="BA689" i="2"/>
  <c r="AM1001" i="2"/>
  <c r="AN997" i="2"/>
  <c r="AO997" i="2"/>
  <c r="BA181" i="2"/>
  <c r="BB177" i="2"/>
  <c r="BC177" i="2"/>
  <c r="CD380" i="2"/>
  <c r="CE379" i="2"/>
  <c r="CF379" i="2"/>
  <c r="Z217" i="2"/>
  <c r="AA217" i="2"/>
  <c r="L687" i="2"/>
  <c r="M687" i="2"/>
  <c r="K691" i="2"/>
  <c r="AA317" i="2"/>
  <c r="AA386" i="2"/>
  <c r="DH157" i="2"/>
  <c r="CR453" i="2"/>
  <c r="CS452" i="2"/>
  <c r="CT452" i="2"/>
  <c r="K993" i="2"/>
  <c r="L989" i="2"/>
  <c r="BA769" i="2"/>
  <c r="BB765" i="2"/>
  <c r="BB704" i="2"/>
  <c r="BA708" i="2"/>
  <c r="BB708" i="2"/>
  <c r="BC708" i="2"/>
  <c r="BC755" i="2"/>
  <c r="CS156" i="2"/>
  <c r="CR157" i="2"/>
  <c r="AM402" i="2"/>
  <c r="AN398" i="2"/>
  <c r="BC103" i="2"/>
  <c r="M86" i="2"/>
  <c r="K918" i="2"/>
  <c r="L914" i="2"/>
  <c r="M914" i="2"/>
  <c r="AM247" i="2"/>
  <c r="AN243" i="2"/>
  <c r="AO243" i="2"/>
  <c r="AN396" i="2"/>
  <c r="AO396" i="2"/>
  <c r="AM400" i="2"/>
  <c r="M911" i="2"/>
  <c r="M215" i="2"/>
  <c r="AO982" i="2"/>
  <c r="AA244" i="2"/>
  <c r="BC173" i="2"/>
  <c r="BA621" i="2"/>
  <c r="BB617" i="2"/>
  <c r="Z760" i="2"/>
  <c r="Y764" i="2"/>
  <c r="AA462" i="2"/>
  <c r="Z513" i="2"/>
  <c r="AA513" i="2"/>
  <c r="M683" i="2"/>
  <c r="L311" i="2"/>
  <c r="K315" i="2"/>
  <c r="Z321" i="2"/>
  <c r="AA321" i="2"/>
  <c r="Y325" i="2"/>
  <c r="Z325" i="2"/>
  <c r="AA325" i="2"/>
  <c r="Z390" i="2"/>
  <c r="AA390" i="2"/>
  <c r="Y394" i="2"/>
  <c r="DH672" i="2"/>
  <c r="K242" i="2"/>
  <c r="L238" i="2"/>
  <c r="K1002" i="2"/>
  <c r="L1002" i="2"/>
  <c r="M1002" i="2"/>
  <c r="L998" i="2"/>
  <c r="M998" i="2"/>
  <c r="M985" i="2"/>
  <c r="BB473" i="2"/>
  <c r="BA477" i="2"/>
  <c r="V959" i="2"/>
  <c r="AN735" i="2"/>
  <c r="AO735" i="2"/>
  <c r="BA911" i="2"/>
  <c r="BB907" i="2"/>
  <c r="BC907" i="2"/>
  <c r="DF822" i="2"/>
  <c r="DG821" i="2"/>
  <c r="DH821" i="2"/>
  <c r="L90" i="2"/>
  <c r="M90" i="2"/>
  <c r="K94" i="2"/>
  <c r="AM417" i="2"/>
  <c r="AN413" i="2"/>
  <c r="AO413" i="2"/>
  <c r="K614" i="2"/>
  <c r="L610" i="2"/>
  <c r="L915" i="2"/>
  <c r="K919" i="2"/>
  <c r="AN986" i="2"/>
  <c r="AO986" i="2"/>
  <c r="AM990" i="2"/>
  <c r="Z248" i="2"/>
  <c r="AA248" i="2"/>
  <c r="Y252" i="2"/>
  <c r="AN849" i="2"/>
  <c r="AO849" i="2"/>
  <c r="CR676" i="2"/>
  <c r="CS675" i="2"/>
  <c r="CT675" i="2"/>
  <c r="AN625" i="2"/>
  <c r="AM629" i="2"/>
  <c r="AN629" i="2"/>
  <c r="AO629" i="2"/>
  <c r="AA756" i="2"/>
  <c r="Y470" i="2"/>
  <c r="Z466" i="2"/>
  <c r="Z876" i="2"/>
  <c r="DF674" i="2"/>
  <c r="DG673" i="2"/>
  <c r="DH673" i="2"/>
  <c r="AM111" i="2"/>
  <c r="AN107" i="2"/>
  <c r="AO107" i="2"/>
  <c r="AN98" i="2"/>
  <c r="AO98" i="2"/>
  <c r="AM102" i="2"/>
  <c r="BB768" i="2"/>
  <c r="BC768" i="2"/>
  <c r="BA772" i="2"/>
  <c r="BB772" i="2"/>
  <c r="BC772" i="2"/>
  <c r="BB908" i="2"/>
  <c r="BC908" i="2"/>
  <c r="BA912" i="2"/>
  <c r="BB978" i="2"/>
  <c r="BA982" i="2"/>
  <c r="CS82" i="2"/>
  <c r="CR83" i="2"/>
  <c r="DF603" i="2"/>
  <c r="DG602" i="2"/>
  <c r="DH602" i="2"/>
  <c r="M686" i="2"/>
  <c r="M173" i="2"/>
  <c r="BC387" i="2"/>
  <c r="BA244" i="2"/>
  <c r="BB240" i="2"/>
  <c r="Z96" i="2"/>
  <c r="AA96" i="2"/>
  <c r="Y100" i="2"/>
  <c r="AA320" i="2"/>
  <c r="DU602" i="2"/>
  <c r="DV602" i="2"/>
  <c r="DT603" i="2"/>
  <c r="Y617" i="2"/>
  <c r="Z617" i="2"/>
  <c r="AA617" i="2"/>
  <c r="Z613" i="2"/>
  <c r="BB475" i="2"/>
  <c r="BC475" i="2"/>
  <c r="BA479" i="2"/>
  <c r="DH451" i="2"/>
  <c r="K317" i="2"/>
  <c r="L313" i="2"/>
  <c r="AN96" i="2"/>
  <c r="AM100" i="2"/>
  <c r="EH304" i="2"/>
  <c r="EI303" i="2"/>
  <c r="EJ303" i="2"/>
  <c r="DR949" i="2"/>
  <c r="DQ950" i="2"/>
  <c r="DR950" i="2"/>
  <c r="K834" i="2"/>
  <c r="L830" i="2"/>
  <c r="M830" i="2"/>
  <c r="BB109" i="2"/>
  <c r="BC109" i="2"/>
  <c r="AA234" i="2"/>
  <c r="L615" i="2"/>
  <c r="M615" i="2"/>
  <c r="K619" i="2"/>
  <c r="AA996" i="2"/>
  <c r="Z1032" i="2"/>
  <c r="AA1032" i="2"/>
  <c r="AM543" i="2"/>
  <c r="AN539" i="2"/>
  <c r="AO991" i="2"/>
  <c r="BB90" i="2"/>
  <c r="BA94" i="2"/>
  <c r="K541" i="2"/>
  <c r="L537" i="2"/>
  <c r="DR63" i="2"/>
  <c r="DH376" i="2"/>
  <c r="BA542" i="2"/>
  <c r="BB538" i="2"/>
  <c r="BC538" i="2"/>
  <c r="Z700" i="2"/>
  <c r="Y704" i="2"/>
  <c r="Y249" i="2"/>
  <c r="Z245" i="2"/>
  <c r="AN481" i="2"/>
  <c r="AN506" i="2"/>
  <c r="AM485" i="2"/>
  <c r="AN485" i="2"/>
  <c r="AO485" i="2"/>
  <c r="Y98" i="2"/>
  <c r="Z94" i="2"/>
  <c r="AM325" i="2"/>
  <c r="AN325" i="2"/>
  <c r="AO325" i="2"/>
  <c r="AN321" i="2"/>
  <c r="BA414" i="2"/>
  <c r="BB410" i="2"/>
  <c r="BC410" i="2"/>
  <c r="DF526" i="2"/>
  <c r="DG525" i="2"/>
  <c r="L542" i="2"/>
  <c r="M542" i="2"/>
  <c r="K546" i="2"/>
  <c r="BQ281" i="2"/>
  <c r="AO173" i="2"/>
  <c r="AN217" i="2"/>
  <c r="CB357" i="2"/>
  <c r="CA358" i="2"/>
  <c r="CB358" i="2"/>
  <c r="DV675" i="2"/>
  <c r="BA909" i="2"/>
  <c r="BB905" i="2"/>
  <c r="DH820" i="2"/>
  <c r="CS747" i="2"/>
  <c r="CR748" i="2"/>
  <c r="AA609" i="2"/>
  <c r="Z662" i="2"/>
  <c r="AA662" i="2"/>
  <c r="K249" i="2"/>
  <c r="L245" i="2"/>
  <c r="EJ302" i="2"/>
  <c r="Z464" i="2"/>
  <c r="Y468" i="2"/>
  <c r="M611" i="2"/>
  <c r="AN848" i="2"/>
  <c r="AM852" i="2"/>
  <c r="AN852" i="2"/>
  <c r="AO852" i="2"/>
  <c r="AO535" i="2"/>
  <c r="AN588" i="2"/>
  <c r="AO588" i="2"/>
  <c r="DC801" i="2"/>
  <c r="DU230" i="2"/>
  <c r="DT231" i="2"/>
  <c r="AN1032" i="2"/>
  <c r="AO1032" i="2"/>
  <c r="L512" i="2"/>
  <c r="M512" i="2"/>
  <c r="Z913" i="2"/>
  <c r="Y917" i="2"/>
  <c r="Z917" i="2"/>
  <c r="AA917" i="2"/>
  <c r="AO94" i="2"/>
  <c r="BC534" i="2"/>
  <c r="BC904" i="2"/>
  <c r="BB404" i="2"/>
  <c r="BC404" i="2"/>
  <c r="BA408" i="2"/>
  <c r="AN250" i="2"/>
  <c r="AM254" i="2"/>
  <c r="CR824" i="2"/>
  <c r="CS823" i="2"/>
  <c r="AN839" i="2"/>
  <c r="AO839" i="2"/>
  <c r="AM843" i="2"/>
  <c r="BB355" i="2"/>
  <c r="BQ293" i="2"/>
  <c r="BR293" i="2"/>
  <c r="BR289" i="2"/>
  <c r="DG452" i="2"/>
  <c r="DH452" i="2"/>
  <c r="DF453" i="2"/>
  <c r="AO92" i="2"/>
  <c r="BB981" i="2"/>
  <c r="BA985" i="2"/>
  <c r="AN733" i="2"/>
  <c r="DT380" i="2"/>
  <c r="DU379" i="2"/>
  <c r="DV379" i="2"/>
  <c r="Y989" i="2"/>
  <c r="Z985" i="2"/>
  <c r="AO903" i="2"/>
  <c r="Z238" i="2"/>
  <c r="Y242" i="2"/>
  <c r="Z691" i="2"/>
  <c r="AA691" i="2"/>
  <c r="Y695" i="2"/>
  <c r="Y1004" i="2"/>
  <c r="Z1004" i="2"/>
  <c r="AA1004" i="2"/>
  <c r="Z1000" i="2"/>
  <c r="AA1000" i="2"/>
  <c r="AA759" i="2"/>
  <c r="L840" i="2"/>
  <c r="M840" i="2"/>
  <c r="K844" i="2"/>
  <c r="DV821" i="2"/>
  <c r="DQ875" i="2"/>
  <c r="AM914" i="2"/>
  <c r="AN910" i="2"/>
  <c r="AN995" i="2"/>
  <c r="AO995" i="2"/>
  <c r="AM999" i="2"/>
  <c r="BB884" i="2"/>
  <c r="BC884" i="2"/>
  <c r="AN177" i="2"/>
  <c r="AM181" i="2"/>
  <c r="AN181" i="2"/>
  <c r="AO181" i="2"/>
  <c r="M905" i="2"/>
  <c r="CT971" i="2"/>
  <c r="CO1023" i="2"/>
  <c r="M533" i="2"/>
  <c r="CF525" i="2"/>
  <c r="DQ61" i="2"/>
  <c r="DF378" i="2"/>
  <c r="DG377" i="2"/>
  <c r="DH377" i="2"/>
  <c r="BR88" i="2"/>
  <c r="AO317" i="2"/>
  <c r="AN365" i="2"/>
  <c r="CD675" i="2"/>
  <c r="CE674" i="2"/>
  <c r="CF674" i="2"/>
  <c r="Y183" i="2"/>
  <c r="Z179" i="2"/>
  <c r="Z809" i="2"/>
  <c r="AA809" i="2"/>
  <c r="L177" i="2"/>
  <c r="M177" i="2"/>
  <c r="K181" i="2"/>
  <c r="M538" i="2"/>
  <c r="CR677" i="2"/>
  <c r="CS676" i="2"/>
  <c r="K695" i="2"/>
  <c r="L691" i="2"/>
  <c r="CD528" i="2"/>
  <c r="CE527" i="2"/>
  <c r="DV230" i="2"/>
  <c r="Z915" i="2"/>
  <c r="Z950" i="2"/>
  <c r="Z242" i="2"/>
  <c r="Y246" i="2"/>
  <c r="M915" i="2"/>
  <c r="L956" i="2"/>
  <c r="M956" i="2"/>
  <c r="BQ70" i="2"/>
  <c r="BR70" i="2"/>
  <c r="CF10" i="2"/>
  <c r="K701" i="2"/>
  <c r="L697" i="2"/>
  <c r="M697" i="2"/>
  <c r="M392" i="2"/>
  <c r="BB551" i="2"/>
  <c r="BC551" i="2"/>
  <c r="BA555" i="2"/>
  <c r="AO756" i="2"/>
  <c r="AM395" i="2"/>
  <c r="AN391" i="2"/>
  <c r="K767" i="2"/>
  <c r="L763" i="2"/>
  <c r="L694" i="2"/>
  <c r="K698" i="2"/>
  <c r="BA544" i="2"/>
  <c r="BB540" i="2"/>
  <c r="EH232" i="2"/>
  <c r="EI231" i="2"/>
  <c r="EJ231" i="2"/>
  <c r="AX959" i="2"/>
  <c r="AW955" i="2"/>
  <c r="DU971" i="2"/>
  <c r="DV971" i="2"/>
  <c r="DT972" i="2"/>
  <c r="AA315" i="2"/>
  <c r="AA535" i="2"/>
  <c r="CE232" i="2"/>
  <c r="CF232" i="2"/>
  <c r="CD233" i="2"/>
  <c r="DR875" i="2"/>
  <c r="DQ876" i="2"/>
  <c r="DR876" i="2"/>
  <c r="AA238" i="2"/>
  <c r="BC981" i="2"/>
  <c r="DD801" i="2"/>
  <c r="DC802" i="2"/>
  <c r="DD802" i="2"/>
  <c r="CT747" i="2"/>
  <c r="BR282" i="2"/>
  <c r="BQ283" i="2"/>
  <c r="BR283" i="2"/>
  <c r="AM104" i="2"/>
  <c r="AN100" i="2"/>
  <c r="AO100" i="2"/>
  <c r="DG822" i="2"/>
  <c r="DH822" i="2"/>
  <c r="DF823" i="2"/>
  <c r="BC617" i="2"/>
  <c r="L768" i="2"/>
  <c r="M768" i="2"/>
  <c r="K772" i="2"/>
  <c r="L772" i="2"/>
  <c r="M772" i="2"/>
  <c r="Z546" i="2"/>
  <c r="Y550" i="2"/>
  <c r="DT678" i="2"/>
  <c r="DU677" i="2"/>
  <c r="DV677" i="2"/>
  <c r="AM764" i="2"/>
  <c r="AN760" i="2"/>
  <c r="AO760" i="2"/>
  <c r="BB405" i="2"/>
  <c r="BC405" i="2"/>
  <c r="BA409" i="2"/>
  <c r="AN810" i="2"/>
  <c r="AO810" i="2"/>
  <c r="DD949" i="2"/>
  <c r="DC950" i="2"/>
  <c r="DD950" i="2"/>
  <c r="BC536" i="2"/>
  <c r="AM546" i="2"/>
  <c r="AN542" i="2"/>
  <c r="AO733" i="2"/>
  <c r="AA94" i="2"/>
  <c r="AN111" i="2"/>
  <c r="EI85" i="2"/>
  <c r="EJ85" i="2"/>
  <c r="EF137" i="2"/>
  <c r="AM842" i="2"/>
  <c r="AN838" i="2"/>
  <c r="BA399" i="2"/>
  <c r="BB395" i="2"/>
  <c r="BC395" i="2"/>
  <c r="AO910" i="2"/>
  <c r="Z98" i="2"/>
  <c r="AA98" i="2"/>
  <c r="Y102" i="2"/>
  <c r="DR655" i="2"/>
  <c r="DU603" i="2"/>
  <c r="BC473" i="2"/>
  <c r="Y768" i="2"/>
  <c r="Z764" i="2"/>
  <c r="AA764" i="2"/>
  <c r="AM251" i="2"/>
  <c r="AN247" i="2"/>
  <c r="AO247" i="2"/>
  <c r="CB63" i="2"/>
  <c r="CD12" i="2"/>
  <c r="CE12" i="2"/>
  <c r="CF12" i="2"/>
  <c r="CE11" i="2"/>
  <c r="CF11" i="2"/>
  <c r="EJ84" i="2"/>
  <c r="EE135" i="2"/>
  <c r="AO387" i="2"/>
  <c r="BA698" i="2"/>
  <c r="BB694" i="2"/>
  <c r="BC694" i="2"/>
  <c r="K109" i="2"/>
  <c r="L105" i="2"/>
  <c r="M105" i="2"/>
  <c r="BC391" i="2"/>
  <c r="CS748" i="2"/>
  <c r="CT748" i="2"/>
  <c r="CR749" i="2"/>
  <c r="EH305" i="2"/>
  <c r="EI305" i="2"/>
  <c r="EJ305" i="2"/>
  <c r="EI304" i="2"/>
  <c r="EJ304" i="2"/>
  <c r="K550" i="2"/>
  <c r="L546" i="2"/>
  <c r="M546" i="2"/>
  <c r="AO96" i="2"/>
  <c r="BA767" i="2"/>
  <c r="BB763" i="2"/>
  <c r="BC186" i="2"/>
  <c r="BB218" i="2"/>
  <c r="BC218" i="2"/>
  <c r="CE603" i="2"/>
  <c r="CF603" i="2"/>
  <c r="CB655" i="2"/>
  <c r="AM622" i="2"/>
  <c r="AN618" i="2"/>
  <c r="AO618" i="2"/>
  <c r="Y474" i="2"/>
  <c r="Z470" i="2"/>
  <c r="AA470" i="2"/>
  <c r="BA915" i="2"/>
  <c r="BB911" i="2"/>
  <c r="BC911" i="2"/>
  <c r="AN809" i="2"/>
  <c r="AO809" i="2"/>
  <c r="L833" i="2"/>
  <c r="K837" i="2"/>
  <c r="EI157" i="2"/>
  <c r="EJ157" i="2"/>
  <c r="EH158" i="2"/>
  <c r="Y548" i="2"/>
  <c r="Z544" i="2"/>
  <c r="AA544" i="2"/>
  <c r="AO614" i="2"/>
  <c r="BQ184" i="2"/>
  <c r="BR184" i="2"/>
  <c r="BP188" i="2"/>
  <c r="BQ188" i="2"/>
  <c r="BR188" i="2"/>
  <c r="AM615" i="2"/>
  <c r="AN611" i="2"/>
  <c r="L292" i="2"/>
  <c r="M292" i="2"/>
  <c r="Z549" i="2"/>
  <c r="AA549" i="2"/>
  <c r="Y553" i="2"/>
  <c r="BR92" i="2"/>
  <c r="K556" i="2"/>
  <c r="L552" i="2"/>
  <c r="M552" i="2"/>
  <c r="AA179" i="2"/>
  <c r="DR61" i="2"/>
  <c r="DQ62" i="2"/>
  <c r="DR62" i="2"/>
  <c r="K848" i="2"/>
  <c r="L844" i="2"/>
  <c r="M844" i="2"/>
  <c r="DF454" i="2"/>
  <c r="DG453" i="2"/>
  <c r="DH453" i="2"/>
  <c r="CS824" i="2"/>
  <c r="CT824" i="2"/>
  <c r="CR825" i="2"/>
  <c r="AA464" i="2"/>
  <c r="DH525" i="2"/>
  <c r="AO481" i="2"/>
  <c r="AN503" i="2"/>
  <c r="AN513" i="2"/>
  <c r="AM547" i="2"/>
  <c r="AN543" i="2"/>
  <c r="AO543" i="2"/>
  <c r="L317" i="2"/>
  <c r="K321" i="2"/>
  <c r="M311" i="2"/>
  <c r="CE380" i="2"/>
  <c r="CF380" i="2"/>
  <c r="CD381" i="2"/>
  <c r="BA620" i="2"/>
  <c r="BB616" i="2"/>
  <c r="M829" i="2"/>
  <c r="EJ156" i="2"/>
  <c r="Z105" i="2"/>
  <c r="AA105" i="2"/>
  <c r="Y109" i="2"/>
  <c r="M511" i="2"/>
  <c r="Y483" i="2"/>
  <c r="Z483" i="2"/>
  <c r="AA483" i="2"/>
  <c r="Z479" i="2"/>
  <c r="AA479" i="2"/>
  <c r="BB847" i="2"/>
  <c r="BA851" i="2"/>
  <c r="BP100" i="2"/>
  <c r="BQ96" i="2"/>
  <c r="K917" i="2"/>
  <c r="L913" i="2"/>
  <c r="M913" i="2"/>
  <c r="Z210" i="2"/>
  <c r="Y187" i="2"/>
  <c r="Z187" i="2"/>
  <c r="AA187" i="2"/>
  <c r="Z183" i="2"/>
  <c r="AA183" i="2"/>
  <c r="AO177" i="2"/>
  <c r="AN207" i="2"/>
  <c r="AM258" i="2"/>
  <c r="AN254" i="2"/>
  <c r="BC905" i="2"/>
  <c r="BB958" i="2"/>
  <c r="BC958" i="2"/>
  <c r="DG526" i="2"/>
  <c r="DH526" i="2"/>
  <c r="DF527" i="2"/>
  <c r="AM994" i="2"/>
  <c r="AN990" i="2"/>
  <c r="BC704" i="2"/>
  <c r="BB736" i="2"/>
  <c r="BC736" i="2"/>
  <c r="AN1001" i="2"/>
  <c r="AO1001" i="2"/>
  <c r="BA468" i="2"/>
  <c r="BB464" i="2"/>
  <c r="BC464" i="2"/>
  <c r="K99" i="2"/>
  <c r="L95" i="2"/>
  <c r="CA653" i="2"/>
  <c r="DD285" i="2"/>
  <c r="DG233" i="2"/>
  <c r="DH233" i="2"/>
  <c r="CR232" i="2"/>
  <c r="CS231" i="2"/>
  <c r="Z95" i="2"/>
  <c r="Y99" i="2"/>
  <c r="Z955" i="2"/>
  <c r="BB770" i="2"/>
  <c r="BC770" i="2"/>
  <c r="BA774" i="2"/>
  <c r="BB774" i="2"/>
  <c r="BC774" i="2"/>
  <c r="K996" i="2"/>
  <c r="L992" i="2"/>
  <c r="BC843" i="2"/>
  <c r="BR215" i="2"/>
  <c r="Z216" i="2"/>
  <c r="AA216" i="2"/>
  <c r="CS384" i="2"/>
  <c r="CR385" i="2"/>
  <c r="CS385" i="2"/>
  <c r="CT385" i="2"/>
  <c r="CS157" i="2"/>
  <c r="CT157" i="2"/>
  <c r="CR158" i="2"/>
  <c r="BA916" i="2"/>
  <c r="BB916" i="2"/>
  <c r="BC916" i="2"/>
  <c r="BB912" i="2"/>
  <c r="BC912" i="2"/>
  <c r="Z539" i="2"/>
  <c r="Y543" i="2"/>
  <c r="K185" i="2"/>
  <c r="L181" i="2"/>
  <c r="K922" i="2"/>
  <c r="L918" i="2"/>
  <c r="M764" i="2"/>
  <c r="DG378" i="2"/>
  <c r="DH378" i="2"/>
  <c r="DF379" i="2"/>
  <c r="Y472" i="2"/>
  <c r="Z468" i="2"/>
  <c r="AA468" i="2"/>
  <c r="K618" i="2"/>
  <c r="L614" i="2"/>
  <c r="AA985" i="2"/>
  <c r="BB909" i="2"/>
  <c r="BA913" i="2"/>
  <c r="AA245" i="2"/>
  <c r="K838" i="2"/>
  <c r="L834" i="2"/>
  <c r="BC240" i="2"/>
  <c r="BB291" i="2"/>
  <c r="DD655" i="2"/>
  <c r="DG603" i="2"/>
  <c r="DH603" i="2"/>
  <c r="M238" i="2"/>
  <c r="AN400" i="2"/>
  <c r="AO400" i="2"/>
  <c r="AM404" i="2"/>
  <c r="BC765" i="2"/>
  <c r="BB809" i="2"/>
  <c r="BC809" i="2"/>
  <c r="BB689" i="2"/>
  <c r="BA693" i="2"/>
  <c r="BB111" i="2"/>
  <c r="BC460" i="2"/>
  <c r="M91" i="2"/>
  <c r="L144" i="2"/>
  <c r="M144" i="2"/>
  <c r="AM767" i="2"/>
  <c r="AN763" i="2"/>
  <c r="DT453" i="2"/>
  <c r="DU452" i="2"/>
  <c r="DH232" i="2"/>
  <c r="AA91" i="2"/>
  <c r="AA874" i="2"/>
  <c r="Z875" i="2"/>
  <c r="AA875" i="2"/>
  <c r="BC766" i="2"/>
  <c r="AN244" i="2"/>
  <c r="AM248" i="2"/>
  <c r="BB365" i="2"/>
  <c r="AO695" i="2"/>
  <c r="CR305" i="2"/>
  <c r="CS305" i="2"/>
  <c r="CT305" i="2"/>
  <c r="CS304" i="2"/>
  <c r="Z400" i="2"/>
  <c r="Y404" i="2"/>
  <c r="CD825" i="2"/>
  <c r="CE824" i="2"/>
  <c r="Z767" i="2"/>
  <c r="AA767" i="2"/>
  <c r="Y771" i="2"/>
  <c r="DT232" i="2"/>
  <c r="DU231" i="2"/>
  <c r="DV231" i="2"/>
  <c r="BC978" i="2"/>
  <c r="Z686" i="2"/>
  <c r="AA686" i="2"/>
  <c r="Y690" i="2"/>
  <c r="Y104" i="2"/>
  <c r="Z100" i="2"/>
  <c r="AA100" i="2"/>
  <c r="M909" i="2"/>
  <c r="AO250" i="2"/>
  <c r="AN289" i="2"/>
  <c r="Y993" i="2"/>
  <c r="Z989" i="2"/>
  <c r="AO848" i="2"/>
  <c r="AN884" i="2"/>
  <c r="AO884" i="2"/>
  <c r="Y253" i="2"/>
  <c r="Z249" i="2"/>
  <c r="AA249" i="2"/>
  <c r="BA248" i="2"/>
  <c r="BB244" i="2"/>
  <c r="BB769" i="2"/>
  <c r="BC769" i="2"/>
  <c r="BA773" i="2"/>
  <c r="BB773" i="2"/>
  <c r="BC773" i="2"/>
  <c r="DD1023" i="2"/>
  <c r="DC1024" i="2"/>
  <c r="DD1024" i="2"/>
  <c r="CP653" i="2"/>
  <c r="CO654" i="2"/>
  <c r="CP654" i="2"/>
  <c r="AO698" i="2"/>
  <c r="BA995" i="2"/>
  <c r="BB991" i="2"/>
  <c r="CE159" i="2"/>
  <c r="CD160" i="2"/>
  <c r="CE160" i="2"/>
  <c r="CF160" i="2"/>
  <c r="CB211" i="2"/>
  <c r="M762" i="2"/>
  <c r="M243" i="2"/>
  <c r="AO240" i="2"/>
  <c r="L692" i="2"/>
  <c r="K696" i="2"/>
  <c r="BB474" i="2"/>
  <c r="BA478" i="2"/>
  <c r="Y699" i="2"/>
  <c r="Z695" i="2"/>
  <c r="AA695" i="2"/>
  <c r="CT156" i="2"/>
  <c r="BB985" i="2"/>
  <c r="BC985" i="2"/>
  <c r="BA989" i="2"/>
  <c r="CT823" i="2"/>
  <c r="AO539" i="2"/>
  <c r="Z365" i="2"/>
  <c r="AA365" i="2"/>
  <c r="AN702" i="2"/>
  <c r="AO702" i="2"/>
  <c r="AM706" i="2"/>
  <c r="L247" i="2"/>
  <c r="M247" i="2"/>
  <c r="K251" i="2"/>
  <c r="AM916" i="2"/>
  <c r="AN912" i="2"/>
  <c r="BC356" i="2"/>
  <c r="BB357" i="2"/>
  <c r="BC357" i="2"/>
  <c r="BC90" i="2"/>
  <c r="L919" i="2"/>
  <c r="K923" i="2"/>
  <c r="L923" i="2"/>
  <c r="M923" i="2"/>
  <c r="BA481" i="2"/>
  <c r="BB477" i="2"/>
  <c r="BC477" i="2"/>
  <c r="CE454" i="2"/>
  <c r="CD455" i="2"/>
  <c r="Z413" i="2"/>
  <c r="AA413" i="2"/>
  <c r="Y417" i="2"/>
  <c r="L543" i="2"/>
  <c r="M543" i="2"/>
  <c r="K547" i="2"/>
  <c r="DH85" i="2"/>
  <c r="DC135" i="2"/>
  <c r="AM704" i="2"/>
  <c r="AN700" i="2"/>
  <c r="AO700" i="2"/>
  <c r="DT529" i="2"/>
  <c r="DU528" i="2"/>
  <c r="AN911" i="2"/>
  <c r="AO911" i="2"/>
  <c r="AM915" i="2"/>
  <c r="CP1023" i="2"/>
  <c r="CO1024" i="2"/>
  <c r="CP1024" i="2"/>
  <c r="AM847" i="2"/>
  <c r="AN843" i="2"/>
  <c r="AO843" i="2"/>
  <c r="AO217" i="2"/>
  <c r="AN219" i="2"/>
  <c r="AO219" i="2"/>
  <c r="BA546" i="2"/>
  <c r="BB542" i="2"/>
  <c r="BC542" i="2"/>
  <c r="Y398" i="2"/>
  <c r="Z394" i="2"/>
  <c r="AA394" i="2"/>
  <c r="CR454" i="2"/>
  <c r="CS453" i="2"/>
  <c r="CT453" i="2"/>
  <c r="BP106" i="2"/>
  <c r="BQ102" i="2"/>
  <c r="K400" i="2"/>
  <c r="L396" i="2"/>
  <c r="M396" i="2"/>
  <c r="BA996" i="2"/>
  <c r="BB992" i="2"/>
  <c r="BC992" i="2"/>
  <c r="Z399" i="2"/>
  <c r="AA399" i="2"/>
  <c r="Y403" i="2"/>
  <c r="AO696" i="2"/>
  <c r="M320" i="2"/>
  <c r="L477" i="2"/>
  <c r="M477" i="2"/>
  <c r="K481" i="2"/>
  <c r="Z319" i="2"/>
  <c r="AA319" i="2"/>
  <c r="Y323" i="2"/>
  <c r="Z323" i="2"/>
  <c r="AN914" i="2"/>
  <c r="AO914" i="2"/>
  <c r="AM918" i="2"/>
  <c r="DG674" i="2"/>
  <c r="DH674" i="2"/>
  <c r="DF675" i="2"/>
  <c r="AA760" i="2"/>
  <c r="AA466" i="2"/>
  <c r="M610" i="2"/>
  <c r="L661" i="2"/>
  <c r="M661" i="2"/>
  <c r="BA625" i="2"/>
  <c r="BB621" i="2"/>
  <c r="BC621" i="2"/>
  <c r="BA703" i="2"/>
  <c r="BB703" i="2"/>
  <c r="BC703" i="2"/>
  <c r="BB699" i="2"/>
  <c r="BC401" i="2"/>
  <c r="BR180" i="2"/>
  <c r="BQ216" i="2"/>
  <c r="BR216" i="2"/>
  <c r="M313" i="2"/>
  <c r="L366" i="2"/>
  <c r="M366" i="2"/>
  <c r="Y256" i="2"/>
  <c r="Z252" i="2"/>
  <c r="AA252" i="2"/>
  <c r="L315" i="2"/>
  <c r="M315" i="2"/>
  <c r="K319" i="2"/>
  <c r="CD676" i="2"/>
  <c r="CE675" i="2"/>
  <c r="CF675" i="2"/>
  <c r="AN999" i="2"/>
  <c r="AM1003" i="2"/>
  <c r="AN1003" i="2"/>
  <c r="AO1003" i="2"/>
  <c r="BA412" i="2"/>
  <c r="BB408" i="2"/>
  <c r="BC408" i="2"/>
  <c r="AA913" i="2"/>
  <c r="Z957" i="2"/>
  <c r="AA957" i="2"/>
  <c r="BA418" i="2"/>
  <c r="BB414" i="2"/>
  <c r="M537" i="2"/>
  <c r="BB479" i="2"/>
  <c r="BC479" i="2"/>
  <c r="BA483" i="2"/>
  <c r="BB483" i="2"/>
  <c r="BC483" i="2"/>
  <c r="CS83" i="2"/>
  <c r="CT83" i="2"/>
  <c r="CR84" i="2"/>
  <c r="AN102" i="2"/>
  <c r="AO102" i="2"/>
  <c r="AM106" i="2"/>
  <c r="K246" i="2"/>
  <c r="L242" i="2"/>
  <c r="AO365" i="2"/>
  <c r="AN367" i="2"/>
  <c r="AO367" i="2"/>
  <c r="M245" i="2"/>
  <c r="AO321" i="2"/>
  <c r="AN355" i="2"/>
  <c r="Z704" i="2"/>
  <c r="AA704" i="2"/>
  <c r="Y708" i="2"/>
  <c r="Z708" i="2"/>
  <c r="AA708" i="2"/>
  <c r="L541" i="2"/>
  <c r="M541" i="2"/>
  <c r="K545" i="2"/>
  <c r="CT82" i="2"/>
  <c r="AO625" i="2"/>
  <c r="AN661" i="2"/>
  <c r="AO661" i="2"/>
  <c r="AM421" i="2"/>
  <c r="AN421" i="2"/>
  <c r="AO421" i="2"/>
  <c r="AN417" i="2"/>
  <c r="AO417" i="2"/>
  <c r="Z885" i="2"/>
  <c r="AA885" i="2"/>
  <c r="AO398" i="2"/>
  <c r="AN437" i="2"/>
  <c r="M989" i="2"/>
  <c r="L1030" i="2"/>
  <c r="M1030" i="2"/>
  <c r="BA185" i="2"/>
  <c r="BB181" i="2"/>
  <c r="BR178" i="2"/>
  <c r="CR527" i="2"/>
  <c r="CS526" i="2"/>
  <c r="CT526" i="2"/>
  <c r="DR801" i="2"/>
  <c r="DQ802" i="2"/>
  <c r="DR802" i="2"/>
  <c r="L766" i="2"/>
  <c r="M766" i="2"/>
  <c r="K770" i="2"/>
  <c r="Z651" i="2"/>
  <c r="DU380" i="2"/>
  <c r="DT381" i="2"/>
  <c r="K253" i="2"/>
  <c r="L249" i="2"/>
  <c r="M249" i="2"/>
  <c r="AA700" i="2"/>
  <c r="BA98" i="2"/>
  <c r="BB94" i="2"/>
  <c r="BC94" i="2"/>
  <c r="K623" i="2"/>
  <c r="L619" i="2"/>
  <c r="AA613" i="2"/>
  <c r="Z661" i="2"/>
  <c r="BA986" i="2"/>
  <c r="BB986" i="2"/>
  <c r="BC986" i="2"/>
  <c r="BB982" i="2"/>
  <c r="K98" i="2"/>
  <c r="L94" i="2"/>
  <c r="M94" i="2"/>
  <c r="DC653" i="2"/>
  <c r="AN402" i="2"/>
  <c r="AM406" i="2"/>
  <c r="L993" i="2"/>
  <c r="K997" i="2"/>
  <c r="BP186" i="2"/>
  <c r="BQ210" i="2"/>
  <c r="BQ182" i="2"/>
  <c r="BR182" i="2"/>
  <c r="DG159" i="2"/>
  <c r="DH159" i="2"/>
  <c r="DF160" i="2"/>
  <c r="DG160" i="2"/>
  <c r="DH160" i="2"/>
  <c r="DD211" i="2"/>
  <c r="BP103" i="2"/>
  <c r="BQ99" i="2"/>
  <c r="BR99" i="2"/>
  <c r="M539" i="2"/>
  <c r="K41" i="2"/>
  <c r="L41" i="2"/>
  <c r="M41" i="2"/>
  <c r="L37" i="2"/>
  <c r="M37" i="2"/>
  <c r="L398" i="2"/>
  <c r="K402" i="2"/>
  <c r="L809" i="2"/>
  <c r="M809" i="2"/>
  <c r="BA627" i="2"/>
  <c r="BB623" i="2"/>
  <c r="BC623" i="2"/>
  <c r="CD85" i="2"/>
  <c r="CE84" i="2"/>
  <c r="CF84" i="2"/>
  <c r="AA682" i="2"/>
  <c r="K34" i="2"/>
  <c r="Y547" i="2"/>
  <c r="Z543" i="2"/>
  <c r="AA543" i="2"/>
  <c r="BP104" i="2"/>
  <c r="BQ100" i="2"/>
  <c r="M993" i="2"/>
  <c r="CE676" i="2"/>
  <c r="CF676" i="2"/>
  <c r="CD677" i="2"/>
  <c r="Z690" i="2"/>
  <c r="Y694" i="2"/>
  <c r="AN406" i="2"/>
  <c r="AO406" i="2"/>
  <c r="AM410" i="2"/>
  <c r="AA661" i="2"/>
  <c r="Z663" i="2"/>
  <c r="AA663" i="2"/>
  <c r="K549" i="2"/>
  <c r="L545" i="2"/>
  <c r="M242" i="2"/>
  <c r="BC414" i="2"/>
  <c r="AA323" i="2"/>
  <c r="Z364" i="2"/>
  <c r="AA364" i="2"/>
  <c r="AA400" i="2"/>
  <c r="AN767" i="2"/>
  <c r="AO767" i="2"/>
  <c r="AM771" i="2"/>
  <c r="L838" i="2"/>
  <c r="M838" i="2"/>
  <c r="K842" i="2"/>
  <c r="DG379" i="2"/>
  <c r="DF380" i="2"/>
  <c r="L996" i="2"/>
  <c r="M996" i="2"/>
  <c r="K1000" i="2"/>
  <c r="CB653" i="2"/>
  <c r="CA654" i="2"/>
  <c r="CB654" i="2"/>
  <c r="AO990" i="2"/>
  <c r="AN1029" i="2"/>
  <c r="AN258" i="2"/>
  <c r="AO258" i="2"/>
  <c r="Y557" i="2"/>
  <c r="Z557" i="2"/>
  <c r="AA557" i="2"/>
  <c r="Z553" i="2"/>
  <c r="AA553" i="2"/>
  <c r="Y552" i="2"/>
  <c r="Z548" i="2"/>
  <c r="AA548" i="2"/>
  <c r="AM846" i="2"/>
  <c r="AN842" i="2"/>
  <c r="CE85" i="2"/>
  <c r="CF85" i="2"/>
  <c r="CB137" i="2"/>
  <c r="BQ103" i="2"/>
  <c r="BR103" i="2"/>
  <c r="BP107" i="2"/>
  <c r="AO402" i="2"/>
  <c r="L246" i="2"/>
  <c r="M246" i="2"/>
  <c r="K250" i="2"/>
  <c r="BB418" i="2"/>
  <c r="BC418" i="2"/>
  <c r="BA422" i="2"/>
  <c r="BB422" i="2"/>
  <c r="BC422" i="2"/>
  <c r="L319" i="2"/>
  <c r="K323" i="2"/>
  <c r="L323" i="2"/>
  <c r="K404" i="2"/>
  <c r="L400" i="2"/>
  <c r="L547" i="2"/>
  <c r="K551" i="2"/>
  <c r="Z699" i="2"/>
  <c r="AA699" i="2"/>
  <c r="Y703" i="2"/>
  <c r="L810" i="2"/>
  <c r="M810" i="2"/>
  <c r="CT304" i="2"/>
  <c r="CO357" i="2"/>
  <c r="AN404" i="2"/>
  <c r="AO404" i="2"/>
  <c r="AM408" i="2"/>
  <c r="M95" i="2"/>
  <c r="AN994" i="2"/>
  <c r="AM998" i="2"/>
  <c r="AO208" i="2"/>
  <c r="AN209" i="2"/>
  <c r="AO209" i="2"/>
  <c r="BB851" i="2"/>
  <c r="BC851" i="2"/>
  <c r="BB876" i="2"/>
  <c r="L513" i="2"/>
  <c r="L848" i="2"/>
  <c r="M848" i="2"/>
  <c r="K852" i="2"/>
  <c r="L852" i="2"/>
  <c r="M852" i="2"/>
  <c r="Z474" i="2"/>
  <c r="Y478" i="2"/>
  <c r="L550" i="2"/>
  <c r="M550" i="2"/>
  <c r="K554" i="2"/>
  <c r="DV603" i="2"/>
  <c r="DQ653" i="2"/>
  <c r="AO542" i="2"/>
  <c r="AM768" i="2"/>
  <c r="AN764" i="2"/>
  <c r="AO764" i="2"/>
  <c r="CF527" i="2"/>
  <c r="AO437" i="2"/>
  <c r="AN704" i="2"/>
  <c r="AO704" i="2"/>
  <c r="AM708" i="2"/>
  <c r="AN708" i="2"/>
  <c r="AO708" i="2"/>
  <c r="CE825" i="2"/>
  <c r="CF825" i="2"/>
  <c r="CB877" i="2"/>
  <c r="BB399" i="2"/>
  <c r="BA403" i="2"/>
  <c r="AA915" i="2"/>
  <c r="Z956" i="2"/>
  <c r="AA956" i="2"/>
  <c r="DD135" i="2"/>
  <c r="DC136" i="2"/>
  <c r="DD136" i="2"/>
  <c r="Y257" i="2"/>
  <c r="Z253" i="2"/>
  <c r="AA253" i="2"/>
  <c r="M834" i="2"/>
  <c r="Y476" i="2"/>
  <c r="Z472" i="2"/>
  <c r="AA539" i="2"/>
  <c r="DD63" i="2"/>
  <c r="AN69" i="2"/>
  <c r="AO69" i="2"/>
  <c r="BA919" i="2"/>
  <c r="BB915" i="2"/>
  <c r="BA702" i="2"/>
  <c r="BB698" i="2"/>
  <c r="BC698" i="2"/>
  <c r="AO838" i="2"/>
  <c r="M619" i="2"/>
  <c r="L660" i="2"/>
  <c r="M660" i="2"/>
  <c r="CS527" i="2"/>
  <c r="CR528" i="2"/>
  <c r="BR102" i="2"/>
  <c r="BQ141" i="2"/>
  <c r="BA482" i="2"/>
  <c r="BB478" i="2"/>
  <c r="BC478" i="2"/>
  <c r="EF135" i="2"/>
  <c r="EE136" i="2"/>
  <c r="EF136" i="2"/>
  <c r="AM108" i="2"/>
  <c r="AN104" i="2"/>
  <c r="CE528" i="2"/>
  <c r="CF528" i="2"/>
  <c r="CD529" i="2"/>
  <c r="DU381" i="2"/>
  <c r="DV381" i="2"/>
  <c r="DR433" i="2"/>
  <c r="DT382" i="2"/>
  <c r="AM110" i="2"/>
  <c r="AN106" i="2"/>
  <c r="BQ106" i="2"/>
  <c r="BP110" i="2"/>
  <c r="AM626" i="2"/>
  <c r="AN622" i="2"/>
  <c r="AO622" i="2"/>
  <c r="DR729" i="2"/>
  <c r="DU678" i="2"/>
  <c r="EH233" i="2"/>
  <c r="EI232" i="2"/>
  <c r="AO289" i="2"/>
  <c r="DU232" i="2"/>
  <c r="DT233" i="2"/>
  <c r="Y103" i="2"/>
  <c r="Z99" i="2"/>
  <c r="AA99" i="2"/>
  <c r="BB468" i="2"/>
  <c r="BA472" i="2"/>
  <c r="DG527" i="2"/>
  <c r="DF528" i="2"/>
  <c r="BB620" i="2"/>
  <c r="BA624" i="2"/>
  <c r="L321" i="2"/>
  <c r="M321" i="2"/>
  <c r="K325" i="2"/>
  <c r="L325" i="2"/>
  <c r="M325" i="2"/>
  <c r="Z215" i="2"/>
  <c r="AO611" i="2"/>
  <c r="CS749" i="2"/>
  <c r="CT749" i="2"/>
  <c r="CR750" i="2"/>
  <c r="Y554" i="2"/>
  <c r="Z550" i="2"/>
  <c r="BC540" i="2"/>
  <c r="L695" i="2"/>
  <c r="K699" i="2"/>
  <c r="L69" i="2"/>
  <c r="M69" i="2"/>
  <c r="BA102" i="2"/>
  <c r="BB98" i="2"/>
  <c r="CR85" i="2"/>
  <c r="CS84" i="2"/>
  <c r="Y260" i="2"/>
  <c r="Z260" i="2"/>
  <c r="AA260" i="2"/>
  <c r="Z256" i="2"/>
  <c r="CR455" i="2"/>
  <c r="CS454" i="2"/>
  <c r="CT454" i="2"/>
  <c r="AN915" i="2"/>
  <c r="AO915" i="2"/>
  <c r="AN950" i="2"/>
  <c r="AM919" i="2"/>
  <c r="CE455" i="2"/>
  <c r="CF455" i="2"/>
  <c r="CB507" i="2"/>
  <c r="CD456" i="2"/>
  <c r="CE456" i="2"/>
  <c r="CF456" i="2"/>
  <c r="AN141" i="2"/>
  <c r="M692" i="2"/>
  <c r="CF159" i="2"/>
  <c r="CA209" i="2"/>
  <c r="Z771" i="2"/>
  <c r="AA771" i="2"/>
  <c r="BC365" i="2"/>
  <c r="BB367" i="2"/>
  <c r="BC367" i="2"/>
  <c r="CT384" i="2"/>
  <c r="CO431" i="2"/>
  <c r="AA95" i="2"/>
  <c r="M317" i="2"/>
  <c r="AN615" i="2"/>
  <c r="AO615" i="2"/>
  <c r="AM619" i="2"/>
  <c r="K841" i="2"/>
  <c r="L837" i="2"/>
  <c r="AA546" i="2"/>
  <c r="Z585" i="2"/>
  <c r="BB544" i="2"/>
  <c r="BC544" i="2"/>
  <c r="BA548" i="2"/>
  <c r="CT676" i="2"/>
  <c r="L997" i="2"/>
  <c r="M997" i="2"/>
  <c r="K1001" i="2"/>
  <c r="AN706" i="2"/>
  <c r="AN725" i="2"/>
  <c r="Z404" i="2"/>
  <c r="AA404" i="2"/>
  <c r="Y408" i="2"/>
  <c r="M992" i="2"/>
  <c r="K485" i="2"/>
  <c r="L485" i="2"/>
  <c r="M485" i="2"/>
  <c r="L481" i="2"/>
  <c r="M481" i="2"/>
  <c r="L506" i="2"/>
  <c r="BC847" i="2"/>
  <c r="Z947" i="2"/>
  <c r="BA917" i="2"/>
  <c r="BB913" i="2"/>
  <c r="BC913" i="2"/>
  <c r="Y106" i="2"/>
  <c r="Z102" i="2"/>
  <c r="CB285" i="2"/>
  <c r="CE233" i="2"/>
  <c r="M691" i="2"/>
  <c r="Z207" i="2"/>
  <c r="L98" i="2"/>
  <c r="K102" i="2"/>
  <c r="Z736" i="2"/>
  <c r="AA736" i="2"/>
  <c r="BC181" i="2"/>
  <c r="BB217" i="2"/>
  <c r="AN736" i="2"/>
  <c r="AO736" i="2"/>
  <c r="CF454" i="2"/>
  <c r="AO912" i="2"/>
  <c r="BC991" i="2"/>
  <c r="AN248" i="2"/>
  <c r="AM252" i="2"/>
  <c r="BC111" i="2"/>
  <c r="BB143" i="2"/>
  <c r="BC143" i="2"/>
  <c r="M918" i="2"/>
  <c r="CT231" i="2"/>
  <c r="AN883" i="2"/>
  <c r="AO883" i="2"/>
  <c r="CB433" i="2"/>
  <c r="CE381" i="2"/>
  <c r="CD382" i="2"/>
  <c r="CS825" i="2"/>
  <c r="CP877" i="2"/>
  <c r="M833" i="2"/>
  <c r="K702" i="2"/>
  <c r="L702" i="2"/>
  <c r="M702" i="2"/>
  <c r="L698" i="2"/>
  <c r="CR678" i="2"/>
  <c r="CS677" i="2"/>
  <c r="CT677" i="2"/>
  <c r="AO763" i="2"/>
  <c r="AO254" i="2"/>
  <c r="AN290" i="2"/>
  <c r="AO290" i="2"/>
  <c r="BC699" i="2"/>
  <c r="BB735" i="2"/>
  <c r="BC735" i="2"/>
  <c r="AN847" i="2"/>
  <c r="AO847" i="2"/>
  <c r="AM851" i="2"/>
  <c r="AN851" i="2"/>
  <c r="AO851" i="2"/>
  <c r="EH159" i="2"/>
  <c r="EI158" i="2"/>
  <c r="EJ158" i="2"/>
  <c r="AN546" i="2"/>
  <c r="AM550" i="2"/>
  <c r="BB555" i="2"/>
  <c r="BC555" i="2"/>
  <c r="BA559" i="2"/>
  <c r="BB559" i="2"/>
  <c r="BC559" i="2"/>
  <c r="Z417" i="2"/>
  <c r="AA417" i="2"/>
  <c r="Y421" i="2"/>
  <c r="Z421" i="2"/>
  <c r="AA421" i="2"/>
  <c r="BC474" i="2"/>
  <c r="Y997" i="2"/>
  <c r="Z993" i="2"/>
  <c r="BC616" i="2"/>
  <c r="DV380" i="2"/>
  <c r="K700" i="2"/>
  <c r="L696" i="2"/>
  <c r="M696" i="2"/>
  <c r="BC909" i="2"/>
  <c r="K406" i="2"/>
  <c r="L402" i="2"/>
  <c r="M398" i="2"/>
  <c r="L437" i="2"/>
  <c r="AA652" i="2"/>
  <c r="Z653" i="2"/>
  <c r="AA653" i="2"/>
  <c r="BB185" i="2"/>
  <c r="BC185" i="2"/>
  <c r="BA189" i="2"/>
  <c r="BB189" i="2"/>
  <c r="BC189" i="2"/>
  <c r="BB210" i="2"/>
  <c r="BA416" i="2"/>
  <c r="BB412" i="2"/>
  <c r="DG675" i="2"/>
  <c r="DF676" i="2"/>
  <c r="Y402" i="2"/>
  <c r="Z398" i="2"/>
  <c r="DV528" i="2"/>
  <c r="DQ579" i="2"/>
  <c r="AN916" i="2"/>
  <c r="AM920" i="2"/>
  <c r="BA999" i="2"/>
  <c r="BB995" i="2"/>
  <c r="BC995" i="2"/>
  <c r="AO244" i="2"/>
  <c r="DC283" i="2"/>
  <c r="K926" i="2"/>
  <c r="L926" i="2"/>
  <c r="M926" i="2"/>
  <c r="L922" i="2"/>
  <c r="M922" i="2"/>
  <c r="CS232" i="2"/>
  <c r="CT232" i="2"/>
  <c r="CR233" i="2"/>
  <c r="L556" i="2"/>
  <c r="K560" i="2"/>
  <c r="L560" i="2"/>
  <c r="M560" i="2"/>
  <c r="AO111" i="2"/>
  <c r="AN143" i="2"/>
  <c r="AO143" i="2"/>
  <c r="Z363" i="2"/>
  <c r="M694" i="2"/>
  <c r="K705" i="2"/>
  <c r="L701" i="2"/>
  <c r="M701" i="2"/>
  <c r="Z246" i="2"/>
  <c r="Y250" i="2"/>
  <c r="AO391" i="2"/>
  <c r="BA1000" i="2"/>
  <c r="BB996" i="2"/>
  <c r="BC996" i="2"/>
  <c r="AN395" i="2"/>
  <c r="AO395" i="2"/>
  <c r="AM399" i="2"/>
  <c r="CR159" i="2"/>
  <c r="CS158" i="2"/>
  <c r="AA955" i="2"/>
  <c r="DD653" i="2"/>
  <c r="DC654" i="2"/>
  <c r="DD654" i="2"/>
  <c r="AO356" i="2"/>
  <c r="AN357" i="2"/>
  <c r="AO357" i="2"/>
  <c r="BQ186" i="2"/>
  <c r="BP190" i="2"/>
  <c r="BQ190" i="2"/>
  <c r="K774" i="2"/>
  <c r="L774" i="2"/>
  <c r="M774" i="2"/>
  <c r="L770" i="2"/>
  <c r="M770" i="2"/>
  <c r="BB625" i="2"/>
  <c r="BC625" i="2"/>
  <c r="BA629" i="2"/>
  <c r="BB629" i="2"/>
  <c r="BC629" i="2"/>
  <c r="Z403" i="2"/>
  <c r="AA403" i="2"/>
  <c r="Y407" i="2"/>
  <c r="DR581" i="2"/>
  <c r="DU529" i="2"/>
  <c r="DV529" i="2"/>
  <c r="DT530" i="2"/>
  <c r="DU530" i="2"/>
  <c r="DV530" i="2"/>
  <c r="BB481" i="2"/>
  <c r="BA485" i="2"/>
  <c r="BB485" i="2"/>
  <c r="BC485" i="2"/>
  <c r="BA993" i="2"/>
  <c r="BB989" i="2"/>
  <c r="BC989" i="2"/>
  <c r="AN67" i="2"/>
  <c r="BC244" i="2"/>
  <c r="BA697" i="2"/>
  <c r="BB693" i="2"/>
  <c r="M614" i="2"/>
  <c r="M181" i="2"/>
  <c r="L217" i="2"/>
  <c r="EE357" i="2"/>
  <c r="K921" i="2"/>
  <c r="L917" i="2"/>
  <c r="L950" i="2"/>
  <c r="DC209" i="2"/>
  <c r="AM551" i="2"/>
  <c r="AN547" i="2"/>
  <c r="BC763" i="2"/>
  <c r="AM255" i="2"/>
  <c r="AN251" i="2"/>
  <c r="Z355" i="2"/>
  <c r="M763" i="2"/>
  <c r="CA61" i="2"/>
  <c r="AA242" i="2"/>
  <c r="BB546" i="2"/>
  <c r="BA550" i="2"/>
  <c r="M919" i="2"/>
  <c r="L955" i="2"/>
  <c r="DU453" i="2"/>
  <c r="DV453" i="2"/>
  <c r="DT454" i="2"/>
  <c r="AO504" i="2"/>
  <c r="AN505" i="2"/>
  <c r="AO505" i="2"/>
  <c r="Z768" i="2"/>
  <c r="Y772" i="2"/>
  <c r="Z772" i="2"/>
  <c r="AA772" i="2"/>
  <c r="DU972" i="2"/>
  <c r="DR1025" i="2"/>
  <c r="AA989" i="2"/>
  <c r="Z1030" i="2"/>
  <c r="AA1030" i="2"/>
  <c r="K103" i="2"/>
  <c r="L99" i="2"/>
  <c r="M99" i="2"/>
  <c r="BB627" i="2"/>
  <c r="BC627" i="2"/>
  <c r="K627" i="2"/>
  <c r="L623" i="2"/>
  <c r="BC982" i="2"/>
  <c r="L253" i="2"/>
  <c r="M253" i="2"/>
  <c r="K257" i="2"/>
  <c r="AO999" i="2"/>
  <c r="AN1031" i="2"/>
  <c r="AO1031" i="2"/>
  <c r="AN918" i="2"/>
  <c r="AO918" i="2"/>
  <c r="AM922" i="2"/>
  <c r="L251" i="2"/>
  <c r="M251" i="2"/>
  <c r="K255" i="2"/>
  <c r="BA252" i="2"/>
  <c r="BB248" i="2"/>
  <c r="Z104" i="2"/>
  <c r="Y108" i="2"/>
  <c r="CF824" i="2"/>
  <c r="CA875" i="2"/>
  <c r="BB810" i="2"/>
  <c r="BC810" i="2"/>
  <c r="DV452" i="2"/>
  <c r="BC689" i="2"/>
  <c r="BC291" i="2"/>
  <c r="L618" i="2"/>
  <c r="K622" i="2"/>
  <c r="K189" i="2"/>
  <c r="L189" i="2"/>
  <c r="L185" i="2"/>
  <c r="M185" i="2"/>
  <c r="L210" i="2"/>
  <c r="BB873" i="2"/>
  <c r="BR96" i="2"/>
  <c r="Z109" i="2"/>
  <c r="AA109" i="2"/>
  <c r="AO513" i="2"/>
  <c r="AN515" i="2"/>
  <c r="AO515" i="2"/>
  <c r="DF455" i="2"/>
  <c r="DG454" i="2"/>
  <c r="BB767" i="2"/>
  <c r="BA771" i="2"/>
  <c r="L109" i="2"/>
  <c r="M109" i="2"/>
  <c r="BA413" i="2"/>
  <c r="BB409" i="2"/>
  <c r="BC409" i="2"/>
  <c r="DF824" i="2"/>
  <c r="DG823" i="2"/>
  <c r="DH823" i="2"/>
  <c r="L767" i="2"/>
  <c r="K771" i="2"/>
  <c r="CP63" i="2"/>
  <c r="K38" i="2"/>
  <c r="L34" i="2"/>
  <c r="M34" i="2"/>
  <c r="AO726" i="2"/>
  <c r="AN727" i="2"/>
  <c r="AO727" i="2"/>
  <c r="AA585" i="2"/>
  <c r="Z103" i="2"/>
  <c r="AA103" i="2"/>
  <c r="Y107" i="2"/>
  <c r="BC217" i="2"/>
  <c r="BB219" i="2"/>
  <c r="BC219" i="2"/>
  <c r="Z106" i="2"/>
  <c r="Y110" i="2"/>
  <c r="Z808" i="2"/>
  <c r="AA808" i="2"/>
  <c r="BQ110" i="2"/>
  <c r="BR110" i="2"/>
  <c r="BB403" i="2"/>
  <c r="BA407" i="2"/>
  <c r="M513" i="2"/>
  <c r="L515" i="2"/>
  <c r="M515" i="2"/>
  <c r="CP357" i="2"/>
  <c r="CO358" i="2"/>
  <c r="CP358" i="2"/>
  <c r="L802" i="2"/>
  <c r="L771" i="2"/>
  <c r="M189" i="2"/>
  <c r="L207" i="2"/>
  <c r="Y112" i="2"/>
  <c r="Z108" i="2"/>
  <c r="AA108" i="2"/>
  <c r="DD209" i="2"/>
  <c r="DC210" i="2"/>
  <c r="DD210" i="2"/>
  <c r="BA997" i="2"/>
  <c r="BB993" i="2"/>
  <c r="BB661" i="2"/>
  <c r="BC661" i="2"/>
  <c r="DD283" i="2"/>
  <c r="DC284" i="2"/>
  <c r="DD284" i="2"/>
  <c r="Y406" i="2"/>
  <c r="Z402" i="2"/>
  <c r="M437" i="2"/>
  <c r="CE382" i="2"/>
  <c r="CF382" i="2"/>
  <c r="CD383" i="2"/>
  <c r="BB207" i="2"/>
  <c r="AN728" i="2"/>
  <c r="AN62" i="2"/>
  <c r="AA256" i="2"/>
  <c r="Z292" i="2"/>
  <c r="AA292" i="2"/>
  <c r="BR106" i="2"/>
  <c r="BC399" i="2"/>
  <c r="L250" i="2"/>
  <c r="K254" i="2"/>
  <c r="L884" i="2"/>
  <c r="M884" i="2"/>
  <c r="AO1029" i="2"/>
  <c r="BR100" i="2"/>
  <c r="BC874" i="2"/>
  <c r="BB875" i="2"/>
  <c r="BC875" i="2"/>
  <c r="AO67" i="2"/>
  <c r="AN108" i="2"/>
  <c r="AO108" i="2"/>
  <c r="AM112" i="2"/>
  <c r="M545" i="2"/>
  <c r="AA768" i="2"/>
  <c r="Z807" i="2"/>
  <c r="AO547" i="2"/>
  <c r="AM403" i="2"/>
  <c r="AN399" i="2"/>
  <c r="AO399" i="2"/>
  <c r="M695" i="2"/>
  <c r="AN626" i="2"/>
  <c r="AO626" i="2"/>
  <c r="AM630" i="2"/>
  <c r="AN630" i="2"/>
  <c r="AO630" i="2"/>
  <c r="AN551" i="2"/>
  <c r="AO551" i="2"/>
  <c r="AM555" i="2"/>
  <c r="DH454" i="2"/>
  <c r="AA104" i="2"/>
  <c r="AA356" i="2"/>
  <c r="Z357" i="2"/>
  <c r="AA357" i="2"/>
  <c r="BC693" i="2"/>
  <c r="BB734" i="2"/>
  <c r="BC734" i="2"/>
  <c r="DF677" i="2"/>
  <c r="DG676" i="2"/>
  <c r="DH676" i="2"/>
  <c r="CF381" i="2"/>
  <c r="AN252" i="2"/>
  <c r="AM256" i="2"/>
  <c r="BA921" i="2"/>
  <c r="BB917" i="2"/>
  <c r="BC917" i="2"/>
  <c r="DR285" i="2"/>
  <c r="DU233" i="2"/>
  <c r="DV233" i="2"/>
  <c r="AA472" i="2"/>
  <c r="Z511" i="2"/>
  <c r="L257" i="2"/>
  <c r="M257" i="2"/>
  <c r="BA701" i="2"/>
  <c r="BB697" i="2"/>
  <c r="DH675" i="2"/>
  <c r="AA948" i="2"/>
  <c r="Z949" i="2"/>
  <c r="AA949" i="2"/>
  <c r="M837" i="2"/>
  <c r="AO141" i="2"/>
  <c r="DV232" i="2"/>
  <c r="DQ283" i="2"/>
  <c r="Y480" i="2"/>
  <c r="Z476" i="2"/>
  <c r="DR653" i="2"/>
  <c r="DQ654" i="2"/>
  <c r="DR654" i="2"/>
  <c r="Z703" i="2"/>
  <c r="AA703" i="2"/>
  <c r="Y707" i="2"/>
  <c r="Z707" i="2"/>
  <c r="AA707" i="2"/>
  <c r="AN846" i="2"/>
  <c r="AM850" i="2"/>
  <c r="BA256" i="2"/>
  <c r="BB252" i="2"/>
  <c r="BC252" i="2"/>
  <c r="AO251" i="2"/>
  <c r="M917" i="2"/>
  <c r="BC481" i="2"/>
  <c r="BB513" i="2"/>
  <c r="BC513" i="2"/>
  <c r="EE61" i="2"/>
  <c r="BC412" i="2"/>
  <c r="K410" i="2"/>
  <c r="L406" i="2"/>
  <c r="M406" i="2"/>
  <c r="CP729" i="2"/>
  <c r="CS678" i="2"/>
  <c r="CT678" i="2"/>
  <c r="L102" i="2"/>
  <c r="K106" i="2"/>
  <c r="BB883" i="2"/>
  <c r="K845" i="2"/>
  <c r="L841" i="2"/>
  <c r="M841" i="2"/>
  <c r="CS85" i="2"/>
  <c r="CT85" i="2"/>
  <c r="CP137" i="2"/>
  <c r="AA550" i="2"/>
  <c r="Z586" i="2"/>
  <c r="AA586" i="2"/>
  <c r="BA628" i="2"/>
  <c r="BB624" i="2"/>
  <c r="DU382" i="2"/>
  <c r="DT383" i="2"/>
  <c r="BA486" i="2"/>
  <c r="BB486" i="2"/>
  <c r="BC486" i="2"/>
  <c r="BB482" i="2"/>
  <c r="BC482" i="2"/>
  <c r="BB950" i="2"/>
  <c r="Y551" i="2"/>
  <c r="Z547" i="2"/>
  <c r="DF825" i="2"/>
  <c r="DG824" i="2"/>
  <c r="K259" i="2"/>
  <c r="L259" i="2"/>
  <c r="M259" i="2"/>
  <c r="L255" i="2"/>
  <c r="AN255" i="2"/>
  <c r="AO255" i="2"/>
  <c r="AM259" i="2"/>
  <c r="L921" i="2"/>
  <c r="M921" i="2"/>
  <c r="K925" i="2"/>
  <c r="L925" i="2"/>
  <c r="M925" i="2"/>
  <c r="EF63" i="2"/>
  <c r="Z959" i="2"/>
  <c r="AA959" i="2"/>
  <c r="Z799" i="2"/>
  <c r="BB416" i="2"/>
  <c r="BC416" i="2"/>
  <c r="BA420" i="2"/>
  <c r="AA993" i="2"/>
  <c r="EH160" i="2"/>
  <c r="EI160" i="2"/>
  <c r="EI159" i="2"/>
  <c r="EJ159" i="2"/>
  <c r="EF211" i="2"/>
  <c r="M698" i="2"/>
  <c r="L734" i="2"/>
  <c r="M734" i="2"/>
  <c r="CO283" i="2"/>
  <c r="M98" i="2"/>
  <c r="CO727" i="2"/>
  <c r="AM623" i="2"/>
  <c r="AN619" i="2"/>
  <c r="Z554" i="2"/>
  <c r="AA554" i="2"/>
  <c r="Y558" i="2"/>
  <c r="Z558" i="2"/>
  <c r="AA558" i="2"/>
  <c r="BC620" i="2"/>
  <c r="BB659" i="2"/>
  <c r="BR141" i="2"/>
  <c r="BC915" i="2"/>
  <c r="BB956" i="2"/>
  <c r="BC956" i="2"/>
  <c r="K558" i="2"/>
  <c r="L558" i="2"/>
  <c r="M558" i="2"/>
  <c r="L554" i="2"/>
  <c r="M554" i="2"/>
  <c r="AM1002" i="2"/>
  <c r="AN998" i="2"/>
  <c r="K555" i="2"/>
  <c r="L551" i="2"/>
  <c r="M551" i="2"/>
  <c r="BQ107" i="2"/>
  <c r="BP111" i="2"/>
  <c r="K1004" i="2"/>
  <c r="L1004" i="2"/>
  <c r="M1004" i="2"/>
  <c r="L1000" i="2"/>
  <c r="AN410" i="2"/>
  <c r="AM414" i="2"/>
  <c r="BB1030" i="2"/>
  <c r="BC1030" i="2"/>
  <c r="L627" i="2"/>
  <c r="M627" i="2"/>
  <c r="M319" i="2"/>
  <c r="L363" i="2"/>
  <c r="CB209" i="2"/>
  <c r="CA210" i="2"/>
  <c r="CB210" i="2"/>
  <c r="M767" i="2"/>
  <c r="L808" i="2"/>
  <c r="M808" i="2"/>
  <c r="DT455" i="2"/>
  <c r="DU454" i="2"/>
  <c r="DV454" i="2"/>
  <c r="BA1004" i="2"/>
  <c r="BB1004" i="2"/>
  <c r="BC1004" i="2"/>
  <c r="BB1000" i="2"/>
  <c r="CP431" i="2"/>
  <c r="CO432" i="2"/>
  <c r="CP432" i="2"/>
  <c r="M402" i="2"/>
  <c r="AO248" i="2"/>
  <c r="L1001" i="2"/>
  <c r="L1024" i="2"/>
  <c r="CT84" i="2"/>
  <c r="CO135" i="2"/>
  <c r="AN110" i="2"/>
  <c r="AO110" i="2"/>
  <c r="BB550" i="2"/>
  <c r="BA554" i="2"/>
  <c r="EF357" i="2"/>
  <c r="EE358" i="2"/>
  <c r="EF358" i="2"/>
  <c r="Z70" i="2"/>
  <c r="AA70" i="2"/>
  <c r="Y254" i="2"/>
  <c r="Z250" i="2"/>
  <c r="Y1001" i="2"/>
  <c r="Z997" i="2"/>
  <c r="AA997" i="2"/>
  <c r="AA208" i="2"/>
  <c r="Z209" i="2"/>
  <c r="AA209" i="2"/>
  <c r="BC98" i="2"/>
  <c r="BB587" i="2"/>
  <c r="BC587" i="2"/>
  <c r="DG528" i="2"/>
  <c r="DH528" i="2"/>
  <c r="DF529" i="2"/>
  <c r="EJ232" i="2"/>
  <c r="BA923" i="2"/>
  <c r="BB923" i="2"/>
  <c r="BC923" i="2"/>
  <c r="BB919" i="2"/>
  <c r="AO994" i="2"/>
  <c r="M547" i="2"/>
  <c r="Z552" i="2"/>
  <c r="Y556" i="2"/>
  <c r="BB438" i="2"/>
  <c r="BC438" i="2"/>
  <c r="DR579" i="2"/>
  <c r="DQ580" i="2"/>
  <c r="DR580" i="2"/>
  <c r="K32" i="2"/>
  <c r="CB875" i="2"/>
  <c r="CA876" i="2"/>
  <c r="CB876" i="2"/>
  <c r="AA102" i="2"/>
  <c r="Z141" i="2"/>
  <c r="K553" i="2"/>
  <c r="L549" i="2"/>
  <c r="BC767" i="2"/>
  <c r="BB808" i="2"/>
  <c r="BC808" i="2"/>
  <c r="AO842" i="2"/>
  <c r="AN881" i="2"/>
  <c r="BC248" i="2"/>
  <c r="BA706" i="2"/>
  <c r="BB706" i="2"/>
  <c r="BC706" i="2"/>
  <c r="BB702" i="2"/>
  <c r="BC702" i="2"/>
  <c r="M955" i="2"/>
  <c r="BA417" i="2"/>
  <c r="BB413" i="2"/>
  <c r="BC413" i="2"/>
  <c r="AM926" i="2"/>
  <c r="AN926" i="2"/>
  <c r="AN922" i="2"/>
  <c r="AO922" i="2"/>
  <c r="BC546" i="2"/>
  <c r="BB585" i="2"/>
  <c r="CT158" i="2"/>
  <c r="AA246" i="2"/>
  <c r="M556" i="2"/>
  <c r="L588" i="2"/>
  <c r="M588" i="2"/>
  <c r="BB999" i="2"/>
  <c r="BA1003" i="2"/>
  <c r="BB1003" i="2"/>
  <c r="BC1003" i="2"/>
  <c r="BB514" i="2"/>
  <c r="BC514" i="2"/>
  <c r="L958" i="2"/>
  <c r="M958" i="2"/>
  <c r="BA552" i="2"/>
  <c r="BB548" i="2"/>
  <c r="K31" i="2"/>
  <c r="AN919" i="2"/>
  <c r="AO919" i="2"/>
  <c r="AM923" i="2"/>
  <c r="AN923" i="2"/>
  <c r="AO923" i="2"/>
  <c r="BB102" i="2"/>
  <c r="BA106" i="2"/>
  <c r="CP803" i="2"/>
  <c r="CS750" i="2"/>
  <c r="DH527" i="2"/>
  <c r="EF285" i="2"/>
  <c r="EI233" i="2"/>
  <c r="EJ233" i="2"/>
  <c r="CE529" i="2"/>
  <c r="CF529" i="2"/>
  <c r="CD530" i="2"/>
  <c r="CE530" i="2"/>
  <c r="CF530" i="2"/>
  <c r="CB581" i="2"/>
  <c r="CR529" i="2"/>
  <c r="CS528" i="2"/>
  <c r="CT528" i="2"/>
  <c r="Z257" i="2"/>
  <c r="AA257" i="2"/>
  <c r="Y482" i="2"/>
  <c r="Z478" i="2"/>
  <c r="AA478" i="2"/>
  <c r="M400" i="2"/>
  <c r="DG380" i="2"/>
  <c r="DH380" i="2"/>
  <c r="DF381" i="2"/>
  <c r="Z694" i="2"/>
  <c r="Y698" i="2"/>
  <c r="L699" i="2"/>
  <c r="M699" i="2"/>
  <c r="K703" i="2"/>
  <c r="BB802" i="2"/>
  <c r="BB771" i="2"/>
  <c r="CT825" i="2"/>
  <c r="CO875" i="2"/>
  <c r="Z219" i="2"/>
  <c r="AA219" i="2"/>
  <c r="AA215" i="2"/>
  <c r="AN768" i="2"/>
  <c r="AM772" i="2"/>
  <c r="AN772" i="2"/>
  <c r="AN802" i="2"/>
  <c r="AN771" i="2"/>
  <c r="AO771" i="2"/>
  <c r="AA398" i="2"/>
  <c r="Z437" i="2"/>
  <c r="AM554" i="2"/>
  <c r="AN550" i="2"/>
  <c r="AO706" i="2"/>
  <c r="AN734" i="2"/>
  <c r="AO106" i="2"/>
  <c r="AN142" i="2"/>
  <c r="AO142" i="2"/>
  <c r="E952" i="2"/>
  <c r="CR160" i="2"/>
  <c r="CS160" i="2"/>
  <c r="CT160" i="2"/>
  <c r="CS159" i="2"/>
  <c r="CT159" i="2"/>
  <c r="CP211" i="2"/>
  <c r="E212" i="2"/>
  <c r="AM924" i="2"/>
  <c r="AN924" i="2"/>
  <c r="AO924" i="2"/>
  <c r="AN920" i="2"/>
  <c r="K408" i="2"/>
  <c r="L432" i="2"/>
  <c r="L404" i="2"/>
  <c r="CA135" i="2"/>
  <c r="AA690" i="2"/>
  <c r="M217" i="2"/>
  <c r="L219" i="2"/>
  <c r="M219" i="2"/>
  <c r="Z802" i="2"/>
  <c r="CB61" i="2"/>
  <c r="CA62" i="2"/>
  <c r="CB62" i="2"/>
  <c r="Y412" i="2"/>
  <c r="Z408" i="2"/>
  <c r="AA408" i="2"/>
  <c r="CP507" i="2"/>
  <c r="CR456" i="2"/>
  <c r="CS456" i="2"/>
  <c r="CT456" i="2"/>
  <c r="CS455" i="2"/>
  <c r="CT455" i="2"/>
  <c r="L355" i="2"/>
  <c r="AA363" i="2"/>
  <c r="Z367" i="2"/>
  <c r="AA367" i="2"/>
  <c r="L622" i="2"/>
  <c r="K626" i="2"/>
  <c r="BP108" i="2"/>
  <c r="BQ104" i="2"/>
  <c r="DF456" i="2"/>
  <c r="DG456" i="2"/>
  <c r="DH456" i="2"/>
  <c r="DD507" i="2"/>
  <c r="DG455" i="2"/>
  <c r="DH455" i="2"/>
  <c r="M618" i="2"/>
  <c r="L103" i="2"/>
  <c r="M103" i="2"/>
  <c r="K107" i="2"/>
  <c r="BQ68" i="2"/>
  <c r="BR68" i="2"/>
  <c r="AO546" i="2"/>
  <c r="AN585" i="2"/>
  <c r="L947" i="2"/>
  <c r="BB68" i="2"/>
  <c r="BC68" i="2"/>
  <c r="Z407" i="2"/>
  <c r="Y411" i="2"/>
  <c r="BR190" i="2"/>
  <c r="BQ207" i="2"/>
  <c r="L700" i="2"/>
  <c r="M700" i="2"/>
  <c r="K704" i="2"/>
  <c r="BB472" i="2"/>
  <c r="BA476" i="2"/>
  <c r="DV678" i="2"/>
  <c r="DQ727" i="2"/>
  <c r="CT527" i="2"/>
  <c r="AA474" i="2"/>
  <c r="DH379" i="2"/>
  <c r="AN70" i="2"/>
  <c r="AO70" i="2"/>
  <c r="M623" i="2"/>
  <c r="L659" i="2"/>
  <c r="DV972" i="2"/>
  <c r="DQ1023" i="2"/>
  <c r="AN59" i="2"/>
  <c r="BR186" i="2"/>
  <c r="BQ218" i="2"/>
  <c r="L705" i="2"/>
  <c r="CS233" i="2"/>
  <c r="CT233" i="2"/>
  <c r="CP285" i="2"/>
  <c r="AO916" i="2"/>
  <c r="CA505" i="2"/>
  <c r="CF233" i="2"/>
  <c r="CA283" i="2"/>
  <c r="L365" i="2"/>
  <c r="M365" i="2"/>
  <c r="BC468" i="2"/>
  <c r="AO104" i="2"/>
  <c r="DC61" i="2"/>
  <c r="L503" i="2"/>
  <c r="AM412" i="2"/>
  <c r="AN408" i="2"/>
  <c r="AO408" i="2"/>
  <c r="M323" i="2"/>
  <c r="L364" i="2"/>
  <c r="M364" i="2"/>
  <c r="K846" i="2"/>
  <c r="L842" i="2"/>
  <c r="M842" i="2"/>
  <c r="CE677" i="2"/>
  <c r="CF677" i="2"/>
  <c r="CD678" i="2"/>
  <c r="CO61" i="2"/>
  <c r="Z69" i="2"/>
  <c r="AA69" i="2"/>
  <c r="AN68" i="2"/>
  <c r="AO68" i="2"/>
  <c r="K42" i="2"/>
  <c r="L42" i="2"/>
  <c r="M42" i="2"/>
  <c r="L38" i="2"/>
  <c r="CB505" i="2"/>
  <c r="CA506" i="2"/>
  <c r="CB506" i="2"/>
  <c r="M622" i="2"/>
  <c r="AA437" i="2"/>
  <c r="BC403" i="2"/>
  <c r="Z735" i="2"/>
  <c r="AA735" i="2"/>
  <c r="K111" i="2"/>
  <c r="L107" i="2"/>
  <c r="DD581" i="2"/>
  <c r="DG529" i="2"/>
  <c r="DF530" i="2"/>
  <c r="DG530" i="2"/>
  <c r="DH530" i="2"/>
  <c r="M1001" i="2"/>
  <c r="L1029" i="2"/>
  <c r="AO410" i="2"/>
  <c r="AN955" i="2"/>
  <c r="DR727" i="2"/>
  <c r="DQ728" i="2"/>
  <c r="DR728" i="2"/>
  <c r="AA407" i="2"/>
  <c r="K707" i="2"/>
  <c r="L703" i="2"/>
  <c r="BA110" i="2"/>
  <c r="BB106" i="2"/>
  <c r="BC999" i="2"/>
  <c r="BB1031" i="2"/>
  <c r="BC1031" i="2"/>
  <c r="BA421" i="2"/>
  <c r="BB421" i="2"/>
  <c r="BC421" i="2"/>
  <c r="BB417" i="2"/>
  <c r="BC417" i="2"/>
  <c r="M255" i="2"/>
  <c r="L291" i="2"/>
  <c r="M291" i="2"/>
  <c r="DV382" i="2"/>
  <c r="BC883" i="2"/>
  <c r="BB885" i="2"/>
  <c r="BC885" i="2"/>
  <c r="BQ69" i="2"/>
  <c r="BR69" i="2"/>
  <c r="M771" i="2"/>
  <c r="L807" i="2"/>
  <c r="L799" i="2"/>
  <c r="DD61" i="2"/>
  <c r="DC62" i="2"/>
  <c r="DD62" i="2"/>
  <c r="AO60" i="2"/>
  <c r="AN61" i="2"/>
  <c r="AO61" i="2"/>
  <c r="BC771" i="2"/>
  <c r="BB799" i="2"/>
  <c r="BB807" i="2"/>
  <c r="Y486" i="2"/>
  <c r="Z486" i="2"/>
  <c r="Z482" i="2"/>
  <c r="CT750" i="2"/>
  <c r="CO801" i="2"/>
  <c r="AO926" i="2"/>
  <c r="AN947" i="2"/>
  <c r="AA250" i="2"/>
  <c r="Z289" i="2"/>
  <c r="AM418" i="2"/>
  <c r="AN414" i="2"/>
  <c r="AO414" i="2"/>
  <c r="CP727" i="2"/>
  <c r="CO728" i="2"/>
  <c r="CP728" i="2"/>
  <c r="EF61" i="2"/>
  <c r="EE62" i="2"/>
  <c r="EF62" i="2"/>
  <c r="AA402" i="2"/>
  <c r="Y415" i="2"/>
  <c r="Z411" i="2"/>
  <c r="AA411" i="2"/>
  <c r="Y258" i="2"/>
  <c r="Z254" i="2"/>
  <c r="BB420" i="2"/>
  <c r="BA424" i="2"/>
  <c r="BB424" i="2"/>
  <c r="BC424" i="2"/>
  <c r="DU383" i="2"/>
  <c r="DV383" i="2"/>
  <c r="DT384" i="2"/>
  <c r="L845" i="2"/>
  <c r="M845" i="2"/>
  <c r="K849" i="2"/>
  <c r="AN112" i="2"/>
  <c r="Y410" i="2"/>
  <c r="Z406" i="2"/>
  <c r="AA406" i="2"/>
  <c r="Z432" i="2"/>
  <c r="AN662" i="2"/>
  <c r="AO662" i="2"/>
  <c r="CB729" i="2"/>
  <c r="CE678" i="2"/>
  <c r="DR1023" i="2"/>
  <c r="DQ1024" i="2"/>
  <c r="DR1024" i="2"/>
  <c r="C360" i="2"/>
  <c r="D361" i="2"/>
  <c r="M356" i="2"/>
  <c r="L357" i="2"/>
  <c r="M357" i="2"/>
  <c r="BC102" i="2"/>
  <c r="BB141" i="2"/>
  <c r="M549" i="2"/>
  <c r="L585" i="2"/>
  <c r="Z556" i="2"/>
  <c r="AA556" i="2"/>
  <c r="Y560" i="2"/>
  <c r="Z560" i="2"/>
  <c r="M1000" i="2"/>
  <c r="L1032" i="2"/>
  <c r="M1032" i="2"/>
  <c r="AN958" i="2"/>
  <c r="AO958" i="2"/>
  <c r="K110" i="2"/>
  <c r="L106" i="2"/>
  <c r="L957" i="2"/>
  <c r="AA476" i="2"/>
  <c r="AN71" i="2"/>
  <c r="AO71" i="2"/>
  <c r="L254" i="2"/>
  <c r="K258" i="2"/>
  <c r="E804" i="2"/>
  <c r="M705" i="2"/>
  <c r="L733" i="2"/>
  <c r="CO505" i="2"/>
  <c r="M948" i="2"/>
  <c r="L949" i="2"/>
  <c r="M949" i="2"/>
  <c r="AO772" i="2"/>
  <c r="AN799" i="2"/>
  <c r="DG381" i="2"/>
  <c r="DF382" i="2"/>
  <c r="DD433" i="2"/>
  <c r="BC550" i="2"/>
  <c r="BR107" i="2"/>
  <c r="BQ143" i="2"/>
  <c r="BR143" i="2"/>
  <c r="AA547" i="2"/>
  <c r="BB701" i="2"/>
  <c r="BC701" i="2"/>
  <c r="BA705" i="2"/>
  <c r="AO252" i="2"/>
  <c r="BB62" i="2"/>
  <c r="BB997" i="2"/>
  <c r="BC997" i="2"/>
  <c r="BA1001" i="2"/>
  <c r="AN808" i="2"/>
  <c r="AO808" i="2"/>
  <c r="Y702" i="2"/>
  <c r="Z698" i="2"/>
  <c r="CS529" i="2"/>
  <c r="CP581" i="2"/>
  <c r="CR530" i="2"/>
  <c r="CS530" i="2"/>
  <c r="CT530" i="2"/>
  <c r="L553" i="2"/>
  <c r="K557" i="2"/>
  <c r="L557" i="2"/>
  <c r="M557" i="2"/>
  <c r="L580" i="2"/>
  <c r="AA552" i="2"/>
  <c r="Z588" i="2"/>
  <c r="AA588" i="2"/>
  <c r="BC624" i="2"/>
  <c r="BB660" i="2"/>
  <c r="BC660" i="2"/>
  <c r="M659" i="2"/>
  <c r="AA141" i="2"/>
  <c r="BQ111" i="2"/>
  <c r="BR111" i="2"/>
  <c r="DD877" i="2"/>
  <c r="DG825" i="2"/>
  <c r="DH825" i="2"/>
  <c r="BB628" i="2"/>
  <c r="BC628" i="2"/>
  <c r="BB654" i="2"/>
  <c r="AN291" i="2"/>
  <c r="BC697" i="2"/>
  <c r="AN403" i="2"/>
  <c r="AO403" i="2"/>
  <c r="AM407" i="2"/>
  <c r="L846" i="2"/>
  <c r="M846" i="2"/>
  <c r="K850" i="2"/>
  <c r="L850" i="2"/>
  <c r="M850" i="2"/>
  <c r="M404" i="2"/>
  <c r="AO734" i="2"/>
  <c r="AN737" i="2"/>
  <c r="AO737" i="2"/>
  <c r="AO768" i="2"/>
  <c r="AN807" i="2"/>
  <c r="L31" i="2"/>
  <c r="K35" i="2"/>
  <c r="CO209" i="2"/>
  <c r="M363" i="2"/>
  <c r="L367" i="2"/>
  <c r="M367" i="2"/>
  <c r="Y555" i="2"/>
  <c r="Z551" i="2"/>
  <c r="AA551" i="2"/>
  <c r="DC505" i="2"/>
  <c r="BQ142" i="2"/>
  <c r="AO585" i="2"/>
  <c r="BR104" i="2"/>
  <c r="Z412" i="2"/>
  <c r="AA412" i="2"/>
  <c r="Y416" i="2"/>
  <c r="L408" i="2"/>
  <c r="M408" i="2"/>
  <c r="K412" i="2"/>
  <c r="BC548" i="2"/>
  <c r="BC1000" i="2"/>
  <c r="BB1032" i="2"/>
  <c r="BC1032" i="2"/>
  <c r="K559" i="2"/>
  <c r="L559" i="2"/>
  <c r="M559" i="2"/>
  <c r="L555" i="2"/>
  <c r="BA260" i="2"/>
  <c r="BB256" i="2"/>
  <c r="Z811" i="2"/>
  <c r="AA811" i="2"/>
  <c r="AA807" i="2"/>
  <c r="CD384" i="2"/>
  <c r="CE383" i="2"/>
  <c r="M250" i="2"/>
  <c r="L289" i="2"/>
  <c r="BC208" i="2"/>
  <c r="BB209" i="2"/>
  <c r="BC209" i="2"/>
  <c r="L1021" i="2"/>
  <c r="Z62" i="2"/>
  <c r="K708" i="2"/>
  <c r="L708" i="2"/>
  <c r="M708" i="2"/>
  <c r="L704" i="2"/>
  <c r="BQ108" i="2"/>
  <c r="BR108" i="2"/>
  <c r="BP112" i="2"/>
  <c r="CA579" i="2"/>
  <c r="AO550" i="2"/>
  <c r="BA556" i="2"/>
  <c r="BB552" i="2"/>
  <c r="BC552" i="2"/>
  <c r="BC585" i="2"/>
  <c r="BC919" i="2"/>
  <c r="BB955" i="2"/>
  <c r="AN136" i="2"/>
  <c r="AO998" i="2"/>
  <c r="EJ160" i="2"/>
  <c r="EE209" i="2"/>
  <c r="L882" i="2"/>
  <c r="M882" i="2"/>
  <c r="K414" i="2"/>
  <c r="L410" i="2"/>
  <c r="AN850" i="2"/>
  <c r="AN876" i="2"/>
  <c r="AA511" i="2"/>
  <c r="AM559" i="2"/>
  <c r="AN559" i="2"/>
  <c r="AN555" i="2"/>
  <c r="Z67" i="2"/>
  <c r="Z68" i="2"/>
  <c r="AA68" i="2"/>
  <c r="BC993" i="2"/>
  <c r="CB283" i="2"/>
  <c r="CA284" i="2"/>
  <c r="CB284" i="2"/>
  <c r="BR218" i="2"/>
  <c r="BQ219" i="2"/>
  <c r="BR219" i="2"/>
  <c r="Z59" i="2"/>
  <c r="AN554" i="2"/>
  <c r="AO554" i="2"/>
  <c r="AM558" i="2"/>
  <c r="AN558" i="2"/>
  <c r="AO558" i="2"/>
  <c r="AN580" i="2"/>
  <c r="CP875" i="2"/>
  <c r="CO876" i="2"/>
  <c r="CP876" i="2"/>
  <c r="L32" i="2"/>
  <c r="M32" i="2"/>
  <c r="K36" i="2"/>
  <c r="CP135" i="2"/>
  <c r="CO136" i="2"/>
  <c r="CP136" i="2"/>
  <c r="AN1002" i="2"/>
  <c r="AN1021" i="2"/>
  <c r="AN1024" i="2"/>
  <c r="AO619" i="2"/>
  <c r="AN660" i="2"/>
  <c r="AO660" i="2"/>
  <c r="Z1029" i="2"/>
  <c r="AO846" i="2"/>
  <c r="AN882" i="2"/>
  <c r="AO882" i="2"/>
  <c r="DF678" i="2"/>
  <c r="DG677" i="2"/>
  <c r="Z112" i="2"/>
  <c r="Z110" i="2"/>
  <c r="AA110" i="2"/>
  <c r="Z136" i="2"/>
  <c r="BA480" i="2"/>
  <c r="BB476" i="2"/>
  <c r="CP283" i="2"/>
  <c r="CO284" i="2"/>
  <c r="CP284" i="2"/>
  <c r="AA800" i="2"/>
  <c r="Z801" i="2"/>
  <c r="AA801" i="2"/>
  <c r="DH824" i="2"/>
  <c r="M102" i="2"/>
  <c r="L141" i="2"/>
  <c r="Z480" i="2"/>
  <c r="AA480" i="2"/>
  <c r="Y484" i="2"/>
  <c r="Z484" i="2"/>
  <c r="AA484" i="2"/>
  <c r="Z506" i="2"/>
  <c r="BB921" i="2"/>
  <c r="BA925" i="2"/>
  <c r="BB925" i="2"/>
  <c r="Z107" i="2"/>
  <c r="AA107" i="2"/>
  <c r="Y111" i="2"/>
  <c r="BC472" i="2"/>
  <c r="BB511" i="2"/>
  <c r="CB135" i="2"/>
  <c r="CA136" i="2"/>
  <c r="CB136" i="2"/>
  <c r="AA694" i="2"/>
  <c r="Z733" i="2"/>
  <c r="BA558" i="2"/>
  <c r="BB558" i="2"/>
  <c r="BC558" i="2"/>
  <c r="BB554" i="2"/>
  <c r="BC554" i="2"/>
  <c r="BB580" i="2"/>
  <c r="BC659" i="2"/>
  <c r="DR283" i="2"/>
  <c r="DQ284" i="2"/>
  <c r="DR284" i="2"/>
  <c r="AM260" i="2"/>
  <c r="AN260" i="2"/>
  <c r="AN256" i="2"/>
  <c r="AO256" i="2"/>
  <c r="AM416" i="2"/>
  <c r="AN412" i="2"/>
  <c r="AO412" i="2"/>
  <c r="M504" i="2"/>
  <c r="L505" i="2"/>
  <c r="M505" i="2"/>
  <c r="BR208" i="2"/>
  <c r="BQ209" i="2"/>
  <c r="BR209" i="2"/>
  <c r="K630" i="2"/>
  <c r="L626" i="2"/>
  <c r="M626" i="2"/>
  <c r="AO920" i="2"/>
  <c r="AN956" i="2"/>
  <c r="AO956" i="2"/>
  <c r="AO881" i="2"/>
  <c r="AN885" i="2"/>
  <c r="AO885" i="2"/>
  <c r="EE283" i="2"/>
  <c r="Z1024" i="2"/>
  <c r="Z1001" i="2"/>
  <c r="DR507" i="2"/>
  <c r="DU455" i="2"/>
  <c r="DV455" i="2"/>
  <c r="DT456" i="2"/>
  <c r="DU456" i="2"/>
  <c r="DV456" i="2"/>
  <c r="AN623" i="2"/>
  <c r="AM627" i="2"/>
  <c r="AN259" i="2"/>
  <c r="AO259" i="2"/>
  <c r="AN284" i="2"/>
  <c r="BQ62" i="2"/>
  <c r="L586" i="2"/>
  <c r="M586" i="2"/>
  <c r="C212" i="2"/>
  <c r="D213" i="2"/>
  <c r="M208" i="2"/>
  <c r="L209" i="2"/>
  <c r="M209" i="2"/>
  <c r="BA411" i="2"/>
  <c r="BB407" i="2"/>
  <c r="BC407" i="2"/>
  <c r="BB432" i="2"/>
  <c r="AA106" i="2"/>
  <c r="CP61" i="2"/>
  <c r="CO62" i="2"/>
  <c r="CP62" i="2"/>
  <c r="M38" i="2"/>
  <c r="L70" i="2"/>
  <c r="M70" i="2"/>
  <c r="BB70" i="2"/>
  <c r="BC70" i="2"/>
  <c r="AO1022" i="2"/>
  <c r="AN1023" i="2"/>
  <c r="AO1023" i="2"/>
  <c r="BC925" i="2"/>
  <c r="BB947" i="2"/>
  <c r="AN418" i="2"/>
  <c r="AO418" i="2"/>
  <c r="AM422" i="2"/>
  <c r="AN422" i="2"/>
  <c r="AO422" i="2"/>
  <c r="BB480" i="2"/>
  <c r="BC480" i="2"/>
  <c r="BA484" i="2"/>
  <c r="BB484" i="2"/>
  <c r="BC484" i="2"/>
  <c r="BB506" i="2"/>
  <c r="E508" i="2"/>
  <c r="AN586" i="2"/>
  <c r="CP505" i="2"/>
  <c r="CO506" i="2"/>
  <c r="CP506" i="2"/>
  <c r="M106" i="2"/>
  <c r="L142" i="2"/>
  <c r="M142" i="2"/>
  <c r="AN133" i="2"/>
  <c r="M703" i="2"/>
  <c r="Y706" i="2"/>
  <c r="Z702" i="2"/>
  <c r="AA702" i="2"/>
  <c r="AO807" i="2"/>
  <c r="AN811" i="2"/>
  <c r="AO811" i="2"/>
  <c r="EF283" i="2"/>
  <c r="EE284" i="2"/>
  <c r="EF284" i="2"/>
  <c r="EF209" i="2"/>
  <c r="EE210" i="2"/>
  <c r="EF210" i="2"/>
  <c r="CF383" i="2"/>
  <c r="CA431" i="2"/>
  <c r="AO291" i="2"/>
  <c r="AN293" i="2"/>
  <c r="AO293" i="2"/>
  <c r="M733" i="2"/>
  <c r="L110" i="2"/>
  <c r="M110" i="2"/>
  <c r="L136" i="2"/>
  <c r="L876" i="2"/>
  <c r="E878" i="2"/>
  <c r="L849" i="2"/>
  <c r="AA289" i="2"/>
  <c r="L707" i="2"/>
  <c r="M707" i="2"/>
  <c r="L728" i="2"/>
  <c r="L662" i="2"/>
  <c r="L35" i="2"/>
  <c r="M35" i="2"/>
  <c r="L62" i="2"/>
  <c r="E64" i="2"/>
  <c r="K39" i="2"/>
  <c r="L39" i="2"/>
  <c r="M39" i="2"/>
  <c r="Z410" i="2"/>
  <c r="Y414" i="2"/>
  <c r="AA1001" i="2"/>
  <c r="Z1021" i="2"/>
  <c r="L414" i="2"/>
  <c r="M414" i="2"/>
  <c r="K418" i="2"/>
  <c r="M31" i="2"/>
  <c r="L1033" i="2"/>
  <c r="M1033" i="2"/>
  <c r="M1029" i="2"/>
  <c r="BB586" i="2"/>
  <c r="Z142" i="2"/>
  <c r="AN416" i="2"/>
  <c r="AO416" i="2"/>
  <c r="AM420" i="2"/>
  <c r="BQ59" i="2"/>
  <c r="AO555" i="2"/>
  <c r="AN587" i="2"/>
  <c r="AO587" i="2"/>
  <c r="DU384" i="2"/>
  <c r="DV384" i="2"/>
  <c r="DT385" i="2"/>
  <c r="DU385" i="2"/>
  <c r="AO559" i="2"/>
  <c r="AN577" i="2"/>
  <c r="DD505" i="2"/>
  <c r="DC506" i="2"/>
  <c r="DD506" i="2"/>
  <c r="M107" i="2"/>
  <c r="AO260" i="2"/>
  <c r="AN281" i="2"/>
  <c r="DC875" i="2"/>
  <c r="AA112" i="2"/>
  <c r="Z144" i="2"/>
  <c r="AA144" i="2"/>
  <c r="M704" i="2"/>
  <c r="L736" i="2"/>
  <c r="M736" i="2"/>
  <c r="K416" i="2"/>
  <c r="L412" i="2"/>
  <c r="BB69" i="2"/>
  <c r="BC69" i="2"/>
  <c r="DG382" i="2"/>
  <c r="DH382" i="2"/>
  <c r="DF383" i="2"/>
  <c r="AA560" i="2"/>
  <c r="Z577" i="2"/>
  <c r="CF678" i="2"/>
  <c r="CA727" i="2"/>
  <c r="CP801" i="2"/>
  <c r="CO802" i="2"/>
  <c r="CP802" i="2"/>
  <c r="C804" i="2"/>
  <c r="D805" i="2"/>
  <c r="M800" i="2"/>
  <c r="L801" i="2"/>
  <c r="M801" i="2"/>
  <c r="BB437" i="2"/>
  <c r="L111" i="2"/>
  <c r="M111" i="2"/>
  <c r="Z1033" i="2"/>
  <c r="AA1033" i="2"/>
  <c r="AA1029" i="2"/>
  <c r="BC800" i="2"/>
  <c r="BB801" i="2"/>
  <c r="BC801" i="2"/>
  <c r="BC921" i="2"/>
  <c r="BB957" i="2"/>
  <c r="BC957" i="2"/>
  <c r="M957" i="2"/>
  <c r="L959" i="2"/>
  <c r="M959" i="2"/>
  <c r="AA733" i="2"/>
  <c r="BQ112" i="2"/>
  <c r="BR112" i="2"/>
  <c r="AN654" i="2"/>
  <c r="AN627" i="2"/>
  <c r="BC511" i="2"/>
  <c r="DH677" i="2"/>
  <c r="L36" i="2"/>
  <c r="M36" i="2"/>
  <c r="K40" i="2"/>
  <c r="L40" i="2"/>
  <c r="BB959" i="2"/>
  <c r="BC959" i="2"/>
  <c r="BC955" i="2"/>
  <c r="BC256" i="2"/>
  <c r="BB292" i="2"/>
  <c r="Y559" i="2"/>
  <c r="Z559" i="2"/>
  <c r="AA559" i="2"/>
  <c r="Z555" i="2"/>
  <c r="Z580" i="2"/>
  <c r="E582" i="2"/>
  <c r="DQ505" i="2"/>
  <c r="M553" i="2"/>
  <c r="L577" i="2"/>
  <c r="AN292" i="2"/>
  <c r="AO292" i="2"/>
  <c r="DH381" i="2"/>
  <c r="L258" i="2"/>
  <c r="L290" i="2"/>
  <c r="L284" i="2"/>
  <c r="E286" i="2"/>
  <c r="M807" i="2"/>
  <c r="L811" i="2"/>
  <c r="M811" i="2"/>
  <c r="BB67" i="2"/>
  <c r="BB651" i="2"/>
  <c r="BA560" i="2"/>
  <c r="BB560" i="2"/>
  <c r="BB556" i="2"/>
  <c r="BC556" i="2"/>
  <c r="AA60" i="2"/>
  <c r="Z61" i="2"/>
  <c r="AA61" i="2"/>
  <c r="AA698" i="2"/>
  <c r="BC476" i="2"/>
  <c r="BB512" i="2"/>
  <c r="BC512" i="2"/>
  <c r="BB503" i="2"/>
  <c r="AA67" i="2"/>
  <c r="Z71" i="2"/>
  <c r="AA71" i="2"/>
  <c r="CE384" i="2"/>
  <c r="CF384" i="2"/>
  <c r="CD385" i="2"/>
  <c r="CE385" i="2"/>
  <c r="CF385" i="2"/>
  <c r="BB1024" i="2"/>
  <c r="E1026" i="2"/>
  <c r="BB1001" i="2"/>
  <c r="BC1001" i="2"/>
  <c r="AO623" i="2"/>
  <c r="AN659" i="2"/>
  <c r="DG678" i="2"/>
  <c r="DH678" i="2"/>
  <c r="DD729" i="2"/>
  <c r="Y420" i="2"/>
  <c r="Z416" i="2"/>
  <c r="M585" i="2"/>
  <c r="L630" i="2"/>
  <c r="L654" i="2"/>
  <c r="E656" i="2"/>
  <c r="BB1029" i="2"/>
  <c r="M1022" i="2"/>
  <c r="L1023" i="2"/>
  <c r="M1023" i="2"/>
  <c r="BB728" i="2"/>
  <c r="BB705" i="2"/>
  <c r="AA254" i="2"/>
  <c r="AA486" i="2"/>
  <c r="Z503" i="2"/>
  <c r="L725" i="2"/>
  <c r="AO955" i="2"/>
  <c r="AN959" i="2"/>
  <c r="AO959" i="2"/>
  <c r="M410" i="2"/>
  <c r="BC106" i="2"/>
  <c r="BB142" i="2"/>
  <c r="BC142" i="2"/>
  <c r="BB133" i="2"/>
  <c r="M289" i="2"/>
  <c r="AO112" i="2"/>
  <c r="AN144" i="2"/>
  <c r="Z415" i="2"/>
  <c r="AA415" i="2"/>
  <c r="Y419" i="2"/>
  <c r="BB110" i="2"/>
  <c r="BC110" i="2"/>
  <c r="BB136" i="2"/>
  <c r="CB579" i="2"/>
  <c r="CA580" i="2"/>
  <c r="CB580" i="2"/>
  <c r="DH529" i="2"/>
  <c r="DC579" i="2"/>
  <c r="M141" i="2"/>
  <c r="AO1002" i="2"/>
  <c r="AN1030" i="2"/>
  <c r="BR142" i="2"/>
  <c r="AO948" i="2"/>
  <c r="AN949" i="2"/>
  <c r="AO949" i="2"/>
  <c r="BB411" i="2"/>
  <c r="BC411" i="2"/>
  <c r="BA415" i="2"/>
  <c r="L881" i="2"/>
  <c r="BB260" i="2"/>
  <c r="BB284" i="2"/>
  <c r="AO800" i="2"/>
  <c r="AN801" i="2"/>
  <c r="AO801" i="2"/>
  <c r="M254" i="2"/>
  <c r="BC420" i="2"/>
  <c r="BB440" i="2"/>
  <c r="BC440" i="2"/>
  <c r="AA482" i="2"/>
  <c r="Z514" i="2"/>
  <c r="AA514" i="2"/>
  <c r="BQ136" i="2"/>
  <c r="Z111" i="2"/>
  <c r="BB663" i="2"/>
  <c r="BC663" i="2"/>
  <c r="AO850" i="2"/>
  <c r="AN873" i="2"/>
  <c r="M555" i="2"/>
  <c r="L587" i="2"/>
  <c r="M587" i="2"/>
  <c r="CP209" i="2"/>
  <c r="CO210" i="2"/>
  <c r="CP210" i="2"/>
  <c r="AM411" i="2"/>
  <c r="AN407" i="2"/>
  <c r="AO407" i="2"/>
  <c r="AN432" i="2"/>
  <c r="E434" i="2"/>
  <c r="CT529" i="2"/>
  <c r="CO579" i="2"/>
  <c r="Z512" i="2"/>
  <c r="BC141" i="2"/>
  <c r="Z258" i="2"/>
  <c r="Z284" i="2"/>
  <c r="BC807" i="2"/>
  <c r="BB811" i="2"/>
  <c r="BC811" i="2"/>
  <c r="AN438" i="2"/>
  <c r="BQ67" i="2"/>
  <c r="M290" i="2"/>
  <c r="L293" i="2"/>
  <c r="M293" i="2"/>
  <c r="BC705" i="2"/>
  <c r="BB725" i="2"/>
  <c r="BB733" i="2"/>
  <c r="E730" i="2"/>
  <c r="Z728" i="2"/>
  <c r="Z706" i="2"/>
  <c r="Z734" i="2"/>
  <c r="BQ133" i="2"/>
  <c r="DG383" i="2"/>
  <c r="DH383" i="2"/>
  <c r="DF384" i="2"/>
  <c r="L735" i="2"/>
  <c r="L885" i="2"/>
  <c r="M885" i="2"/>
  <c r="M881" i="2"/>
  <c r="AA416" i="2"/>
  <c r="BQ71" i="2"/>
  <c r="BR71" i="2"/>
  <c r="BR67" i="2"/>
  <c r="Z420" i="2"/>
  <c r="AA420" i="2"/>
  <c r="Y424" i="2"/>
  <c r="Z424" i="2"/>
  <c r="L133" i="2"/>
  <c r="M40" i="2"/>
  <c r="L59" i="2"/>
  <c r="L68" i="2"/>
  <c r="M68" i="2"/>
  <c r="AA111" i="2"/>
  <c r="Z143" i="2"/>
  <c r="AA143" i="2"/>
  <c r="Z133" i="2"/>
  <c r="BB415" i="2"/>
  <c r="BC415" i="2"/>
  <c r="BA419" i="2"/>
  <c r="AA578" i="2"/>
  <c r="Z579" i="2"/>
  <c r="AA579" i="2"/>
  <c r="AM415" i="2"/>
  <c r="AN411" i="2"/>
  <c r="AO411" i="2"/>
  <c r="BC437" i="2"/>
  <c r="L418" i="2"/>
  <c r="K422" i="2"/>
  <c r="L422" i="2"/>
  <c r="M422" i="2"/>
  <c r="AO134" i="2"/>
  <c r="AN135" i="2"/>
  <c r="AO135" i="2"/>
  <c r="BB1033" i="2"/>
  <c r="BC1033" i="2"/>
  <c r="BC1029" i="2"/>
  <c r="AO1030" i="2"/>
  <c r="AN1033" i="2"/>
  <c r="AO1033" i="2"/>
  <c r="AA504" i="2"/>
  <c r="Z505" i="2"/>
  <c r="AA505" i="2"/>
  <c r="C508" i="2"/>
  <c r="D509" i="2"/>
  <c r="M630" i="2"/>
  <c r="L651" i="2"/>
  <c r="BC560" i="2"/>
  <c r="BB577" i="2"/>
  <c r="C582" i="2"/>
  <c r="D583" i="2"/>
  <c r="DR505" i="2"/>
  <c r="DQ506" i="2"/>
  <c r="DR506" i="2"/>
  <c r="K420" i="2"/>
  <c r="L416" i="2"/>
  <c r="M416" i="2"/>
  <c r="BB59" i="2"/>
  <c r="Y418" i="2"/>
  <c r="Z414" i="2"/>
  <c r="AA414" i="2"/>
  <c r="E138" i="2"/>
  <c r="BB588" i="2"/>
  <c r="BC588" i="2"/>
  <c r="BC504" i="2"/>
  <c r="BB505" i="2"/>
  <c r="BC505" i="2"/>
  <c r="M662" i="2"/>
  <c r="L663" i="2"/>
  <c r="M663" i="2"/>
  <c r="AO282" i="2"/>
  <c r="AN283" i="2"/>
  <c r="AO283" i="2"/>
  <c r="L143" i="2"/>
  <c r="M143" i="2"/>
  <c r="Z419" i="2"/>
  <c r="AA419" i="2"/>
  <c r="Y423" i="2"/>
  <c r="Z423" i="2"/>
  <c r="AA423" i="2"/>
  <c r="AA1022" i="2"/>
  <c r="Z1023" i="2"/>
  <c r="AA1023" i="2"/>
  <c r="M412" i="2"/>
  <c r="BC652" i="2"/>
  <c r="BB653" i="2"/>
  <c r="BC653" i="2"/>
  <c r="BB515" i="2"/>
  <c r="BC515" i="2"/>
  <c r="AA142" i="2"/>
  <c r="Z145" i="2"/>
  <c r="AA145" i="2"/>
  <c r="AA410" i="2"/>
  <c r="AO578" i="2"/>
  <c r="AN579" i="2"/>
  <c r="AO579" i="2"/>
  <c r="DD875" i="2"/>
  <c r="DC876" i="2"/>
  <c r="DD876" i="2"/>
  <c r="AO438" i="2"/>
  <c r="L67" i="2"/>
  <c r="DC727" i="2"/>
  <c r="M849" i="2"/>
  <c r="L873" i="2"/>
  <c r="AA512" i="2"/>
  <c r="Z515" i="2"/>
  <c r="AA515" i="2"/>
  <c r="BC134" i="2"/>
  <c r="BB135" i="2"/>
  <c r="BC135" i="2"/>
  <c r="BC292" i="2"/>
  <c r="BB293" i="2"/>
  <c r="BC293" i="2"/>
  <c r="M258" i="2"/>
  <c r="L281" i="2"/>
  <c r="DV385" i="2"/>
  <c r="DQ431" i="2"/>
  <c r="AO659" i="2"/>
  <c r="AN663" i="2"/>
  <c r="AO663" i="2"/>
  <c r="CB431" i="2"/>
  <c r="CA432" i="2"/>
  <c r="CB432" i="2"/>
  <c r="BQ144" i="2"/>
  <c r="AA258" i="2"/>
  <c r="Z281" i="2"/>
  <c r="M578" i="2"/>
  <c r="L579" i="2"/>
  <c r="M579" i="2"/>
  <c r="BR60" i="2"/>
  <c r="BQ61" i="2"/>
  <c r="BR61" i="2"/>
  <c r="BC948" i="2"/>
  <c r="BB949" i="2"/>
  <c r="BC949" i="2"/>
  <c r="C952" i="2"/>
  <c r="D953" i="2"/>
  <c r="BB145" i="2"/>
  <c r="BC145" i="2"/>
  <c r="M726" i="2"/>
  <c r="L727" i="2"/>
  <c r="M727" i="2"/>
  <c r="AM424" i="2"/>
  <c r="AN424" i="2"/>
  <c r="AN420" i="2"/>
  <c r="AO874" i="2"/>
  <c r="AN875" i="2"/>
  <c r="AO875" i="2"/>
  <c r="AO144" i="2"/>
  <c r="AN145" i="2"/>
  <c r="AO145" i="2"/>
  <c r="CP579" i="2"/>
  <c r="CO580" i="2"/>
  <c r="CP580" i="2"/>
  <c r="Z290" i="2"/>
  <c r="BC67" i="2"/>
  <c r="BB71" i="2"/>
  <c r="BC71" i="2"/>
  <c r="AA555" i="2"/>
  <c r="Z587" i="2"/>
  <c r="AO627" i="2"/>
  <c r="AN651" i="2"/>
  <c r="BB1021" i="2"/>
  <c r="BC260" i="2"/>
  <c r="BB281" i="2"/>
  <c r="DD579" i="2"/>
  <c r="DC580" i="2"/>
  <c r="DD580" i="2"/>
  <c r="L589" i="2"/>
  <c r="M589" i="2"/>
  <c r="CB727" i="2"/>
  <c r="CA728" i="2"/>
  <c r="CB728" i="2"/>
  <c r="BC586" i="2"/>
  <c r="AO586" i="2"/>
  <c r="AN589" i="2"/>
  <c r="AO589" i="2"/>
  <c r="AO652" i="2"/>
  <c r="AN653" i="2"/>
  <c r="AO653" i="2"/>
  <c r="DD727" i="2"/>
  <c r="DC728" i="2"/>
  <c r="DD728" i="2"/>
  <c r="L420" i="2"/>
  <c r="M420" i="2"/>
  <c r="K424" i="2"/>
  <c r="L424" i="2"/>
  <c r="BA423" i="2"/>
  <c r="BB423" i="2"/>
  <c r="BB419" i="2"/>
  <c r="AA734" i="2"/>
  <c r="Z737" i="2"/>
  <c r="AA737" i="2"/>
  <c r="C286" i="2"/>
  <c r="D287" i="2"/>
  <c r="M282" i="2"/>
  <c r="L283" i="2"/>
  <c r="M283" i="2"/>
  <c r="L71" i="2"/>
  <c r="M71" i="2"/>
  <c r="M67" i="2"/>
  <c r="AA706" i="2"/>
  <c r="Z725" i="2"/>
  <c r="BB589" i="2"/>
  <c r="BC589" i="2"/>
  <c r="AA587" i="2"/>
  <c r="Z589" i="2"/>
  <c r="AA589" i="2"/>
  <c r="AO420" i="2"/>
  <c r="AN440" i="2"/>
  <c r="AO440" i="2"/>
  <c r="AA134" i="2"/>
  <c r="Z135" i="2"/>
  <c r="AA135" i="2"/>
  <c r="Z440" i="2"/>
  <c r="AA440" i="2"/>
  <c r="M874" i="2"/>
  <c r="C878" i="2"/>
  <c r="D879" i="2"/>
  <c r="L875" i="2"/>
  <c r="M875" i="2"/>
  <c r="BR134" i="2"/>
  <c r="BQ135" i="2"/>
  <c r="BR135" i="2"/>
  <c r="DR431" i="2"/>
  <c r="DQ432" i="2"/>
  <c r="DR432" i="2"/>
  <c r="AO424" i="2"/>
  <c r="BC578" i="2"/>
  <c r="BB579" i="2"/>
  <c r="BC579" i="2"/>
  <c r="BC282" i="2"/>
  <c r="BB283" i="2"/>
  <c r="BC283" i="2"/>
  <c r="BC1022" i="2"/>
  <c r="BB1023" i="2"/>
  <c r="BC1023" i="2"/>
  <c r="C1026" i="2"/>
  <c r="D1027" i="2"/>
  <c r="AA282" i="2"/>
  <c r="Z283" i="2"/>
  <c r="AA283" i="2"/>
  <c r="BC726" i="2"/>
  <c r="BB727" i="2"/>
  <c r="BC727" i="2"/>
  <c r="AA424" i="2"/>
  <c r="L440" i="2"/>
  <c r="M440" i="2"/>
  <c r="BB737" i="2"/>
  <c r="BC737" i="2"/>
  <c r="BC733" i="2"/>
  <c r="C656" i="2"/>
  <c r="D657" i="2"/>
  <c r="M652" i="2"/>
  <c r="L653" i="2"/>
  <c r="M653" i="2"/>
  <c r="M418" i="2"/>
  <c r="L438" i="2"/>
  <c r="AA290" i="2"/>
  <c r="Z293" i="2"/>
  <c r="AA293" i="2"/>
  <c r="BR144" i="2"/>
  <c r="BQ145" i="2"/>
  <c r="BR145" i="2"/>
  <c r="M60" i="2"/>
  <c r="C64" i="2"/>
  <c r="D65" i="2"/>
  <c r="L61" i="2"/>
  <c r="M61" i="2"/>
  <c r="M735" i="2"/>
  <c r="L737" i="2"/>
  <c r="M737" i="2"/>
  <c r="BC60" i="2"/>
  <c r="BB61" i="2"/>
  <c r="BC61" i="2"/>
  <c r="AN415" i="2"/>
  <c r="AM419" i="2"/>
  <c r="L145" i="2"/>
  <c r="M145" i="2"/>
  <c r="Z439" i="2"/>
  <c r="AA439" i="2"/>
  <c r="Z418" i="2"/>
  <c r="AA418" i="2"/>
  <c r="Y422" i="2"/>
  <c r="Z422" i="2"/>
  <c r="AA422" i="2"/>
  <c r="C138" i="2"/>
  <c r="D139" i="2"/>
  <c r="M134" i="2"/>
  <c r="L135" i="2"/>
  <c r="M135" i="2"/>
  <c r="DF385" i="2"/>
  <c r="DG385" i="2"/>
  <c r="DG384" i="2"/>
  <c r="DH384" i="2"/>
  <c r="Z429" i="2"/>
  <c r="M438" i="2"/>
  <c r="L441" i="2"/>
  <c r="M441" i="2"/>
  <c r="BC423" i="2"/>
  <c r="BB429" i="2"/>
  <c r="M424" i="2"/>
  <c r="L429" i="2"/>
  <c r="DH385" i="2"/>
  <c r="DC431" i="2"/>
  <c r="AA726" i="2"/>
  <c r="Z727" i="2"/>
  <c r="AA727" i="2"/>
  <c r="C730" i="2"/>
  <c r="D731" i="2"/>
  <c r="Z438" i="2"/>
  <c r="AN419" i="2"/>
  <c r="AM423" i="2"/>
  <c r="AN423" i="2"/>
  <c r="AO423" i="2"/>
  <c r="BC419" i="2"/>
  <c r="BB439" i="2"/>
  <c r="AO415" i="2"/>
  <c r="AA430" i="2"/>
  <c r="Z431" i="2"/>
  <c r="AA431" i="2"/>
  <c r="BC430" i="2"/>
  <c r="BB431" i="2"/>
  <c r="BC431" i="2"/>
  <c r="AO419" i="2"/>
  <c r="AN429" i="2"/>
  <c r="AA438" i="2"/>
  <c r="Z441" i="2"/>
  <c r="AA441" i="2"/>
  <c r="DD431" i="2"/>
  <c r="DC432" i="2"/>
  <c r="DD432" i="2"/>
  <c r="AN439" i="2"/>
  <c r="M430" i="2"/>
  <c r="L431" i="2"/>
  <c r="M431" i="2"/>
  <c r="BC439" i="2"/>
  <c r="BB441" i="2"/>
  <c r="BC441" i="2"/>
  <c r="AO430" i="2"/>
  <c r="AN431" i="2"/>
  <c r="AO431" i="2"/>
  <c r="AO439" i="2"/>
  <c r="AN441" i="2"/>
  <c r="AO441" i="2"/>
  <c r="C434" i="2"/>
  <c r="D435" i="2"/>
</calcChain>
</file>

<file path=xl/sharedStrings.xml><?xml version="1.0" encoding="utf-8"?>
<sst xmlns="http://schemas.openxmlformats.org/spreadsheetml/2006/main" count="4194" uniqueCount="662">
  <si>
    <t>2F</t>
  </si>
  <si>
    <t>日付</t>
  </si>
  <si>
    <t>100円</t>
  </si>
  <si>
    <t>差</t>
  </si>
  <si>
    <t>プライズ</t>
  </si>
  <si>
    <t>投入残</t>
  </si>
  <si>
    <t>払出</t>
  </si>
  <si>
    <t>補充</t>
  </si>
  <si>
    <t>単価</t>
  </si>
  <si>
    <t>払出額</t>
  </si>
  <si>
    <t>原価率</t>
  </si>
  <si>
    <t>設定</t>
  </si>
  <si>
    <t>景品</t>
  </si>
  <si>
    <t>出率</t>
  </si>
  <si>
    <t>ポメラニアン</t>
  </si>
  <si>
    <t>ミニ香水</t>
  </si>
  <si>
    <t>ロムアンド</t>
  </si>
  <si>
    <t>グミッツェルプチ</t>
  </si>
  <si>
    <t>グミッツェル</t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</si>
  <si>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</si>
  <si>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</si>
  <si>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</si>
  <si>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</si>
  <si>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</si>
  <si>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</si>
  <si>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</si>
  <si>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</si>
  <si>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</si>
  <si>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</si>
  <si>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月末在庫金額</t>
  </si>
  <si>
    <t>ピクミンマスコット</t>
  </si>
  <si>
    <t>払出合計</t>
  </si>
  <si>
    <t>シールド上げた</t>
  </si>
  <si>
    <t>16.5.8</t>
  </si>
  <si>
    <t>じゅるる</t>
  </si>
  <si>
    <t>シールド下げた</t>
  </si>
  <si>
    <t>ジャグラーイヤホン</t>
  </si>
  <si>
    <t>22.6.12</t>
  </si>
  <si>
    <t>18.1.8.18</t>
  </si>
  <si>
    <t>エラーで止まってた</t>
  </si>
  <si>
    <t>ベティ ウォレット</t>
  </si>
  <si>
    <t>14.7.9.14</t>
  </si>
  <si>
    <r>
      <rPr>
        <sz val="11"/>
        <color theme="1"/>
        <rFont val="ＭＳ ゴシック"/>
        <family val="3"/>
        <charset val="128"/>
      </rPr>
      <t>唐津</t>
    </r>
    <r>
      <rPr>
        <sz val="11"/>
        <color theme="1"/>
        <rFont val="Calibri"/>
        <family val="2"/>
      </rPr>
      <t>R3003</t>
    </r>
  </si>
  <si>
    <r>
      <rPr>
        <sz val="11"/>
        <color theme="1"/>
        <rFont val="ＭＳ ゴシック"/>
        <family val="3"/>
        <charset val="128"/>
      </rPr>
      <t>唐津</t>
    </r>
    <r>
      <rPr>
        <sz val="11"/>
        <color theme="1"/>
        <rFont val="Calibri"/>
        <family val="2"/>
      </rPr>
      <t>R3004</t>
    </r>
  </si>
  <si>
    <t>NICIマスコット</t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</si>
  <si>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</rPr>
      <t>BUZZmini</t>
    </r>
    <r>
      <rPr>
        <sz val="12"/>
        <color theme="1"/>
        <rFont val="Segoe UI Symbol"/>
        <family val="2"/>
      </rPr>
      <t>②</t>
    </r>
    <phoneticPr fontId="16"/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</si>
  <si>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</rPr>
      <t>BUZZmini</t>
    </r>
    <r>
      <rPr>
        <sz val="12"/>
        <color theme="1"/>
        <rFont val="Segoe UI Symbol"/>
        <family val="2"/>
      </rPr>
      <t>⑤</t>
    </r>
    <phoneticPr fontId="16"/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</si>
  <si>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</rPr>
      <t>BUZZmini</t>
    </r>
    <r>
      <rPr>
        <sz val="12"/>
        <color theme="1"/>
        <rFont val="Segoe UI Symbol"/>
        <family val="2"/>
      </rPr>
      <t>⑥</t>
    </r>
    <phoneticPr fontId="16"/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</si>
  <si>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</rPr>
      <t>BUZZmini</t>
    </r>
    <r>
      <rPr>
        <sz val="12"/>
        <color theme="1"/>
        <rFont val="Segoe UI Symbol"/>
        <family val="2"/>
      </rPr>
      <t>⑦</t>
    </r>
    <phoneticPr fontId="16"/>
  </si>
  <si>
    <t>20.7.10</t>
  </si>
  <si>
    <t>18.6.9</t>
  </si>
  <si>
    <t>猫アイシャドウ</t>
  </si>
  <si>
    <t>BUZZ③</t>
  </si>
  <si>
    <t>BUZZ④</t>
  </si>
  <si>
    <t>唐津</t>
  </si>
  <si>
    <t>BUZZ②</t>
    <phoneticPr fontId="16"/>
  </si>
  <si>
    <t>BUZZ①</t>
    <phoneticPr fontId="16"/>
  </si>
  <si>
    <t>月間予測</t>
    <rPh sb="0" eb="2">
      <t>ゲッカン</t>
    </rPh>
    <rPh sb="2" eb="4">
      <t>ヨソク</t>
    </rPh>
    <phoneticPr fontId="16"/>
  </si>
  <si>
    <t>ピクミン引っこ抜き</t>
  </si>
  <si>
    <t>ロッテウォレット</t>
  </si>
  <si>
    <t>ジャグラーサウンドボタン</t>
  </si>
  <si>
    <t>サンリオシューズキーホルダー</t>
  </si>
  <si>
    <t>月間原価</t>
    <rPh sb="0" eb="2">
      <t>ゲッカン</t>
    </rPh>
    <rPh sb="2" eb="4">
      <t>ゲンカ</t>
    </rPh>
    <phoneticPr fontId="16"/>
  </si>
  <si>
    <t>月末棚卸</t>
    <rPh sb="0" eb="2">
      <t>ゲツマツ</t>
    </rPh>
    <rPh sb="2" eb="4">
      <t>タナオロシ</t>
    </rPh>
    <phoneticPr fontId="16"/>
  </si>
  <si>
    <t>アナスイ混ぜた</t>
  </si>
  <si>
    <t>サンリオアイスドームKH</t>
  </si>
  <si>
    <t>サンリオボアミラー</t>
  </si>
  <si>
    <t>サンリオブレスレット</t>
  </si>
  <si>
    <t>じゃがりこイヤホン</t>
  </si>
  <si>
    <t>お菓子ウォレット</t>
  </si>
  <si>
    <t>sp8→5</t>
  </si>
  <si>
    <t>ゴールドイヤホン</t>
  </si>
  <si>
    <t>サンリオ巻き寿司ポーチ</t>
  </si>
  <si>
    <t>ジョージラバーキーホルダー</t>
  </si>
  <si>
    <t>スプランキーラバーキーホルダー</t>
  </si>
  <si>
    <t>20.10.12シリコン3つけた</t>
  </si>
  <si>
    <t>20.1.8</t>
  </si>
  <si>
    <t>18.1.9に戻した</t>
  </si>
  <si>
    <t>22.6.12デジタルミニカメラ</t>
  </si>
  <si>
    <t>16.5.8スプランキーマスコット</t>
  </si>
  <si>
    <t>アーム変えた</t>
  </si>
  <si>
    <t>デジタルミニカメラ</t>
  </si>
  <si>
    <t>スプランキーマスコット</t>
  </si>
  <si>
    <t>マリオプルバック</t>
  </si>
  <si>
    <t>20.9.12</t>
  </si>
  <si>
    <t>硬質ケースいる</t>
  </si>
  <si>
    <t>18.4.10ベティ ウォレット</t>
  </si>
  <si>
    <t>サンリオアイスドーム混ぜた</t>
  </si>
  <si>
    <t>22.6.12ギャルキティキーケース</t>
  </si>
  <si>
    <t>SPGぬいぐるみ</t>
  </si>
  <si>
    <t>22.6.9.22sp2</t>
  </si>
  <si>
    <t>ギャルキティキーケース</t>
  </si>
  <si>
    <t>新柄足したアクリル少し足した</t>
  </si>
  <si>
    <t>22.6.11.20</t>
  </si>
  <si>
    <t>24.8.12サンリオファン</t>
  </si>
  <si>
    <t>26.7.9.26sp2→4</t>
  </si>
  <si>
    <t>サンリオFAN</t>
    <phoneticPr fontId="16"/>
  </si>
  <si>
    <r>
      <t>SPG</t>
    </r>
    <r>
      <rPr>
        <sz val="6"/>
        <color theme="1"/>
        <rFont val="ＭＳ ゴシック"/>
        <family val="3"/>
        <charset val="128"/>
      </rPr>
      <t>ジビッツ</t>
    </r>
    <r>
      <rPr>
        <sz val="6"/>
        <color theme="1"/>
        <rFont val="Calibri"/>
        <family val="2"/>
      </rPr>
      <t>24.7.8.24</t>
    </r>
    <phoneticPr fontId="16"/>
  </si>
  <si>
    <r>
      <t>SPG</t>
    </r>
    <r>
      <rPr>
        <sz val="7"/>
        <color theme="1"/>
        <rFont val="ＭＳ Ｐゴシック"/>
        <family val="3"/>
        <charset val="128"/>
      </rPr>
      <t>ジビッツ</t>
    </r>
  </si>
  <si>
    <t>24.8.11降下スピード落としたシールド上げた</t>
  </si>
  <si>
    <t>グミッツェルプチ15.2.9.15</t>
  </si>
  <si>
    <t>40.8.9.40sp5→4</t>
  </si>
  <si>
    <t>サンリオFAN</t>
  </si>
  <si>
    <t>サンリオシューズに変える</t>
  </si>
  <si>
    <t>sp5.5.2</t>
  </si>
  <si>
    <t>サンリオシューズKH22.7.8.22</t>
  </si>
  <si>
    <t>26.7.8.26sp4→3</t>
  </si>
  <si>
    <t>21.4.10アーム変えた</t>
  </si>
  <si>
    <t>16.6.8アームか変えた</t>
  </si>
  <si>
    <t>22.8.11</t>
  </si>
  <si>
    <t>sp3→2  ポップ要る</t>
  </si>
  <si>
    <t>19.3.10</t>
  </si>
  <si>
    <t>12.7.8</t>
  </si>
  <si>
    <t>20|1.9</t>
  </si>
  <si>
    <t>SPGぬいぐるみ</t>
    <phoneticPr fontId="16"/>
  </si>
  <si>
    <t>シリコン3、17.1.7.17緩和20</t>
  </si>
  <si>
    <t>じゅるる32.8.10</t>
  </si>
  <si>
    <t>28.8.12スプランキー</t>
  </si>
  <si>
    <t>26.8.14サンリオボアポーチ</t>
  </si>
  <si>
    <t>ジャグラーイヤホン18.2.8.18</t>
  </si>
  <si>
    <t>28.8.12サンリオサンダルポーチ</t>
  </si>
  <si>
    <t>28.8.10.28</t>
  </si>
  <si>
    <t>32.8.9.32sp10→6</t>
  </si>
  <si>
    <t>26.9.14シールド少し下げた</t>
  </si>
  <si>
    <t>ギャルキティポーチ26.7.12.26sp2</t>
  </si>
  <si>
    <t>パイの実イヤホン</t>
  </si>
  <si>
    <t>20.4.7.20シリコン2</t>
  </si>
  <si>
    <t>浴衣混ぜた</t>
  </si>
  <si>
    <t>26.10.16</t>
  </si>
  <si>
    <t>20.3.8スピード上げた</t>
  </si>
  <si>
    <t>モンチッチヘアゴム</t>
  </si>
  <si>
    <t>20.6.10モンチッチボールペン</t>
  </si>
  <si>
    <t>15.5.8.16モンチッチヘアゴム</t>
  </si>
  <si>
    <t>16.3.8手榴弾</t>
  </si>
  <si>
    <t>ジャグラータイマー16.3.8.16</t>
  </si>
  <si>
    <t>20.6.10.20シリコン1</t>
  </si>
  <si>
    <t>ピクミン12.1.6.12緩和20</t>
  </si>
  <si>
    <t>唐津BUZZmini①</t>
  </si>
  <si>
    <t>唐津BUZZmini②</t>
  </si>
  <si>
    <t>唐津BUZZmini③</t>
  </si>
  <si>
    <t>唐津BUZZmini④</t>
  </si>
  <si>
    <t>モンチッチボールペン</t>
  </si>
  <si>
    <t>なんちゃって手榴弾</t>
  </si>
  <si>
    <t>ジャグラータイマークロック</t>
  </si>
  <si>
    <t>グミッツェルPOP要る</t>
  </si>
  <si>
    <t>18.7.12お菓子柄ウォレット</t>
  </si>
  <si>
    <t>13.6.7</t>
  </si>
  <si>
    <t>16.1.8スピード上げた</t>
  </si>
  <si>
    <t>踏み台なくなった</t>
  </si>
  <si>
    <t>アーム変えた12.1.8スピード上げた</t>
  </si>
  <si>
    <t>踏み台あった</t>
  </si>
  <si>
    <t>緩和20にした　アクリル緑に変える</t>
  </si>
  <si>
    <t>24.8.12</t>
  </si>
  <si>
    <t>15.6.7.15</t>
  </si>
  <si>
    <t>集金</t>
    <rPh sb="0" eb="2">
      <t>シュウキン</t>
    </rPh>
    <phoneticPr fontId="16"/>
  </si>
  <si>
    <t>両替機止まってた</t>
  </si>
  <si>
    <t>ギャルキティマスコット</t>
  </si>
  <si>
    <t>アクリル石変えたい！</t>
  </si>
  <si>
    <t>サンリオボアポーチ</t>
  </si>
  <si>
    <t>18.2.9</t>
  </si>
  <si>
    <t>アクリル緑に変えた</t>
  </si>
  <si>
    <t>21.8.12キティサンダルキーホルダー</t>
  </si>
  <si>
    <t>18.10.12ネコアイシャドウ</t>
  </si>
  <si>
    <t>24.7.10.24</t>
  </si>
  <si>
    <t>ねこアイシャドウ</t>
  </si>
  <si>
    <t>キティサンダルキーホルダー</t>
  </si>
  <si>
    <t>キティフェイスポーチ</t>
  </si>
  <si>
    <t>24.5.10.24 AIモンスター🧌</t>
  </si>
  <si>
    <t>キティフェイスMC20.3.8.20</t>
  </si>
  <si>
    <t>16.1.8緩和20ジャグラーキーホルダー</t>
  </si>
  <si>
    <t>22.8.12.22 チロルチョコイヤホン</t>
  </si>
  <si>
    <t>AIモンスタラバー</t>
  </si>
  <si>
    <t>チロルチョコイヤホン</t>
  </si>
  <si>
    <t>18.1.8</t>
  </si>
  <si>
    <t>22.8.10 次アーム変える</t>
  </si>
  <si>
    <t>キティヘアバンドに変えたい</t>
  </si>
  <si>
    <t>スピード落とした</t>
  </si>
  <si>
    <t>シリコン外した20.7.10</t>
  </si>
  <si>
    <t>20.7.10シリコン全外しスピード落とした</t>
  </si>
  <si>
    <t>24.7.12キティヘアバンド</t>
  </si>
  <si>
    <t>23.7.10.23sp5→4</t>
  </si>
  <si>
    <t>20.6.8.20シリコン1</t>
  </si>
  <si>
    <t>20.6.9.20シリコン1</t>
  </si>
  <si>
    <t>22.12.13.22シリコン1</t>
  </si>
  <si>
    <t>20.2.8.20シリコン1</t>
  </si>
  <si>
    <t>ジャグラーパネルKH</t>
  </si>
  <si>
    <t>22.11.13.22</t>
  </si>
  <si>
    <t>23.7.9.23sp5→3上部0.1</t>
  </si>
  <si>
    <t>20.6.10シリコン3個ジョージファン</t>
  </si>
  <si>
    <t>集金</t>
  </si>
  <si>
    <t>20.4.10.20</t>
  </si>
  <si>
    <t>24.7.11 スピード4</t>
  </si>
  <si>
    <t>ジョージファン</t>
  </si>
  <si>
    <t>20.6.10シリコン外したこびとキーケース</t>
  </si>
  <si>
    <t>こびとづかんキーケース</t>
  </si>
  <si>
    <t>シューター不良で停止なってた</t>
  </si>
  <si>
    <t>21.8.11シリコン外した</t>
  </si>
  <si>
    <t>ターボババァマスコット</t>
  </si>
  <si>
    <t>18.7.10シリコン外した</t>
  </si>
  <si>
    <t>22.1011シリコン外した</t>
  </si>
  <si>
    <t>11.7.8</t>
  </si>
  <si>
    <t>22.9.11</t>
  </si>
  <si>
    <r>
      <t>10.3.8</t>
    </r>
    <r>
      <rPr>
        <sz val="6"/>
        <color theme="1"/>
        <rFont val="ＭＳ ゴシック"/>
        <family val="3"/>
        <charset val="128"/>
      </rPr>
      <t>スピード</t>
    </r>
    <r>
      <rPr>
        <sz val="6"/>
        <color theme="1"/>
        <rFont val="Calibri"/>
        <family val="2"/>
      </rPr>
      <t>4</t>
    </r>
    <r>
      <rPr>
        <sz val="6"/>
        <color theme="1"/>
        <rFont val="ＭＳ ゴシック"/>
        <family val="3"/>
        <charset val="128"/>
      </rPr>
      <t>ターボババア</t>
    </r>
    <r>
      <rPr>
        <sz val="6"/>
        <color theme="1"/>
        <rFont val="Calibri"/>
        <family val="3"/>
      </rPr>
      <t>MC</t>
    </r>
    <phoneticPr fontId="16"/>
  </si>
  <si>
    <t>止められてた！！20.6.10緩和時間0.1</t>
  </si>
  <si>
    <t>10.6.7</t>
  </si>
  <si>
    <t>24.8.12シリコン２個</t>
  </si>
  <si>
    <t>20.8.10停止なし</t>
  </si>
  <si>
    <t>20.8.11</t>
  </si>
  <si>
    <t>44.14.22ジャグラーファンシリコン３個</t>
  </si>
  <si>
    <t>28.12.14スピード落とした</t>
  </si>
  <si>
    <t>22.8.11緩和0.2シリコン２ミニクレコンパネKH</t>
  </si>
  <si>
    <t>石が足りない！もっといる</t>
  </si>
  <si>
    <t>中止になってた</t>
  </si>
  <si>
    <t>ミニクレーンコンパネ</t>
  </si>
  <si>
    <t>シールド下がってた！調整済み</t>
  </si>
  <si>
    <t>10.6.8</t>
  </si>
  <si>
    <t>石少し減らした</t>
  </si>
  <si>
    <t>キティヘアバンド</t>
  </si>
  <si>
    <t>緩和0.2</t>
  </si>
  <si>
    <t>48.12.24シリコン2個にした</t>
  </si>
  <si>
    <t>20.8.10</t>
  </si>
  <si>
    <t>サンリオギャルマスコット</t>
  </si>
  <si>
    <t>24.7.11スピード4上部停止0.1緩和時間0.1</t>
  </si>
  <si>
    <t>両替機停止</t>
  </si>
  <si>
    <t>36.8.18AIモンスターぬいぐるみ</t>
  </si>
  <si>
    <t>AIマスコットに変えたい</t>
  </si>
  <si>
    <t>次補充要る！！</t>
  </si>
  <si>
    <t>お菓子イヤホンに変えたい</t>
  </si>
  <si>
    <t>15.6.7.15sp5→4</t>
  </si>
  <si>
    <t>sp4→3石減らした</t>
  </si>
  <si>
    <t>ＡＩマスコット15.6.7.15上部0.1</t>
  </si>
  <si>
    <t>土台も石も減らした</t>
  </si>
  <si>
    <t>ＡＩマスコット</t>
  </si>
  <si>
    <t>12.7.8しなこくま</t>
  </si>
  <si>
    <t>sp4→2</t>
  </si>
  <si>
    <t>20.6.9.20</t>
  </si>
  <si>
    <t>30.7.11スプランキーぬいぐるみ</t>
  </si>
  <si>
    <t>20.8.8.20 つぎいれかえ</t>
  </si>
  <si>
    <t>SPGラバーキーホルダー</t>
  </si>
  <si>
    <t>サンリオでかぱっちん</t>
  </si>
  <si>
    <t>しなこくま</t>
  </si>
  <si>
    <t>14.6.7.14sp2→1</t>
  </si>
  <si>
    <t>24.7.12ジャクコインホルダー　小アーム停止0.1</t>
  </si>
  <si>
    <t>19.6.8.19</t>
  </si>
  <si>
    <t>18.7.7.18sp4→3</t>
  </si>
  <si>
    <t>スプランキー</t>
  </si>
  <si>
    <t>AIモンスターぬいぐるみ</t>
  </si>
  <si>
    <t>18.6.10.18sp4→3</t>
  </si>
  <si>
    <t>30.10.15停止0.1サンリオボアミラー</t>
  </si>
  <si>
    <t>ジャグラーコインホルダー</t>
  </si>
  <si>
    <t>28.8.14</t>
  </si>
  <si>
    <t>ガーナイヤホン20.7.10</t>
  </si>
  <si>
    <t>18.6.7.18</t>
  </si>
  <si>
    <t>18.6.8.18</t>
  </si>
  <si>
    <t>ガーナイヤホン</t>
  </si>
  <si>
    <t>26.7.13停止０</t>
  </si>
  <si>
    <t>20.7.10停止0.1</t>
  </si>
  <si>
    <t>20.7.10サンリオミニリュック</t>
  </si>
  <si>
    <t>AIぬいぐるみ</t>
  </si>
  <si>
    <t>キティーサンダルキーホルダー</t>
  </si>
  <si>
    <t>サンリオミニリュック</t>
  </si>
  <si>
    <t>チェゴシムファン20.6.8.20sp2</t>
  </si>
  <si>
    <t>20.8.9停止なし</t>
  </si>
  <si>
    <t>在庫おわり！</t>
  </si>
  <si>
    <t>21.7.11.18</t>
  </si>
  <si>
    <t>sp3→2</t>
  </si>
  <si>
    <t>チェゴシムファン</t>
  </si>
  <si>
    <t>20.8.9.20上部停止0.1</t>
  </si>
  <si>
    <t>モンチッチマスコット</t>
  </si>
  <si>
    <t>20.6.10停止0.1</t>
  </si>
  <si>
    <t>32.13.14.32</t>
  </si>
  <si>
    <t>20.8.8.20</t>
  </si>
  <si>
    <t>スティッチポーチに変える</t>
  </si>
  <si>
    <t>20.7.10停止0.1スティッチリボンポーチ</t>
  </si>
  <si>
    <t>14.6.7停止0.1サンリオでかぱっちん</t>
  </si>
  <si>
    <t>ジョージファン18.7.7.18</t>
  </si>
  <si>
    <t>要</t>
  </si>
  <si>
    <t>要（茶色だらけ）</t>
  </si>
  <si>
    <t>スティッチポーチ</t>
  </si>
  <si>
    <t>24.8.14ジャグラーサウンドボタンDX</t>
  </si>
  <si>
    <t>12.7.7停止0.1モンチッチマスコット</t>
  </si>
  <si>
    <t>18.7.9 POPいる！</t>
  </si>
  <si>
    <t>ジャグラーサウンドボタンDX</t>
  </si>
  <si>
    <t>10.6.7ラブーマスコット</t>
  </si>
  <si>
    <t>18.7.9停止0.1シリコン3個北斗イヤホン</t>
  </si>
  <si>
    <t>22.8.10モンチッチキーケース</t>
  </si>
  <si>
    <t>13.6.7停止0.1</t>
  </si>
  <si>
    <t>ハロウィン混ぜ</t>
  </si>
  <si>
    <t>モンチッチキーケース</t>
  </si>
  <si>
    <t>18.6.8</t>
  </si>
  <si>
    <t>28.9.12.28sp2 新ＡＩぬいぐるみ</t>
  </si>
  <si>
    <t>北斗イヤホン</t>
  </si>
  <si>
    <t>ラブブキーホルダー</t>
  </si>
  <si>
    <t>ラブブマスコット</t>
  </si>
  <si>
    <t>工場出荷リセット‼️済み</t>
  </si>
  <si>
    <t>コネクター抜けてた</t>
  </si>
  <si>
    <t>20.6.8停止なし</t>
  </si>
  <si>
    <t>トッポイヤホンに変えたい</t>
  </si>
  <si>
    <t>22.8.9.22</t>
  </si>
  <si>
    <t>12.7.8停止0.1キティヒョウ柄マスコット</t>
  </si>
  <si>
    <t>24.8.12停止0.1液晶デジカメ</t>
  </si>
  <si>
    <t>ラブブキーホルダー14.6.7.14sp2</t>
  </si>
  <si>
    <t>34.8.16停止0.1キティヘアバンド</t>
  </si>
  <si>
    <t>キティヒョウ柄マスコット</t>
  </si>
  <si>
    <t>液晶デジカメ</t>
  </si>
  <si>
    <t>LOTTEチョコイヤホン</t>
  </si>
  <si>
    <t>13.6.7.13</t>
  </si>
  <si>
    <t>20.8.10シリコン1にした</t>
  </si>
  <si>
    <r>
      <t>16.7.8</t>
    </r>
    <r>
      <rPr>
        <sz val="6"/>
        <color theme="1"/>
        <rFont val="ＭＳ ゴシック"/>
        <family val="3"/>
        <charset val="128"/>
      </rPr>
      <t>ロッテチョコイヤホン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ＭＳ ゴシック"/>
        <family val="3"/>
        <charset val="128"/>
      </rPr>
      <t>シリコン</t>
    </r>
    <r>
      <rPr>
        <sz val="6"/>
        <color theme="1"/>
        <rFont val="Calibri"/>
        <family val="2"/>
      </rPr>
      <t>3</t>
    </r>
    <phoneticPr fontId="16"/>
  </si>
  <si>
    <t>在庫おわり</t>
    <phoneticPr fontId="16"/>
  </si>
  <si>
    <t>36.10.16停止0.1 ルララ</t>
  </si>
  <si>
    <t>20.8.10シリコン１個つけた</t>
  </si>
  <si>
    <t>24.10.12</t>
  </si>
  <si>
    <t>24.8.12スピード上げた</t>
  </si>
  <si>
    <t>22.6.11アグリーキーホルダー</t>
  </si>
  <si>
    <t>44.12.16シリコン2個　箱のまま投入</t>
  </si>
  <si>
    <t>22.8.11スピード上げた</t>
  </si>
  <si>
    <t>10.6.7ラブブマスコット</t>
  </si>
  <si>
    <t>両替機5万追加</t>
  </si>
  <si>
    <t>ルララ</t>
  </si>
  <si>
    <t>ラブブマスコット11.6.7.11sp2</t>
  </si>
  <si>
    <t>20.8.10キティフェイスマスコット</t>
  </si>
  <si>
    <t>22.9.11スピード落とした</t>
  </si>
  <si>
    <t>24.8.11.24</t>
  </si>
  <si>
    <t>22.9.10</t>
  </si>
  <si>
    <t>26.10.13停止0.1</t>
  </si>
  <si>
    <t>20.9.10</t>
  </si>
  <si>
    <t>16.7.8サンリオメタルミニポーチ</t>
  </si>
  <si>
    <t>ラブブキーホルダー24.9.12</t>
  </si>
  <si>
    <t>サンリオメタルミニポーチ</t>
  </si>
  <si>
    <t>ラブブキーホルダーおおきめ</t>
  </si>
  <si>
    <t>24.9.11.24</t>
  </si>
  <si>
    <t>アングリーキーホルダー</t>
  </si>
  <si>
    <t>らぶぶマスコット大15.7.7</t>
  </si>
  <si>
    <t>サンリオマスコットポーチ</t>
  </si>
  <si>
    <t>サンリオボアミラーポーチ</t>
  </si>
  <si>
    <t>ラブブマスコット大きめ</t>
  </si>
  <si>
    <t>キティシリコンがま口21.9.11</t>
  </si>
  <si>
    <t>キティシリコンがま口</t>
  </si>
  <si>
    <t>ジャグラーサウンドボタン19.6.9シリコン1</t>
  </si>
  <si>
    <t>18.8.9停止0.1</t>
  </si>
  <si>
    <t>上部停止0</t>
  </si>
  <si>
    <t>16.7.8ちいかわシリコンポーチ</t>
  </si>
  <si>
    <t>サンリオアニマルがま口</t>
  </si>
  <si>
    <t>22.10.11停止0.1</t>
  </si>
  <si>
    <t>18.8.9</t>
  </si>
  <si>
    <t>ちいかわシリコンポーチ</t>
  </si>
  <si>
    <t>サンリオアニマルがま口24.8.12</t>
  </si>
  <si>
    <t>ヒョウ柄キティ混ぜー22.7.11</t>
  </si>
  <si>
    <t>sp6→3</t>
  </si>
  <si>
    <t>24.8.11</t>
  </si>
  <si>
    <t>30.9.12.30</t>
  </si>
  <si>
    <t>スンスン混ぜ</t>
  </si>
  <si>
    <t>モンチッチマスコット2</t>
  </si>
  <si>
    <t>44.11.15.44</t>
  </si>
  <si>
    <t>12.6.8モンチッチマスコット2</t>
  </si>
  <si>
    <t>38.9.11.38</t>
  </si>
  <si>
    <t>サンリオキルティング混ぜ</t>
  </si>
  <si>
    <t>クリスマス混ぜ</t>
  </si>
  <si>
    <t>24.10.11.24</t>
  </si>
  <si>
    <t>24.10.12サンリオヒョウ柄キーケース</t>
  </si>
  <si>
    <t>24.9.12押忍番サウンドボタン</t>
  </si>
  <si>
    <t>ベアモ35.11.13</t>
  </si>
  <si>
    <t>サンリオヒョウ柄キーケース</t>
  </si>
  <si>
    <t>22.8.11ジャグラーイヤホン</t>
  </si>
  <si>
    <t>13.8.9スヌーピーマスコット</t>
  </si>
  <si>
    <t>きゅるる42.12.13.42</t>
  </si>
  <si>
    <t>12.8.8ホワイト混ぜた</t>
  </si>
  <si>
    <t>sp5→4上部停止0.1</t>
  </si>
  <si>
    <t>24.10.11シリコン３個</t>
  </si>
  <si>
    <t>11.7.7停止なし</t>
  </si>
  <si>
    <t>スヌーピーマスコット</t>
  </si>
  <si>
    <t>ルララ混ぜ</t>
  </si>
  <si>
    <t>20.8.10ゲームアーク</t>
  </si>
  <si>
    <t>サンリオホワイトマスコット</t>
  </si>
  <si>
    <t>ゲームアーク</t>
  </si>
  <si>
    <t>上部停止なしにした</t>
  </si>
  <si>
    <t>押忍番長ボタン</t>
  </si>
  <si>
    <t>キティ豹柄リボンポーチ16.6.9</t>
  </si>
  <si>
    <t>シリコン３個22.7.10</t>
  </si>
  <si>
    <t>補充いる！</t>
  </si>
  <si>
    <t>サンリオマルチケース19.8.10</t>
  </si>
  <si>
    <t>ルララ回収されてた</t>
  </si>
  <si>
    <t>キティヒョウ柄ポーチ</t>
  </si>
  <si>
    <t>サンリオ型押しケース</t>
  </si>
  <si>
    <t>サンリオメタルリボンポーチ16.6.8</t>
  </si>
  <si>
    <t>次補充！！</t>
  </si>
  <si>
    <t>15.7.8</t>
  </si>
  <si>
    <t>在庫全投入済み</t>
  </si>
  <si>
    <t>22.8.10スピード上げた</t>
  </si>
  <si>
    <t>16.7.8キティ ヒョウ柄ミニポーチ</t>
  </si>
  <si>
    <t>14.7.7サンリオホワイトマスコット</t>
  </si>
  <si>
    <t>電ブル20.8.10</t>
  </si>
  <si>
    <t>電ブル</t>
  </si>
  <si>
    <t>サンリオリボンポーチ</t>
  </si>
  <si>
    <t>アクリルクリアに変える</t>
  </si>
  <si>
    <t>豹柄フェイスポーチ20.9.9</t>
  </si>
  <si>
    <t>19.8.9</t>
  </si>
  <si>
    <t>サミュエル混ぜ</t>
  </si>
  <si>
    <t>22.9.11⏸️0</t>
  </si>
  <si>
    <t>サンリオヒョウ柄フェイス</t>
  </si>
  <si>
    <t>ふわにん</t>
  </si>
  <si>
    <t>サンリオマスコット</t>
  </si>
  <si>
    <t>ルララ、サミュエル</t>
  </si>
  <si>
    <t>キティフェイスポーチ18.8.9</t>
  </si>
  <si>
    <t>サミュエル剥いて混ぜた</t>
  </si>
  <si>
    <t>サンタ引いてヒョウ柄にした</t>
  </si>
  <si>
    <t>ジャグラーサウンドボタン18.7.7</t>
  </si>
  <si>
    <t>22.7.11</t>
  </si>
  <si>
    <t>シリコン2個18.7.9</t>
  </si>
  <si>
    <t>18.7.9</t>
  </si>
  <si>
    <t>ジャグラーボタン</t>
  </si>
  <si>
    <t>キティボアバンスクリップ</t>
  </si>
  <si>
    <t>サミュエル追加42.11.13.42</t>
  </si>
  <si>
    <t>キティボアバンスクリップ22.8.11</t>
  </si>
  <si>
    <t>14.7.8</t>
  </si>
  <si>
    <t>13.6.7クレしんマスコット</t>
  </si>
  <si>
    <t>30.10.15</t>
  </si>
  <si>
    <t>クレしんマスコット</t>
  </si>
  <si>
    <t>24.10.12ゲーム機柄イヤホン</t>
  </si>
  <si>
    <t>ボンボンドロップシール42.10.12.42</t>
  </si>
  <si>
    <t>41.10.10.41</t>
  </si>
  <si>
    <t>スピード上げた</t>
  </si>
  <si>
    <t>ゲーム機イヤホン</t>
  </si>
  <si>
    <t>13.7.8</t>
  </si>
  <si>
    <t>sp5→6</t>
  </si>
  <si>
    <t>41.9.10.41</t>
  </si>
  <si>
    <t>41.9.9.41</t>
  </si>
  <si>
    <t>20.8.9サミュエル</t>
  </si>
  <si>
    <t>サミュエル</t>
  </si>
  <si>
    <t>18.8.9  次石がいる！！！</t>
  </si>
  <si>
    <t>北斗サウンドボタン21.7.10シリコン1</t>
  </si>
  <si>
    <t>40.9.9</t>
  </si>
  <si>
    <t>22.7.11シリコン3.個にした　次アーム変える</t>
  </si>
  <si>
    <t>北斗の拳ボタン</t>
  </si>
  <si>
    <t>次入れ替え！</t>
  </si>
  <si>
    <t>39.8.9.39</t>
  </si>
  <si>
    <t>14.7.8モンチッチへフェイスポーチ</t>
  </si>
  <si>
    <t>次補充！！！</t>
  </si>
  <si>
    <t>モンチッチフェイスポーチ</t>
  </si>
  <si>
    <t>アシスト200</t>
  </si>
  <si>
    <t>39.8.8.39</t>
  </si>
  <si>
    <t>18.6.7ギャルキティマスコット</t>
  </si>
  <si>
    <t>アクリル坂で底上げした</t>
  </si>
  <si>
    <t>13.7.7スピード落とした</t>
  </si>
  <si>
    <t>24.7.11.24アシスト55</t>
  </si>
  <si>
    <t>石を減らした</t>
  </si>
  <si>
    <t>プレイ回数2回になってた</t>
  </si>
  <si>
    <t>立体シール14.6.7sp3.3.4</t>
  </si>
  <si>
    <t>ボンボンドロップ</t>
  </si>
  <si>
    <t>31.8.8.31</t>
  </si>
  <si>
    <t>13.5.7 Sp4.4.5</t>
  </si>
  <si>
    <t>フワニーサミュエルうさぎ</t>
  </si>
  <si>
    <t>32.8.8.32 ボンボンシール</t>
  </si>
  <si>
    <t>ギャルキティマスコットポーチ</t>
  </si>
  <si>
    <t>-</t>
  </si>
  <si>
    <t>16.7.8</t>
  </si>
  <si>
    <t>降下30→24にしたスピード3にした12.5.7</t>
  </si>
  <si>
    <t>石増やした</t>
  </si>
  <si>
    <t>24.18.12シリコン3 ゴールドモバ充</t>
  </si>
  <si>
    <t>アシスト100</t>
  </si>
  <si>
    <t>30.8.9スピード4 アシスト150</t>
  </si>
  <si>
    <t>ゴールドモバイルバッテリー</t>
  </si>
  <si>
    <t>ギャルキティフェイス17.6.9.17</t>
  </si>
  <si>
    <t>キティギャルポーチ</t>
  </si>
  <si>
    <t>唐津BUZZツインズ</t>
  </si>
  <si>
    <t>20.9.10ヤヤマスコット</t>
  </si>
  <si>
    <t>メーター不良</t>
  </si>
  <si>
    <t>ヤヤマスコット</t>
  </si>
  <si>
    <t>キティししっぽ付きポーチ</t>
  </si>
  <si>
    <t>シール</t>
  </si>
  <si>
    <t>サンリオアニマル</t>
  </si>
  <si>
    <t>メーター不良13.8.7アーム変えたスピード下げた</t>
  </si>
  <si>
    <t>北斗ボタン混ぜた</t>
  </si>
  <si>
    <t>スピード上げた4.4.4</t>
  </si>
  <si>
    <t>次補充！</t>
  </si>
  <si>
    <t>たまごっちマスコット16.8.8</t>
  </si>
  <si>
    <t>たまごっちマスコット</t>
  </si>
  <si>
    <t>30.11.16.30</t>
  </si>
  <si>
    <t>アシスト100→70</t>
  </si>
  <si>
    <t>11.5.7.11sp3→2</t>
  </si>
  <si>
    <t>トライデッキ</t>
  </si>
  <si>
    <t>ボンボンドロップシール</t>
  </si>
  <si>
    <t>メーター不良！！</t>
  </si>
  <si>
    <t>プチドロップシールシール</t>
  </si>
  <si>
    <t>22.12.14キティダブルミラー</t>
  </si>
  <si>
    <t>次補充！！</t>
    <phoneticPr fontId="16"/>
  </si>
  <si>
    <t>22.10.14.22</t>
  </si>
  <si>
    <t>キティダブルミラー</t>
  </si>
  <si>
    <t>次ボアポーチに変える！！</t>
  </si>
  <si>
    <t>うさぎサミュエル混ぜた</t>
  </si>
  <si>
    <t>次入れ替え！24.10.11スピード上げた</t>
  </si>
  <si>
    <t>22.10.11シールバインダ</t>
  </si>
  <si>
    <t>シール帳</t>
  </si>
  <si>
    <t>ウォーターシール</t>
  </si>
  <si>
    <t>32.14.16ボアポーチ各種</t>
  </si>
  <si>
    <t>サンリオデニムポーチ16.8.8</t>
  </si>
  <si>
    <t>ヤヤマスコット24.11.12</t>
  </si>
  <si>
    <t>たまごっちミニクリップ14.6.7 次小アームに変える！！</t>
  </si>
  <si>
    <t>たまごっちミニクリップ</t>
  </si>
  <si>
    <t>22.10.10</t>
  </si>
  <si>
    <t>24.8.12スピード落とした</t>
  </si>
  <si>
    <t>13.7.7</t>
  </si>
  <si>
    <t>サンリオデニムポーチ</t>
  </si>
  <si>
    <t>ノンキャラシール</t>
  </si>
  <si>
    <t>新キャラ混ぜ</t>
  </si>
  <si>
    <t>22.12.14 Sp3.3.3→2.2.2</t>
  </si>
  <si>
    <t>12.5.6 小アームに変えた</t>
  </si>
  <si>
    <t>14.8.7</t>
  </si>
  <si>
    <t>13.5.6</t>
  </si>
  <si>
    <t>18.8.9スピード落とした</t>
  </si>
  <si>
    <t>38.13.19</t>
  </si>
  <si>
    <t>液晶ミニカメラ18.9.9シリコン3 Sp4.4.4</t>
  </si>
  <si>
    <t>40.12.20サンリオボアポーチ</t>
  </si>
  <si>
    <t>サミュエルうさぎ</t>
  </si>
  <si>
    <t>24.10.12バタースクイーズ</t>
  </si>
  <si>
    <t>プチドロップシール</t>
  </si>
  <si>
    <t>ボンドロ オリジナル</t>
  </si>
  <si>
    <t>ブレスレット　12.5.6 Sp1.1.2</t>
  </si>
  <si>
    <t>ブレスレット</t>
  </si>
  <si>
    <t>16.6.8</t>
  </si>
  <si>
    <t>20.8.10スピード上げた</t>
  </si>
  <si>
    <t>液晶ミニカメラ</t>
  </si>
  <si>
    <t>3/20/金</t>
  </si>
  <si>
    <t>うるちゅるサンリオ</t>
  </si>
  <si>
    <t>たまごっちシール16.7.8.16</t>
  </si>
  <si>
    <t>22.7.8シリコン3個忍者グミ</t>
  </si>
  <si>
    <t>バタースクイーズ</t>
  </si>
  <si>
    <t>16.6.7停止なしスピード上げた</t>
  </si>
  <si>
    <t>プライズメーター不良</t>
  </si>
  <si>
    <t>忍者グミ</t>
  </si>
  <si>
    <t>18.8.9停止なし</t>
  </si>
  <si>
    <t>46.14.22停止なしミニプリンター</t>
  </si>
  <si>
    <t>真ん中のバー硬すぎ</t>
  </si>
  <si>
    <t>周年祭</t>
  </si>
  <si>
    <t>22.9.11シリコン2個停止なし</t>
  </si>
  <si>
    <t>石減らした</t>
  </si>
  <si>
    <t>46.12.10停止0.1シールド下げた</t>
  </si>
  <si>
    <t>ボンドロノンキャラ</t>
  </si>
  <si>
    <t>ボンドロサンリオ</t>
  </si>
  <si>
    <t>スンスン混ぜた</t>
  </si>
  <si>
    <t>22.8.10</t>
  </si>
  <si>
    <t>20.7.8スピード落とした</t>
  </si>
  <si>
    <t>24.10.12停止なしスピード上げた</t>
  </si>
  <si>
    <t>プチドロディズニー</t>
  </si>
  <si>
    <t>ボンドロちいかわ</t>
  </si>
  <si>
    <t>ボンドロたまごっち</t>
  </si>
  <si>
    <t>46.1418停止なし</t>
  </si>
  <si>
    <t>ボンボンドロップシール</t>
    <phoneticPr fontId="16"/>
  </si>
  <si>
    <t>アシスト70</t>
    <phoneticPr fontId="16"/>
  </si>
  <si>
    <t>サンリオマスコットポーチ</t>
    <phoneticPr fontId="16"/>
  </si>
  <si>
    <t>サンリオボアポーチ</t>
    <phoneticPr fontId="16"/>
  </si>
  <si>
    <t>ミニプリンター</t>
    <phoneticPr fontId="16"/>
  </si>
  <si>
    <t>サンリオアニマルポーチ</t>
    <phoneticPr fontId="16"/>
  </si>
  <si>
    <t>22.11.8上昇</t>
  </si>
  <si>
    <t>底上げの花のやつ足した</t>
  </si>
  <si>
    <t>46.12.14</t>
  </si>
  <si>
    <t>12.7.7モンチチフルーツ、シールド少し下げた</t>
  </si>
  <si>
    <t>20.9.10サンリオ筒状トリートメント</t>
  </si>
  <si>
    <t>ゲーム柄イヤホンに変える？</t>
  </si>
  <si>
    <t>プチドロ混ぜた</t>
  </si>
  <si>
    <t>うるちゅる混ぜた</t>
  </si>
  <si>
    <t>モンチチフルーツマスコット</t>
  </si>
  <si>
    <t>ミニミニスクイーズに変える！</t>
  </si>
  <si>
    <t>サンリオヘアオイル</t>
  </si>
  <si>
    <t>シリコン1にした袋なし</t>
  </si>
  <si>
    <t>18.8.9サンリオデニムポーチ</t>
  </si>
  <si>
    <t>24.9.10シリコン3個フルーツスクイズ</t>
  </si>
  <si>
    <t>ボンドロディズニー</t>
  </si>
  <si>
    <t>22.10.11ゲーム機イヤホン　POPいる！</t>
  </si>
  <si>
    <t>次ミニミニシール帳混ぜる</t>
  </si>
  <si>
    <t>フルーツスクイズ</t>
  </si>
  <si>
    <t>一旦ルララサーカス</t>
  </si>
  <si>
    <t>14.6.7ミニミニスクイーズ山積み小アーム</t>
  </si>
  <si>
    <t>カラビナファンに変える！</t>
  </si>
  <si>
    <t>着物キティに変える！</t>
  </si>
  <si>
    <t>どーする</t>
  </si>
  <si>
    <t>たまごっちブロックシール</t>
  </si>
  <si>
    <t>ふわもちスクイーズ</t>
  </si>
  <si>
    <t>20.9.10シリコン2個スピード落とした</t>
  </si>
  <si>
    <t>サミュエルに戻した</t>
  </si>
  <si>
    <t>22.9.8停止0.1シリコン3個</t>
  </si>
  <si>
    <t>13.10.8着物キティ</t>
  </si>
  <si>
    <t>緩和0.1→0.2盛り盛り山積み</t>
  </si>
  <si>
    <t>キティキラキラマルチケース18.8.10.18</t>
  </si>
  <si>
    <t>次入れ替え！ヘアバンド！</t>
  </si>
  <si>
    <t>着物キティ</t>
  </si>
  <si>
    <t>サンリオハンディファン</t>
  </si>
  <si>
    <t>キティキラキラマルチケース</t>
  </si>
  <si>
    <t>左上</t>
  </si>
  <si>
    <t>左下</t>
  </si>
  <si>
    <t>右上</t>
  </si>
  <si>
    <t>右下</t>
  </si>
  <si>
    <t>ミニプリンター</t>
  </si>
  <si>
    <t>サンリオアニマルポーチ</t>
  </si>
  <si>
    <t>入れ替え！！</t>
  </si>
  <si>
    <t>シールド少し下げた</t>
  </si>
  <si>
    <t>石減らした18.10.9スピード落とした</t>
  </si>
  <si>
    <t>48.24.16シールド下げたスピード上げた</t>
  </si>
  <si>
    <t>20.8.10スピード下げた</t>
  </si>
  <si>
    <t>22.10.8山積みにしたシリコン3個</t>
  </si>
  <si>
    <t>26.12.10スピード落とした</t>
  </si>
  <si>
    <t>14.7.8シリコン3個ベアブリック</t>
  </si>
  <si>
    <t>石と坂で底上げした</t>
  </si>
  <si>
    <t>極ふわ混ぜた</t>
  </si>
  <si>
    <t>ベアブリック</t>
  </si>
  <si>
    <t>見本1体飾った！</t>
  </si>
  <si>
    <t>ストック両替機下</t>
  </si>
  <si>
    <t>うるちゅる</t>
  </si>
  <si>
    <t>48.16.18箱入りバターシリコン3個</t>
  </si>
  <si>
    <t>サミュエル顔入れたい</t>
  </si>
  <si>
    <t>18.7.8スピード上げた　ゴミ詰められて停止だた</t>
  </si>
  <si>
    <t>箱入りバター</t>
  </si>
  <si>
    <t>20.9.10サミュエル顔</t>
  </si>
  <si>
    <t>ボンドロ</t>
  </si>
  <si>
    <t>22.10.11</t>
  </si>
  <si>
    <t>サミュエル顔</t>
  </si>
  <si>
    <t xml:space="preserve">16.7.8 </t>
  </si>
  <si>
    <t>土曜日から停止だた</t>
  </si>
  <si>
    <t>20.8.10シリコン3個ジャグラーボタン</t>
  </si>
  <si>
    <t>ラブブキーホルダー混ぜた</t>
  </si>
  <si>
    <t>24.10.12シリコン3個テープ止め極とろスクイズ</t>
  </si>
  <si>
    <t>メイトさんにトイストーリー人気</t>
  </si>
  <si>
    <t>ストックなくなった</t>
  </si>
  <si>
    <t>48.16.17.48</t>
  </si>
  <si>
    <t>極とろスクイーズ</t>
  </si>
  <si>
    <t>26.10.10.26</t>
  </si>
  <si>
    <t>フルーツスクイーズ22.7.7.22シリコン2</t>
  </si>
  <si>
    <t>フルーツスクイーズ</t>
  </si>
  <si>
    <t>16.7.7</t>
  </si>
  <si>
    <t>24.8.10</t>
  </si>
  <si>
    <t>24.9.10たまごスクイーズシリコン1</t>
  </si>
  <si>
    <t>24.10.12シリコン1</t>
  </si>
  <si>
    <t>アルファベット</t>
  </si>
  <si>
    <t>ディズニー</t>
  </si>
  <si>
    <t>たまごっち</t>
  </si>
  <si>
    <t>たまごっちカスタムキーリングに変える</t>
  </si>
  <si>
    <t>24.8.9石減らした</t>
  </si>
  <si>
    <t>20.7.7シリコン2個</t>
  </si>
  <si>
    <t>16.8.8たまごっちカスタムキーリング</t>
  </si>
  <si>
    <t>たまごっちカスタムキーリング</t>
  </si>
  <si>
    <t>キャリブレーション</t>
  </si>
  <si>
    <t>スヌーピー</t>
  </si>
  <si>
    <t>実数‼️sp7→4</t>
  </si>
  <si>
    <t>実数</t>
  </si>
  <si>
    <t>モンチッチフェイスポーチに変える</t>
  </si>
  <si>
    <t>スンスンがま口に変える</t>
  </si>
  <si>
    <t>21.7.8シリコン3個ジャグラーDX</t>
  </si>
  <si>
    <t>18.8.9スンスンがま口</t>
  </si>
  <si>
    <t>16.7.7モンチチがま口</t>
  </si>
  <si>
    <t>20.10.10山積みにした</t>
  </si>
  <si>
    <t>上下エラーで停止だた</t>
  </si>
  <si>
    <t>ホワイト混ぜた</t>
  </si>
  <si>
    <t>モンチッチがま口</t>
  </si>
  <si>
    <t>スンスンがま口</t>
  </si>
  <si>
    <t>　</t>
  </si>
  <si>
    <t>14.7.7停止なしモンチチフェイスポーチ　🟢石足りない</t>
  </si>
  <si>
    <t>セリア土台で底上げした</t>
  </si>
  <si>
    <t>12.7.7たまごっちポシェット</t>
  </si>
  <si>
    <t>次補充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</si>
</sst>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4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6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6"/>
      <color theme="1"/>
      <name val="ＭＳ ゴシック"/>
      <family val="3"/>
      <charset val="128"/>
    </font>
    <font>
      <sz val="6"/>
      <color theme="1"/>
      <name val="MS PGothic"/>
      <family val="3"/>
      <charset val="128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MS PGothic"/>
      <family val="3"/>
      <charset val="128"/>
    </font>
    <font>
      <sz val="5"/>
      <color theme="1"/>
      <name val="Calibri"/>
      <family val="2"/>
    </font>
    <font>
      <sz val="11"/>
      <color theme="1"/>
      <name val="MS PGothic"/>
      <family val="3"/>
      <charset val="128"/>
    </font>
    <font>
      <b/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sz val="12"/>
      <color theme="1"/>
      <name val="Calibri"/>
      <family val="2"/>
    </font>
    <font>
      <sz val="12"/>
      <color theme="1"/>
      <name val="Segoe UI Symbol"/>
      <family val="2"/>
    </font>
    <font>
      <sz val="12"/>
      <color theme="1"/>
      <name val="ＭＳ ゴシック"/>
      <family val="3"/>
      <charset val="128"/>
    </font>
    <font>
      <sz val="6"/>
      <color theme="1"/>
      <name val="ＭＳ Ｐゴシック"/>
      <family val="2"/>
      <charset val="128"/>
    </font>
    <font>
      <sz val="7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3"/>
      <charset val="128"/>
    </font>
    <font>
      <sz val="11"/>
      <name val="Aptos Narrow"/>
      <family val="2"/>
    </font>
    <font>
      <sz val="7"/>
      <color theme="1"/>
      <name val="ＭＳ Ｐ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MS PGothic"/>
      <family val="3"/>
      <charset val="128"/>
    </font>
    <font>
      <b/>
      <sz val="11"/>
      <color rgb="FFFF0000"/>
      <name val="Calibri"/>
      <family val="2"/>
    </font>
    <font>
      <sz val="6"/>
      <color theme="1"/>
      <name val="Calibri"/>
      <family val="3"/>
    </font>
    <font>
      <sz val="8"/>
      <color rgb="FFFF0000"/>
      <name val="Calibri"/>
      <family val="2"/>
    </font>
    <font>
      <sz val="14"/>
      <color theme="1"/>
      <name val="Calibri"/>
      <family val="2"/>
    </font>
    <font>
      <sz val="10"/>
      <color theme="1"/>
      <name val="ＭＳ ゴシック"/>
      <family val="3"/>
      <charset val="128"/>
    </font>
    <font>
      <sz val="11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ＭＳ ゴシック"/>
      <family val="3"/>
      <charset val="128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double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505050"/>
      </bottom>
      <diagonal/>
    </border>
    <border>
      <left/>
      <right style="thin">
        <color rgb="FF000000"/>
      </right>
      <top style="thin">
        <color rgb="FF000000"/>
      </top>
      <bottom style="double">
        <color rgb="FF505050"/>
      </bottom>
      <diagonal/>
    </border>
    <border>
      <left/>
      <right/>
      <top/>
      <bottom style="double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5">
    <xf numFmtId="0" fontId="0" fillId="0" borderId="0"/>
    <xf numFmtId="38" fontId="2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6" fontId="3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</cellStyleXfs>
  <cellXfs count="295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38" fontId="1" fillId="0" borderId="3" xfId="0" applyNumberFormat="1" applyFont="1" applyBorder="1" applyAlignment="1">
      <alignment horizontal="center" vertical="center"/>
    </xf>
    <xf numFmtId="38" fontId="5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vertical="center"/>
    </xf>
    <xf numFmtId="38" fontId="4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vertical="center"/>
    </xf>
    <xf numFmtId="38" fontId="3" fillId="0" borderId="3" xfId="0" applyNumberFormat="1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horizontal="right" vertical="center"/>
    </xf>
    <xf numFmtId="38" fontId="3" fillId="0" borderId="0" xfId="0" applyNumberFormat="1" applyFont="1" applyAlignment="1">
      <alignment vertical="center"/>
    </xf>
    <xf numFmtId="177" fontId="1" fillId="0" borderId="6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5" fillId="0" borderId="3" xfId="0" applyNumberFormat="1" applyFont="1" applyBorder="1" applyAlignment="1">
      <alignment vertical="center"/>
    </xf>
    <xf numFmtId="38" fontId="7" fillId="0" borderId="3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177" fontId="1" fillId="0" borderId="11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9" fontId="1" fillId="0" borderId="11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38" fontId="5" fillId="0" borderId="11" xfId="0" applyNumberFormat="1" applyFont="1" applyBorder="1" applyAlignment="1">
      <alignment vertical="center"/>
    </xf>
    <xf numFmtId="38" fontId="1" fillId="0" borderId="13" xfId="0" applyNumberFormat="1" applyFont="1" applyBorder="1" applyAlignment="1">
      <alignment vertical="center"/>
    </xf>
    <xf numFmtId="9" fontId="1" fillId="0" borderId="13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horizontal="center" vertical="center"/>
    </xf>
    <xf numFmtId="38" fontId="9" fillId="0" borderId="3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177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38" fontId="11" fillId="0" borderId="3" xfId="0" applyNumberFormat="1" applyFont="1" applyBorder="1" applyAlignment="1">
      <alignment vertical="center"/>
    </xf>
    <xf numFmtId="177" fontId="1" fillId="0" borderId="3" xfId="0" applyNumberFormat="1" applyFont="1" applyBorder="1" applyAlignment="1">
      <alignment horizontal="right" vertical="center"/>
    </xf>
    <xf numFmtId="38" fontId="1" fillId="0" borderId="22" xfId="0" applyNumberFormat="1" applyFont="1" applyBorder="1" applyAlignment="1">
      <alignment vertical="center"/>
    </xf>
    <xf numFmtId="176" fontId="1" fillId="0" borderId="11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horizontal="right" vertical="center"/>
    </xf>
    <xf numFmtId="176" fontId="1" fillId="0" borderId="5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horizontal="right" vertical="center"/>
    </xf>
    <xf numFmtId="38" fontId="13" fillId="0" borderId="3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8" fontId="5" fillId="0" borderId="7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vertical="center"/>
    </xf>
    <xf numFmtId="38" fontId="1" fillId="0" borderId="18" xfId="0" applyNumberFormat="1" applyFont="1" applyBorder="1" applyAlignment="1">
      <alignment vertical="center"/>
    </xf>
    <xf numFmtId="38" fontId="17" fillId="0" borderId="3" xfId="0" applyNumberFormat="1" applyFont="1" applyBorder="1" applyAlignment="1">
      <alignment horizontal="center" vertical="center"/>
    </xf>
    <xf numFmtId="38" fontId="17" fillId="0" borderId="3" xfId="0" applyNumberFormat="1" applyFont="1" applyBorder="1" applyAlignment="1">
      <alignment vertical="center"/>
    </xf>
    <xf numFmtId="38" fontId="17" fillId="0" borderId="11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76" fontId="1" fillId="0" borderId="17" xfId="0" applyNumberFormat="1" applyFont="1" applyBorder="1" applyAlignment="1">
      <alignment horizontal="center" vertical="center"/>
    </xf>
    <xf numFmtId="38" fontId="3" fillId="5" borderId="3" xfId="0" applyNumberFormat="1" applyFont="1" applyFill="1" applyBorder="1" applyAlignment="1">
      <alignment vertical="center"/>
    </xf>
    <xf numFmtId="38" fontId="1" fillId="0" borderId="25" xfId="0" applyNumberFormat="1" applyFont="1" applyBorder="1" applyAlignment="1">
      <alignment vertical="center"/>
    </xf>
    <xf numFmtId="38" fontId="1" fillId="0" borderId="19" xfId="0" applyNumberFormat="1" applyFont="1" applyBorder="1" applyAlignment="1">
      <alignment vertical="center"/>
    </xf>
    <xf numFmtId="38" fontId="1" fillId="0" borderId="21" xfId="0" applyNumberFormat="1" applyFont="1" applyBorder="1" applyAlignment="1">
      <alignment vertical="center"/>
    </xf>
    <xf numFmtId="38" fontId="1" fillId="0" borderId="26" xfId="0" applyNumberFormat="1" applyFont="1" applyBorder="1" applyAlignment="1">
      <alignment vertical="center"/>
    </xf>
    <xf numFmtId="177" fontId="20" fillId="6" borderId="2" xfId="0" applyNumberFormat="1" applyFont="1" applyFill="1" applyBorder="1" applyAlignment="1">
      <alignment vertical="center"/>
    </xf>
    <xf numFmtId="38" fontId="20" fillId="6" borderId="2" xfId="0" applyNumberFormat="1" applyFont="1" applyFill="1" applyBorder="1" applyAlignment="1">
      <alignment vertical="center"/>
    </xf>
    <xf numFmtId="38" fontId="23" fillId="0" borderId="3" xfId="0" applyNumberFormat="1" applyFont="1" applyBorder="1" applyAlignment="1">
      <alignment vertical="center"/>
    </xf>
    <xf numFmtId="38" fontId="17" fillId="0" borderId="7" xfId="0" applyNumberFormat="1" applyFont="1" applyBorder="1" applyAlignment="1">
      <alignment horizontal="center" vertical="center"/>
    </xf>
    <xf numFmtId="38" fontId="1" fillId="0" borderId="1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76" fontId="1" fillId="0" borderId="17" xfId="0" applyNumberFormat="1" applyFont="1" applyBorder="1" applyAlignment="1">
      <alignment vertical="center"/>
    </xf>
    <xf numFmtId="38" fontId="17" fillId="0" borderId="17" xfId="0" applyNumberFormat="1" applyFont="1" applyBorder="1" applyAlignment="1">
      <alignment vertical="center"/>
    </xf>
    <xf numFmtId="38" fontId="1" fillId="0" borderId="20" xfId="0" applyNumberFormat="1" applyFont="1" applyBorder="1" applyAlignment="1">
      <alignment vertical="center"/>
    </xf>
    <xf numFmtId="9" fontId="1" fillId="0" borderId="17" xfId="0" applyNumberFormat="1" applyFont="1" applyBorder="1" applyAlignment="1">
      <alignment vertical="center"/>
    </xf>
    <xf numFmtId="38" fontId="5" fillId="0" borderId="17" xfId="0" applyNumberFormat="1" applyFont="1" applyBorder="1" applyAlignment="1">
      <alignment vertical="center"/>
    </xf>
    <xf numFmtId="177" fontId="1" fillId="0" borderId="17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horizontal="right" vertical="center"/>
    </xf>
    <xf numFmtId="176" fontId="1" fillId="0" borderId="18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78" fontId="1" fillId="0" borderId="17" xfId="0" applyNumberFormat="1" applyFont="1" applyBorder="1" applyAlignment="1">
      <alignment vertical="center"/>
    </xf>
    <xf numFmtId="38" fontId="3" fillId="0" borderId="17" xfId="0" applyNumberFormat="1" applyFont="1" applyBorder="1" applyAlignment="1">
      <alignment vertical="center"/>
    </xf>
    <xf numFmtId="177" fontId="1" fillId="0" borderId="7" xfId="0" applyNumberFormat="1" applyFont="1" applyBorder="1" applyAlignment="1">
      <alignment vertical="center"/>
    </xf>
    <xf numFmtId="177" fontId="1" fillId="0" borderId="9" xfId="0" applyNumberFormat="1" applyFont="1" applyBorder="1" applyAlignment="1">
      <alignment vertical="center"/>
    </xf>
    <xf numFmtId="38" fontId="1" fillId="5" borderId="3" xfId="0" applyNumberFormat="1" applyFont="1" applyFill="1" applyBorder="1" applyAlignment="1">
      <alignment vertical="center"/>
    </xf>
    <xf numFmtId="38" fontId="1" fillId="5" borderId="11" xfId="0" applyNumberFormat="1" applyFont="1" applyFill="1" applyBorder="1" applyAlignment="1">
      <alignment vertical="center"/>
    </xf>
    <xf numFmtId="38" fontId="1" fillId="4" borderId="3" xfId="0" applyNumberFormat="1" applyFont="1" applyFill="1" applyBorder="1" applyAlignment="1">
      <alignment vertical="center"/>
    </xf>
    <xf numFmtId="38" fontId="1" fillId="4" borderId="11" xfId="0" applyNumberFormat="1" applyFont="1" applyFill="1" applyBorder="1" applyAlignment="1">
      <alignment vertical="center"/>
    </xf>
    <xf numFmtId="38" fontId="26" fillId="0" borderId="3" xfId="0" applyNumberFormat="1" applyFont="1" applyBorder="1" applyAlignment="1">
      <alignment vertical="center"/>
    </xf>
    <xf numFmtId="38" fontId="3" fillId="4" borderId="3" xfId="0" applyNumberFormat="1" applyFont="1" applyFill="1" applyBorder="1" applyAlignment="1">
      <alignment vertical="center"/>
    </xf>
    <xf numFmtId="38" fontId="1" fillId="5" borderId="25" xfId="0" applyNumberFormat="1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38" fontId="1" fillId="0" borderId="9" xfId="1" applyFont="1" applyBorder="1" applyAlignment="1">
      <alignment horizontal="center" vertical="center"/>
    </xf>
    <xf numFmtId="38" fontId="1" fillId="0" borderId="18" xfId="3" applyNumberFormat="1" applyFont="1" applyBorder="1" applyAlignment="1">
      <alignment horizontal="center" vertical="center"/>
    </xf>
    <xf numFmtId="38" fontId="1" fillId="0" borderId="16" xfId="1" applyFont="1" applyBorder="1" applyAlignment="1">
      <alignment horizontal="center" vertical="center"/>
    </xf>
    <xf numFmtId="38" fontId="1" fillId="0" borderId="16" xfId="3" applyNumberFormat="1" applyFont="1" applyBorder="1" applyAlignment="1">
      <alignment horizontal="center" vertical="center"/>
    </xf>
    <xf numFmtId="38" fontId="10" fillId="0" borderId="7" xfId="0" applyNumberFormat="1" applyFont="1" applyBorder="1" applyAlignment="1">
      <alignment horizontal="center" vertical="center"/>
    </xf>
    <xf numFmtId="38" fontId="10" fillId="0" borderId="20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vertical="center"/>
    </xf>
    <xf numFmtId="38" fontId="10" fillId="0" borderId="2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38" fontId="1" fillId="0" borderId="9" xfId="3" applyNumberFormat="1" applyFont="1" applyBorder="1" applyAlignment="1">
      <alignment horizontal="center" vertical="center"/>
    </xf>
    <xf numFmtId="38" fontId="1" fillId="0" borderId="2" xfId="0" applyNumberFormat="1" applyFont="1" applyBorder="1" applyAlignment="1">
      <alignment vertical="center"/>
    </xf>
    <xf numFmtId="178" fontId="1" fillId="0" borderId="18" xfId="4" applyNumberFormat="1" applyFont="1" applyBorder="1" applyAlignment="1">
      <alignment horizontal="center" vertical="center"/>
    </xf>
    <xf numFmtId="38" fontId="1" fillId="0" borderId="19" xfId="0" applyNumberFormat="1" applyFont="1" applyBorder="1" applyAlignment="1">
      <alignment horizontal="right" vertical="center"/>
    </xf>
    <xf numFmtId="38" fontId="17" fillId="5" borderId="11" xfId="0" applyNumberFormat="1" applyFont="1" applyFill="1" applyBorder="1" applyAlignment="1">
      <alignment vertical="center"/>
    </xf>
    <xf numFmtId="38" fontId="23" fillId="4" borderId="3" xfId="0" applyNumberFormat="1" applyFont="1" applyFill="1" applyBorder="1" applyAlignment="1">
      <alignment vertical="center"/>
    </xf>
    <xf numFmtId="38" fontId="30" fillId="0" borderId="3" xfId="0" applyNumberFormat="1" applyFont="1" applyBorder="1" applyAlignment="1">
      <alignment vertical="center"/>
    </xf>
    <xf numFmtId="38" fontId="17" fillId="5" borderId="3" xfId="0" applyNumberFormat="1" applyFont="1" applyFill="1" applyBorder="1" applyAlignment="1">
      <alignment vertical="center"/>
    </xf>
    <xf numFmtId="38" fontId="23" fillId="5" borderId="3" xfId="0" applyNumberFormat="1" applyFont="1" applyFill="1" applyBorder="1" applyAlignment="1">
      <alignment vertical="center"/>
    </xf>
    <xf numFmtId="38" fontId="3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1" xfId="0" applyFont="1" applyBorder="1" applyAlignment="1">
      <alignment vertical="center"/>
    </xf>
    <xf numFmtId="177" fontId="20" fillId="9" borderId="2" xfId="0" applyNumberFormat="1" applyFont="1" applyFill="1" applyBorder="1" applyAlignment="1">
      <alignment vertical="center"/>
    </xf>
    <xf numFmtId="38" fontId="20" fillId="9" borderId="2" xfId="0" applyNumberFormat="1" applyFont="1" applyFill="1" applyBorder="1" applyAlignment="1">
      <alignment vertical="center"/>
    </xf>
    <xf numFmtId="38" fontId="33" fillId="0" borderId="7" xfId="0" applyNumberFormat="1" applyFont="1" applyBorder="1" applyAlignment="1">
      <alignment horizontal="center" vertical="center"/>
    </xf>
    <xf numFmtId="177" fontId="34" fillId="0" borderId="17" xfId="0" applyNumberFormat="1" applyFont="1" applyBorder="1" applyAlignment="1">
      <alignment vertical="center"/>
    </xf>
    <xf numFmtId="38" fontId="3" fillId="3" borderId="3" xfId="0" applyNumberFormat="1" applyFont="1" applyFill="1" applyBorder="1" applyAlignment="1">
      <alignment vertical="center"/>
    </xf>
    <xf numFmtId="177" fontId="8" fillId="0" borderId="3" xfId="0" applyNumberFormat="1" applyFont="1" applyBorder="1" applyAlignment="1">
      <alignment vertical="center"/>
    </xf>
    <xf numFmtId="177" fontId="19" fillId="7" borderId="3" xfId="0" applyNumberFormat="1" applyFont="1" applyFill="1" applyBorder="1" applyAlignment="1">
      <alignment horizontal="center" vertical="center"/>
    </xf>
    <xf numFmtId="9" fontId="1" fillId="5" borderId="3" xfId="0" applyNumberFormat="1" applyFont="1" applyFill="1" applyBorder="1" applyAlignment="1">
      <alignment vertical="center"/>
    </xf>
    <xf numFmtId="177" fontId="20" fillId="9" borderId="0" xfId="0" applyNumberFormat="1" applyFont="1" applyFill="1" applyAlignment="1">
      <alignment vertical="center"/>
    </xf>
    <xf numFmtId="38" fontId="20" fillId="9" borderId="0" xfId="0" applyNumberFormat="1" applyFont="1" applyFill="1" applyAlignment="1">
      <alignment vertical="center"/>
    </xf>
    <xf numFmtId="177" fontId="14" fillId="7" borderId="3" xfId="0" applyNumberFormat="1" applyFont="1" applyFill="1" applyBorder="1" applyAlignment="1">
      <alignment horizontal="center" vertical="center"/>
    </xf>
    <xf numFmtId="38" fontId="1" fillId="5" borderId="17" xfId="0" applyNumberFormat="1" applyFont="1" applyFill="1" applyBorder="1" applyAlignment="1">
      <alignment vertical="center"/>
    </xf>
    <xf numFmtId="38" fontId="1" fillId="5" borderId="21" xfId="0" applyNumberFormat="1" applyFont="1" applyFill="1" applyBorder="1" applyAlignment="1">
      <alignment vertical="center"/>
    </xf>
    <xf numFmtId="38" fontId="1" fillId="4" borderId="17" xfId="0" applyNumberFormat="1" applyFont="1" applyFill="1" applyBorder="1" applyAlignment="1">
      <alignment vertical="center"/>
    </xf>
    <xf numFmtId="9" fontId="1" fillId="4" borderId="13" xfId="0" applyNumberFormat="1" applyFont="1" applyFill="1" applyBorder="1" applyAlignment="1">
      <alignment vertical="center"/>
    </xf>
    <xf numFmtId="38" fontId="1" fillId="0" borderId="27" xfId="0" applyNumberFormat="1" applyFont="1" applyBorder="1" applyAlignment="1">
      <alignment vertical="center"/>
    </xf>
    <xf numFmtId="38" fontId="3" fillId="7" borderId="3" xfId="0" applyNumberFormat="1" applyFont="1" applyFill="1" applyBorder="1" applyAlignment="1">
      <alignment vertical="center"/>
    </xf>
    <xf numFmtId="177" fontId="14" fillId="0" borderId="3" xfId="0" applyNumberFormat="1" applyFont="1" applyBorder="1" applyAlignment="1">
      <alignment horizontal="center" vertical="center"/>
    </xf>
    <xf numFmtId="38" fontId="6" fillId="0" borderId="3" xfId="0" applyNumberFormat="1" applyFont="1" applyBorder="1" applyAlignment="1">
      <alignment vertical="center"/>
    </xf>
    <xf numFmtId="38" fontId="17" fillId="5" borderId="17" xfId="0" applyNumberFormat="1" applyFont="1" applyFill="1" applyBorder="1" applyAlignment="1">
      <alignment vertical="center"/>
    </xf>
    <xf numFmtId="177" fontId="36" fillId="0" borderId="17" xfId="0" applyNumberFormat="1" applyFont="1" applyBorder="1" applyAlignment="1">
      <alignment vertical="center"/>
    </xf>
    <xf numFmtId="38" fontId="1" fillId="3" borderId="18" xfId="0" applyNumberFormat="1" applyFont="1" applyFill="1" applyBorder="1" applyAlignment="1">
      <alignment vertical="center"/>
    </xf>
    <xf numFmtId="38" fontId="1" fillId="3" borderId="11" xfId="0" applyNumberFormat="1" applyFont="1" applyFill="1" applyBorder="1" applyAlignment="1">
      <alignment vertical="center"/>
    </xf>
    <xf numFmtId="38" fontId="1" fillId="3" borderId="5" xfId="0" applyNumberFormat="1" applyFont="1" applyFill="1" applyBorder="1" applyAlignment="1">
      <alignment horizontal="right" vertical="center"/>
    </xf>
    <xf numFmtId="38" fontId="1" fillId="3" borderId="11" xfId="0" applyNumberFormat="1" applyFont="1" applyFill="1" applyBorder="1" applyAlignment="1">
      <alignment horizontal="right" vertical="center"/>
    </xf>
    <xf numFmtId="177" fontId="1" fillId="7" borderId="3" xfId="0" applyNumberFormat="1" applyFont="1" applyFill="1" applyBorder="1" applyAlignment="1">
      <alignment horizontal="center" vertical="center"/>
    </xf>
    <xf numFmtId="38" fontId="3" fillId="0" borderId="9" xfId="0" applyNumberFormat="1" applyFont="1" applyBorder="1" applyAlignment="1">
      <alignment vertical="center"/>
    </xf>
    <xf numFmtId="38" fontId="3" fillId="3" borderId="9" xfId="0" applyNumberFormat="1" applyFont="1" applyFill="1" applyBorder="1" applyAlignment="1">
      <alignment vertical="center"/>
    </xf>
    <xf numFmtId="38" fontId="3" fillId="5" borderId="9" xfId="0" applyNumberFormat="1" applyFont="1" applyFill="1" applyBorder="1" applyAlignment="1">
      <alignment vertical="center"/>
    </xf>
    <xf numFmtId="177" fontId="1" fillId="0" borderId="19" xfId="0" applyNumberFormat="1" applyFont="1" applyBorder="1" applyAlignment="1">
      <alignment vertical="center"/>
    </xf>
    <xf numFmtId="177" fontId="1" fillId="0" borderId="20" xfId="0" applyNumberFormat="1" applyFont="1" applyBorder="1" applyAlignment="1">
      <alignment vertical="center"/>
    </xf>
    <xf numFmtId="177" fontId="1" fillId="0" borderId="18" xfId="0" applyNumberFormat="1" applyFont="1" applyBorder="1" applyAlignment="1">
      <alignment vertical="center"/>
    </xf>
    <xf numFmtId="9" fontId="1" fillId="4" borderId="3" xfId="0" applyNumberFormat="1" applyFont="1" applyFill="1" applyBorder="1" applyAlignment="1">
      <alignment vertical="center"/>
    </xf>
    <xf numFmtId="177" fontId="1" fillId="3" borderId="3" xfId="0" applyNumberFormat="1" applyFont="1" applyFill="1" applyBorder="1" applyAlignment="1">
      <alignment horizontal="center" vertical="center"/>
    </xf>
    <xf numFmtId="177" fontId="8" fillId="0" borderId="9" xfId="0" applyNumberFormat="1" applyFont="1" applyBorder="1" applyAlignment="1">
      <alignment vertical="center"/>
    </xf>
    <xf numFmtId="176" fontId="1" fillId="0" borderId="21" xfId="0" applyNumberFormat="1" applyFont="1" applyBorder="1" applyAlignment="1">
      <alignment vertical="center"/>
    </xf>
    <xf numFmtId="177" fontId="8" fillId="0" borderId="24" xfId="0" applyNumberFormat="1" applyFont="1" applyBorder="1" applyAlignment="1">
      <alignment vertical="center"/>
    </xf>
    <xf numFmtId="38" fontId="1" fillId="0" borderId="7" xfId="1" applyFont="1" applyBorder="1" applyAlignment="1">
      <alignment horizontal="center" vertical="center"/>
    </xf>
    <xf numFmtId="38" fontId="1" fillId="0" borderId="23" xfId="1" applyFont="1" applyBorder="1" applyAlignment="1">
      <alignment horizontal="center" vertical="center"/>
    </xf>
    <xf numFmtId="177" fontId="1" fillId="7" borderId="3" xfId="0" applyNumberFormat="1" applyFont="1" applyFill="1" applyBorder="1" applyAlignment="1">
      <alignment vertical="center"/>
    </xf>
    <xf numFmtId="38" fontId="1" fillId="10" borderId="3" xfId="0" applyNumberFormat="1" applyFont="1" applyFill="1" applyBorder="1" applyAlignment="1">
      <alignment vertical="center"/>
    </xf>
    <xf numFmtId="38" fontId="3" fillId="10" borderId="3" xfId="0" applyNumberFormat="1" applyFont="1" applyFill="1" applyBorder="1" applyAlignment="1">
      <alignment vertical="center"/>
    </xf>
    <xf numFmtId="177" fontId="1" fillId="3" borderId="3" xfId="0" applyNumberFormat="1" applyFont="1" applyFill="1" applyBorder="1" applyAlignment="1">
      <alignment vertical="center"/>
    </xf>
    <xf numFmtId="38" fontId="20" fillId="10" borderId="3" xfId="0" applyNumberFormat="1" applyFont="1" applyFill="1" applyBorder="1" applyAlignment="1">
      <alignment vertical="center"/>
    </xf>
    <xf numFmtId="177" fontId="1" fillId="0" borderId="30" xfId="0" applyNumberFormat="1" applyFont="1" applyBorder="1" applyAlignment="1">
      <alignment vertical="center"/>
    </xf>
    <xf numFmtId="176" fontId="1" fillId="0" borderId="30" xfId="0" applyNumberFormat="1" applyFont="1" applyBorder="1" applyAlignment="1">
      <alignment vertical="center"/>
    </xf>
    <xf numFmtId="38" fontId="1" fillId="0" borderId="30" xfId="0" applyNumberFormat="1" applyFont="1" applyBorder="1" applyAlignment="1">
      <alignment vertical="center"/>
    </xf>
    <xf numFmtId="38" fontId="1" fillId="0" borderId="31" xfId="0" applyNumberFormat="1" applyFont="1" applyBorder="1" applyAlignment="1">
      <alignment vertical="center"/>
    </xf>
    <xf numFmtId="38" fontId="17" fillId="0" borderId="31" xfId="0" applyNumberFormat="1" applyFont="1" applyBorder="1" applyAlignment="1">
      <alignment vertical="center"/>
    </xf>
    <xf numFmtId="38" fontId="1" fillId="0" borderId="32" xfId="0" applyNumberFormat="1" applyFont="1" applyBorder="1" applyAlignment="1">
      <alignment vertical="center"/>
    </xf>
    <xf numFmtId="9" fontId="1" fillId="0" borderId="31" xfId="0" applyNumberFormat="1" applyFont="1" applyBorder="1" applyAlignment="1">
      <alignment vertical="center"/>
    </xf>
    <xf numFmtId="38" fontId="3" fillId="0" borderId="31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177" fontId="1" fillId="0" borderId="31" xfId="0" applyNumberFormat="1" applyFont="1" applyBorder="1" applyAlignment="1">
      <alignment vertical="center"/>
    </xf>
    <xf numFmtId="38" fontId="1" fillId="0" borderId="33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38" fontId="1" fillId="0" borderId="20" xfId="0" applyNumberFormat="1" applyFont="1" applyBorder="1" applyAlignment="1">
      <alignment horizontal="center" vertical="center"/>
    </xf>
    <xf numFmtId="38" fontId="20" fillId="4" borderId="3" xfId="0" applyNumberFormat="1" applyFont="1" applyFill="1" applyBorder="1" applyAlignment="1">
      <alignment vertical="center"/>
    </xf>
    <xf numFmtId="38" fontId="1" fillId="4" borderId="18" xfId="0" applyNumberFormat="1" applyFont="1" applyFill="1" applyBorder="1" applyAlignment="1">
      <alignment vertical="center"/>
    </xf>
    <xf numFmtId="38" fontId="37" fillId="11" borderId="3" xfId="0" applyNumberFormat="1" applyFont="1" applyFill="1" applyBorder="1" applyAlignment="1">
      <alignment vertical="center"/>
    </xf>
    <xf numFmtId="38" fontId="1" fillId="3" borderId="3" xfId="0" applyNumberFormat="1" applyFont="1" applyFill="1" applyBorder="1" applyAlignment="1">
      <alignment vertical="center"/>
    </xf>
    <xf numFmtId="38" fontId="1" fillId="3" borderId="17" xfId="0" applyNumberFormat="1" applyFont="1" applyFill="1" applyBorder="1" applyAlignment="1">
      <alignment vertical="center"/>
    </xf>
    <xf numFmtId="38" fontId="1" fillId="3" borderId="21" xfId="0" applyNumberFormat="1" applyFont="1" applyFill="1" applyBorder="1" applyAlignment="1">
      <alignment vertical="center"/>
    </xf>
    <xf numFmtId="38" fontId="1" fillId="3" borderId="25" xfId="0" applyNumberFormat="1" applyFont="1" applyFill="1" applyBorder="1" applyAlignment="1">
      <alignment vertical="center"/>
    </xf>
    <xf numFmtId="38" fontId="3" fillId="0" borderId="34" xfId="0" applyNumberFormat="1" applyFont="1" applyBorder="1" applyAlignment="1">
      <alignment vertical="center"/>
    </xf>
    <xf numFmtId="9" fontId="1" fillId="0" borderId="12" xfId="0" applyNumberFormat="1" applyFont="1" applyBorder="1" applyAlignment="1">
      <alignment vertical="center"/>
    </xf>
    <xf numFmtId="38" fontId="8" fillId="4" borderId="3" xfId="0" applyNumberFormat="1" applyFont="1" applyFill="1" applyBorder="1" applyAlignment="1">
      <alignment vertical="center"/>
    </xf>
    <xf numFmtId="38" fontId="38" fillId="10" borderId="3" xfId="0" applyNumberFormat="1" applyFont="1" applyFill="1" applyBorder="1" applyAlignment="1">
      <alignment vertical="center"/>
    </xf>
    <xf numFmtId="38" fontId="8" fillId="12" borderId="3" xfId="0" applyNumberFormat="1" applyFont="1" applyFill="1" applyBorder="1" applyAlignment="1">
      <alignment vertical="center"/>
    </xf>
    <xf numFmtId="38" fontId="3" fillId="11" borderId="3" xfId="0" applyNumberFormat="1" applyFont="1" applyFill="1" applyBorder="1" applyAlignment="1">
      <alignment vertical="center"/>
    </xf>
    <xf numFmtId="0" fontId="39" fillId="0" borderId="17" xfId="0" applyFont="1" applyBorder="1" applyAlignment="1">
      <alignment vertical="center"/>
    </xf>
    <xf numFmtId="3" fontId="39" fillId="0" borderId="17" xfId="0" applyNumberFormat="1" applyFont="1" applyBorder="1" applyAlignment="1">
      <alignment vertical="center"/>
    </xf>
    <xf numFmtId="0" fontId="39" fillId="0" borderId="13" xfId="0" applyFont="1" applyBorder="1" applyAlignment="1">
      <alignment vertical="center"/>
    </xf>
    <xf numFmtId="0" fontId="39" fillId="0" borderId="17" xfId="0" applyFont="1" applyBorder="1" applyAlignment="1">
      <alignment horizontal="right" vertical="center"/>
    </xf>
    <xf numFmtId="0" fontId="40" fillId="0" borderId="17" xfId="0" applyFont="1" applyBorder="1" applyAlignment="1">
      <alignment vertical="center"/>
    </xf>
    <xf numFmtId="0" fontId="39" fillId="0" borderId="20" xfId="0" applyFont="1" applyBorder="1" applyAlignment="1">
      <alignment vertical="center"/>
    </xf>
    <xf numFmtId="9" fontId="39" fillId="0" borderId="13" xfId="0" applyNumberFormat="1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3" fontId="39" fillId="0" borderId="20" xfId="0" applyNumberFormat="1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3" fontId="39" fillId="0" borderId="13" xfId="0" applyNumberFormat="1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39" fillId="13" borderId="17" xfId="0" applyFont="1" applyFill="1" applyBorder="1" applyAlignment="1">
      <alignment vertical="center"/>
    </xf>
    <xf numFmtId="0" fontId="39" fillId="0" borderId="3" xfId="0" applyFont="1" applyBorder="1" applyAlignment="1">
      <alignment vertical="center"/>
    </xf>
    <xf numFmtId="3" fontId="39" fillId="0" borderId="18" xfId="0" applyNumberFormat="1" applyFont="1" applyBorder="1" applyAlignment="1">
      <alignment vertical="center"/>
    </xf>
    <xf numFmtId="0" fontId="39" fillId="0" borderId="3" xfId="0" applyFont="1" applyBorder="1" applyAlignment="1">
      <alignment horizontal="right" vertical="center"/>
    </xf>
    <xf numFmtId="0" fontId="40" fillId="0" borderId="3" xfId="0" applyFont="1" applyBorder="1" applyAlignment="1">
      <alignment vertical="center"/>
    </xf>
    <xf numFmtId="0" fontId="39" fillId="0" borderId="18" xfId="0" applyFont="1" applyBorder="1" applyAlignment="1">
      <alignment vertical="center"/>
    </xf>
    <xf numFmtId="9" fontId="39" fillId="0" borderId="3" xfId="0" applyNumberFormat="1" applyFont="1" applyBorder="1" applyAlignment="1">
      <alignment vertical="center"/>
    </xf>
    <xf numFmtId="0" fontId="42" fillId="14" borderId="3" xfId="0" applyFont="1" applyFill="1" applyBorder="1" applyAlignment="1">
      <alignment vertical="center"/>
    </xf>
    <xf numFmtId="3" fontId="39" fillId="0" borderId="3" xfId="0" applyNumberFormat="1" applyFont="1" applyBorder="1" applyAlignment="1">
      <alignment vertical="center"/>
    </xf>
    <xf numFmtId="0" fontId="39" fillId="13" borderId="3" xfId="0" applyFont="1" applyFill="1" applyBorder="1" applyAlignment="1">
      <alignment vertical="center"/>
    </xf>
    <xf numFmtId="3" fontId="39" fillId="0" borderId="5" xfId="0" applyNumberFormat="1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5" xfId="0" applyFont="1" applyBorder="1" applyAlignment="1">
      <alignment horizontal="right" vertical="center"/>
    </xf>
    <xf numFmtId="0" fontId="39" fillId="0" borderId="11" xfId="0" applyFont="1" applyBorder="1" applyAlignment="1">
      <alignment vertical="center"/>
    </xf>
    <xf numFmtId="3" fontId="39" fillId="0" borderId="11" xfId="0" applyNumberFormat="1" applyFont="1" applyBorder="1" applyAlignment="1">
      <alignment vertical="center"/>
    </xf>
    <xf numFmtId="0" fontId="39" fillId="0" borderId="11" xfId="0" applyFont="1" applyBorder="1" applyAlignment="1">
      <alignment horizontal="right" vertical="center"/>
    </xf>
    <xf numFmtId="0" fontId="40" fillId="0" borderId="11" xfId="0" applyFont="1" applyBorder="1" applyAlignment="1">
      <alignment vertical="center"/>
    </xf>
    <xf numFmtId="0" fontId="39" fillId="0" borderId="19" xfId="0" applyFont="1" applyBorder="1" applyAlignment="1">
      <alignment vertical="center"/>
    </xf>
    <xf numFmtId="9" fontId="39" fillId="0" borderId="11" xfId="0" applyNumberFormat="1" applyFont="1" applyBorder="1" applyAlignment="1">
      <alignment vertical="center"/>
    </xf>
    <xf numFmtId="0" fontId="39" fillId="13" borderId="11" xfId="0" applyFont="1" applyFill="1" applyBorder="1" applyAlignment="1">
      <alignment vertical="center"/>
    </xf>
    <xf numFmtId="3" fontId="39" fillId="0" borderId="19" xfId="0" applyNumberFormat="1" applyFont="1" applyBorder="1" applyAlignment="1">
      <alignment vertical="center"/>
    </xf>
    <xf numFmtId="0" fontId="39" fillId="5" borderId="17" xfId="0" applyFont="1" applyFill="1" applyBorder="1" applyAlignment="1">
      <alignment vertical="center"/>
    </xf>
    <xf numFmtId="0" fontId="39" fillId="5" borderId="3" xfId="0" applyFont="1" applyFill="1" applyBorder="1" applyAlignment="1">
      <alignment vertical="center"/>
    </xf>
    <xf numFmtId="0" fontId="39" fillId="5" borderId="11" xfId="0" applyFont="1" applyFill="1" applyBorder="1" applyAlignment="1">
      <alignment vertical="center"/>
    </xf>
    <xf numFmtId="177" fontId="1" fillId="0" borderId="17" xfId="0" applyNumberFormat="1" applyFont="1" applyBorder="1" applyAlignment="1">
      <alignment horizontal="right" vertical="center"/>
    </xf>
    <xf numFmtId="0" fontId="39" fillId="0" borderId="20" xfId="0" applyFont="1" applyBorder="1" applyAlignment="1">
      <alignment horizontal="right" vertical="center"/>
    </xf>
    <xf numFmtId="176" fontId="1" fillId="7" borderId="3" xfId="0" applyNumberFormat="1" applyFont="1" applyFill="1" applyBorder="1" applyAlignment="1">
      <alignment vertical="center"/>
    </xf>
    <xf numFmtId="38" fontId="19" fillId="0" borderId="3" xfId="0" applyNumberFormat="1" applyFont="1" applyBorder="1" applyAlignment="1">
      <alignment horizontal="center" vertical="center"/>
    </xf>
    <xf numFmtId="38" fontId="43" fillId="0" borderId="17" xfId="0" applyNumberFormat="1" applyFont="1" applyBorder="1" applyAlignment="1">
      <alignment vertical="center"/>
    </xf>
    <xf numFmtId="38" fontId="44" fillId="0" borderId="17" xfId="0" applyNumberFormat="1" applyFont="1" applyBorder="1" applyAlignment="1">
      <alignment vertical="center"/>
    </xf>
    <xf numFmtId="38" fontId="44" fillId="0" borderId="3" xfId="0" applyNumberFormat="1" applyFont="1" applyBorder="1" applyAlignment="1">
      <alignment vertical="center"/>
    </xf>
    <xf numFmtId="38" fontId="8" fillId="10" borderId="3" xfId="0" applyNumberFormat="1" applyFont="1" applyFill="1" applyBorder="1" applyAlignment="1">
      <alignment vertical="center"/>
    </xf>
    <xf numFmtId="38" fontId="8" fillId="15" borderId="3" xfId="0" applyNumberFormat="1" applyFont="1" applyFill="1" applyBorder="1" applyAlignment="1">
      <alignment vertical="center"/>
    </xf>
    <xf numFmtId="177" fontId="1" fillId="0" borderId="18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77" fontId="1" fillId="0" borderId="24" xfId="0" applyNumberFormat="1" applyFont="1" applyBorder="1" applyAlignment="1">
      <alignment horizontal="center" vertical="center"/>
    </xf>
    <xf numFmtId="177" fontId="45" fillId="0" borderId="22" xfId="0" applyNumberFormat="1" applyFont="1" applyBorder="1" applyAlignment="1">
      <alignment horizontal="center" vertical="center"/>
    </xf>
    <xf numFmtId="177" fontId="45" fillId="0" borderId="24" xfId="0" applyNumberFormat="1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7" fontId="1" fillId="0" borderId="21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177" fontId="1" fillId="0" borderId="30" xfId="0" applyNumberFormat="1" applyFont="1" applyBorder="1" applyAlignment="1">
      <alignment horizontal="center" vertical="center"/>
    </xf>
    <xf numFmtId="177" fontId="1" fillId="0" borderId="23" xfId="0" applyNumberFormat="1" applyFont="1" applyBorder="1" applyAlignment="1">
      <alignment horizontal="center" vertical="center"/>
    </xf>
    <xf numFmtId="177" fontId="1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0" xfId="0" applyFont="1" applyAlignment="1">
      <alignment vertical="center"/>
    </xf>
    <xf numFmtId="0" fontId="39" fillId="4" borderId="3" xfId="0" applyFont="1" applyFill="1" applyBorder="1" applyAlignment="1">
      <alignment vertical="center"/>
    </xf>
    <xf numFmtId="38" fontId="10" fillId="10" borderId="3" xfId="0" applyNumberFormat="1" applyFont="1" applyFill="1" applyBorder="1" applyAlignment="1">
      <alignment vertical="center"/>
    </xf>
    <xf numFmtId="9" fontId="1" fillId="3" borderId="3" xfId="0" applyNumberFormat="1" applyFont="1" applyFill="1" applyBorder="1" applyAlignment="1">
      <alignment vertical="center"/>
    </xf>
    <xf numFmtId="38" fontId="1" fillId="4" borderId="26" xfId="0" applyNumberFormat="1" applyFont="1" applyFill="1" applyBorder="1" applyAlignment="1">
      <alignment vertical="center"/>
    </xf>
    <xf numFmtId="38" fontId="17" fillId="0" borderId="3" xfId="0" applyNumberFormat="1" applyFont="1" applyFill="1" applyBorder="1" applyAlignment="1">
      <alignment vertical="center"/>
    </xf>
    <xf numFmtId="9" fontId="1" fillId="0" borderId="3" xfId="0" applyNumberFormat="1" applyFont="1" applyFill="1" applyBorder="1" applyAlignment="1">
      <alignment vertical="center"/>
    </xf>
    <xf numFmtId="38" fontId="10" fillId="0" borderId="3" xfId="0" applyNumberFormat="1" applyFont="1" applyFill="1" applyBorder="1" applyAlignment="1">
      <alignment vertical="center"/>
    </xf>
    <xf numFmtId="38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38" fontId="1" fillId="0" borderId="9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38" fontId="1" fillId="0" borderId="16" xfId="0" applyNumberFormat="1" applyFont="1" applyBorder="1" applyAlignment="1">
      <alignment horizontal="right" vertical="center"/>
    </xf>
    <xf numFmtId="38" fontId="5" fillId="0" borderId="9" xfId="0" applyNumberFormat="1" applyFont="1" applyBorder="1" applyAlignment="1">
      <alignment horizontal="right" vertical="center"/>
    </xf>
    <xf numFmtId="38" fontId="12" fillId="0" borderId="9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vertical="center"/>
    </xf>
    <xf numFmtId="38" fontId="1" fillId="0" borderId="15" xfId="1" applyFont="1" applyBorder="1" applyAlignment="1">
      <alignment horizontal="center" vertical="center"/>
    </xf>
    <xf numFmtId="38" fontId="1" fillId="0" borderId="14" xfId="1" applyFont="1" applyBorder="1" applyAlignment="1">
      <alignment horizontal="center" vertical="center"/>
    </xf>
    <xf numFmtId="38" fontId="1" fillId="0" borderId="9" xfId="3" applyNumberFormat="1" applyFont="1" applyBorder="1" applyAlignment="1">
      <alignment horizontal="center" vertical="center"/>
    </xf>
    <xf numFmtId="38" fontId="1" fillId="0" borderId="18" xfId="3" applyNumberFormat="1" applyFont="1" applyBorder="1" applyAlignment="1">
      <alignment horizontal="center" vertical="center"/>
    </xf>
    <xf numFmtId="38" fontId="1" fillId="0" borderId="34" xfId="1" applyFont="1" applyBorder="1" applyAlignment="1">
      <alignment horizontal="center" vertical="center"/>
    </xf>
    <xf numFmtId="38" fontId="1" fillId="0" borderId="9" xfId="0" applyNumberFormat="1" applyFont="1" applyBorder="1" applyAlignment="1">
      <alignment horizontal="center" vertical="center"/>
    </xf>
    <xf numFmtId="38" fontId="4" fillId="0" borderId="9" xfId="0" applyNumberFormat="1" applyFont="1" applyBorder="1" applyAlignment="1">
      <alignment horizontal="center" vertical="center"/>
    </xf>
    <xf numFmtId="38" fontId="10" fillId="0" borderId="9" xfId="0" applyNumberFormat="1" applyFont="1" applyBorder="1" applyAlignment="1">
      <alignment horizontal="center" vertical="center"/>
    </xf>
    <xf numFmtId="177" fontId="19" fillId="0" borderId="9" xfId="0" applyNumberFormat="1" applyFont="1" applyBorder="1" applyAlignment="1">
      <alignment horizontal="center" vertical="center"/>
    </xf>
    <xf numFmtId="177" fontId="1" fillId="0" borderId="18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38" fontId="28" fillId="9" borderId="23" xfId="0" applyNumberFormat="1" applyFont="1" applyFill="1" applyBorder="1" applyAlignment="1">
      <alignment horizontal="center" vertical="center"/>
    </xf>
    <xf numFmtId="38" fontId="20" fillId="9" borderId="2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8" fontId="4" fillId="0" borderId="7" xfId="0" applyNumberFormat="1" applyFont="1" applyBorder="1" applyAlignment="1">
      <alignment horizontal="center" vertical="center"/>
    </xf>
    <xf numFmtId="38" fontId="1" fillId="0" borderId="28" xfId="1" applyFont="1" applyBorder="1" applyAlignment="1">
      <alignment horizontal="center" vertical="center"/>
    </xf>
    <xf numFmtId="38" fontId="1" fillId="0" borderId="29" xfId="1" applyFont="1" applyBorder="1" applyAlignment="1">
      <alignment horizontal="center" vertical="center"/>
    </xf>
    <xf numFmtId="38" fontId="1" fillId="0" borderId="9" xfId="1" applyFont="1" applyBorder="1" applyAlignment="1">
      <alignment horizontal="center" vertical="center"/>
    </xf>
    <xf numFmtId="38" fontId="1" fillId="0" borderId="18" xfId="1" applyFont="1" applyBorder="1" applyAlignment="1">
      <alignment horizontal="center" vertical="center"/>
    </xf>
    <xf numFmtId="38" fontId="20" fillId="6" borderId="1" xfId="0" applyNumberFormat="1" applyFont="1" applyFill="1" applyBorder="1" applyAlignment="1">
      <alignment horizontal="center" vertical="center"/>
    </xf>
    <xf numFmtId="38" fontId="28" fillId="9" borderId="1" xfId="0" applyNumberFormat="1" applyFont="1" applyFill="1" applyBorder="1" applyAlignment="1">
      <alignment horizontal="center" vertical="center"/>
    </xf>
    <xf numFmtId="38" fontId="20" fillId="9" borderId="1" xfId="0" applyNumberFormat="1" applyFont="1" applyFill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4" fillId="5" borderId="9" xfId="0" applyNumberFormat="1" applyFont="1" applyFill="1" applyBorder="1" applyAlignment="1">
      <alignment horizontal="center" vertical="center"/>
    </xf>
    <xf numFmtId="177" fontId="4" fillId="5" borderId="18" xfId="0" applyNumberFormat="1" applyFont="1" applyFill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8" fontId="3" fillId="0" borderId="3" xfId="0" applyNumberFormat="1" applyFont="1" applyFill="1" applyBorder="1" applyAlignment="1">
      <alignment vertical="center"/>
    </xf>
  </cellXfs>
  <cellStyles count="5">
    <cellStyle name="Hyperlink" xfId="2" xr:uid="{00000000-000B-0000-0000-000008000000}"/>
    <cellStyle name="パーセント" xfId="4" builtinId="5"/>
    <cellStyle name="桁区切り" xfId="1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3437"/>
  <sheetViews>
    <sheetView tabSelected="1" zoomScale="80" zoomScaleNormal="80" workbookViewId="0">
      <pane xSplit="1" ySplit="2" topLeftCell="AP3" activePane="bottomRight" state="frozen"/>
      <selection pane="bottomLeft" activeCell="A3" sqref="A3"/>
      <selection pane="topRight" activeCell="B1" sqref="B1"/>
      <selection pane="bottomRight" activeCell="AB20" sqref="AB20"/>
    </sheetView>
  </sheetViews>
  <sheetFormatPr defaultColWidth="8.33984375" defaultRowHeight="15" customHeight="1" x14ac:dyDescent="0.2"/>
  <cols>
    <col min="1" max="1" width="10.22265625" bestFit="1" customWidth="1"/>
    <col min="2" max="2" width="8.609375" bestFit="1" customWidth="1"/>
    <col min="3" max="3" width="7.80078125" bestFit="1" customWidth="1"/>
    <col min="4" max="5" width="9.01171875" bestFit="1" customWidth="1"/>
    <col min="6" max="6" width="5.24609375" bestFit="1" customWidth="1"/>
    <col min="7" max="7" width="8.609375" bestFit="1" customWidth="1"/>
    <col min="8" max="9" width="6.3203125" bestFit="1" customWidth="1"/>
    <col min="10" max="10" width="23.80859375" style="58" bestFit="1" customWidth="1"/>
    <col min="11" max="11" width="6.859375" bestFit="1" customWidth="1"/>
    <col min="12" max="12" width="9.14453125" bestFit="1" customWidth="1"/>
    <col min="13" max="13" width="7.12890625" bestFit="1" customWidth="1"/>
    <col min="14" max="14" width="30.66796875" bestFit="1" customWidth="1"/>
    <col min="15" max="15" width="1.8828125" customWidth="1"/>
    <col min="16" max="16" width="10.0859375" bestFit="1" customWidth="1"/>
    <col min="17" max="17" width="7.80078125" bestFit="1" customWidth="1"/>
    <col min="18" max="19" width="9.01171875" bestFit="1" customWidth="1"/>
    <col min="20" max="20" width="5.24609375" bestFit="1" customWidth="1"/>
    <col min="21" max="21" width="8.609375" bestFit="1" customWidth="1"/>
    <col min="22" max="23" width="6.3203125" bestFit="1" customWidth="1"/>
    <col min="24" max="24" width="25.828125" bestFit="1" customWidth="1"/>
    <col min="25" max="25" width="6.859375" bestFit="1" customWidth="1"/>
    <col min="26" max="26" width="9.14453125" bestFit="1" customWidth="1"/>
    <col min="27" max="27" width="8.47265625" bestFit="1" customWidth="1"/>
    <col min="28" max="28" width="35.6484375" bestFit="1" customWidth="1"/>
    <col min="29" max="29" width="1.8828125" customWidth="1"/>
    <col min="30" max="30" width="10.0859375" bestFit="1" customWidth="1"/>
    <col min="31" max="31" width="7.80078125" bestFit="1" customWidth="1"/>
    <col min="32" max="33" width="9.01171875" bestFit="1" customWidth="1"/>
    <col min="34" max="34" width="4.16796875" bestFit="1" customWidth="1"/>
    <col min="35" max="35" width="8.609375" bestFit="1" customWidth="1"/>
    <col min="36" max="37" width="6.3203125" bestFit="1" customWidth="1"/>
    <col min="38" max="38" width="23.80859375" bestFit="1" customWidth="1"/>
    <col min="39" max="39" width="6.859375" bestFit="1" customWidth="1"/>
    <col min="40" max="41" width="9.14453125" bestFit="1" customWidth="1"/>
    <col min="42" max="42" width="27.7109375" customWidth="1"/>
    <col min="43" max="43" width="2.95703125" customWidth="1"/>
    <col min="44" max="44" width="10.0859375" bestFit="1" customWidth="1"/>
    <col min="45" max="45" width="7.80078125" bestFit="1" customWidth="1"/>
    <col min="46" max="47" width="9.01171875" bestFit="1" customWidth="1"/>
    <col min="48" max="48" width="5.24609375" bestFit="1" customWidth="1"/>
    <col min="49" max="49" width="8.609375" bestFit="1" customWidth="1"/>
    <col min="50" max="51" width="6.3203125" bestFit="1" customWidth="1"/>
    <col min="52" max="52" width="29.59375" style="58" bestFit="1" customWidth="1"/>
    <col min="53" max="53" width="6.859375" bestFit="1" customWidth="1"/>
    <col min="54" max="54" width="9.14453125" bestFit="1" customWidth="1"/>
    <col min="55" max="55" width="8.47265625" bestFit="1" customWidth="1"/>
    <col min="56" max="56" width="30.40234375" bestFit="1" customWidth="1"/>
    <col min="57" max="57" width="1.8828125" customWidth="1"/>
    <col min="58" max="58" width="9.01171875" bestFit="1" customWidth="1"/>
    <col min="59" max="59" width="6.3203125" style="247" bestFit="1" customWidth="1"/>
    <col min="60" max="60" width="7.3984375" bestFit="1" customWidth="1"/>
    <col min="61" max="62" width="9.01171875" bestFit="1" customWidth="1"/>
    <col min="63" max="63" width="4.16796875" bestFit="1" customWidth="1"/>
    <col min="64" max="64" width="8.609375" bestFit="1" customWidth="1"/>
    <col min="65" max="66" width="6.3203125" bestFit="1" customWidth="1"/>
    <col min="67" max="67" width="21.7890625" bestFit="1" customWidth="1"/>
    <col min="68" max="68" width="6.859375" bestFit="1" customWidth="1"/>
    <col min="69" max="69" width="9.01171875" bestFit="1" customWidth="1"/>
    <col min="70" max="70" width="8.47265625" bestFit="1" customWidth="1"/>
    <col min="71" max="71" width="15.19921875" bestFit="1" customWidth="1"/>
    <col min="72" max="72" width="2.15234375" customWidth="1"/>
    <col min="73" max="73" width="10.0859375" bestFit="1" customWidth="1"/>
    <col min="74" max="76" width="9.01171875" bestFit="1" customWidth="1"/>
    <col min="77" max="77" width="4.16796875" bestFit="1" customWidth="1"/>
    <col min="78" max="78" width="8.609375" bestFit="1" customWidth="1"/>
    <col min="79" max="79" width="9.01171875" bestFit="1" customWidth="1"/>
    <col min="80" max="80" width="7.80078125" bestFit="1" customWidth="1"/>
    <col min="81" max="81" width="16.140625" bestFit="1" customWidth="1"/>
    <col min="82" max="82" width="6.859375" bestFit="1" customWidth="1"/>
    <col min="83" max="84" width="8.609375" bestFit="1" customWidth="1"/>
    <col min="85" max="85" width="25.421875" bestFit="1" customWidth="1"/>
    <col min="86" max="86" width="2.5546875" customWidth="1"/>
    <col min="87" max="87" width="10.0859375" bestFit="1" customWidth="1"/>
    <col min="88" max="88" width="9.01171875" bestFit="1" customWidth="1"/>
    <col min="89" max="90" width="10.625" bestFit="1" customWidth="1"/>
    <col min="91" max="91" width="4.16796875" bestFit="1" customWidth="1"/>
    <col min="92" max="92" width="8.609375" bestFit="1" customWidth="1"/>
    <col min="93" max="93" width="9.01171875" bestFit="1" customWidth="1"/>
    <col min="94" max="94" width="7.80078125" bestFit="1" customWidth="1"/>
    <col min="95" max="95" width="21.7890625" bestFit="1" customWidth="1"/>
    <col min="96" max="96" width="6.859375" bestFit="1" customWidth="1"/>
    <col min="97" max="98" width="8.609375" bestFit="1" customWidth="1"/>
    <col min="99" max="99" width="23.26953125" bestFit="1" customWidth="1"/>
    <col min="100" max="100" width="2.28515625" customWidth="1"/>
    <col min="101" max="101" width="10.0859375" bestFit="1" customWidth="1"/>
    <col min="102" max="104" width="9.01171875" bestFit="1" customWidth="1"/>
    <col min="105" max="105" width="4.16796875" bestFit="1" customWidth="1"/>
    <col min="106" max="106" width="8.609375" bestFit="1" customWidth="1"/>
    <col min="107" max="108" width="7.80078125" bestFit="1" customWidth="1"/>
    <col min="109" max="109" width="23.80859375" bestFit="1" customWidth="1"/>
    <col min="110" max="110" width="6.3203125" bestFit="1" customWidth="1"/>
    <col min="111" max="112" width="8.609375" bestFit="1" customWidth="1"/>
    <col min="113" max="113" width="20.4453125" bestFit="1" customWidth="1"/>
    <col min="114" max="114" width="2.5546875" customWidth="1"/>
    <col min="115" max="115" width="10.0859375" bestFit="1" customWidth="1"/>
    <col min="116" max="118" width="9.01171875" bestFit="1" customWidth="1"/>
    <col min="119" max="119" width="4.16796875" bestFit="1" customWidth="1"/>
    <col min="120" max="120" width="8.609375" bestFit="1" customWidth="1"/>
    <col min="121" max="122" width="7.80078125" bestFit="1" customWidth="1"/>
    <col min="123" max="123" width="18.0234375" bestFit="1" customWidth="1"/>
    <col min="124" max="124" width="6.859375" bestFit="1" customWidth="1"/>
    <col min="125" max="126" width="8.609375" bestFit="1" customWidth="1"/>
    <col min="127" max="127" width="27.7109375" bestFit="1" customWidth="1"/>
    <col min="128" max="128" width="2.82421875" customWidth="1"/>
    <col min="129" max="129" width="9.01171875" bestFit="1" customWidth="1"/>
    <col min="130" max="130" width="7.3984375" bestFit="1" customWidth="1"/>
    <col min="131" max="132" width="9.01171875" bestFit="1" customWidth="1"/>
    <col min="133" max="133" width="4.16796875" bestFit="1" customWidth="1"/>
    <col min="134" max="135" width="8.609375" bestFit="1" customWidth="1"/>
    <col min="136" max="136" width="9.01171875" bestFit="1" customWidth="1"/>
    <col min="137" max="137" width="21.7890625" bestFit="1" customWidth="1"/>
    <col min="138" max="138" width="6.859375" bestFit="1" customWidth="1"/>
    <col min="139" max="140" width="8.609375" bestFit="1" customWidth="1"/>
    <col min="141" max="141" width="15.46875" bestFit="1" customWidth="1"/>
  </cols>
  <sheetData>
    <row r="1" spans="1:141" x14ac:dyDescent="0.2">
      <c r="A1" s="276" t="s">
        <v>42</v>
      </c>
      <c r="B1" s="276"/>
      <c r="C1" s="276"/>
      <c r="D1" s="276"/>
      <c r="E1" s="70" t="s">
        <v>56</v>
      </c>
      <c r="F1" s="70"/>
      <c r="G1" s="70"/>
      <c r="H1" s="70"/>
      <c r="I1" s="70"/>
      <c r="J1" s="71"/>
      <c r="K1" s="70"/>
      <c r="L1" s="70"/>
      <c r="M1" s="70"/>
      <c r="N1" s="72"/>
      <c r="O1" s="2"/>
      <c r="P1" s="276" t="s">
        <v>43</v>
      </c>
      <c r="Q1" s="276"/>
      <c r="R1" s="276"/>
      <c r="S1" s="70" t="s">
        <v>55</v>
      </c>
      <c r="T1" s="70"/>
      <c r="U1" s="70"/>
      <c r="V1" s="70"/>
      <c r="W1" s="70"/>
      <c r="X1" s="73"/>
      <c r="Y1" s="70"/>
      <c r="Z1" s="70"/>
      <c r="AA1" s="70"/>
      <c r="AB1" s="72"/>
      <c r="AC1" s="1"/>
      <c r="AD1" s="276" t="s">
        <v>54</v>
      </c>
      <c r="AE1" s="276"/>
      <c r="AF1" s="276"/>
      <c r="AG1" s="70" t="s">
        <v>52</v>
      </c>
      <c r="AH1" s="70"/>
      <c r="AI1" s="70"/>
      <c r="AJ1" s="70"/>
      <c r="AK1" s="70"/>
      <c r="AL1" s="71"/>
      <c r="AM1" s="70"/>
      <c r="AN1" s="70"/>
      <c r="AO1" s="70"/>
      <c r="AP1" s="72"/>
      <c r="AQ1" s="2"/>
      <c r="AR1" s="276" t="s">
        <v>54</v>
      </c>
      <c r="AS1" s="276"/>
      <c r="AT1" s="276"/>
      <c r="AU1" s="70" t="s">
        <v>53</v>
      </c>
      <c r="AV1" s="70"/>
      <c r="AW1" s="70"/>
      <c r="AX1" s="70"/>
      <c r="AY1" s="70"/>
      <c r="AZ1" s="71"/>
      <c r="BA1" s="70"/>
      <c r="BB1" s="70"/>
      <c r="BC1" s="70"/>
      <c r="BD1" s="72"/>
      <c r="BE1" s="2"/>
      <c r="BF1" s="276" t="s">
        <v>43</v>
      </c>
      <c r="BG1" s="293"/>
      <c r="BH1" s="276"/>
      <c r="BI1" s="276"/>
      <c r="BJ1" s="276" t="s">
        <v>481</v>
      </c>
      <c r="BK1" s="276"/>
      <c r="BL1" s="276"/>
      <c r="BM1" s="70"/>
      <c r="BN1" s="70"/>
      <c r="BO1" s="73"/>
      <c r="BP1" s="70"/>
      <c r="BQ1" s="70"/>
      <c r="BR1" s="70"/>
      <c r="BS1" s="72"/>
      <c r="BU1" s="124"/>
      <c r="BV1" s="277" t="s">
        <v>137</v>
      </c>
      <c r="BW1" s="278"/>
      <c r="BX1" s="278"/>
      <c r="BY1" s="278"/>
      <c r="BZ1" s="125"/>
      <c r="CA1" s="125"/>
      <c r="CB1" s="125"/>
      <c r="CC1" s="125"/>
      <c r="CD1" s="125"/>
      <c r="CE1" s="125"/>
      <c r="CF1" s="125"/>
      <c r="CG1" s="125"/>
      <c r="CH1" s="125"/>
      <c r="CI1" s="124"/>
      <c r="CJ1" s="277" t="s">
        <v>138</v>
      </c>
      <c r="CK1" s="278"/>
      <c r="CL1" s="278"/>
      <c r="CM1" s="278"/>
      <c r="CN1" s="125"/>
      <c r="CO1" s="125"/>
      <c r="CP1" s="125"/>
      <c r="CQ1" s="125"/>
      <c r="CR1" s="125"/>
      <c r="CS1" s="125"/>
      <c r="CT1" s="125"/>
      <c r="CU1" s="125"/>
      <c r="CV1" s="125"/>
      <c r="CW1" s="124"/>
      <c r="CX1" s="277" t="s">
        <v>139</v>
      </c>
      <c r="CY1" s="278"/>
      <c r="CZ1" s="278"/>
      <c r="DA1" s="278"/>
      <c r="DB1" s="125"/>
      <c r="DC1" s="125"/>
      <c r="DD1" s="125"/>
      <c r="DE1" s="125"/>
      <c r="DF1" s="125"/>
      <c r="DG1" s="125"/>
      <c r="DH1" s="125"/>
      <c r="DI1" s="125"/>
      <c r="DJ1" s="125"/>
      <c r="DK1" s="124"/>
      <c r="DL1" s="277" t="s">
        <v>140</v>
      </c>
      <c r="DM1" s="278"/>
      <c r="DN1" s="278"/>
      <c r="DO1" s="278"/>
      <c r="DP1" s="125"/>
      <c r="DQ1" s="125"/>
      <c r="DR1" s="125"/>
      <c r="DS1" s="125"/>
      <c r="DT1" s="125"/>
      <c r="DU1" s="125"/>
      <c r="DV1" s="125"/>
      <c r="DW1" s="125"/>
      <c r="DY1" s="124"/>
      <c r="DZ1" s="277" t="s">
        <v>465</v>
      </c>
      <c r="EA1" s="278"/>
      <c r="EB1" s="278"/>
      <c r="EC1" s="278"/>
      <c r="ED1" s="125"/>
      <c r="EE1" s="125"/>
      <c r="EF1" s="125"/>
      <c r="EG1" s="125"/>
      <c r="EH1" s="125"/>
      <c r="EI1" s="125"/>
      <c r="EJ1" s="125"/>
      <c r="EK1" s="125"/>
    </row>
    <row r="2" spans="1:141" x14ac:dyDescent="0.2">
      <c r="A2" s="7" t="s">
        <v>1</v>
      </c>
      <c r="B2" s="4" t="s">
        <v>19</v>
      </c>
      <c r="C2" s="5" t="s">
        <v>2</v>
      </c>
      <c r="D2" s="5" t="s">
        <v>3</v>
      </c>
      <c r="E2" s="6" t="s">
        <v>4</v>
      </c>
      <c r="F2" s="5" t="s">
        <v>3</v>
      </c>
      <c r="G2" s="5" t="s">
        <v>5</v>
      </c>
      <c r="H2" s="5" t="s">
        <v>6</v>
      </c>
      <c r="I2" s="5" t="s">
        <v>7</v>
      </c>
      <c r="J2" s="55" t="s">
        <v>12</v>
      </c>
      <c r="K2" s="5" t="s">
        <v>8</v>
      </c>
      <c r="L2" s="5" t="s">
        <v>6</v>
      </c>
      <c r="M2" s="5" t="s">
        <v>13</v>
      </c>
      <c r="N2" s="5" t="s">
        <v>11</v>
      </c>
      <c r="O2" s="2"/>
      <c r="P2" s="7" t="s">
        <v>1</v>
      </c>
      <c r="Q2" s="5" t="s">
        <v>2</v>
      </c>
      <c r="R2" s="5" t="s">
        <v>3</v>
      </c>
      <c r="S2" s="6" t="s">
        <v>4</v>
      </c>
      <c r="T2" s="5" t="s">
        <v>3</v>
      </c>
      <c r="U2" s="5" t="s">
        <v>5</v>
      </c>
      <c r="V2" s="5" t="s">
        <v>6</v>
      </c>
      <c r="W2" s="5" t="s">
        <v>7</v>
      </c>
      <c r="X2" s="6" t="s">
        <v>12</v>
      </c>
      <c r="Y2" s="5" t="s">
        <v>8</v>
      </c>
      <c r="Z2" s="5" t="s">
        <v>6</v>
      </c>
      <c r="AA2" s="5" t="s">
        <v>13</v>
      </c>
      <c r="AB2" s="5" t="s">
        <v>11</v>
      </c>
      <c r="AC2" s="3"/>
      <c r="AD2" s="7" t="s">
        <v>1</v>
      </c>
      <c r="AE2" s="5" t="s">
        <v>2</v>
      </c>
      <c r="AF2" s="5" t="s">
        <v>3</v>
      </c>
      <c r="AG2" s="6" t="s">
        <v>4</v>
      </c>
      <c r="AH2" s="5" t="s">
        <v>3</v>
      </c>
      <c r="AI2" s="5" t="s">
        <v>5</v>
      </c>
      <c r="AJ2" s="5" t="s">
        <v>6</v>
      </c>
      <c r="AK2" s="5" t="s">
        <v>7</v>
      </c>
      <c r="AL2" s="55" t="s">
        <v>12</v>
      </c>
      <c r="AM2" s="5" t="s">
        <v>8</v>
      </c>
      <c r="AN2" s="5" t="s">
        <v>6</v>
      </c>
      <c r="AO2" s="5" t="s">
        <v>13</v>
      </c>
      <c r="AP2" s="5" t="s">
        <v>11</v>
      </c>
      <c r="AQ2" s="2"/>
      <c r="AR2" s="7" t="s">
        <v>1</v>
      </c>
      <c r="AS2" s="5" t="s">
        <v>2</v>
      </c>
      <c r="AT2" s="5" t="s">
        <v>3</v>
      </c>
      <c r="AU2" s="6" t="s">
        <v>4</v>
      </c>
      <c r="AV2" s="5" t="s">
        <v>3</v>
      </c>
      <c r="AW2" s="5" t="s">
        <v>5</v>
      </c>
      <c r="AX2" s="5" t="s">
        <v>6</v>
      </c>
      <c r="AY2" s="5" t="s">
        <v>7</v>
      </c>
      <c r="AZ2" s="55" t="s">
        <v>12</v>
      </c>
      <c r="BA2" s="5" t="s">
        <v>8</v>
      </c>
      <c r="BB2" s="5" t="s">
        <v>6</v>
      </c>
      <c r="BC2" s="5" t="s">
        <v>13</v>
      </c>
      <c r="BD2" s="5" t="s">
        <v>11</v>
      </c>
      <c r="BE2" s="2"/>
      <c r="BF2" s="236" t="s">
        <v>1</v>
      </c>
      <c r="BG2" s="237"/>
      <c r="BH2" s="69" t="s">
        <v>2</v>
      </c>
      <c r="BI2" s="5" t="s">
        <v>3</v>
      </c>
      <c r="BJ2" s="6" t="s">
        <v>4</v>
      </c>
      <c r="BK2" s="5" t="s">
        <v>3</v>
      </c>
      <c r="BL2" s="5" t="s">
        <v>5</v>
      </c>
      <c r="BM2" s="5" t="s">
        <v>6</v>
      </c>
      <c r="BN2" s="5" t="s">
        <v>7</v>
      </c>
      <c r="BO2" s="6" t="s">
        <v>12</v>
      </c>
      <c r="BP2" s="5" t="s">
        <v>8</v>
      </c>
      <c r="BQ2" s="5" t="s">
        <v>6</v>
      </c>
      <c r="BR2" s="5" t="s">
        <v>13</v>
      </c>
      <c r="BS2" s="5" t="s">
        <v>11</v>
      </c>
      <c r="BU2" s="8" t="s">
        <v>1</v>
      </c>
      <c r="BV2" s="5" t="s">
        <v>2</v>
      </c>
      <c r="BW2" s="5" t="s">
        <v>3</v>
      </c>
      <c r="BX2" s="6" t="s">
        <v>4</v>
      </c>
      <c r="BY2" s="5" t="s">
        <v>3</v>
      </c>
      <c r="BZ2" s="5" t="s">
        <v>5</v>
      </c>
      <c r="CA2" s="5" t="s">
        <v>6</v>
      </c>
      <c r="CB2" s="5" t="s">
        <v>7</v>
      </c>
      <c r="CC2" s="229" t="s">
        <v>12</v>
      </c>
      <c r="CD2" s="5" t="s">
        <v>8</v>
      </c>
      <c r="CE2" s="5" t="s">
        <v>9</v>
      </c>
      <c r="CF2" s="5" t="s">
        <v>10</v>
      </c>
      <c r="CG2" s="5" t="s">
        <v>11</v>
      </c>
      <c r="CH2" s="63"/>
      <c r="CI2" s="8" t="s">
        <v>1</v>
      </c>
      <c r="CJ2" s="5" t="s">
        <v>2</v>
      </c>
      <c r="CK2" s="5" t="s">
        <v>3</v>
      </c>
      <c r="CL2" s="6" t="s">
        <v>4</v>
      </c>
      <c r="CM2" s="5" t="s">
        <v>3</v>
      </c>
      <c r="CN2" s="5" t="s">
        <v>5</v>
      </c>
      <c r="CO2" s="5" t="s">
        <v>6</v>
      </c>
      <c r="CP2" s="5" t="s">
        <v>7</v>
      </c>
      <c r="CQ2" s="229" t="s">
        <v>12</v>
      </c>
      <c r="CR2" s="5" t="s">
        <v>8</v>
      </c>
      <c r="CS2" s="5" t="s">
        <v>9</v>
      </c>
      <c r="CT2" s="5" t="s">
        <v>10</v>
      </c>
      <c r="CU2" s="5" t="s">
        <v>11</v>
      </c>
      <c r="CV2" s="1"/>
      <c r="CW2" s="8" t="s">
        <v>1</v>
      </c>
      <c r="CX2" s="5" t="s">
        <v>2</v>
      </c>
      <c r="CY2" s="5" t="s">
        <v>3</v>
      </c>
      <c r="CZ2" s="6" t="s">
        <v>4</v>
      </c>
      <c r="DA2" s="5" t="s">
        <v>3</v>
      </c>
      <c r="DB2" s="5" t="s">
        <v>5</v>
      </c>
      <c r="DC2" s="5" t="s">
        <v>6</v>
      </c>
      <c r="DD2" s="5" t="s">
        <v>7</v>
      </c>
      <c r="DE2" s="229" t="s">
        <v>12</v>
      </c>
      <c r="DF2" s="5" t="s">
        <v>8</v>
      </c>
      <c r="DG2" s="5" t="s">
        <v>9</v>
      </c>
      <c r="DH2" s="5" t="s">
        <v>10</v>
      </c>
      <c r="DI2" s="5" t="s">
        <v>11</v>
      </c>
      <c r="DJ2" s="63"/>
      <c r="DK2" s="8" t="s">
        <v>1</v>
      </c>
      <c r="DL2" s="5" t="s">
        <v>2</v>
      </c>
      <c r="DM2" s="5" t="s">
        <v>3</v>
      </c>
      <c r="DN2" s="6" t="s">
        <v>4</v>
      </c>
      <c r="DO2" s="5" t="s">
        <v>3</v>
      </c>
      <c r="DP2" s="5" t="s">
        <v>5</v>
      </c>
      <c r="DQ2" s="5" t="s">
        <v>6</v>
      </c>
      <c r="DR2" s="5" t="s">
        <v>7</v>
      </c>
      <c r="DS2" s="229" t="s">
        <v>12</v>
      </c>
      <c r="DT2" s="5" t="s">
        <v>8</v>
      </c>
      <c r="DU2" s="5" t="s">
        <v>9</v>
      </c>
      <c r="DV2" s="5" t="s">
        <v>10</v>
      </c>
      <c r="DW2" s="5" t="s">
        <v>11</v>
      </c>
      <c r="DY2" s="8" t="s">
        <v>1</v>
      </c>
      <c r="DZ2" s="5" t="s">
        <v>2</v>
      </c>
      <c r="EA2" s="5" t="s">
        <v>3</v>
      </c>
      <c r="EB2" s="6" t="s">
        <v>4</v>
      </c>
      <c r="EC2" s="5" t="s">
        <v>3</v>
      </c>
      <c r="ED2" s="5" t="s">
        <v>5</v>
      </c>
      <c r="EE2" s="5" t="s">
        <v>6</v>
      </c>
      <c r="EF2" s="5" t="s">
        <v>7</v>
      </c>
      <c r="EG2" s="229" t="s">
        <v>12</v>
      </c>
      <c r="EH2" s="5" t="s">
        <v>8</v>
      </c>
      <c r="EI2" s="5" t="s">
        <v>9</v>
      </c>
      <c r="EJ2" s="5" t="s">
        <v>10</v>
      </c>
      <c r="EK2" s="5" t="s">
        <v>11</v>
      </c>
    </row>
    <row r="3" spans="1:141" x14ac:dyDescent="0.2">
      <c r="A3" s="16">
        <v>46153</v>
      </c>
      <c r="B3" s="74">
        <v>2774</v>
      </c>
      <c r="C3" s="53">
        <v>8408</v>
      </c>
      <c r="D3" s="53">
        <v>44</v>
      </c>
      <c r="E3" s="53">
        <v>423</v>
      </c>
      <c r="F3" s="53">
        <v>5</v>
      </c>
      <c r="G3" s="53">
        <v>52</v>
      </c>
      <c r="H3" s="53">
        <v>6</v>
      </c>
      <c r="I3" s="53">
        <v>0</v>
      </c>
      <c r="J3" s="75" t="s">
        <v>411</v>
      </c>
      <c r="K3" s="76">
        <v>748</v>
      </c>
      <c r="L3" s="53">
        <v>4488</v>
      </c>
      <c r="M3" s="77">
        <v>1.02</v>
      </c>
      <c r="N3" s="15"/>
      <c r="O3" s="2"/>
      <c r="P3" s="16">
        <v>46153</v>
      </c>
      <c r="Q3" s="53">
        <v>9783</v>
      </c>
      <c r="R3" s="53">
        <v>214</v>
      </c>
      <c r="S3" s="53">
        <v>292</v>
      </c>
      <c r="T3" s="53">
        <v>9</v>
      </c>
      <c r="U3" s="53">
        <v>0</v>
      </c>
      <c r="V3" s="53">
        <v>10</v>
      </c>
      <c r="W3" s="53">
        <v>9</v>
      </c>
      <c r="X3" s="75" t="s">
        <v>640</v>
      </c>
      <c r="Y3" s="76">
        <v>700</v>
      </c>
      <c r="Z3" s="53">
        <v>7000</v>
      </c>
      <c r="AA3" s="77">
        <v>0.32710280373831774</v>
      </c>
      <c r="AB3" s="15" t="s">
        <v>456</v>
      </c>
      <c r="AC3" s="1"/>
      <c r="AD3" s="16">
        <v>46153</v>
      </c>
      <c r="AE3" s="53">
        <v>12277</v>
      </c>
      <c r="AF3" s="53">
        <v>148</v>
      </c>
      <c r="AG3" s="53">
        <v>277</v>
      </c>
      <c r="AH3" s="53">
        <v>2</v>
      </c>
      <c r="AI3" s="53">
        <v>34</v>
      </c>
      <c r="AJ3" s="53">
        <v>3</v>
      </c>
      <c r="AK3" s="53">
        <v>0</v>
      </c>
      <c r="AL3" s="75" t="s">
        <v>628</v>
      </c>
      <c r="AM3" s="76">
        <v>210</v>
      </c>
      <c r="AN3" s="53">
        <v>630</v>
      </c>
      <c r="AO3" s="77">
        <v>4.256756756756757E-2</v>
      </c>
      <c r="AP3" s="15"/>
      <c r="AQ3" s="2"/>
      <c r="AR3" s="16">
        <v>46153</v>
      </c>
      <c r="AS3" s="53">
        <v>13742</v>
      </c>
      <c r="AT3" s="53">
        <v>199</v>
      </c>
      <c r="AU3" s="53">
        <v>424</v>
      </c>
      <c r="AV3" s="53">
        <v>5</v>
      </c>
      <c r="AW3" s="53">
        <v>0</v>
      </c>
      <c r="AX3" s="53">
        <v>6</v>
      </c>
      <c r="AY3" s="53">
        <v>4</v>
      </c>
      <c r="AZ3" s="75" t="s">
        <v>625</v>
      </c>
      <c r="BA3" s="76">
        <v>1100</v>
      </c>
      <c r="BB3" s="53">
        <v>6600</v>
      </c>
      <c r="BC3" s="77">
        <v>0.33165829145728642</v>
      </c>
      <c r="BD3" s="15"/>
      <c r="BE3" s="2"/>
      <c r="BF3" s="86">
        <v>46153</v>
      </c>
      <c r="BG3" s="239" t="s">
        <v>589</v>
      </c>
      <c r="BH3" s="76">
        <v>2987</v>
      </c>
      <c r="BI3" s="53">
        <v>66</v>
      </c>
      <c r="BJ3" s="53">
        <v>37</v>
      </c>
      <c r="BK3" s="53">
        <v>2</v>
      </c>
      <c r="BL3" s="53">
        <v>0</v>
      </c>
      <c r="BM3" s="53">
        <v>3</v>
      </c>
      <c r="BN3" s="53">
        <v>3</v>
      </c>
      <c r="BO3" s="75" t="s">
        <v>614</v>
      </c>
      <c r="BP3" s="76">
        <v>1500</v>
      </c>
      <c r="BQ3" s="53">
        <v>4500</v>
      </c>
      <c r="BR3" s="77">
        <v>0.68181818181818177</v>
      </c>
      <c r="BS3" s="15" t="s">
        <v>642</v>
      </c>
      <c r="BU3" s="16">
        <v>46153</v>
      </c>
      <c r="BV3" s="76">
        <v>19338</v>
      </c>
      <c r="BW3" s="53">
        <v>218</v>
      </c>
      <c r="BX3" s="53">
        <v>560</v>
      </c>
      <c r="BY3" s="53">
        <v>9</v>
      </c>
      <c r="BZ3" s="53">
        <v>69</v>
      </c>
      <c r="CA3" s="53">
        <v>9</v>
      </c>
      <c r="CB3" s="53">
        <v>5</v>
      </c>
      <c r="CC3" s="230" t="s">
        <v>514</v>
      </c>
      <c r="CD3" s="53">
        <v>935</v>
      </c>
      <c r="CE3" s="13">
        <v>8415</v>
      </c>
      <c r="CF3" s="14">
        <v>0.38600917431192661</v>
      </c>
      <c r="CG3" s="91"/>
      <c r="CH3" s="1"/>
      <c r="CI3" s="16">
        <v>46153</v>
      </c>
      <c r="CJ3" s="76">
        <v>47233</v>
      </c>
      <c r="CK3" s="53">
        <v>511</v>
      </c>
      <c r="CL3" s="53">
        <v>576</v>
      </c>
      <c r="CM3" s="53">
        <v>2</v>
      </c>
      <c r="CN3" s="53">
        <v>40</v>
      </c>
      <c r="CO3" s="53">
        <v>11</v>
      </c>
      <c r="CP3" s="53">
        <v>1</v>
      </c>
      <c r="CQ3" s="230" t="s">
        <v>482</v>
      </c>
      <c r="CR3" s="13">
        <v>1500</v>
      </c>
      <c r="CS3" s="13">
        <v>16500</v>
      </c>
      <c r="CT3" s="14">
        <v>0.32289628180039137</v>
      </c>
      <c r="CU3" s="67"/>
      <c r="CV3" s="1"/>
      <c r="CW3" s="16">
        <v>46153</v>
      </c>
      <c r="CX3" s="76">
        <v>17552</v>
      </c>
      <c r="CY3" s="53">
        <v>57</v>
      </c>
      <c r="CZ3" s="53">
        <v>370</v>
      </c>
      <c r="DA3" s="53">
        <v>3</v>
      </c>
      <c r="DB3" s="53">
        <v>80</v>
      </c>
      <c r="DC3" s="53">
        <v>3</v>
      </c>
      <c r="DD3" s="53">
        <v>3</v>
      </c>
      <c r="DE3" s="230" t="s">
        <v>334</v>
      </c>
      <c r="DF3" s="53">
        <v>880</v>
      </c>
      <c r="DG3" s="13">
        <v>2640</v>
      </c>
      <c r="DH3" s="14">
        <v>0.4631578947368421</v>
      </c>
      <c r="DI3" s="134"/>
      <c r="DJ3" s="1"/>
      <c r="DK3" s="16">
        <v>46153</v>
      </c>
      <c r="DL3" s="76">
        <v>12457</v>
      </c>
      <c r="DM3" s="53">
        <v>152</v>
      </c>
      <c r="DN3" s="53">
        <v>402</v>
      </c>
      <c r="DO3" s="53">
        <v>15</v>
      </c>
      <c r="DP3" s="53">
        <v>98</v>
      </c>
      <c r="DQ3" s="53">
        <v>15</v>
      </c>
      <c r="DR3" s="53">
        <v>12</v>
      </c>
      <c r="DS3" s="230" t="s">
        <v>612</v>
      </c>
      <c r="DT3" s="13">
        <v>286</v>
      </c>
      <c r="DU3" s="13">
        <v>4290</v>
      </c>
      <c r="DV3" s="14">
        <v>0.28223684210526317</v>
      </c>
      <c r="DW3" s="255"/>
      <c r="DY3" s="16">
        <v>46153</v>
      </c>
      <c r="DZ3" s="76">
        <v>2896</v>
      </c>
      <c r="EA3" s="53">
        <v>46</v>
      </c>
      <c r="EB3" s="53">
        <v>204</v>
      </c>
      <c r="EC3" s="53">
        <v>5</v>
      </c>
      <c r="ED3" s="53">
        <v>105</v>
      </c>
      <c r="EE3" s="53">
        <v>5</v>
      </c>
      <c r="EF3" s="53">
        <v>6</v>
      </c>
      <c r="EG3" s="230" t="s">
        <v>594</v>
      </c>
      <c r="EH3" s="13">
        <v>950</v>
      </c>
      <c r="EI3" s="13">
        <v>4750</v>
      </c>
      <c r="EJ3" s="14">
        <v>1.0326086956521738</v>
      </c>
      <c r="EK3" s="22"/>
    </row>
    <row r="4" spans="1:141" x14ac:dyDescent="0.2">
      <c r="A4" s="16"/>
      <c r="B4" s="11"/>
      <c r="C4" s="13">
        <v>7961</v>
      </c>
      <c r="D4" s="13">
        <v>91</v>
      </c>
      <c r="E4" s="13">
        <v>456</v>
      </c>
      <c r="F4" s="13">
        <v>1</v>
      </c>
      <c r="G4" s="13">
        <v>50</v>
      </c>
      <c r="H4" s="13">
        <v>2</v>
      </c>
      <c r="I4" s="13">
        <v>0</v>
      </c>
      <c r="J4" s="56" t="s">
        <v>393</v>
      </c>
      <c r="K4" s="54">
        <v>275</v>
      </c>
      <c r="L4" s="13">
        <v>550</v>
      </c>
      <c r="M4" s="14">
        <v>6.043956043956044E-2</v>
      </c>
      <c r="N4" s="15"/>
      <c r="O4" s="2"/>
      <c r="P4" s="16"/>
      <c r="Q4" s="13">
        <v>2828</v>
      </c>
      <c r="R4" s="13">
        <v>80</v>
      </c>
      <c r="S4" s="13">
        <v>182</v>
      </c>
      <c r="T4" s="13">
        <v>-1</v>
      </c>
      <c r="U4" s="13">
        <v>16</v>
      </c>
      <c r="V4" s="13">
        <v>2</v>
      </c>
      <c r="W4" s="13">
        <v>0</v>
      </c>
      <c r="X4" s="75" t="s">
        <v>577</v>
      </c>
      <c r="Y4" s="53">
        <v>600</v>
      </c>
      <c r="Z4" s="13">
        <v>1200</v>
      </c>
      <c r="AA4" s="14">
        <v>0.15</v>
      </c>
      <c r="AB4" s="15"/>
      <c r="AC4" s="1"/>
      <c r="AD4" s="16"/>
      <c r="AE4" s="13">
        <v>12508</v>
      </c>
      <c r="AF4" s="13">
        <v>77</v>
      </c>
      <c r="AG4" s="13">
        <v>258</v>
      </c>
      <c r="AH4" s="13">
        <v>1</v>
      </c>
      <c r="AI4" s="13">
        <v>9</v>
      </c>
      <c r="AJ4" s="13">
        <v>1</v>
      </c>
      <c r="AK4" s="13">
        <v>3</v>
      </c>
      <c r="AL4" s="56" t="s">
        <v>587</v>
      </c>
      <c r="AM4" s="54">
        <v>1100</v>
      </c>
      <c r="AN4" s="13">
        <v>1100</v>
      </c>
      <c r="AO4" s="14">
        <v>0.14285714285714285</v>
      </c>
      <c r="AP4" s="15"/>
      <c r="AQ4" s="2"/>
      <c r="AR4" s="16"/>
      <c r="AS4" s="13">
        <v>10855</v>
      </c>
      <c r="AT4" s="13">
        <v>109</v>
      </c>
      <c r="AU4" s="13">
        <v>489</v>
      </c>
      <c r="AV4" s="13">
        <v>1</v>
      </c>
      <c r="AW4" s="13">
        <v>26</v>
      </c>
      <c r="AX4" s="13">
        <v>1</v>
      </c>
      <c r="AY4" s="13">
        <v>0</v>
      </c>
      <c r="AZ4" s="56" t="s">
        <v>605</v>
      </c>
      <c r="BA4" s="54">
        <v>1100</v>
      </c>
      <c r="BB4" s="13">
        <v>1100</v>
      </c>
      <c r="BC4" s="14">
        <v>0.10091743119266056</v>
      </c>
      <c r="BD4" s="15"/>
      <c r="BE4" s="2"/>
      <c r="BF4" s="86"/>
      <c r="BG4" s="239" t="s">
        <v>590</v>
      </c>
      <c r="BH4" s="54">
        <v>4501</v>
      </c>
      <c r="BI4" s="179">
        <v>126</v>
      </c>
      <c r="BJ4" s="13">
        <v>31</v>
      </c>
      <c r="BK4" s="13">
        <v>0</v>
      </c>
      <c r="BL4" s="13">
        <v>3</v>
      </c>
      <c r="BM4" s="13">
        <v>0</v>
      </c>
      <c r="BN4" s="13">
        <v>0</v>
      </c>
      <c r="BO4" s="75" t="s">
        <v>482</v>
      </c>
      <c r="BP4" s="53">
        <v>1500</v>
      </c>
      <c r="BQ4" s="13">
        <v>0</v>
      </c>
      <c r="BR4" s="14">
        <v>0</v>
      </c>
      <c r="BS4" s="15"/>
      <c r="BU4" s="79">
        <f>IF($A7="","",$A7)</f>
        <v>46157</v>
      </c>
      <c r="BV4" s="17">
        <v>19558</v>
      </c>
      <c r="BW4" s="13">
        <f t="shared" ref="BW4:BW16" si="0">IF(BV4="","",BV4-BV3)</f>
        <v>220</v>
      </c>
      <c r="BX4" s="13">
        <v>569</v>
      </c>
      <c r="BY4" s="13">
        <f t="shared" ref="BY4:BY16" si="1">IF(BX4="","",BX4-BX3)</f>
        <v>9</v>
      </c>
      <c r="BZ4" s="13">
        <v>65</v>
      </c>
      <c r="CA4" s="13">
        <f t="shared" ref="CA4:CA16" si="2">IF(BZ4="","",BZ3+CB3-BZ4)</f>
        <v>9</v>
      </c>
      <c r="CB4" s="13">
        <v>10</v>
      </c>
      <c r="CC4" s="231" t="str">
        <f t="shared" ref="CC4:CC26" si="3">IF(BV4="","",CC3)</f>
        <v>サミュエルうさぎ</v>
      </c>
      <c r="CD4" s="53">
        <f t="shared" ref="CD4:CD16" si="4">IF(BV4="","",CD3)</f>
        <v>935</v>
      </c>
      <c r="CE4" s="13">
        <f t="shared" ref="CE4:CE16" si="5">IF(CD4="","",CA4*CD4)</f>
        <v>8415</v>
      </c>
      <c r="CF4" s="254">
        <f t="shared" ref="CF4:CF15" si="6">IF(CE4="","",CE4/(BW4*100))</f>
        <v>0.38250000000000001</v>
      </c>
      <c r="CG4" s="91"/>
      <c r="CH4" s="1"/>
      <c r="CI4" s="79">
        <f>IF($A7="","",$A7)</f>
        <v>46157</v>
      </c>
      <c r="CJ4" s="17">
        <v>47790</v>
      </c>
      <c r="CK4" s="13">
        <f t="shared" ref="CK4:CK12" si="7">IF(CJ4="","",CJ4-CJ3)</f>
        <v>557</v>
      </c>
      <c r="CL4" s="13">
        <v>582</v>
      </c>
      <c r="CM4" s="13">
        <f t="shared" ref="CM4:CM12" si="8">IF(CL4="","",CL4-CL3)</f>
        <v>6</v>
      </c>
      <c r="CN4" s="13">
        <v>34</v>
      </c>
      <c r="CO4" s="13">
        <f t="shared" ref="CO4:CO12" si="9">IF(CN4="","",CN3+CP3-CN4)</f>
        <v>7</v>
      </c>
      <c r="CP4" s="13">
        <v>6</v>
      </c>
      <c r="CQ4" s="231" t="str">
        <f t="shared" ref="CQ4:CQ12" si="10">IF(CJ4="","",CQ3)</f>
        <v>ボンボンドロップシール</v>
      </c>
      <c r="CR4" s="53">
        <f t="shared" ref="CR4:CR12" si="11">IF(CJ4="","",CR3)</f>
        <v>1500</v>
      </c>
      <c r="CS4" s="13">
        <f t="shared" ref="CS4:CS12" si="12">IF(CR4="","",CO4*CR4)</f>
        <v>10500</v>
      </c>
      <c r="CT4" s="254">
        <f t="shared" ref="CT4:CT12" si="13">IF(CS4="","",CS4/(CK4*100))</f>
        <v>0.18850987432675045</v>
      </c>
      <c r="CU4" s="91"/>
      <c r="CV4" s="1"/>
      <c r="CW4" s="79">
        <f>IF($A7="","",$A7)</f>
        <v>46157</v>
      </c>
      <c r="CX4" s="17">
        <v>17850</v>
      </c>
      <c r="CY4" s="13">
        <f t="shared" ref="CY4:CY12" si="14">IF(CX4="","",CX4-CX3)</f>
        <v>298</v>
      </c>
      <c r="CZ4" s="13">
        <v>375</v>
      </c>
      <c r="DA4" s="13">
        <f t="shared" ref="DA4:DA12" si="15">IF(CZ4="","",CZ4-CZ3)</f>
        <v>5</v>
      </c>
      <c r="DB4" s="13">
        <v>75</v>
      </c>
      <c r="DC4" s="13">
        <f t="shared" ref="DC4:DC12" si="16">IF(DB4="","",DB3+DD3-DB4)</f>
        <v>8</v>
      </c>
      <c r="DD4" s="13">
        <v>6</v>
      </c>
      <c r="DE4" s="231" t="str">
        <f t="shared" ref="DE4:DE12" si="17">IF(CX4="","",DE3)</f>
        <v>サンリオマスコットポーチ</v>
      </c>
      <c r="DF4" s="53">
        <f t="shared" ref="DF4:DF12" si="18">IF(CX4="","",DF3)</f>
        <v>880</v>
      </c>
      <c r="DG4" s="13">
        <f t="shared" ref="DG4:DG12" si="19">IF(DF4="","",DC4*DF4)</f>
        <v>7040</v>
      </c>
      <c r="DH4" s="254">
        <f t="shared" ref="DH4:DH12" si="20">IF(DG4="","",DG4/(CY4*100))</f>
        <v>0.23624161073825503</v>
      </c>
      <c r="DI4" s="91"/>
      <c r="DJ4" s="1"/>
      <c r="DK4" s="79">
        <f>IF($A7="","",$A7)</f>
        <v>46157</v>
      </c>
      <c r="DL4" s="17">
        <v>12545</v>
      </c>
      <c r="DM4" s="13">
        <f t="shared" ref="DM4:DM12" si="21">IF(DL4="","",DL4-DL3)</f>
        <v>88</v>
      </c>
      <c r="DN4" s="13">
        <v>413</v>
      </c>
      <c r="DO4" s="13">
        <f t="shared" ref="DO4:DO12" si="22">IF(DN4="","",DN4-DN3)</f>
        <v>11</v>
      </c>
      <c r="DP4" s="13">
        <v>66</v>
      </c>
      <c r="DQ4" s="13">
        <f t="shared" ref="DQ4:DQ12" si="23">IF(DP4="","",DP3+DR3-DP4)</f>
        <v>44</v>
      </c>
      <c r="DR4" s="13">
        <v>10</v>
      </c>
      <c r="DS4" s="231" t="str">
        <f t="shared" ref="DS4:DS12" si="24">IF(DL4="","",DS3)</f>
        <v>箱入りバター</v>
      </c>
      <c r="DT4" s="53">
        <f t="shared" ref="DT4:DT12" si="25">IF(DL4="","",DT3)</f>
        <v>286</v>
      </c>
      <c r="DU4" s="13">
        <f t="shared" ref="DU4:DU12" si="26">IF(DT4="","",DQ4*DT4)</f>
        <v>12584</v>
      </c>
      <c r="DV4" s="254">
        <f t="shared" ref="DV4:DV12" si="27">IF(DU4="","",DU4/(DM4*100))</f>
        <v>1.43</v>
      </c>
      <c r="DW4" s="91" t="s">
        <v>643</v>
      </c>
      <c r="DY4" s="79">
        <f>IF($A7="","",$A7)</f>
        <v>46157</v>
      </c>
      <c r="DZ4" s="17">
        <v>2926</v>
      </c>
      <c r="EA4" s="13">
        <f t="shared" ref="EA4:EA12" si="28">IF(DZ4="","",DZ4-DZ3)</f>
        <v>30</v>
      </c>
      <c r="EB4" s="13">
        <v>207</v>
      </c>
      <c r="EC4" s="13">
        <f t="shared" ref="EC4:EC12" si="29">IF(EB4="","",EB4-EB3)</f>
        <v>3</v>
      </c>
      <c r="ED4" s="13">
        <v>60</v>
      </c>
      <c r="EE4" s="13">
        <f t="shared" ref="EE4:EE12" si="30">IF(ED4="","",ED3+EF3-ED4)</f>
        <v>51</v>
      </c>
      <c r="EF4" s="13">
        <v>0</v>
      </c>
      <c r="EG4" s="231" t="str">
        <f t="shared" ref="EG4:EG12" si="31">IF(DZ4="","",EG3)</f>
        <v>サンリオアニマルポーチ</v>
      </c>
      <c r="EH4" s="53">
        <f t="shared" ref="EH4:EH12" si="32">IF(DZ4="","",EH3)</f>
        <v>950</v>
      </c>
      <c r="EI4" s="13">
        <f t="shared" ref="EI4:EI12" si="33">IF(EH4="","",EE4*EH4)</f>
        <v>48450</v>
      </c>
      <c r="EJ4" s="254">
        <f t="shared" ref="EJ4:EJ12" si="34">IF(EI4="","",EI4/(EA4*100))</f>
        <v>16.149999999999999</v>
      </c>
      <c r="EK4" s="91" t="s">
        <v>644</v>
      </c>
    </row>
    <row r="5" spans="1:141" x14ac:dyDescent="0.2">
      <c r="A5" s="16"/>
      <c r="B5" s="11"/>
      <c r="C5" s="13">
        <v>13464</v>
      </c>
      <c r="D5" s="13">
        <v>40</v>
      </c>
      <c r="E5" s="13">
        <v>843</v>
      </c>
      <c r="F5" s="13">
        <v>9</v>
      </c>
      <c r="G5" s="13">
        <v>238</v>
      </c>
      <c r="H5" s="13">
        <v>10</v>
      </c>
      <c r="I5" s="13">
        <v>0</v>
      </c>
      <c r="J5" s="56" t="s">
        <v>519</v>
      </c>
      <c r="K5" s="54">
        <v>100</v>
      </c>
      <c r="L5" s="13">
        <v>1000</v>
      </c>
      <c r="M5" s="14">
        <v>0.25</v>
      </c>
      <c r="N5" s="15"/>
      <c r="O5" s="2"/>
      <c r="P5" s="16"/>
      <c r="Q5" s="13">
        <v>11082</v>
      </c>
      <c r="R5" s="13">
        <v>46</v>
      </c>
      <c r="S5" s="13">
        <v>223</v>
      </c>
      <c r="T5" s="13">
        <v>0</v>
      </c>
      <c r="U5" s="13">
        <v>40</v>
      </c>
      <c r="V5" s="13">
        <v>0</v>
      </c>
      <c r="W5" s="13">
        <v>0</v>
      </c>
      <c r="X5" s="56" t="s">
        <v>499</v>
      </c>
      <c r="Y5" s="54">
        <v>1100</v>
      </c>
      <c r="Z5" s="13">
        <v>0</v>
      </c>
      <c r="AA5" s="14">
        <v>0</v>
      </c>
      <c r="AB5" s="15"/>
      <c r="AC5" s="1"/>
      <c r="AD5" s="16"/>
      <c r="AE5" s="13">
        <v>15157</v>
      </c>
      <c r="AF5" s="13">
        <v>112</v>
      </c>
      <c r="AG5" s="13">
        <v>580</v>
      </c>
      <c r="AH5" s="13">
        <v>10</v>
      </c>
      <c r="AI5" s="13">
        <v>70</v>
      </c>
      <c r="AJ5" s="13">
        <v>12</v>
      </c>
      <c r="AK5" s="13">
        <v>6</v>
      </c>
      <c r="AL5" s="56" t="s">
        <v>578</v>
      </c>
      <c r="AM5" s="54">
        <v>260</v>
      </c>
      <c r="AN5" s="13">
        <v>3120</v>
      </c>
      <c r="AO5" s="14">
        <v>0.27857142857142858</v>
      </c>
      <c r="AP5" s="15"/>
      <c r="AQ5" s="2"/>
      <c r="AR5" s="16"/>
      <c r="AS5" s="13">
        <v>18791</v>
      </c>
      <c r="AT5" s="13">
        <v>86</v>
      </c>
      <c r="AU5" s="13">
        <v>579</v>
      </c>
      <c r="AV5" s="13">
        <v>1</v>
      </c>
      <c r="AW5" s="13">
        <v>24</v>
      </c>
      <c r="AX5" s="13">
        <v>1</v>
      </c>
      <c r="AY5" s="13">
        <v>1</v>
      </c>
      <c r="AZ5" s="56" t="s">
        <v>477</v>
      </c>
      <c r="BA5" s="54">
        <v>1430</v>
      </c>
      <c r="BB5" s="13">
        <v>1430</v>
      </c>
      <c r="BC5" s="14">
        <v>0.16627906976744186</v>
      </c>
      <c r="BD5" s="15"/>
      <c r="BE5" s="2"/>
      <c r="BF5" s="86"/>
      <c r="BG5" s="239" t="s">
        <v>591</v>
      </c>
      <c r="BH5" s="54">
        <v>3549</v>
      </c>
      <c r="BI5" s="179">
        <v>91</v>
      </c>
      <c r="BJ5" s="13">
        <v>37</v>
      </c>
      <c r="BK5" s="13">
        <v>3</v>
      </c>
      <c r="BL5" s="13">
        <v>0</v>
      </c>
      <c r="BM5" s="13">
        <v>3</v>
      </c>
      <c r="BN5" s="13">
        <v>3</v>
      </c>
      <c r="BO5" s="56" t="s">
        <v>614</v>
      </c>
      <c r="BP5" s="54">
        <v>1500</v>
      </c>
      <c r="BQ5" s="13">
        <v>4500</v>
      </c>
      <c r="BR5" s="14">
        <v>0.49450549450549453</v>
      </c>
      <c r="BS5" s="39" t="s">
        <v>641</v>
      </c>
      <c r="BU5" s="226">
        <f>IF($A11="","",$A11)</f>
        <v>46160</v>
      </c>
      <c r="BV5" s="17">
        <v>19823</v>
      </c>
      <c r="BW5" s="13">
        <f t="shared" si="0"/>
        <v>265</v>
      </c>
      <c r="BX5" s="13">
        <v>573</v>
      </c>
      <c r="BY5" s="13">
        <f t="shared" si="1"/>
        <v>4</v>
      </c>
      <c r="BZ5" s="13">
        <v>70</v>
      </c>
      <c r="CA5" s="13">
        <f t="shared" si="2"/>
        <v>5</v>
      </c>
      <c r="CB5" s="13">
        <v>14</v>
      </c>
      <c r="CC5" s="231" t="str">
        <f t="shared" si="3"/>
        <v>サミュエルうさぎ</v>
      </c>
      <c r="CD5" s="53">
        <f t="shared" si="4"/>
        <v>935</v>
      </c>
      <c r="CE5" s="13">
        <f t="shared" si="5"/>
        <v>4675</v>
      </c>
      <c r="CF5" s="254">
        <f t="shared" si="6"/>
        <v>0.17641509433962263</v>
      </c>
      <c r="CG5" s="91"/>
      <c r="CH5" s="1"/>
      <c r="CI5" s="226">
        <f>IF($A11="","",$A11)</f>
        <v>46160</v>
      </c>
      <c r="CJ5" s="17">
        <v>48631</v>
      </c>
      <c r="CK5" s="13">
        <f t="shared" si="7"/>
        <v>841</v>
      </c>
      <c r="CL5" s="13">
        <v>587</v>
      </c>
      <c r="CM5" s="13">
        <f t="shared" si="8"/>
        <v>5</v>
      </c>
      <c r="CN5" s="13">
        <v>34</v>
      </c>
      <c r="CO5" s="13">
        <f t="shared" si="9"/>
        <v>6</v>
      </c>
      <c r="CP5" s="13">
        <v>7</v>
      </c>
      <c r="CQ5" s="231" t="str">
        <f t="shared" si="10"/>
        <v>ボンボンドロップシール</v>
      </c>
      <c r="CR5" s="53">
        <f t="shared" si="11"/>
        <v>1500</v>
      </c>
      <c r="CS5" s="13">
        <f t="shared" si="12"/>
        <v>9000</v>
      </c>
      <c r="CT5" s="254">
        <f t="shared" si="13"/>
        <v>0.1070154577883472</v>
      </c>
      <c r="CU5" s="91"/>
      <c r="CV5" s="1"/>
      <c r="CW5" s="226">
        <f>IF($A11="","",$A11)</f>
        <v>46160</v>
      </c>
      <c r="CX5" s="17">
        <v>18003</v>
      </c>
      <c r="CY5" s="13">
        <f t="shared" si="14"/>
        <v>153</v>
      </c>
      <c r="CZ5" s="13">
        <v>380</v>
      </c>
      <c r="DA5" s="13">
        <f t="shared" si="15"/>
        <v>5</v>
      </c>
      <c r="DB5" s="13">
        <v>76</v>
      </c>
      <c r="DC5" s="13">
        <f t="shared" si="16"/>
        <v>5</v>
      </c>
      <c r="DD5" s="13">
        <v>8</v>
      </c>
      <c r="DE5" s="231" t="str">
        <f t="shared" si="17"/>
        <v>サンリオマスコットポーチ</v>
      </c>
      <c r="DF5" s="53">
        <f t="shared" si="18"/>
        <v>880</v>
      </c>
      <c r="DG5" s="13">
        <f t="shared" si="19"/>
        <v>4400</v>
      </c>
      <c r="DH5" s="254">
        <f t="shared" si="20"/>
        <v>0.28758169934640521</v>
      </c>
      <c r="DI5" s="91"/>
      <c r="DJ5" s="1"/>
      <c r="DK5" s="226">
        <f>IF($A11="","",$A11)</f>
        <v>46160</v>
      </c>
      <c r="DL5" s="17">
        <v>12637</v>
      </c>
      <c r="DM5" s="13">
        <f t="shared" si="21"/>
        <v>92</v>
      </c>
      <c r="DN5" s="13">
        <v>418</v>
      </c>
      <c r="DO5" s="13">
        <f t="shared" si="22"/>
        <v>5</v>
      </c>
      <c r="DP5" s="13">
        <v>70</v>
      </c>
      <c r="DQ5" s="13">
        <f t="shared" si="23"/>
        <v>6</v>
      </c>
      <c r="DR5" s="13">
        <v>24</v>
      </c>
      <c r="DS5" s="231" t="str">
        <f t="shared" si="24"/>
        <v>箱入りバター</v>
      </c>
      <c r="DT5" s="53">
        <f t="shared" si="25"/>
        <v>286</v>
      </c>
      <c r="DU5" s="13">
        <f t="shared" si="26"/>
        <v>1716</v>
      </c>
      <c r="DV5" s="254">
        <f t="shared" si="27"/>
        <v>0.18652173913043479</v>
      </c>
      <c r="DW5" s="91"/>
      <c r="DY5" s="226">
        <f>IF($A11="","",$A11)</f>
        <v>46160</v>
      </c>
      <c r="DZ5" s="17">
        <v>3023</v>
      </c>
      <c r="EA5" s="13">
        <f t="shared" si="28"/>
        <v>97</v>
      </c>
      <c r="EB5" s="13">
        <v>212</v>
      </c>
      <c r="EC5" s="13">
        <f t="shared" si="29"/>
        <v>5</v>
      </c>
      <c r="ED5" s="13">
        <v>55</v>
      </c>
      <c r="EE5" s="13">
        <f t="shared" si="30"/>
        <v>5</v>
      </c>
      <c r="EF5" s="13">
        <v>0</v>
      </c>
      <c r="EG5" s="231" t="str">
        <f t="shared" si="31"/>
        <v>サンリオアニマルポーチ</v>
      </c>
      <c r="EH5" s="53">
        <f t="shared" si="32"/>
        <v>950</v>
      </c>
      <c r="EI5" s="13">
        <f t="shared" si="33"/>
        <v>4750</v>
      </c>
      <c r="EJ5" s="254">
        <f t="shared" si="34"/>
        <v>0.48969072164948452</v>
      </c>
      <c r="EK5" s="91"/>
    </row>
    <row r="6" spans="1:141" ht="15" customHeight="1" thickBot="1" x14ac:dyDescent="0.25">
      <c r="A6" s="26"/>
      <c r="B6" s="46"/>
      <c r="C6" s="27">
        <v>9617</v>
      </c>
      <c r="D6" s="27">
        <v>66</v>
      </c>
      <c r="E6" s="27">
        <v>541</v>
      </c>
      <c r="F6" s="27">
        <v>1</v>
      </c>
      <c r="G6" s="27">
        <v>21</v>
      </c>
      <c r="H6" s="27">
        <v>1</v>
      </c>
      <c r="I6" s="27">
        <v>0</v>
      </c>
      <c r="J6" s="57" t="s">
        <v>562</v>
      </c>
      <c r="K6" s="27">
        <v>572</v>
      </c>
      <c r="L6" s="27">
        <v>572</v>
      </c>
      <c r="M6" s="28">
        <v>8.666666666666667E-2</v>
      </c>
      <c r="N6" s="15"/>
      <c r="O6" s="2"/>
      <c r="P6" s="26"/>
      <c r="Q6" s="27">
        <v>15417</v>
      </c>
      <c r="R6" s="27">
        <v>21</v>
      </c>
      <c r="S6" s="27">
        <v>688</v>
      </c>
      <c r="T6" s="27">
        <v>2</v>
      </c>
      <c r="U6" s="27">
        <v>19</v>
      </c>
      <c r="V6" s="27">
        <v>0</v>
      </c>
      <c r="W6" s="27">
        <v>22</v>
      </c>
      <c r="X6" s="57" t="s">
        <v>449</v>
      </c>
      <c r="Y6" s="27">
        <v>200</v>
      </c>
      <c r="Z6" s="27">
        <v>0</v>
      </c>
      <c r="AA6" s="28">
        <v>0</v>
      </c>
      <c r="AB6" s="142"/>
      <c r="AC6" s="63"/>
      <c r="AD6" s="145"/>
      <c r="AE6" s="27">
        <v>14222</v>
      </c>
      <c r="AF6" s="27">
        <v>49</v>
      </c>
      <c r="AG6" s="27">
        <v>363</v>
      </c>
      <c r="AH6" s="27">
        <v>0</v>
      </c>
      <c r="AI6" s="27">
        <v>17</v>
      </c>
      <c r="AJ6" s="27">
        <v>0</v>
      </c>
      <c r="AK6" s="27">
        <v>0</v>
      </c>
      <c r="AL6" s="57" t="s">
        <v>588</v>
      </c>
      <c r="AM6" s="27">
        <v>400</v>
      </c>
      <c r="AN6" s="27">
        <v>0</v>
      </c>
      <c r="AO6" s="28">
        <v>0</v>
      </c>
      <c r="AP6" s="15"/>
      <c r="AQ6" s="2"/>
      <c r="AR6" s="26"/>
      <c r="AS6" s="27">
        <v>18917</v>
      </c>
      <c r="AT6" s="27">
        <v>77</v>
      </c>
      <c r="AU6" s="27">
        <v>524</v>
      </c>
      <c r="AV6" s="27">
        <v>2</v>
      </c>
      <c r="AW6" s="27">
        <v>22</v>
      </c>
      <c r="AX6" s="27">
        <v>2</v>
      </c>
      <c r="AY6" s="27">
        <v>0</v>
      </c>
      <c r="AZ6" s="57" t="s">
        <v>527</v>
      </c>
      <c r="BA6" s="27">
        <v>400</v>
      </c>
      <c r="BB6" s="27">
        <v>800</v>
      </c>
      <c r="BC6" s="28">
        <v>0.1038961038961039</v>
      </c>
      <c r="BD6" s="15"/>
      <c r="BE6" s="2"/>
      <c r="BF6" s="26"/>
      <c r="BG6" s="238" t="s">
        <v>592</v>
      </c>
      <c r="BH6" s="27">
        <v>2804</v>
      </c>
      <c r="BI6" s="138">
        <v>48</v>
      </c>
      <c r="BJ6" s="27">
        <v>38</v>
      </c>
      <c r="BK6" s="27">
        <v>2</v>
      </c>
      <c r="BL6" s="27">
        <v>0</v>
      </c>
      <c r="BM6" s="27">
        <v>3</v>
      </c>
      <c r="BN6" s="27">
        <v>1</v>
      </c>
      <c r="BO6" s="57" t="s">
        <v>482</v>
      </c>
      <c r="BP6" s="27">
        <v>1500</v>
      </c>
      <c r="BQ6" s="27">
        <v>4500</v>
      </c>
      <c r="BR6" s="184">
        <v>0.9375</v>
      </c>
      <c r="BS6" s="183"/>
      <c r="BU6" s="79">
        <f>IF($A15="","",$A15)</f>
        <v>46164</v>
      </c>
      <c r="BV6" s="17">
        <v>19933</v>
      </c>
      <c r="BW6" s="13">
        <f t="shared" si="0"/>
        <v>110</v>
      </c>
      <c r="BX6" s="13">
        <v>580</v>
      </c>
      <c r="BY6" s="13">
        <f t="shared" si="1"/>
        <v>7</v>
      </c>
      <c r="BZ6" s="13">
        <v>76</v>
      </c>
      <c r="CA6" s="13">
        <f t="shared" si="2"/>
        <v>8</v>
      </c>
      <c r="CB6" s="13">
        <v>5</v>
      </c>
      <c r="CC6" s="231" t="str">
        <f t="shared" si="3"/>
        <v>サミュエルうさぎ</v>
      </c>
      <c r="CD6" s="53">
        <f t="shared" si="4"/>
        <v>935</v>
      </c>
      <c r="CE6" s="13">
        <f t="shared" si="5"/>
        <v>7480</v>
      </c>
      <c r="CF6" s="254">
        <f t="shared" si="6"/>
        <v>0.68</v>
      </c>
      <c r="CG6" s="91"/>
      <c r="CH6" s="1"/>
      <c r="CI6" s="79">
        <f>IF($A15="","",$A15)</f>
        <v>46164</v>
      </c>
      <c r="CJ6" s="17">
        <v>48801</v>
      </c>
      <c r="CK6" s="13">
        <f t="shared" si="7"/>
        <v>170</v>
      </c>
      <c r="CL6" s="13">
        <v>588</v>
      </c>
      <c r="CM6" s="13">
        <f t="shared" si="8"/>
        <v>1</v>
      </c>
      <c r="CN6" s="13">
        <v>35</v>
      </c>
      <c r="CO6" s="13">
        <f t="shared" si="9"/>
        <v>6</v>
      </c>
      <c r="CP6" s="13">
        <v>4</v>
      </c>
      <c r="CQ6" s="231" t="str">
        <f t="shared" si="10"/>
        <v>ボンボンドロップシール</v>
      </c>
      <c r="CR6" s="53">
        <f t="shared" si="11"/>
        <v>1500</v>
      </c>
      <c r="CS6" s="13">
        <f t="shared" si="12"/>
        <v>9000</v>
      </c>
      <c r="CT6" s="254">
        <f t="shared" si="13"/>
        <v>0.52941176470588236</v>
      </c>
      <c r="CU6" s="91"/>
      <c r="CV6" s="1"/>
      <c r="CW6" s="79">
        <f>IF($A15="","",$A15)</f>
        <v>46164</v>
      </c>
      <c r="CX6" s="17">
        <v>18218</v>
      </c>
      <c r="CY6" s="13">
        <f t="shared" si="14"/>
        <v>215</v>
      </c>
      <c r="CZ6" s="13">
        <v>388</v>
      </c>
      <c r="DA6" s="13">
        <f t="shared" si="15"/>
        <v>8</v>
      </c>
      <c r="DB6" s="13">
        <v>76</v>
      </c>
      <c r="DC6" s="13">
        <f t="shared" si="16"/>
        <v>8</v>
      </c>
      <c r="DD6" s="13">
        <v>4</v>
      </c>
      <c r="DE6" s="231" t="str">
        <f t="shared" si="17"/>
        <v>サンリオマスコットポーチ</v>
      </c>
      <c r="DF6" s="53">
        <f t="shared" si="18"/>
        <v>880</v>
      </c>
      <c r="DG6" s="13">
        <f t="shared" si="19"/>
        <v>7040</v>
      </c>
      <c r="DH6" s="254">
        <f t="shared" si="20"/>
        <v>0.32744186046511625</v>
      </c>
      <c r="DI6" s="91"/>
      <c r="DJ6" s="1"/>
      <c r="DK6" s="79">
        <f>IF($A15="","",$A15)</f>
        <v>46164</v>
      </c>
      <c r="DL6" s="17">
        <v>12744</v>
      </c>
      <c r="DM6" s="13">
        <f t="shared" si="21"/>
        <v>107</v>
      </c>
      <c r="DN6" s="13">
        <v>429</v>
      </c>
      <c r="DO6" s="13">
        <f t="shared" si="22"/>
        <v>11</v>
      </c>
      <c r="DP6" s="13">
        <v>82</v>
      </c>
      <c r="DQ6" s="13">
        <f t="shared" si="23"/>
        <v>12</v>
      </c>
      <c r="DR6" s="13">
        <v>10</v>
      </c>
      <c r="DS6" s="231" t="str">
        <f t="shared" si="24"/>
        <v>箱入りバター</v>
      </c>
      <c r="DT6" s="53">
        <f t="shared" si="25"/>
        <v>286</v>
      </c>
      <c r="DU6" s="13">
        <f t="shared" si="26"/>
        <v>3432</v>
      </c>
      <c r="DV6" s="254">
        <f t="shared" si="27"/>
        <v>0.32074766355140188</v>
      </c>
      <c r="DW6" s="91"/>
      <c r="DY6" s="79">
        <f>IF($A15="","",$A15)</f>
        <v>46164</v>
      </c>
      <c r="DZ6" s="17">
        <v>3100</v>
      </c>
      <c r="EA6" s="13">
        <f t="shared" si="28"/>
        <v>77</v>
      </c>
      <c r="EB6" s="13">
        <v>216</v>
      </c>
      <c r="EC6" s="13">
        <f t="shared" si="29"/>
        <v>4</v>
      </c>
      <c r="ED6" s="13">
        <v>50</v>
      </c>
      <c r="EE6" s="13">
        <f t="shared" si="30"/>
        <v>5</v>
      </c>
      <c r="EF6" s="13">
        <v>10</v>
      </c>
      <c r="EG6" s="231" t="str">
        <f t="shared" si="31"/>
        <v>サンリオアニマルポーチ</v>
      </c>
      <c r="EH6" s="53">
        <f t="shared" si="32"/>
        <v>950</v>
      </c>
      <c r="EI6" s="13">
        <f t="shared" si="33"/>
        <v>4750</v>
      </c>
      <c r="EJ6" s="254">
        <f t="shared" si="34"/>
        <v>0.61688311688311692</v>
      </c>
      <c r="EK6" s="91"/>
    </row>
    <row r="7" spans="1:141" ht="15" customHeight="1" thickTop="1" x14ac:dyDescent="0.2">
      <c r="A7" s="79">
        <v>46157</v>
      </c>
      <c r="B7" s="74">
        <f>IF(A7="","",SUM(D7:D10)+SUM(R7:R10)+SUM(AF7:AF10)+SUM(AT7:AT10)+SUM(BW4,CK4,CY4,DM4,EA4)+SUM(BI7:BI10))</f>
        <v>2671</v>
      </c>
      <c r="C7" s="190">
        <v>8453</v>
      </c>
      <c r="D7" s="53">
        <f t="shared" ref="D7:D58" si="35">IF(C7="","",C7-C3)</f>
        <v>45</v>
      </c>
      <c r="E7" s="13">
        <v>427</v>
      </c>
      <c r="F7" s="31">
        <f t="shared" ref="F7:F58" si="36">IF(E7="","",E7-E3)</f>
        <v>4</v>
      </c>
      <c r="G7" s="13">
        <v>48</v>
      </c>
      <c r="H7" s="53">
        <f t="shared" ref="H7:H58" si="37">IF(G7="","",G3+I3-G7)</f>
        <v>4</v>
      </c>
      <c r="I7" s="192">
        <v>0</v>
      </c>
      <c r="J7" s="75" t="str">
        <f t="shared" ref="J7:J10" si="38">IF(C7="","",J3)</f>
        <v>ジャグラーボタン</v>
      </c>
      <c r="K7" s="76">
        <f t="shared" ref="K7:K10" si="39">IF(D7="","",K3)</f>
        <v>748</v>
      </c>
      <c r="L7" s="31">
        <f t="shared" ref="L7:L10" si="40">IF(G7="","",H7*K7)</f>
        <v>2992</v>
      </c>
      <c r="M7" s="32">
        <f t="shared" ref="M7:M10" si="41">IF(H7="","",L7/(D7*100))</f>
        <v>0.66488888888888886</v>
      </c>
      <c r="N7" s="15"/>
      <c r="O7" s="248"/>
      <c r="P7" s="79">
        <f>IF(A7="","",A7)</f>
        <v>46157</v>
      </c>
      <c r="Q7" s="190">
        <v>9925</v>
      </c>
      <c r="R7" s="53">
        <f t="shared" ref="R7:R58" si="42">IF(Q7="","",Q7-Q3)</f>
        <v>142</v>
      </c>
      <c r="S7" s="13">
        <v>298</v>
      </c>
      <c r="T7" s="31">
        <f t="shared" ref="T7:T58" si="43">IF(S7="","",S7-S3)</f>
        <v>6</v>
      </c>
      <c r="U7" s="13">
        <v>3</v>
      </c>
      <c r="V7" s="53">
        <f t="shared" ref="V7:V58" si="44">IF(U7="","",U3+W3-U7)</f>
        <v>6</v>
      </c>
      <c r="W7" s="192">
        <v>4</v>
      </c>
      <c r="X7" s="75" t="str">
        <f t="shared" ref="X7:X10" si="45">IF(Q7="","",X3)</f>
        <v>たまごっちカスタムキーリング</v>
      </c>
      <c r="Y7" s="76">
        <f t="shared" ref="Y7:Y10" si="46">IF(R7="","",Y3)</f>
        <v>700</v>
      </c>
      <c r="Z7" s="31">
        <f t="shared" ref="Z7:Z10" si="47">IF(U7="","",V7*Y7)</f>
        <v>4200</v>
      </c>
      <c r="AA7" s="32">
        <f t="shared" ref="AA7:AA10" si="48">IF(V7="","",Z7/(R7*100))</f>
        <v>0.29577464788732394</v>
      </c>
      <c r="AB7" s="15"/>
      <c r="AC7" s="199"/>
      <c r="AD7" s="79">
        <f>IF($A7="","",$A7)</f>
        <v>46157</v>
      </c>
      <c r="AE7" s="190">
        <v>12318</v>
      </c>
      <c r="AF7" s="53">
        <f t="shared" ref="AF7:AF58" si="49">IF(AE7="","",AE7-AE3)</f>
        <v>41</v>
      </c>
      <c r="AG7" s="13">
        <v>279</v>
      </c>
      <c r="AH7" s="31">
        <f t="shared" ref="AH7:AH58" si="50">IF(AG7="","",AG7-AG3)</f>
        <v>2</v>
      </c>
      <c r="AI7" s="13">
        <v>33</v>
      </c>
      <c r="AJ7" s="53">
        <f t="shared" ref="AJ7:AJ58" si="51">IF(AI7="","",AI3+AK3-AI7)</f>
        <v>1</v>
      </c>
      <c r="AK7" s="192">
        <v>0</v>
      </c>
      <c r="AL7" s="75" t="str">
        <f t="shared" ref="AL7:AL10" si="52">IF(AE7="","",AL3)</f>
        <v>フルーツスクイーズ</v>
      </c>
      <c r="AM7" s="76">
        <f t="shared" ref="AM7:AM10" si="53">IF(AF7="","",AM3)</f>
        <v>210</v>
      </c>
      <c r="AN7" s="31">
        <f t="shared" ref="AN7:AN10" si="54">IF(AI7="","",AJ7*AM7)</f>
        <v>210</v>
      </c>
      <c r="AO7" s="32">
        <f t="shared" ref="AO7:AO10" si="55">IF(AJ7="","",AN7/(AF7*100))</f>
        <v>5.1219512195121948E-2</v>
      </c>
      <c r="AP7" s="15"/>
      <c r="AQ7" s="201"/>
      <c r="AR7" s="79">
        <f>IF($A7="","",$A7)</f>
        <v>46157</v>
      </c>
      <c r="AS7" s="190">
        <v>13896</v>
      </c>
      <c r="AT7" s="53">
        <f t="shared" ref="AT7:AT58" si="56">IF(AS7="","",AS7-AS3)</f>
        <v>154</v>
      </c>
      <c r="AU7" s="13">
        <v>429</v>
      </c>
      <c r="AV7" s="31">
        <f t="shared" ref="AV7:AV58" si="57">IF(AU7="","",AU7-AU3)</f>
        <v>5</v>
      </c>
      <c r="AW7" s="13">
        <v>0</v>
      </c>
      <c r="AX7" s="53">
        <f t="shared" ref="AX7:AX58" si="58">IF(AW7="","",AW3+AY3-AW7)</f>
        <v>4</v>
      </c>
      <c r="AY7" s="192">
        <v>6</v>
      </c>
      <c r="AZ7" s="75" t="str">
        <f t="shared" ref="AZ7:AZ10" si="59">IF(AS7="","",AZ3)</f>
        <v>極とろスクイーズ</v>
      </c>
      <c r="BA7" s="76">
        <f t="shared" ref="BA7:BA10" si="60">IF(AT7="","",BA3)</f>
        <v>1100</v>
      </c>
      <c r="BB7" s="31">
        <f t="shared" ref="BB7:BB10" si="61">IF(AW7="","",AX7*BA7)</f>
        <v>4400</v>
      </c>
      <c r="BC7" s="32">
        <f t="shared" ref="BC7:BC10" si="62">IF(AX7="","",BB7/(AT7*100))</f>
        <v>0.2857142857142857</v>
      </c>
      <c r="BD7" s="15"/>
      <c r="BE7" s="248"/>
      <c r="BF7" s="79">
        <f>IF(A7="","",A7)</f>
        <v>46157</v>
      </c>
      <c r="BG7" s="239" t="s">
        <v>589</v>
      </c>
      <c r="BH7" s="190">
        <v>3004</v>
      </c>
      <c r="BI7" s="53">
        <f t="shared" ref="BI7:BI58" si="63">IF(BH7="","",BH7-BH3)</f>
        <v>17</v>
      </c>
      <c r="BJ7" s="13">
        <v>37</v>
      </c>
      <c r="BK7" s="31">
        <f t="shared" ref="BK7:BK58" si="64">IF(BJ7="","",BJ7-BJ3)</f>
        <v>0</v>
      </c>
      <c r="BL7" s="13">
        <v>3</v>
      </c>
      <c r="BM7" s="53">
        <f t="shared" ref="BM7:BM58" si="65">IF(BL7="","",BL3+BN3-BL7)</f>
        <v>0</v>
      </c>
      <c r="BN7" s="192">
        <v>0</v>
      </c>
      <c r="BO7" s="75" t="str">
        <f t="shared" ref="BO7:BO10" si="66">IF(BH7="","",BO3)</f>
        <v>ボンドロ</v>
      </c>
      <c r="BP7" s="76">
        <f t="shared" ref="BP7:BP10" si="67">IF(BI7="","",BP3)</f>
        <v>1500</v>
      </c>
      <c r="BQ7" s="31">
        <f t="shared" ref="BQ7:BQ10" si="68">IF(BL7="","",BM7*BP7)</f>
        <v>0</v>
      </c>
      <c r="BR7" s="32">
        <f t="shared" ref="BR7:BR10" si="69">IF(BM7="","",BQ7/(BI7*100))</f>
        <v>0</v>
      </c>
      <c r="BS7" s="15"/>
      <c r="BU7" s="79">
        <f>IF($A19="","",$A19)</f>
        <v>46167</v>
      </c>
      <c r="BV7" s="17">
        <v>20095</v>
      </c>
      <c r="BW7" s="13">
        <f t="shared" si="0"/>
        <v>162</v>
      </c>
      <c r="BX7" s="13">
        <v>584</v>
      </c>
      <c r="BY7" s="13">
        <f t="shared" si="1"/>
        <v>4</v>
      </c>
      <c r="BZ7" s="13">
        <v>76</v>
      </c>
      <c r="CA7" s="13">
        <f t="shared" si="2"/>
        <v>5</v>
      </c>
      <c r="CB7" s="13">
        <v>0</v>
      </c>
      <c r="CC7" s="231" t="str">
        <f t="shared" si="3"/>
        <v>サミュエルうさぎ</v>
      </c>
      <c r="CD7" s="53">
        <f t="shared" si="4"/>
        <v>935</v>
      </c>
      <c r="CE7" s="13">
        <f t="shared" si="5"/>
        <v>4675</v>
      </c>
      <c r="CF7" s="254">
        <f t="shared" si="6"/>
        <v>0.28858024691358025</v>
      </c>
      <c r="CG7" s="91" t="s">
        <v>657</v>
      </c>
      <c r="CH7" s="1"/>
      <c r="CI7" s="79">
        <f>IF($A19="","",$A19)</f>
        <v>46167</v>
      </c>
      <c r="CJ7" s="17">
        <v>49255</v>
      </c>
      <c r="CK7" s="13">
        <f t="shared" si="7"/>
        <v>454</v>
      </c>
      <c r="CL7" s="13">
        <v>591</v>
      </c>
      <c r="CM7" s="13">
        <f t="shared" si="8"/>
        <v>3</v>
      </c>
      <c r="CN7" s="13">
        <v>36</v>
      </c>
      <c r="CO7" s="13">
        <f t="shared" si="9"/>
        <v>3</v>
      </c>
      <c r="CP7" s="13">
        <v>4</v>
      </c>
      <c r="CQ7" s="231" t="str">
        <f t="shared" si="10"/>
        <v>ボンボンドロップシール</v>
      </c>
      <c r="CR7" s="53">
        <f t="shared" si="11"/>
        <v>1500</v>
      </c>
      <c r="CS7" s="13">
        <f t="shared" si="12"/>
        <v>4500</v>
      </c>
      <c r="CT7" s="254">
        <f t="shared" si="13"/>
        <v>9.9118942731277526E-2</v>
      </c>
      <c r="CU7" s="91"/>
      <c r="CV7" s="1"/>
      <c r="CW7" s="79">
        <f>IF($A19="","",$A19)</f>
        <v>46167</v>
      </c>
      <c r="CX7" s="17">
        <v>18427</v>
      </c>
      <c r="CY7" s="13">
        <f t="shared" si="14"/>
        <v>209</v>
      </c>
      <c r="CZ7" s="13">
        <v>394</v>
      </c>
      <c r="DA7" s="13">
        <f t="shared" si="15"/>
        <v>6</v>
      </c>
      <c r="DB7" s="13">
        <v>72</v>
      </c>
      <c r="DC7" s="13">
        <f t="shared" si="16"/>
        <v>8</v>
      </c>
      <c r="DD7" s="13">
        <v>0</v>
      </c>
      <c r="DE7" s="231" t="str">
        <f t="shared" si="17"/>
        <v>サンリオマスコットポーチ</v>
      </c>
      <c r="DF7" s="53">
        <f t="shared" si="18"/>
        <v>880</v>
      </c>
      <c r="DG7" s="13">
        <f t="shared" si="19"/>
        <v>7040</v>
      </c>
      <c r="DH7" s="254">
        <f t="shared" si="20"/>
        <v>0.33684210526315789</v>
      </c>
      <c r="DI7" s="91" t="s">
        <v>657</v>
      </c>
      <c r="DJ7" s="1"/>
      <c r="DK7" s="79">
        <f>IF($A19="","",$A19)</f>
        <v>46167</v>
      </c>
      <c r="DL7" s="17">
        <v>12902</v>
      </c>
      <c r="DM7" s="13">
        <f t="shared" si="21"/>
        <v>158</v>
      </c>
      <c r="DN7" s="13">
        <v>439</v>
      </c>
      <c r="DO7" s="13">
        <f t="shared" si="22"/>
        <v>10</v>
      </c>
      <c r="DP7" s="13">
        <v>80</v>
      </c>
      <c r="DQ7" s="13">
        <f t="shared" si="23"/>
        <v>12</v>
      </c>
      <c r="DR7" s="13">
        <v>10</v>
      </c>
      <c r="DS7" s="231" t="str">
        <f t="shared" si="24"/>
        <v>箱入りバター</v>
      </c>
      <c r="DT7" s="53">
        <f t="shared" si="25"/>
        <v>286</v>
      </c>
      <c r="DU7" s="13">
        <f t="shared" si="26"/>
        <v>3432</v>
      </c>
      <c r="DV7" s="254">
        <f t="shared" si="27"/>
        <v>0.21721518987341773</v>
      </c>
      <c r="DW7" s="91"/>
      <c r="DY7" s="79">
        <f>IF($A19="","",$A19)</f>
        <v>46167</v>
      </c>
      <c r="DZ7" s="17">
        <v>3218</v>
      </c>
      <c r="EA7" s="13">
        <f t="shared" si="28"/>
        <v>118</v>
      </c>
      <c r="EB7" s="13">
        <v>224</v>
      </c>
      <c r="EC7" s="13">
        <f t="shared" si="29"/>
        <v>8</v>
      </c>
      <c r="ED7" s="13">
        <v>52</v>
      </c>
      <c r="EE7" s="13">
        <f t="shared" si="30"/>
        <v>8</v>
      </c>
      <c r="EF7" s="13">
        <v>14</v>
      </c>
      <c r="EG7" s="231" t="str">
        <f t="shared" si="31"/>
        <v>サンリオアニマルポーチ</v>
      </c>
      <c r="EH7" s="53">
        <f t="shared" si="32"/>
        <v>950</v>
      </c>
      <c r="EI7" s="13">
        <f t="shared" si="33"/>
        <v>7600</v>
      </c>
      <c r="EJ7" s="254">
        <f t="shared" si="34"/>
        <v>0.64406779661016944</v>
      </c>
      <c r="EK7" s="91" t="s">
        <v>652</v>
      </c>
    </row>
    <row r="8" spans="1:141" x14ac:dyDescent="0.2">
      <c r="A8" s="16"/>
      <c r="B8" s="11"/>
      <c r="C8" s="204">
        <v>8009</v>
      </c>
      <c r="D8" s="13">
        <f t="shared" si="35"/>
        <v>48</v>
      </c>
      <c r="E8" s="53">
        <v>459</v>
      </c>
      <c r="F8" s="13">
        <f t="shared" si="36"/>
        <v>3</v>
      </c>
      <c r="G8" s="13">
        <v>47</v>
      </c>
      <c r="H8" s="13">
        <f t="shared" si="37"/>
        <v>3</v>
      </c>
      <c r="I8" s="205">
        <v>0</v>
      </c>
      <c r="J8" s="56" t="str">
        <f t="shared" si="38"/>
        <v>電ブル</v>
      </c>
      <c r="K8" s="54">
        <f t="shared" si="39"/>
        <v>275</v>
      </c>
      <c r="L8" s="13">
        <f t="shared" si="40"/>
        <v>825</v>
      </c>
      <c r="M8" s="14">
        <f t="shared" si="41"/>
        <v>0.171875</v>
      </c>
      <c r="N8" s="15"/>
      <c r="O8" s="248"/>
      <c r="P8" s="203"/>
      <c r="Q8" s="204">
        <v>2847</v>
      </c>
      <c r="R8" s="87">
        <f t="shared" si="42"/>
        <v>19</v>
      </c>
      <c r="S8" s="53">
        <v>183</v>
      </c>
      <c r="T8" s="13">
        <f t="shared" si="43"/>
        <v>1</v>
      </c>
      <c r="U8" s="13">
        <v>15</v>
      </c>
      <c r="V8" s="13">
        <f t="shared" si="44"/>
        <v>1</v>
      </c>
      <c r="W8" s="205">
        <v>0</v>
      </c>
      <c r="X8" s="56" t="str">
        <f t="shared" si="45"/>
        <v>たまごっちブロックシール</v>
      </c>
      <c r="Y8" s="54">
        <f t="shared" si="46"/>
        <v>600</v>
      </c>
      <c r="Z8" s="13">
        <f t="shared" si="47"/>
        <v>600</v>
      </c>
      <c r="AA8" s="14">
        <f t="shared" si="48"/>
        <v>0.31578947368421051</v>
      </c>
      <c r="AB8" s="15"/>
      <c r="AC8" s="199"/>
      <c r="AD8" s="207"/>
      <c r="AE8" s="204">
        <v>12667</v>
      </c>
      <c r="AF8" s="13">
        <f t="shared" si="49"/>
        <v>159</v>
      </c>
      <c r="AG8" s="53">
        <v>263</v>
      </c>
      <c r="AH8" s="13">
        <f t="shared" si="50"/>
        <v>5</v>
      </c>
      <c r="AI8" s="13">
        <v>8</v>
      </c>
      <c r="AJ8" s="13">
        <f t="shared" si="51"/>
        <v>4</v>
      </c>
      <c r="AK8" s="205">
        <v>0</v>
      </c>
      <c r="AL8" s="56" t="str">
        <f t="shared" si="52"/>
        <v>サンリオハンディファン</v>
      </c>
      <c r="AM8" s="54">
        <f t="shared" si="53"/>
        <v>1100</v>
      </c>
      <c r="AN8" s="13">
        <f t="shared" si="54"/>
        <v>4400</v>
      </c>
      <c r="AO8" s="14">
        <f t="shared" si="55"/>
        <v>0.27672955974842767</v>
      </c>
      <c r="AP8" s="15"/>
      <c r="AQ8" s="201"/>
      <c r="AR8" s="203"/>
      <c r="AS8" s="204">
        <v>10948</v>
      </c>
      <c r="AT8" s="13">
        <f t="shared" si="56"/>
        <v>93</v>
      </c>
      <c r="AU8" s="53">
        <v>489</v>
      </c>
      <c r="AV8" s="13">
        <f t="shared" si="57"/>
        <v>0</v>
      </c>
      <c r="AW8" s="13">
        <v>26</v>
      </c>
      <c r="AX8" s="13">
        <f t="shared" si="58"/>
        <v>0</v>
      </c>
      <c r="AY8" s="205">
        <v>0</v>
      </c>
      <c r="AZ8" s="56" t="str">
        <f t="shared" si="59"/>
        <v>ベアブリック</v>
      </c>
      <c r="BA8" s="54">
        <f t="shared" si="60"/>
        <v>1100</v>
      </c>
      <c r="BB8" s="13">
        <f t="shared" si="61"/>
        <v>0</v>
      </c>
      <c r="BC8" s="14">
        <f t="shared" si="62"/>
        <v>0</v>
      </c>
      <c r="BD8" s="15"/>
      <c r="BE8" s="248"/>
      <c r="BF8" s="203"/>
      <c r="BG8" s="239" t="s">
        <v>590</v>
      </c>
      <c r="BH8" s="204">
        <v>4559</v>
      </c>
      <c r="BI8" s="13">
        <f t="shared" si="63"/>
        <v>58</v>
      </c>
      <c r="BJ8" s="53">
        <v>32</v>
      </c>
      <c r="BK8" s="13">
        <f t="shared" si="64"/>
        <v>1</v>
      </c>
      <c r="BL8" s="13">
        <v>2</v>
      </c>
      <c r="BM8" s="13">
        <f t="shared" si="65"/>
        <v>1</v>
      </c>
      <c r="BN8" s="205">
        <v>1</v>
      </c>
      <c r="BO8" s="56" t="str">
        <f t="shared" si="66"/>
        <v>ボンボンドロップシール</v>
      </c>
      <c r="BP8" s="54">
        <f t="shared" si="67"/>
        <v>1500</v>
      </c>
      <c r="BQ8" s="13">
        <f t="shared" si="68"/>
        <v>1500</v>
      </c>
      <c r="BR8" s="14">
        <f t="shared" si="69"/>
        <v>0.25862068965517243</v>
      </c>
      <c r="BS8" s="15"/>
      <c r="BU8" s="79" t="str">
        <f>IF($A23="","",$A23)</f>
        <v/>
      </c>
      <c r="BV8" s="17"/>
      <c r="BW8" s="13" t="str">
        <f t="shared" si="0"/>
        <v/>
      </c>
      <c r="BX8" s="13"/>
      <c r="BY8" s="13" t="str">
        <f t="shared" si="1"/>
        <v/>
      </c>
      <c r="BZ8" s="13"/>
      <c r="CA8" s="13" t="str">
        <f t="shared" si="2"/>
        <v/>
      </c>
      <c r="CB8" s="13"/>
      <c r="CC8" s="231" t="str">
        <f t="shared" si="3"/>
        <v/>
      </c>
      <c r="CD8" s="53" t="str">
        <f t="shared" si="4"/>
        <v/>
      </c>
      <c r="CE8" s="13" t="str">
        <f t="shared" si="5"/>
        <v/>
      </c>
      <c r="CF8" s="254" t="str">
        <f t="shared" si="6"/>
        <v/>
      </c>
      <c r="CG8" s="91"/>
      <c r="CH8" s="1"/>
      <c r="CI8" s="79" t="str">
        <f>IF($A23="","",$A23)</f>
        <v/>
      </c>
      <c r="CJ8" s="17"/>
      <c r="CK8" s="13" t="str">
        <f t="shared" si="7"/>
        <v/>
      </c>
      <c r="CL8" s="13"/>
      <c r="CM8" s="13" t="str">
        <f t="shared" si="8"/>
        <v/>
      </c>
      <c r="CN8" s="13"/>
      <c r="CO8" s="13" t="str">
        <f t="shared" si="9"/>
        <v/>
      </c>
      <c r="CP8" s="13"/>
      <c r="CQ8" s="231" t="str">
        <f t="shared" si="10"/>
        <v/>
      </c>
      <c r="CR8" s="53" t="str">
        <f t="shared" si="11"/>
        <v/>
      </c>
      <c r="CS8" s="13" t="str">
        <f t="shared" si="12"/>
        <v/>
      </c>
      <c r="CT8" s="254" t="str">
        <f t="shared" si="13"/>
        <v/>
      </c>
      <c r="CU8" s="91"/>
      <c r="CV8" s="1"/>
      <c r="CW8" s="79" t="str">
        <f>IF($A23="","",$A23)</f>
        <v/>
      </c>
      <c r="CX8" s="17"/>
      <c r="CY8" s="13" t="str">
        <f t="shared" si="14"/>
        <v/>
      </c>
      <c r="CZ8" s="13"/>
      <c r="DA8" s="13" t="str">
        <f t="shared" si="15"/>
        <v/>
      </c>
      <c r="DB8" s="13"/>
      <c r="DC8" s="13" t="str">
        <f t="shared" si="16"/>
        <v/>
      </c>
      <c r="DD8" s="13"/>
      <c r="DE8" s="231" t="str">
        <f t="shared" si="17"/>
        <v/>
      </c>
      <c r="DF8" s="53" t="str">
        <f t="shared" si="18"/>
        <v/>
      </c>
      <c r="DG8" s="13" t="str">
        <f t="shared" si="19"/>
        <v/>
      </c>
      <c r="DH8" s="254" t="str">
        <f t="shared" si="20"/>
        <v/>
      </c>
      <c r="DI8" s="91"/>
      <c r="DJ8" s="1"/>
      <c r="DK8" s="79" t="str">
        <f>IF($A23="","",$A23)</f>
        <v/>
      </c>
      <c r="DL8" s="17"/>
      <c r="DM8" s="13" t="str">
        <f t="shared" si="21"/>
        <v/>
      </c>
      <c r="DN8" s="13"/>
      <c r="DO8" s="13" t="str">
        <f t="shared" si="22"/>
        <v/>
      </c>
      <c r="DP8" s="13"/>
      <c r="DQ8" s="13" t="str">
        <f t="shared" si="23"/>
        <v/>
      </c>
      <c r="DR8" s="13"/>
      <c r="DS8" s="231" t="str">
        <f t="shared" si="24"/>
        <v/>
      </c>
      <c r="DT8" s="53" t="str">
        <f t="shared" si="25"/>
        <v/>
      </c>
      <c r="DU8" s="13" t="str">
        <f t="shared" si="26"/>
        <v/>
      </c>
      <c r="DV8" s="254" t="str">
        <f t="shared" si="27"/>
        <v/>
      </c>
      <c r="DW8" s="91"/>
      <c r="DY8" s="79" t="str">
        <f>IF($A23="","",$A23)</f>
        <v/>
      </c>
      <c r="DZ8" s="17"/>
      <c r="EA8" s="13" t="str">
        <f t="shared" si="28"/>
        <v/>
      </c>
      <c r="EB8" s="13"/>
      <c r="EC8" s="13" t="str">
        <f t="shared" si="29"/>
        <v/>
      </c>
      <c r="ED8" s="13"/>
      <c r="EE8" s="13" t="str">
        <f t="shared" si="30"/>
        <v/>
      </c>
      <c r="EF8" s="13"/>
      <c r="EG8" s="231" t="str">
        <f t="shared" si="31"/>
        <v/>
      </c>
      <c r="EH8" s="53" t="str">
        <f t="shared" si="32"/>
        <v/>
      </c>
      <c r="EI8" s="13" t="str">
        <f t="shared" si="33"/>
        <v/>
      </c>
      <c r="EJ8" s="254" t="str">
        <f t="shared" si="34"/>
        <v/>
      </c>
      <c r="EK8" s="91"/>
    </row>
    <row r="9" spans="1:141" x14ac:dyDescent="0.2">
      <c r="A9" s="16"/>
      <c r="B9" s="11"/>
      <c r="C9" s="212">
        <v>13497</v>
      </c>
      <c r="D9" s="13">
        <f t="shared" si="35"/>
        <v>33</v>
      </c>
      <c r="E9" s="13">
        <v>849</v>
      </c>
      <c r="F9" s="13">
        <f t="shared" si="36"/>
        <v>6</v>
      </c>
      <c r="G9" s="13">
        <v>228</v>
      </c>
      <c r="H9" s="13">
        <f t="shared" si="37"/>
        <v>10</v>
      </c>
      <c r="I9" s="214">
        <v>0</v>
      </c>
      <c r="J9" s="56" t="str">
        <f t="shared" si="38"/>
        <v>ブレスレット</v>
      </c>
      <c r="K9" s="13">
        <f t="shared" si="39"/>
        <v>100</v>
      </c>
      <c r="L9" s="13">
        <f t="shared" si="40"/>
        <v>1000</v>
      </c>
      <c r="M9" s="14">
        <f t="shared" si="41"/>
        <v>0.30303030303030304</v>
      </c>
      <c r="N9" s="15"/>
      <c r="O9" s="248"/>
      <c r="P9" s="203"/>
      <c r="Q9" s="212">
        <v>11229</v>
      </c>
      <c r="R9" s="13">
        <f t="shared" si="42"/>
        <v>147</v>
      </c>
      <c r="S9" s="13">
        <v>225</v>
      </c>
      <c r="T9" s="13">
        <f t="shared" si="43"/>
        <v>2</v>
      </c>
      <c r="U9" s="13">
        <v>37</v>
      </c>
      <c r="V9" s="13">
        <f t="shared" si="44"/>
        <v>3</v>
      </c>
      <c r="W9" s="214">
        <v>0</v>
      </c>
      <c r="X9" s="56" t="str">
        <f t="shared" si="45"/>
        <v>たまごっちミニクリップ</v>
      </c>
      <c r="Y9" s="13">
        <f t="shared" si="46"/>
        <v>1100</v>
      </c>
      <c r="Z9" s="13">
        <f t="shared" si="47"/>
        <v>3300</v>
      </c>
      <c r="AA9" s="14">
        <f t="shared" si="48"/>
        <v>0.22448979591836735</v>
      </c>
      <c r="AB9" s="15"/>
      <c r="AC9" s="199"/>
      <c r="AD9" s="207"/>
      <c r="AE9" s="212">
        <v>15265</v>
      </c>
      <c r="AF9" s="13">
        <f t="shared" si="49"/>
        <v>108</v>
      </c>
      <c r="AG9" s="13">
        <v>592</v>
      </c>
      <c r="AH9" s="13">
        <f t="shared" si="50"/>
        <v>12</v>
      </c>
      <c r="AI9" s="13">
        <v>114</v>
      </c>
      <c r="AJ9" s="13">
        <f t="shared" si="51"/>
        <v>-38</v>
      </c>
      <c r="AK9" s="214">
        <v>0</v>
      </c>
      <c r="AL9" s="56" t="str">
        <f t="shared" si="52"/>
        <v>ふわもちスクイーズ</v>
      </c>
      <c r="AM9" s="13">
        <f t="shared" si="53"/>
        <v>260</v>
      </c>
      <c r="AN9" s="13">
        <f t="shared" si="54"/>
        <v>-9880</v>
      </c>
      <c r="AO9" s="14">
        <f t="shared" si="55"/>
        <v>-0.91481481481481486</v>
      </c>
      <c r="AP9" s="15" t="s">
        <v>644</v>
      </c>
      <c r="AQ9" s="201"/>
      <c r="AR9" s="203"/>
      <c r="AS9" s="212">
        <v>18851</v>
      </c>
      <c r="AT9" s="13">
        <f t="shared" si="56"/>
        <v>60</v>
      </c>
      <c r="AU9" s="13">
        <v>579</v>
      </c>
      <c r="AV9" s="13">
        <f t="shared" si="57"/>
        <v>0</v>
      </c>
      <c r="AW9" s="13">
        <v>24</v>
      </c>
      <c r="AX9" s="13">
        <f t="shared" si="58"/>
        <v>1</v>
      </c>
      <c r="AY9" s="214">
        <v>0</v>
      </c>
      <c r="AZ9" s="56" t="str">
        <f t="shared" si="59"/>
        <v>たまごっちマスコット</v>
      </c>
      <c r="BA9" s="13">
        <f t="shared" si="60"/>
        <v>1430</v>
      </c>
      <c r="BB9" s="13">
        <f t="shared" si="61"/>
        <v>1430</v>
      </c>
      <c r="BC9" s="14">
        <f t="shared" si="62"/>
        <v>0.23833333333333334</v>
      </c>
      <c r="BD9" s="15"/>
      <c r="BE9" s="248"/>
      <c r="BF9" s="203"/>
      <c r="BG9" s="239" t="s">
        <v>591</v>
      </c>
      <c r="BH9" s="212">
        <v>3618</v>
      </c>
      <c r="BI9" s="13">
        <f t="shared" si="63"/>
        <v>69</v>
      </c>
      <c r="BJ9" s="13">
        <v>38</v>
      </c>
      <c r="BK9" s="13">
        <f t="shared" si="64"/>
        <v>1</v>
      </c>
      <c r="BL9" s="13">
        <v>2</v>
      </c>
      <c r="BM9" s="13">
        <f t="shared" si="65"/>
        <v>1</v>
      </c>
      <c r="BN9" s="214">
        <v>1</v>
      </c>
      <c r="BO9" s="56" t="str">
        <f t="shared" si="66"/>
        <v>ボンドロ</v>
      </c>
      <c r="BP9" s="13">
        <f t="shared" si="67"/>
        <v>1500</v>
      </c>
      <c r="BQ9" s="13">
        <f t="shared" si="68"/>
        <v>1500</v>
      </c>
      <c r="BR9" s="14">
        <f t="shared" si="69"/>
        <v>0.21739130434782608</v>
      </c>
      <c r="BS9" s="15"/>
      <c r="BU9" s="79" t="str">
        <f>IF($A27="","",$A27)</f>
        <v/>
      </c>
      <c r="BV9" s="17"/>
      <c r="BW9" s="13" t="str">
        <f t="shared" si="0"/>
        <v/>
      </c>
      <c r="BX9" s="13"/>
      <c r="BY9" s="13" t="str">
        <f t="shared" si="1"/>
        <v/>
      </c>
      <c r="BZ9" s="13"/>
      <c r="CA9" s="13" t="str">
        <f t="shared" si="2"/>
        <v/>
      </c>
      <c r="CB9" s="13"/>
      <c r="CC9" s="231" t="str">
        <f t="shared" si="3"/>
        <v/>
      </c>
      <c r="CD9" s="53" t="str">
        <f t="shared" si="4"/>
        <v/>
      </c>
      <c r="CE9" s="13" t="str">
        <f t="shared" si="5"/>
        <v/>
      </c>
      <c r="CF9" s="254" t="str">
        <f t="shared" si="6"/>
        <v/>
      </c>
      <c r="CG9" s="91"/>
      <c r="CH9" s="1"/>
      <c r="CI9" s="79" t="str">
        <f>IF($A27="","",$A27)</f>
        <v/>
      </c>
      <c r="CJ9" s="17"/>
      <c r="CK9" s="13" t="str">
        <f t="shared" si="7"/>
        <v/>
      </c>
      <c r="CL9" s="13"/>
      <c r="CM9" s="13" t="str">
        <f t="shared" si="8"/>
        <v/>
      </c>
      <c r="CN9" s="13"/>
      <c r="CO9" s="13" t="str">
        <f t="shared" si="9"/>
        <v/>
      </c>
      <c r="CP9" s="13"/>
      <c r="CQ9" s="231" t="str">
        <f t="shared" si="10"/>
        <v/>
      </c>
      <c r="CR9" s="53" t="str">
        <f t="shared" si="11"/>
        <v/>
      </c>
      <c r="CS9" s="13" t="str">
        <f t="shared" si="12"/>
        <v/>
      </c>
      <c r="CT9" s="254" t="str">
        <f t="shared" si="13"/>
        <v/>
      </c>
      <c r="CU9" s="91"/>
      <c r="CV9" s="1"/>
      <c r="CW9" s="79" t="str">
        <f>IF($A27="","",$A27)</f>
        <v/>
      </c>
      <c r="CX9" s="17"/>
      <c r="CY9" s="13" t="str">
        <f t="shared" si="14"/>
        <v/>
      </c>
      <c r="CZ9" s="13"/>
      <c r="DA9" s="13" t="str">
        <f t="shared" si="15"/>
        <v/>
      </c>
      <c r="DB9" s="13"/>
      <c r="DC9" s="13" t="str">
        <f t="shared" si="16"/>
        <v/>
      </c>
      <c r="DD9" s="13"/>
      <c r="DE9" s="231" t="str">
        <f t="shared" si="17"/>
        <v/>
      </c>
      <c r="DF9" s="53" t="str">
        <f t="shared" si="18"/>
        <v/>
      </c>
      <c r="DG9" s="13" t="str">
        <f t="shared" si="19"/>
        <v/>
      </c>
      <c r="DH9" s="254" t="str">
        <f t="shared" si="20"/>
        <v/>
      </c>
      <c r="DI9" s="91"/>
      <c r="DJ9" s="1"/>
      <c r="DK9" s="79" t="str">
        <f>IF($A27="","",$A27)</f>
        <v/>
      </c>
      <c r="DL9" s="17"/>
      <c r="DM9" s="13" t="str">
        <f t="shared" si="21"/>
        <v/>
      </c>
      <c r="DN9" s="13"/>
      <c r="DO9" s="13" t="str">
        <f t="shared" si="22"/>
        <v/>
      </c>
      <c r="DP9" s="13"/>
      <c r="DQ9" s="13" t="str">
        <f t="shared" si="23"/>
        <v/>
      </c>
      <c r="DR9" s="13"/>
      <c r="DS9" s="231" t="str">
        <f t="shared" si="24"/>
        <v/>
      </c>
      <c r="DT9" s="53" t="str">
        <f t="shared" si="25"/>
        <v/>
      </c>
      <c r="DU9" s="13" t="str">
        <f t="shared" si="26"/>
        <v/>
      </c>
      <c r="DV9" s="254" t="str">
        <f t="shared" si="27"/>
        <v/>
      </c>
      <c r="DW9" s="91"/>
      <c r="DY9" s="79" t="str">
        <f>IF($A27="","",$A27)</f>
        <v/>
      </c>
      <c r="DZ9" s="17"/>
      <c r="EA9" s="13" t="str">
        <f t="shared" si="28"/>
        <v/>
      </c>
      <c r="EB9" s="13"/>
      <c r="EC9" s="13" t="str">
        <f t="shared" si="29"/>
        <v/>
      </c>
      <c r="ED9" s="13"/>
      <c r="EE9" s="13" t="str">
        <f t="shared" si="30"/>
        <v/>
      </c>
      <c r="EF9" s="13"/>
      <c r="EG9" s="231" t="str">
        <f t="shared" si="31"/>
        <v/>
      </c>
      <c r="EH9" s="53" t="str">
        <f t="shared" si="32"/>
        <v/>
      </c>
      <c r="EI9" s="13" t="str">
        <f t="shared" si="33"/>
        <v/>
      </c>
      <c r="EJ9" s="254" t="str">
        <f t="shared" si="34"/>
        <v/>
      </c>
      <c r="EK9" s="91"/>
    </row>
    <row r="10" spans="1:141" ht="15" customHeight="1" thickBot="1" x14ac:dyDescent="0.25">
      <c r="A10" s="26"/>
      <c r="B10" s="46"/>
      <c r="C10" s="216">
        <v>9696</v>
      </c>
      <c r="D10" s="27">
        <f t="shared" si="35"/>
        <v>79</v>
      </c>
      <c r="E10" s="27">
        <v>544</v>
      </c>
      <c r="F10" s="27">
        <f t="shared" si="36"/>
        <v>3</v>
      </c>
      <c r="G10" s="27">
        <v>18</v>
      </c>
      <c r="H10" s="27">
        <f t="shared" si="37"/>
        <v>3</v>
      </c>
      <c r="I10" s="217">
        <v>0</v>
      </c>
      <c r="J10" s="57" t="str">
        <f t="shared" si="38"/>
        <v>モンチチフルーツマスコット</v>
      </c>
      <c r="K10" s="62">
        <f t="shared" si="39"/>
        <v>572</v>
      </c>
      <c r="L10" s="27">
        <f t="shared" si="40"/>
        <v>1716</v>
      </c>
      <c r="M10" s="28">
        <f t="shared" si="41"/>
        <v>0.21721518987341773</v>
      </c>
      <c r="N10" s="15"/>
      <c r="O10" s="248"/>
      <c r="P10" s="215"/>
      <c r="Q10" s="216">
        <v>15482</v>
      </c>
      <c r="R10" s="27">
        <f t="shared" si="42"/>
        <v>65</v>
      </c>
      <c r="S10" s="27">
        <v>696</v>
      </c>
      <c r="T10" s="27">
        <f t="shared" si="43"/>
        <v>8</v>
      </c>
      <c r="U10" s="27">
        <v>32</v>
      </c>
      <c r="V10" s="27">
        <f t="shared" si="44"/>
        <v>9</v>
      </c>
      <c r="W10" s="217">
        <v>0</v>
      </c>
      <c r="X10" s="57" t="str">
        <f t="shared" si="45"/>
        <v>ボンボンドロップ</v>
      </c>
      <c r="Y10" s="62">
        <f t="shared" si="46"/>
        <v>200</v>
      </c>
      <c r="Z10" s="27">
        <f t="shared" si="47"/>
        <v>1800</v>
      </c>
      <c r="AA10" s="28">
        <f t="shared" si="48"/>
        <v>0.27692307692307694</v>
      </c>
      <c r="AB10" s="15"/>
      <c r="AC10" s="199"/>
      <c r="AD10" s="219"/>
      <c r="AE10" s="216">
        <v>14278</v>
      </c>
      <c r="AF10" s="27">
        <f t="shared" si="49"/>
        <v>56</v>
      </c>
      <c r="AG10" s="27">
        <v>364</v>
      </c>
      <c r="AH10" s="27">
        <f t="shared" si="50"/>
        <v>1</v>
      </c>
      <c r="AI10" s="27">
        <v>16</v>
      </c>
      <c r="AJ10" s="27">
        <f t="shared" si="51"/>
        <v>1</v>
      </c>
      <c r="AK10" s="217">
        <v>0</v>
      </c>
      <c r="AL10" s="57" t="str">
        <f t="shared" si="52"/>
        <v>キティキラキラマルチケース</v>
      </c>
      <c r="AM10" s="62">
        <f t="shared" si="53"/>
        <v>400</v>
      </c>
      <c r="AN10" s="27">
        <f t="shared" si="54"/>
        <v>400</v>
      </c>
      <c r="AO10" s="28">
        <f t="shared" si="55"/>
        <v>7.1428571428571425E-2</v>
      </c>
      <c r="AP10" s="15"/>
      <c r="AQ10" s="201"/>
      <c r="AR10" s="215"/>
      <c r="AS10" s="216">
        <v>18969</v>
      </c>
      <c r="AT10" s="27">
        <f t="shared" si="56"/>
        <v>52</v>
      </c>
      <c r="AU10" s="27">
        <v>524</v>
      </c>
      <c r="AV10" s="27">
        <f t="shared" si="57"/>
        <v>0</v>
      </c>
      <c r="AW10" s="27">
        <v>22</v>
      </c>
      <c r="AX10" s="27">
        <f t="shared" si="58"/>
        <v>0</v>
      </c>
      <c r="AY10" s="217">
        <v>0</v>
      </c>
      <c r="AZ10" s="57" t="str">
        <f t="shared" si="59"/>
        <v>バタースクイーズ</v>
      </c>
      <c r="BA10" s="62">
        <f t="shared" si="60"/>
        <v>400</v>
      </c>
      <c r="BB10" s="27">
        <f t="shared" si="61"/>
        <v>0</v>
      </c>
      <c r="BC10" s="28">
        <f t="shared" si="62"/>
        <v>0</v>
      </c>
      <c r="BD10" s="15"/>
      <c r="BE10" s="248"/>
      <c r="BF10" s="215"/>
      <c r="BG10" s="238" t="s">
        <v>592</v>
      </c>
      <c r="BH10" s="216">
        <v>2837</v>
      </c>
      <c r="BI10" s="27">
        <f t="shared" si="63"/>
        <v>33</v>
      </c>
      <c r="BJ10" s="27">
        <v>38</v>
      </c>
      <c r="BK10" s="27">
        <f t="shared" si="64"/>
        <v>0</v>
      </c>
      <c r="BL10" s="27">
        <v>1</v>
      </c>
      <c r="BM10" s="27">
        <f t="shared" si="65"/>
        <v>0</v>
      </c>
      <c r="BN10" s="217">
        <v>2</v>
      </c>
      <c r="BO10" s="57" t="str">
        <f t="shared" si="66"/>
        <v>ボンボンドロップシール</v>
      </c>
      <c r="BP10" s="62">
        <f t="shared" si="67"/>
        <v>1500</v>
      </c>
      <c r="BQ10" s="27">
        <f t="shared" si="68"/>
        <v>0</v>
      </c>
      <c r="BR10" s="28">
        <f t="shared" si="69"/>
        <v>0</v>
      </c>
      <c r="BS10" s="15"/>
      <c r="BU10" s="79" t="str">
        <f>IF($A31="","",$A31)</f>
        <v/>
      </c>
      <c r="BV10" s="17"/>
      <c r="BW10" s="13" t="str">
        <f t="shared" si="0"/>
        <v/>
      </c>
      <c r="BX10" s="13"/>
      <c r="BY10" s="13" t="str">
        <f t="shared" si="1"/>
        <v/>
      </c>
      <c r="BZ10" s="13"/>
      <c r="CA10" s="13" t="str">
        <f t="shared" si="2"/>
        <v/>
      </c>
      <c r="CB10" s="13"/>
      <c r="CC10" s="231" t="str">
        <f t="shared" si="3"/>
        <v/>
      </c>
      <c r="CD10" s="53" t="str">
        <f t="shared" si="4"/>
        <v/>
      </c>
      <c r="CE10" s="13" t="str">
        <f t="shared" si="5"/>
        <v/>
      </c>
      <c r="CF10" s="254" t="str">
        <f t="shared" si="6"/>
        <v/>
      </c>
      <c r="CG10" s="15"/>
      <c r="CH10" s="1"/>
      <c r="CI10" s="79" t="str">
        <f>IF($A31="","",$A31)</f>
        <v/>
      </c>
      <c r="CJ10" s="17"/>
      <c r="CK10" s="13" t="str">
        <f t="shared" si="7"/>
        <v/>
      </c>
      <c r="CL10" s="13"/>
      <c r="CM10" s="13" t="str">
        <f t="shared" si="8"/>
        <v/>
      </c>
      <c r="CN10" s="13"/>
      <c r="CO10" s="13" t="str">
        <f t="shared" si="9"/>
        <v/>
      </c>
      <c r="CP10" s="13"/>
      <c r="CQ10" s="231" t="str">
        <f t="shared" si="10"/>
        <v/>
      </c>
      <c r="CR10" s="53" t="str">
        <f t="shared" si="11"/>
        <v/>
      </c>
      <c r="CS10" s="13" t="str">
        <f t="shared" si="12"/>
        <v/>
      </c>
      <c r="CT10" s="254" t="str">
        <f t="shared" si="13"/>
        <v/>
      </c>
      <c r="CU10" s="15"/>
      <c r="CV10" s="1"/>
      <c r="CW10" s="79" t="str">
        <f>IF($A31="","",$A31)</f>
        <v/>
      </c>
      <c r="CX10" s="17"/>
      <c r="CY10" s="13" t="str">
        <f t="shared" si="14"/>
        <v/>
      </c>
      <c r="CZ10" s="13"/>
      <c r="DA10" s="13" t="str">
        <f t="shared" si="15"/>
        <v/>
      </c>
      <c r="DB10" s="13"/>
      <c r="DC10" s="13" t="str">
        <f t="shared" si="16"/>
        <v/>
      </c>
      <c r="DD10" s="13"/>
      <c r="DE10" s="231" t="str">
        <f t="shared" si="17"/>
        <v/>
      </c>
      <c r="DF10" s="53" t="str">
        <f t="shared" si="18"/>
        <v/>
      </c>
      <c r="DG10" s="13" t="str">
        <f t="shared" si="19"/>
        <v/>
      </c>
      <c r="DH10" s="254" t="str">
        <f t="shared" si="20"/>
        <v/>
      </c>
      <c r="DI10" s="15"/>
      <c r="DJ10" s="1"/>
      <c r="DK10" s="79" t="str">
        <f>IF($A31="","",$A31)</f>
        <v/>
      </c>
      <c r="DL10" s="17"/>
      <c r="DM10" s="13" t="str">
        <f t="shared" si="21"/>
        <v/>
      </c>
      <c r="DN10" s="13"/>
      <c r="DO10" s="13" t="str">
        <f t="shared" si="22"/>
        <v/>
      </c>
      <c r="DP10" s="13"/>
      <c r="DQ10" s="13" t="str">
        <f t="shared" si="23"/>
        <v/>
      </c>
      <c r="DR10" s="13"/>
      <c r="DS10" s="231" t="str">
        <f t="shared" si="24"/>
        <v/>
      </c>
      <c r="DT10" s="53" t="str">
        <f t="shared" si="25"/>
        <v/>
      </c>
      <c r="DU10" s="13" t="str">
        <f t="shared" si="26"/>
        <v/>
      </c>
      <c r="DV10" s="254" t="str">
        <f t="shared" si="27"/>
        <v/>
      </c>
      <c r="DW10" s="15"/>
      <c r="DY10" s="79" t="str">
        <f>IF($A31="","",$A31)</f>
        <v/>
      </c>
      <c r="DZ10" s="17"/>
      <c r="EA10" s="13" t="str">
        <f t="shared" si="28"/>
        <v/>
      </c>
      <c r="EB10" s="13"/>
      <c r="EC10" s="13" t="str">
        <f t="shared" si="29"/>
        <v/>
      </c>
      <c r="ED10" s="13"/>
      <c r="EE10" s="13" t="str">
        <f t="shared" si="30"/>
        <v/>
      </c>
      <c r="EF10" s="13"/>
      <c r="EG10" s="231" t="str">
        <f t="shared" si="31"/>
        <v/>
      </c>
      <c r="EH10" s="53" t="str">
        <f t="shared" si="32"/>
        <v/>
      </c>
      <c r="EI10" s="13" t="str">
        <f t="shared" si="33"/>
        <v/>
      </c>
      <c r="EJ10" s="254" t="str">
        <f t="shared" si="34"/>
        <v/>
      </c>
      <c r="EK10" s="15"/>
    </row>
    <row r="11" spans="1:141" ht="15" customHeight="1" thickTop="1" x14ac:dyDescent="0.2">
      <c r="A11" s="79">
        <v>46160</v>
      </c>
      <c r="B11" s="74">
        <f>IF(A11="","",SUM(D11:D14)+SUM(R11:R14)+SUM(AF11:AF14)+SUM(AT11:AT14)+SUM(BW5,CK5,CY5,DM5,EA5)+SUM(BI11:BI14))</f>
        <v>3676</v>
      </c>
      <c r="C11" s="190">
        <v>8494</v>
      </c>
      <c r="D11" s="127">
        <f t="shared" si="35"/>
        <v>41</v>
      </c>
      <c r="E11" s="13">
        <v>427</v>
      </c>
      <c r="F11" s="31">
        <f t="shared" si="36"/>
        <v>0</v>
      </c>
      <c r="G11" s="13">
        <v>48</v>
      </c>
      <c r="H11" s="53">
        <f t="shared" si="37"/>
        <v>0</v>
      </c>
      <c r="I11" s="192">
        <v>0</v>
      </c>
      <c r="J11" s="135" t="str">
        <f t="shared" ref="J7:J58" si="70">IF(C11="","",J7)</f>
        <v>ジャグラーボタン</v>
      </c>
      <c r="K11" s="76">
        <f t="shared" ref="K7:K58" si="71">IF(D11="","",K7)</f>
        <v>748</v>
      </c>
      <c r="L11" s="31">
        <f t="shared" ref="L7:L58" si="72">IF(G11="","",H11*K11)</f>
        <v>0</v>
      </c>
      <c r="M11" s="32">
        <f t="shared" ref="M7:M58" si="73">IF(H11="","",L11/(D11*100))</f>
        <v>0</v>
      </c>
      <c r="N11" s="15" t="s">
        <v>630</v>
      </c>
      <c r="O11" s="248"/>
      <c r="P11" s="79">
        <f>IF(A11="","",A11)</f>
        <v>46160</v>
      </c>
      <c r="Q11" s="190">
        <v>10097</v>
      </c>
      <c r="R11" s="53">
        <f t="shared" si="42"/>
        <v>172</v>
      </c>
      <c r="S11" s="13">
        <v>304</v>
      </c>
      <c r="T11" s="31">
        <f t="shared" si="43"/>
        <v>6</v>
      </c>
      <c r="U11" s="13">
        <v>0</v>
      </c>
      <c r="V11" s="53">
        <f t="shared" si="44"/>
        <v>7</v>
      </c>
      <c r="W11" s="192">
        <v>5</v>
      </c>
      <c r="X11" s="75" t="str">
        <f t="shared" ref="X7:X42" si="74">IF(Q11="","",X7)</f>
        <v>たまごっちカスタムキーリング</v>
      </c>
      <c r="Y11" s="76">
        <f t="shared" ref="Y7:Y42" si="75">IF(R11="","",Y7)</f>
        <v>700</v>
      </c>
      <c r="Z11" s="31">
        <f t="shared" ref="Z7:Z58" si="76">IF(U11="","",V11*Y11)</f>
        <v>4900</v>
      </c>
      <c r="AA11" s="32">
        <f t="shared" ref="AA7:AA58" si="77">IF(V11="","",Z11/(R11*100))</f>
        <v>0.28488372093023256</v>
      </c>
      <c r="AB11" s="15" t="s">
        <v>415</v>
      </c>
      <c r="AC11" s="199"/>
      <c r="AD11" s="79">
        <f>IF($A11="","",$A11)</f>
        <v>46160</v>
      </c>
      <c r="AE11" s="190">
        <v>12436</v>
      </c>
      <c r="AF11" s="53">
        <f t="shared" si="49"/>
        <v>118</v>
      </c>
      <c r="AG11" s="13">
        <v>283</v>
      </c>
      <c r="AH11" s="31">
        <f t="shared" si="50"/>
        <v>4</v>
      </c>
      <c r="AI11" s="13">
        <v>28</v>
      </c>
      <c r="AJ11" s="53">
        <f t="shared" si="51"/>
        <v>5</v>
      </c>
      <c r="AK11" s="192">
        <v>10</v>
      </c>
      <c r="AL11" s="75" t="str">
        <f t="shared" ref="AL7:AL42" si="78">IF(AE11="","",AL7)</f>
        <v>フルーツスクイーズ</v>
      </c>
      <c r="AM11" s="76">
        <f t="shared" ref="AM7:AM42" si="79">IF(AF11="","",AM7)</f>
        <v>210</v>
      </c>
      <c r="AN11" s="31">
        <f t="shared" ref="AN7:AN58" si="80">IF(AI11="","",AJ11*AM11)</f>
        <v>1050</v>
      </c>
      <c r="AO11" s="32">
        <f t="shared" ref="AO7:AO58" si="81">IF(AJ11="","",AN11/(AF11*100))</f>
        <v>8.8983050847457626E-2</v>
      </c>
      <c r="AP11" s="15"/>
      <c r="AQ11" s="201"/>
      <c r="AR11" s="79">
        <f>IF($A11="","",$A11)</f>
        <v>46160</v>
      </c>
      <c r="AS11" s="190">
        <v>14195</v>
      </c>
      <c r="AT11" s="53">
        <f t="shared" si="56"/>
        <v>299</v>
      </c>
      <c r="AU11" s="13">
        <v>434</v>
      </c>
      <c r="AV11" s="31">
        <f t="shared" si="57"/>
        <v>5</v>
      </c>
      <c r="AW11" s="13">
        <v>2</v>
      </c>
      <c r="AX11" s="53">
        <f t="shared" si="58"/>
        <v>4</v>
      </c>
      <c r="AY11" s="192">
        <v>8</v>
      </c>
      <c r="AZ11" s="75" t="str">
        <f t="shared" ref="AZ7:AZ42" si="82">IF(AS11="","",AZ7)</f>
        <v>極とろスクイーズ</v>
      </c>
      <c r="BA11" s="76">
        <f t="shared" ref="BA7:BA58" si="83">IF(AT11="","",BA7)</f>
        <v>1100</v>
      </c>
      <c r="BB11" s="31">
        <f t="shared" ref="BB7:BB58" si="84">IF(AW11="","",AX11*BA11)</f>
        <v>4400</v>
      </c>
      <c r="BC11" s="32">
        <f t="shared" ref="BC7:BC58" si="85">IF(AX11="","",BB11/(AT11*100))</f>
        <v>0.14715719063545152</v>
      </c>
      <c r="BD11" s="15"/>
      <c r="BE11" s="248"/>
      <c r="BF11" s="79">
        <f>IF(A11="","",A11)</f>
        <v>46160</v>
      </c>
      <c r="BG11" s="239" t="s">
        <v>589</v>
      </c>
      <c r="BH11" s="190">
        <v>3024</v>
      </c>
      <c r="BI11" s="53">
        <f t="shared" si="63"/>
        <v>20</v>
      </c>
      <c r="BJ11" s="13">
        <v>37</v>
      </c>
      <c r="BK11" s="31">
        <f t="shared" si="64"/>
        <v>0</v>
      </c>
      <c r="BL11" s="13">
        <v>3</v>
      </c>
      <c r="BM11" s="53">
        <f t="shared" si="65"/>
        <v>0</v>
      </c>
      <c r="BN11" s="192">
        <v>0</v>
      </c>
      <c r="BO11" s="75" t="str">
        <f t="shared" ref="BO7:BO42" si="86">IF(BH11="","",BO7)</f>
        <v>ボンドロ</v>
      </c>
      <c r="BP11" s="76">
        <f t="shared" ref="BP7:BP58" si="87">IF(BI11="","",BP7)</f>
        <v>1500</v>
      </c>
      <c r="BQ11" s="31">
        <f t="shared" ref="BQ7:BQ58" si="88">IF(BL11="","",BM11*BP11)</f>
        <v>0</v>
      </c>
      <c r="BR11" s="32">
        <f t="shared" ref="BR7:BR58" si="89">IF(BM11="","",BQ11/(BI11*100))</f>
        <v>0</v>
      </c>
      <c r="BS11" s="15"/>
      <c r="BU11" s="79" t="str">
        <f>IF($A35="","",$A35)</f>
        <v/>
      </c>
      <c r="BV11" s="17"/>
      <c r="BW11" s="13" t="str">
        <f t="shared" si="0"/>
        <v/>
      </c>
      <c r="BX11" s="13"/>
      <c r="BY11" s="13" t="str">
        <f t="shared" si="1"/>
        <v/>
      </c>
      <c r="BZ11" s="13"/>
      <c r="CA11" s="13" t="str">
        <f t="shared" si="2"/>
        <v/>
      </c>
      <c r="CB11" s="13"/>
      <c r="CC11" s="231" t="str">
        <f t="shared" si="3"/>
        <v/>
      </c>
      <c r="CD11" s="53" t="str">
        <f t="shared" si="4"/>
        <v/>
      </c>
      <c r="CE11" s="13" t="str">
        <f t="shared" si="5"/>
        <v/>
      </c>
      <c r="CF11" s="254" t="str">
        <f t="shared" si="6"/>
        <v/>
      </c>
      <c r="CG11" s="15"/>
      <c r="CH11" s="1"/>
      <c r="CI11" s="79" t="str">
        <f>IF($A35="","",$A35)</f>
        <v/>
      </c>
      <c r="CJ11" s="17"/>
      <c r="CK11" s="13" t="str">
        <f t="shared" si="7"/>
        <v/>
      </c>
      <c r="CL11" s="13"/>
      <c r="CM11" s="13" t="str">
        <f t="shared" si="8"/>
        <v/>
      </c>
      <c r="CN11" s="13"/>
      <c r="CO11" s="13" t="str">
        <f t="shared" si="9"/>
        <v/>
      </c>
      <c r="CP11" s="13"/>
      <c r="CQ11" s="231" t="str">
        <f t="shared" si="10"/>
        <v/>
      </c>
      <c r="CR11" s="53" t="str">
        <f t="shared" si="11"/>
        <v/>
      </c>
      <c r="CS11" s="13" t="str">
        <f t="shared" si="12"/>
        <v/>
      </c>
      <c r="CT11" s="254" t="str">
        <f t="shared" si="13"/>
        <v/>
      </c>
      <c r="CU11" s="15"/>
      <c r="CV11" s="1"/>
      <c r="CW11" s="79" t="str">
        <f>IF($A35="","",$A35)</f>
        <v/>
      </c>
      <c r="CX11" s="17"/>
      <c r="CY11" s="13" t="str">
        <f t="shared" si="14"/>
        <v/>
      </c>
      <c r="CZ11" s="13"/>
      <c r="DA11" s="13" t="str">
        <f t="shared" si="15"/>
        <v/>
      </c>
      <c r="DB11" s="13"/>
      <c r="DC11" s="13" t="str">
        <f t="shared" si="16"/>
        <v/>
      </c>
      <c r="DD11" s="13"/>
      <c r="DE11" s="231" t="str">
        <f t="shared" si="17"/>
        <v/>
      </c>
      <c r="DF11" s="53" t="str">
        <f t="shared" si="18"/>
        <v/>
      </c>
      <c r="DG11" s="13" t="str">
        <f t="shared" si="19"/>
        <v/>
      </c>
      <c r="DH11" s="254" t="str">
        <f t="shared" si="20"/>
        <v/>
      </c>
      <c r="DI11" s="15"/>
      <c r="DJ11" s="1"/>
      <c r="DK11" s="79" t="str">
        <f>IF($A35="","",$A35)</f>
        <v/>
      </c>
      <c r="DL11" s="17"/>
      <c r="DM11" s="13" t="str">
        <f t="shared" si="21"/>
        <v/>
      </c>
      <c r="DN11" s="13"/>
      <c r="DO11" s="13" t="str">
        <f t="shared" si="22"/>
        <v/>
      </c>
      <c r="DP11" s="13"/>
      <c r="DQ11" s="13" t="str">
        <f t="shared" si="23"/>
        <v/>
      </c>
      <c r="DR11" s="13"/>
      <c r="DS11" s="231" t="str">
        <f t="shared" si="24"/>
        <v/>
      </c>
      <c r="DT11" s="53" t="str">
        <f t="shared" si="25"/>
        <v/>
      </c>
      <c r="DU11" s="13" t="str">
        <f t="shared" si="26"/>
        <v/>
      </c>
      <c r="DV11" s="254" t="str">
        <f t="shared" si="27"/>
        <v/>
      </c>
      <c r="DW11" s="15"/>
      <c r="DY11" s="79" t="str">
        <f>IF($A35="","",$A35)</f>
        <v/>
      </c>
      <c r="DZ11" s="17"/>
      <c r="EA11" s="13" t="str">
        <f t="shared" si="28"/>
        <v/>
      </c>
      <c r="EB11" s="13"/>
      <c r="EC11" s="13" t="str">
        <f t="shared" si="29"/>
        <v/>
      </c>
      <c r="ED11" s="13"/>
      <c r="EE11" s="13" t="str">
        <f t="shared" si="30"/>
        <v/>
      </c>
      <c r="EF11" s="13"/>
      <c r="EG11" s="231" t="str">
        <f t="shared" si="31"/>
        <v/>
      </c>
      <c r="EH11" s="53" t="str">
        <f t="shared" si="32"/>
        <v/>
      </c>
      <c r="EI11" s="13" t="str">
        <f t="shared" si="33"/>
        <v/>
      </c>
      <c r="EJ11" s="254" t="str">
        <f t="shared" si="34"/>
        <v/>
      </c>
      <c r="EK11" s="15"/>
    </row>
    <row r="12" spans="1:141" x14ac:dyDescent="0.2">
      <c r="A12" s="203"/>
      <c r="B12" s="203"/>
      <c r="C12" s="204">
        <v>8114</v>
      </c>
      <c r="D12" s="13">
        <f t="shared" si="35"/>
        <v>105</v>
      </c>
      <c r="E12" s="53">
        <v>462</v>
      </c>
      <c r="F12" s="13">
        <f t="shared" si="36"/>
        <v>3</v>
      </c>
      <c r="G12" s="13">
        <v>44</v>
      </c>
      <c r="H12" s="13">
        <f t="shared" si="37"/>
        <v>3</v>
      </c>
      <c r="I12" s="205">
        <v>0</v>
      </c>
      <c r="J12" s="56" t="str">
        <f t="shared" si="70"/>
        <v>電ブル</v>
      </c>
      <c r="K12" s="54">
        <f t="shared" si="71"/>
        <v>275</v>
      </c>
      <c r="L12" s="13">
        <f t="shared" si="72"/>
        <v>825</v>
      </c>
      <c r="M12" s="14">
        <f t="shared" si="73"/>
        <v>7.857142857142857E-2</v>
      </c>
      <c r="N12" s="15"/>
      <c r="O12" s="248"/>
      <c r="P12" s="203"/>
      <c r="Q12" s="204">
        <v>2897</v>
      </c>
      <c r="R12" s="13">
        <f t="shared" si="42"/>
        <v>50</v>
      </c>
      <c r="S12" s="53">
        <v>186</v>
      </c>
      <c r="T12" s="13">
        <f t="shared" si="43"/>
        <v>3</v>
      </c>
      <c r="U12" s="13">
        <v>12</v>
      </c>
      <c r="V12" s="13">
        <f t="shared" si="44"/>
        <v>3</v>
      </c>
      <c r="W12" s="205">
        <v>6</v>
      </c>
      <c r="X12" s="56" t="str">
        <f t="shared" si="74"/>
        <v>たまごっちブロックシール</v>
      </c>
      <c r="Y12" s="54">
        <f t="shared" si="75"/>
        <v>600</v>
      </c>
      <c r="Z12" s="13">
        <f t="shared" si="76"/>
        <v>1800</v>
      </c>
      <c r="AA12" s="14">
        <f t="shared" si="77"/>
        <v>0.36</v>
      </c>
      <c r="AB12" s="15"/>
      <c r="AC12" s="199"/>
      <c r="AD12" s="207"/>
      <c r="AE12" s="204">
        <v>12726</v>
      </c>
      <c r="AF12" s="13">
        <f t="shared" si="49"/>
        <v>59</v>
      </c>
      <c r="AG12" s="53">
        <v>263</v>
      </c>
      <c r="AH12" s="13">
        <f t="shared" si="50"/>
        <v>0</v>
      </c>
      <c r="AI12" s="13">
        <v>8</v>
      </c>
      <c r="AJ12" s="13">
        <f t="shared" si="51"/>
        <v>0</v>
      </c>
      <c r="AK12" s="205">
        <v>0</v>
      </c>
      <c r="AL12" s="56" t="str">
        <f t="shared" si="78"/>
        <v>サンリオハンディファン</v>
      </c>
      <c r="AM12" s="54">
        <f t="shared" si="79"/>
        <v>1100</v>
      </c>
      <c r="AN12" s="13">
        <f t="shared" si="80"/>
        <v>0</v>
      </c>
      <c r="AO12" s="14">
        <f t="shared" si="81"/>
        <v>0</v>
      </c>
      <c r="AP12" s="15"/>
      <c r="AQ12" s="201"/>
      <c r="AR12" s="203"/>
      <c r="AS12" s="204">
        <v>11131</v>
      </c>
      <c r="AT12" s="13">
        <f t="shared" si="56"/>
        <v>183</v>
      </c>
      <c r="AU12" s="53">
        <v>490</v>
      </c>
      <c r="AV12" s="13">
        <f t="shared" si="57"/>
        <v>1</v>
      </c>
      <c r="AW12" s="13">
        <v>25</v>
      </c>
      <c r="AX12" s="13">
        <f t="shared" si="58"/>
        <v>1</v>
      </c>
      <c r="AY12" s="205">
        <v>0</v>
      </c>
      <c r="AZ12" s="56" t="str">
        <f t="shared" si="82"/>
        <v>ベアブリック</v>
      </c>
      <c r="BA12" s="54">
        <f t="shared" si="83"/>
        <v>1100</v>
      </c>
      <c r="BB12" s="13">
        <f t="shared" si="84"/>
        <v>1100</v>
      </c>
      <c r="BC12" s="14">
        <f t="shared" si="85"/>
        <v>6.0109289617486336E-2</v>
      </c>
      <c r="BD12" s="15"/>
      <c r="BE12" s="248"/>
      <c r="BF12" s="203"/>
      <c r="BG12" s="239" t="s">
        <v>590</v>
      </c>
      <c r="BH12" s="204">
        <v>4679</v>
      </c>
      <c r="BI12" s="13">
        <f t="shared" si="63"/>
        <v>120</v>
      </c>
      <c r="BJ12" s="53">
        <v>32</v>
      </c>
      <c r="BK12" s="13">
        <f t="shared" si="64"/>
        <v>0</v>
      </c>
      <c r="BL12" s="13">
        <v>3</v>
      </c>
      <c r="BM12" s="13">
        <f t="shared" si="65"/>
        <v>0</v>
      </c>
      <c r="BN12" s="205">
        <v>0</v>
      </c>
      <c r="BO12" s="56" t="str">
        <f t="shared" si="86"/>
        <v>ボンボンドロップシール</v>
      </c>
      <c r="BP12" s="54">
        <f t="shared" si="87"/>
        <v>1500</v>
      </c>
      <c r="BQ12" s="13">
        <f t="shared" si="88"/>
        <v>0</v>
      </c>
      <c r="BR12" s="14">
        <f t="shared" si="89"/>
        <v>0</v>
      </c>
      <c r="BS12" s="15"/>
      <c r="BU12" s="79" t="str">
        <f>IF($A39="","",$A39)</f>
        <v/>
      </c>
      <c r="BV12" s="17"/>
      <c r="BW12" s="13" t="str">
        <f t="shared" si="0"/>
        <v/>
      </c>
      <c r="BX12" s="13"/>
      <c r="BY12" s="13" t="str">
        <f t="shared" si="1"/>
        <v/>
      </c>
      <c r="BZ12" s="13"/>
      <c r="CA12" s="13" t="str">
        <f t="shared" si="2"/>
        <v/>
      </c>
      <c r="CB12" s="13"/>
      <c r="CC12" s="231" t="str">
        <f t="shared" si="3"/>
        <v/>
      </c>
      <c r="CD12" s="53" t="str">
        <f t="shared" si="4"/>
        <v/>
      </c>
      <c r="CE12" s="13" t="str">
        <f t="shared" si="5"/>
        <v/>
      </c>
      <c r="CF12" s="14" t="str">
        <f t="shared" si="6"/>
        <v/>
      </c>
      <c r="CG12" s="15"/>
      <c r="CH12" s="1"/>
      <c r="CI12" s="79" t="str">
        <f>IF($A39="","",$A39)</f>
        <v/>
      </c>
      <c r="CJ12" s="17"/>
      <c r="CK12" s="13" t="str">
        <f t="shared" si="7"/>
        <v/>
      </c>
      <c r="CL12" s="13"/>
      <c r="CM12" s="13" t="str">
        <f t="shared" si="8"/>
        <v/>
      </c>
      <c r="CN12" s="13"/>
      <c r="CO12" s="13" t="str">
        <f t="shared" si="9"/>
        <v/>
      </c>
      <c r="CP12" s="13"/>
      <c r="CQ12" s="231" t="str">
        <f t="shared" si="10"/>
        <v/>
      </c>
      <c r="CR12" s="53" t="str">
        <f t="shared" si="11"/>
        <v/>
      </c>
      <c r="CS12" s="13" t="str">
        <f t="shared" si="12"/>
        <v/>
      </c>
      <c r="CT12" s="14" t="str">
        <f t="shared" si="13"/>
        <v/>
      </c>
      <c r="CU12" s="15"/>
      <c r="CV12" s="1"/>
      <c r="CW12" s="79" t="str">
        <f>IF($A39="","",$A39)</f>
        <v/>
      </c>
      <c r="CX12" s="17"/>
      <c r="CY12" s="13" t="str">
        <f t="shared" si="14"/>
        <v/>
      </c>
      <c r="CZ12" s="13"/>
      <c r="DA12" s="13" t="str">
        <f t="shared" si="15"/>
        <v/>
      </c>
      <c r="DB12" s="13"/>
      <c r="DC12" s="13" t="str">
        <f t="shared" si="16"/>
        <v/>
      </c>
      <c r="DD12" s="13"/>
      <c r="DE12" s="231" t="str">
        <f t="shared" si="17"/>
        <v/>
      </c>
      <c r="DF12" s="53" t="str">
        <f t="shared" si="18"/>
        <v/>
      </c>
      <c r="DG12" s="13" t="str">
        <f t="shared" si="19"/>
        <v/>
      </c>
      <c r="DH12" s="14" t="str">
        <f t="shared" si="20"/>
        <v/>
      </c>
      <c r="DI12" s="15"/>
      <c r="DJ12" s="1"/>
      <c r="DK12" s="79" t="str">
        <f>IF($A39="","",$A39)</f>
        <v/>
      </c>
      <c r="DL12" s="17"/>
      <c r="DM12" s="13" t="str">
        <f t="shared" si="21"/>
        <v/>
      </c>
      <c r="DN12" s="13"/>
      <c r="DO12" s="13" t="str">
        <f t="shared" si="22"/>
        <v/>
      </c>
      <c r="DP12" s="13"/>
      <c r="DQ12" s="13" t="str">
        <f t="shared" si="23"/>
        <v/>
      </c>
      <c r="DR12" s="13"/>
      <c r="DS12" s="231" t="str">
        <f t="shared" si="24"/>
        <v/>
      </c>
      <c r="DT12" s="53" t="str">
        <f t="shared" si="25"/>
        <v/>
      </c>
      <c r="DU12" s="13" t="str">
        <f t="shared" si="26"/>
        <v/>
      </c>
      <c r="DV12" s="14" t="str">
        <f t="shared" si="27"/>
        <v/>
      </c>
      <c r="DW12" s="15"/>
      <c r="DY12" s="79" t="str">
        <f>IF($A39="","",$A39)</f>
        <v/>
      </c>
      <c r="DZ12" s="17"/>
      <c r="EA12" s="13" t="str">
        <f t="shared" si="28"/>
        <v/>
      </c>
      <c r="EB12" s="13"/>
      <c r="EC12" s="13" t="str">
        <f t="shared" si="29"/>
        <v/>
      </c>
      <c r="ED12" s="13"/>
      <c r="EE12" s="13" t="str">
        <f t="shared" si="30"/>
        <v/>
      </c>
      <c r="EF12" s="13"/>
      <c r="EG12" s="231" t="str">
        <f t="shared" si="31"/>
        <v/>
      </c>
      <c r="EH12" s="53" t="str">
        <f t="shared" si="32"/>
        <v/>
      </c>
      <c r="EI12" s="13" t="str">
        <f t="shared" si="33"/>
        <v/>
      </c>
      <c r="EJ12" s="14" t="str">
        <f t="shared" si="34"/>
        <v/>
      </c>
      <c r="EK12" s="15"/>
    </row>
    <row r="13" spans="1:141" x14ac:dyDescent="0.2">
      <c r="A13" s="203"/>
      <c r="B13" s="203"/>
      <c r="C13" s="212">
        <v>13529</v>
      </c>
      <c r="D13" s="87">
        <f t="shared" si="35"/>
        <v>32</v>
      </c>
      <c r="E13" s="13">
        <v>859</v>
      </c>
      <c r="F13" s="13">
        <f t="shared" si="36"/>
        <v>10</v>
      </c>
      <c r="G13" s="13">
        <v>210</v>
      </c>
      <c r="H13" s="13">
        <f t="shared" si="37"/>
        <v>18</v>
      </c>
      <c r="I13" s="214">
        <v>0</v>
      </c>
      <c r="J13" s="111" t="str">
        <f t="shared" si="70"/>
        <v>ブレスレット</v>
      </c>
      <c r="K13" s="13">
        <f t="shared" si="71"/>
        <v>100</v>
      </c>
      <c r="L13" s="13">
        <f t="shared" si="72"/>
        <v>1800</v>
      </c>
      <c r="M13" s="14">
        <f t="shared" si="73"/>
        <v>0.5625</v>
      </c>
      <c r="N13" s="233" t="s">
        <v>646</v>
      </c>
      <c r="O13" s="248"/>
      <c r="P13" s="203"/>
      <c r="Q13" s="212">
        <v>11366</v>
      </c>
      <c r="R13" s="13">
        <f t="shared" si="42"/>
        <v>137</v>
      </c>
      <c r="S13" s="13">
        <v>225</v>
      </c>
      <c r="T13" s="13">
        <f t="shared" si="43"/>
        <v>0</v>
      </c>
      <c r="U13" s="13">
        <v>37</v>
      </c>
      <c r="V13" s="13">
        <f t="shared" si="44"/>
        <v>0</v>
      </c>
      <c r="W13" s="214">
        <v>0</v>
      </c>
      <c r="X13" s="56" t="str">
        <f t="shared" si="74"/>
        <v>たまごっちミニクリップ</v>
      </c>
      <c r="Y13" s="13">
        <f t="shared" si="75"/>
        <v>1100</v>
      </c>
      <c r="Z13" s="13">
        <f t="shared" si="76"/>
        <v>0</v>
      </c>
      <c r="AA13" s="14">
        <f t="shared" si="77"/>
        <v>0</v>
      </c>
      <c r="AB13" s="15"/>
      <c r="AC13" s="199"/>
      <c r="AD13" s="207"/>
      <c r="AE13" s="212">
        <v>15522</v>
      </c>
      <c r="AF13" s="13">
        <f t="shared" si="49"/>
        <v>257</v>
      </c>
      <c r="AG13" s="13">
        <v>604</v>
      </c>
      <c r="AH13" s="13">
        <f t="shared" si="50"/>
        <v>12</v>
      </c>
      <c r="AI13" s="13">
        <v>100</v>
      </c>
      <c r="AJ13" s="13">
        <f t="shared" si="51"/>
        <v>14</v>
      </c>
      <c r="AK13" s="214">
        <v>18</v>
      </c>
      <c r="AL13" s="56" t="str">
        <f t="shared" si="78"/>
        <v>ふわもちスクイーズ</v>
      </c>
      <c r="AM13" s="13">
        <f t="shared" si="79"/>
        <v>260</v>
      </c>
      <c r="AN13" s="13">
        <f t="shared" si="80"/>
        <v>3640</v>
      </c>
      <c r="AO13" s="14">
        <f t="shared" si="81"/>
        <v>0.14163424124513618</v>
      </c>
      <c r="AP13" s="15"/>
      <c r="AQ13" s="201"/>
      <c r="AR13" s="203"/>
      <c r="AS13" s="212">
        <v>19029</v>
      </c>
      <c r="AT13" s="13">
        <f t="shared" si="56"/>
        <v>178</v>
      </c>
      <c r="AU13" s="13">
        <v>581</v>
      </c>
      <c r="AV13" s="13">
        <f t="shared" si="57"/>
        <v>2</v>
      </c>
      <c r="AW13" s="13">
        <v>22</v>
      </c>
      <c r="AX13" s="13">
        <f t="shared" si="58"/>
        <v>2</v>
      </c>
      <c r="AY13" s="214">
        <v>0</v>
      </c>
      <c r="AZ13" s="56" t="str">
        <f t="shared" si="82"/>
        <v>たまごっちマスコット</v>
      </c>
      <c r="BA13" s="13">
        <f t="shared" si="83"/>
        <v>1430</v>
      </c>
      <c r="BB13" s="13">
        <f t="shared" si="84"/>
        <v>2860</v>
      </c>
      <c r="BC13" s="14">
        <f t="shared" si="85"/>
        <v>0.16067415730337078</v>
      </c>
      <c r="BD13" s="15"/>
      <c r="BE13" s="248"/>
      <c r="BF13" s="203"/>
      <c r="BG13" s="239" t="s">
        <v>591</v>
      </c>
      <c r="BH13" s="212">
        <v>3677</v>
      </c>
      <c r="BI13" s="13">
        <f t="shared" si="63"/>
        <v>59</v>
      </c>
      <c r="BJ13" s="13">
        <v>41</v>
      </c>
      <c r="BK13" s="13">
        <f t="shared" si="64"/>
        <v>3</v>
      </c>
      <c r="BL13" s="13">
        <v>0</v>
      </c>
      <c r="BM13" s="13">
        <f t="shared" si="65"/>
        <v>3</v>
      </c>
      <c r="BN13" s="214">
        <v>3</v>
      </c>
      <c r="BO13" s="56" t="str">
        <f t="shared" si="86"/>
        <v>ボンドロ</v>
      </c>
      <c r="BP13" s="13">
        <f t="shared" si="87"/>
        <v>1500</v>
      </c>
      <c r="BQ13" s="13">
        <f t="shared" si="88"/>
        <v>4500</v>
      </c>
      <c r="BR13" s="14">
        <f t="shared" si="89"/>
        <v>0.76271186440677963</v>
      </c>
      <c r="BS13" s="15"/>
      <c r="BU13" s="79" t="str">
        <f>IF($A43="","",$A43)</f>
        <v/>
      </c>
      <c r="BV13" s="17"/>
      <c r="BW13" s="13" t="str">
        <f t="shared" si="0"/>
        <v/>
      </c>
      <c r="BX13" s="13"/>
      <c r="BY13" s="13" t="str">
        <f t="shared" si="1"/>
        <v/>
      </c>
      <c r="BZ13" s="13"/>
      <c r="CA13" s="13" t="str">
        <f t="shared" si="2"/>
        <v/>
      </c>
      <c r="CB13" s="13"/>
      <c r="CC13" s="231" t="str">
        <f t="shared" si="3"/>
        <v/>
      </c>
      <c r="CD13" s="53" t="str">
        <f t="shared" si="4"/>
        <v/>
      </c>
      <c r="CE13" s="13" t="str">
        <f t="shared" si="5"/>
        <v/>
      </c>
      <c r="CF13" s="14" t="str">
        <f t="shared" si="6"/>
        <v/>
      </c>
      <c r="CG13" s="43"/>
      <c r="CH13" s="1"/>
      <c r="CI13" s="79" t="str">
        <f>IF($A43="","",$A43)</f>
        <v/>
      </c>
      <c r="CJ13" s="17"/>
      <c r="CK13" s="13" t="str">
        <f t="shared" ref="CK4:CK16" si="90">IF(CJ13="","",CJ13-CJ12)</f>
        <v/>
      </c>
      <c r="CL13" s="13"/>
      <c r="CM13" s="13" t="str">
        <f t="shared" ref="CM4:CM16" si="91">IF(CL13="","",CL13-CL12)</f>
        <v/>
      </c>
      <c r="CN13" s="13"/>
      <c r="CO13" s="13" t="str">
        <f t="shared" ref="CO4:CO16" si="92">IF(CN13="","",CN12+CP12-CN13)</f>
        <v/>
      </c>
      <c r="CP13" s="13"/>
      <c r="CQ13" s="231" t="str">
        <f t="shared" ref="CQ4:CQ26" si="93">IF(CJ13="","",CQ12)</f>
        <v/>
      </c>
      <c r="CR13" s="53" t="str">
        <f t="shared" ref="CR4:CR16" si="94">IF(CJ13="","",CR12)</f>
        <v/>
      </c>
      <c r="CS13" s="13" t="str">
        <f t="shared" ref="CS4:CS16" si="95">IF(CR13="","",CO13*CR13)</f>
        <v/>
      </c>
      <c r="CT13" s="14" t="str">
        <f t="shared" ref="CT4:CT15" si="96">IF(CS13="","",CS13/(CK13*100))</f>
        <v/>
      </c>
      <c r="CU13" s="43"/>
      <c r="CV13" s="1"/>
      <c r="CW13" s="79" t="str">
        <f>IF($A43="","",$A43)</f>
        <v/>
      </c>
      <c r="CX13" s="17"/>
      <c r="CY13" s="13" t="str">
        <f t="shared" ref="CY4:CY16" si="97">IF(CX13="","",CX13-CX12)</f>
        <v/>
      </c>
      <c r="CZ13" s="13"/>
      <c r="DA13" s="13" t="str">
        <f t="shared" ref="DA4:DA16" si="98">IF(CZ13="","",CZ13-CZ12)</f>
        <v/>
      </c>
      <c r="DB13" s="13"/>
      <c r="DC13" s="13" t="str">
        <f t="shared" ref="DC4:DC16" si="99">IF(DB13="","",DB12+DD12-DB13)</f>
        <v/>
      </c>
      <c r="DD13" s="13"/>
      <c r="DE13" s="231" t="str">
        <f t="shared" ref="DE4:DE26" si="100">IF(CX13="","",DE12)</f>
        <v/>
      </c>
      <c r="DF13" s="53" t="str">
        <f t="shared" ref="DF4:DF16" si="101">IF(CX13="","",DF12)</f>
        <v/>
      </c>
      <c r="DG13" s="13" t="str">
        <f t="shared" ref="DG4:DG16" si="102">IF(DF13="","",DC13*DF13)</f>
        <v/>
      </c>
      <c r="DH13" s="14" t="str">
        <f t="shared" ref="DH4:DH15" si="103">IF(DG13="","",DG13/(CY13*100))</f>
        <v/>
      </c>
      <c r="DI13" s="43"/>
      <c r="DJ13" s="1"/>
      <c r="DK13" s="79" t="str">
        <f>IF($A43="","",$A43)</f>
        <v/>
      </c>
      <c r="DL13" s="17"/>
      <c r="DM13" s="13" t="str">
        <f t="shared" ref="DM4:DM16" si="104">IF(DL13="","",DL13-DL12)</f>
        <v/>
      </c>
      <c r="DN13" s="13"/>
      <c r="DO13" s="13" t="str">
        <f t="shared" ref="DO4:DO16" si="105">IF(DN13="","",DN13-DN12)</f>
        <v/>
      </c>
      <c r="DP13" s="13"/>
      <c r="DQ13" s="13" t="str">
        <f t="shared" ref="DQ4:DQ16" si="106">IF(DP13="","",DP12+DR12-DP13)</f>
        <v/>
      </c>
      <c r="DR13" s="13"/>
      <c r="DS13" s="231" t="str">
        <f t="shared" ref="DS7:DS26" si="107">IF(DL13="","",DS12)</f>
        <v/>
      </c>
      <c r="DT13" s="53" t="str">
        <f t="shared" ref="DT7:DT16" si="108">IF(DL13="","",DT12)</f>
        <v/>
      </c>
      <c r="DU13" s="13" t="str">
        <f t="shared" ref="DU4:DU16" si="109">IF(DT13="","",DQ13*DT13)</f>
        <v/>
      </c>
      <c r="DV13" s="14" t="str">
        <f t="shared" ref="DV4:DV15" si="110">IF(DU13="","",DU13/(DM13*100))</f>
        <v/>
      </c>
      <c r="DW13" s="43"/>
      <c r="DY13" s="79" t="str">
        <f>IF($A43="","",$A43)</f>
        <v/>
      </c>
      <c r="DZ13" s="17"/>
      <c r="EA13" s="13" t="str">
        <f t="shared" ref="EA4:EA16" si="111">IF(DZ13="","",DZ13-DZ12)</f>
        <v/>
      </c>
      <c r="EB13" s="13"/>
      <c r="EC13" s="13" t="str">
        <f t="shared" ref="EC4:EC16" si="112">IF(EB13="","",EB13-EB12)</f>
        <v/>
      </c>
      <c r="ED13" s="13"/>
      <c r="EE13" s="13" t="str">
        <f t="shared" ref="EE4:EE16" si="113">IF(ED13="","",ED12+EF12-ED13)</f>
        <v/>
      </c>
      <c r="EF13" s="13"/>
      <c r="EG13" s="231" t="str">
        <f t="shared" ref="EG4:EG26" si="114">IF(DZ13="","",EG12)</f>
        <v/>
      </c>
      <c r="EH13" s="53" t="str">
        <f t="shared" ref="EH4:EH16" si="115">IF(DZ13="","",EH12)</f>
        <v/>
      </c>
      <c r="EI13" s="13" t="str">
        <f t="shared" ref="EI4:EI16" si="116">IF(EH13="","",EE13*EH13)</f>
        <v/>
      </c>
      <c r="EJ13" s="14" t="str">
        <f t="shared" ref="EJ4:EJ15" si="117">IF(EI13="","",EI13/(EA13*100))</f>
        <v/>
      </c>
      <c r="EK13" s="43"/>
    </row>
    <row r="14" spans="1:141" ht="15" customHeight="1" thickBot="1" x14ac:dyDescent="0.25">
      <c r="A14" s="215"/>
      <c r="B14" s="215"/>
      <c r="C14" s="216">
        <v>9720</v>
      </c>
      <c r="D14" s="88">
        <f t="shared" si="35"/>
        <v>24</v>
      </c>
      <c r="E14" s="27">
        <v>544</v>
      </c>
      <c r="F14" s="27">
        <f t="shared" si="36"/>
        <v>0</v>
      </c>
      <c r="G14" s="27">
        <v>18</v>
      </c>
      <c r="H14" s="27">
        <f t="shared" si="37"/>
        <v>0</v>
      </c>
      <c r="I14" s="217">
        <v>0</v>
      </c>
      <c r="J14" s="57" t="str">
        <f t="shared" si="70"/>
        <v>モンチチフルーツマスコット</v>
      </c>
      <c r="K14" s="62">
        <f t="shared" si="71"/>
        <v>572</v>
      </c>
      <c r="L14" s="27">
        <f t="shared" si="72"/>
        <v>0</v>
      </c>
      <c r="M14" s="28">
        <f t="shared" si="73"/>
        <v>0</v>
      </c>
      <c r="N14" s="233" t="s">
        <v>645</v>
      </c>
      <c r="O14" s="248"/>
      <c r="P14" s="215"/>
      <c r="Q14" s="216">
        <v>15525</v>
      </c>
      <c r="R14" s="88">
        <f t="shared" si="42"/>
        <v>43</v>
      </c>
      <c r="S14" s="27">
        <v>700</v>
      </c>
      <c r="T14" s="27">
        <f t="shared" si="43"/>
        <v>4</v>
      </c>
      <c r="U14" s="27">
        <v>28</v>
      </c>
      <c r="V14" s="27">
        <f t="shared" si="44"/>
        <v>4</v>
      </c>
      <c r="W14" s="217">
        <v>20</v>
      </c>
      <c r="X14" s="57" t="str">
        <f t="shared" si="74"/>
        <v>ボンボンドロップ</v>
      </c>
      <c r="Y14" s="62">
        <f t="shared" si="75"/>
        <v>200</v>
      </c>
      <c r="Z14" s="27">
        <f t="shared" si="76"/>
        <v>800</v>
      </c>
      <c r="AA14" s="28">
        <f t="shared" si="77"/>
        <v>0.18604651162790697</v>
      </c>
      <c r="AB14" s="233" t="s">
        <v>636</v>
      </c>
      <c r="AC14" s="199"/>
      <c r="AD14" s="219"/>
      <c r="AE14" s="216">
        <v>14423</v>
      </c>
      <c r="AF14" s="27">
        <f t="shared" si="49"/>
        <v>145</v>
      </c>
      <c r="AG14" s="27">
        <v>368</v>
      </c>
      <c r="AH14" s="27">
        <f t="shared" si="50"/>
        <v>4</v>
      </c>
      <c r="AI14" s="27">
        <v>12</v>
      </c>
      <c r="AJ14" s="27">
        <f t="shared" si="51"/>
        <v>4</v>
      </c>
      <c r="AK14" s="217">
        <v>0</v>
      </c>
      <c r="AL14" s="57" t="str">
        <f t="shared" si="78"/>
        <v>キティキラキラマルチケース</v>
      </c>
      <c r="AM14" s="62">
        <f t="shared" si="79"/>
        <v>400</v>
      </c>
      <c r="AN14" s="27">
        <f t="shared" si="80"/>
        <v>1600</v>
      </c>
      <c r="AO14" s="28">
        <f t="shared" si="81"/>
        <v>0.1103448275862069</v>
      </c>
      <c r="AP14" s="15"/>
      <c r="AQ14" s="201"/>
      <c r="AR14" s="215"/>
      <c r="AS14" s="216">
        <v>19059</v>
      </c>
      <c r="AT14" s="27">
        <f t="shared" si="56"/>
        <v>90</v>
      </c>
      <c r="AU14" s="27">
        <v>524</v>
      </c>
      <c r="AV14" s="27">
        <f t="shared" si="57"/>
        <v>0</v>
      </c>
      <c r="AW14" s="27">
        <v>22</v>
      </c>
      <c r="AX14" s="27">
        <f t="shared" si="58"/>
        <v>0</v>
      </c>
      <c r="AY14" s="217">
        <v>0</v>
      </c>
      <c r="AZ14" s="57" t="str">
        <f t="shared" si="82"/>
        <v>バタースクイーズ</v>
      </c>
      <c r="BA14" s="62">
        <f t="shared" si="83"/>
        <v>400</v>
      </c>
      <c r="BB14" s="27">
        <f t="shared" si="84"/>
        <v>0</v>
      </c>
      <c r="BC14" s="28">
        <f t="shared" si="85"/>
        <v>0</v>
      </c>
      <c r="BD14" s="15" t="s">
        <v>220</v>
      </c>
      <c r="BE14" s="248"/>
      <c r="BF14" s="215"/>
      <c r="BG14" s="238" t="s">
        <v>592</v>
      </c>
      <c r="BH14" s="216">
        <v>2933</v>
      </c>
      <c r="BI14" s="27">
        <f t="shared" si="63"/>
        <v>96</v>
      </c>
      <c r="BJ14" s="27">
        <v>39</v>
      </c>
      <c r="BK14" s="27">
        <f t="shared" si="64"/>
        <v>1</v>
      </c>
      <c r="BL14" s="27">
        <v>1</v>
      </c>
      <c r="BM14" s="27">
        <f t="shared" si="65"/>
        <v>2</v>
      </c>
      <c r="BN14" s="217">
        <v>2</v>
      </c>
      <c r="BO14" s="57" t="str">
        <f t="shared" si="86"/>
        <v>ボンボンドロップシール</v>
      </c>
      <c r="BP14" s="62">
        <f t="shared" si="87"/>
        <v>1500</v>
      </c>
      <c r="BQ14" s="27">
        <f t="shared" si="88"/>
        <v>3000</v>
      </c>
      <c r="BR14" s="28">
        <f t="shared" si="89"/>
        <v>0.3125</v>
      </c>
      <c r="BS14" s="15"/>
      <c r="BU14" s="79" t="str">
        <f>IF($A47="","",$A47)</f>
        <v/>
      </c>
      <c r="BV14" s="17"/>
      <c r="BW14" s="13" t="str">
        <f t="shared" si="0"/>
        <v/>
      </c>
      <c r="BX14" s="13"/>
      <c r="BY14" s="13" t="str">
        <f t="shared" si="1"/>
        <v/>
      </c>
      <c r="BZ14" s="13"/>
      <c r="CA14" s="13" t="str">
        <f t="shared" si="2"/>
        <v/>
      </c>
      <c r="CB14" s="13"/>
      <c r="CC14" s="231" t="str">
        <f t="shared" si="3"/>
        <v/>
      </c>
      <c r="CD14" s="53" t="str">
        <f t="shared" si="4"/>
        <v/>
      </c>
      <c r="CE14" s="13" t="str">
        <f t="shared" si="5"/>
        <v/>
      </c>
      <c r="CF14" s="14" t="str">
        <f t="shared" si="6"/>
        <v/>
      </c>
      <c r="CG14" s="15"/>
      <c r="CH14" s="1"/>
      <c r="CI14" s="79" t="str">
        <f>IF($A47="","",$A47)</f>
        <v/>
      </c>
      <c r="CJ14" s="17"/>
      <c r="CK14" s="13" t="str">
        <f t="shared" si="90"/>
        <v/>
      </c>
      <c r="CL14" s="13"/>
      <c r="CM14" s="13" t="str">
        <f t="shared" si="91"/>
        <v/>
      </c>
      <c r="CN14" s="13"/>
      <c r="CO14" s="13" t="str">
        <f t="shared" si="92"/>
        <v/>
      </c>
      <c r="CP14" s="13"/>
      <c r="CQ14" s="231" t="str">
        <f t="shared" si="93"/>
        <v/>
      </c>
      <c r="CR14" s="53" t="str">
        <f t="shared" si="94"/>
        <v/>
      </c>
      <c r="CS14" s="13" t="str">
        <f t="shared" si="95"/>
        <v/>
      </c>
      <c r="CT14" s="14" t="str">
        <f t="shared" si="96"/>
        <v/>
      </c>
      <c r="CU14" s="15"/>
      <c r="CV14" s="1"/>
      <c r="CW14" s="79" t="str">
        <f>IF($A47="","",$A47)</f>
        <v/>
      </c>
      <c r="CX14" s="17"/>
      <c r="CY14" s="13" t="str">
        <f t="shared" si="97"/>
        <v/>
      </c>
      <c r="CZ14" s="13"/>
      <c r="DA14" s="13" t="str">
        <f t="shared" si="98"/>
        <v/>
      </c>
      <c r="DB14" s="13"/>
      <c r="DC14" s="13" t="str">
        <f t="shared" si="99"/>
        <v/>
      </c>
      <c r="DD14" s="13"/>
      <c r="DE14" s="231" t="str">
        <f t="shared" si="100"/>
        <v/>
      </c>
      <c r="DF14" s="53" t="str">
        <f t="shared" si="101"/>
        <v/>
      </c>
      <c r="DG14" s="13" t="str">
        <f t="shared" si="102"/>
        <v/>
      </c>
      <c r="DH14" s="14" t="str">
        <f t="shared" si="103"/>
        <v/>
      </c>
      <c r="DI14" s="15"/>
      <c r="DJ14" s="1"/>
      <c r="DK14" s="79" t="str">
        <f>IF($A47="","",$A47)</f>
        <v/>
      </c>
      <c r="DL14" s="17"/>
      <c r="DM14" s="13" t="str">
        <f t="shared" si="104"/>
        <v/>
      </c>
      <c r="DN14" s="13"/>
      <c r="DO14" s="13" t="str">
        <f t="shared" si="105"/>
        <v/>
      </c>
      <c r="DP14" s="13"/>
      <c r="DQ14" s="13" t="str">
        <f t="shared" si="106"/>
        <v/>
      </c>
      <c r="DR14" s="13"/>
      <c r="DS14" s="231" t="str">
        <f t="shared" si="107"/>
        <v/>
      </c>
      <c r="DT14" s="53" t="str">
        <f t="shared" si="108"/>
        <v/>
      </c>
      <c r="DU14" s="13" t="str">
        <f t="shared" si="109"/>
        <v/>
      </c>
      <c r="DV14" s="14" t="str">
        <f t="shared" si="110"/>
        <v/>
      </c>
      <c r="DW14" s="15"/>
      <c r="DY14" s="79" t="str">
        <f>IF($A47="","",$A47)</f>
        <v/>
      </c>
      <c r="DZ14" s="17"/>
      <c r="EA14" s="13" t="str">
        <f t="shared" si="111"/>
        <v/>
      </c>
      <c r="EB14" s="13"/>
      <c r="EC14" s="13" t="str">
        <f t="shared" si="112"/>
        <v/>
      </c>
      <c r="ED14" s="13"/>
      <c r="EE14" s="13" t="str">
        <f t="shared" si="113"/>
        <v/>
      </c>
      <c r="EF14" s="13"/>
      <c r="EG14" s="231" t="str">
        <f t="shared" si="114"/>
        <v/>
      </c>
      <c r="EH14" s="53" t="str">
        <f t="shared" si="115"/>
        <v/>
      </c>
      <c r="EI14" s="13" t="str">
        <f t="shared" si="116"/>
        <v/>
      </c>
      <c r="EJ14" s="14" t="str">
        <f t="shared" si="117"/>
        <v/>
      </c>
      <c r="EK14" s="15"/>
    </row>
    <row r="15" spans="1:141" ht="15" customHeight="1" thickTop="1" x14ac:dyDescent="0.2">
      <c r="A15" s="79">
        <v>46164</v>
      </c>
      <c r="B15" s="74">
        <f>IF(A15="","",SUM(D15:D18)+SUM(R15:R18)+SUM(AF15:AF18)+SUM(AT15:AT18)+SUM(BW6,CK6,CY6,DM6,EA6)+SUM(BI15:BI18))</f>
        <v>2081</v>
      </c>
      <c r="C15" s="13">
        <v>8533</v>
      </c>
      <c r="D15" s="53">
        <f t="shared" si="35"/>
        <v>39</v>
      </c>
      <c r="E15" s="13">
        <v>428</v>
      </c>
      <c r="F15" s="31">
        <f t="shared" si="36"/>
        <v>1</v>
      </c>
      <c r="G15" s="13">
        <v>47</v>
      </c>
      <c r="H15" s="53">
        <f t="shared" si="37"/>
        <v>1</v>
      </c>
      <c r="I15" s="192">
        <v>-37</v>
      </c>
      <c r="J15" s="75" t="str">
        <f t="shared" ref="J15:J30" si="118">IF(C15="","",J11)</f>
        <v>ジャグラーボタン</v>
      </c>
      <c r="K15" s="76">
        <f t="shared" ref="K15:K30" si="119">IF(D15="","",K11)</f>
        <v>748</v>
      </c>
      <c r="L15" s="31">
        <f t="shared" ref="L15:L30" si="120">IF(G15="","",H15*K15)</f>
        <v>748</v>
      </c>
      <c r="M15" s="32">
        <f t="shared" ref="M15:M30" si="121">IF(H15="","",L15/(D15*100))</f>
        <v>0.19179487179487179</v>
      </c>
      <c r="N15" s="15" t="s">
        <v>647</v>
      </c>
      <c r="O15" s="2"/>
      <c r="P15" s="79">
        <f>IF(A15="","",A15)</f>
        <v>46164</v>
      </c>
      <c r="Q15" s="13">
        <v>10265</v>
      </c>
      <c r="R15" s="53">
        <f t="shared" si="42"/>
        <v>168</v>
      </c>
      <c r="S15" s="13">
        <v>308</v>
      </c>
      <c r="T15" s="31">
        <f t="shared" si="43"/>
        <v>4</v>
      </c>
      <c r="U15" s="13">
        <v>1</v>
      </c>
      <c r="V15" s="53">
        <f t="shared" si="44"/>
        <v>4</v>
      </c>
      <c r="W15" s="192">
        <v>8</v>
      </c>
      <c r="X15" s="75" t="str">
        <f t="shared" si="74"/>
        <v>たまごっちカスタムキーリング</v>
      </c>
      <c r="Y15" s="76">
        <f t="shared" si="75"/>
        <v>700</v>
      </c>
      <c r="Z15" s="31">
        <f t="shared" si="76"/>
        <v>2800</v>
      </c>
      <c r="AA15" s="32">
        <f t="shared" si="77"/>
        <v>0.16666666666666666</v>
      </c>
      <c r="AB15" s="15"/>
      <c r="AC15" s="113"/>
      <c r="AD15" s="146">
        <f>IF($A15="","",$A15)</f>
        <v>46164</v>
      </c>
      <c r="AE15" s="13">
        <v>12485</v>
      </c>
      <c r="AF15" s="53">
        <f t="shared" si="49"/>
        <v>49</v>
      </c>
      <c r="AG15" s="13">
        <v>283</v>
      </c>
      <c r="AH15" s="31">
        <f t="shared" si="50"/>
        <v>0</v>
      </c>
      <c r="AI15" s="13">
        <v>38</v>
      </c>
      <c r="AJ15" s="53">
        <f t="shared" si="51"/>
        <v>0</v>
      </c>
      <c r="AK15" s="192">
        <v>10</v>
      </c>
      <c r="AL15" s="75" t="str">
        <f t="shared" si="78"/>
        <v>フルーツスクイーズ</v>
      </c>
      <c r="AM15" s="76">
        <f t="shared" si="79"/>
        <v>210</v>
      </c>
      <c r="AN15" s="31">
        <f t="shared" si="80"/>
        <v>0</v>
      </c>
      <c r="AO15" s="32">
        <f t="shared" si="81"/>
        <v>0</v>
      </c>
      <c r="AP15" s="15"/>
      <c r="AQ15" s="15"/>
      <c r="AR15" s="79">
        <f>IF($A15="","",$A15)</f>
        <v>46164</v>
      </c>
      <c r="AS15" s="13">
        <v>14419</v>
      </c>
      <c r="AT15" s="53">
        <f t="shared" si="56"/>
        <v>224</v>
      </c>
      <c r="AU15" s="13">
        <v>439</v>
      </c>
      <c r="AV15" s="31">
        <f t="shared" si="57"/>
        <v>5</v>
      </c>
      <c r="AW15" s="13">
        <v>7</v>
      </c>
      <c r="AX15" s="53">
        <f t="shared" si="58"/>
        <v>3</v>
      </c>
      <c r="AY15" s="192">
        <v>1</v>
      </c>
      <c r="AZ15" s="75" t="str">
        <f t="shared" si="82"/>
        <v>極とろスクイーズ</v>
      </c>
      <c r="BA15" s="76">
        <f t="shared" si="83"/>
        <v>1100</v>
      </c>
      <c r="BB15" s="31">
        <f t="shared" si="84"/>
        <v>3300</v>
      </c>
      <c r="BC15" s="32">
        <f t="shared" si="85"/>
        <v>0.14732142857142858</v>
      </c>
      <c r="BD15" s="15"/>
      <c r="BE15" s="2"/>
      <c r="BF15" s="79">
        <f>IF(A15="","",A15)</f>
        <v>46164</v>
      </c>
      <c r="BG15" s="240" t="s">
        <v>589</v>
      </c>
      <c r="BH15" s="13">
        <v>3067</v>
      </c>
      <c r="BI15" s="53">
        <f t="shared" si="63"/>
        <v>43</v>
      </c>
      <c r="BJ15" s="13">
        <v>38</v>
      </c>
      <c r="BK15" s="31">
        <f t="shared" si="64"/>
        <v>1</v>
      </c>
      <c r="BL15" s="13">
        <v>2</v>
      </c>
      <c r="BM15" s="53">
        <f t="shared" si="65"/>
        <v>1</v>
      </c>
      <c r="BN15" s="192">
        <v>1</v>
      </c>
      <c r="BO15" s="75" t="str">
        <f t="shared" si="86"/>
        <v>ボンドロ</v>
      </c>
      <c r="BP15" s="76">
        <f t="shared" si="87"/>
        <v>1500</v>
      </c>
      <c r="BQ15" s="31">
        <f t="shared" si="88"/>
        <v>1500</v>
      </c>
      <c r="BR15" s="32">
        <f t="shared" si="89"/>
        <v>0.34883720930232559</v>
      </c>
      <c r="BS15" s="15"/>
      <c r="BU15" s="79" t="str">
        <f>IF($A51="","",$A51)</f>
        <v/>
      </c>
      <c r="BV15" s="17"/>
      <c r="BW15" s="13" t="str">
        <f t="shared" si="0"/>
        <v/>
      </c>
      <c r="BX15" s="13"/>
      <c r="BY15" s="13" t="str">
        <f t="shared" si="1"/>
        <v/>
      </c>
      <c r="BZ15" s="13"/>
      <c r="CA15" s="13" t="str">
        <f t="shared" si="2"/>
        <v/>
      </c>
      <c r="CB15" s="13"/>
      <c r="CC15" s="231" t="str">
        <f t="shared" si="3"/>
        <v/>
      </c>
      <c r="CD15" s="53" t="str">
        <f t="shared" si="4"/>
        <v/>
      </c>
      <c r="CE15" s="13" t="str">
        <f t="shared" si="5"/>
        <v/>
      </c>
      <c r="CF15" s="14" t="str">
        <f t="shared" si="6"/>
        <v/>
      </c>
      <c r="CG15" s="15"/>
      <c r="CH15" s="1"/>
      <c r="CI15" s="79" t="str">
        <f>IF($A51="","",$A51)</f>
        <v/>
      </c>
      <c r="CJ15" s="17"/>
      <c r="CK15" s="13" t="str">
        <f t="shared" si="90"/>
        <v/>
      </c>
      <c r="CL15" s="13"/>
      <c r="CM15" s="13" t="str">
        <f t="shared" si="91"/>
        <v/>
      </c>
      <c r="CN15" s="13"/>
      <c r="CO15" s="13" t="str">
        <f t="shared" si="92"/>
        <v/>
      </c>
      <c r="CP15" s="13"/>
      <c r="CQ15" s="231" t="str">
        <f t="shared" si="93"/>
        <v/>
      </c>
      <c r="CR15" s="53" t="str">
        <f t="shared" si="94"/>
        <v/>
      </c>
      <c r="CS15" s="13" t="str">
        <f t="shared" si="95"/>
        <v/>
      </c>
      <c r="CT15" s="14" t="str">
        <f t="shared" si="96"/>
        <v/>
      </c>
      <c r="CU15" s="15"/>
      <c r="CV15" s="1"/>
      <c r="CW15" s="79" t="str">
        <f>IF($A51="","",$A51)</f>
        <v/>
      </c>
      <c r="CX15" s="17"/>
      <c r="CY15" s="13" t="str">
        <f t="shared" si="97"/>
        <v/>
      </c>
      <c r="CZ15" s="13"/>
      <c r="DA15" s="13" t="str">
        <f t="shared" si="98"/>
        <v/>
      </c>
      <c r="DB15" s="13"/>
      <c r="DC15" s="13" t="str">
        <f t="shared" si="99"/>
        <v/>
      </c>
      <c r="DD15" s="13"/>
      <c r="DE15" s="231" t="str">
        <f t="shared" si="100"/>
        <v/>
      </c>
      <c r="DF15" s="53" t="str">
        <f t="shared" si="101"/>
        <v/>
      </c>
      <c r="DG15" s="13" t="str">
        <f t="shared" si="102"/>
        <v/>
      </c>
      <c r="DH15" s="14" t="str">
        <f t="shared" si="103"/>
        <v/>
      </c>
      <c r="DI15" s="15"/>
      <c r="DJ15" s="1"/>
      <c r="DK15" s="79" t="str">
        <f>IF($A51="","",$A51)</f>
        <v/>
      </c>
      <c r="DL15" s="17"/>
      <c r="DM15" s="13" t="str">
        <f t="shared" si="104"/>
        <v/>
      </c>
      <c r="DN15" s="13"/>
      <c r="DO15" s="13" t="str">
        <f t="shared" si="105"/>
        <v/>
      </c>
      <c r="DP15" s="13"/>
      <c r="DQ15" s="13" t="str">
        <f t="shared" si="106"/>
        <v/>
      </c>
      <c r="DR15" s="13"/>
      <c r="DS15" s="231" t="str">
        <f t="shared" si="107"/>
        <v/>
      </c>
      <c r="DT15" s="53" t="str">
        <f t="shared" si="108"/>
        <v/>
      </c>
      <c r="DU15" s="13" t="str">
        <f t="shared" si="109"/>
        <v/>
      </c>
      <c r="DV15" s="14" t="str">
        <f t="shared" si="110"/>
        <v/>
      </c>
      <c r="DW15" s="15"/>
      <c r="DY15" s="79" t="str">
        <f>IF($A51="","",$A51)</f>
        <v/>
      </c>
      <c r="DZ15" s="17"/>
      <c r="EA15" s="13" t="str">
        <f t="shared" si="111"/>
        <v/>
      </c>
      <c r="EB15" s="13"/>
      <c r="EC15" s="13" t="str">
        <f t="shared" si="112"/>
        <v/>
      </c>
      <c r="ED15" s="13"/>
      <c r="EE15" s="13" t="str">
        <f t="shared" si="113"/>
        <v/>
      </c>
      <c r="EF15" s="13"/>
      <c r="EG15" s="231" t="str">
        <f t="shared" si="114"/>
        <v/>
      </c>
      <c r="EH15" s="53" t="str">
        <f t="shared" si="115"/>
        <v/>
      </c>
      <c r="EI15" s="13" t="str">
        <f t="shared" si="116"/>
        <v/>
      </c>
      <c r="EJ15" s="14" t="str">
        <f t="shared" si="117"/>
        <v/>
      </c>
      <c r="EK15" s="15"/>
    </row>
    <row r="16" spans="1:141" x14ac:dyDescent="0.2">
      <c r="A16" s="16"/>
      <c r="B16" s="48"/>
      <c r="C16" s="53">
        <v>8162</v>
      </c>
      <c r="D16" s="13">
        <f t="shared" si="35"/>
        <v>48</v>
      </c>
      <c r="E16" s="53">
        <v>466</v>
      </c>
      <c r="F16" s="13">
        <f t="shared" si="36"/>
        <v>4</v>
      </c>
      <c r="G16" s="13">
        <v>40</v>
      </c>
      <c r="H16" s="13">
        <f t="shared" si="37"/>
        <v>4</v>
      </c>
      <c r="I16" s="205">
        <v>5</v>
      </c>
      <c r="J16" s="56" t="str">
        <f t="shared" si="118"/>
        <v>電ブル</v>
      </c>
      <c r="K16" s="54">
        <f t="shared" si="119"/>
        <v>275</v>
      </c>
      <c r="L16" s="13">
        <f t="shared" si="120"/>
        <v>1100</v>
      </c>
      <c r="M16" s="14">
        <f t="shared" si="121"/>
        <v>0.22916666666666666</v>
      </c>
      <c r="N16" s="15"/>
      <c r="O16" s="2"/>
      <c r="P16" s="16"/>
      <c r="Q16" s="53">
        <v>2951</v>
      </c>
      <c r="R16" s="13">
        <f t="shared" si="42"/>
        <v>54</v>
      </c>
      <c r="S16" s="53">
        <v>187</v>
      </c>
      <c r="T16" s="13">
        <f t="shared" si="43"/>
        <v>1</v>
      </c>
      <c r="U16" s="13">
        <v>15</v>
      </c>
      <c r="V16" s="13">
        <f t="shared" si="44"/>
        <v>3</v>
      </c>
      <c r="W16" s="205">
        <v>0</v>
      </c>
      <c r="X16" s="56" t="str">
        <f t="shared" si="74"/>
        <v>たまごっちブロックシール</v>
      </c>
      <c r="Y16" s="54">
        <f t="shared" si="75"/>
        <v>600</v>
      </c>
      <c r="Z16" s="13">
        <f t="shared" si="76"/>
        <v>1800</v>
      </c>
      <c r="AA16" s="14">
        <f t="shared" si="77"/>
        <v>0.33333333333333331</v>
      </c>
      <c r="AB16" s="15"/>
      <c r="AC16" s="113"/>
      <c r="AD16" s="147"/>
      <c r="AE16" s="53">
        <v>12762</v>
      </c>
      <c r="AF16" s="13">
        <f t="shared" si="49"/>
        <v>36</v>
      </c>
      <c r="AG16" s="53">
        <v>264</v>
      </c>
      <c r="AH16" s="13">
        <f t="shared" si="50"/>
        <v>1</v>
      </c>
      <c r="AI16" s="13">
        <v>7</v>
      </c>
      <c r="AJ16" s="13">
        <f t="shared" si="51"/>
        <v>1</v>
      </c>
      <c r="AK16" s="205">
        <v>2</v>
      </c>
      <c r="AL16" s="56" t="str">
        <f t="shared" si="78"/>
        <v>サンリオハンディファン</v>
      </c>
      <c r="AM16" s="54">
        <f t="shared" si="79"/>
        <v>1100</v>
      </c>
      <c r="AN16" s="13">
        <f t="shared" si="80"/>
        <v>1100</v>
      </c>
      <c r="AO16" s="14">
        <f t="shared" si="81"/>
        <v>0.30555555555555558</v>
      </c>
      <c r="AP16" s="15"/>
      <c r="AQ16" s="15"/>
      <c r="AR16" s="16"/>
      <c r="AS16" s="53">
        <v>11223</v>
      </c>
      <c r="AT16" s="13">
        <f t="shared" si="56"/>
        <v>92</v>
      </c>
      <c r="AU16" s="53">
        <v>490</v>
      </c>
      <c r="AV16" s="13">
        <f t="shared" si="57"/>
        <v>0</v>
      </c>
      <c r="AW16" s="13">
        <v>25</v>
      </c>
      <c r="AX16" s="13">
        <f t="shared" si="58"/>
        <v>0</v>
      </c>
      <c r="AY16" s="205">
        <v>0</v>
      </c>
      <c r="AZ16" s="56" t="str">
        <f t="shared" si="82"/>
        <v>ベアブリック</v>
      </c>
      <c r="BA16" s="54">
        <f t="shared" si="83"/>
        <v>1100</v>
      </c>
      <c r="BB16" s="13">
        <f t="shared" si="84"/>
        <v>0</v>
      </c>
      <c r="BC16" s="14">
        <f t="shared" si="85"/>
        <v>0</v>
      </c>
      <c r="BD16" s="15"/>
      <c r="BE16" s="2"/>
      <c r="BF16" s="16"/>
      <c r="BG16" s="7" t="s">
        <v>590</v>
      </c>
      <c r="BH16" s="53">
        <v>4812</v>
      </c>
      <c r="BI16" s="13">
        <f t="shared" si="63"/>
        <v>133</v>
      </c>
      <c r="BJ16" s="53">
        <v>33</v>
      </c>
      <c r="BK16" s="13">
        <f t="shared" si="64"/>
        <v>1</v>
      </c>
      <c r="BL16" s="13">
        <v>2</v>
      </c>
      <c r="BM16" s="13">
        <f t="shared" si="65"/>
        <v>1</v>
      </c>
      <c r="BN16" s="205">
        <v>1</v>
      </c>
      <c r="BO16" s="56" t="str">
        <f t="shared" si="86"/>
        <v>ボンボンドロップシール</v>
      </c>
      <c r="BP16" s="54">
        <f t="shared" si="87"/>
        <v>1500</v>
      </c>
      <c r="BQ16" s="13">
        <f t="shared" si="88"/>
        <v>1500</v>
      </c>
      <c r="BR16" s="14">
        <f t="shared" si="89"/>
        <v>0.11278195488721804</v>
      </c>
      <c r="BS16" s="15"/>
      <c r="BU16" s="79" t="str">
        <f>IF($A55="","",$A55)</f>
        <v/>
      </c>
      <c r="BV16" s="13"/>
      <c r="BW16" s="13" t="str">
        <f t="shared" si="0"/>
        <v/>
      </c>
      <c r="BX16" s="13"/>
      <c r="BY16" s="13" t="str">
        <f t="shared" si="1"/>
        <v/>
      </c>
      <c r="BZ16" s="13"/>
      <c r="CA16" s="13" t="str">
        <f t="shared" si="2"/>
        <v/>
      </c>
      <c r="CB16" s="13"/>
      <c r="CC16" s="231" t="str">
        <f t="shared" si="3"/>
        <v/>
      </c>
      <c r="CD16" s="53" t="str">
        <f t="shared" si="4"/>
        <v/>
      </c>
      <c r="CE16" s="13" t="str">
        <f t="shared" si="5"/>
        <v/>
      </c>
      <c r="CF16" s="14" t="str">
        <f>IF(CE16="","",CE16/(BV16*100))</f>
        <v/>
      </c>
      <c r="CG16" s="67"/>
      <c r="CH16" s="1"/>
      <c r="CI16" s="79" t="str">
        <f>IF($A55="","",$A55)</f>
        <v/>
      </c>
      <c r="CJ16" s="13"/>
      <c r="CK16" s="13" t="str">
        <f t="shared" si="90"/>
        <v/>
      </c>
      <c r="CL16" s="13"/>
      <c r="CM16" s="13" t="str">
        <f t="shared" si="91"/>
        <v/>
      </c>
      <c r="CN16" s="13"/>
      <c r="CO16" s="13" t="str">
        <f t="shared" si="92"/>
        <v/>
      </c>
      <c r="CP16" s="13"/>
      <c r="CQ16" s="231" t="str">
        <f t="shared" si="93"/>
        <v/>
      </c>
      <c r="CR16" s="53" t="str">
        <f t="shared" si="94"/>
        <v/>
      </c>
      <c r="CS16" s="13" t="str">
        <f t="shared" si="95"/>
        <v/>
      </c>
      <c r="CT16" s="14" t="str">
        <f>IF(CS16="","",CS16/(CJ16*100))</f>
        <v/>
      </c>
      <c r="CU16" s="67"/>
      <c r="CV16" s="1"/>
      <c r="CW16" s="79" t="str">
        <f>IF($A55="","",$A55)</f>
        <v/>
      </c>
      <c r="CX16" s="13"/>
      <c r="CY16" s="13" t="str">
        <f t="shared" si="97"/>
        <v/>
      </c>
      <c r="CZ16" s="13"/>
      <c r="DA16" s="13" t="str">
        <f t="shared" si="98"/>
        <v/>
      </c>
      <c r="DB16" s="13"/>
      <c r="DC16" s="13" t="str">
        <f t="shared" si="99"/>
        <v/>
      </c>
      <c r="DD16" s="13"/>
      <c r="DE16" s="231" t="str">
        <f t="shared" si="100"/>
        <v/>
      </c>
      <c r="DF16" s="53" t="str">
        <f t="shared" si="101"/>
        <v/>
      </c>
      <c r="DG16" s="13" t="str">
        <f t="shared" si="102"/>
        <v/>
      </c>
      <c r="DH16" s="14" t="str">
        <f>IF(DG16="","",DG16/(CX16*100))</f>
        <v/>
      </c>
      <c r="DI16" s="67"/>
      <c r="DJ16" s="1"/>
      <c r="DK16" s="79" t="str">
        <f>IF($A55="","",$A55)</f>
        <v/>
      </c>
      <c r="DL16" s="13"/>
      <c r="DM16" s="13" t="str">
        <f t="shared" si="104"/>
        <v/>
      </c>
      <c r="DN16" s="13"/>
      <c r="DO16" s="13" t="str">
        <f t="shared" si="105"/>
        <v/>
      </c>
      <c r="DP16" s="13"/>
      <c r="DQ16" s="13" t="str">
        <f t="shared" si="106"/>
        <v/>
      </c>
      <c r="DR16" s="13"/>
      <c r="DS16" s="231" t="str">
        <f t="shared" si="107"/>
        <v/>
      </c>
      <c r="DT16" s="53" t="str">
        <f t="shared" si="108"/>
        <v/>
      </c>
      <c r="DU16" s="13" t="str">
        <f t="shared" si="109"/>
        <v/>
      </c>
      <c r="DV16" s="14" t="str">
        <f>IF(DU16="","",DU16/(DL16*100))</f>
        <v/>
      </c>
      <c r="DW16" s="67"/>
      <c r="DY16" s="79" t="str">
        <f>IF($A55="","",$A55)</f>
        <v/>
      </c>
      <c r="DZ16" s="13"/>
      <c r="EA16" s="13" t="str">
        <f t="shared" si="111"/>
        <v/>
      </c>
      <c r="EB16" s="13"/>
      <c r="EC16" s="13" t="str">
        <f t="shared" si="112"/>
        <v/>
      </c>
      <c r="ED16" s="13"/>
      <c r="EE16" s="13" t="str">
        <f t="shared" si="113"/>
        <v/>
      </c>
      <c r="EF16" s="13"/>
      <c r="EG16" s="231" t="str">
        <f t="shared" si="114"/>
        <v/>
      </c>
      <c r="EH16" s="53" t="str">
        <f t="shared" si="115"/>
        <v/>
      </c>
      <c r="EI16" s="13" t="str">
        <f t="shared" si="116"/>
        <v/>
      </c>
      <c r="EJ16" s="14" t="str">
        <f>IF(EI16="","",EI16/(DZ16*100))</f>
        <v/>
      </c>
      <c r="EK16" s="67"/>
    </row>
    <row r="17" spans="1:141" x14ac:dyDescent="0.2">
      <c r="A17" s="33"/>
      <c r="B17" s="48"/>
      <c r="C17" s="13">
        <v>13548</v>
      </c>
      <c r="D17" s="13">
        <f t="shared" si="35"/>
        <v>19</v>
      </c>
      <c r="E17" s="13">
        <v>864</v>
      </c>
      <c r="F17" s="13">
        <f t="shared" si="36"/>
        <v>5</v>
      </c>
      <c r="G17" s="13">
        <v>200</v>
      </c>
      <c r="H17" s="13">
        <f t="shared" si="37"/>
        <v>10</v>
      </c>
      <c r="I17" s="214">
        <v>-182</v>
      </c>
      <c r="J17" s="56" t="str">
        <f t="shared" si="118"/>
        <v>ブレスレット</v>
      </c>
      <c r="K17" s="13">
        <f t="shared" si="119"/>
        <v>100</v>
      </c>
      <c r="L17" s="13">
        <f t="shared" si="120"/>
        <v>1000</v>
      </c>
      <c r="M17" s="14">
        <f t="shared" si="121"/>
        <v>0.52631578947368418</v>
      </c>
      <c r="N17" s="15" t="s">
        <v>649</v>
      </c>
      <c r="O17" s="2"/>
      <c r="P17" s="33"/>
      <c r="Q17" s="13">
        <v>11410</v>
      </c>
      <c r="R17" s="13">
        <f t="shared" si="42"/>
        <v>44</v>
      </c>
      <c r="S17" s="13">
        <v>226</v>
      </c>
      <c r="T17" s="13">
        <f t="shared" si="43"/>
        <v>1</v>
      </c>
      <c r="U17" s="13">
        <v>36</v>
      </c>
      <c r="V17" s="13">
        <f t="shared" si="44"/>
        <v>1</v>
      </c>
      <c r="W17" s="214">
        <v>0</v>
      </c>
      <c r="X17" s="56" t="str">
        <f t="shared" si="74"/>
        <v>たまごっちミニクリップ</v>
      </c>
      <c r="Y17" s="13">
        <f t="shared" si="75"/>
        <v>1100</v>
      </c>
      <c r="Z17" s="13">
        <f t="shared" si="76"/>
        <v>1100</v>
      </c>
      <c r="AA17" s="14">
        <f t="shared" si="77"/>
        <v>0.25</v>
      </c>
      <c r="AB17" s="15"/>
      <c r="AC17" s="84"/>
      <c r="AD17" s="33"/>
      <c r="AE17" s="13">
        <v>15591</v>
      </c>
      <c r="AF17" s="13">
        <f t="shared" si="49"/>
        <v>69</v>
      </c>
      <c r="AG17" s="13">
        <v>609</v>
      </c>
      <c r="AH17" s="13">
        <f t="shared" si="50"/>
        <v>5</v>
      </c>
      <c r="AI17" s="13">
        <v>110</v>
      </c>
      <c r="AJ17" s="13">
        <f t="shared" si="51"/>
        <v>8</v>
      </c>
      <c r="AK17" s="214">
        <v>0</v>
      </c>
      <c r="AL17" s="56" t="str">
        <f t="shared" si="78"/>
        <v>ふわもちスクイーズ</v>
      </c>
      <c r="AM17" s="13">
        <f t="shared" si="79"/>
        <v>260</v>
      </c>
      <c r="AN17" s="13">
        <f t="shared" si="80"/>
        <v>2080</v>
      </c>
      <c r="AO17" s="14">
        <f t="shared" si="81"/>
        <v>0.30144927536231886</v>
      </c>
      <c r="AP17" s="15"/>
      <c r="AQ17" s="15"/>
      <c r="AR17" s="33"/>
      <c r="AS17" s="13">
        <v>19129</v>
      </c>
      <c r="AT17" s="13">
        <f t="shared" si="56"/>
        <v>100</v>
      </c>
      <c r="AU17" s="13">
        <v>583</v>
      </c>
      <c r="AV17" s="13">
        <f t="shared" si="57"/>
        <v>2</v>
      </c>
      <c r="AW17" s="13">
        <v>20</v>
      </c>
      <c r="AX17" s="13">
        <f t="shared" si="58"/>
        <v>2</v>
      </c>
      <c r="AY17" s="214">
        <v>4</v>
      </c>
      <c r="AZ17" s="56" t="str">
        <f t="shared" si="82"/>
        <v>たまごっちマスコット</v>
      </c>
      <c r="BA17" s="13">
        <f t="shared" si="83"/>
        <v>1430</v>
      </c>
      <c r="BB17" s="13">
        <f t="shared" si="84"/>
        <v>2860</v>
      </c>
      <c r="BC17" s="14">
        <f t="shared" si="85"/>
        <v>0.28599999999999998</v>
      </c>
      <c r="BD17" s="15"/>
      <c r="BE17" s="2"/>
      <c r="BF17" s="33"/>
      <c r="BG17" s="7" t="s">
        <v>591</v>
      </c>
      <c r="BH17" s="13">
        <v>3685</v>
      </c>
      <c r="BI17" s="13">
        <f t="shared" si="63"/>
        <v>8</v>
      </c>
      <c r="BJ17" s="13">
        <v>42</v>
      </c>
      <c r="BK17" s="13">
        <f t="shared" si="64"/>
        <v>1</v>
      </c>
      <c r="BL17" s="13">
        <v>2</v>
      </c>
      <c r="BM17" s="13">
        <f t="shared" si="65"/>
        <v>1</v>
      </c>
      <c r="BN17" s="214">
        <v>0</v>
      </c>
      <c r="BO17" s="56" t="str">
        <f t="shared" si="86"/>
        <v>ボンドロ</v>
      </c>
      <c r="BP17" s="13">
        <f t="shared" si="87"/>
        <v>1500</v>
      </c>
      <c r="BQ17" s="13">
        <f t="shared" si="88"/>
        <v>1500</v>
      </c>
      <c r="BR17" s="14">
        <f t="shared" si="89"/>
        <v>1.875</v>
      </c>
      <c r="BS17" s="15"/>
      <c r="BU17" s="79"/>
      <c r="BV17" s="13"/>
      <c r="BW17" s="13"/>
      <c r="BX17" s="13"/>
      <c r="BY17" s="13"/>
      <c r="BZ17" s="13"/>
      <c r="CA17" s="13"/>
      <c r="CB17" s="13"/>
      <c r="CC17" s="231" t="str">
        <f t="shared" si="3"/>
        <v/>
      </c>
      <c r="CD17" s="53"/>
      <c r="CE17" s="13"/>
      <c r="CF17" s="14" t="str">
        <f>IF(CE17="","",CE17/(BV17*100))</f>
        <v/>
      </c>
      <c r="CG17" s="67"/>
      <c r="CH17" s="1"/>
      <c r="CI17" s="79"/>
      <c r="CJ17" s="13"/>
      <c r="CK17" s="13"/>
      <c r="CL17" s="13"/>
      <c r="CM17" s="13"/>
      <c r="CN17" s="13"/>
      <c r="CO17" s="13"/>
      <c r="CP17" s="13"/>
      <c r="CQ17" s="231" t="str">
        <f t="shared" si="93"/>
        <v/>
      </c>
      <c r="CR17" s="53"/>
      <c r="CS17" s="13"/>
      <c r="CT17" s="14" t="str">
        <f>IF(CS17="","",CS17/(CJ17*100))</f>
        <v/>
      </c>
      <c r="CU17" s="67"/>
      <c r="CV17" s="1"/>
      <c r="CW17" s="79"/>
      <c r="CX17" s="13"/>
      <c r="CY17" s="13"/>
      <c r="CZ17" s="13"/>
      <c r="DA17" s="13"/>
      <c r="DB17" s="13"/>
      <c r="DC17" s="13"/>
      <c r="DD17" s="13"/>
      <c r="DE17" s="231" t="str">
        <f t="shared" si="100"/>
        <v/>
      </c>
      <c r="DF17" s="53"/>
      <c r="DG17" s="13"/>
      <c r="DH17" s="14" t="str">
        <f>IF(DG17="","",DG17/(CX17*100))</f>
        <v/>
      </c>
      <c r="DI17" s="67"/>
      <c r="DJ17" s="1"/>
      <c r="DK17" s="79"/>
      <c r="DL17" s="13"/>
      <c r="DM17" s="13"/>
      <c r="DN17" s="13"/>
      <c r="DO17" s="13"/>
      <c r="DP17" s="13"/>
      <c r="DQ17" s="13"/>
      <c r="DR17" s="13"/>
      <c r="DS17" s="231" t="str">
        <f t="shared" si="107"/>
        <v/>
      </c>
      <c r="DT17" s="53"/>
      <c r="DU17" s="13"/>
      <c r="DV17" s="14" t="str">
        <f>IF(DU17="","",DU17/(DL17*100))</f>
        <v/>
      </c>
      <c r="DW17" s="67"/>
      <c r="DY17" s="79"/>
      <c r="DZ17" s="13"/>
      <c r="EA17" s="13"/>
      <c r="EB17" s="13"/>
      <c r="EC17" s="13"/>
      <c r="ED17" s="13"/>
      <c r="EE17" s="13"/>
      <c r="EF17" s="13"/>
      <c r="EG17" s="231" t="str">
        <f t="shared" si="114"/>
        <v/>
      </c>
      <c r="EH17" s="53"/>
      <c r="EI17" s="13"/>
      <c r="EJ17" s="14" t="str">
        <f>IF(EI17="","",EI17/(DZ17*100))</f>
        <v/>
      </c>
      <c r="EK17" s="67"/>
    </row>
    <row r="18" spans="1:141" ht="15" customHeight="1" thickBot="1" x14ac:dyDescent="0.25">
      <c r="A18" s="26"/>
      <c r="B18" s="46"/>
      <c r="C18" s="27">
        <v>9737</v>
      </c>
      <c r="D18" s="27">
        <f t="shared" si="35"/>
        <v>17</v>
      </c>
      <c r="E18" s="27">
        <v>545</v>
      </c>
      <c r="F18" s="27">
        <f t="shared" si="36"/>
        <v>1</v>
      </c>
      <c r="G18" s="27">
        <v>17</v>
      </c>
      <c r="H18" s="27">
        <f t="shared" si="37"/>
        <v>1</v>
      </c>
      <c r="I18" s="217">
        <v>1</v>
      </c>
      <c r="J18" s="57" t="str">
        <f t="shared" si="118"/>
        <v>モンチチフルーツマスコット</v>
      </c>
      <c r="K18" s="62">
        <f t="shared" si="119"/>
        <v>572</v>
      </c>
      <c r="L18" s="27">
        <f t="shared" si="120"/>
        <v>572</v>
      </c>
      <c r="M18" s="28">
        <f t="shared" si="121"/>
        <v>0.33647058823529413</v>
      </c>
      <c r="N18" s="15" t="s">
        <v>648</v>
      </c>
      <c r="O18" s="2"/>
      <c r="P18" s="26"/>
      <c r="Q18" s="27">
        <v>15604</v>
      </c>
      <c r="R18" s="27">
        <f t="shared" si="42"/>
        <v>79</v>
      </c>
      <c r="S18" s="27">
        <v>715</v>
      </c>
      <c r="T18" s="27">
        <f t="shared" si="43"/>
        <v>15</v>
      </c>
      <c r="U18" s="27">
        <v>30</v>
      </c>
      <c r="V18" s="27">
        <f t="shared" si="44"/>
        <v>18</v>
      </c>
      <c r="W18" s="217">
        <v>8</v>
      </c>
      <c r="X18" s="57" t="str">
        <f t="shared" si="74"/>
        <v>ボンボンドロップ</v>
      </c>
      <c r="Y18" s="62">
        <f t="shared" si="75"/>
        <v>200</v>
      </c>
      <c r="Z18" s="27">
        <f t="shared" si="76"/>
        <v>3600</v>
      </c>
      <c r="AA18" s="28">
        <f t="shared" si="77"/>
        <v>0.45569620253164556</v>
      </c>
      <c r="AB18" s="15"/>
      <c r="AC18" s="15"/>
      <c r="AD18" s="26"/>
      <c r="AE18" s="27">
        <v>14500</v>
      </c>
      <c r="AF18" s="27">
        <f t="shared" si="49"/>
        <v>77</v>
      </c>
      <c r="AG18" s="27">
        <v>368</v>
      </c>
      <c r="AH18" s="27">
        <f t="shared" si="50"/>
        <v>0</v>
      </c>
      <c r="AI18" s="27">
        <v>12</v>
      </c>
      <c r="AJ18" s="27">
        <f t="shared" si="51"/>
        <v>0</v>
      </c>
      <c r="AK18" s="217">
        <v>0</v>
      </c>
      <c r="AL18" s="57" t="str">
        <f t="shared" si="78"/>
        <v>キティキラキラマルチケース</v>
      </c>
      <c r="AM18" s="62">
        <f t="shared" si="79"/>
        <v>400</v>
      </c>
      <c r="AN18" s="27">
        <f t="shared" si="80"/>
        <v>0</v>
      </c>
      <c r="AO18" s="28">
        <f t="shared" si="81"/>
        <v>0</v>
      </c>
      <c r="AP18" s="233" t="s">
        <v>386</v>
      </c>
      <c r="AQ18" s="15"/>
      <c r="AR18" s="26"/>
      <c r="AS18" s="27">
        <v>19096</v>
      </c>
      <c r="AT18" s="27">
        <f t="shared" si="56"/>
        <v>37</v>
      </c>
      <c r="AU18" s="27">
        <v>524</v>
      </c>
      <c r="AV18" s="27">
        <f t="shared" si="57"/>
        <v>0</v>
      </c>
      <c r="AW18" s="27">
        <v>21</v>
      </c>
      <c r="AX18" s="27">
        <f t="shared" si="58"/>
        <v>1</v>
      </c>
      <c r="AY18" s="217">
        <v>16</v>
      </c>
      <c r="AZ18" s="57" t="str">
        <f t="shared" si="82"/>
        <v>バタースクイーズ</v>
      </c>
      <c r="BA18" s="62">
        <f t="shared" si="83"/>
        <v>400</v>
      </c>
      <c r="BB18" s="27">
        <f t="shared" si="84"/>
        <v>400</v>
      </c>
      <c r="BC18" s="28">
        <f t="shared" si="85"/>
        <v>0.10810810810810811</v>
      </c>
      <c r="BD18" s="15" t="s">
        <v>650</v>
      </c>
      <c r="BE18" s="2"/>
      <c r="BF18" s="26"/>
      <c r="BG18" s="241" t="s">
        <v>592</v>
      </c>
      <c r="BH18" s="27">
        <v>2999</v>
      </c>
      <c r="BI18" s="27">
        <f t="shared" si="63"/>
        <v>66</v>
      </c>
      <c r="BJ18" s="27">
        <v>42</v>
      </c>
      <c r="BK18" s="27">
        <f t="shared" si="64"/>
        <v>3</v>
      </c>
      <c r="BL18" s="27">
        <v>0</v>
      </c>
      <c r="BM18" s="27">
        <f t="shared" si="65"/>
        <v>3</v>
      </c>
      <c r="BN18" s="217">
        <v>1</v>
      </c>
      <c r="BO18" s="57" t="str">
        <f t="shared" si="86"/>
        <v>ボンボンドロップシール</v>
      </c>
      <c r="BP18" s="62">
        <f t="shared" si="87"/>
        <v>1500</v>
      </c>
      <c r="BQ18" s="27">
        <f t="shared" si="88"/>
        <v>4500</v>
      </c>
      <c r="BR18" s="28">
        <f t="shared" si="89"/>
        <v>0.68181818181818177</v>
      </c>
      <c r="BS18" s="15"/>
      <c r="BU18" s="79"/>
      <c r="BV18" s="13"/>
      <c r="BW18" s="13" t="str">
        <f>IF(BV18="","",BV18-BV19)</f>
        <v/>
      </c>
      <c r="BX18" s="13"/>
      <c r="BY18" s="13" t="str">
        <f>IF(BX18="","",BX18-BX19)</f>
        <v/>
      </c>
      <c r="BZ18" s="13"/>
      <c r="CA18" s="13" t="str">
        <f>IF(BZ18="","",BZ19+CB19-BZ18)</f>
        <v/>
      </c>
      <c r="CB18" s="13"/>
      <c r="CC18" s="231" t="str">
        <f t="shared" si="3"/>
        <v/>
      </c>
      <c r="CD18" s="53" t="str">
        <f>IF(BV18="","",CD19)</f>
        <v/>
      </c>
      <c r="CE18" s="13" t="str">
        <f t="shared" ref="CE18:CE50" si="122">IF(CD18="","",CA18*CD18)</f>
        <v/>
      </c>
      <c r="CF18" s="14" t="str">
        <f t="shared" ref="CF18:CF50" si="123">IF(CE18="","",CE18/(BW18*100))</f>
        <v/>
      </c>
      <c r="CG18" s="67"/>
      <c r="CH18" s="1"/>
      <c r="CI18" s="79"/>
      <c r="CJ18" s="13"/>
      <c r="CK18" s="13" t="str">
        <f>IF(CJ18="","",CJ18-CJ19)</f>
        <v/>
      </c>
      <c r="CL18" s="13"/>
      <c r="CM18" s="13" t="str">
        <f>IF(CL18="","",CL18-CL19)</f>
        <v/>
      </c>
      <c r="CN18" s="13"/>
      <c r="CO18" s="13" t="str">
        <f>IF(CN18="","",CN19+CP19-CN18)</f>
        <v/>
      </c>
      <c r="CP18" s="13"/>
      <c r="CQ18" s="231" t="str">
        <f t="shared" si="93"/>
        <v/>
      </c>
      <c r="CR18" s="53" t="str">
        <f>IF(CJ18="","",CR19)</f>
        <v/>
      </c>
      <c r="CS18" s="13" t="str">
        <f t="shared" ref="CS18:CS50" si="124">IF(CR18="","",CO18*CR18)</f>
        <v/>
      </c>
      <c r="CT18" s="14" t="str">
        <f>IF(CS18="","",CS18/(CK18*100))</f>
        <v/>
      </c>
      <c r="CU18" s="15"/>
      <c r="CV18" s="1"/>
      <c r="CW18" s="79"/>
      <c r="CX18" s="13"/>
      <c r="CY18" s="13" t="str">
        <f>IF(CX18="","",CX18-CX19)</f>
        <v/>
      </c>
      <c r="CZ18" s="13"/>
      <c r="DA18" s="13" t="str">
        <f>IF(CZ18="","",CZ18-CZ19)</f>
        <v/>
      </c>
      <c r="DB18" s="13"/>
      <c r="DC18" s="13" t="str">
        <f>IF(DB18="","",DB19+DD19-DB18)</f>
        <v/>
      </c>
      <c r="DD18" s="13"/>
      <c r="DE18" s="231" t="str">
        <f t="shared" si="100"/>
        <v/>
      </c>
      <c r="DF18" s="53" t="str">
        <f>IF(CX18="","",DF19)</f>
        <v/>
      </c>
      <c r="DG18" s="13" t="str">
        <f t="shared" ref="DG18:DG50" si="125">IF(DF18="","",DC18*DF18)</f>
        <v/>
      </c>
      <c r="DH18" s="14" t="str">
        <f t="shared" ref="DH18:DH50" si="126">IF(DG18="","",DG18/(CY18*100))</f>
        <v/>
      </c>
      <c r="DI18" s="15"/>
      <c r="DJ18" s="1"/>
      <c r="DK18" s="79"/>
      <c r="DL18" s="13"/>
      <c r="DM18" s="13" t="str">
        <f>IF(DL18="","",DL18-DL19)</f>
        <v/>
      </c>
      <c r="DN18" s="13"/>
      <c r="DO18" s="13" t="str">
        <f>IF(DN18="","",DN18-DN19)</f>
        <v/>
      </c>
      <c r="DP18" s="13"/>
      <c r="DQ18" s="13" t="str">
        <f>IF(DP18="","",DP19+DR19-DP18)</f>
        <v/>
      </c>
      <c r="DR18" s="13"/>
      <c r="DS18" s="231" t="str">
        <f t="shared" si="107"/>
        <v/>
      </c>
      <c r="DT18" s="53" t="str">
        <f>IF(DL18="","",DT19)</f>
        <v/>
      </c>
      <c r="DU18" s="13" t="str">
        <f t="shared" ref="DU18:DU50" si="127">IF(DT18="","",DQ18*DT18)</f>
        <v/>
      </c>
      <c r="DV18" s="14" t="str">
        <f t="shared" ref="DV18:DV50" si="128">IF(DU18="","",DU18/(DM18*100))</f>
        <v/>
      </c>
      <c r="DW18" s="15"/>
      <c r="DY18" s="79"/>
      <c r="DZ18" s="13"/>
      <c r="EA18" s="13" t="str">
        <f>IF(DZ18="","",DZ18-DZ19)</f>
        <v/>
      </c>
      <c r="EB18" s="13"/>
      <c r="EC18" s="13" t="str">
        <f>IF(EB18="","",EB18-EB19)</f>
        <v/>
      </c>
      <c r="ED18" s="13"/>
      <c r="EE18" s="13" t="str">
        <f>IF(ED18="","",ED19+EF19-ED18)</f>
        <v/>
      </c>
      <c r="EF18" s="13"/>
      <c r="EG18" s="231" t="str">
        <f t="shared" si="114"/>
        <v/>
      </c>
      <c r="EH18" s="53" t="str">
        <f>IF(DZ18="","",EH19)</f>
        <v/>
      </c>
      <c r="EI18" s="13" t="str">
        <f t="shared" ref="EI18:EI50" si="129">IF(EH18="","",EE18*EH18)</f>
        <v/>
      </c>
      <c r="EJ18" s="14" t="str">
        <f t="shared" ref="EJ18:EJ50" si="130">IF(EI18="","",EI18/(EA18*100))</f>
        <v/>
      </c>
      <c r="EK18" s="15"/>
    </row>
    <row r="19" spans="1:141" ht="15" customHeight="1" thickTop="1" x14ac:dyDescent="0.2">
      <c r="A19" s="79">
        <v>46167</v>
      </c>
      <c r="B19" s="74">
        <f>IF(A19="","",SUM(D19:D22)+SUM(R19:R22)+SUM(AF19:AF22)+SUM(AT19:AT22)+SUM(BW7,CK7,CY7,DM7,EA7)+SUM(BI19:BI22))</f>
        <v>3424</v>
      </c>
      <c r="C19" s="53">
        <v>8687</v>
      </c>
      <c r="D19" s="53">
        <f t="shared" si="35"/>
        <v>154</v>
      </c>
      <c r="E19" s="53">
        <v>429</v>
      </c>
      <c r="F19" s="31">
        <f t="shared" si="36"/>
        <v>1</v>
      </c>
      <c r="G19" s="53">
        <v>8</v>
      </c>
      <c r="H19" s="53">
        <f t="shared" si="37"/>
        <v>2</v>
      </c>
      <c r="I19" s="192">
        <v>0</v>
      </c>
      <c r="J19" s="75" t="str">
        <f t="shared" si="118"/>
        <v>ジャグラーボタン</v>
      </c>
      <c r="K19" s="76">
        <f t="shared" si="119"/>
        <v>748</v>
      </c>
      <c r="L19" s="31">
        <f t="shared" si="120"/>
        <v>1496</v>
      </c>
      <c r="M19" s="32">
        <f t="shared" si="121"/>
        <v>9.7142857142857142E-2</v>
      </c>
      <c r="N19" s="15"/>
      <c r="O19" s="2"/>
      <c r="P19" s="79">
        <f>IF($A19="","",$A19)</f>
        <v>46167</v>
      </c>
      <c r="Q19" s="53">
        <v>10471</v>
      </c>
      <c r="R19" s="53">
        <f t="shared" si="42"/>
        <v>206</v>
      </c>
      <c r="S19" s="53">
        <v>314</v>
      </c>
      <c r="T19" s="31">
        <f t="shared" si="43"/>
        <v>6</v>
      </c>
      <c r="U19" s="53">
        <v>1</v>
      </c>
      <c r="V19" s="53">
        <f t="shared" si="44"/>
        <v>8</v>
      </c>
      <c r="W19" s="192">
        <v>8</v>
      </c>
      <c r="X19" s="75" t="str">
        <f t="shared" si="74"/>
        <v>たまごっちカスタムキーリング</v>
      </c>
      <c r="Y19" s="76">
        <f t="shared" si="75"/>
        <v>700</v>
      </c>
      <c r="Z19" s="31">
        <f t="shared" si="76"/>
        <v>5600</v>
      </c>
      <c r="AA19" s="32">
        <f t="shared" si="77"/>
        <v>0.27184466019417475</v>
      </c>
      <c r="AB19" s="15"/>
      <c r="AC19" s="15"/>
      <c r="AD19" s="79">
        <f>IF($A19="","",$A19)</f>
        <v>46167</v>
      </c>
      <c r="AE19" s="53">
        <v>12698</v>
      </c>
      <c r="AF19" s="53">
        <f t="shared" si="49"/>
        <v>213</v>
      </c>
      <c r="AG19" s="53">
        <v>293</v>
      </c>
      <c r="AH19" s="31">
        <f t="shared" si="50"/>
        <v>10</v>
      </c>
      <c r="AI19" s="53">
        <v>38</v>
      </c>
      <c r="AJ19" s="53">
        <f t="shared" si="51"/>
        <v>10</v>
      </c>
      <c r="AK19" s="192">
        <v>0</v>
      </c>
      <c r="AL19" s="75" t="str">
        <f t="shared" si="78"/>
        <v>フルーツスクイーズ</v>
      </c>
      <c r="AM19" s="76">
        <f t="shared" si="79"/>
        <v>210</v>
      </c>
      <c r="AN19" s="31">
        <f t="shared" si="80"/>
        <v>2100</v>
      </c>
      <c r="AO19" s="32">
        <f t="shared" si="81"/>
        <v>9.8591549295774641E-2</v>
      </c>
      <c r="AP19" s="15"/>
      <c r="AQ19" s="15"/>
      <c r="AR19" s="79">
        <f>IF($A19="","",$A19)</f>
        <v>46167</v>
      </c>
      <c r="AS19" s="53">
        <v>14582</v>
      </c>
      <c r="AT19" s="53">
        <f t="shared" si="56"/>
        <v>163</v>
      </c>
      <c r="AU19" s="53">
        <v>444</v>
      </c>
      <c r="AV19" s="31">
        <f t="shared" si="57"/>
        <v>5</v>
      </c>
      <c r="AW19" s="53">
        <v>3</v>
      </c>
      <c r="AX19" s="53">
        <f t="shared" si="58"/>
        <v>5</v>
      </c>
      <c r="AY19" s="192">
        <v>0</v>
      </c>
      <c r="AZ19" s="75" t="str">
        <f t="shared" si="82"/>
        <v>極とろスクイーズ</v>
      </c>
      <c r="BA19" s="76">
        <f t="shared" si="83"/>
        <v>1100</v>
      </c>
      <c r="BB19" s="31">
        <f t="shared" si="84"/>
        <v>5500</v>
      </c>
      <c r="BC19" s="32">
        <f t="shared" si="85"/>
        <v>0.33742331288343558</v>
      </c>
      <c r="BD19" s="92" t="s">
        <v>651</v>
      </c>
      <c r="BE19" s="2"/>
      <c r="BF19" s="79">
        <f>IF($A19="","",$A19)</f>
        <v>46167</v>
      </c>
      <c r="BG19" s="239" t="s">
        <v>589</v>
      </c>
      <c r="BH19" s="53">
        <v>3229</v>
      </c>
      <c r="BI19" s="53">
        <f t="shared" si="63"/>
        <v>162</v>
      </c>
      <c r="BJ19" s="53">
        <v>39</v>
      </c>
      <c r="BK19" s="31">
        <f t="shared" si="64"/>
        <v>1</v>
      </c>
      <c r="BL19" s="53">
        <v>2</v>
      </c>
      <c r="BM19" s="53">
        <f t="shared" si="65"/>
        <v>1</v>
      </c>
      <c r="BN19" s="192">
        <v>1</v>
      </c>
      <c r="BO19" s="75" t="str">
        <f t="shared" si="86"/>
        <v>ボンドロ</v>
      </c>
      <c r="BP19" s="76">
        <f t="shared" si="87"/>
        <v>1500</v>
      </c>
      <c r="BQ19" s="31">
        <f t="shared" si="88"/>
        <v>1500</v>
      </c>
      <c r="BR19" s="32">
        <f t="shared" si="89"/>
        <v>9.2592592592592587E-2</v>
      </c>
      <c r="BS19" s="15"/>
      <c r="BU19" s="79"/>
      <c r="BV19" s="13"/>
      <c r="BW19" s="13" t="str">
        <f>IF(BV19="","",BV19-BV16)</f>
        <v/>
      </c>
      <c r="BX19" s="13"/>
      <c r="BY19" s="13" t="str">
        <f>IF(BX19="","",BX19-BX16)</f>
        <v/>
      </c>
      <c r="BZ19" s="13"/>
      <c r="CA19" s="13" t="str">
        <f>IF(BZ19="","",BZ16+CB16-BZ19)</f>
        <v/>
      </c>
      <c r="CB19" s="13"/>
      <c r="CC19" s="231" t="str">
        <f t="shared" si="3"/>
        <v/>
      </c>
      <c r="CD19" s="53" t="str">
        <f>IF(BV19="","",CD16)</f>
        <v/>
      </c>
      <c r="CE19" s="13" t="str">
        <f t="shared" si="122"/>
        <v/>
      </c>
      <c r="CF19" s="14" t="str">
        <f t="shared" si="123"/>
        <v/>
      </c>
      <c r="CG19" s="67"/>
      <c r="CH19" s="1"/>
      <c r="CI19" s="79"/>
      <c r="CJ19" s="13"/>
      <c r="CK19" s="13" t="str">
        <f>IF(CJ19="","",CJ19-CJ16)</f>
        <v/>
      </c>
      <c r="CL19" s="13"/>
      <c r="CM19" s="13" t="str">
        <f>IF(CL19="","",CL19-CL16)</f>
        <v/>
      </c>
      <c r="CN19" s="13"/>
      <c r="CO19" s="13" t="str">
        <f>IF(CN19="","",CN16+CP16-CN19)</f>
        <v/>
      </c>
      <c r="CP19" s="13"/>
      <c r="CQ19" s="231" t="str">
        <f t="shared" si="93"/>
        <v/>
      </c>
      <c r="CR19" s="53" t="str">
        <f>IF(CJ19="","",CR16)</f>
        <v/>
      </c>
      <c r="CS19" s="13" t="str">
        <f t="shared" si="124"/>
        <v/>
      </c>
      <c r="CT19" s="14" t="str">
        <f>IF(CS19="","",CS19/(CK19*100))</f>
        <v/>
      </c>
      <c r="CU19" s="15"/>
      <c r="CV19" s="1"/>
      <c r="CW19" s="79"/>
      <c r="CX19" s="13"/>
      <c r="CY19" s="13" t="str">
        <f>IF(CX19="","",CX19-CX16)</f>
        <v/>
      </c>
      <c r="CZ19" s="13"/>
      <c r="DA19" s="13" t="str">
        <f>IF(CZ19="","",CZ19-CZ16)</f>
        <v/>
      </c>
      <c r="DB19" s="13"/>
      <c r="DC19" s="13" t="str">
        <f>IF(DB19="","",DB16+DD16-DB19)</f>
        <v/>
      </c>
      <c r="DD19" s="13"/>
      <c r="DE19" s="231" t="str">
        <f t="shared" si="100"/>
        <v/>
      </c>
      <c r="DF19" s="53" t="str">
        <f>IF(CX19="","",DF16)</f>
        <v/>
      </c>
      <c r="DG19" s="13" t="str">
        <f t="shared" si="125"/>
        <v/>
      </c>
      <c r="DH19" s="14" t="str">
        <f t="shared" si="126"/>
        <v/>
      </c>
      <c r="DI19" s="15"/>
      <c r="DJ19" s="1"/>
      <c r="DK19" s="79"/>
      <c r="DL19" s="13"/>
      <c r="DM19" s="13" t="str">
        <f>IF(DL19="","",DL19-DL16)</f>
        <v/>
      </c>
      <c r="DN19" s="13"/>
      <c r="DO19" s="13" t="str">
        <f>IF(DN19="","",DN19-DN16)</f>
        <v/>
      </c>
      <c r="DP19" s="13"/>
      <c r="DQ19" s="13" t="str">
        <f>IF(DP19="","",DP16+DR16-DP19)</f>
        <v/>
      </c>
      <c r="DR19" s="13"/>
      <c r="DS19" s="231" t="str">
        <f t="shared" si="107"/>
        <v/>
      </c>
      <c r="DT19" s="53" t="str">
        <f>IF(DL19="","",DT16)</f>
        <v/>
      </c>
      <c r="DU19" s="13" t="str">
        <f t="shared" si="127"/>
        <v/>
      </c>
      <c r="DV19" s="14" t="str">
        <f t="shared" si="128"/>
        <v/>
      </c>
      <c r="DW19" s="15"/>
      <c r="DY19" s="79"/>
      <c r="DZ19" s="13"/>
      <c r="EA19" s="13" t="str">
        <f>IF(DZ19="","",DZ19-DZ16)</f>
        <v/>
      </c>
      <c r="EB19" s="13"/>
      <c r="EC19" s="13" t="str">
        <f>IF(EB19="","",EB19-EB16)</f>
        <v/>
      </c>
      <c r="ED19" s="13"/>
      <c r="EE19" s="13" t="str">
        <f>IF(ED19="","",ED16+EF16-ED19)</f>
        <v/>
      </c>
      <c r="EF19" s="13"/>
      <c r="EG19" s="231" t="str">
        <f t="shared" si="114"/>
        <v/>
      </c>
      <c r="EH19" s="53" t="str">
        <f>IF(DZ19="","",EH16)</f>
        <v/>
      </c>
      <c r="EI19" s="13" t="str">
        <f t="shared" si="129"/>
        <v/>
      </c>
      <c r="EJ19" s="14" t="str">
        <f t="shared" si="130"/>
        <v/>
      </c>
      <c r="EK19" s="15"/>
    </row>
    <row r="20" spans="1:141" x14ac:dyDescent="0.2">
      <c r="A20" s="136"/>
      <c r="B20" s="11"/>
      <c r="C20" s="13">
        <v>8306</v>
      </c>
      <c r="D20" s="13">
        <f t="shared" si="35"/>
        <v>144</v>
      </c>
      <c r="E20" s="13">
        <v>469</v>
      </c>
      <c r="F20" s="13">
        <f t="shared" si="36"/>
        <v>3</v>
      </c>
      <c r="G20" s="13">
        <v>42</v>
      </c>
      <c r="H20" s="13">
        <f t="shared" si="37"/>
        <v>3</v>
      </c>
      <c r="I20" s="205">
        <v>0</v>
      </c>
      <c r="J20" s="56" t="str">
        <f t="shared" si="118"/>
        <v>電ブル</v>
      </c>
      <c r="K20" s="54">
        <f t="shared" si="119"/>
        <v>275</v>
      </c>
      <c r="L20" s="13">
        <f t="shared" si="120"/>
        <v>825</v>
      </c>
      <c r="M20" s="14">
        <f t="shared" si="121"/>
        <v>5.7291666666666664E-2</v>
      </c>
      <c r="N20" s="15"/>
      <c r="O20" s="2"/>
      <c r="P20" s="79"/>
      <c r="Q20" s="13">
        <v>3022</v>
      </c>
      <c r="R20" s="13">
        <f t="shared" si="42"/>
        <v>71</v>
      </c>
      <c r="S20" s="13">
        <v>189</v>
      </c>
      <c r="T20" s="13">
        <f t="shared" si="43"/>
        <v>2</v>
      </c>
      <c r="U20" s="13">
        <v>12</v>
      </c>
      <c r="V20" s="13">
        <f t="shared" si="44"/>
        <v>3</v>
      </c>
      <c r="W20" s="205">
        <v>0</v>
      </c>
      <c r="X20" s="56" t="str">
        <f t="shared" si="74"/>
        <v>たまごっちブロックシール</v>
      </c>
      <c r="Y20" s="54">
        <f t="shared" si="75"/>
        <v>600</v>
      </c>
      <c r="Z20" s="13">
        <f t="shared" si="76"/>
        <v>1800</v>
      </c>
      <c r="AA20" s="14">
        <f t="shared" si="77"/>
        <v>0.25352112676056338</v>
      </c>
      <c r="AB20" s="15" t="s">
        <v>659</v>
      </c>
      <c r="AC20" s="15"/>
      <c r="AD20" s="79"/>
      <c r="AE20" s="13">
        <v>12880</v>
      </c>
      <c r="AF20" s="13">
        <f t="shared" si="49"/>
        <v>118</v>
      </c>
      <c r="AG20" s="13">
        <v>265</v>
      </c>
      <c r="AH20" s="13">
        <f t="shared" si="50"/>
        <v>1</v>
      </c>
      <c r="AI20" s="13">
        <v>8</v>
      </c>
      <c r="AJ20" s="13">
        <f t="shared" si="51"/>
        <v>1</v>
      </c>
      <c r="AK20" s="205">
        <v>4</v>
      </c>
      <c r="AL20" s="56" t="str">
        <f t="shared" si="78"/>
        <v>サンリオハンディファン</v>
      </c>
      <c r="AM20" s="54">
        <f t="shared" si="79"/>
        <v>1100</v>
      </c>
      <c r="AN20" s="13">
        <f t="shared" si="80"/>
        <v>1100</v>
      </c>
      <c r="AO20" s="14">
        <f t="shared" si="81"/>
        <v>9.3220338983050849E-2</v>
      </c>
      <c r="AP20" s="15"/>
      <c r="AQ20" s="15"/>
      <c r="AR20" s="79"/>
      <c r="AS20" s="13">
        <v>11351</v>
      </c>
      <c r="AT20" s="13">
        <f t="shared" si="56"/>
        <v>128</v>
      </c>
      <c r="AU20" s="13">
        <v>491</v>
      </c>
      <c r="AV20" s="13">
        <f t="shared" si="57"/>
        <v>1</v>
      </c>
      <c r="AW20" s="13">
        <v>24</v>
      </c>
      <c r="AX20" s="13">
        <f t="shared" si="58"/>
        <v>1</v>
      </c>
      <c r="AY20" s="205">
        <v>0</v>
      </c>
      <c r="AZ20" s="56" t="str">
        <f t="shared" si="82"/>
        <v>ベアブリック</v>
      </c>
      <c r="BA20" s="54">
        <f t="shared" si="83"/>
        <v>1100</v>
      </c>
      <c r="BB20" s="13">
        <f t="shared" si="84"/>
        <v>1100</v>
      </c>
      <c r="BC20" s="14">
        <f t="shared" si="85"/>
        <v>8.59375E-2</v>
      </c>
      <c r="BD20" s="15"/>
      <c r="BE20" s="2"/>
      <c r="BF20" s="79"/>
      <c r="BG20" s="239" t="s">
        <v>590</v>
      </c>
      <c r="BH20" s="13">
        <v>4948</v>
      </c>
      <c r="BI20" s="13">
        <f t="shared" si="63"/>
        <v>136</v>
      </c>
      <c r="BJ20" s="13">
        <v>34</v>
      </c>
      <c r="BK20" s="13">
        <f t="shared" si="64"/>
        <v>1</v>
      </c>
      <c r="BL20" s="13">
        <v>2</v>
      </c>
      <c r="BM20" s="13">
        <f t="shared" si="65"/>
        <v>1</v>
      </c>
      <c r="BN20" s="205">
        <v>1</v>
      </c>
      <c r="BO20" s="56" t="str">
        <f t="shared" si="86"/>
        <v>ボンボンドロップシール</v>
      </c>
      <c r="BP20" s="54">
        <f t="shared" si="87"/>
        <v>1500</v>
      </c>
      <c r="BQ20" s="13">
        <f t="shared" si="88"/>
        <v>1500</v>
      </c>
      <c r="BR20" s="14">
        <f t="shared" si="89"/>
        <v>0.11029411764705882</v>
      </c>
      <c r="BS20" s="15"/>
      <c r="BU20" s="79"/>
      <c r="BV20" s="13"/>
      <c r="BW20" s="13" t="str">
        <f>IF(BV20="","",BV20-BV18)</f>
        <v/>
      </c>
      <c r="BX20" s="13"/>
      <c r="BY20" s="13" t="str">
        <f>IF(BX20="","",BX20-BX18)</f>
        <v/>
      </c>
      <c r="BZ20" s="13"/>
      <c r="CA20" s="13" t="str">
        <f>IF(BZ20="","",BZ18+CB18-BZ20)</f>
        <v/>
      </c>
      <c r="CB20" s="13"/>
      <c r="CC20" s="231" t="str">
        <f t="shared" si="3"/>
        <v/>
      </c>
      <c r="CD20" s="53" t="str">
        <f>IF(BV20="","",CD18)</f>
        <v/>
      </c>
      <c r="CE20" s="13" t="str">
        <f t="shared" si="122"/>
        <v/>
      </c>
      <c r="CF20" s="14" t="str">
        <f t="shared" si="123"/>
        <v/>
      </c>
      <c r="CG20" s="15"/>
      <c r="CH20" s="1"/>
      <c r="CI20" s="79"/>
      <c r="CJ20" s="13"/>
      <c r="CK20" s="13" t="str">
        <f>IF(CJ20="","",CJ20-CJ18)</f>
        <v/>
      </c>
      <c r="CL20" s="13"/>
      <c r="CM20" s="13" t="str">
        <f>IF(CL20="","",CL20-CL18)</f>
        <v/>
      </c>
      <c r="CN20" s="13"/>
      <c r="CO20" s="13" t="str">
        <f>IF(CN20="","",CN18+CP18-CN20)</f>
        <v/>
      </c>
      <c r="CP20" s="13"/>
      <c r="CQ20" s="231" t="str">
        <f t="shared" si="93"/>
        <v/>
      </c>
      <c r="CR20" s="53" t="str">
        <f>IF(CJ20="","",CR18)</f>
        <v/>
      </c>
      <c r="CS20" s="13" t="str">
        <f t="shared" si="124"/>
        <v/>
      </c>
      <c r="CT20" s="14" t="str">
        <f>IF(CS20="","",CS20/(CK20*100))</f>
        <v/>
      </c>
      <c r="CU20" s="15"/>
      <c r="CV20" s="1"/>
      <c r="CW20" s="79"/>
      <c r="CX20" s="13"/>
      <c r="CY20" s="13" t="str">
        <f>IF(CX20="","",CX20-CX18)</f>
        <v/>
      </c>
      <c r="CZ20" s="13"/>
      <c r="DA20" s="13" t="str">
        <f>IF(CZ20="","",CZ20-CZ18)</f>
        <v/>
      </c>
      <c r="DB20" s="13"/>
      <c r="DC20" s="13" t="str">
        <f>IF(DB20="","",DB18+DD18-DB20)</f>
        <v/>
      </c>
      <c r="DD20" s="13"/>
      <c r="DE20" s="231" t="str">
        <f t="shared" si="100"/>
        <v/>
      </c>
      <c r="DF20" s="53" t="str">
        <f>IF(CX20="","",DF18)</f>
        <v/>
      </c>
      <c r="DG20" s="13" t="str">
        <f t="shared" si="125"/>
        <v/>
      </c>
      <c r="DH20" s="14" t="str">
        <f t="shared" si="126"/>
        <v/>
      </c>
      <c r="DI20" s="15"/>
      <c r="DJ20" s="1"/>
      <c r="DK20" s="79"/>
      <c r="DL20" s="13"/>
      <c r="DM20" s="13" t="str">
        <f>IF(DL20="","",DL20-DL18)</f>
        <v/>
      </c>
      <c r="DN20" s="13"/>
      <c r="DO20" s="13" t="str">
        <f>IF(DN20="","",DN20-DN18)</f>
        <v/>
      </c>
      <c r="DP20" s="13"/>
      <c r="DQ20" s="13" t="str">
        <f>IF(DP20="","",DP18+DR18-DP20)</f>
        <v/>
      </c>
      <c r="DR20" s="13"/>
      <c r="DS20" s="231" t="str">
        <f t="shared" si="107"/>
        <v/>
      </c>
      <c r="DT20" s="53" t="str">
        <f>IF(DL20="","",DT18)</f>
        <v/>
      </c>
      <c r="DU20" s="13" t="str">
        <f t="shared" si="127"/>
        <v/>
      </c>
      <c r="DV20" s="14" t="str">
        <f t="shared" si="128"/>
        <v/>
      </c>
      <c r="DW20" s="15"/>
      <c r="DY20" s="79"/>
      <c r="DZ20" s="13"/>
      <c r="EA20" s="13" t="str">
        <f>IF(DZ20="","",DZ20-DZ18)</f>
        <v/>
      </c>
      <c r="EB20" s="13"/>
      <c r="EC20" s="13" t="str">
        <f>IF(EB20="","",EB20-EB18)</f>
        <v/>
      </c>
      <c r="ED20" s="13"/>
      <c r="EE20" s="13" t="str">
        <f>IF(ED20="","",ED18+EF18-ED20)</f>
        <v/>
      </c>
      <c r="EF20" s="13"/>
      <c r="EG20" s="231" t="str">
        <f t="shared" si="114"/>
        <v/>
      </c>
      <c r="EH20" s="53" t="str">
        <f>IF(DZ20="","",EH18)</f>
        <v/>
      </c>
      <c r="EI20" s="13" t="str">
        <f t="shared" si="129"/>
        <v/>
      </c>
      <c r="EJ20" s="14" t="str">
        <f t="shared" si="130"/>
        <v/>
      </c>
      <c r="EK20" s="15"/>
    </row>
    <row r="21" spans="1:141" ht="15" customHeight="1" x14ac:dyDescent="0.2">
      <c r="A21" s="79"/>
      <c r="B21" s="11"/>
      <c r="C21" s="34">
        <v>13628</v>
      </c>
      <c r="D21" s="13">
        <f t="shared" si="35"/>
        <v>80</v>
      </c>
      <c r="E21" s="34">
        <v>865</v>
      </c>
      <c r="F21" s="13">
        <f t="shared" si="36"/>
        <v>1</v>
      </c>
      <c r="G21" s="34">
        <v>17</v>
      </c>
      <c r="H21" s="13">
        <f t="shared" si="37"/>
        <v>1</v>
      </c>
      <c r="I21" s="214">
        <v>0</v>
      </c>
      <c r="J21" s="56" t="s">
        <v>653</v>
      </c>
      <c r="K21" s="13"/>
      <c r="L21" s="13">
        <f t="shared" si="120"/>
        <v>0</v>
      </c>
      <c r="M21" s="14">
        <f t="shared" si="121"/>
        <v>0</v>
      </c>
      <c r="N21" s="15"/>
      <c r="O21" s="2"/>
      <c r="P21" s="79"/>
      <c r="Q21" s="34">
        <v>11544</v>
      </c>
      <c r="R21" s="13">
        <f t="shared" si="42"/>
        <v>134</v>
      </c>
      <c r="S21" s="34">
        <v>229</v>
      </c>
      <c r="T21" s="13">
        <f t="shared" si="43"/>
        <v>3</v>
      </c>
      <c r="U21" s="34">
        <v>33</v>
      </c>
      <c r="V21" s="13">
        <f t="shared" si="44"/>
        <v>3</v>
      </c>
      <c r="W21" s="214">
        <v>0</v>
      </c>
      <c r="X21" s="56" t="str">
        <f t="shared" si="74"/>
        <v>たまごっちミニクリップ</v>
      </c>
      <c r="Y21" s="13">
        <f t="shared" si="75"/>
        <v>1100</v>
      </c>
      <c r="Z21" s="13">
        <f t="shared" si="76"/>
        <v>3300</v>
      </c>
      <c r="AA21" s="14">
        <f t="shared" si="77"/>
        <v>0.2462686567164179</v>
      </c>
      <c r="AB21" s="15"/>
      <c r="AC21" s="15"/>
      <c r="AD21" s="79"/>
      <c r="AE21" s="34">
        <v>15831</v>
      </c>
      <c r="AF21" s="13">
        <f t="shared" si="49"/>
        <v>240</v>
      </c>
      <c r="AG21" s="34">
        <v>622</v>
      </c>
      <c r="AH21" s="13">
        <f t="shared" si="50"/>
        <v>13</v>
      </c>
      <c r="AI21" s="34">
        <v>90</v>
      </c>
      <c r="AJ21" s="13">
        <f t="shared" si="51"/>
        <v>20</v>
      </c>
      <c r="AK21" s="214">
        <v>50</v>
      </c>
      <c r="AL21" s="56" t="str">
        <f t="shared" si="78"/>
        <v>ふわもちスクイーズ</v>
      </c>
      <c r="AM21" s="13">
        <f t="shared" si="79"/>
        <v>260</v>
      </c>
      <c r="AN21" s="13">
        <f t="shared" si="80"/>
        <v>5200</v>
      </c>
      <c r="AO21" s="14">
        <f t="shared" si="81"/>
        <v>0.21666666666666667</v>
      </c>
      <c r="AP21" s="15"/>
      <c r="AQ21" s="15"/>
      <c r="AR21" s="79"/>
      <c r="AS21" s="34">
        <v>19162</v>
      </c>
      <c r="AT21" s="87">
        <f t="shared" si="56"/>
        <v>33</v>
      </c>
      <c r="AU21" s="34">
        <v>584</v>
      </c>
      <c r="AV21" s="13">
        <f t="shared" si="57"/>
        <v>1</v>
      </c>
      <c r="AW21" s="34">
        <v>23</v>
      </c>
      <c r="AX21" s="13">
        <f t="shared" si="58"/>
        <v>1</v>
      </c>
      <c r="AY21" s="214">
        <v>0</v>
      </c>
      <c r="AZ21" s="56" t="str">
        <f t="shared" si="82"/>
        <v>たまごっちマスコット</v>
      </c>
      <c r="BA21" s="13">
        <f t="shared" si="83"/>
        <v>1430</v>
      </c>
      <c r="BB21" s="13">
        <f t="shared" si="84"/>
        <v>1430</v>
      </c>
      <c r="BC21" s="14">
        <f t="shared" si="85"/>
        <v>0.43333333333333335</v>
      </c>
      <c r="BD21" s="15"/>
      <c r="BE21" s="2"/>
      <c r="BF21" s="79"/>
      <c r="BG21" s="239" t="s">
        <v>591</v>
      </c>
      <c r="BH21" s="34">
        <v>3717</v>
      </c>
      <c r="BI21" s="87">
        <f t="shared" si="63"/>
        <v>32</v>
      </c>
      <c r="BJ21" s="34">
        <v>44</v>
      </c>
      <c r="BK21" s="13">
        <f t="shared" si="64"/>
        <v>2</v>
      </c>
      <c r="BL21" s="34">
        <v>0</v>
      </c>
      <c r="BM21" s="13">
        <f t="shared" si="65"/>
        <v>2</v>
      </c>
      <c r="BN21" s="214">
        <v>3</v>
      </c>
      <c r="BO21" s="56" t="str">
        <f t="shared" si="86"/>
        <v>ボンドロ</v>
      </c>
      <c r="BP21" s="13">
        <f t="shared" si="87"/>
        <v>1500</v>
      </c>
      <c r="BQ21" s="13">
        <f t="shared" si="88"/>
        <v>3000</v>
      </c>
      <c r="BR21" s="14">
        <f t="shared" si="89"/>
        <v>0.9375</v>
      </c>
      <c r="BS21" s="15" t="s">
        <v>641</v>
      </c>
      <c r="BU21" s="79"/>
      <c r="BV21" s="13"/>
      <c r="BW21" s="13" t="str">
        <f>IF(BV21="","",BV21-#REF!)</f>
        <v/>
      </c>
      <c r="BX21" s="13"/>
      <c r="BY21" s="13" t="str">
        <f>IF(BX21="","",BX21-#REF!)</f>
        <v/>
      </c>
      <c r="BZ21" s="13"/>
      <c r="CA21" s="13" t="str">
        <f>IF(BZ21="","",#REF!+#REF!-BZ21)</f>
        <v/>
      </c>
      <c r="CB21" s="13"/>
      <c r="CC21" s="231" t="str">
        <f t="shared" si="3"/>
        <v/>
      </c>
      <c r="CD21" s="53" t="str">
        <f>IF(BV21="","",#REF!)</f>
        <v/>
      </c>
      <c r="CE21" s="13" t="str">
        <f t="shared" si="122"/>
        <v/>
      </c>
      <c r="CF21" s="14" t="str">
        <f t="shared" si="123"/>
        <v/>
      </c>
      <c r="CG21" s="15"/>
      <c r="CH21" s="1"/>
      <c r="CI21" s="79"/>
      <c r="CJ21" s="13"/>
      <c r="CK21" s="13" t="str">
        <f>IF(CJ21="","",CJ21-#REF!)</f>
        <v/>
      </c>
      <c r="CL21" s="13"/>
      <c r="CM21" s="13" t="str">
        <f>IF(CL21="","",CL21-#REF!)</f>
        <v/>
      </c>
      <c r="CN21" s="13"/>
      <c r="CO21" s="13" t="str">
        <f>IF(CN21="","",#REF!+#REF!-CN21)</f>
        <v/>
      </c>
      <c r="CP21" s="13"/>
      <c r="CQ21" s="231" t="str">
        <f t="shared" si="93"/>
        <v/>
      </c>
      <c r="CR21" s="53" t="str">
        <f>IF(CJ21="","",#REF!)</f>
        <v/>
      </c>
      <c r="CS21" s="13" t="str">
        <f t="shared" si="124"/>
        <v/>
      </c>
      <c r="CT21" s="14" t="str">
        <f>IF(CS21="","",CS21/(CK21*100))</f>
        <v/>
      </c>
      <c r="CU21" s="15"/>
      <c r="CV21" s="1"/>
      <c r="CW21" s="79"/>
      <c r="CX21" s="13"/>
      <c r="CY21" s="13" t="str">
        <f>IF(CX21="","",CX21-#REF!)</f>
        <v/>
      </c>
      <c r="CZ21" s="13"/>
      <c r="DA21" s="13" t="str">
        <f>IF(CZ21="","",CZ21-#REF!)</f>
        <v/>
      </c>
      <c r="DB21" s="13"/>
      <c r="DC21" s="13" t="str">
        <f>IF(DB21="","",#REF!+#REF!-DB21)</f>
        <v/>
      </c>
      <c r="DD21" s="13"/>
      <c r="DE21" s="231" t="str">
        <f t="shared" si="100"/>
        <v/>
      </c>
      <c r="DF21" s="53" t="str">
        <f>IF(CX21="","",#REF!)</f>
        <v/>
      </c>
      <c r="DG21" s="13" t="str">
        <f t="shared" si="125"/>
        <v/>
      </c>
      <c r="DH21" s="14" t="str">
        <f t="shared" si="126"/>
        <v/>
      </c>
      <c r="DI21" s="15"/>
      <c r="DJ21" s="1"/>
      <c r="DK21" s="79"/>
      <c r="DL21" s="13"/>
      <c r="DM21" s="13" t="str">
        <f>IF(DL21="","",DL21-#REF!)</f>
        <v/>
      </c>
      <c r="DN21" s="13"/>
      <c r="DO21" s="13" t="str">
        <f>IF(DN21="","",DN21-#REF!)</f>
        <v/>
      </c>
      <c r="DP21" s="13"/>
      <c r="DQ21" s="13" t="str">
        <f>IF(DP21="","",#REF!+#REF!-DP21)</f>
        <v/>
      </c>
      <c r="DR21" s="13"/>
      <c r="DS21" s="231" t="str">
        <f t="shared" si="107"/>
        <v/>
      </c>
      <c r="DT21" s="53" t="str">
        <f>IF(DL21="","",#REF!)</f>
        <v/>
      </c>
      <c r="DU21" s="13" t="str">
        <f t="shared" si="127"/>
        <v/>
      </c>
      <c r="DV21" s="14" t="str">
        <f t="shared" si="128"/>
        <v/>
      </c>
      <c r="DW21" s="15"/>
      <c r="DY21" s="79"/>
      <c r="DZ21" s="13"/>
      <c r="EA21" s="13" t="str">
        <f>IF(DZ21="","",DZ21-#REF!)</f>
        <v/>
      </c>
      <c r="EB21" s="13"/>
      <c r="EC21" s="13" t="str">
        <f>IF(EB21="","",EB21-#REF!)</f>
        <v/>
      </c>
      <c r="ED21" s="13"/>
      <c r="EE21" s="13" t="str">
        <f>IF(ED21="","",#REF!+#REF!-ED21)</f>
        <v/>
      </c>
      <c r="EF21" s="13"/>
      <c r="EG21" s="231" t="str">
        <f t="shared" si="114"/>
        <v/>
      </c>
      <c r="EH21" s="53" t="str">
        <f>IF(DZ21="","",#REF!)</f>
        <v/>
      </c>
      <c r="EI21" s="13" t="str">
        <f t="shared" si="129"/>
        <v/>
      </c>
      <c r="EJ21" s="14" t="str">
        <f t="shared" si="130"/>
        <v/>
      </c>
      <c r="EK21" s="15"/>
    </row>
    <row r="22" spans="1:141" ht="15" customHeight="1" thickBot="1" x14ac:dyDescent="0.25">
      <c r="A22" s="26"/>
      <c r="B22" s="46"/>
      <c r="C22" s="27">
        <v>9824</v>
      </c>
      <c r="D22" s="27">
        <f t="shared" si="35"/>
        <v>87</v>
      </c>
      <c r="E22" s="27">
        <v>546</v>
      </c>
      <c r="F22" s="27">
        <f t="shared" si="36"/>
        <v>1</v>
      </c>
      <c r="G22" s="27">
        <v>17</v>
      </c>
      <c r="H22" s="27">
        <f t="shared" si="37"/>
        <v>1</v>
      </c>
      <c r="I22" s="217">
        <v>0</v>
      </c>
      <c r="J22" s="57" t="s">
        <v>654</v>
      </c>
      <c r="K22" s="62"/>
      <c r="L22" s="27">
        <f t="shared" si="120"/>
        <v>0</v>
      </c>
      <c r="M22" s="28">
        <f t="shared" si="121"/>
        <v>0</v>
      </c>
      <c r="N22" s="15"/>
      <c r="O22" s="2"/>
      <c r="P22" s="26"/>
      <c r="Q22" s="27">
        <v>15682</v>
      </c>
      <c r="R22" s="27">
        <f t="shared" si="42"/>
        <v>78</v>
      </c>
      <c r="S22" s="27">
        <v>726</v>
      </c>
      <c r="T22" s="27">
        <f t="shared" si="43"/>
        <v>11</v>
      </c>
      <c r="U22" s="27">
        <v>30</v>
      </c>
      <c r="V22" s="27">
        <f t="shared" si="44"/>
        <v>8</v>
      </c>
      <c r="W22" s="217">
        <v>-22</v>
      </c>
      <c r="X22" s="57" t="str">
        <f t="shared" si="74"/>
        <v>ボンボンドロップ</v>
      </c>
      <c r="Y22" s="62">
        <f t="shared" si="75"/>
        <v>200</v>
      </c>
      <c r="Z22" s="27">
        <f t="shared" si="76"/>
        <v>1600</v>
      </c>
      <c r="AA22" s="28">
        <f t="shared" si="77"/>
        <v>0.20512820512820512</v>
      </c>
      <c r="AB22" s="15" t="s">
        <v>656</v>
      </c>
      <c r="AC22" s="15"/>
      <c r="AD22" s="26"/>
      <c r="AE22" s="27">
        <v>14550</v>
      </c>
      <c r="AF22" s="27">
        <f t="shared" si="49"/>
        <v>50</v>
      </c>
      <c r="AG22" s="27">
        <v>369</v>
      </c>
      <c r="AH22" s="27">
        <f t="shared" si="50"/>
        <v>1</v>
      </c>
      <c r="AI22" s="27">
        <v>12</v>
      </c>
      <c r="AJ22" s="27">
        <f t="shared" si="51"/>
        <v>0</v>
      </c>
      <c r="AK22" s="217">
        <v>6</v>
      </c>
      <c r="AL22" s="57" t="str">
        <f t="shared" si="78"/>
        <v>キティキラキラマルチケース</v>
      </c>
      <c r="AM22" s="62">
        <f t="shared" si="79"/>
        <v>400</v>
      </c>
      <c r="AN22" s="27">
        <f t="shared" si="80"/>
        <v>0</v>
      </c>
      <c r="AO22" s="28">
        <f t="shared" si="81"/>
        <v>0</v>
      </c>
      <c r="AP22" s="294" t="s">
        <v>658</v>
      </c>
      <c r="AQ22" s="15"/>
      <c r="AR22" s="26"/>
      <c r="AS22" s="27">
        <v>19175</v>
      </c>
      <c r="AT22" s="27">
        <f t="shared" si="56"/>
        <v>79</v>
      </c>
      <c r="AU22" s="27">
        <v>528</v>
      </c>
      <c r="AV22" s="27">
        <f t="shared" si="57"/>
        <v>4</v>
      </c>
      <c r="AW22" s="27">
        <v>32</v>
      </c>
      <c r="AX22" s="27">
        <f t="shared" si="58"/>
        <v>5</v>
      </c>
      <c r="AY22" s="217">
        <v>0</v>
      </c>
      <c r="AZ22" s="57" t="str">
        <f t="shared" si="82"/>
        <v>バタースクイーズ</v>
      </c>
      <c r="BA22" s="62">
        <f t="shared" si="83"/>
        <v>400</v>
      </c>
      <c r="BB22" s="27">
        <f t="shared" si="84"/>
        <v>2000</v>
      </c>
      <c r="BC22" s="28">
        <f t="shared" si="85"/>
        <v>0.25316455696202533</v>
      </c>
      <c r="BD22" s="15"/>
      <c r="BE22" s="2"/>
      <c r="BF22" s="26"/>
      <c r="BG22" s="238" t="s">
        <v>592</v>
      </c>
      <c r="BH22" s="27">
        <v>3014</v>
      </c>
      <c r="BI22" s="88">
        <f t="shared" si="63"/>
        <v>15</v>
      </c>
      <c r="BJ22" s="27">
        <v>43</v>
      </c>
      <c r="BK22" s="27">
        <f t="shared" si="64"/>
        <v>1</v>
      </c>
      <c r="BL22" s="27">
        <v>0</v>
      </c>
      <c r="BM22" s="27">
        <f t="shared" si="65"/>
        <v>1</v>
      </c>
      <c r="BN22" s="217">
        <v>2</v>
      </c>
      <c r="BO22" s="57" t="str">
        <f t="shared" si="86"/>
        <v>ボンボンドロップシール</v>
      </c>
      <c r="BP22" s="62">
        <f t="shared" si="87"/>
        <v>1500</v>
      </c>
      <c r="BQ22" s="27">
        <f t="shared" si="88"/>
        <v>1500</v>
      </c>
      <c r="BR22" s="28">
        <f t="shared" si="89"/>
        <v>1</v>
      </c>
      <c r="BS22" s="15"/>
      <c r="BU22" s="79"/>
      <c r="BV22" s="13"/>
      <c r="BW22" s="13" t="str">
        <f>IF(BV22="","",BV22-BV21)</f>
        <v/>
      </c>
      <c r="BX22" s="13"/>
      <c r="BY22" s="13" t="str">
        <f>IF(BX22="","",BX22-BX21)</f>
        <v/>
      </c>
      <c r="BZ22" s="13"/>
      <c r="CA22" s="13" t="str">
        <f>IF(BZ22="","",BZ21+CB21-BZ22)</f>
        <v/>
      </c>
      <c r="CB22" s="13"/>
      <c r="CC22" s="231" t="str">
        <f t="shared" si="3"/>
        <v/>
      </c>
      <c r="CD22" s="53" t="str">
        <f>IF(BV22="","",CD21)</f>
        <v/>
      </c>
      <c r="CE22" s="13" t="str">
        <f t="shared" si="122"/>
        <v/>
      </c>
      <c r="CF22" s="14" t="str">
        <f t="shared" si="123"/>
        <v/>
      </c>
      <c r="CG22" s="15"/>
      <c r="CH22" s="1"/>
      <c r="CI22" s="79"/>
      <c r="CJ22" s="13"/>
      <c r="CK22" s="13" t="str">
        <f>IF(CJ22="","",CJ22-CJ21)</f>
        <v/>
      </c>
      <c r="CL22" s="13"/>
      <c r="CM22" s="13" t="str">
        <f>IF(CL22="","",CL22-CL21)</f>
        <v/>
      </c>
      <c r="CN22" s="13"/>
      <c r="CO22" s="13" t="str">
        <f>IF(CN22="","",CN21+CP21-CN22)</f>
        <v/>
      </c>
      <c r="CP22" s="13"/>
      <c r="CQ22" s="231" t="str">
        <f t="shared" si="93"/>
        <v/>
      </c>
      <c r="CR22" s="53" t="str">
        <f>IF(CJ22="","",CR21)</f>
        <v/>
      </c>
      <c r="CS22" s="13" t="str">
        <f t="shared" si="124"/>
        <v/>
      </c>
      <c r="CT22" s="14" t="str">
        <f>IF(CS22="","",CS22/(CJ22*100))</f>
        <v/>
      </c>
      <c r="CU22" s="15"/>
      <c r="CV22" s="1"/>
      <c r="CW22" s="79"/>
      <c r="CX22" s="13"/>
      <c r="CY22" s="13" t="str">
        <f>IF(CX22="","",CX22-CX21)</f>
        <v/>
      </c>
      <c r="CZ22" s="13"/>
      <c r="DA22" s="13" t="str">
        <f>IF(CZ22="","",CZ22-CZ21)</f>
        <v/>
      </c>
      <c r="DB22" s="13"/>
      <c r="DC22" s="13" t="str">
        <f>IF(DB22="","",DB21+DD21-DB22)</f>
        <v/>
      </c>
      <c r="DD22" s="13"/>
      <c r="DE22" s="231" t="str">
        <f t="shared" si="100"/>
        <v/>
      </c>
      <c r="DF22" s="53" t="str">
        <f>IF(CX22="","",DF21)</f>
        <v/>
      </c>
      <c r="DG22" s="13" t="str">
        <f t="shared" si="125"/>
        <v/>
      </c>
      <c r="DH22" s="14" t="str">
        <f t="shared" si="126"/>
        <v/>
      </c>
      <c r="DI22" s="15"/>
      <c r="DJ22" s="1"/>
      <c r="DK22" s="79"/>
      <c r="DL22" s="13"/>
      <c r="DM22" s="13" t="str">
        <f>IF(DL22="","",DL22-DL21)</f>
        <v/>
      </c>
      <c r="DN22" s="13"/>
      <c r="DO22" s="13" t="str">
        <f>IF(DN22="","",DN22-DN21)</f>
        <v/>
      </c>
      <c r="DP22" s="13"/>
      <c r="DQ22" s="13" t="str">
        <f>IF(DP22="","",DP21+DR21-DP22)</f>
        <v/>
      </c>
      <c r="DR22" s="13"/>
      <c r="DS22" s="231" t="str">
        <f t="shared" si="107"/>
        <v/>
      </c>
      <c r="DT22" s="53" t="str">
        <f>IF(DL22="","",DT21)</f>
        <v/>
      </c>
      <c r="DU22" s="13" t="str">
        <f t="shared" si="127"/>
        <v/>
      </c>
      <c r="DV22" s="14" t="str">
        <f t="shared" si="128"/>
        <v/>
      </c>
      <c r="DW22" s="15"/>
      <c r="DY22" s="79"/>
      <c r="DZ22" s="13"/>
      <c r="EA22" s="13" t="str">
        <f>IF(DZ22="","",DZ22-DZ21)</f>
        <v/>
      </c>
      <c r="EB22" s="13"/>
      <c r="EC22" s="13" t="str">
        <f>IF(EB22="","",EB22-EB21)</f>
        <v/>
      </c>
      <c r="ED22" s="13"/>
      <c r="EE22" s="13" t="str">
        <f>IF(ED22="","",ED21+EF21-ED22)</f>
        <v/>
      </c>
      <c r="EF22" s="13"/>
      <c r="EG22" s="231" t="str">
        <f t="shared" si="114"/>
        <v/>
      </c>
      <c r="EH22" s="53" t="str">
        <f>IF(DZ22="","",EH21)</f>
        <v/>
      </c>
      <c r="EI22" s="13" t="str">
        <f t="shared" si="129"/>
        <v/>
      </c>
      <c r="EJ22" s="14" t="str">
        <f t="shared" si="130"/>
        <v/>
      </c>
      <c r="EK22" s="15"/>
    </row>
    <row r="23" spans="1:141" ht="15" customHeight="1" thickTop="1" x14ac:dyDescent="0.2">
      <c r="A23" s="79"/>
      <c r="B23" s="151" t="str">
        <f>IF(A23="","",SUM(D23:D26)+SUM(R23:R26)+SUM(BI23:BI26)+SUM(AF23:AF26)+SUM(AT23:AT26)+SUM(BW8,CK8,CY8,DM8,EA8))</f>
        <v/>
      </c>
      <c r="C23" s="53"/>
      <c r="D23" s="53" t="str">
        <f t="shared" si="35"/>
        <v/>
      </c>
      <c r="E23" s="53"/>
      <c r="F23" s="31" t="str">
        <f t="shared" si="36"/>
        <v/>
      </c>
      <c r="G23" s="53"/>
      <c r="H23" s="53" t="str">
        <f t="shared" si="37"/>
        <v/>
      </c>
      <c r="I23" s="192"/>
      <c r="J23" s="75" t="str">
        <f t="shared" si="118"/>
        <v/>
      </c>
      <c r="K23" s="76" t="str">
        <f t="shared" si="119"/>
        <v/>
      </c>
      <c r="L23" s="31" t="str">
        <f t="shared" si="120"/>
        <v/>
      </c>
      <c r="M23" s="32" t="str">
        <f t="shared" si="121"/>
        <v/>
      </c>
      <c r="N23" s="15"/>
      <c r="O23" s="2"/>
      <c r="P23" s="79" t="str">
        <f>IF($A23="","",$A23)</f>
        <v/>
      </c>
      <c r="Q23" s="53"/>
      <c r="R23" s="53" t="str">
        <f t="shared" si="42"/>
        <v/>
      </c>
      <c r="S23" s="53"/>
      <c r="T23" s="31" t="str">
        <f t="shared" si="43"/>
        <v/>
      </c>
      <c r="U23" s="53"/>
      <c r="V23" s="53" t="str">
        <f t="shared" si="44"/>
        <v/>
      </c>
      <c r="W23" s="192"/>
      <c r="X23" s="75" t="str">
        <f t="shared" si="74"/>
        <v/>
      </c>
      <c r="Y23" s="76" t="str">
        <f t="shared" si="75"/>
        <v/>
      </c>
      <c r="Z23" s="31" t="str">
        <f t="shared" si="76"/>
        <v/>
      </c>
      <c r="AA23" s="32" t="str">
        <f t="shared" si="77"/>
        <v/>
      </c>
      <c r="AB23" s="15" t="s">
        <v>655</v>
      </c>
      <c r="AC23" s="15"/>
      <c r="AD23" s="79" t="str">
        <f>IF($A23="","",$A23)</f>
        <v/>
      </c>
      <c r="AE23" s="53"/>
      <c r="AF23" s="53" t="str">
        <f t="shared" si="49"/>
        <v/>
      </c>
      <c r="AG23" s="53"/>
      <c r="AH23" s="31" t="str">
        <f t="shared" si="50"/>
        <v/>
      </c>
      <c r="AI23" s="53"/>
      <c r="AJ23" s="53" t="str">
        <f t="shared" si="51"/>
        <v/>
      </c>
      <c r="AK23" s="192"/>
      <c r="AL23" s="75" t="str">
        <f t="shared" si="78"/>
        <v/>
      </c>
      <c r="AM23" s="76" t="str">
        <f t="shared" si="79"/>
        <v/>
      </c>
      <c r="AN23" s="31" t="str">
        <f t="shared" si="80"/>
        <v/>
      </c>
      <c r="AO23" s="32" t="str">
        <f t="shared" si="81"/>
        <v/>
      </c>
      <c r="AP23" s="15"/>
      <c r="AQ23" s="15"/>
      <c r="AR23" s="79" t="str">
        <f>IF($A23="","",$A23)</f>
        <v/>
      </c>
      <c r="AS23" s="53"/>
      <c r="AT23" s="53" t="str">
        <f t="shared" si="56"/>
        <v/>
      </c>
      <c r="AU23" s="53"/>
      <c r="AV23" s="31" t="str">
        <f t="shared" si="57"/>
        <v/>
      </c>
      <c r="AW23" s="53"/>
      <c r="AX23" s="53" t="str">
        <f t="shared" si="58"/>
        <v/>
      </c>
      <c r="AY23" s="192"/>
      <c r="AZ23" s="75" t="str">
        <f t="shared" si="82"/>
        <v/>
      </c>
      <c r="BA23" s="76" t="str">
        <f t="shared" si="83"/>
        <v/>
      </c>
      <c r="BB23" s="31" t="str">
        <f t="shared" si="84"/>
        <v/>
      </c>
      <c r="BC23" s="32" t="str">
        <f t="shared" si="85"/>
        <v/>
      </c>
      <c r="BD23" s="15"/>
      <c r="BE23" s="2"/>
      <c r="BF23" s="79" t="str">
        <f>IF($A23="","",$A23)</f>
        <v/>
      </c>
      <c r="BG23" s="240" t="s">
        <v>589</v>
      </c>
      <c r="BH23" s="53"/>
      <c r="BI23" s="53" t="str">
        <f t="shared" si="63"/>
        <v/>
      </c>
      <c r="BJ23" s="53"/>
      <c r="BK23" s="31" t="str">
        <f t="shared" si="64"/>
        <v/>
      </c>
      <c r="BL23" s="53"/>
      <c r="BM23" s="53" t="str">
        <f t="shared" si="65"/>
        <v/>
      </c>
      <c r="BN23" s="192"/>
      <c r="BO23" s="75" t="str">
        <f t="shared" si="86"/>
        <v/>
      </c>
      <c r="BP23" s="76" t="str">
        <f t="shared" si="87"/>
        <v/>
      </c>
      <c r="BQ23" s="31" t="str">
        <f t="shared" si="88"/>
        <v/>
      </c>
      <c r="BR23" s="32" t="str">
        <f t="shared" si="89"/>
        <v/>
      </c>
      <c r="BS23" s="15"/>
      <c r="BU23" s="79"/>
      <c r="BV23" s="13"/>
      <c r="BW23" s="13" t="str">
        <f>IF(BV23="","",BV23-BV22)</f>
        <v/>
      </c>
      <c r="BX23" s="13"/>
      <c r="BY23" s="13" t="str">
        <f>IF(BX23="","",BX23-BX22)</f>
        <v/>
      </c>
      <c r="BZ23" s="13"/>
      <c r="CA23" s="13" t="str">
        <f>IF(BZ23="","",BZ22+CB22-BZ23)</f>
        <v/>
      </c>
      <c r="CB23" s="13"/>
      <c r="CC23" s="231" t="str">
        <f t="shared" si="3"/>
        <v/>
      </c>
      <c r="CD23" s="53" t="str">
        <f>IF(BV23="","",CD22)</f>
        <v/>
      </c>
      <c r="CE23" s="13" t="str">
        <f t="shared" si="122"/>
        <v/>
      </c>
      <c r="CF23" s="14" t="str">
        <f t="shared" si="123"/>
        <v/>
      </c>
      <c r="CG23" s="15"/>
      <c r="CH23" s="1"/>
      <c r="CI23" s="79"/>
      <c r="CJ23" s="13"/>
      <c r="CK23" s="13" t="str">
        <f>IF(CJ23="","",CJ23-CJ22)</f>
        <v/>
      </c>
      <c r="CL23" s="13"/>
      <c r="CM23" s="13" t="str">
        <f>IF(CL23="","",CL23-CL22)</f>
        <v/>
      </c>
      <c r="CN23" s="13"/>
      <c r="CO23" s="13" t="str">
        <f>IF(CN23="","",CN22+CP22-CN23)</f>
        <v/>
      </c>
      <c r="CP23" s="13"/>
      <c r="CQ23" s="231" t="str">
        <f t="shared" si="93"/>
        <v/>
      </c>
      <c r="CR23" s="53" t="str">
        <f>IF(CJ23="","",CR22)</f>
        <v/>
      </c>
      <c r="CS23" s="13" t="str">
        <f t="shared" si="124"/>
        <v/>
      </c>
      <c r="CT23" s="14" t="str">
        <f>IF(CS23="","",CS23/(CJ23*100))</f>
        <v/>
      </c>
      <c r="CU23" s="15"/>
      <c r="CV23" s="1"/>
      <c r="CW23" s="79"/>
      <c r="CX23" s="13"/>
      <c r="CY23" s="13" t="str">
        <f>IF(CX23="","",CX23-CX22)</f>
        <v/>
      </c>
      <c r="CZ23" s="13"/>
      <c r="DA23" s="13" t="str">
        <f>IF(CZ23="","",CZ23-CZ22)</f>
        <v/>
      </c>
      <c r="DB23" s="13"/>
      <c r="DC23" s="13" t="str">
        <f>IF(DB23="","",DB22+DD22-DB23)</f>
        <v/>
      </c>
      <c r="DD23" s="13"/>
      <c r="DE23" s="231" t="str">
        <f t="shared" si="100"/>
        <v/>
      </c>
      <c r="DF23" s="53" t="str">
        <f>IF(CX23="","",DF22)</f>
        <v/>
      </c>
      <c r="DG23" s="13" t="str">
        <f t="shared" si="125"/>
        <v/>
      </c>
      <c r="DH23" s="14" t="str">
        <f t="shared" si="126"/>
        <v/>
      </c>
      <c r="DI23" s="15"/>
      <c r="DJ23" s="1"/>
      <c r="DK23" s="79"/>
      <c r="DL23" s="13"/>
      <c r="DM23" s="13" t="str">
        <f>IF(DL23="","",DL23-DL22)</f>
        <v/>
      </c>
      <c r="DN23" s="13"/>
      <c r="DO23" s="13" t="str">
        <f>IF(DN23="","",DN23-DN22)</f>
        <v/>
      </c>
      <c r="DP23" s="13"/>
      <c r="DQ23" s="13" t="str">
        <f>IF(DP23="","",DP22+DR22-DP23)</f>
        <v/>
      </c>
      <c r="DR23" s="13"/>
      <c r="DS23" s="231" t="str">
        <f t="shared" si="107"/>
        <v/>
      </c>
      <c r="DT23" s="53" t="str">
        <f>IF(DL23="","",DT22)</f>
        <v/>
      </c>
      <c r="DU23" s="13" t="str">
        <f t="shared" si="127"/>
        <v/>
      </c>
      <c r="DV23" s="14" t="str">
        <f t="shared" si="128"/>
        <v/>
      </c>
      <c r="DW23" s="15"/>
      <c r="DY23" s="79"/>
      <c r="DZ23" s="13"/>
      <c r="EA23" s="13" t="str">
        <f>IF(DZ23="","",DZ23-DZ22)</f>
        <v/>
      </c>
      <c r="EB23" s="13"/>
      <c r="EC23" s="13" t="str">
        <f>IF(EB23="","",EB23-EB22)</f>
        <v/>
      </c>
      <c r="ED23" s="13"/>
      <c r="EE23" s="13" t="str">
        <f>IF(ED23="","",ED22+EF22-ED23)</f>
        <v/>
      </c>
      <c r="EF23" s="13"/>
      <c r="EG23" s="231" t="str">
        <f t="shared" si="114"/>
        <v/>
      </c>
      <c r="EH23" s="53" t="str">
        <f>IF(DZ23="","",EH22)</f>
        <v/>
      </c>
      <c r="EI23" s="13" t="str">
        <f t="shared" si="129"/>
        <v/>
      </c>
      <c r="EJ23" s="14" t="str">
        <f t="shared" si="130"/>
        <v/>
      </c>
      <c r="EK23" s="15"/>
    </row>
    <row r="24" spans="1:141" ht="15" customHeight="1" x14ac:dyDescent="0.2">
      <c r="A24" s="150"/>
      <c r="B24" s="152"/>
      <c r="C24" s="54"/>
      <c r="D24" s="13" t="str">
        <f t="shared" si="35"/>
        <v/>
      </c>
      <c r="E24" s="13"/>
      <c r="F24" s="13" t="str">
        <f t="shared" si="36"/>
        <v/>
      </c>
      <c r="G24" s="13"/>
      <c r="H24" s="13" t="str">
        <f t="shared" si="37"/>
        <v/>
      </c>
      <c r="I24" s="205"/>
      <c r="J24" s="56" t="str">
        <f t="shared" si="118"/>
        <v/>
      </c>
      <c r="K24" s="54" t="str">
        <f t="shared" si="119"/>
        <v/>
      </c>
      <c r="L24" s="13" t="str">
        <f t="shared" si="120"/>
        <v/>
      </c>
      <c r="M24" s="14" t="str">
        <f t="shared" si="121"/>
        <v/>
      </c>
      <c r="N24" s="15"/>
      <c r="O24" s="2"/>
      <c r="P24" s="16"/>
      <c r="Q24" s="54"/>
      <c r="R24" s="13" t="str">
        <f t="shared" si="42"/>
        <v/>
      </c>
      <c r="S24" s="13"/>
      <c r="T24" s="13" t="str">
        <f t="shared" si="43"/>
        <v/>
      </c>
      <c r="U24" s="13"/>
      <c r="V24" s="13" t="str">
        <f t="shared" si="44"/>
        <v/>
      </c>
      <c r="W24" s="205"/>
      <c r="X24" s="56" t="str">
        <f t="shared" si="74"/>
        <v/>
      </c>
      <c r="Y24" s="54" t="str">
        <f t="shared" si="75"/>
        <v/>
      </c>
      <c r="Z24" s="13" t="str">
        <f t="shared" si="76"/>
        <v/>
      </c>
      <c r="AA24" s="14" t="str">
        <f t="shared" si="77"/>
        <v/>
      </c>
      <c r="AB24" s="15"/>
      <c r="AC24" s="15"/>
      <c r="AD24" s="16"/>
      <c r="AE24" s="54"/>
      <c r="AF24" s="13" t="str">
        <f t="shared" si="49"/>
        <v/>
      </c>
      <c r="AG24" s="13"/>
      <c r="AH24" s="13" t="str">
        <f t="shared" si="50"/>
        <v/>
      </c>
      <c r="AI24" s="13"/>
      <c r="AJ24" s="13" t="str">
        <f t="shared" si="51"/>
        <v/>
      </c>
      <c r="AK24" s="205"/>
      <c r="AL24" s="56" t="str">
        <f t="shared" si="78"/>
        <v/>
      </c>
      <c r="AM24" s="54" t="str">
        <f t="shared" si="79"/>
        <v/>
      </c>
      <c r="AN24" s="13" t="str">
        <f t="shared" si="80"/>
        <v/>
      </c>
      <c r="AO24" s="14" t="str">
        <f t="shared" si="81"/>
        <v/>
      </c>
      <c r="AP24" s="15"/>
      <c r="AQ24" s="15"/>
      <c r="AR24" s="16"/>
      <c r="AS24" s="54"/>
      <c r="AT24" s="13" t="str">
        <f t="shared" si="56"/>
        <v/>
      </c>
      <c r="AU24" s="13"/>
      <c r="AV24" s="13" t="str">
        <f t="shared" si="57"/>
        <v/>
      </c>
      <c r="AW24" s="13"/>
      <c r="AX24" s="13" t="str">
        <f t="shared" si="58"/>
        <v/>
      </c>
      <c r="AY24" s="205"/>
      <c r="AZ24" s="56" t="str">
        <f t="shared" si="82"/>
        <v/>
      </c>
      <c r="BA24" s="54" t="str">
        <f t="shared" si="83"/>
        <v/>
      </c>
      <c r="BB24" s="13" t="str">
        <f t="shared" si="84"/>
        <v/>
      </c>
      <c r="BC24" s="14" t="str">
        <f t="shared" si="85"/>
        <v/>
      </c>
      <c r="BD24" s="15"/>
      <c r="BE24" s="2"/>
      <c r="BF24" s="16"/>
      <c r="BG24" s="7" t="s">
        <v>590</v>
      </c>
      <c r="BH24" s="54"/>
      <c r="BI24" s="13" t="str">
        <f t="shared" si="63"/>
        <v/>
      </c>
      <c r="BJ24" s="13"/>
      <c r="BK24" s="13" t="str">
        <f t="shared" si="64"/>
        <v/>
      </c>
      <c r="BL24" s="13"/>
      <c r="BM24" s="13" t="str">
        <f t="shared" si="65"/>
        <v/>
      </c>
      <c r="BN24" s="205"/>
      <c r="BO24" s="56" t="str">
        <f t="shared" si="86"/>
        <v/>
      </c>
      <c r="BP24" s="54" t="str">
        <f t="shared" si="87"/>
        <v/>
      </c>
      <c r="BQ24" s="13" t="str">
        <f t="shared" si="88"/>
        <v/>
      </c>
      <c r="BR24" s="14" t="str">
        <f t="shared" si="89"/>
        <v/>
      </c>
      <c r="BS24" s="15"/>
      <c r="BU24" s="16"/>
      <c r="BV24" s="54"/>
      <c r="BW24" s="13" t="str">
        <f>IF(BV24="","",BV24-BV23)</f>
        <v/>
      </c>
      <c r="BX24" s="13"/>
      <c r="BY24" s="13" t="str">
        <f>IF(BX24="","",BX24-BX23)</f>
        <v/>
      </c>
      <c r="BZ24" s="13"/>
      <c r="CA24" s="13" t="str">
        <f>IF(BZ24="","",BZ23+CB23-BZ24)</f>
        <v/>
      </c>
      <c r="CB24" s="13"/>
      <c r="CC24" s="232" t="str">
        <f t="shared" si="3"/>
        <v/>
      </c>
      <c r="CD24" s="13"/>
      <c r="CE24" s="13" t="str">
        <f t="shared" si="122"/>
        <v/>
      </c>
      <c r="CF24" s="14" t="str">
        <f t="shared" si="123"/>
        <v/>
      </c>
      <c r="CG24" s="15"/>
      <c r="CH24" s="1"/>
      <c r="CI24" s="16"/>
      <c r="CJ24" s="54"/>
      <c r="CK24" s="13" t="str">
        <f>IF(CJ24="","",CJ24-CJ23)</f>
        <v/>
      </c>
      <c r="CL24" s="13"/>
      <c r="CM24" s="13" t="str">
        <f>IF(CL24="","",CL24-CL23)</f>
        <v/>
      </c>
      <c r="CN24" s="13"/>
      <c r="CO24" s="13" t="str">
        <f>IF(CN24="","",CN23+CP23-CN24)</f>
        <v/>
      </c>
      <c r="CP24" s="13"/>
      <c r="CQ24" s="232" t="str">
        <f t="shared" si="93"/>
        <v/>
      </c>
      <c r="CR24" s="13"/>
      <c r="CS24" s="13" t="str">
        <f t="shared" si="124"/>
        <v/>
      </c>
      <c r="CT24" s="14" t="str">
        <f t="shared" ref="CT24:CT50" si="131">IF(CS24="","",CS24/(CK24*100))</f>
        <v/>
      </c>
      <c r="CU24" s="15"/>
      <c r="CV24" s="1"/>
      <c r="CW24" s="16"/>
      <c r="CX24" s="54"/>
      <c r="CY24" s="13" t="str">
        <f>IF(CX24="","",CX24-CX23)</f>
        <v/>
      </c>
      <c r="CZ24" s="13"/>
      <c r="DA24" s="13" t="str">
        <f>IF(CZ24="","",CZ24-CZ23)</f>
        <v/>
      </c>
      <c r="DB24" s="13"/>
      <c r="DC24" s="13" t="str">
        <f>IF(DB24="","",DB23+DD23-DB24)</f>
        <v/>
      </c>
      <c r="DD24" s="13"/>
      <c r="DE24" s="232" t="str">
        <f t="shared" si="100"/>
        <v/>
      </c>
      <c r="DF24" s="13"/>
      <c r="DG24" s="13" t="str">
        <f t="shared" si="125"/>
        <v/>
      </c>
      <c r="DH24" s="14" t="str">
        <f t="shared" si="126"/>
        <v/>
      </c>
      <c r="DI24" s="15"/>
      <c r="DJ24" s="1"/>
      <c r="DK24" s="16"/>
      <c r="DL24" s="54"/>
      <c r="DM24" s="13" t="str">
        <f>IF(DL24="","",DL24-DL23)</f>
        <v/>
      </c>
      <c r="DN24" s="13"/>
      <c r="DO24" s="13" t="str">
        <f>IF(DN24="","",DN24-DN23)</f>
        <v/>
      </c>
      <c r="DP24" s="13"/>
      <c r="DQ24" s="13" t="str">
        <f>IF(DP24="","",DP23+DR23-DP24)</f>
        <v/>
      </c>
      <c r="DR24" s="13"/>
      <c r="DS24" s="232" t="str">
        <f t="shared" si="107"/>
        <v/>
      </c>
      <c r="DT24" s="13"/>
      <c r="DU24" s="13" t="str">
        <f t="shared" si="127"/>
        <v/>
      </c>
      <c r="DV24" s="14" t="str">
        <f t="shared" si="128"/>
        <v/>
      </c>
      <c r="DW24" s="15"/>
      <c r="DY24" s="16"/>
      <c r="DZ24" s="54"/>
      <c r="EA24" s="13" t="str">
        <f>IF(DZ24="","",DZ24-DZ23)</f>
        <v/>
      </c>
      <c r="EB24" s="13"/>
      <c r="EC24" s="13" t="str">
        <f>IF(EB24="","",EB24-EB23)</f>
        <v/>
      </c>
      <c r="ED24" s="13"/>
      <c r="EE24" s="13" t="str">
        <f>IF(ED24="","",ED23+EF23-ED24)</f>
        <v/>
      </c>
      <c r="EF24" s="13"/>
      <c r="EG24" s="232" t="str">
        <f t="shared" si="114"/>
        <v/>
      </c>
      <c r="EH24" s="13"/>
      <c r="EI24" s="13" t="str">
        <f t="shared" si="129"/>
        <v/>
      </c>
      <c r="EJ24" s="14" t="str">
        <f t="shared" si="130"/>
        <v/>
      </c>
      <c r="EK24" s="15"/>
    </row>
    <row r="25" spans="1:141" ht="15" customHeight="1" x14ac:dyDescent="0.2">
      <c r="A25" s="16"/>
      <c r="B25" s="74"/>
      <c r="C25" s="34"/>
      <c r="D25" s="13" t="str">
        <f t="shared" si="35"/>
        <v/>
      </c>
      <c r="E25" s="34"/>
      <c r="F25" s="13" t="str">
        <f t="shared" si="36"/>
        <v/>
      </c>
      <c r="G25" s="13"/>
      <c r="H25" s="13" t="str">
        <f t="shared" si="37"/>
        <v/>
      </c>
      <c r="I25" s="214"/>
      <c r="J25" s="56" t="str">
        <f t="shared" si="118"/>
        <v/>
      </c>
      <c r="K25" s="13" t="str">
        <f t="shared" si="119"/>
        <v/>
      </c>
      <c r="L25" s="13" t="str">
        <f t="shared" si="120"/>
        <v/>
      </c>
      <c r="M25" s="14" t="str">
        <f t="shared" si="121"/>
        <v/>
      </c>
      <c r="N25" s="15"/>
      <c r="O25" s="2"/>
      <c r="P25" s="16"/>
      <c r="Q25" s="34"/>
      <c r="R25" s="13" t="str">
        <f t="shared" si="42"/>
        <v/>
      </c>
      <c r="S25" s="34"/>
      <c r="T25" s="13" t="str">
        <f t="shared" si="43"/>
        <v/>
      </c>
      <c r="U25" s="13"/>
      <c r="V25" s="13" t="str">
        <f t="shared" si="44"/>
        <v/>
      </c>
      <c r="W25" s="214"/>
      <c r="X25" s="56" t="str">
        <f t="shared" si="74"/>
        <v/>
      </c>
      <c r="Y25" s="13" t="str">
        <f t="shared" si="75"/>
        <v/>
      </c>
      <c r="Z25" s="13" t="str">
        <f t="shared" si="76"/>
        <v/>
      </c>
      <c r="AA25" s="14" t="str">
        <f t="shared" si="77"/>
        <v/>
      </c>
      <c r="AB25" s="15"/>
      <c r="AC25" s="15"/>
      <c r="AD25" s="16"/>
      <c r="AE25" s="34"/>
      <c r="AF25" s="13" t="str">
        <f t="shared" si="49"/>
        <v/>
      </c>
      <c r="AG25" s="34"/>
      <c r="AH25" s="13" t="str">
        <f t="shared" si="50"/>
        <v/>
      </c>
      <c r="AI25" s="13"/>
      <c r="AJ25" s="13" t="str">
        <f t="shared" si="51"/>
        <v/>
      </c>
      <c r="AK25" s="214"/>
      <c r="AL25" s="56" t="str">
        <f t="shared" si="78"/>
        <v/>
      </c>
      <c r="AM25" s="13" t="str">
        <f t="shared" si="79"/>
        <v/>
      </c>
      <c r="AN25" s="13" t="str">
        <f t="shared" si="80"/>
        <v/>
      </c>
      <c r="AO25" s="14" t="str">
        <f t="shared" si="81"/>
        <v/>
      </c>
      <c r="AP25" s="15"/>
      <c r="AQ25" s="15"/>
      <c r="AR25" s="16"/>
      <c r="AS25" s="34"/>
      <c r="AT25" s="13" t="str">
        <f t="shared" si="56"/>
        <v/>
      </c>
      <c r="AU25" s="34"/>
      <c r="AV25" s="13" t="str">
        <f t="shared" si="57"/>
        <v/>
      </c>
      <c r="AW25" s="13"/>
      <c r="AX25" s="13" t="str">
        <f t="shared" si="58"/>
        <v/>
      </c>
      <c r="AY25" s="214"/>
      <c r="AZ25" s="56" t="str">
        <f t="shared" si="82"/>
        <v/>
      </c>
      <c r="BA25" s="13" t="str">
        <f t="shared" si="83"/>
        <v/>
      </c>
      <c r="BB25" s="13" t="str">
        <f t="shared" si="84"/>
        <v/>
      </c>
      <c r="BC25" s="14" t="str">
        <f t="shared" si="85"/>
        <v/>
      </c>
      <c r="BD25" s="15"/>
      <c r="BE25" s="2"/>
      <c r="BF25" s="16"/>
      <c r="BG25" s="7" t="s">
        <v>591</v>
      </c>
      <c r="BH25" s="34"/>
      <c r="BI25" s="13" t="str">
        <f t="shared" si="63"/>
        <v/>
      </c>
      <c r="BJ25" s="34"/>
      <c r="BK25" s="13" t="str">
        <f t="shared" si="64"/>
        <v/>
      </c>
      <c r="BL25" s="13"/>
      <c r="BM25" s="13" t="str">
        <f t="shared" si="65"/>
        <v/>
      </c>
      <c r="BN25" s="214"/>
      <c r="BO25" s="56" t="str">
        <f t="shared" si="86"/>
        <v/>
      </c>
      <c r="BP25" s="13" t="str">
        <f t="shared" si="87"/>
        <v/>
      </c>
      <c r="BQ25" s="13" t="str">
        <f t="shared" si="88"/>
        <v/>
      </c>
      <c r="BR25" s="14" t="str">
        <f t="shared" si="89"/>
        <v/>
      </c>
      <c r="BS25" s="15"/>
      <c r="BU25" s="16"/>
      <c r="BV25" s="54"/>
      <c r="BW25" s="13" t="str">
        <f>IF(BV25="","",BV25-BV24)</f>
        <v/>
      </c>
      <c r="BX25" s="13"/>
      <c r="BY25" s="13" t="str">
        <f>IF(BX25="","",BX25-BX24)</f>
        <v/>
      </c>
      <c r="BZ25" s="13"/>
      <c r="CA25" s="13" t="str">
        <f>IF(BZ25="","",BZ24+CB24-BZ25)</f>
        <v/>
      </c>
      <c r="CB25" s="13"/>
      <c r="CC25" s="232" t="str">
        <f t="shared" si="3"/>
        <v/>
      </c>
      <c r="CD25" s="13"/>
      <c r="CE25" s="13" t="str">
        <f t="shared" si="122"/>
        <v/>
      </c>
      <c r="CF25" s="14" t="str">
        <f t="shared" si="123"/>
        <v/>
      </c>
      <c r="CG25" s="15"/>
      <c r="CH25" s="1"/>
      <c r="CI25" s="16"/>
      <c r="CJ25" s="54"/>
      <c r="CK25" s="13" t="str">
        <f>IF(CJ25="","",CJ25-CJ24)</f>
        <v/>
      </c>
      <c r="CL25" s="13"/>
      <c r="CM25" s="13" t="str">
        <f>IF(CL25="","",CL25-CL24)</f>
        <v/>
      </c>
      <c r="CN25" s="13"/>
      <c r="CO25" s="13" t="str">
        <f>IF(CN25="","",CN24+CP24-CN25)</f>
        <v/>
      </c>
      <c r="CP25" s="13"/>
      <c r="CQ25" s="232" t="str">
        <f t="shared" si="93"/>
        <v/>
      </c>
      <c r="CR25" s="13"/>
      <c r="CS25" s="13" t="str">
        <f t="shared" si="124"/>
        <v/>
      </c>
      <c r="CT25" s="14" t="str">
        <f t="shared" si="131"/>
        <v/>
      </c>
      <c r="CU25" s="15"/>
      <c r="CV25" s="1"/>
      <c r="CW25" s="16"/>
      <c r="CX25" s="54"/>
      <c r="CY25" s="13" t="str">
        <f>IF(CX25="","",CX25-CX24)</f>
        <v/>
      </c>
      <c r="CZ25" s="13"/>
      <c r="DA25" s="13" t="str">
        <f>IF(CZ25="","",CZ25-CZ24)</f>
        <v/>
      </c>
      <c r="DB25" s="13"/>
      <c r="DC25" s="13" t="str">
        <f>IF(DB25="","",DB24+DD24-DB25)</f>
        <v/>
      </c>
      <c r="DD25" s="13"/>
      <c r="DE25" s="232" t="str">
        <f t="shared" si="100"/>
        <v/>
      </c>
      <c r="DF25" s="13"/>
      <c r="DG25" s="13" t="str">
        <f t="shared" si="125"/>
        <v/>
      </c>
      <c r="DH25" s="14" t="str">
        <f t="shared" si="126"/>
        <v/>
      </c>
      <c r="DI25" s="15"/>
      <c r="DJ25" s="1"/>
      <c r="DK25" s="16"/>
      <c r="DL25" s="54"/>
      <c r="DM25" s="13" t="str">
        <f>IF(DL25="","",DL25-DL24)</f>
        <v/>
      </c>
      <c r="DN25" s="13"/>
      <c r="DO25" s="13" t="str">
        <f>IF(DN25="","",DN25-DN24)</f>
        <v/>
      </c>
      <c r="DP25" s="13"/>
      <c r="DQ25" s="13" t="str">
        <f>IF(DP25="","",DP24+DR24-DP25)</f>
        <v/>
      </c>
      <c r="DR25" s="13"/>
      <c r="DS25" s="232" t="str">
        <f t="shared" si="107"/>
        <v/>
      </c>
      <c r="DT25" s="13"/>
      <c r="DU25" s="13" t="str">
        <f t="shared" si="127"/>
        <v/>
      </c>
      <c r="DV25" s="14" t="str">
        <f t="shared" si="128"/>
        <v/>
      </c>
      <c r="DW25" s="15"/>
      <c r="DY25" s="16"/>
      <c r="DZ25" s="54"/>
      <c r="EA25" s="13" t="str">
        <f>IF(DZ25="","",DZ25-DZ24)</f>
        <v/>
      </c>
      <c r="EB25" s="13"/>
      <c r="EC25" s="13" t="str">
        <f>IF(EB25="","",EB25-EB24)</f>
        <v/>
      </c>
      <c r="ED25" s="13"/>
      <c r="EE25" s="13" t="str">
        <f>IF(ED25="","",ED24+EF24-ED25)</f>
        <v/>
      </c>
      <c r="EF25" s="13"/>
      <c r="EG25" s="232" t="str">
        <f t="shared" si="114"/>
        <v/>
      </c>
      <c r="EH25" s="13"/>
      <c r="EI25" s="13" t="str">
        <f t="shared" si="129"/>
        <v/>
      </c>
      <c r="EJ25" s="14" t="str">
        <f t="shared" si="130"/>
        <v/>
      </c>
      <c r="EK25" s="15"/>
    </row>
    <row r="26" spans="1:141" ht="15" customHeight="1" thickBot="1" x14ac:dyDescent="0.25">
      <c r="A26" s="26"/>
      <c r="B26" s="46"/>
      <c r="C26" s="27"/>
      <c r="D26" s="27" t="str">
        <f t="shared" si="35"/>
        <v/>
      </c>
      <c r="E26" s="27"/>
      <c r="F26" s="27" t="str">
        <f t="shared" si="36"/>
        <v/>
      </c>
      <c r="G26" s="27"/>
      <c r="H26" s="27" t="str">
        <f t="shared" si="37"/>
        <v/>
      </c>
      <c r="I26" s="217"/>
      <c r="J26" s="57" t="str">
        <f t="shared" si="118"/>
        <v/>
      </c>
      <c r="K26" s="62" t="str">
        <f t="shared" si="119"/>
        <v/>
      </c>
      <c r="L26" s="27" t="str">
        <f t="shared" si="120"/>
        <v/>
      </c>
      <c r="M26" s="28" t="str">
        <f t="shared" si="121"/>
        <v/>
      </c>
      <c r="N26" s="15"/>
      <c r="O26" s="2"/>
      <c r="P26" s="26"/>
      <c r="Q26" s="27"/>
      <c r="R26" s="27" t="str">
        <f t="shared" si="42"/>
        <v/>
      </c>
      <c r="S26" s="27"/>
      <c r="T26" s="27" t="str">
        <f t="shared" si="43"/>
        <v/>
      </c>
      <c r="U26" s="27"/>
      <c r="V26" s="27" t="str">
        <f t="shared" si="44"/>
        <v/>
      </c>
      <c r="W26" s="217"/>
      <c r="X26" s="57" t="str">
        <f t="shared" si="74"/>
        <v/>
      </c>
      <c r="Y26" s="62" t="str">
        <f t="shared" si="75"/>
        <v/>
      </c>
      <c r="Z26" s="27" t="str">
        <f t="shared" si="76"/>
        <v/>
      </c>
      <c r="AA26" s="28" t="str">
        <f t="shared" si="77"/>
        <v/>
      </c>
      <c r="AB26" s="15"/>
      <c r="AC26" s="15"/>
      <c r="AD26" s="26"/>
      <c r="AE26" s="27"/>
      <c r="AF26" s="27" t="str">
        <f t="shared" si="49"/>
        <v/>
      </c>
      <c r="AG26" s="27"/>
      <c r="AH26" s="27" t="str">
        <f t="shared" si="50"/>
        <v/>
      </c>
      <c r="AI26" s="27"/>
      <c r="AJ26" s="27" t="str">
        <f t="shared" si="51"/>
        <v/>
      </c>
      <c r="AK26" s="217"/>
      <c r="AL26" s="57" t="str">
        <f t="shared" si="78"/>
        <v/>
      </c>
      <c r="AM26" s="62" t="str">
        <f t="shared" si="79"/>
        <v/>
      </c>
      <c r="AN26" s="27" t="str">
        <f t="shared" si="80"/>
        <v/>
      </c>
      <c r="AO26" s="28" t="str">
        <f t="shared" si="81"/>
        <v/>
      </c>
      <c r="AP26" s="15"/>
      <c r="AQ26" s="15"/>
      <c r="AR26" s="26"/>
      <c r="AS26" s="27"/>
      <c r="AT26" s="27" t="str">
        <f t="shared" si="56"/>
        <v/>
      </c>
      <c r="AU26" s="27"/>
      <c r="AV26" s="27" t="str">
        <f t="shared" si="57"/>
        <v/>
      </c>
      <c r="AW26" s="27"/>
      <c r="AX26" s="27" t="str">
        <f t="shared" si="58"/>
        <v/>
      </c>
      <c r="AY26" s="217"/>
      <c r="AZ26" s="57" t="str">
        <f t="shared" si="82"/>
        <v/>
      </c>
      <c r="BA26" s="62" t="str">
        <f t="shared" si="83"/>
        <v/>
      </c>
      <c r="BB26" s="27" t="str">
        <f t="shared" si="84"/>
        <v/>
      </c>
      <c r="BC26" s="28" t="str">
        <f t="shared" si="85"/>
        <v/>
      </c>
      <c r="BD26" s="15"/>
      <c r="BE26" s="2"/>
      <c r="BF26" s="26"/>
      <c r="BG26" s="241" t="s">
        <v>592</v>
      </c>
      <c r="BH26" s="27"/>
      <c r="BI26" s="27" t="str">
        <f t="shared" si="63"/>
        <v/>
      </c>
      <c r="BJ26" s="27"/>
      <c r="BK26" s="27" t="str">
        <f t="shared" si="64"/>
        <v/>
      </c>
      <c r="BL26" s="27"/>
      <c r="BM26" s="27" t="str">
        <f t="shared" si="65"/>
        <v/>
      </c>
      <c r="BN26" s="217"/>
      <c r="BO26" s="57" t="str">
        <f t="shared" si="86"/>
        <v/>
      </c>
      <c r="BP26" s="62" t="str">
        <f t="shared" si="87"/>
        <v/>
      </c>
      <c r="BQ26" s="27" t="str">
        <f t="shared" si="88"/>
        <v/>
      </c>
      <c r="BR26" s="28" t="str">
        <f t="shared" si="89"/>
        <v/>
      </c>
      <c r="BS26" s="15"/>
      <c r="BU26" s="16"/>
      <c r="BV26" s="54"/>
      <c r="BW26" s="13" t="str">
        <f>IF(BV26="","",BV26-BV25)</f>
        <v/>
      </c>
      <c r="BX26" s="13"/>
      <c r="BY26" s="13"/>
      <c r="BZ26" s="13"/>
      <c r="CA26" s="13" t="str">
        <f>IF(BZ26="","",BZ25+CB25-BZ26)</f>
        <v/>
      </c>
      <c r="CB26" s="13"/>
      <c r="CC26" s="232" t="str">
        <f t="shared" si="3"/>
        <v/>
      </c>
      <c r="CD26" s="13"/>
      <c r="CE26" s="13" t="str">
        <f t="shared" si="122"/>
        <v/>
      </c>
      <c r="CF26" s="14" t="str">
        <f t="shared" si="123"/>
        <v/>
      </c>
      <c r="CG26" s="15"/>
      <c r="CH26" s="1"/>
      <c r="CI26" s="16"/>
      <c r="CJ26" s="54"/>
      <c r="CK26" s="13" t="str">
        <f>IF(CJ26="","",CJ26-CJ25)</f>
        <v/>
      </c>
      <c r="CL26" s="13"/>
      <c r="CM26" s="13"/>
      <c r="CN26" s="13"/>
      <c r="CO26" s="13" t="str">
        <f>IF(CN26="","",CN25+CP25-CN26)</f>
        <v/>
      </c>
      <c r="CP26" s="13"/>
      <c r="CQ26" s="232" t="str">
        <f t="shared" si="93"/>
        <v/>
      </c>
      <c r="CR26" s="13"/>
      <c r="CS26" s="13" t="str">
        <f t="shared" si="124"/>
        <v/>
      </c>
      <c r="CT26" s="14" t="str">
        <f t="shared" si="131"/>
        <v/>
      </c>
      <c r="CU26" s="15"/>
      <c r="CV26" s="1"/>
      <c r="CW26" s="16"/>
      <c r="CX26" s="54"/>
      <c r="CY26" s="13" t="str">
        <f>IF(CX26="","",CX26-CX25)</f>
        <v/>
      </c>
      <c r="CZ26" s="13"/>
      <c r="DA26" s="13"/>
      <c r="DB26" s="13"/>
      <c r="DC26" s="13" t="str">
        <f>IF(DB26="","",DB25+DD25-DB26)</f>
        <v/>
      </c>
      <c r="DD26" s="13"/>
      <c r="DE26" s="232" t="str">
        <f t="shared" si="100"/>
        <v/>
      </c>
      <c r="DF26" s="13"/>
      <c r="DG26" s="13" t="str">
        <f t="shared" si="125"/>
        <v/>
      </c>
      <c r="DH26" s="14" t="str">
        <f t="shared" si="126"/>
        <v/>
      </c>
      <c r="DI26" s="15"/>
      <c r="DJ26" s="1"/>
      <c r="DK26" s="16"/>
      <c r="DL26" s="54"/>
      <c r="DM26" s="13" t="str">
        <f>IF(DL26="","",DL26-DL25)</f>
        <v/>
      </c>
      <c r="DN26" s="13"/>
      <c r="DO26" s="13"/>
      <c r="DP26" s="13"/>
      <c r="DQ26" s="13" t="str">
        <f>IF(DP26="","",DP25+DR25-DP26)</f>
        <v/>
      </c>
      <c r="DR26" s="13"/>
      <c r="DS26" s="232" t="str">
        <f t="shared" si="107"/>
        <v/>
      </c>
      <c r="DT26" s="13"/>
      <c r="DU26" s="13" t="str">
        <f t="shared" si="127"/>
        <v/>
      </c>
      <c r="DV26" s="14" t="str">
        <f t="shared" si="128"/>
        <v/>
      </c>
      <c r="DW26" s="15"/>
      <c r="DY26" s="16"/>
      <c r="DZ26" s="54"/>
      <c r="EA26" s="13" t="str">
        <f>IF(DZ26="","",DZ26-DZ25)</f>
        <v/>
      </c>
      <c r="EB26" s="13"/>
      <c r="EC26" s="13"/>
      <c r="ED26" s="13"/>
      <c r="EE26" s="13" t="str">
        <f>IF(ED26="","",ED25+EF25-ED26)</f>
        <v/>
      </c>
      <c r="EF26" s="13"/>
      <c r="EG26" s="232" t="str">
        <f t="shared" si="114"/>
        <v/>
      </c>
      <c r="EH26" s="13"/>
      <c r="EI26" s="13" t="str">
        <f t="shared" si="129"/>
        <v/>
      </c>
      <c r="EJ26" s="14" t="str">
        <f t="shared" si="130"/>
        <v/>
      </c>
      <c r="EK26" s="15"/>
    </row>
    <row r="27" spans="1:141" ht="15" customHeight="1" thickTop="1" x14ac:dyDescent="0.2">
      <c r="A27" s="79"/>
      <c r="B27" s="74" t="str">
        <f>IF(A27="","",SUM(D27:D30)+SUM(R27:R30)+SUM(BI27:BI30)+SUM(AF27:AF30)+SUM(AT27:AT30)+SUM(BW9,CK9,CY9,DM9))</f>
        <v/>
      </c>
      <c r="C27" s="13"/>
      <c r="D27" s="53" t="str">
        <f t="shared" si="35"/>
        <v/>
      </c>
      <c r="E27" s="13"/>
      <c r="F27" s="31" t="str">
        <f t="shared" si="36"/>
        <v/>
      </c>
      <c r="G27" s="13"/>
      <c r="H27" s="53" t="str">
        <f t="shared" si="37"/>
        <v/>
      </c>
      <c r="I27" s="192"/>
      <c r="J27" s="75" t="str">
        <f t="shared" si="118"/>
        <v/>
      </c>
      <c r="K27" s="76" t="str">
        <f t="shared" si="119"/>
        <v/>
      </c>
      <c r="L27" s="31" t="str">
        <f t="shared" si="120"/>
        <v/>
      </c>
      <c r="M27" s="32" t="str">
        <f t="shared" si="121"/>
        <v/>
      </c>
      <c r="N27" s="15"/>
      <c r="O27" s="2"/>
      <c r="P27" s="79" t="str">
        <f>IF($A27="","",$A27)</f>
        <v/>
      </c>
      <c r="Q27" s="13"/>
      <c r="R27" s="53" t="str">
        <f t="shared" si="42"/>
        <v/>
      </c>
      <c r="S27" s="13"/>
      <c r="T27" s="31" t="str">
        <f t="shared" si="43"/>
        <v/>
      </c>
      <c r="U27" s="13"/>
      <c r="V27" s="53" t="str">
        <f t="shared" si="44"/>
        <v/>
      </c>
      <c r="W27" s="192"/>
      <c r="X27" s="75" t="str">
        <f t="shared" si="74"/>
        <v/>
      </c>
      <c r="Y27" s="76" t="str">
        <f t="shared" si="75"/>
        <v/>
      </c>
      <c r="Z27" s="31" t="str">
        <f t="shared" si="76"/>
        <v/>
      </c>
      <c r="AA27" s="32" t="str">
        <f t="shared" si="77"/>
        <v/>
      </c>
      <c r="AB27" s="15"/>
      <c r="AC27" s="15"/>
      <c r="AD27" s="79" t="str">
        <f>IF($A27="","",$A27)</f>
        <v/>
      </c>
      <c r="AE27" s="13"/>
      <c r="AF27" s="53" t="str">
        <f t="shared" si="49"/>
        <v/>
      </c>
      <c r="AG27" s="13"/>
      <c r="AH27" s="31" t="str">
        <f t="shared" si="50"/>
        <v/>
      </c>
      <c r="AI27" s="13"/>
      <c r="AJ27" s="53" t="str">
        <f t="shared" si="51"/>
        <v/>
      </c>
      <c r="AK27" s="192"/>
      <c r="AL27" s="75" t="str">
        <f t="shared" si="78"/>
        <v/>
      </c>
      <c r="AM27" s="76" t="str">
        <f t="shared" si="79"/>
        <v/>
      </c>
      <c r="AN27" s="31" t="str">
        <f t="shared" si="80"/>
        <v/>
      </c>
      <c r="AO27" s="32" t="str">
        <f t="shared" si="81"/>
        <v/>
      </c>
      <c r="AP27" s="15"/>
      <c r="AQ27" s="15"/>
      <c r="AR27" s="79" t="str">
        <f>IF($A27="","",$A27)</f>
        <v/>
      </c>
      <c r="AS27" s="13"/>
      <c r="AT27" s="53" t="str">
        <f t="shared" si="56"/>
        <v/>
      </c>
      <c r="AU27" s="13"/>
      <c r="AV27" s="31" t="str">
        <f t="shared" si="57"/>
        <v/>
      </c>
      <c r="AW27" s="13"/>
      <c r="AX27" s="53" t="str">
        <f t="shared" si="58"/>
        <v/>
      </c>
      <c r="AY27" s="192"/>
      <c r="AZ27" s="75" t="str">
        <f t="shared" si="82"/>
        <v/>
      </c>
      <c r="BA27" s="76" t="str">
        <f t="shared" si="83"/>
        <v/>
      </c>
      <c r="BB27" s="31" t="str">
        <f t="shared" si="84"/>
        <v/>
      </c>
      <c r="BC27" s="32" t="str">
        <f t="shared" si="85"/>
        <v/>
      </c>
      <c r="BD27" s="15"/>
      <c r="BE27" s="2"/>
      <c r="BF27" s="79" t="str">
        <f>IF($A27="","",$A27)</f>
        <v/>
      </c>
      <c r="BG27" s="239" t="s">
        <v>589</v>
      </c>
      <c r="BH27" s="13"/>
      <c r="BI27" s="53" t="str">
        <f t="shared" si="63"/>
        <v/>
      </c>
      <c r="BJ27" s="13"/>
      <c r="BK27" s="31" t="str">
        <f t="shared" si="64"/>
        <v/>
      </c>
      <c r="BL27" s="13"/>
      <c r="BM27" s="53" t="str">
        <f t="shared" si="65"/>
        <v/>
      </c>
      <c r="BN27" s="192"/>
      <c r="BO27" s="75" t="str">
        <f t="shared" si="86"/>
        <v/>
      </c>
      <c r="BP27" s="76" t="str">
        <f t="shared" si="87"/>
        <v/>
      </c>
      <c r="BQ27" s="31" t="str">
        <f t="shared" si="88"/>
        <v/>
      </c>
      <c r="BR27" s="32" t="str">
        <f t="shared" si="89"/>
        <v/>
      </c>
      <c r="BS27" s="15"/>
      <c r="BU27" s="16"/>
      <c r="BV27" s="13"/>
      <c r="BW27" s="13" t="str">
        <f>IF(BV27="","",BV27-BV28)</f>
        <v/>
      </c>
      <c r="BX27" s="13"/>
      <c r="BY27" s="13" t="str">
        <f>IF(BX27="","",BX27-BX28)</f>
        <v/>
      </c>
      <c r="BZ27" s="13"/>
      <c r="CA27" s="13" t="str">
        <f>IF(BZ27="","",BZ28+CB28-BZ27)</f>
        <v/>
      </c>
      <c r="CB27" s="13"/>
      <c r="CC27" s="13"/>
      <c r="CD27" s="13"/>
      <c r="CE27" s="13" t="str">
        <f t="shared" si="122"/>
        <v/>
      </c>
      <c r="CF27" s="14" t="str">
        <f t="shared" si="123"/>
        <v/>
      </c>
      <c r="CG27" s="15"/>
      <c r="CH27" s="1"/>
      <c r="CI27" s="16"/>
      <c r="CJ27" s="13"/>
      <c r="CK27" s="13" t="str">
        <f>IF(CJ27="","",CJ27-CJ28)</f>
        <v/>
      </c>
      <c r="CL27" s="13"/>
      <c r="CM27" s="13" t="str">
        <f>IF(CL27="","",CL27-CL28)</f>
        <v/>
      </c>
      <c r="CN27" s="13"/>
      <c r="CO27" s="13" t="str">
        <f>IF(CN27="","",CN28+CP28-CN27)</f>
        <v/>
      </c>
      <c r="CP27" s="13"/>
      <c r="CQ27" s="13"/>
      <c r="CR27" s="13"/>
      <c r="CS27" s="13" t="str">
        <f t="shared" si="124"/>
        <v/>
      </c>
      <c r="CT27" s="14" t="str">
        <f t="shared" si="131"/>
        <v/>
      </c>
      <c r="CU27" s="15"/>
      <c r="CV27" s="1"/>
      <c r="CW27" s="16"/>
      <c r="CX27" s="13"/>
      <c r="CY27" s="13" t="str">
        <f>IF(CX27="","",CX27-CX28)</f>
        <v/>
      </c>
      <c r="CZ27" s="13"/>
      <c r="DA27" s="13" t="str">
        <f>IF(CZ27="","",CZ27-CZ28)</f>
        <v/>
      </c>
      <c r="DB27" s="13"/>
      <c r="DC27" s="13" t="str">
        <f>IF(DB27="","",DB28+DD28-DB27)</f>
        <v/>
      </c>
      <c r="DD27" s="13"/>
      <c r="DE27" s="13"/>
      <c r="DF27" s="13"/>
      <c r="DG27" s="13" t="str">
        <f t="shared" si="125"/>
        <v/>
      </c>
      <c r="DH27" s="14" t="str">
        <f t="shared" si="126"/>
        <v/>
      </c>
      <c r="DI27" s="15"/>
      <c r="DJ27" s="1"/>
      <c r="DK27" s="16"/>
      <c r="DL27" s="13"/>
      <c r="DM27" s="13" t="str">
        <f>IF(DL27="","",DL27-DL28)</f>
        <v/>
      </c>
      <c r="DN27" s="13"/>
      <c r="DO27" s="13" t="str">
        <f>IF(DN27="","",DN27-DN28)</f>
        <v/>
      </c>
      <c r="DP27" s="13"/>
      <c r="DQ27" s="13" t="str">
        <f>IF(DP27="","",DP28+DR28-DP27)</f>
        <v/>
      </c>
      <c r="DR27" s="13"/>
      <c r="DS27" s="13"/>
      <c r="DT27" s="13"/>
      <c r="DU27" s="13" t="str">
        <f t="shared" si="127"/>
        <v/>
      </c>
      <c r="DV27" s="14" t="str">
        <f t="shared" si="128"/>
        <v/>
      </c>
      <c r="DW27" s="15"/>
      <c r="DY27" s="16"/>
      <c r="DZ27" s="13"/>
      <c r="EA27" s="13" t="str">
        <f>IF(DZ27="","",DZ27-DZ28)</f>
        <v/>
      </c>
      <c r="EB27" s="13"/>
      <c r="EC27" s="13" t="str">
        <f>IF(EB27="","",EB27-EB28)</f>
        <v/>
      </c>
      <c r="ED27" s="13"/>
      <c r="EE27" s="13" t="str">
        <f>IF(ED27="","",ED28+EF28-ED27)</f>
        <v/>
      </c>
      <c r="EF27" s="13"/>
      <c r="EG27" s="13"/>
      <c r="EH27" s="13"/>
      <c r="EI27" s="13" t="str">
        <f t="shared" si="129"/>
        <v/>
      </c>
      <c r="EJ27" s="14" t="str">
        <f t="shared" si="130"/>
        <v/>
      </c>
      <c r="EK27" s="15"/>
    </row>
    <row r="28" spans="1:141" ht="15" customHeight="1" x14ac:dyDescent="0.2">
      <c r="A28" s="79"/>
      <c r="B28" s="11"/>
      <c r="C28" s="53"/>
      <c r="D28" s="13" t="str">
        <f t="shared" si="35"/>
        <v/>
      </c>
      <c r="E28" s="53"/>
      <c r="F28" s="13" t="str">
        <f t="shared" si="36"/>
        <v/>
      </c>
      <c r="G28" s="13"/>
      <c r="H28" s="13" t="str">
        <f t="shared" si="37"/>
        <v/>
      </c>
      <c r="I28" s="205"/>
      <c r="J28" s="56" t="str">
        <f t="shared" si="118"/>
        <v/>
      </c>
      <c r="K28" s="54" t="str">
        <f t="shared" si="119"/>
        <v/>
      </c>
      <c r="L28" s="13" t="str">
        <f t="shared" si="120"/>
        <v/>
      </c>
      <c r="M28" s="14" t="str">
        <f t="shared" si="121"/>
        <v/>
      </c>
      <c r="N28" s="15"/>
      <c r="O28" s="2"/>
      <c r="P28" s="79" t="str">
        <f>IF(A28="","",A28)</f>
        <v/>
      </c>
      <c r="Q28" s="53"/>
      <c r="R28" s="13" t="str">
        <f t="shared" si="42"/>
        <v/>
      </c>
      <c r="S28" s="53"/>
      <c r="T28" s="13" t="str">
        <f t="shared" si="43"/>
        <v/>
      </c>
      <c r="U28" s="13"/>
      <c r="V28" s="13" t="str">
        <f t="shared" si="44"/>
        <v/>
      </c>
      <c r="W28" s="205"/>
      <c r="X28" s="56" t="str">
        <f t="shared" si="74"/>
        <v/>
      </c>
      <c r="Y28" s="54" t="str">
        <f t="shared" si="75"/>
        <v/>
      </c>
      <c r="Z28" s="13" t="str">
        <f t="shared" si="76"/>
        <v/>
      </c>
      <c r="AA28" s="14" t="str">
        <f t="shared" si="77"/>
        <v/>
      </c>
      <c r="AB28" s="15"/>
      <c r="AC28" s="15"/>
      <c r="AD28" s="79" t="str">
        <f>IF(O28="","",O28)</f>
        <v/>
      </c>
      <c r="AE28" s="53"/>
      <c r="AF28" s="13" t="str">
        <f t="shared" si="49"/>
        <v/>
      </c>
      <c r="AG28" s="53"/>
      <c r="AH28" s="13" t="str">
        <f t="shared" si="50"/>
        <v/>
      </c>
      <c r="AI28" s="13"/>
      <c r="AJ28" s="13" t="str">
        <f t="shared" si="51"/>
        <v/>
      </c>
      <c r="AK28" s="205"/>
      <c r="AL28" s="56" t="str">
        <f t="shared" si="78"/>
        <v/>
      </c>
      <c r="AM28" s="54" t="str">
        <f t="shared" si="79"/>
        <v/>
      </c>
      <c r="AN28" s="13" t="str">
        <f t="shared" si="80"/>
        <v/>
      </c>
      <c r="AO28" s="14" t="str">
        <f t="shared" si="81"/>
        <v/>
      </c>
      <c r="AP28" s="15"/>
      <c r="AQ28" s="15"/>
      <c r="AR28" s="79" t="str">
        <f>IF(AC28="","",AC28)</f>
        <v/>
      </c>
      <c r="AS28" s="53"/>
      <c r="AT28" s="13" t="str">
        <f t="shared" si="56"/>
        <v/>
      </c>
      <c r="AU28" s="53"/>
      <c r="AV28" s="13" t="str">
        <f t="shared" si="57"/>
        <v/>
      </c>
      <c r="AW28" s="13"/>
      <c r="AX28" s="13" t="str">
        <f t="shared" si="58"/>
        <v/>
      </c>
      <c r="AY28" s="205"/>
      <c r="AZ28" s="56" t="str">
        <f t="shared" si="82"/>
        <v/>
      </c>
      <c r="BA28" s="54" t="str">
        <f t="shared" si="83"/>
        <v/>
      </c>
      <c r="BB28" s="13" t="str">
        <f t="shared" si="84"/>
        <v/>
      </c>
      <c r="BC28" s="14" t="str">
        <f t="shared" si="85"/>
        <v/>
      </c>
      <c r="BD28" s="15"/>
      <c r="BE28" s="2"/>
      <c r="BF28" s="79" t="str">
        <f>IF(DW28="","",DW28)</f>
        <v/>
      </c>
      <c r="BG28" s="239" t="s">
        <v>590</v>
      </c>
      <c r="BH28" s="53"/>
      <c r="BI28" s="13" t="str">
        <f t="shared" si="63"/>
        <v/>
      </c>
      <c r="BJ28" s="53"/>
      <c r="BK28" s="13" t="str">
        <f t="shared" si="64"/>
        <v/>
      </c>
      <c r="BL28" s="13"/>
      <c r="BM28" s="13" t="str">
        <f t="shared" si="65"/>
        <v/>
      </c>
      <c r="BN28" s="205"/>
      <c r="BO28" s="56" t="str">
        <f t="shared" si="86"/>
        <v/>
      </c>
      <c r="BP28" s="54" t="str">
        <f t="shared" si="87"/>
        <v/>
      </c>
      <c r="BQ28" s="13" t="str">
        <f t="shared" si="88"/>
        <v/>
      </c>
      <c r="BR28" s="14" t="str">
        <f t="shared" si="89"/>
        <v/>
      </c>
      <c r="BS28" s="15"/>
      <c r="BU28" s="16"/>
      <c r="BV28" s="13"/>
      <c r="BW28" s="13" t="str">
        <f>IF(BV28="","",BV28-BV26)</f>
        <v/>
      </c>
      <c r="BX28" s="13"/>
      <c r="BY28" s="13" t="str">
        <f>IF(BX28="","",BX28-BX26)</f>
        <v/>
      </c>
      <c r="BZ28" s="13"/>
      <c r="CA28" s="13" t="str">
        <f>IF(BZ28="","",BZ26+CB26-BZ28)</f>
        <v/>
      </c>
      <c r="CB28" s="13"/>
      <c r="CC28" s="13"/>
      <c r="CD28" s="13"/>
      <c r="CE28" s="13" t="str">
        <f t="shared" si="122"/>
        <v/>
      </c>
      <c r="CF28" s="14" t="str">
        <f t="shared" si="123"/>
        <v/>
      </c>
      <c r="CG28" s="15"/>
      <c r="CH28" s="1"/>
      <c r="CI28" s="16"/>
      <c r="CJ28" s="13"/>
      <c r="CK28" s="13" t="str">
        <f>IF(CJ28="","",CJ28-CJ26)</f>
        <v/>
      </c>
      <c r="CL28" s="13"/>
      <c r="CM28" s="13" t="str">
        <f>IF(CL28="","",CL28-CL26)</f>
        <v/>
      </c>
      <c r="CN28" s="13"/>
      <c r="CO28" s="13" t="str">
        <f>IF(CN28="","",CN26+CP26-CN28)</f>
        <v/>
      </c>
      <c r="CP28" s="13"/>
      <c r="CQ28" s="13"/>
      <c r="CR28" s="13"/>
      <c r="CS28" s="13" t="str">
        <f t="shared" si="124"/>
        <v/>
      </c>
      <c r="CT28" s="14" t="str">
        <f t="shared" si="131"/>
        <v/>
      </c>
      <c r="CU28" s="15"/>
      <c r="CV28" s="1"/>
      <c r="CW28" s="16"/>
      <c r="CX28" s="13"/>
      <c r="CY28" s="13" t="str">
        <f>IF(CX28="","",CX28-CX26)</f>
        <v/>
      </c>
      <c r="CZ28" s="13"/>
      <c r="DA28" s="13" t="str">
        <f>IF(CZ28="","",CZ28-CZ26)</f>
        <v/>
      </c>
      <c r="DB28" s="13"/>
      <c r="DC28" s="13" t="str">
        <f>IF(DB28="","",DB26+DD26-DB28)</f>
        <v/>
      </c>
      <c r="DD28" s="13"/>
      <c r="DE28" s="13"/>
      <c r="DF28" s="13"/>
      <c r="DG28" s="13" t="str">
        <f t="shared" si="125"/>
        <v/>
      </c>
      <c r="DH28" s="14" t="str">
        <f t="shared" si="126"/>
        <v/>
      </c>
      <c r="DI28" s="15"/>
      <c r="DJ28" s="1"/>
      <c r="DK28" s="16"/>
      <c r="DL28" s="13"/>
      <c r="DM28" s="13" t="str">
        <f>IF(DL28="","",DL28-DL26)</f>
        <v/>
      </c>
      <c r="DN28" s="13"/>
      <c r="DO28" s="13" t="str">
        <f>IF(DN28="","",DN28-DN26)</f>
        <v/>
      </c>
      <c r="DP28" s="13"/>
      <c r="DQ28" s="13" t="str">
        <f>IF(DP28="","",DP26+DR26-DP28)</f>
        <v/>
      </c>
      <c r="DR28" s="13"/>
      <c r="DS28" s="13"/>
      <c r="DT28" s="13"/>
      <c r="DU28" s="13" t="str">
        <f t="shared" si="127"/>
        <v/>
      </c>
      <c r="DV28" s="14" t="str">
        <f t="shared" si="128"/>
        <v/>
      </c>
      <c r="DW28" s="15"/>
      <c r="DY28" s="16"/>
      <c r="DZ28" s="13"/>
      <c r="EA28" s="13" t="str">
        <f>IF(DZ28="","",DZ28-DZ26)</f>
        <v/>
      </c>
      <c r="EB28" s="13"/>
      <c r="EC28" s="13" t="str">
        <f>IF(EB28="","",EB28-EB26)</f>
        <v/>
      </c>
      <c r="ED28" s="13"/>
      <c r="EE28" s="13" t="str">
        <f>IF(ED28="","",ED26+EF26-ED28)</f>
        <v/>
      </c>
      <c r="EF28" s="13"/>
      <c r="EG28" s="13"/>
      <c r="EH28" s="13"/>
      <c r="EI28" s="13" t="str">
        <f t="shared" si="129"/>
        <v/>
      </c>
      <c r="EJ28" s="14" t="str">
        <f t="shared" si="130"/>
        <v/>
      </c>
      <c r="EK28" s="15"/>
    </row>
    <row r="29" spans="1:141" ht="15" customHeight="1" x14ac:dyDescent="0.2">
      <c r="A29" s="16"/>
      <c r="B29" s="11"/>
      <c r="C29" s="13"/>
      <c r="D29" s="13" t="str">
        <f t="shared" si="35"/>
        <v/>
      </c>
      <c r="E29" s="13"/>
      <c r="F29" s="13" t="str">
        <f t="shared" si="36"/>
        <v/>
      </c>
      <c r="G29" s="13"/>
      <c r="H29" s="13" t="str">
        <f t="shared" si="37"/>
        <v/>
      </c>
      <c r="I29" s="214"/>
      <c r="J29" s="56" t="str">
        <f t="shared" si="118"/>
        <v/>
      </c>
      <c r="K29" s="13" t="str">
        <f t="shared" si="119"/>
        <v/>
      </c>
      <c r="L29" s="13" t="str">
        <f t="shared" si="120"/>
        <v/>
      </c>
      <c r="M29" s="14" t="str">
        <f t="shared" si="121"/>
        <v/>
      </c>
      <c r="N29" s="15"/>
      <c r="O29" s="2"/>
      <c r="P29" s="16"/>
      <c r="Q29" s="13"/>
      <c r="R29" s="13" t="str">
        <f t="shared" si="42"/>
        <v/>
      </c>
      <c r="S29" s="13"/>
      <c r="T29" s="13" t="str">
        <f t="shared" si="43"/>
        <v/>
      </c>
      <c r="U29" s="13"/>
      <c r="V29" s="13" t="str">
        <f t="shared" si="44"/>
        <v/>
      </c>
      <c r="W29" s="214"/>
      <c r="X29" s="56" t="str">
        <f t="shared" si="74"/>
        <v/>
      </c>
      <c r="Y29" s="13" t="str">
        <f t="shared" si="75"/>
        <v/>
      </c>
      <c r="Z29" s="13" t="str">
        <f t="shared" si="76"/>
        <v/>
      </c>
      <c r="AA29" s="14" t="str">
        <f t="shared" si="77"/>
        <v/>
      </c>
      <c r="AB29" s="15"/>
      <c r="AC29" s="15"/>
      <c r="AD29" s="16"/>
      <c r="AE29" s="13"/>
      <c r="AF29" s="13" t="str">
        <f t="shared" si="49"/>
        <v/>
      </c>
      <c r="AG29" s="13"/>
      <c r="AH29" s="13" t="str">
        <f t="shared" si="50"/>
        <v/>
      </c>
      <c r="AI29" s="13"/>
      <c r="AJ29" s="13" t="str">
        <f t="shared" si="51"/>
        <v/>
      </c>
      <c r="AK29" s="214"/>
      <c r="AL29" s="56" t="str">
        <f t="shared" si="78"/>
        <v/>
      </c>
      <c r="AM29" s="13" t="str">
        <f t="shared" si="79"/>
        <v/>
      </c>
      <c r="AN29" s="13" t="str">
        <f t="shared" si="80"/>
        <v/>
      </c>
      <c r="AO29" s="14" t="str">
        <f t="shared" si="81"/>
        <v/>
      </c>
      <c r="AP29" s="15"/>
      <c r="AQ29" s="15"/>
      <c r="AR29" s="16"/>
      <c r="AS29" s="13"/>
      <c r="AT29" s="13" t="str">
        <f t="shared" si="56"/>
        <v/>
      </c>
      <c r="AU29" s="13"/>
      <c r="AV29" s="13" t="str">
        <f t="shared" si="57"/>
        <v/>
      </c>
      <c r="AW29" s="13"/>
      <c r="AX29" s="13" t="str">
        <f t="shared" si="58"/>
        <v/>
      </c>
      <c r="AY29" s="214"/>
      <c r="AZ29" s="56" t="str">
        <f t="shared" si="82"/>
        <v/>
      </c>
      <c r="BA29" s="13" t="str">
        <f t="shared" si="83"/>
        <v/>
      </c>
      <c r="BB29" s="13" t="str">
        <f t="shared" si="84"/>
        <v/>
      </c>
      <c r="BC29" s="14" t="str">
        <f t="shared" si="85"/>
        <v/>
      </c>
      <c r="BD29" s="15"/>
      <c r="BE29" s="2"/>
      <c r="BF29" s="16"/>
      <c r="BG29" s="239" t="s">
        <v>591</v>
      </c>
      <c r="BH29" s="13"/>
      <c r="BI29" s="13" t="str">
        <f t="shared" si="63"/>
        <v/>
      </c>
      <c r="BJ29" s="13"/>
      <c r="BK29" s="13" t="str">
        <f t="shared" si="64"/>
        <v/>
      </c>
      <c r="BL29" s="13"/>
      <c r="BM29" s="13" t="str">
        <f t="shared" si="65"/>
        <v/>
      </c>
      <c r="BN29" s="214"/>
      <c r="BO29" s="56" t="str">
        <f t="shared" si="86"/>
        <v/>
      </c>
      <c r="BP29" s="13" t="str">
        <f t="shared" si="87"/>
        <v/>
      </c>
      <c r="BQ29" s="13" t="str">
        <f t="shared" si="88"/>
        <v/>
      </c>
      <c r="BR29" s="14" t="str">
        <f t="shared" si="89"/>
        <v/>
      </c>
      <c r="BS29" s="15"/>
      <c r="BU29" s="16"/>
      <c r="BV29" s="54"/>
      <c r="BW29" s="13" t="str">
        <f>IF(BV29="","",BV29-BV27)</f>
        <v/>
      </c>
      <c r="BX29" s="13"/>
      <c r="BY29" s="13"/>
      <c r="BZ29" s="13"/>
      <c r="CA29" s="13" t="str">
        <f>IF(BZ29="","",BZ27+CB27-BZ29)</f>
        <v/>
      </c>
      <c r="CB29" s="13"/>
      <c r="CC29" s="13"/>
      <c r="CD29" s="13"/>
      <c r="CE29" s="13" t="str">
        <f t="shared" si="122"/>
        <v/>
      </c>
      <c r="CF29" s="14" t="str">
        <f t="shared" si="123"/>
        <v/>
      </c>
      <c r="CG29" s="15"/>
      <c r="CH29" s="1"/>
      <c r="CI29" s="16"/>
      <c r="CJ29" s="54"/>
      <c r="CK29" s="13" t="str">
        <f>IF(CJ29="","",CJ29-CJ27)</f>
        <v/>
      </c>
      <c r="CL29" s="13"/>
      <c r="CM29" s="13"/>
      <c r="CN29" s="13"/>
      <c r="CO29" s="13" t="str">
        <f>IF(CN29="","",CN27+CP27-CN29)</f>
        <v/>
      </c>
      <c r="CP29" s="13"/>
      <c r="CQ29" s="13"/>
      <c r="CR29" s="13"/>
      <c r="CS29" s="13" t="str">
        <f t="shared" si="124"/>
        <v/>
      </c>
      <c r="CT29" s="14" t="str">
        <f t="shared" si="131"/>
        <v/>
      </c>
      <c r="CU29" s="15"/>
      <c r="CV29" s="1"/>
      <c r="CW29" s="16"/>
      <c r="CX29" s="54"/>
      <c r="CY29" s="13" t="str">
        <f>IF(CX29="","",CX29-CX27)</f>
        <v/>
      </c>
      <c r="CZ29" s="13"/>
      <c r="DA29" s="13"/>
      <c r="DB29" s="13"/>
      <c r="DC29" s="13" t="str">
        <f>IF(DB29="","",DB27+DD27-DB29)</f>
        <v/>
      </c>
      <c r="DD29" s="13"/>
      <c r="DE29" s="13"/>
      <c r="DF29" s="13"/>
      <c r="DG29" s="13" t="str">
        <f t="shared" si="125"/>
        <v/>
      </c>
      <c r="DH29" s="14" t="str">
        <f t="shared" si="126"/>
        <v/>
      </c>
      <c r="DI29" s="15"/>
      <c r="DJ29" s="1"/>
      <c r="DK29" s="16"/>
      <c r="DL29" s="54"/>
      <c r="DM29" s="13" t="str">
        <f>IF(DL29="","",DL29-DL27)</f>
        <v/>
      </c>
      <c r="DN29" s="13"/>
      <c r="DO29" s="13"/>
      <c r="DP29" s="13"/>
      <c r="DQ29" s="13" t="str">
        <f>IF(DP29="","",DP27+DR27-DP29)</f>
        <v/>
      </c>
      <c r="DR29" s="13"/>
      <c r="DS29" s="13"/>
      <c r="DT29" s="13"/>
      <c r="DU29" s="13" t="str">
        <f t="shared" si="127"/>
        <v/>
      </c>
      <c r="DV29" s="14" t="str">
        <f t="shared" si="128"/>
        <v/>
      </c>
      <c r="DW29" s="15"/>
      <c r="DY29" s="16"/>
      <c r="DZ29" s="54"/>
      <c r="EA29" s="13" t="str">
        <f>IF(DZ29="","",DZ29-DZ27)</f>
        <v/>
      </c>
      <c r="EB29" s="13"/>
      <c r="EC29" s="13"/>
      <c r="ED29" s="13"/>
      <c r="EE29" s="13" t="str">
        <f>IF(ED29="","",ED27+EF27-ED29)</f>
        <v/>
      </c>
      <c r="EF29" s="13"/>
      <c r="EG29" s="13"/>
      <c r="EH29" s="13"/>
      <c r="EI29" s="13" t="str">
        <f t="shared" si="129"/>
        <v/>
      </c>
      <c r="EJ29" s="14" t="str">
        <f t="shared" si="130"/>
        <v/>
      </c>
      <c r="EK29" s="15"/>
    </row>
    <row r="30" spans="1:141" ht="15" customHeight="1" thickBot="1" x14ac:dyDescent="0.25">
      <c r="A30" s="26"/>
      <c r="B30" s="46"/>
      <c r="C30" s="27"/>
      <c r="D30" s="27" t="str">
        <f t="shared" si="35"/>
        <v/>
      </c>
      <c r="E30" s="27"/>
      <c r="F30" s="27" t="str">
        <f t="shared" si="36"/>
        <v/>
      </c>
      <c r="G30" s="27"/>
      <c r="H30" s="27" t="str">
        <f t="shared" si="37"/>
        <v/>
      </c>
      <c r="I30" s="217"/>
      <c r="J30" s="57" t="str">
        <f t="shared" si="118"/>
        <v/>
      </c>
      <c r="K30" s="62" t="str">
        <f t="shared" si="119"/>
        <v/>
      </c>
      <c r="L30" s="27" t="str">
        <f t="shared" si="120"/>
        <v/>
      </c>
      <c r="M30" s="28" t="str">
        <f t="shared" si="121"/>
        <v/>
      </c>
      <c r="N30" s="15"/>
      <c r="O30" s="2"/>
      <c r="P30" s="26"/>
      <c r="Q30" s="27"/>
      <c r="R30" s="27" t="str">
        <f t="shared" si="42"/>
        <v/>
      </c>
      <c r="S30" s="27"/>
      <c r="T30" s="27" t="str">
        <f t="shared" si="43"/>
        <v/>
      </c>
      <c r="U30" s="27"/>
      <c r="V30" s="27" t="str">
        <f t="shared" si="44"/>
        <v/>
      </c>
      <c r="W30" s="217"/>
      <c r="X30" s="57" t="str">
        <f t="shared" si="74"/>
        <v/>
      </c>
      <c r="Y30" s="62" t="str">
        <f t="shared" si="75"/>
        <v/>
      </c>
      <c r="Z30" s="27" t="str">
        <f t="shared" si="76"/>
        <v/>
      </c>
      <c r="AA30" s="28" t="str">
        <f t="shared" si="77"/>
        <v/>
      </c>
      <c r="AB30" s="15"/>
      <c r="AC30" s="15"/>
      <c r="AD30" s="26"/>
      <c r="AE30" s="27"/>
      <c r="AF30" s="27" t="str">
        <f t="shared" si="49"/>
        <v/>
      </c>
      <c r="AG30" s="27"/>
      <c r="AH30" s="27" t="str">
        <f t="shared" si="50"/>
        <v/>
      </c>
      <c r="AI30" s="27"/>
      <c r="AJ30" s="27" t="str">
        <f t="shared" si="51"/>
        <v/>
      </c>
      <c r="AK30" s="217"/>
      <c r="AL30" s="57" t="str">
        <f t="shared" si="78"/>
        <v/>
      </c>
      <c r="AM30" s="62" t="str">
        <f t="shared" si="79"/>
        <v/>
      </c>
      <c r="AN30" s="27" t="str">
        <f t="shared" si="80"/>
        <v/>
      </c>
      <c r="AO30" s="28" t="str">
        <f t="shared" si="81"/>
        <v/>
      </c>
      <c r="AP30" s="15"/>
      <c r="AQ30" s="15"/>
      <c r="AR30" s="26"/>
      <c r="AS30" s="27"/>
      <c r="AT30" s="27" t="str">
        <f t="shared" si="56"/>
        <v/>
      </c>
      <c r="AU30" s="27"/>
      <c r="AV30" s="27" t="str">
        <f t="shared" si="57"/>
        <v/>
      </c>
      <c r="AW30" s="27"/>
      <c r="AX30" s="27" t="str">
        <f t="shared" si="58"/>
        <v/>
      </c>
      <c r="AY30" s="217"/>
      <c r="AZ30" s="57" t="str">
        <f t="shared" si="82"/>
        <v/>
      </c>
      <c r="BA30" s="62" t="str">
        <f t="shared" si="83"/>
        <v/>
      </c>
      <c r="BB30" s="27" t="str">
        <f t="shared" si="84"/>
        <v/>
      </c>
      <c r="BC30" s="28" t="str">
        <f t="shared" si="85"/>
        <v/>
      </c>
      <c r="BD30" s="15"/>
      <c r="BE30" s="2"/>
      <c r="BF30" s="26"/>
      <c r="BG30" s="238" t="s">
        <v>592</v>
      </c>
      <c r="BH30" s="27"/>
      <c r="BI30" s="27" t="str">
        <f t="shared" si="63"/>
        <v/>
      </c>
      <c r="BJ30" s="27"/>
      <c r="BK30" s="27" t="str">
        <f t="shared" si="64"/>
        <v/>
      </c>
      <c r="BL30" s="27"/>
      <c r="BM30" s="27" t="str">
        <f t="shared" si="65"/>
        <v/>
      </c>
      <c r="BN30" s="217"/>
      <c r="BO30" s="57" t="str">
        <f t="shared" si="86"/>
        <v/>
      </c>
      <c r="BP30" s="62" t="str">
        <f t="shared" si="87"/>
        <v/>
      </c>
      <c r="BQ30" s="27" t="str">
        <f t="shared" si="88"/>
        <v/>
      </c>
      <c r="BR30" s="28" t="str">
        <f t="shared" si="89"/>
        <v/>
      </c>
      <c r="BS30" s="15"/>
      <c r="BU30" s="16"/>
      <c r="BV30" s="54"/>
      <c r="BW30" s="13" t="str">
        <f t="shared" ref="BW30:BW50" si="132">IF(BV30="","",BV30-BV29)</f>
        <v/>
      </c>
      <c r="BX30" s="13"/>
      <c r="BY30" s="13"/>
      <c r="BZ30" s="13"/>
      <c r="CA30" s="13" t="str">
        <f t="shared" ref="CA30:CA50" si="133">IF(BZ30="","",BZ29+CB29-BZ30)</f>
        <v/>
      </c>
      <c r="CB30" s="13"/>
      <c r="CC30" s="13"/>
      <c r="CD30" s="13"/>
      <c r="CE30" s="13" t="str">
        <f t="shared" si="122"/>
        <v/>
      </c>
      <c r="CF30" s="14" t="str">
        <f t="shared" si="123"/>
        <v/>
      </c>
      <c r="CG30" s="15"/>
      <c r="CH30" s="1"/>
      <c r="CI30" s="16"/>
      <c r="CJ30" s="54"/>
      <c r="CK30" s="13" t="str">
        <f t="shared" ref="CK30:CK50" si="134">IF(CJ30="","",CJ30-CJ29)</f>
        <v/>
      </c>
      <c r="CL30" s="13"/>
      <c r="CM30" s="13"/>
      <c r="CN30" s="13"/>
      <c r="CO30" s="13" t="str">
        <f t="shared" ref="CO30:CO50" si="135">IF(CN30="","",CN29+CP29-CN30)</f>
        <v/>
      </c>
      <c r="CP30" s="13"/>
      <c r="CQ30" s="13"/>
      <c r="CR30" s="13"/>
      <c r="CS30" s="13" t="str">
        <f t="shared" si="124"/>
        <v/>
      </c>
      <c r="CT30" s="14" t="str">
        <f t="shared" si="131"/>
        <v/>
      </c>
      <c r="CU30" s="15"/>
      <c r="CV30" s="1"/>
      <c r="CW30" s="16"/>
      <c r="CX30" s="54"/>
      <c r="CY30" s="13" t="str">
        <f t="shared" ref="CY30:CY50" si="136">IF(CX30="","",CX30-CX29)</f>
        <v/>
      </c>
      <c r="CZ30" s="13"/>
      <c r="DA30" s="13"/>
      <c r="DB30" s="13"/>
      <c r="DC30" s="13" t="str">
        <f t="shared" ref="DC30:DC50" si="137">IF(DB30="","",DB29+DD29-DB30)</f>
        <v/>
      </c>
      <c r="DD30" s="13"/>
      <c r="DE30" s="13"/>
      <c r="DF30" s="13"/>
      <c r="DG30" s="13" t="str">
        <f t="shared" si="125"/>
        <v/>
      </c>
      <c r="DH30" s="14" t="str">
        <f t="shared" si="126"/>
        <v/>
      </c>
      <c r="DI30" s="15"/>
      <c r="DJ30" s="1"/>
      <c r="DK30" s="16"/>
      <c r="DL30" s="54"/>
      <c r="DM30" s="13" t="str">
        <f t="shared" ref="DM30:DM50" si="138">IF(DL30="","",DL30-DL29)</f>
        <v/>
      </c>
      <c r="DN30" s="13"/>
      <c r="DO30" s="13"/>
      <c r="DP30" s="13"/>
      <c r="DQ30" s="13" t="str">
        <f t="shared" ref="DQ30:DQ50" si="139">IF(DP30="","",DP29+DR29-DP30)</f>
        <v/>
      </c>
      <c r="DR30" s="13"/>
      <c r="DS30" s="13"/>
      <c r="DT30" s="13"/>
      <c r="DU30" s="13" t="str">
        <f t="shared" si="127"/>
        <v/>
      </c>
      <c r="DV30" s="14" t="str">
        <f t="shared" si="128"/>
        <v/>
      </c>
      <c r="DW30" s="15"/>
      <c r="DY30" s="16"/>
      <c r="DZ30" s="54"/>
      <c r="EA30" s="13" t="str">
        <f t="shared" ref="EA30:EA50" si="140">IF(DZ30="","",DZ30-DZ29)</f>
        <v/>
      </c>
      <c r="EB30" s="13"/>
      <c r="EC30" s="13"/>
      <c r="ED30" s="13"/>
      <c r="EE30" s="13" t="str">
        <f t="shared" ref="EE30:EE50" si="141">IF(ED30="","",ED29+EF29-ED30)</f>
        <v/>
      </c>
      <c r="EF30" s="13"/>
      <c r="EG30" s="13"/>
      <c r="EH30" s="13"/>
      <c r="EI30" s="13" t="str">
        <f t="shared" si="129"/>
        <v/>
      </c>
      <c r="EJ30" s="14" t="str">
        <f t="shared" si="130"/>
        <v/>
      </c>
      <c r="EK30" s="15"/>
    </row>
    <row r="31" spans="1:141" ht="15" customHeight="1" thickTop="1" x14ac:dyDescent="0.2">
      <c r="A31" s="79"/>
      <c r="B31" s="74" t="str">
        <f>IF(A31="","",SUM(D31:D34)+SUM(R31:R34)+SUM(BI31:BI34)+SUM(AF31:AF34)+SUM(AT31:AT34)+SUM(BW10,CK10,CY10,DM10,EA10))</f>
        <v/>
      </c>
      <c r="C31" s="13"/>
      <c r="D31" s="53" t="str">
        <f t="shared" si="35"/>
        <v/>
      </c>
      <c r="E31" s="13"/>
      <c r="F31" s="31" t="str">
        <f t="shared" si="36"/>
        <v/>
      </c>
      <c r="G31" s="13"/>
      <c r="H31" s="53" t="str">
        <f t="shared" si="37"/>
        <v/>
      </c>
      <c r="I31" s="17"/>
      <c r="J31" s="75" t="str">
        <f t="shared" si="70"/>
        <v/>
      </c>
      <c r="K31" s="76" t="str">
        <f t="shared" si="71"/>
        <v/>
      </c>
      <c r="L31" s="31" t="str">
        <f t="shared" si="72"/>
        <v/>
      </c>
      <c r="M31" s="32" t="str">
        <f t="shared" si="73"/>
        <v/>
      </c>
      <c r="N31" s="15"/>
      <c r="O31" s="2"/>
      <c r="P31" s="79" t="str">
        <f>IF($A31="","",$A31)</f>
        <v/>
      </c>
      <c r="Q31" s="13"/>
      <c r="R31" s="53" t="str">
        <f t="shared" si="42"/>
        <v/>
      </c>
      <c r="S31" s="13"/>
      <c r="T31" s="31" t="str">
        <f t="shared" si="43"/>
        <v/>
      </c>
      <c r="U31" s="13"/>
      <c r="V31" s="53" t="str">
        <f t="shared" si="44"/>
        <v/>
      </c>
      <c r="W31" s="17"/>
      <c r="X31" s="75" t="str">
        <f t="shared" si="74"/>
        <v/>
      </c>
      <c r="Y31" s="76" t="str">
        <f t="shared" si="75"/>
        <v/>
      </c>
      <c r="Z31" s="31" t="str">
        <f t="shared" si="76"/>
        <v/>
      </c>
      <c r="AA31" s="32" t="str">
        <f t="shared" si="77"/>
        <v/>
      </c>
      <c r="AB31" s="15"/>
      <c r="AC31" s="15"/>
      <c r="AD31" s="79" t="str">
        <f>IF($A31="","",$A31)</f>
        <v/>
      </c>
      <c r="AE31" s="13"/>
      <c r="AF31" s="53" t="str">
        <f t="shared" si="49"/>
        <v/>
      </c>
      <c r="AG31" s="13"/>
      <c r="AH31" s="31" t="str">
        <f t="shared" si="50"/>
        <v/>
      </c>
      <c r="AI31" s="13"/>
      <c r="AJ31" s="53" t="str">
        <f t="shared" si="51"/>
        <v/>
      </c>
      <c r="AK31" s="17"/>
      <c r="AL31" s="75" t="str">
        <f t="shared" si="78"/>
        <v/>
      </c>
      <c r="AM31" s="76" t="str">
        <f t="shared" si="79"/>
        <v/>
      </c>
      <c r="AN31" s="31" t="str">
        <f t="shared" si="80"/>
        <v/>
      </c>
      <c r="AO31" s="32" t="str">
        <f t="shared" si="81"/>
        <v/>
      </c>
      <c r="AP31" s="15"/>
      <c r="AQ31" s="15"/>
      <c r="AR31" s="79" t="str">
        <f>IF($A31="","",$A31)</f>
        <v/>
      </c>
      <c r="AS31" s="13"/>
      <c r="AT31" s="53" t="str">
        <f t="shared" si="56"/>
        <v/>
      </c>
      <c r="AU31" s="13"/>
      <c r="AV31" s="31" t="str">
        <f t="shared" si="57"/>
        <v/>
      </c>
      <c r="AW31" s="13"/>
      <c r="AX31" s="53" t="str">
        <f t="shared" si="58"/>
        <v/>
      </c>
      <c r="AY31" s="17"/>
      <c r="AZ31" s="75" t="str">
        <f t="shared" si="82"/>
        <v/>
      </c>
      <c r="BA31" s="76" t="str">
        <f t="shared" si="83"/>
        <v/>
      </c>
      <c r="BB31" s="31" t="str">
        <f t="shared" si="84"/>
        <v/>
      </c>
      <c r="BC31" s="32" t="str">
        <f t="shared" si="85"/>
        <v/>
      </c>
      <c r="BD31" s="15"/>
      <c r="BE31" s="2"/>
      <c r="BF31" s="79" t="str">
        <f>IF($A31="","",$A31)</f>
        <v/>
      </c>
      <c r="BG31" s="240" t="s">
        <v>589</v>
      </c>
      <c r="BH31" s="13"/>
      <c r="BI31" s="53" t="str">
        <f t="shared" si="63"/>
        <v/>
      </c>
      <c r="BJ31" s="13"/>
      <c r="BK31" s="31" t="str">
        <f t="shared" si="64"/>
        <v/>
      </c>
      <c r="BL31" s="13"/>
      <c r="BM31" s="53" t="str">
        <f t="shared" si="65"/>
        <v/>
      </c>
      <c r="BN31" s="17"/>
      <c r="BO31" s="75" t="str">
        <f t="shared" si="86"/>
        <v/>
      </c>
      <c r="BP31" s="76" t="str">
        <f t="shared" si="87"/>
        <v/>
      </c>
      <c r="BQ31" s="31" t="str">
        <f t="shared" si="88"/>
        <v/>
      </c>
      <c r="BR31" s="32" t="str">
        <f t="shared" si="89"/>
        <v/>
      </c>
      <c r="BS31" s="15"/>
      <c r="BU31" s="16"/>
      <c r="BV31" s="54"/>
      <c r="BW31" s="13" t="str">
        <f t="shared" si="132"/>
        <v/>
      </c>
      <c r="BX31" s="13"/>
      <c r="BY31" s="13"/>
      <c r="BZ31" s="13"/>
      <c r="CA31" s="13" t="str">
        <f t="shared" si="133"/>
        <v/>
      </c>
      <c r="CB31" s="13"/>
      <c r="CC31" s="13"/>
      <c r="CD31" s="13"/>
      <c r="CE31" s="13" t="str">
        <f t="shared" si="122"/>
        <v/>
      </c>
      <c r="CF31" s="14" t="str">
        <f t="shared" si="123"/>
        <v/>
      </c>
      <c r="CG31" s="15"/>
      <c r="CH31" s="1"/>
      <c r="CI31" s="16"/>
      <c r="CJ31" s="54"/>
      <c r="CK31" s="13" t="str">
        <f t="shared" si="134"/>
        <v/>
      </c>
      <c r="CL31" s="13"/>
      <c r="CM31" s="13"/>
      <c r="CN31" s="13"/>
      <c r="CO31" s="13" t="str">
        <f t="shared" si="135"/>
        <v/>
      </c>
      <c r="CP31" s="13"/>
      <c r="CQ31" s="13"/>
      <c r="CR31" s="13"/>
      <c r="CS31" s="13" t="str">
        <f t="shared" si="124"/>
        <v/>
      </c>
      <c r="CT31" s="14" t="str">
        <f t="shared" si="131"/>
        <v/>
      </c>
      <c r="CU31" s="15"/>
      <c r="CV31" s="1"/>
      <c r="CW31" s="16"/>
      <c r="CX31" s="54"/>
      <c r="CY31" s="13" t="str">
        <f t="shared" si="136"/>
        <v/>
      </c>
      <c r="CZ31" s="13"/>
      <c r="DA31" s="13"/>
      <c r="DB31" s="13"/>
      <c r="DC31" s="13" t="str">
        <f t="shared" si="137"/>
        <v/>
      </c>
      <c r="DD31" s="13"/>
      <c r="DE31" s="13"/>
      <c r="DF31" s="13"/>
      <c r="DG31" s="13" t="str">
        <f t="shared" si="125"/>
        <v/>
      </c>
      <c r="DH31" s="14" t="str">
        <f t="shared" si="126"/>
        <v/>
      </c>
      <c r="DI31" s="15"/>
      <c r="DJ31" s="1"/>
      <c r="DK31" s="16"/>
      <c r="DL31" s="54"/>
      <c r="DM31" s="13" t="str">
        <f t="shared" si="138"/>
        <v/>
      </c>
      <c r="DN31" s="13"/>
      <c r="DO31" s="13"/>
      <c r="DP31" s="13"/>
      <c r="DQ31" s="13" t="str">
        <f t="shared" si="139"/>
        <v/>
      </c>
      <c r="DR31" s="13"/>
      <c r="DS31" s="13"/>
      <c r="DT31" s="13"/>
      <c r="DU31" s="13" t="str">
        <f t="shared" si="127"/>
        <v/>
      </c>
      <c r="DV31" s="14" t="str">
        <f t="shared" si="128"/>
        <v/>
      </c>
      <c r="DW31" s="15"/>
      <c r="DY31" s="16"/>
      <c r="DZ31" s="54"/>
      <c r="EA31" s="13" t="str">
        <f t="shared" si="140"/>
        <v/>
      </c>
      <c r="EB31" s="13"/>
      <c r="EC31" s="13"/>
      <c r="ED31" s="13"/>
      <c r="EE31" s="13" t="str">
        <f t="shared" si="141"/>
        <v/>
      </c>
      <c r="EF31" s="13"/>
      <c r="EG31" s="13"/>
      <c r="EH31" s="13"/>
      <c r="EI31" s="13" t="str">
        <f t="shared" si="129"/>
        <v/>
      </c>
      <c r="EJ31" s="14" t="str">
        <f t="shared" si="130"/>
        <v/>
      </c>
      <c r="EK31" s="15"/>
    </row>
    <row r="32" spans="1:141" ht="15" customHeight="1" x14ac:dyDescent="0.2">
      <c r="A32" s="121"/>
      <c r="B32" s="74"/>
      <c r="C32" s="53"/>
      <c r="D32" s="13" t="str">
        <f t="shared" si="35"/>
        <v/>
      </c>
      <c r="E32" s="53"/>
      <c r="F32" s="13" t="str">
        <f t="shared" si="36"/>
        <v/>
      </c>
      <c r="G32" s="13"/>
      <c r="H32" s="13" t="str">
        <f t="shared" si="37"/>
        <v/>
      </c>
      <c r="I32" s="17"/>
      <c r="J32" s="56" t="str">
        <f t="shared" si="70"/>
        <v/>
      </c>
      <c r="K32" s="54" t="str">
        <f t="shared" si="71"/>
        <v/>
      </c>
      <c r="L32" s="13" t="str">
        <f t="shared" si="72"/>
        <v/>
      </c>
      <c r="M32" s="14" t="str">
        <f t="shared" si="73"/>
        <v/>
      </c>
      <c r="N32" s="15"/>
      <c r="O32" s="2"/>
      <c r="P32" s="16"/>
      <c r="Q32" s="53"/>
      <c r="R32" s="13" t="str">
        <f t="shared" si="42"/>
        <v/>
      </c>
      <c r="S32" s="53"/>
      <c r="T32" s="13" t="str">
        <f t="shared" si="43"/>
        <v/>
      </c>
      <c r="U32" s="13"/>
      <c r="V32" s="13" t="str">
        <f t="shared" si="44"/>
        <v/>
      </c>
      <c r="W32" s="17"/>
      <c r="X32" s="56" t="str">
        <f t="shared" si="74"/>
        <v/>
      </c>
      <c r="Y32" s="54" t="str">
        <f t="shared" si="75"/>
        <v/>
      </c>
      <c r="Z32" s="13" t="str">
        <f t="shared" si="76"/>
        <v/>
      </c>
      <c r="AA32" s="14" t="str">
        <f t="shared" si="77"/>
        <v/>
      </c>
      <c r="AB32" s="15"/>
      <c r="AC32" s="15"/>
      <c r="AD32" s="16"/>
      <c r="AE32" s="53"/>
      <c r="AF32" s="13" t="str">
        <f t="shared" si="49"/>
        <v/>
      </c>
      <c r="AG32" s="53"/>
      <c r="AH32" s="13" t="str">
        <f t="shared" si="50"/>
        <v/>
      </c>
      <c r="AI32" s="13"/>
      <c r="AJ32" s="13" t="str">
        <f t="shared" si="51"/>
        <v/>
      </c>
      <c r="AK32" s="17"/>
      <c r="AL32" s="56" t="str">
        <f t="shared" si="78"/>
        <v/>
      </c>
      <c r="AM32" s="54" t="str">
        <f t="shared" si="79"/>
        <v/>
      </c>
      <c r="AN32" s="13" t="str">
        <f t="shared" si="80"/>
        <v/>
      </c>
      <c r="AO32" s="14" t="str">
        <f t="shared" si="81"/>
        <v/>
      </c>
      <c r="AP32" s="15"/>
      <c r="AQ32" s="15"/>
      <c r="AR32" s="16"/>
      <c r="AS32" s="53"/>
      <c r="AT32" s="13" t="str">
        <f t="shared" si="56"/>
        <v/>
      </c>
      <c r="AU32" s="53"/>
      <c r="AV32" s="13" t="str">
        <f t="shared" si="57"/>
        <v/>
      </c>
      <c r="AW32" s="13"/>
      <c r="AX32" s="13" t="str">
        <f t="shared" si="58"/>
        <v/>
      </c>
      <c r="AY32" s="17"/>
      <c r="AZ32" s="56" t="str">
        <f t="shared" si="82"/>
        <v/>
      </c>
      <c r="BA32" s="54" t="str">
        <f t="shared" si="83"/>
        <v/>
      </c>
      <c r="BB32" s="13" t="str">
        <f t="shared" si="84"/>
        <v/>
      </c>
      <c r="BC32" s="14" t="str">
        <f t="shared" si="85"/>
        <v/>
      </c>
      <c r="BD32" s="15"/>
      <c r="BE32" s="2"/>
      <c r="BF32" s="16"/>
      <c r="BG32" s="7" t="s">
        <v>590</v>
      </c>
      <c r="BH32" s="53"/>
      <c r="BI32" s="13" t="str">
        <f t="shared" si="63"/>
        <v/>
      </c>
      <c r="BJ32" s="53"/>
      <c r="BK32" s="13" t="str">
        <f t="shared" si="64"/>
        <v/>
      </c>
      <c r="BL32" s="13"/>
      <c r="BM32" s="13" t="str">
        <f t="shared" si="65"/>
        <v/>
      </c>
      <c r="BN32" s="17"/>
      <c r="BO32" s="56" t="str">
        <f t="shared" si="86"/>
        <v/>
      </c>
      <c r="BP32" s="54" t="str">
        <f t="shared" si="87"/>
        <v/>
      </c>
      <c r="BQ32" s="13" t="str">
        <f t="shared" si="88"/>
        <v/>
      </c>
      <c r="BR32" s="14" t="str">
        <f t="shared" si="89"/>
        <v/>
      </c>
      <c r="BS32" s="15"/>
      <c r="BU32" s="16"/>
      <c r="BV32" s="54"/>
      <c r="BW32" s="13" t="str">
        <f t="shared" si="132"/>
        <v/>
      </c>
      <c r="BX32" s="13"/>
      <c r="BY32" s="13"/>
      <c r="BZ32" s="13"/>
      <c r="CA32" s="13" t="str">
        <f t="shared" si="133"/>
        <v/>
      </c>
      <c r="CB32" s="13"/>
      <c r="CC32" s="13"/>
      <c r="CD32" s="13"/>
      <c r="CE32" s="13" t="str">
        <f t="shared" si="122"/>
        <v/>
      </c>
      <c r="CF32" s="14" t="str">
        <f t="shared" si="123"/>
        <v/>
      </c>
      <c r="CG32" s="15"/>
      <c r="CH32" s="1"/>
      <c r="CI32" s="16"/>
      <c r="CJ32" s="54"/>
      <c r="CK32" s="13" t="str">
        <f t="shared" si="134"/>
        <v/>
      </c>
      <c r="CL32" s="13"/>
      <c r="CM32" s="13"/>
      <c r="CN32" s="13"/>
      <c r="CO32" s="13" t="str">
        <f t="shared" si="135"/>
        <v/>
      </c>
      <c r="CP32" s="13"/>
      <c r="CQ32" s="13"/>
      <c r="CR32" s="13"/>
      <c r="CS32" s="13" t="str">
        <f t="shared" si="124"/>
        <v/>
      </c>
      <c r="CT32" s="14" t="str">
        <f t="shared" si="131"/>
        <v/>
      </c>
      <c r="CU32" s="15"/>
      <c r="CV32" s="1"/>
      <c r="CW32" s="16"/>
      <c r="CX32" s="54"/>
      <c r="CY32" s="13" t="str">
        <f t="shared" si="136"/>
        <v/>
      </c>
      <c r="CZ32" s="13"/>
      <c r="DA32" s="13"/>
      <c r="DB32" s="13"/>
      <c r="DC32" s="13" t="str">
        <f t="shared" si="137"/>
        <v/>
      </c>
      <c r="DD32" s="13"/>
      <c r="DE32" s="13"/>
      <c r="DF32" s="13"/>
      <c r="DG32" s="13" t="str">
        <f t="shared" si="125"/>
        <v/>
      </c>
      <c r="DH32" s="14" t="str">
        <f t="shared" si="126"/>
        <v/>
      </c>
      <c r="DI32" s="15"/>
      <c r="DJ32" s="1"/>
      <c r="DK32" s="16"/>
      <c r="DL32" s="54"/>
      <c r="DM32" s="13" t="str">
        <f t="shared" si="138"/>
        <v/>
      </c>
      <c r="DN32" s="13"/>
      <c r="DO32" s="13"/>
      <c r="DP32" s="13"/>
      <c r="DQ32" s="13" t="str">
        <f t="shared" si="139"/>
        <v/>
      </c>
      <c r="DR32" s="13"/>
      <c r="DS32" s="13"/>
      <c r="DT32" s="13"/>
      <c r="DU32" s="13" t="str">
        <f t="shared" si="127"/>
        <v/>
      </c>
      <c r="DV32" s="14" t="str">
        <f t="shared" si="128"/>
        <v/>
      </c>
      <c r="DW32" s="15"/>
      <c r="DY32" s="16"/>
      <c r="DZ32" s="54"/>
      <c r="EA32" s="13" t="str">
        <f t="shared" si="140"/>
        <v/>
      </c>
      <c r="EB32" s="13"/>
      <c r="EC32" s="13"/>
      <c r="ED32" s="13"/>
      <c r="EE32" s="13" t="str">
        <f t="shared" si="141"/>
        <v/>
      </c>
      <c r="EF32" s="13"/>
      <c r="EG32" s="13"/>
      <c r="EH32" s="13"/>
      <c r="EI32" s="13" t="str">
        <f t="shared" si="129"/>
        <v/>
      </c>
      <c r="EJ32" s="14" t="str">
        <f t="shared" si="130"/>
        <v/>
      </c>
      <c r="EK32" s="15"/>
    </row>
    <row r="33" spans="1:141" ht="15" customHeight="1" x14ac:dyDescent="0.2">
      <c r="A33" s="16"/>
      <c r="B33" s="11"/>
      <c r="C33" s="13"/>
      <c r="D33" s="13" t="str">
        <f t="shared" si="35"/>
        <v/>
      </c>
      <c r="E33" s="13"/>
      <c r="F33" s="13" t="str">
        <f t="shared" si="36"/>
        <v/>
      </c>
      <c r="G33" s="13"/>
      <c r="H33" s="13" t="str">
        <f t="shared" si="37"/>
        <v/>
      </c>
      <c r="I33" s="17"/>
      <c r="J33" s="56" t="str">
        <f t="shared" si="70"/>
        <v/>
      </c>
      <c r="K33" s="13" t="str">
        <f t="shared" si="71"/>
        <v/>
      </c>
      <c r="L33" s="13" t="str">
        <f t="shared" si="72"/>
        <v/>
      </c>
      <c r="M33" s="14" t="str">
        <f t="shared" si="73"/>
        <v/>
      </c>
      <c r="N33" s="15"/>
      <c r="O33" s="2"/>
      <c r="P33" s="16"/>
      <c r="Q33" s="13"/>
      <c r="R33" s="13" t="str">
        <f t="shared" si="42"/>
        <v/>
      </c>
      <c r="S33" s="13"/>
      <c r="T33" s="13" t="str">
        <f t="shared" si="43"/>
        <v/>
      </c>
      <c r="U33" s="13"/>
      <c r="V33" s="13" t="str">
        <f t="shared" si="44"/>
        <v/>
      </c>
      <c r="W33" s="17"/>
      <c r="X33" s="56" t="str">
        <f t="shared" si="74"/>
        <v/>
      </c>
      <c r="Y33" s="13" t="str">
        <f t="shared" si="75"/>
        <v/>
      </c>
      <c r="Z33" s="13" t="str">
        <f t="shared" si="76"/>
        <v/>
      </c>
      <c r="AA33" s="14" t="str">
        <f t="shared" si="77"/>
        <v/>
      </c>
      <c r="AB33" s="15"/>
      <c r="AC33" s="15"/>
      <c r="AD33" s="16"/>
      <c r="AE33" s="13"/>
      <c r="AF33" s="13" t="str">
        <f t="shared" si="49"/>
        <v/>
      </c>
      <c r="AG33" s="13"/>
      <c r="AH33" s="13" t="str">
        <f t="shared" si="50"/>
        <v/>
      </c>
      <c r="AI33" s="13"/>
      <c r="AJ33" s="13" t="str">
        <f t="shared" si="51"/>
        <v/>
      </c>
      <c r="AK33" s="17"/>
      <c r="AL33" s="56" t="str">
        <f t="shared" si="78"/>
        <v/>
      </c>
      <c r="AM33" s="13" t="str">
        <f t="shared" si="79"/>
        <v/>
      </c>
      <c r="AN33" s="13" t="str">
        <f t="shared" si="80"/>
        <v/>
      </c>
      <c r="AO33" s="14" t="str">
        <f t="shared" si="81"/>
        <v/>
      </c>
      <c r="AP33" s="15"/>
      <c r="AQ33" s="15"/>
      <c r="AR33" s="16"/>
      <c r="AS33" s="13"/>
      <c r="AT33" s="13" t="str">
        <f t="shared" si="56"/>
        <v/>
      </c>
      <c r="AU33" s="13"/>
      <c r="AV33" s="13" t="str">
        <f t="shared" si="57"/>
        <v/>
      </c>
      <c r="AW33" s="13"/>
      <c r="AX33" s="13" t="str">
        <f t="shared" si="58"/>
        <v/>
      </c>
      <c r="AY33" s="17"/>
      <c r="AZ33" s="56" t="str">
        <f t="shared" si="82"/>
        <v/>
      </c>
      <c r="BA33" s="13" t="str">
        <f t="shared" si="83"/>
        <v/>
      </c>
      <c r="BB33" s="13" t="str">
        <f t="shared" si="84"/>
        <v/>
      </c>
      <c r="BC33" s="14" t="str">
        <f t="shared" si="85"/>
        <v/>
      </c>
      <c r="BD33" s="15"/>
      <c r="BE33" s="2"/>
      <c r="BF33" s="16"/>
      <c r="BG33" s="7" t="s">
        <v>591</v>
      </c>
      <c r="BH33" s="13"/>
      <c r="BI33" s="13" t="str">
        <f t="shared" si="63"/>
        <v/>
      </c>
      <c r="BJ33" s="13"/>
      <c r="BK33" s="13" t="str">
        <f t="shared" si="64"/>
        <v/>
      </c>
      <c r="BL33" s="13"/>
      <c r="BM33" s="13" t="str">
        <f t="shared" si="65"/>
        <v/>
      </c>
      <c r="BN33" s="17"/>
      <c r="BO33" s="56" t="str">
        <f t="shared" si="86"/>
        <v/>
      </c>
      <c r="BP33" s="13" t="str">
        <f t="shared" si="87"/>
        <v/>
      </c>
      <c r="BQ33" s="13" t="str">
        <f t="shared" si="88"/>
        <v/>
      </c>
      <c r="BR33" s="14" t="str">
        <f t="shared" si="89"/>
        <v/>
      </c>
      <c r="BS33" s="15"/>
      <c r="BU33" s="16"/>
      <c r="BV33" s="54"/>
      <c r="BW33" s="13" t="str">
        <f t="shared" si="132"/>
        <v/>
      </c>
      <c r="BX33" s="13"/>
      <c r="BY33" s="13"/>
      <c r="BZ33" s="13"/>
      <c r="CA33" s="13" t="str">
        <f t="shared" si="133"/>
        <v/>
      </c>
      <c r="CB33" s="13"/>
      <c r="CC33" s="13"/>
      <c r="CD33" s="13"/>
      <c r="CE33" s="13" t="str">
        <f t="shared" si="122"/>
        <v/>
      </c>
      <c r="CF33" s="14" t="str">
        <f t="shared" si="123"/>
        <v/>
      </c>
      <c r="CG33" s="15"/>
      <c r="CH33" s="1"/>
      <c r="CI33" s="16"/>
      <c r="CJ33" s="54"/>
      <c r="CK33" s="13" t="str">
        <f t="shared" si="134"/>
        <v/>
      </c>
      <c r="CL33" s="13"/>
      <c r="CM33" s="13"/>
      <c r="CN33" s="13"/>
      <c r="CO33" s="13" t="str">
        <f t="shared" si="135"/>
        <v/>
      </c>
      <c r="CP33" s="13"/>
      <c r="CQ33" s="13"/>
      <c r="CR33" s="13"/>
      <c r="CS33" s="13" t="str">
        <f t="shared" si="124"/>
        <v/>
      </c>
      <c r="CT33" s="14" t="str">
        <f t="shared" si="131"/>
        <v/>
      </c>
      <c r="CU33" s="15"/>
      <c r="CV33" s="1"/>
      <c r="CW33" s="16"/>
      <c r="CX33" s="54"/>
      <c r="CY33" s="13" t="str">
        <f t="shared" si="136"/>
        <v/>
      </c>
      <c r="CZ33" s="13"/>
      <c r="DA33" s="13"/>
      <c r="DB33" s="13"/>
      <c r="DC33" s="13" t="str">
        <f t="shared" si="137"/>
        <v/>
      </c>
      <c r="DD33" s="13"/>
      <c r="DE33" s="13"/>
      <c r="DF33" s="13"/>
      <c r="DG33" s="13" t="str">
        <f t="shared" si="125"/>
        <v/>
      </c>
      <c r="DH33" s="14" t="str">
        <f t="shared" si="126"/>
        <v/>
      </c>
      <c r="DI33" s="15"/>
      <c r="DJ33" s="1"/>
      <c r="DK33" s="16"/>
      <c r="DL33" s="54"/>
      <c r="DM33" s="13" t="str">
        <f t="shared" si="138"/>
        <v/>
      </c>
      <c r="DN33" s="13"/>
      <c r="DO33" s="13"/>
      <c r="DP33" s="13"/>
      <c r="DQ33" s="13" t="str">
        <f t="shared" si="139"/>
        <v/>
      </c>
      <c r="DR33" s="13"/>
      <c r="DS33" s="13"/>
      <c r="DT33" s="13"/>
      <c r="DU33" s="13" t="str">
        <f t="shared" si="127"/>
        <v/>
      </c>
      <c r="DV33" s="14" t="str">
        <f t="shared" si="128"/>
        <v/>
      </c>
      <c r="DW33" s="15"/>
      <c r="DY33" s="16"/>
      <c r="DZ33" s="54"/>
      <c r="EA33" s="13" t="str">
        <f t="shared" si="140"/>
        <v/>
      </c>
      <c r="EB33" s="13"/>
      <c r="EC33" s="13"/>
      <c r="ED33" s="13"/>
      <c r="EE33" s="13" t="str">
        <f t="shared" si="141"/>
        <v/>
      </c>
      <c r="EF33" s="13"/>
      <c r="EG33" s="13"/>
      <c r="EH33" s="13"/>
      <c r="EI33" s="13" t="str">
        <f t="shared" si="129"/>
        <v/>
      </c>
      <c r="EJ33" s="14" t="str">
        <f t="shared" si="130"/>
        <v/>
      </c>
      <c r="EK33" s="15"/>
    </row>
    <row r="34" spans="1:141" ht="15" customHeight="1" thickBot="1" x14ac:dyDescent="0.25">
      <c r="A34" s="26"/>
      <c r="B34" s="46"/>
      <c r="C34" s="27"/>
      <c r="D34" s="27" t="str">
        <f t="shared" si="35"/>
        <v/>
      </c>
      <c r="E34" s="27"/>
      <c r="F34" s="27" t="str">
        <f t="shared" si="36"/>
        <v/>
      </c>
      <c r="G34" s="27"/>
      <c r="H34" s="27" t="str">
        <f t="shared" si="37"/>
        <v/>
      </c>
      <c r="I34" s="47"/>
      <c r="J34" s="57" t="str">
        <f t="shared" si="70"/>
        <v/>
      </c>
      <c r="K34" s="62" t="str">
        <f t="shared" si="71"/>
        <v/>
      </c>
      <c r="L34" s="27" t="str">
        <f t="shared" si="72"/>
        <v/>
      </c>
      <c r="M34" s="28" t="str">
        <f t="shared" si="73"/>
        <v/>
      </c>
      <c r="N34" s="15"/>
      <c r="O34" s="2"/>
      <c r="P34" s="26"/>
      <c r="Q34" s="27"/>
      <c r="R34" s="27" t="str">
        <f t="shared" si="42"/>
        <v/>
      </c>
      <c r="S34" s="27"/>
      <c r="T34" s="27" t="str">
        <f t="shared" si="43"/>
        <v/>
      </c>
      <c r="U34" s="27"/>
      <c r="V34" s="27" t="str">
        <f t="shared" si="44"/>
        <v/>
      </c>
      <c r="W34" s="47"/>
      <c r="X34" s="57" t="str">
        <f t="shared" si="74"/>
        <v/>
      </c>
      <c r="Y34" s="62" t="str">
        <f t="shared" si="75"/>
        <v/>
      </c>
      <c r="Z34" s="27" t="str">
        <f t="shared" si="76"/>
        <v/>
      </c>
      <c r="AA34" s="28" t="str">
        <f t="shared" si="77"/>
        <v/>
      </c>
      <c r="AB34" s="15"/>
      <c r="AC34" s="15"/>
      <c r="AD34" s="26"/>
      <c r="AE34" s="27"/>
      <c r="AF34" s="27" t="str">
        <f t="shared" si="49"/>
        <v/>
      </c>
      <c r="AG34" s="27"/>
      <c r="AH34" s="27" t="str">
        <f t="shared" si="50"/>
        <v/>
      </c>
      <c r="AI34" s="27"/>
      <c r="AJ34" s="27" t="str">
        <f t="shared" si="51"/>
        <v/>
      </c>
      <c r="AK34" s="47"/>
      <c r="AL34" s="57" t="str">
        <f t="shared" si="78"/>
        <v/>
      </c>
      <c r="AM34" s="62" t="str">
        <f t="shared" si="79"/>
        <v/>
      </c>
      <c r="AN34" s="27" t="str">
        <f t="shared" si="80"/>
        <v/>
      </c>
      <c r="AO34" s="28" t="str">
        <f t="shared" si="81"/>
        <v/>
      </c>
      <c r="AP34" s="15"/>
      <c r="AQ34" s="15"/>
      <c r="AR34" s="26"/>
      <c r="AS34" s="27"/>
      <c r="AT34" s="27" t="str">
        <f t="shared" si="56"/>
        <v/>
      </c>
      <c r="AU34" s="27"/>
      <c r="AV34" s="27" t="str">
        <f t="shared" si="57"/>
        <v/>
      </c>
      <c r="AW34" s="27"/>
      <c r="AX34" s="27" t="str">
        <f t="shared" si="58"/>
        <v/>
      </c>
      <c r="AY34" s="47"/>
      <c r="AZ34" s="57" t="str">
        <f t="shared" si="82"/>
        <v/>
      </c>
      <c r="BA34" s="62" t="str">
        <f t="shared" si="83"/>
        <v/>
      </c>
      <c r="BB34" s="27" t="str">
        <f t="shared" si="84"/>
        <v/>
      </c>
      <c r="BC34" s="28" t="str">
        <f t="shared" si="85"/>
        <v/>
      </c>
      <c r="BD34" s="15"/>
      <c r="BE34" s="2"/>
      <c r="BF34" s="26"/>
      <c r="BG34" s="241" t="s">
        <v>592</v>
      </c>
      <c r="BH34" s="27"/>
      <c r="BI34" s="27" t="str">
        <f t="shared" si="63"/>
        <v/>
      </c>
      <c r="BJ34" s="27"/>
      <c r="BK34" s="27" t="str">
        <f t="shared" si="64"/>
        <v/>
      </c>
      <c r="BL34" s="27"/>
      <c r="BM34" s="27" t="str">
        <f t="shared" si="65"/>
        <v/>
      </c>
      <c r="BN34" s="47"/>
      <c r="BO34" s="57" t="str">
        <f t="shared" si="86"/>
        <v/>
      </c>
      <c r="BP34" s="62" t="str">
        <f t="shared" si="87"/>
        <v/>
      </c>
      <c r="BQ34" s="27" t="str">
        <f t="shared" si="88"/>
        <v/>
      </c>
      <c r="BR34" s="28" t="str">
        <f t="shared" si="89"/>
        <v/>
      </c>
      <c r="BS34" s="15"/>
      <c r="BU34" s="16"/>
      <c r="BV34" s="54"/>
      <c r="BW34" s="13" t="str">
        <f t="shared" si="132"/>
        <v/>
      </c>
      <c r="BX34" s="13"/>
      <c r="BY34" s="13"/>
      <c r="BZ34" s="13"/>
      <c r="CA34" s="13" t="str">
        <f t="shared" si="133"/>
        <v/>
      </c>
      <c r="CB34" s="13"/>
      <c r="CC34" s="13"/>
      <c r="CD34" s="13"/>
      <c r="CE34" s="13" t="str">
        <f t="shared" si="122"/>
        <v/>
      </c>
      <c r="CF34" s="14" t="str">
        <f t="shared" si="123"/>
        <v/>
      </c>
      <c r="CG34" s="15"/>
      <c r="CH34" s="1"/>
      <c r="CI34" s="16"/>
      <c r="CJ34" s="54"/>
      <c r="CK34" s="13" t="str">
        <f t="shared" si="134"/>
        <v/>
      </c>
      <c r="CL34" s="13"/>
      <c r="CM34" s="13"/>
      <c r="CN34" s="13"/>
      <c r="CO34" s="13" t="str">
        <f t="shared" si="135"/>
        <v/>
      </c>
      <c r="CP34" s="13"/>
      <c r="CQ34" s="13"/>
      <c r="CR34" s="13"/>
      <c r="CS34" s="13" t="str">
        <f t="shared" si="124"/>
        <v/>
      </c>
      <c r="CT34" s="14" t="str">
        <f t="shared" si="131"/>
        <v/>
      </c>
      <c r="CU34" s="15"/>
      <c r="CV34" s="1"/>
      <c r="CW34" s="16"/>
      <c r="CX34" s="54"/>
      <c r="CY34" s="13" t="str">
        <f t="shared" si="136"/>
        <v/>
      </c>
      <c r="CZ34" s="13"/>
      <c r="DA34" s="13"/>
      <c r="DB34" s="13"/>
      <c r="DC34" s="13" t="str">
        <f t="shared" si="137"/>
        <v/>
      </c>
      <c r="DD34" s="13"/>
      <c r="DE34" s="13"/>
      <c r="DF34" s="13"/>
      <c r="DG34" s="13" t="str">
        <f t="shared" si="125"/>
        <v/>
      </c>
      <c r="DH34" s="14" t="str">
        <f t="shared" si="126"/>
        <v/>
      </c>
      <c r="DI34" s="15"/>
      <c r="DJ34" s="1"/>
      <c r="DK34" s="16"/>
      <c r="DL34" s="54"/>
      <c r="DM34" s="13" t="str">
        <f t="shared" si="138"/>
        <v/>
      </c>
      <c r="DN34" s="13"/>
      <c r="DO34" s="13"/>
      <c r="DP34" s="13"/>
      <c r="DQ34" s="13" t="str">
        <f t="shared" si="139"/>
        <v/>
      </c>
      <c r="DR34" s="13"/>
      <c r="DS34" s="13"/>
      <c r="DT34" s="13"/>
      <c r="DU34" s="13" t="str">
        <f t="shared" si="127"/>
        <v/>
      </c>
      <c r="DV34" s="14" t="str">
        <f t="shared" si="128"/>
        <v/>
      </c>
      <c r="DW34" s="15"/>
      <c r="DY34" s="16"/>
      <c r="DZ34" s="54"/>
      <c r="EA34" s="13" t="str">
        <f t="shared" si="140"/>
        <v/>
      </c>
      <c r="EB34" s="13"/>
      <c r="EC34" s="13"/>
      <c r="ED34" s="13"/>
      <c r="EE34" s="13" t="str">
        <f t="shared" si="141"/>
        <v/>
      </c>
      <c r="EF34" s="13"/>
      <c r="EG34" s="13"/>
      <c r="EH34" s="13"/>
      <c r="EI34" s="13" t="str">
        <f t="shared" si="129"/>
        <v/>
      </c>
      <c r="EJ34" s="14" t="str">
        <f t="shared" si="130"/>
        <v/>
      </c>
      <c r="EK34" s="15"/>
    </row>
    <row r="35" spans="1:141" ht="15" customHeight="1" thickTop="1" x14ac:dyDescent="0.2">
      <c r="A35" s="79"/>
      <c r="B35" s="74" t="str">
        <f>IF(A35="","",SUM(D35:D38)+SUM(R35:R38)+SUM(AF35:AF38)+SUM(AT35:AT38)+SUM(BW11,CK11,CY11,EA11,DM11)+SUM(BI35:BI38))</f>
        <v/>
      </c>
      <c r="C35" s="13"/>
      <c r="D35" s="53" t="str">
        <f t="shared" si="35"/>
        <v/>
      </c>
      <c r="E35" s="13"/>
      <c r="F35" s="31" t="str">
        <f t="shared" si="36"/>
        <v/>
      </c>
      <c r="G35" s="13"/>
      <c r="H35" s="53" t="str">
        <f t="shared" si="37"/>
        <v/>
      </c>
      <c r="I35" s="17"/>
      <c r="J35" s="75" t="str">
        <f t="shared" si="70"/>
        <v/>
      </c>
      <c r="K35" s="76" t="str">
        <f t="shared" si="71"/>
        <v/>
      </c>
      <c r="L35" s="31" t="str">
        <f t="shared" si="72"/>
        <v/>
      </c>
      <c r="M35" s="32" t="str">
        <f t="shared" si="73"/>
        <v/>
      </c>
      <c r="N35" s="15"/>
      <c r="O35" s="2"/>
      <c r="P35" s="79" t="str">
        <f>IF($A35="","",$A35)</f>
        <v/>
      </c>
      <c r="Q35" s="13"/>
      <c r="R35" s="53" t="str">
        <f t="shared" si="42"/>
        <v/>
      </c>
      <c r="S35" s="13"/>
      <c r="T35" s="31" t="str">
        <f t="shared" si="43"/>
        <v/>
      </c>
      <c r="U35" s="13"/>
      <c r="V35" s="53" t="str">
        <f t="shared" si="44"/>
        <v/>
      </c>
      <c r="W35" s="17"/>
      <c r="X35" s="75" t="str">
        <f t="shared" si="74"/>
        <v/>
      </c>
      <c r="Y35" s="76" t="str">
        <f t="shared" si="75"/>
        <v/>
      </c>
      <c r="Z35" s="31" t="str">
        <f t="shared" si="76"/>
        <v/>
      </c>
      <c r="AA35" s="32" t="str">
        <f t="shared" si="77"/>
        <v/>
      </c>
      <c r="AB35" s="15"/>
      <c r="AC35" s="15"/>
      <c r="AD35" s="79" t="str">
        <f>IF($A35="","",$A35)</f>
        <v/>
      </c>
      <c r="AE35" s="13"/>
      <c r="AF35" s="53" t="str">
        <f t="shared" si="49"/>
        <v/>
      </c>
      <c r="AG35" s="13"/>
      <c r="AH35" s="31" t="str">
        <f t="shared" si="50"/>
        <v/>
      </c>
      <c r="AI35" s="13"/>
      <c r="AJ35" s="53" t="str">
        <f t="shared" si="51"/>
        <v/>
      </c>
      <c r="AK35" s="17"/>
      <c r="AL35" s="75" t="str">
        <f t="shared" si="78"/>
        <v/>
      </c>
      <c r="AM35" s="76" t="str">
        <f t="shared" si="79"/>
        <v/>
      </c>
      <c r="AN35" s="31" t="str">
        <f t="shared" si="80"/>
        <v/>
      </c>
      <c r="AO35" s="32" t="str">
        <f t="shared" si="81"/>
        <v/>
      </c>
      <c r="AP35" s="15"/>
      <c r="AQ35" s="15"/>
      <c r="AR35" s="79" t="str">
        <f>IF($A35="","",$A35)</f>
        <v/>
      </c>
      <c r="AS35" s="13"/>
      <c r="AT35" s="53" t="str">
        <f t="shared" si="56"/>
        <v/>
      </c>
      <c r="AU35" s="13"/>
      <c r="AV35" s="31" t="str">
        <f t="shared" si="57"/>
        <v/>
      </c>
      <c r="AW35" s="13"/>
      <c r="AX35" s="53" t="str">
        <f t="shared" si="58"/>
        <v/>
      </c>
      <c r="AY35" s="17"/>
      <c r="AZ35" s="75" t="str">
        <f t="shared" si="82"/>
        <v/>
      </c>
      <c r="BA35" s="76" t="str">
        <f t="shared" si="83"/>
        <v/>
      </c>
      <c r="BB35" s="31" t="str">
        <f t="shared" si="84"/>
        <v/>
      </c>
      <c r="BC35" s="32" t="str">
        <f t="shared" si="85"/>
        <v/>
      </c>
      <c r="BD35" s="15"/>
      <c r="BE35" s="2"/>
      <c r="BF35" s="79" t="str">
        <f>IF($A35="","",$A35)</f>
        <v/>
      </c>
      <c r="BG35" s="239" t="s">
        <v>589</v>
      </c>
      <c r="BH35" s="13"/>
      <c r="BI35" s="53" t="str">
        <f t="shared" si="63"/>
        <v/>
      </c>
      <c r="BJ35" s="13"/>
      <c r="BK35" s="31" t="str">
        <f t="shared" si="64"/>
        <v/>
      </c>
      <c r="BL35" s="13"/>
      <c r="BM35" s="53" t="str">
        <f t="shared" si="65"/>
        <v/>
      </c>
      <c r="BN35" s="17"/>
      <c r="BO35" s="75" t="str">
        <f t="shared" si="86"/>
        <v/>
      </c>
      <c r="BP35" s="76" t="str">
        <f t="shared" si="87"/>
        <v/>
      </c>
      <c r="BQ35" s="31" t="str">
        <f t="shared" si="88"/>
        <v/>
      </c>
      <c r="BR35" s="32" t="str">
        <f t="shared" si="89"/>
        <v/>
      </c>
      <c r="BS35" s="15"/>
      <c r="BU35" s="16"/>
      <c r="BV35" s="54"/>
      <c r="BW35" s="13" t="str">
        <f t="shared" si="132"/>
        <v/>
      </c>
      <c r="BX35" s="13"/>
      <c r="BY35" s="13"/>
      <c r="BZ35" s="13"/>
      <c r="CA35" s="13" t="str">
        <f t="shared" si="133"/>
        <v/>
      </c>
      <c r="CB35" s="13"/>
      <c r="CC35" s="13"/>
      <c r="CD35" s="13"/>
      <c r="CE35" s="13" t="str">
        <f t="shared" si="122"/>
        <v/>
      </c>
      <c r="CF35" s="14" t="str">
        <f t="shared" si="123"/>
        <v/>
      </c>
      <c r="CG35" s="15"/>
      <c r="CH35" s="1"/>
      <c r="CI35" s="16"/>
      <c r="CJ35" s="54"/>
      <c r="CK35" s="13" t="str">
        <f t="shared" si="134"/>
        <v/>
      </c>
      <c r="CL35" s="13"/>
      <c r="CM35" s="13"/>
      <c r="CN35" s="13"/>
      <c r="CO35" s="13" t="str">
        <f t="shared" si="135"/>
        <v/>
      </c>
      <c r="CP35" s="13"/>
      <c r="CQ35" s="13"/>
      <c r="CR35" s="13"/>
      <c r="CS35" s="13" t="str">
        <f t="shared" si="124"/>
        <v/>
      </c>
      <c r="CT35" s="14" t="str">
        <f t="shared" si="131"/>
        <v/>
      </c>
      <c r="CU35" s="15"/>
      <c r="CV35" s="1"/>
      <c r="CW35" s="16"/>
      <c r="CX35" s="54"/>
      <c r="CY35" s="13" t="str">
        <f t="shared" si="136"/>
        <v/>
      </c>
      <c r="CZ35" s="13"/>
      <c r="DA35" s="13"/>
      <c r="DB35" s="13"/>
      <c r="DC35" s="13" t="str">
        <f t="shared" si="137"/>
        <v/>
      </c>
      <c r="DD35" s="13"/>
      <c r="DE35" s="13"/>
      <c r="DF35" s="13"/>
      <c r="DG35" s="13" t="str">
        <f t="shared" si="125"/>
        <v/>
      </c>
      <c r="DH35" s="14" t="str">
        <f t="shared" si="126"/>
        <v/>
      </c>
      <c r="DI35" s="15"/>
      <c r="DJ35" s="1"/>
      <c r="DK35" s="16"/>
      <c r="DL35" s="54"/>
      <c r="DM35" s="13" t="str">
        <f t="shared" si="138"/>
        <v/>
      </c>
      <c r="DN35" s="13"/>
      <c r="DO35" s="13"/>
      <c r="DP35" s="13"/>
      <c r="DQ35" s="13" t="str">
        <f t="shared" si="139"/>
        <v/>
      </c>
      <c r="DR35" s="13"/>
      <c r="DS35" s="13"/>
      <c r="DT35" s="13"/>
      <c r="DU35" s="13" t="str">
        <f t="shared" si="127"/>
        <v/>
      </c>
      <c r="DV35" s="14" t="str">
        <f t="shared" si="128"/>
        <v/>
      </c>
      <c r="DW35" s="15"/>
      <c r="DY35" s="16"/>
      <c r="DZ35" s="54"/>
      <c r="EA35" s="13" t="str">
        <f t="shared" si="140"/>
        <v/>
      </c>
      <c r="EB35" s="13"/>
      <c r="EC35" s="13"/>
      <c r="ED35" s="13"/>
      <c r="EE35" s="13" t="str">
        <f t="shared" si="141"/>
        <v/>
      </c>
      <c r="EF35" s="13"/>
      <c r="EG35" s="13"/>
      <c r="EH35" s="13"/>
      <c r="EI35" s="13" t="str">
        <f t="shared" si="129"/>
        <v/>
      </c>
      <c r="EJ35" s="14" t="str">
        <f t="shared" si="130"/>
        <v/>
      </c>
      <c r="EK35" s="15"/>
    </row>
    <row r="36" spans="1:141" ht="15" customHeight="1" x14ac:dyDescent="0.2">
      <c r="A36" s="133"/>
      <c r="B36" s="11"/>
      <c r="C36" s="53"/>
      <c r="D36" s="13" t="str">
        <f t="shared" si="35"/>
        <v/>
      </c>
      <c r="E36" s="53"/>
      <c r="F36" s="13" t="str">
        <f t="shared" si="36"/>
        <v/>
      </c>
      <c r="G36" s="13"/>
      <c r="H36" s="13" t="str">
        <f t="shared" si="37"/>
        <v/>
      </c>
      <c r="I36" s="17"/>
      <c r="J36" s="56" t="str">
        <f t="shared" si="70"/>
        <v/>
      </c>
      <c r="K36" s="54" t="str">
        <f t="shared" si="71"/>
        <v/>
      </c>
      <c r="L36" s="13" t="str">
        <f t="shared" si="72"/>
        <v/>
      </c>
      <c r="M36" s="14" t="str">
        <f t="shared" si="73"/>
        <v/>
      </c>
      <c r="N36" s="15"/>
      <c r="O36" s="2"/>
      <c r="P36" s="16"/>
      <c r="Q36" s="53"/>
      <c r="R36" s="13" t="str">
        <f t="shared" si="42"/>
        <v/>
      </c>
      <c r="S36" s="53"/>
      <c r="T36" s="13" t="str">
        <f t="shared" si="43"/>
        <v/>
      </c>
      <c r="U36" s="13"/>
      <c r="V36" s="13" t="str">
        <f t="shared" si="44"/>
        <v/>
      </c>
      <c r="W36" s="17"/>
      <c r="X36" s="56" t="str">
        <f t="shared" si="74"/>
        <v/>
      </c>
      <c r="Y36" s="54" t="str">
        <f t="shared" si="75"/>
        <v/>
      </c>
      <c r="Z36" s="13" t="str">
        <f t="shared" si="76"/>
        <v/>
      </c>
      <c r="AA36" s="14" t="str">
        <f t="shared" si="77"/>
        <v/>
      </c>
      <c r="AB36" s="15"/>
      <c r="AC36" s="15"/>
      <c r="AD36" s="16"/>
      <c r="AE36" s="53"/>
      <c r="AF36" s="13" t="str">
        <f t="shared" si="49"/>
        <v/>
      </c>
      <c r="AG36" s="53"/>
      <c r="AH36" s="13" t="str">
        <f t="shared" si="50"/>
        <v/>
      </c>
      <c r="AI36" s="13"/>
      <c r="AJ36" s="13" t="str">
        <f t="shared" si="51"/>
        <v/>
      </c>
      <c r="AK36" s="17"/>
      <c r="AL36" s="56" t="str">
        <f t="shared" si="78"/>
        <v/>
      </c>
      <c r="AM36" s="54" t="str">
        <f t="shared" si="79"/>
        <v/>
      </c>
      <c r="AN36" s="13" t="str">
        <f t="shared" si="80"/>
        <v/>
      </c>
      <c r="AO36" s="14" t="str">
        <f t="shared" si="81"/>
        <v/>
      </c>
      <c r="AP36" s="15"/>
      <c r="AQ36" s="15"/>
      <c r="AR36" s="16"/>
      <c r="AS36" s="53"/>
      <c r="AT36" s="13" t="str">
        <f t="shared" si="56"/>
        <v/>
      </c>
      <c r="AU36" s="53"/>
      <c r="AV36" s="13" t="str">
        <f t="shared" si="57"/>
        <v/>
      </c>
      <c r="AW36" s="13"/>
      <c r="AX36" s="13" t="str">
        <f t="shared" si="58"/>
        <v/>
      </c>
      <c r="AY36" s="17"/>
      <c r="AZ36" s="56" t="str">
        <f t="shared" si="82"/>
        <v/>
      </c>
      <c r="BA36" s="54" t="str">
        <f t="shared" si="83"/>
        <v/>
      </c>
      <c r="BB36" s="13" t="str">
        <f t="shared" si="84"/>
        <v/>
      </c>
      <c r="BC36" s="14" t="str">
        <f t="shared" si="85"/>
        <v/>
      </c>
      <c r="BD36" s="15"/>
      <c r="BE36" s="2"/>
      <c r="BF36" s="16"/>
      <c r="BG36" s="239" t="s">
        <v>590</v>
      </c>
      <c r="BH36" s="53"/>
      <c r="BI36" s="13" t="str">
        <f t="shared" si="63"/>
        <v/>
      </c>
      <c r="BJ36" s="53"/>
      <c r="BK36" s="13" t="str">
        <f t="shared" si="64"/>
        <v/>
      </c>
      <c r="BL36" s="13"/>
      <c r="BM36" s="13" t="str">
        <f t="shared" si="65"/>
        <v/>
      </c>
      <c r="BN36" s="17"/>
      <c r="BO36" s="56" t="str">
        <f t="shared" si="86"/>
        <v/>
      </c>
      <c r="BP36" s="54" t="str">
        <f t="shared" si="87"/>
        <v/>
      </c>
      <c r="BQ36" s="13" t="str">
        <f t="shared" si="88"/>
        <v/>
      </c>
      <c r="BR36" s="14" t="str">
        <f t="shared" si="89"/>
        <v/>
      </c>
      <c r="BS36" s="15"/>
      <c r="BU36" s="16"/>
      <c r="BV36" s="54"/>
      <c r="BW36" s="13" t="str">
        <f t="shared" si="132"/>
        <v/>
      </c>
      <c r="BX36" s="13"/>
      <c r="BY36" s="13"/>
      <c r="BZ36" s="13"/>
      <c r="CA36" s="13" t="str">
        <f t="shared" si="133"/>
        <v/>
      </c>
      <c r="CB36" s="13"/>
      <c r="CC36" s="13"/>
      <c r="CD36" s="13"/>
      <c r="CE36" s="13" t="str">
        <f t="shared" si="122"/>
        <v/>
      </c>
      <c r="CF36" s="14" t="str">
        <f t="shared" si="123"/>
        <v/>
      </c>
      <c r="CG36" s="15"/>
      <c r="CH36" s="1"/>
      <c r="CI36" s="16"/>
      <c r="CJ36" s="54"/>
      <c r="CK36" s="13" t="str">
        <f t="shared" si="134"/>
        <v/>
      </c>
      <c r="CL36" s="13"/>
      <c r="CM36" s="13"/>
      <c r="CN36" s="13"/>
      <c r="CO36" s="13" t="str">
        <f t="shared" si="135"/>
        <v/>
      </c>
      <c r="CP36" s="13"/>
      <c r="CQ36" s="13"/>
      <c r="CR36" s="13"/>
      <c r="CS36" s="13" t="str">
        <f t="shared" si="124"/>
        <v/>
      </c>
      <c r="CT36" s="14" t="str">
        <f t="shared" si="131"/>
        <v/>
      </c>
      <c r="CU36" s="15"/>
      <c r="CV36" s="1"/>
      <c r="CW36" s="16"/>
      <c r="CX36" s="54"/>
      <c r="CY36" s="13" t="str">
        <f t="shared" si="136"/>
        <v/>
      </c>
      <c r="CZ36" s="13"/>
      <c r="DA36" s="13"/>
      <c r="DB36" s="13"/>
      <c r="DC36" s="13" t="str">
        <f t="shared" si="137"/>
        <v/>
      </c>
      <c r="DD36" s="13"/>
      <c r="DE36" s="13"/>
      <c r="DF36" s="13"/>
      <c r="DG36" s="13" t="str">
        <f t="shared" si="125"/>
        <v/>
      </c>
      <c r="DH36" s="14" t="str">
        <f t="shared" si="126"/>
        <v/>
      </c>
      <c r="DI36" s="15"/>
      <c r="DJ36" s="1"/>
      <c r="DK36" s="16"/>
      <c r="DL36" s="54"/>
      <c r="DM36" s="13" t="str">
        <f t="shared" si="138"/>
        <v/>
      </c>
      <c r="DN36" s="13"/>
      <c r="DO36" s="13"/>
      <c r="DP36" s="13"/>
      <c r="DQ36" s="13" t="str">
        <f t="shared" si="139"/>
        <v/>
      </c>
      <c r="DR36" s="13"/>
      <c r="DS36" s="13"/>
      <c r="DT36" s="13"/>
      <c r="DU36" s="13" t="str">
        <f t="shared" si="127"/>
        <v/>
      </c>
      <c r="DV36" s="14" t="str">
        <f t="shared" si="128"/>
        <v/>
      </c>
      <c r="DW36" s="15"/>
      <c r="DY36" s="16"/>
      <c r="DZ36" s="54"/>
      <c r="EA36" s="13" t="str">
        <f t="shared" si="140"/>
        <v/>
      </c>
      <c r="EB36" s="13"/>
      <c r="EC36" s="13"/>
      <c r="ED36" s="13"/>
      <c r="EE36" s="13" t="str">
        <f t="shared" si="141"/>
        <v/>
      </c>
      <c r="EF36" s="13"/>
      <c r="EG36" s="13"/>
      <c r="EH36" s="13"/>
      <c r="EI36" s="13" t="str">
        <f t="shared" si="129"/>
        <v/>
      </c>
      <c r="EJ36" s="14" t="str">
        <f t="shared" si="130"/>
        <v/>
      </c>
      <c r="EK36" s="15"/>
    </row>
    <row r="37" spans="1:141" ht="15" customHeight="1" x14ac:dyDescent="0.2">
      <c r="A37" s="133"/>
      <c r="B37" s="11"/>
      <c r="C37" s="13"/>
      <c r="D37" s="13" t="str">
        <f t="shared" si="35"/>
        <v/>
      </c>
      <c r="E37" s="13"/>
      <c r="F37" s="13" t="str">
        <f t="shared" si="36"/>
        <v/>
      </c>
      <c r="G37" s="13"/>
      <c r="H37" s="13" t="str">
        <f t="shared" si="37"/>
        <v/>
      </c>
      <c r="I37" s="17"/>
      <c r="J37" s="253" t="str">
        <f t="shared" si="70"/>
        <v/>
      </c>
      <c r="K37" s="13" t="str">
        <f t="shared" si="71"/>
        <v/>
      </c>
      <c r="L37" s="13" t="str">
        <f t="shared" si="72"/>
        <v/>
      </c>
      <c r="M37" s="14" t="str">
        <f t="shared" si="73"/>
        <v/>
      </c>
      <c r="N37" s="15"/>
      <c r="O37" s="2"/>
      <c r="P37" s="16"/>
      <c r="Q37" s="13"/>
      <c r="R37" s="13" t="str">
        <f t="shared" si="42"/>
        <v/>
      </c>
      <c r="S37" s="13"/>
      <c r="T37" s="13" t="str">
        <f t="shared" si="43"/>
        <v/>
      </c>
      <c r="U37" s="13"/>
      <c r="V37" s="13" t="str">
        <f t="shared" si="44"/>
        <v/>
      </c>
      <c r="W37" s="17"/>
      <c r="X37" s="253" t="str">
        <f t="shared" si="74"/>
        <v/>
      </c>
      <c r="Y37" s="13" t="str">
        <f t="shared" si="75"/>
        <v/>
      </c>
      <c r="Z37" s="13" t="str">
        <f t="shared" si="76"/>
        <v/>
      </c>
      <c r="AA37" s="14" t="str">
        <f t="shared" si="77"/>
        <v/>
      </c>
      <c r="AB37" s="15"/>
      <c r="AC37" s="15"/>
      <c r="AD37" s="16"/>
      <c r="AE37" s="13"/>
      <c r="AF37" s="13" t="str">
        <f t="shared" si="49"/>
        <v/>
      </c>
      <c r="AG37" s="13"/>
      <c r="AH37" s="13" t="str">
        <f t="shared" si="50"/>
        <v/>
      </c>
      <c r="AI37" s="13"/>
      <c r="AJ37" s="13" t="str">
        <f t="shared" si="51"/>
        <v/>
      </c>
      <c r="AK37" s="17"/>
      <c r="AL37" s="253" t="str">
        <f t="shared" si="78"/>
        <v/>
      </c>
      <c r="AM37" s="13" t="str">
        <f t="shared" si="79"/>
        <v/>
      </c>
      <c r="AN37" s="13" t="str">
        <f t="shared" si="80"/>
        <v/>
      </c>
      <c r="AO37" s="14" t="str">
        <f t="shared" si="81"/>
        <v/>
      </c>
      <c r="AP37" s="15"/>
      <c r="AQ37" s="15"/>
      <c r="AR37" s="16"/>
      <c r="AS37" s="13"/>
      <c r="AT37" s="13" t="str">
        <f t="shared" si="56"/>
        <v/>
      </c>
      <c r="AU37" s="13"/>
      <c r="AV37" s="13" t="str">
        <f t="shared" si="57"/>
        <v/>
      </c>
      <c r="AW37" s="13"/>
      <c r="AX37" s="13" t="str">
        <f t="shared" si="58"/>
        <v/>
      </c>
      <c r="AY37" s="17"/>
      <c r="AZ37" s="253" t="str">
        <f t="shared" si="82"/>
        <v/>
      </c>
      <c r="BA37" s="13" t="str">
        <f t="shared" si="83"/>
        <v/>
      </c>
      <c r="BB37" s="13" t="str">
        <f t="shared" si="84"/>
        <v/>
      </c>
      <c r="BC37" s="14" t="str">
        <f t="shared" si="85"/>
        <v/>
      </c>
      <c r="BD37" s="15"/>
      <c r="BE37" s="2"/>
      <c r="BF37" s="16"/>
      <c r="BG37" s="239" t="s">
        <v>591</v>
      </c>
      <c r="BH37" s="13"/>
      <c r="BI37" s="13" t="str">
        <f t="shared" si="63"/>
        <v/>
      </c>
      <c r="BJ37" s="13"/>
      <c r="BK37" s="13" t="str">
        <f t="shared" si="64"/>
        <v/>
      </c>
      <c r="BL37" s="13"/>
      <c r="BM37" s="13" t="str">
        <f t="shared" si="65"/>
        <v/>
      </c>
      <c r="BN37" s="17"/>
      <c r="BO37" s="253" t="str">
        <f t="shared" si="86"/>
        <v/>
      </c>
      <c r="BP37" s="13" t="str">
        <f t="shared" si="87"/>
        <v/>
      </c>
      <c r="BQ37" s="13" t="str">
        <f t="shared" si="88"/>
        <v/>
      </c>
      <c r="BR37" s="14" t="str">
        <f t="shared" si="89"/>
        <v/>
      </c>
      <c r="BS37" s="15"/>
      <c r="BU37" s="16"/>
      <c r="BV37" s="54"/>
      <c r="BW37" s="13" t="str">
        <f t="shared" si="132"/>
        <v/>
      </c>
      <c r="BX37" s="13"/>
      <c r="BY37" s="13"/>
      <c r="BZ37" s="13"/>
      <c r="CA37" s="13" t="str">
        <f t="shared" si="133"/>
        <v/>
      </c>
      <c r="CB37" s="13"/>
      <c r="CC37" s="13"/>
      <c r="CD37" s="13"/>
      <c r="CE37" s="13" t="str">
        <f t="shared" si="122"/>
        <v/>
      </c>
      <c r="CF37" s="14" t="str">
        <f t="shared" si="123"/>
        <v/>
      </c>
      <c r="CG37" s="15"/>
      <c r="CH37" s="1"/>
      <c r="CI37" s="16"/>
      <c r="CJ37" s="54"/>
      <c r="CK37" s="13" t="str">
        <f t="shared" si="134"/>
        <v/>
      </c>
      <c r="CL37" s="13"/>
      <c r="CM37" s="13"/>
      <c r="CN37" s="13"/>
      <c r="CO37" s="13" t="str">
        <f t="shared" si="135"/>
        <v/>
      </c>
      <c r="CP37" s="13"/>
      <c r="CQ37" s="13"/>
      <c r="CR37" s="13"/>
      <c r="CS37" s="13" t="str">
        <f t="shared" si="124"/>
        <v/>
      </c>
      <c r="CT37" s="14" t="str">
        <f t="shared" si="131"/>
        <v/>
      </c>
      <c r="CU37" s="15"/>
      <c r="CV37" s="1"/>
      <c r="CW37" s="16"/>
      <c r="CX37" s="54"/>
      <c r="CY37" s="13" t="str">
        <f t="shared" si="136"/>
        <v/>
      </c>
      <c r="CZ37" s="13"/>
      <c r="DA37" s="13"/>
      <c r="DB37" s="13"/>
      <c r="DC37" s="13" t="str">
        <f t="shared" si="137"/>
        <v/>
      </c>
      <c r="DD37" s="13"/>
      <c r="DE37" s="13"/>
      <c r="DF37" s="13"/>
      <c r="DG37" s="13" t="str">
        <f t="shared" si="125"/>
        <v/>
      </c>
      <c r="DH37" s="14" t="str">
        <f t="shared" si="126"/>
        <v/>
      </c>
      <c r="DI37" s="15"/>
      <c r="DJ37" s="1"/>
      <c r="DK37" s="16"/>
      <c r="DL37" s="54"/>
      <c r="DM37" s="13" t="str">
        <f t="shared" si="138"/>
        <v/>
      </c>
      <c r="DN37" s="13"/>
      <c r="DO37" s="13"/>
      <c r="DP37" s="13"/>
      <c r="DQ37" s="13" t="str">
        <f t="shared" si="139"/>
        <v/>
      </c>
      <c r="DR37" s="13"/>
      <c r="DS37" s="13"/>
      <c r="DT37" s="13"/>
      <c r="DU37" s="13" t="str">
        <f t="shared" si="127"/>
        <v/>
      </c>
      <c r="DV37" s="14" t="str">
        <f t="shared" si="128"/>
        <v/>
      </c>
      <c r="DW37" s="15"/>
      <c r="DY37" s="16"/>
      <c r="DZ37" s="54"/>
      <c r="EA37" s="13" t="str">
        <f t="shared" si="140"/>
        <v/>
      </c>
      <c r="EB37" s="13"/>
      <c r="EC37" s="13"/>
      <c r="ED37" s="13"/>
      <c r="EE37" s="13" t="str">
        <f t="shared" si="141"/>
        <v/>
      </c>
      <c r="EF37" s="13"/>
      <c r="EG37" s="13"/>
      <c r="EH37" s="13"/>
      <c r="EI37" s="13" t="str">
        <f t="shared" si="129"/>
        <v/>
      </c>
      <c r="EJ37" s="14" t="str">
        <f t="shared" si="130"/>
        <v/>
      </c>
      <c r="EK37" s="15"/>
    </row>
    <row r="38" spans="1:141" ht="15" customHeight="1" thickBot="1" x14ac:dyDescent="0.25">
      <c r="A38" s="26"/>
      <c r="B38" s="46"/>
      <c r="C38" s="27"/>
      <c r="D38" s="27" t="str">
        <f t="shared" si="35"/>
        <v/>
      </c>
      <c r="E38" s="27"/>
      <c r="F38" s="27" t="str">
        <f t="shared" si="36"/>
        <v/>
      </c>
      <c r="G38" s="27"/>
      <c r="H38" s="27" t="str">
        <f t="shared" si="37"/>
        <v/>
      </c>
      <c r="I38" s="47"/>
      <c r="J38" s="57" t="str">
        <f t="shared" si="70"/>
        <v/>
      </c>
      <c r="K38" s="62" t="str">
        <f t="shared" si="71"/>
        <v/>
      </c>
      <c r="L38" s="27" t="str">
        <f t="shared" si="72"/>
        <v/>
      </c>
      <c r="M38" s="28" t="str">
        <f t="shared" si="73"/>
        <v/>
      </c>
      <c r="N38" s="15"/>
      <c r="O38" s="2"/>
      <c r="P38" s="26"/>
      <c r="Q38" s="27"/>
      <c r="R38" s="27" t="str">
        <f t="shared" si="42"/>
        <v/>
      </c>
      <c r="S38" s="27"/>
      <c r="T38" s="27" t="str">
        <f t="shared" si="43"/>
        <v/>
      </c>
      <c r="U38" s="27"/>
      <c r="V38" s="27" t="str">
        <f t="shared" si="44"/>
        <v/>
      </c>
      <c r="W38" s="47"/>
      <c r="X38" s="57" t="str">
        <f t="shared" si="74"/>
        <v/>
      </c>
      <c r="Y38" s="62" t="str">
        <f t="shared" si="75"/>
        <v/>
      </c>
      <c r="Z38" s="27" t="str">
        <f t="shared" si="76"/>
        <v/>
      </c>
      <c r="AA38" s="28" t="str">
        <f t="shared" si="77"/>
        <v/>
      </c>
      <c r="AB38" s="15"/>
      <c r="AC38" s="15"/>
      <c r="AD38" s="26"/>
      <c r="AE38" s="27"/>
      <c r="AF38" s="27" t="str">
        <f t="shared" si="49"/>
        <v/>
      </c>
      <c r="AG38" s="27"/>
      <c r="AH38" s="27" t="str">
        <f t="shared" si="50"/>
        <v/>
      </c>
      <c r="AI38" s="27"/>
      <c r="AJ38" s="27" t="str">
        <f t="shared" si="51"/>
        <v/>
      </c>
      <c r="AK38" s="47"/>
      <c r="AL38" s="57" t="str">
        <f t="shared" si="78"/>
        <v/>
      </c>
      <c r="AM38" s="62" t="str">
        <f t="shared" si="79"/>
        <v/>
      </c>
      <c r="AN38" s="27" t="str">
        <f t="shared" si="80"/>
        <v/>
      </c>
      <c r="AO38" s="28" t="str">
        <f t="shared" si="81"/>
        <v/>
      </c>
      <c r="AP38" s="15"/>
      <c r="AQ38" s="39"/>
      <c r="AR38" s="26"/>
      <c r="AS38" s="27"/>
      <c r="AT38" s="27" t="str">
        <f t="shared" si="56"/>
        <v/>
      </c>
      <c r="AU38" s="27"/>
      <c r="AV38" s="27" t="str">
        <f t="shared" si="57"/>
        <v/>
      </c>
      <c r="AW38" s="27"/>
      <c r="AX38" s="27" t="str">
        <f t="shared" si="58"/>
        <v/>
      </c>
      <c r="AY38" s="47"/>
      <c r="AZ38" s="57" t="str">
        <f t="shared" si="82"/>
        <v/>
      </c>
      <c r="BA38" s="62" t="str">
        <f t="shared" si="83"/>
        <v/>
      </c>
      <c r="BB38" s="27" t="str">
        <f t="shared" si="84"/>
        <v/>
      </c>
      <c r="BC38" s="28" t="str">
        <f t="shared" si="85"/>
        <v/>
      </c>
      <c r="BD38" s="15"/>
      <c r="BE38" s="2"/>
      <c r="BF38" s="26"/>
      <c r="BG38" s="238" t="s">
        <v>592</v>
      </c>
      <c r="BH38" s="27"/>
      <c r="BI38" s="27" t="str">
        <f t="shared" si="63"/>
        <v/>
      </c>
      <c r="BJ38" s="27"/>
      <c r="BK38" s="27" t="str">
        <f t="shared" si="64"/>
        <v/>
      </c>
      <c r="BL38" s="27"/>
      <c r="BM38" s="27" t="str">
        <f t="shared" si="65"/>
        <v/>
      </c>
      <c r="BN38" s="47"/>
      <c r="BO38" s="57" t="str">
        <f t="shared" si="86"/>
        <v/>
      </c>
      <c r="BP38" s="62" t="str">
        <f t="shared" si="87"/>
        <v/>
      </c>
      <c r="BQ38" s="27" t="str">
        <f t="shared" si="88"/>
        <v/>
      </c>
      <c r="BR38" s="28" t="str">
        <f t="shared" si="89"/>
        <v/>
      </c>
      <c r="BS38" s="15"/>
      <c r="BU38" s="16"/>
      <c r="BV38" s="54"/>
      <c r="BW38" s="13" t="str">
        <f t="shared" si="132"/>
        <v/>
      </c>
      <c r="BX38" s="13"/>
      <c r="BY38" s="13"/>
      <c r="BZ38" s="13"/>
      <c r="CA38" s="13" t="str">
        <f t="shared" si="133"/>
        <v/>
      </c>
      <c r="CB38" s="13"/>
      <c r="CC38" s="13"/>
      <c r="CD38" s="13"/>
      <c r="CE38" s="13" t="str">
        <f t="shared" si="122"/>
        <v/>
      </c>
      <c r="CF38" s="14" t="str">
        <f t="shared" si="123"/>
        <v/>
      </c>
      <c r="CG38" s="15"/>
      <c r="CH38" s="1"/>
      <c r="CI38" s="16"/>
      <c r="CJ38" s="54"/>
      <c r="CK38" s="13" t="str">
        <f t="shared" si="134"/>
        <v/>
      </c>
      <c r="CL38" s="13"/>
      <c r="CM38" s="13"/>
      <c r="CN38" s="13"/>
      <c r="CO38" s="13" t="str">
        <f t="shared" si="135"/>
        <v/>
      </c>
      <c r="CP38" s="13"/>
      <c r="CQ38" s="13"/>
      <c r="CR38" s="13"/>
      <c r="CS38" s="13" t="str">
        <f t="shared" si="124"/>
        <v/>
      </c>
      <c r="CT38" s="14" t="str">
        <f t="shared" si="131"/>
        <v/>
      </c>
      <c r="CU38" s="15"/>
      <c r="CV38" s="1"/>
      <c r="CW38" s="16"/>
      <c r="CX38" s="54"/>
      <c r="CY38" s="13" t="str">
        <f t="shared" si="136"/>
        <v/>
      </c>
      <c r="CZ38" s="13"/>
      <c r="DA38" s="13"/>
      <c r="DB38" s="13"/>
      <c r="DC38" s="13" t="str">
        <f t="shared" si="137"/>
        <v/>
      </c>
      <c r="DD38" s="13"/>
      <c r="DE38" s="13"/>
      <c r="DF38" s="13"/>
      <c r="DG38" s="13" t="str">
        <f t="shared" si="125"/>
        <v/>
      </c>
      <c r="DH38" s="14" t="str">
        <f t="shared" si="126"/>
        <v/>
      </c>
      <c r="DI38" s="15"/>
      <c r="DJ38" s="1"/>
      <c r="DK38" s="16"/>
      <c r="DL38" s="54"/>
      <c r="DM38" s="13" t="str">
        <f t="shared" si="138"/>
        <v/>
      </c>
      <c r="DN38" s="13"/>
      <c r="DO38" s="13"/>
      <c r="DP38" s="13"/>
      <c r="DQ38" s="13" t="str">
        <f t="shared" si="139"/>
        <v/>
      </c>
      <c r="DR38" s="13"/>
      <c r="DS38" s="13"/>
      <c r="DT38" s="13"/>
      <c r="DU38" s="13" t="str">
        <f t="shared" si="127"/>
        <v/>
      </c>
      <c r="DV38" s="14" t="str">
        <f t="shared" si="128"/>
        <v/>
      </c>
      <c r="DW38" s="15"/>
      <c r="DY38" s="16"/>
      <c r="DZ38" s="54"/>
      <c r="EA38" s="13" t="str">
        <f t="shared" si="140"/>
        <v/>
      </c>
      <c r="EB38" s="13"/>
      <c r="EC38" s="13"/>
      <c r="ED38" s="13"/>
      <c r="EE38" s="13" t="str">
        <f t="shared" si="141"/>
        <v/>
      </c>
      <c r="EF38" s="13"/>
      <c r="EG38" s="13"/>
      <c r="EH38" s="13"/>
      <c r="EI38" s="13" t="str">
        <f t="shared" si="129"/>
        <v/>
      </c>
      <c r="EJ38" s="14" t="str">
        <f t="shared" si="130"/>
        <v/>
      </c>
      <c r="EK38" s="15"/>
    </row>
    <row r="39" spans="1:141" ht="15" customHeight="1" thickTop="1" x14ac:dyDescent="0.2">
      <c r="A39" s="158"/>
      <c r="B39" s="74" t="str">
        <f>IF(A39="","",SUM(D39:D42)+SUM(R39:R42)+SUM(AF39:AF42)+SUM(AT39:AT42)+SUM(BW12,CK12,CY12,DM12,EA12)+SUM(BI39:BI42))</f>
        <v/>
      </c>
      <c r="C39" s="53"/>
      <c r="D39" s="53" t="str">
        <f t="shared" si="35"/>
        <v/>
      </c>
      <c r="E39" s="53"/>
      <c r="F39" s="31" t="str">
        <f t="shared" si="36"/>
        <v/>
      </c>
      <c r="G39" s="53"/>
      <c r="H39" s="53" t="str">
        <f t="shared" si="37"/>
        <v/>
      </c>
      <c r="I39" s="192"/>
      <c r="J39" s="75" t="str">
        <f t="shared" si="70"/>
        <v/>
      </c>
      <c r="K39" s="76" t="str">
        <f t="shared" si="71"/>
        <v/>
      </c>
      <c r="L39" s="31" t="str">
        <f t="shared" si="72"/>
        <v/>
      </c>
      <c r="M39" s="32" t="str">
        <f t="shared" si="73"/>
        <v/>
      </c>
      <c r="N39" s="15"/>
      <c r="O39" s="2"/>
      <c r="P39" s="79" t="str">
        <f>IF($A39="","",$A39)</f>
        <v/>
      </c>
      <c r="Q39" s="53"/>
      <c r="R39" s="53" t="str">
        <f t="shared" si="42"/>
        <v/>
      </c>
      <c r="S39" s="53"/>
      <c r="T39" s="31" t="str">
        <f t="shared" si="43"/>
        <v/>
      </c>
      <c r="U39" s="53"/>
      <c r="V39" s="53" t="str">
        <f t="shared" si="44"/>
        <v/>
      </c>
      <c r="W39" s="192"/>
      <c r="X39" s="75" t="str">
        <f t="shared" si="74"/>
        <v/>
      </c>
      <c r="Y39" s="76" t="str">
        <f t="shared" si="75"/>
        <v/>
      </c>
      <c r="Z39" s="31" t="str">
        <f t="shared" si="76"/>
        <v/>
      </c>
      <c r="AA39" s="32" t="str">
        <f t="shared" si="77"/>
        <v/>
      </c>
      <c r="AB39" s="15"/>
      <c r="AC39" s="15"/>
      <c r="AD39" s="79" t="str">
        <f>IF($A39="","",$A39)</f>
        <v/>
      </c>
      <c r="AE39" s="53"/>
      <c r="AF39" s="53" t="str">
        <f t="shared" si="49"/>
        <v/>
      </c>
      <c r="AG39" s="53"/>
      <c r="AH39" s="31" t="str">
        <f t="shared" si="50"/>
        <v/>
      </c>
      <c r="AI39" s="53"/>
      <c r="AJ39" s="53" t="str">
        <f t="shared" si="51"/>
        <v/>
      </c>
      <c r="AK39" s="192"/>
      <c r="AL39" s="75" t="str">
        <f t="shared" si="78"/>
        <v/>
      </c>
      <c r="AM39" s="76" t="str">
        <f t="shared" si="79"/>
        <v/>
      </c>
      <c r="AN39" s="31" t="str">
        <f t="shared" si="80"/>
        <v/>
      </c>
      <c r="AO39" s="32" t="str">
        <f t="shared" si="81"/>
        <v/>
      </c>
      <c r="AP39" s="15"/>
      <c r="AQ39" s="113"/>
      <c r="AR39" s="79" t="str">
        <f>IF($A39="","",$A39)</f>
        <v/>
      </c>
      <c r="AS39" s="53"/>
      <c r="AT39" s="53" t="str">
        <f t="shared" si="56"/>
        <v/>
      </c>
      <c r="AU39" s="53"/>
      <c r="AV39" s="31" t="str">
        <f t="shared" si="57"/>
        <v/>
      </c>
      <c r="AW39" s="53"/>
      <c r="AX39" s="53" t="str">
        <f t="shared" si="58"/>
        <v/>
      </c>
      <c r="AY39" s="192"/>
      <c r="AZ39" s="75" t="str">
        <f t="shared" si="82"/>
        <v/>
      </c>
      <c r="BA39" s="76" t="str">
        <f t="shared" si="83"/>
        <v/>
      </c>
      <c r="BB39" s="31" t="str">
        <f t="shared" si="84"/>
        <v/>
      </c>
      <c r="BC39" s="32" t="str">
        <f t="shared" si="85"/>
        <v/>
      </c>
      <c r="BD39" s="15"/>
      <c r="BE39" s="2"/>
      <c r="BF39" s="79" t="str">
        <f>IF($A39="","",$A39)</f>
        <v/>
      </c>
      <c r="BG39" s="239" t="s">
        <v>589</v>
      </c>
      <c r="BH39" s="53"/>
      <c r="BI39" s="53" t="str">
        <f t="shared" si="63"/>
        <v/>
      </c>
      <c r="BJ39" s="53"/>
      <c r="BK39" s="31" t="str">
        <f t="shared" si="64"/>
        <v/>
      </c>
      <c r="BL39" s="53"/>
      <c r="BM39" s="53" t="str">
        <f t="shared" si="65"/>
        <v/>
      </c>
      <c r="BN39" s="192"/>
      <c r="BO39" s="75" t="str">
        <f t="shared" si="86"/>
        <v/>
      </c>
      <c r="BP39" s="76" t="str">
        <f t="shared" si="87"/>
        <v/>
      </c>
      <c r="BQ39" s="31" t="str">
        <f t="shared" si="88"/>
        <v/>
      </c>
      <c r="BR39" s="32" t="str">
        <f t="shared" si="89"/>
        <v/>
      </c>
      <c r="BS39" s="15"/>
      <c r="BU39" s="16"/>
      <c r="BV39" s="54"/>
      <c r="BW39" s="13" t="str">
        <f t="shared" si="132"/>
        <v/>
      </c>
      <c r="BX39" s="13"/>
      <c r="BY39" s="13"/>
      <c r="BZ39" s="13"/>
      <c r="CA39" s="13" t="str">
        <f t="shared" si="133"/>
        <v/>
      </c>
      <c r="CB39" s="13"/>
      <c r="CC39" s="13"/>
      <c r="CD39" s="13"/>
      <c r="CE39" s="13" t="str">
        <f t="shared" si="122"/>
        <v/>
      </c>
      <c r="CF39" s="14" t="str">
        <f t="shared" si="123"/>
        <v/>
      </c>
      <c r="CG39" s="15"/>
      <c r="CH39" s="1"/>
      <c r="CI39" s="16"/>
      <c r="CJ39" s="54"/>
      <c r="CK39" s="13" t="str">
        <f t="shared" si="134"/>
        <v/>
      </c>
      <c r="CL39" s="13"/>
      <c r="CM39" s="13"/>
      <c r="CN39" s="13"/>
      <c r="CO39" s="13" t="str">
        <f t="shared" si="135"/>
        <v/>
      </c>
      <c r="CP39" s="13"/>
      <c r="CQ39" s="13"/>
      <c r="CR39" s="13"/>
      <c r="CS39" s="13" t="str">
        <f t="shared" si="124"/>
        <v/>
      </c>
      <c r="CT39" s="14" t="str">
        <f t="shared" si="131"/>
        <v/>
      </c>
      <c r="CU39" s="15"/>
      <c r="CV39" s="1"/>
      <c r="CW39" s="16"/>
      <c r="CX39" s="54"/>
      <c r="CY39" s="13" t="str">
        <f t="shared" si="136"/>
        <v/>
      </c>
      <c r="CZ39" s="13"/>
      <c r="DA39" s="13"/>
      <c r="DB39" s="13"/>
      <c r="DC39" s="13" t="str">
        <f t="shared" si="137"/>
        <v/>
      </c>
      <c r="DD39" s="13"/>
      <c r="DE39" s="13"/>
      <c r="DF39" s="13"/>
      <c r="DG39" s="13" t="str">
        <f t="shared" si="125"/>
        <v/>
      </c>
      <c r="DH39" s="14" t="str">
        <f t="shared" si="126"/>
        <v/>
      </c>
      <c r="DI39" s="15"/>
      <c r="DJ39" s="1"/>
      <c r="DK39" s="16"/>
      <c r="DL39" s="54"/>
      <c r="DM39" s="13" t="str">
        <f t="shared" si="138"/>
        <v/>
      </c>
      <c r="DN39" s="13"/>
      <c r="DO39" s="13"/>
      <c r="DP39" s="13"/>
      <c r="DQ39" s="13" t="str">
        <f t="shared" si="139"/>
        <v/>
      </c>
      <c r="DR39" s="13"/>
      <c r="DS39" s="13"/>
      <c r="DT39" s="13"/>
      <c r="DU39" s="13" t="str">
        <f t="shared" si="127"/>
        <v/>
      </c>
      <c r="DV39" s="14" t="str">
        <f t="shared" si="128"/>
        <v/>
      </c>
      <c r="DW39" s="15"/>
      <c r="DY39" s="16"/>
      <c r="DZ39" s="54"/>
      <c r="EA39" s="13" t="str">
        <f t="shared" si="140"/>
        <v/>
      </c>
      <c r="EB39" s="13"/>
      <c r="EC39" s="13"/>
      <c r="ED39" s="13"/>
      <c r="EE39" s="13" t="str">
        <f t="shared" si="141"/>
        <v/>
      </c>
      <c r="EF39" s="13"/>
      <c r="EG39" s="13"/>
      <c r="EH39" s="13"/>
      <c r="EI39" s="13" t="str">
        <f t="shared" si="129"/>
        <v/>
      </c>
      <c r="EJ39" s="14" t="str">
        <f t="shared" si="130"/>
        <v/>
      </c>
      <c r="EK39" s="15"/>
    </row>
    <row r="40" spans="1:141" x14ac:dyDescent="0.2">
      <c r="A40" s="16"/>
      <c r="B40" s="11"/>
      <c r="C40" s="13"/>
      <c r="D40" s="53" t="str">
        <f t="shared" si="35"/>
        <v/>
      </c>
      <c r="E40" s="13"/>
      <c r="F40" s="13" t="str">
        <f t="shared" si="36"/>
        <v/>
      </c>
      <c r="G40" s="13"/>
      <c r="H40" s="13" t="str">
        <f t="shared" si="37"/>
        <v/>
      </c>
      <c r="I40" s="205"/>
      <c r="J40" s="56" t="str">
        <f t="shared" si="70"/>
        <v/>
      </c>
      <c r="K40" s="54" t="str">
        <f t="shared" si="71"/>
        <v/>
      </c>
      <c r="L40" s="13" t="str">
        <f t="shared" si="72"/>
        <v/>
      </c>
      <c r="M40" s="14" t="str">
        <f t="shared" si="73"/>
        <v/>
      </c>
      <c r="N40" s="15"/>
      <c r="O40" s="2"/>
      <c r="P40" s="16"/>
      <c r="Q40" s="13"/>
      <c r="R40" s="53" t="str">
        <f t="shared" si="42"/>
        <v/>
      </c>
      <c r="S40" s="13"/>
      <c r="T40" s="13" t="str">
        <f t="shared" si="43"/>
        <v/>
      </c>
      <c r="U40" s="13"/>
      <c r="V40" s="13" t="str">
        <f t="shared" si="44"/>
        <v/>
      </c>
      <c r="W40" s="205"/>
      <c r="X40" s="56" t="str">
        <f t="shared" si="74"/>
        <v/>
      </c>
      <c r="Y40" s="54" t="str">
        <f t="shared" si="75"/>
        <v/>
      </c>
      <c r="Z40" s="13" t="str">
        <f t="shared" si="76"/>
        <v/>
      </c>
      <c r="AA40" s="14" t="str">
        <f t="shared" si="77"/>
        <v/>
      </c>
      <c r="AB40" s="15"/>
      <c r="AC40" s="15"/>
      <c r="AD40" s="16"/>
      <c r="AE40" s="13"/>
      <c r="AF40" s="53" t="str">
        <f t="shared" si="49"/>
        <v/>
      </c>
      <c r="AG40" s="13"/>
      <c r="AH40" s="13" t="str">
        <f t="shared" si="50"/>
        <v/>
      </c>
      <c r="AI40" s="13"/>
      <c r="AJ40" s="13" t="str">
        <f t="shared" si="51"/>
        <v/>
      </c>
      <c r="AK40" s="205"/>
      <c r="AL40" s="56" t="str">
        <f t="shared" si="78"/>
        <v/>
      </c>
      <c r="AM40" s="54" t="str">
        <f t="shared" si="79"/>
        <v/>
      </c>
      <c r="AN40" s="13" t="str">
        <f t="shared" si="80"/>
        <v/>
      </c>
      <c r="AO40" s="14" t="str">
        <f t="shared" si="81"/>
        <v/>
      </c>
      <c r="AP40" s="15"/>
      <c r="AQ40" s="113"/>
      <c r="AR40" s="16"/>
      <c r="AS40" s="13"/>
      <c r="AT40" s="53" t="str">
        <f t="shared" si="56"/>
        <v/>
      </c>
      <c r="AU40" s="13"/>
      <c r="AV40" s="13" t="str">
        <f t="shared" si="57"/>
        <v/>
      </c>
      <c r="AW40" s="13"/>
      <c r="AX40" s="13" t="str">
        <f t="shared" si="58"/>
        <v/>
      </c>
      <c r="AY40" s="205"/>
      <c r="AZ40" s="56" t="str">
        <f t="shared" si="82"/>
        <v/>
      </c>
      <c r="BA40" s="54" t="str">
        <f t="shared" si="83"/>
        <v/>
      </c>
      <c r="BB40" s="13" t="str">
        <f t="shared" si="84"/>
        <v/>
      </c>
      <c r="BC40" s="14" t="str">
        <f t="shared" si="85"/>
        <v/>
      </c>
      <c r="BD40" s="15"/>
      <c r="BE40" s="2"/>
      <c r="BF40" s="16"/>
      <c r="BG40" s="239" t="s">
        <v>590</v>
      </c>
      <c r="BH40" s="13"/>
      <c r="BI40" s="53" t="str">
        <f t="shared" si="63"/>
        <v/>
      </c>
      <c r="BJ40" s="13"/>
      <c r="BK40" s="13" t="str">
        <f t="shared" si="64"/>
        <v/>
      </c>
      <c r="BL40" s="13"/>
      <c r="BM40" s="13" t="str">
        <f t="shared" si="65"/>
        <v/>
      </c>
      <c r="BN40" s="205"/>
      <c r="BO40" s="56" t="str">
        <f t="shared" si="86"/>
        <v/>
      </c>
      <c r="BP40" s="54" t="str">
        <f t="shared" si="87"/>
        <v/>
      </c>
      <c r="BQ40" s="13" t="str">
        <f t="shared" si="88"/>
        <v/>
      </c>
      <c r="BR40" s="14" t="str">
        <f t="shared" si="89"/>
        <v/>
      </c>
      <c r="BS40" s="15"/>
      <c r="BT40" s="113"/>
      <c r="BU40" s="16"/>
      <c r="BV40" s="54"/>
      <c r="BW40" s="13" t="str">
        <f t="shared" si="132"/>
        <v/>
      </c>
      <c r="BX40" s="13"/>
      <c r="BY40" s="13"/>
      <c r="BZ40" s="13"/>
      <c r="CA40" s="13" t="str">
        <f t="shared" si="133"/>
        <v/>
      </c>
      <c r="CB40" s="13"/>
      <c r="CC40" s="13"/>
      <c r="CD40" s="13"/>
      <c r="CE40" s="13" t="str">
        <f t="shared" si="122"/>
        <v/>
      </c>
      <c r="CF40" s="14" t="str">
        <f t="shared" si="123"/>
        <v/>
      </c>
      <c r="CG40" s="15"/>
      <c r="CH40" s="1"/>
      <c r="CI40" s="16"/>
      <c r="CJ40" s="54"/>
      <c r="CK40" s="13" t="str">
        <f t="shared" si="134"/>
        <v/>
      </c>
      <c r="CL40" s="13"/>
      <c r="CM40" s="13"/>
      <c r="CN40" s="13"/>
      <c r="CO40" s="13" t="str">
        <f t="shared" si="135"/>
        <v/>
      </c>
      <c r="CP40" s="13"/>
      <c r="CQ40" s="13"/>
      <c r="CR40" s="13"/>
      <c r="CS40" s="13" t="str">
        <f t="shared" si="124"/>
        <v/>
      </c>
      <c r="CT40" s="14" t="str">
        <f t="shared" si="131"/>
        <v/>
      </c>
      <c r="CU40" s="15"/>
      <c r="CV40" s="1"/>
      <c r="CW40" s="16"/>
      <c r="CX40" s="54"/>
      <c r="CY40" s="13" t="str">
        <f t="shared" si="136"/>
        <v/>
      </c>
      <c r="CZ40" s="13"/>
      <c r="DA40" s="13"/>
      <c r="DB40" s="13"/>
      <c r="DC40" s="13" t="str">
        <f t="shared" si="137"/>
        <v/>
      </c>
      <c r="DD40" s="13"/>
      <c r="DE40" s="13"/>
      <c r="DF40" s="13"/>
      <c r="DG40" s="13" t="str">
        <f t="shared" si="125"/>
        <v/>
      </c>
      <c r="DH40" s="14" t="str">
        <f t="shared" si="126"/>
        <v/>
      </c>
      <c r="DI40" s="15"/>
      <c r="DJ40" s="1"/>
      <c r="DK40" s="16"/>
      <c r="DL40" s="54"/>
      <c r="DM40" s="13" t="str">
        <f t="shared" si="138"/>
        <v/>
      </c>
      <c r="DN40" s="13"/>
      <c r="DO40" s="13"/>
      <c r="DP40" s="13"/>
      <c r="DQ40" s="13" t="str">
        <f t="shared" si="139"/>
        <v/>
      </c>
      <c r="DR40" s="13"/>
      <c r="DS40" s="13"/>
      <c r="DT40" s="13"/>
      <c r="DU40" s="13" t="str">
        <f t="shared" si="127"/>
        <v/>
      </c>
      <c r="DV40" s="14" t="str">
        <f t="shared" si="128"/>
        <v/>
      </c>
      <c r="DW40" s="15"/>
      <c r="DY40" s="16"/>
      <c r="DZ40" s="54"/>
      <c r="EA40" s="13" t="str">
        <f t="shared" si="140"/>
        <v/>
      </c>
      <c r="EB40" s="13"/>
      <c r="EC40" s="13"/>
      <c r="ED40" s="13"/>
      <c r="EE40" s="13" t="str">
        <f t="shared" si="141"/>
        <v/>
      </c>
      <c r="EF40" s="13"/>
      <c r="EG40" s="13"/>
      <c r="EH40" s="13"/>
      <c r="EI40" s="13" t="str">
        <f t="shared" si="129"/>
        <v/>
      </c>
      <c r="EJ40" s="14" t="str">
        <f t="shared" si="130"/>
        <v/>
      </c>
      <c r="EK40" s="15"/>
    </row>
    <row r="41" spans="1:141" ht="15" customHeight="1" x14ac:dyDescent="0.2">
      <c r="A41" s="149"/>
      <c r="B41" s="11"/>
      <c r="C41" s="13"/>
      <c r="D41" s="63" t="str">
        <f t="shared" si="35"/>
        <v/>
      </c>
      <c r="E41" s="13"/>
      <c r="F41" s="13" t="str">
        <f t="shared" si="36"/>
        <v/>
      </c>
      <c r="G41" s="34"/>
      <c r="H41" s="34" t="str">
        <f t="shared" si="37"/>
        <v/>
      </c>
      <c r="I41" s="214"/>
      <c r="J41" s="56" t="str">
        <f t="shared" si="70"/>
        <v/>
      </c>
      <c r="K41" s="13" t="str">
        <f t="shared" si="71"/>
        <v/>
      </c>
      <c r="L41" s="13" t="str">
        <f t="shared" si="72"/>
        <v/>
      </c>
      <c r="M41" s="14" t="str">
        <f t="shared" si="73"/>
        <v/>
      </c>
      <c r="N41" s="15"/>
      <c r="O41" s="2"/>
      <c r="P41" s="16"/>
      <c r="Q41" s="13"/>
      <c r="R41" s="63" t="str">
        <f t="shared" si="42"/>
        <v/>
      </c>
      <c r="S41" s="13"/>
      <c r="T41" s="13" t="str">
        <f t="shared" si="43"/>
        <v/>
      </c>
      <c r="U41" s="34"/>
      <c r="V41" s="34" t="str">
        <f t="shared" si="44"/>
        <v/>
      </c>
      <c r="W41" s="214"/>
      <c r="X41" s="56" t="str">
        <f t="shared" si="74"/>
        <v/>
      </c>
      <c r="Y41" s="13" t="str">
        <f t="shared" si="75"/>
        <v/>
      </c>
      <c r="Z41" s="13" t="str">
        <f t="shared" si="76"/>
        <v/>
      </c>
      <c r="AA41" s="14" t="str">
        <f t="shared" si="77"/>
        <v/>
      </c>
      <c r="AB41" s="15"/>
      <c r="AC41" s="15"/>
      <c r="AD41" s="16"/>
      <c r="AE41" s="13"/>
      <c r="AF41" s="63" t="str">
        <f t="shared" si="49"/>
        <v/>
      </c>
      <c r="AG41" s="13"/>
      <c r="AH41" s="13" t="str">
        <f t="shared" si="50"/>
        <v/>
      </c>
      <c r="AI41" s="34"/>
      <c r="AJ41" s="34" t="str">
        <f t="shared" si="51"/>
        <v/>
      </c>
      <c r="AK41" s="214"/>
      <c r="AL41" s="56" t="str">
        <f t="shared" si="78"/>
        <v/>
      </c>
      <c r="AM41" s="13" t="str">
        <f t="shared" si="79"/>
        <v/>
      </c>
      <c r="AN41" s="13" t="str">
        <f t="shared" si="80"/>
        <v/>
      </c>
      <c r="AO41" s="14" t="str">
        <f t="shared" si="81"/>
        <v/>
      </c>
      <c r="AP41" s="15"/>
      <c r="AQ41" s="113"/>
      <c r="AR41" s="16"/>
      <c r="AS41" s="13"/>
      <c r="AT41" s="63" t="str">
        <f t="shared" si="56"/>
        <v/>
      </c>
      <c r="AU41" s="13"/>
      <c r="AV41" s="13" t="str">
        <f t="shared" si="57"/>
        <v/>
      </c>
      <c r="AW41" s="34"/>
      <c r="AX41" s="34" t="str">
        <f t="shared" si="58"/>
        <v/>
      </c>
      <c r="AY41" s="214"/>
      <c r="AZ41" s="56" t="str">
        <f t="shared" si="82"/>
        <v/>
      </c>
      <c r="BA41" s="13" t="str">
        <f t="shared" si="83"/>
        <v/>
      </c>
      <c r="BB41" s="13" t="str">
        <f t="shared" si="84"/>
        <v/>
      </c>
      <c r="BC41" s="14" t="str">
        <f t="shared" si="85"/>
        <v/>
      </c>
      <c r="BD41" s="15"/>
      <c r="BE41" s="2"/>
      <c r="BF41" s="16"/>
      <c r="BG41" s="239" t="s">
        <v>591</v>
      </c>
      <c r="BH41" s="13"/>
      <c r="BI41" s="63" t="str">
        <f t="shared" si="63"/>
        <v/>
      </c>
      <c r="BJ41" s="13"/>
      <c r="BK41" s="13" t="str">
        <f t="shared" si="64"/>
        <v/>
      </c>
      <c r="BL41" s="34"/>
      <c r="BM41" s="34" t="str">
        <f t="shared" si="65"/>
        <v/>
      </c>
      <c r="BN41" s="214"/>
      <c r="BO41" s="56" t="str">
        <f t="shared" si="86"/>
        <v/>
      </c>
      <c r="BP41" s="13" t="str">
        <f t="shared" si="87"/>
        <v/>
      </c>
      <c r="BQ41" s="13" t="str">
        <f t="shared" si="88"/>
        <v/>
      </c>
      <c r="BR41" s="14" t="str">
        <f t="shared" si="89"/>
        <v/>
      </c>
      <c r="BS41" s="15"/>
      <c r="BT41" s="113"/>
      <c r="BU41" s="16"/>
      <c r="BV41" s="54"/>
      <c r="BW41" s="13" t="str">
        <f t="shared" si="132"/>
        <v/>
      </c>
      <c r="BX41" s="13"/>
      <c r="BY41" s="13"/>
      <c r="BZ41" s="13"/>
      <c r="CA41" s="13" t="str">
        <f t="shared" si="133"/>
        <v/>
      </c>
      <c r="CB41" s="13"/>
      <c r="CC41" s="13"/>
      <c r="CD41" s="13"/>
      <c r="CE41" s="13" t="str">
        <f t="shared" si="122"/>
        <v/>
      </c>
      <c r="CF41" s="14" t="str">
        <f t="shared" si="123"/>
        <v/>
      </c>
      <c r="CG41" s="15"/>
      <c r="CH41" s="1"/>
      <c r="CI41" s="16"/>
      <c r="CJ41" s="54"/>
      <c r="CK41" s="13" t="str">
        <f t="shared" si="134"/>
        <v/>
      </c>
      <c r="CL41" s="13"/>
      <c r="CM41" s="13"/>
      <c r="CN41" s="13"/>
      <c r="CO41" s="13" t="str">
        <f t="shared" si="135"/>
        <v/>
      </c>
      <c r="CP41" s="13"/>
      <c r="CQ41" s="13"/>
      <c r="CR41" s="13"/>
      <c r="CS41" s="13" t="str">
        <f t="shared" si="124"/>
        <v/>
      </c>
      <c r="CT41" s="14" t="str">
        <f t="shared" si="131"/>
        <v/>
      </c>
      <c r="CU41" s="15"/>
      <c r="CV41" s="1"/>
      <c r="CW41" s="16"/>
      <c r="CX41" s="54"/>
      <c r="CY41" s="13" t="str">
        <f t="shared" si="136"/>
        <v/>
      </c>
      <c r="CZ41" s="13"/>
      <c r="DA41" s="13"/>
      <c r="DB41" s="13"/>
      <c r="DC41" s="13" t="str">
        <f t="shared" si="137"/>
        <v/>
      </c>
      <c r="DD41" s="13"/>
      <c r="DE41" s="13"/>
      <c r="DF41" s="13"/>
      <c r="DG41" s="13" t="str">
        <f t="shared" si="125"/>
        <v/>
      </c>
      <c r="DH41" s="14" t="str">
        <f t="shared" si="126"/>
        <v/>
      </c>
      <c r="DI41" s="15"/>
      <c r="DJ41" s="1"/>
      <c r="DK41" s="16"/>
      <c r="DL41" s="54"/>
      <c r="DM41" s="13" t="str">
        <f t="shared" si="138"/>
        <v/>
      </c>
      <c r="DN41" s="13"/>
      <c r="DO41" s="13"/>
      <c r="DP41" s="13"/>
      <c r="DQ41" s="13" t="str">
        <f t="shared" si="139"/>
        <v/>
      </c>
      <c r="DR41" s="13"/>
      <c r="DS41" s="13"/>
      <c r="DT41" s="13"/>
      <c r="DU41" s="13" t="str">
        <f t="shared" si="127"/>
        <v/>
      </c>
      <c r="DV41" s="14" t="str">
        <f t="shared" si="128"/>
        <v/>
      </c>
      <c r="DW41" s="15"/>
      <c r="DY41" s="16"/>
      <c r="DZ41" s="54"/>
      <c r="EA41" s="13" t="str">
        <f t="shared" si="140"/>
        <v/>
      </c>
      <c r="EB41" s="13"/>
      <c r="EC41" s="13"/>
      <c r="ED41" s="13"/>
      <c r="EE41" s="13" t="str">
        <f t="shared" si="141"/>
        <v/>
      </c>
      <c r="EF41" s="13"/>
      <c r="EG41" s="13"/>
      <c r="EH41" s="13"/>
      <c r="EI41" s="13" t="str">
        <f t="shared" si="129"/>
        <v/>
      </c>
      <c r="EJ41" s="14" t="str">
        <f t="shared" si="130"/>
        <v/>
      </c>
      <c r="EK41" s="15"/>
    </row>
    <row r="42" spans="1:141" ht="15" customHeight="1" thickBot="1" x14ac:dyDescent="0.25">
      <c r="A42" s="26"/>
      <c r="B42" s="46"/>
      <c r="C42" s="29"/>
      <c r="D42" s="61" t="str">
        <f t="shared" si="35"/>
        <v/>
      </c>
      <c r="E42" s="62"/>
      <c r="F42" s="29" t="str">
        <f t="shared" si="36"/>
        <v/>
      </c>
      <c r="G42" s="64"/>
      <c r="H42" s="64" t="str">
        <f t="shared" si="37"/>
        <v/>
      </c>
      <c r="I42" s="217"/>
      <c r="J42" s="57" t="str">
        <f t="shared" si="70"/>
        <v/>
      </c>
      <c r="K42" s="62" t="str">
        <f t="shared" si="71"/>
        <v/>
      </c>
      <c r="L42" s="27" t="str">
        <f t="shared" si="72"/>
        <v/>
      </c>
      <c r="M42" s="28" t="str">
        <f t="shared" si="73"/>
        <v/>
      </c>
      <c r="N42" s="15"/>
      <c r="O42" s="2"/>
      <c r="P42" s="26"/>
      <c r="Q42" s="29"/>
      <c r="R42" s="61" t="str">
        <f t="shared" si="42"/>
        <v/>
      </c>
      <c r="S42" s="62"/>
      <c r="T42" s="29" t="str">
        <f t="shared" si="43"/>
        <v/>
      </c>
      <c r="U42" s="64"/>
      <c r="V42" s="64" t="str">
        <f t="shared" si="44"/>
        <v/>
      </c>
      <c r="W42" s="217"/>
      <c r="X42" s="57" t="str">
        <f t="shared" si="74"/>
        <v/>
      </c>
      <c r="Y42" s="62" t="str">
        <f t="shared" si="75"/>
        <v/>
      </c>
      <c r="Z42" s="27" t="str">
        <f t="shared" si="76"/>
        <v/>
      </c>
      <c r="AA42" s="28" t="str">
        <f t="shared" si="77"/>
        <v/>
      </c>
      <c r="AB42" s="15"/>
      <c r="AC42" s="15"/>
      <c r="AD42" s="26"/>
      <c r="AE42" s="29"/>
      <c r="AF42" s="61" t="str">
        <f t="shared" si="49"/>
        <v/>
      </c>
      <c r="AG42" s="62"/>
      <c r="AH42" s="29" t="str">
        <f t="shared" si="50"/>
        <v/>
      </c>
      <c r="AI42" s="64"/>
      <c r="AJ42" s="64" t="str">
        <f t="shared" si="51"/>
        <v/>
      </c>
      <c r="AK42" s="217"/>
      <c r="AL42" s="57" t="str">
        <f t="shared" si="78"/>
        <v/>
      </c>
      <c r="AM42" s="62" t="str">
        <f t="shared" si="79"/>
        <v/>
      </c>
      <c r="AN42" s="27" t="str">
        <f t="shared" si="80"/>
        <v/>
      </c>
      <c r="AO42" s="28" t="str">
        <f t="shared" si="81"/>
        <v/>
      </c>
      <c r="AP42" s="15"/>
      <c r="AQ42" s="113"/>
      <c r="AR42" s="26"/>
      <c r="AS42" s="29"/>
      <c r="AT42" s="61" t="str">
        <f t="shared" si="56"/>
        <v/>
      </c>
      <c r="AU42" s="62"/>
      <c r="AV42" s="29" t="str">
        <f t="shared" si="57"/>
        <v/>
      </c>
      <c r="AW42" s="64"/>
      <c r="AX42" s="64" t="str">
        <f t="shared" si="58"/>
        <v/>
      </c>
      <c r="AY42" s="217"/>
      <c r="AZ42" s="57" t="str">
        <f t="shared" si="82"/>
        <v/>
      </c>
      <c r="BA42" s="62" t="str">
        <f t="shared" si="83"/>
        <v/>
      </c>
      <c r="BB42" s="27" t="str">
        <f t="shared" si="84"/>
        <v/>
      </c>
      <c r="BC42" s="28" t="str">
        <f t="shared" si="85"/>
        <v/>
      </c>
      <c r="BD42" s="15"/>
      <c r="BE42" s="2"/>
      <c r="BF42" s="26"/>
      <c r="BG42" s="238" t="s">
        <v>592</v>
      </c>
      <c r="BH42" s="29"/>
      <c r="BI42" s="61" t="str">
        <f t="shared" si="63"/>
        <v/>
      </c>
      <c r="BJ42" s="62"/>
      <c r="BK42" s="29" t="str">
        <f t="shared" si="64"/>
        <v/>
      </c>
      <c r="BL42" s="64"/>
      <c r="BM42" s="64" t="str">
        <f t="shared" si="65"/>
        <v/>
      </c>
      <c r="BN42" s="217"/>
      <c r="BO42" s="57" t="str">
        <f t="shared" si="86"/>
        <v/>
      </c>
      <c r="BP42" s="62" t="str">
        <f t="shared" si="87"/>
        <v/>
      </c>
      <c r="BQ42" s="27" t="str">
        <f t="shared" si="88"/>
        <v/>
      </c>
      <c r="BR42" s="28" t="str">
        <f t="shared" si="89"/>
        <v/>
      </c>
      <c r="BS42" s="15"/>
      <c r="BT42" s="113"/>
      <c r="BU42" s="16"/>
      <c r="BV42" s="54"/>
      <c r="BW42" s="13" t="str">
        <f t="shared" si="132"/>
        <v/>
      </c>
      <c r="BX42" s="13"/>
      <c r="BY42" s="13"/>
      <c r="BZ42" s="13"/>
      <c r="CA42" s="13" t="str">
        <f t="shared" si="133"/>
        <v/>
      </c>
      <c r="CB42" s="13"/>
      <c r="CC42" s="13"/>
      <c r="CD42" s="13"/>
      <c r="CE42" s="13" t="str">
        <f t="shared" si="122"/>
        <v/>
      </c>
      <c r="CF42" s="14" t="str">
        <f t="shared" si="123"/>
        <v/>
      </c>
      <c r="CG42" s="15"/>
      <c r="CH42" s="1"/>
      <c r="CI42" s="16"/>
      <c r="CJ42" s="54"/>
      <c r="CK42" s="13" t="str">
        <f t="shared" si="134"/>
        <v/>
      </c>
      <c r="CL42" s="13"/>
      <c r="CM42" s="13"/>
      <c r="CN42" s="13"/>
      <c r="CO42" s="13" t="str">
        <f t="shared" si="135"/>
        <v/>
      </c>
      <c r="CP42" s="13"/>
      <c r="CQ42" s="13"/>
      <c r="CR42" s="13"/>
      <c r="CS42" s="13" t="str">
        <f t="shared" si="124"/>
        <v/>
      </c>
      <c r="CT42" s="14" t="str">
        <f t="shared" si="131"/>
        <v/>
      </c>
      <c r="CU42" s="15"/>
      <c r="CV42" s="1"/>
      <c r="CW42" s="16"/>
      <c r="CX42" s="54"/>
      <c r="CY42" s="13" t="str">
        <f t="shared" si="136"/>
        <v/>
      </c>
      <c r="CZ42" s="13"/>
      <c r="DA42" s="13"/>
      <c r="DB42" s="13"/>
      <c r="DC42" s="13" t="str">
        <f t="shared" si="137"/>
        <v/>
      </c>
      <c r="DD42" s="13"/>
      <c r="DE42" s="13"/>
      <c r="DF42" s="13"/>
      <c r="DG42" s="13" t="str">
        <f t="shared" si="125"/>
        <v/>
      </c>
      <c r="DH42" s="14" t="str">
        <f t="shared" si="126"/>
        <v/>
      </c>
      <c r="DI42" s="15"/>
      <c r="DJ42" s="1"/>
      <c r="DK42" s="16"/>
      <c r="DL42" s="54"/>
      <c r="DM42" s="13" t="str">
        <f t="shared" si="138"/>
        <v/>
      </c>
      <c r="DN42" s="13"/>
      <c r="DO42" s="13"/>
      <c r="DP42" s="13"/>
      <c r="DQ42" s="13" t="str">
        <f t="shared" si="139"/>
        <v/>
      </c>
      <c r="DR42" s="13"/>
      <c r="DS42" s="13"/>
      <c r="DT42" s="13"/>
      <c r="DU42" s="13" t="str">
        <f t="shared" si="127"/>
        <v/>
      </c>
      <c r="DV42" s="14" t="str">
        <f t="shared" si="128"/>
        <v/>
      </c>
      <c r="DW42" s="15"/>
      <c r="DY42" s="16"/>
      <c r="DZ42" s="54"/>
      <c r="EA42" s="13" t="str">
        <f t="shared" si="140"/>
        <v/>
      </c>
      <c r="EB42" s="13"/>
      <c r="EC42" s="13"/>
      <c r="ED42" s="13"/>
      <c r="EE42" s="13" t="str">
        <f t="shared" si="141"/>
        <v/>
      </c>
      <c r="EF42" s="13"/>
      <c r="EG42" s="13"/>
      <c r="EH42" s="13"/>
      <c r="EI42" s="13" t="str">
        <f t="shared" si="129"/>
        <v/>
      </c>
      <c r="EJ42" s="14" t="str">
        <f t="shared" si="130"/>
        <v/>
      </c>
      <c r="EK42" s="15"/>
    </row>
    <row r="43" spans="1:141" ht="15" customHeight="1" thickTop="1" x14ac:dyDescent="0.2">
      <c r="A43" s="79"/>
      <c r="B43" s="74" t="str">
        <f>IF(A43="","",SUM(D43:D46)+SUM(R43:R46)+SUM(AF43:AF46)+SUM(AT43:AT46)+SUM(BW13,CK13,CY13,DM13))</f>
        <v/>
      </c>
      <c r="C43" s="53"/>
      <c r="D43" s="53" t="str">
        <f t="shared" si="35"/>
        <v/>
      </c>
      <c r="E43" s="53"/>
      <c r="F43" s="31" t="str">
        <f t="shared" si="36"/>
        <v/>
      </c>
      <c r="G43" s="53"/>
      <c r="H43" s="53" t="str">
        <f t="shared" si="37"/>
        <v/>
      </c>
      <c r="I43" s="192"/>
      <c r="J43" s="75" t="str">
        <f t="shared" si="70"/>
        <v/>
      </c>
      <c r="K43" s="76" t="str">
        <f t="shared" si="71"/>
        <v/>
      </c>
      <c r="L43" s="31" t="str">
        <f t="shared" si="72"/>
        <v/>
      </c>
      <c r="M43" s="32" t="str">
        <f t="shared" si="73"/>
        <v/>
      </c>
      <c r="N43" s="15"/>
      <c r="O43" s="2"/>
      <c r="P43" s="79" t="str">
        <f>IF(A43="","",A43)</f>
        <v/>
      </c>
      <c r="Q43" s="53"/>
      <c r="R43" s="53" t="str">
        <f t="shared" si="42"/>
        <v/>
      </c>
      <c r="S43" s="53"/>
      <c r="T43" s="31" t="str">
        <f t="shared" si="43"/>
        <v/>
      </c>
      <c r="U43" s="53"/>
      <c r="V43" s="53" t="str">
        <f t="shared" si="44"/>
        <v/>
      </c>
      <c r="W43" s="192"/>
      <c r="X43" s="75" t="str">
        <f t="shared" ref="X40:X58" si="142">IF(Q43="","",X39)</f>
        <v/>
      </c>
      <c r="Y43" s="76" t="str">
        <f t="shared" ref="Y40:Y58" si="143">IF(R43="","",Y39)</f>
        <v/>
      </c>
      <c r="Z43" s="31" t="str">
        <f t="shared" si="76"/>
        <v/>
      </c>
      <c r="AA43" s="32" t="str">
        <f t="shared" si="77"/>
        <v/>
      </c>
      <c r="AB43" s="15"/>
      <c r="AC43" s="15"/>
      <c r="AD43" s="79" t="str">
        <f>IF($A43="","",$A43)</f>
        <v/>
      </c>
      <c r="AE43" s="53"/>
      <c r="AF43" s="53" t="str">
        <f t="shared" si="49"/>
        <v/>
      </c>
      <c r="AG43" s="53"/>
      <c r="AH43" s="31" t="str">
        <f t="shared" si="50"/>
        <v/>
      </c>
      <c r="AI43" s="53"/>
      <c r="AJ43" s="53" t="str">
        <f t="shared" si="51"/>
        <v/>
      </c>
      <c r="AK43" s="192"/>
      <c r="AL43" s="75" t="str">
        <f t="shared" ref="AL32:AL58" si="144">IF(AE43="","",AL39)</f>
        <v/>
      </c>
      <c r="AM43" s="76" t="str">
        <f t="shared" ref="AM32:AM58" si="145">IF(AF43="","",AM39)</f>
        <v/>
      </c>
      <c r="AN43" s="31" t="str">
        <f t="shared" si="80"/>
        <v/>
      </c>
      <c r="AO43" s="32" t="str">
        <f t="shared" si="81"/>
        <v/>
      </c>
      <c r="AP43" s="15"/>
      <c r="AQ43" s="113"/>
      <c r="AR43" s="79" t="str">
        <f>IF($A43="","",$A43)</f>
        <v/>
      </c>
      <c r="AS43" s="53"/>
      <c r="AT43" s="53" t="str">
        <f t="shared" si="56"/>
        <v/>
      </c>
      <c r="AU43" s="53"/>
      <c r="AV43" s="31" t="str">
        <f t="shared" si="57"/>
        <v/>
      </c>
      <c r="AW43" s="53"/>
      <c r="AX43" s="53" t="str">
        <f t="shared" si="58"/>
        <v/>
      </c>
      <c r="AY43" s="192"/>
      <c r="AZ43" s="75" t="str">
        <f t="shared" ref="AZ28:AZ58" si="146">IF(AS43="","",AZ39)</f>
        <v/>
      </c>
      <c r="BA43" s="76" t="str">
        <f t="shared" si="83"/>
        <v/>
      </c>
      <c r="BB43" s="31" t="str">
        <f t="shared" si="84"/>
        <v/>
      </c>
      <c r="BC43" s="32" t="str">
        <f t="shared" si="85"/>
        <v/>
      </c>
      <c r="BD43" s="15"/>
      <c r="BE43" s="2"/>
      <c r="BF43" s="79" t="str">
        <f>IF($A43="","",$A43)</f>
        <v/>
      </c>
      <c r="BG43" s="240"/>
      <c r="BH43" s="53"/>
      <c r="BI43" s="53" t="str">
        <f t="shared" si="63"/>
        <v/>
      </c>
      <c r="BJ43" s="53"/>
      <c r="BK43" s="31" t="str">
        <f t="shared" si="64"/>
        <v/>
      </c>
      <c r="BL43" s="53"/>
      <c r="BM43" s="53" t="str">
        <f t="shared" si="65"/>
        <v/>
      </c>
      <c r="BN43" s="192"/>
      <c r="BO43" s="75" t="str">
        <f t="shared" ref="BO22:BO58" si="147">IF(BH43="","",BO39)</f>
        <v/>
      </c>
      <c r="BP43" s="76" t="str">
        <f t="shared" si="87"/>
        <v/>
      </c>
      <c r="BQ43" s="31" t="str">
        <f t="shared" si="88"/>
        <v/>
      </c>
      <c r="BR43" s="32" t="str">
        <f t="shared" si="89"/>
        <v/>
      </c>
      <c r="BS43" s="15"/>
      <c r="BT43" s="113"/>
      <c r="BU43" s="16"/>
      <c r="BV43" s="54"/>
      <c r="BW43" s="13" t="str">
        <f t="shared" si="132"/>
        <v/>
      </c>
      <c r="BX43" s="13"/>
      <c r="BY43" s="13"/>
      <c r="BZ43" s="13"/>
      <c r="CA43" s="13" t="str">
        <f t="shared" si="133"/>
        <v/>
      </c>
      <c r="CB43" s="13"/>
      <c r="CC43" s="13"/>
      <c r="CD43" s="13"/>
      <c r="CE43" s="13" t="str">
        <f t="shared" si="122"/>
        <v/>
      </c>
      <c r="CF43" s="14" t="str">
        <f t="shared" si="123"/>
        <v/>
      </c>
      <c r="CG43" s="15"/>
      <c r="CH43" s="1"/>
      <c r="CI43" s="16"/>
      <c r="CJ43" s="54"/>
      <c r="CK43" s="13" t="str">
        <f t="shared" si="134"/>
        <v/>
      </c>
      <c r="CL43" s="13"/>
      <c r="CM43" s="13"/>
      <c r="CN43" s="13"/>
      <c r="CO43" s="13" t="str">
        <f t="shared" si="135"/>
        <v/>
      </c>
      <c r="CP43" s="13"/>
      <c r="CQ43" s="13"/>
      <c r="CR43" s="13"/>
      <c r="CS43" s="13" t="str">
        <f t="shared" si="124"/>
        <v/>
      </c>
      <c r="CT43" s="14" t="str">
        <f t="shared" si="131"/>
        <v/>
      </c>
      <c r="CU43" s="15"/>
      <c r="CV43" s="1"/>
      <c r="CW43" s="16"/>
      <c r="CX43" s="54"/>
      <c r="CY43" s="13" t="str">
        <f t="shared" si="136"/>
        <v/>
      </c>
      <c r="CZ43" s="13"/>
      <c r="DA43" s="13"/>
      <c r="DB43" s="13"/>
      <c r="DC43" s="13" t="str">
        <f t="shared" si="137"/>
        <v/>
      </c>
      <c r="DD43" s="13"/>
      <c r="DE43" s="13"/>
      <c r="DF43" s="13"/>
      <c r="DG43" s="13" t="str">
        <f t="shared" si="125"/>
        <v/>
      </c>
      <c r="DH43" s="14" t="str">
        <f t="shared" si="126"/>
        <v/>
      </c>
      <c r="DI43" s="15"/>
      <c r="DJ43" s="1"/>
      <c r="DK43" s="16"/>
      <c r="DL43" s="54"/>
      <c r="DM43" s="13" t="str">
        <f t="shared" si="138"/>
        <v/>
      </c>
      <c r="DN43" s="13"/>
      <c r="DO43" s="13"/>
      <c r="DP43" s="13"/>
      <c r="DQ43" s="13" t="str">
        <f t="shared" si="139"/>
        <v/>
      </c>
      <c r="DR43" s="13"/>
      <c r="DS43" s="13"/>
      <c r="DT43" s="13"/>
      <c r="DU43" s="13" t="str">
        <f t="shared" si="127"/>
        <v/>
      </c>
      <c r="DV43" s="14" t="str">
        <f t="shared" si="128"/>
        <v/>
      </c>
      <c r="DW43" s="15"/>
      <c r="DY43" s="16"/>
      <c r="DZ43" s="54"/>
      <c r="EA43" s="13" t="str">
        <f t="shared" si="140"/>
        <v/>
      </c>
      <c r="EB43" s="13"/>
      <c r="EC43" s="13"/>
      <c r="ED43" s="13"/>
      <c r="EE43" s="13" t="str">
        <f t="shared" si="141"/>
        <v/>
      </c>
      <c r="EF43" s="13"/>
      <c r="EG43" s="13"/>
      <c r="EH43" s="13"/>
      <c r="EI43" s="13" t="str">
        <f t="shared" si="129"/>
        <v/>
      </c>
      <c r="EJ43" s="14" t="str">
        <f t="shared" si="130"/>
        <v/>
      </c>
      <c r="EK43" s="15"/>
    </row>
    <row r="44" spans="1:141" ht="15" customHeight="1" x14ac:dyDescent="0.2">
      <c r="A44" s="16"/>
      <c r="B44" s="11"/>
      <c r="C44" s="13"/>
      <c r="D44" s="53" t="str">
        <f t="shared" si="35"/>
        <v/>
      </c>
      <c r="E44" s="13"/>
      <c r="F44" s="13" t="str">
        <f t="shared" si="36"/>
        <v/>
      </c>
      <c r="G44" s="13"/>
      <c r="H44" s="13" t="str">
        <f t="shared" si="37"/>
        <v/>
      </c>
      <c r="I44" s="205"/>
      <c r="J44" s="56" t="str">
        <f t="shared" si="70"/>
        <v/>
      </c>
      <c r="K44" s="54" t="str">
        <f t="shared" si="71"/>
        <v/>
      </c>
      <c r="L44" s="13" t="str">
        <f t="shared" si="72"/>
        <v/>
      </c>
      <c r="M44" s="14" t="str">
        <f t="shared" si="73"/>
        <v/>
      </c>
      <c r="N44" s="15"/>
      <c r="O44" s="2"/>
      <c r="P44" s="16"/>
      <c r="Q44" s="13"/>
      <c r="R44" s="53" t="str">
        <f t="shared" si="42"/>
        <v/>
      </c>
      <c r="S44" s="13"/>
      <c r="T44" s="13" t="str">
        <f t="shared" si="43"/>
        <v/>
      </c>
      <c r="U44" s="13"/>
      <c r="V44" s="13" t="str">
        <f t="shared" si="44"/>
        <v/>
      </c>
      <c r="W44" s="205"/>
      <c r="X44" s="56" t="str">
        <f t="shared" si="142"/>
        <v/>
      </c>
      <c r="Y44" s="54" t="str">
        <f t="shared" si="143"/>
        <v/>
      </c>
      <c r="Z44" s="13" t="str">
        <f t="shared" si="76"/>
        <v/>
      </c>
      <c r="AA44" s="14" t="str">
        <f t="shared" si="77"/>
        <v/>
      </c>
      <c r="AB44" s="15"/>
      <c r="AC44" s="15"/>
      <c r="AD44" s="16"/>
      <c r="AE44" s="13"/>
      <c r="AF44" s="53" t="str">
        <f t="shared" si="49"/>
        <v/>
      </c>
      <c r="AG44" s="13"/>
      <c r="AH44" s="13" t="str">
        <f t="shared" si="50"/>
        <v/>
      </c>
      <c r="AI44" s="13"/>
      <c r="AJ44" s="13" t="str">
        <f t="shared" si="51"/>
        <v/>
      </c>
      <c r="AK44" s="205"/>
      <c r="AL44" s="56" t="str">
        <f t="shared" si="144"/>
        <v/>
      </c>
      <c r="AM44" s="54" t="str">
        <f t="shared" si="145"/>
        <v/>
      </c>
      <c r="AN44" s="13" t="str">
        <f t="shared" si="80"/>
        <v/>
      </c>
      <c r="AO44" s="14" t="str">
        <f t="shared" si="81"/>
        <v/>
      </c>
      <c r="AP44" s="15"/>
      <c r="AQ44" s="113"/>
      <c r="AR44" s="16"/>
      <c r="AS44" s="13"/>
      <c r="AT44" s="53" t="str">
        <f t="shared" si="56"/>
        <v/>
      </c>
      <c r="AU44" s="13"/>
      <c r="AV44" s="13" t="str">
        <f t="shared" si="57"/>
        <v/>
      </c>
      <c r="AW44" s="13"/>
      <c r="AX44" s="13" t="str">
        <f t="shared" si="58"/>
        <v/>
      </c>
      <c r="AY44" s="205"/>
      <c r="AZ44" s="56" t="str">
        <f t="shared" si="146"/>
        <v/>
      </c>
      <c r="BA44" s="54" t="str">
        <f t="shared" si="83"/>
        <v/>
      </c>
      <c r="BB44" s="13" t="str">
        <f t="shared" si="84"/>
        <v/>
      </c>
      <c r="BC44" s="14" t="str">
        <f t="shared" si="85"/>
        <v/>
      </c>
      <c r="BD44" s="15"/>
      <c r="BE44" s="2"/>
      <c r="BF44" s="16"/>
      <c r="BG44" s="7"/>
      <c r="BH44" s="13"/>
      <c r="BI44" s="53" t="str">
        <f t="shared" si="63"/>
        <v/>
      </c>
      <c r="BJ44" s="13"/>
      <c r="BK44" s="13" t="str">
        <f t="shared" si="64"/>
        <v/>
      </c>
      <c r="BL44" s="13"/>
      <c r="BM44" s="13" t="str">
        <f t="shared" si="65"/>
        <v/>
      </c>
      <c r="BN44" s="205"/>
      <c r="BO44" s="56" t="str">
        <f t="shared" si="147"/>
        <v/>
      </c>
      <c r="BP44" s="54" t="str">
        <f t="shared" si="87"/>
        <v/>
      </c>
      <c r="BQ44" s="13" t="str">
        <f t="shared" si="88"/>
        <v/>
      </c>
      <c r="BR44" s="14" t="str">
        <f t="shared" si="89"/>
        <v/>
      </c>
      <c r="BS44" s="15"/>
      <c r="BT44" s="113"/>
      <c r="BU44" s="16"/>
      <c r="BV44" s="54"/>
      <c r="BW44" s="13" t="str">
        <f t="shared" si="132"/>
        <v/>
      </c>
      <c r="BX44" s="13"/>
      <c r="BY44" s="13"/>
      <c r="BZ44" s="13"/>
      <c r="CA44" s="13" t="str">
        <f t="shared" si="133"/>
        <v/>
      </c>
      <c r="CB44" s="13"/>
      <c r="CC44" s="13"/>
      <c r="CD44" s="13"/>
      <c r="CE44" s="13" t="str">
        <f t="shared" si="122"/>
        <v/>
      </c>
      <c r="CF44" s="14" t="str">
        <f t="shared" si="123"/>
        <v/>
      </c>
      <c r="CG44" s="15"/>
      <c r="CH44" s="1"/>
      <c r="CI44" s="16"/>
      <c r="CJ44" s="54"/>
      <c r="CK44" s="13" t="str">
        <f t="shared" si="134"/>
        <v/>
      </c>
      <c r="CL44" s="13"/>
      <c r="CM44" s="13"/>
      <c r="CN44" s="13"/>
      <c r="CO44" s="13" t="str">
        <f t="shared" si="135"/>
        <v/>
      </c>
      <c r="CP44" s="13"/>
      <c r="CQ44" s="13"/>
      <c r="CR44" s="13"/>
      <c r="CS44" s="13" t="str">
        <f t="shared" si="124"/>
        <v/>
      </c>
      <c r="CT44" s="14" t="str">
        <f t="shared" si="131"/>
        <v/>
      </c>
      <c r="CU44" s="15"/>
      <c r="CV44" s="1"/>
      <c r="CW44" s="16"/>
      <c r="CX44" s="54"/>
      <c r="CY44" s="13" t="str">
        <f t="shared" si="136"/>
        <v/>
      </c>
      <c r="CZ44" s="13"/>
      <c r="DA44" s="13"/>
      <c r="DB44" s="13"/>
      <c r="DC44" s="13" t="str">
        <f t="shared" si="137"/>
        <v/>
      </c>
      <c r="DD44" s="13"/>
      <c r="DE44" s="13"/>
      <c r="DF44" s="13"/>
      <c r="DG44" s="13" t="str">
        <f t="shared" si="125"/>
        <v/>
      </c>
      <c r="DH44" s="14" t="str">
        <f t="shared" si="126"/>
        <v/>
      </c>
      <c r="DI44" s="15"/>
      <c r="DJ44" s="1"/>
      <c r="DK44" s="16"/>
      <c r="DL44" s="54"/>
      <c r="DM44" s="13" t="str">
        <f t="shared" si="138"/>
        <v/>
      </c>
      <c r="DN44" s="13"/>
      <c r="DO44" s="13"/>
      <c r="DP44" s="13"/>
      <c r="DQ44" s="13" t="str">
        <f t="shared" si="139"/>
        <v/>
      </c>
      <c r="DR44" s="13"/>
      <c r="DS44" s="13"/>
      <c r="DT44" s="13"/>
      <c r="DU44" s="13" t="str">
        <f t="shared" si="127"/>
        <v/>
      </c>
      <c r="DV44" s="14" t="str">
        <f t="shared" si="128"/>
        <v/>
      </c>
      <c r="DW44" s="15"/>
      <c r="DY44" s="16"/>
      <c r="DZ44" s="54"/>
      <c r="EA44" s="13" t="str">
        <f t="shared" si="140"/>
        <v/>
      </c>
      <c r="EB44" s="13"/>
      <c r="EC44" s="13"/>
      <c r="ED44" s="13"/>
      <c r="EE44" s="13" t="str">
        <f t="shared" si="141"/>
        <v/>
      </c>
      <c r="EF44" s="13"/>
      <c r="EG44" s="13"/>
      <c r="EH44" s="13"/>
      <c r="EI44" s="13" t="str">
        <f t="shared" si="129"/>
        <v/>
      </c>
      <c r="EJ44" s="14" t="str">
        <f t="shared" si="130"/>
        <v/>
      </c>
      <c r="EK44" s="15"/>
    </row>
    <row r="45" spans="1:141" ht="15" customHeight="1" x14ac:dyDescent="0.2">
      <c r="A45" s="16"/>
      <c r="B45" s="11"/>
      <c r="C45" s="13"/>
      <c r="D45" s="63" t="str">
        <f t="shared" si="35"/>
        <v/>
      </c>
      <c r="E45" s="13"/>
      <c r="F45" s="13" t="str">
        <f t="shared" si="36"/>
        <v/>
      </c>
      <c r="G45" s="13"/>
      <c r="H45" s="13" t="str">
        <f t="shared" si="37"/>
        <v/>
      </c>
      <c r="I45" s="214"/>
      <c r="J45" s="56" t="str">
        <f t="shared" si="70"/>
        <v/>
      </c>
      <c r="K45" s="13" t="str">
        <f t="shared" si="71"/>
        <v/>
      </c>
      <c r="L45" s="13" t="str">
        <f t="shared" si="72"/>
        <v/>
      </c>
      <c r="M45" s="14" t="str">
        <f t="shared" si="73"/>
        <v/>
      </c>
      <c r="N45" s="15"/>
      <c r="O45" s="2"/>
      <c r="P45" s="16"/>
      <c r="Q45" s="13"/>
      <c r="R45" s="63" t="str">
        <f t="shared" si="42"/>
        <v/>
      </c>
      <c r="S45" s="13"/>
      <c r="T45" s="13" t="str">
        <f t="shared" si="43"/>
        <v/>
      </c>
      <c r="U45" s="13"/>
      <c r="V45" s="13" t="str">
        <f t="shared" si="44"/>
        <v/>
      </c>
      <c r="W45" s="214"/>
      <c r="X45" s="56" t="str">
        <f t="shared" si="142"/>
        <v/>
      </c>
      <c r="Y45" s="13" t="str">
        <f t="shared" si="143"/>
        <v/>
      </c>
      <c r="Z45" s="13" t="str">
        <f t="shared" si="76"/>
        <v/>
      </c>
      <c r="AA45" s="14" t="str">
        <f t="shared" si="77"/>
        <v/>
      </c>
      <c r="AB45" s="15"/>
      <c r="AC45" s="15"/>
      <c r="AD45" s="16"/>
      <c r="AE45" s="13"/>
      <c r="AF45" s="63" t="str">
        <f t="shared" si="49"/>
        <v/>
      </c>
      <c r="AG45" s="13"/>
      <c r="AH45" s="13" t="str">
        <f t="shared" si="50"/>
        <v/>
      </c>
      <c r="AI45" s="13"/>
      <c r="AJ45" s="13" t="str">
        <f t="shared" si="51"/>
        <v/>
      </c>
      <c r="AK45" s="214"/>
      <c r="AL45" s="56" t="str">
        <f t="shared" si="144"/>
        <v/>
      </c>
      <c r="AM45" s="13" t="str">
        <f t="shared" si="145"/>
        <v/>
      </c>
      <c r="AN45" s="13" t="str">
        <f t="shared" si="80"/>
        <v/>
      </c>
      <c r="AO45" s="14" t="str">
        <f t="shared" si="81"/>
        <v/>
      </c>
      <c r="AP45" s="15"/>
      <c r="AQ45" s="113"/>
      <c r="AR45" s="16"/>
      <c r="AS45" s="13"/>
      <c r="AT45" s="63" t="str">
        <f t="shared" si="56"/>
        <v/>
      </c>
      <c r="AU45" s="13"/>
      <c r="AV45" s="13" t="str">
        <f t="shared" si="57"/>
        <v/>
      </c>
      <c r="AW45" s="13"/>
      <c r="AX45" s="13" t="str">
        <f t="shared" si="58"/>
        <v/>
      </c>
      <c r="AY45" s="214"/>
      <c r="AZ45" s="56" t="str">
        <f t="shared" si="146"/>
        <v/>
      </c>
      <c r="BA45" s="13" t="str">
        <f t="shared" si="83"/>
        <v/>
      </c>
      <c r="BB45" s="13" t="str">
        <f t="shared" si="84"/>
        <v/>
      </c>
      <c r="BC45" s="14" t="str">
        <f t="shared" si="85"/>
        <v/>
      </c>
      <c r="BD45" s="15"/>
      <c r="BE45" s="2"/>
      <c r="BF45" s="16"/>
      <c r="BG45" s="7"/>
      <c r="BH45" s="13"/>
      <c r="BI45" s="63" t="str">
        <f t="shared" si="63"/>
        <v/>
      </c>
      <c r="BJ45" s="13"/>
      <c r="BK45" s="13" t="str">
        <f t="shared" si="64"/>
        <v/>
      </c>
      <c r="BL45" s="13"/>
      <c r="BM45" s="13" t="str">
        <f t="shared" si="65"/>
        <v/>
      </c>
      <c r="BN45" s="214"/>
      <c r="BO45" s="56" t="str">
        <f t="shared" si="147"/>
        <v/>
      </c>
      <c r="BP45" s="13" t="str">
        <f t="shared" si="87"/>
        <v/>
      </c>
      <c r="BQ45" s="13" t="str">
        <f t="shared" si="88"/>
        <v/>
      </c>
      <c r="BR45" s="14" t="str">
        <f t="shared" si="89"/>
        <v/>
      </c>
      <c r="BS45" s="15"/>
      <c r="BT45" s="113"/>
      <c r="BU45" s="16"/>
      <c r="BV45" s="54"/>
      <c r="BW45" s="13" t="str">
        <f t="shared" si="132"/>
        <v/>
      </c>
      <c r="BX45" s="13"/>
      <c r="BY45" s="13"/>
      <c r="BZ45" s="13"/>
      <c r="CA45" s="13" t="str">
        <f t="shared" si="133"/>
        <v/>
      </c>
      <c r="CB45" s="13"/>
      <c r="CC45" s="13"/>
      <c r="CD45" s="13"/>
      <c r="CE45" s="13" t="str">
        <f t="shared" si="122"/>
        <v/>
      </c>
      <c r="CF45" s="14" t="str">
        <f t="shared" si="123"/>
        <v/>
      </c>
      <c r="CG45" s="15"/>
      <c r="CH45" s="1"/>
      <c r="CI45" s="16"/>
      <c r="CJ45" s="54"/>
      <c r="CK45" s="13" t="str">
        <f t="shared" si="134"/>
        <v/>
      </c>
      <c r="CL45" s="13"/>
      <c r="CM45" s="13"/>
      <c r="CN45" s="13"/>
      <c r="CO45" s="13" t="str">
        <f t="shared" si="135"/>
        <v/>
      </c>
      <c r="CP45" s="13"/>
      <c r="CQ45" s="13"/>
      <c r="CR45" s="13"/>
      <c r="CS45" s="13" t="str">
        <f t="shared" si="124"/>
        <v/>
      </c>
      <c r="CT45" s="14" t="str">
        <f t="shared" si="131"/>
        <v/>
      </c>
      <c r="CU45" s="15"/>
      <c r="CV45" s="1"/>
      <c r="CW45" s="16"/>
      <c r="CX45" s="54"/>
      <c r="CY45" s="13" t="str">
        <f t="shared" si="136"/>
        <v/>
      </c>
      <c r="CZ45" s="13"/>
      <c r="DA45" s="13"/>
      <c r="DB45" s="13"/>
      <c r="DC45" s="13" t="str">
        <f t="shared" si="137"/>
        <v/>
      </c>
      <c r="DD45" s="13"/>
      <c r="DE45" s="13"/>
      <c r="DF45" s="13"/>
      <c r="DG45" s="13" t="str">
        <f t="shared" si="125"/>
        <v/>
      </c>
      <c r="DH45" s="14" t="str">
        <f t="shared" si="126"/>
        <v/>
      </c>
      <c r="DI45" s="15"/>
      <c r="DJ45" s="1"/>
      <c r="DK45" s="16"/>
      <c r="DL45" s="54"/>
      <c r="DM45" s="13" t="str">
        <f t="shared" si="138"/>
        <v/>
      </c>
      <c r="DN45" s="13"/>
      <c r="DO45" s="13"/>
      <c r="DP45" s="13"/>
      <c r="DQ45" s="13" t="str">
        <f t="shared" si="139"/>
        <v/>
      </c>
      <c r="DR45" s="13"/>
      <c r="DS45" s="13"/>
      <c r="DT45" s="13"/>
      <c r="DU45" s="13" t="str">
        <f t="shared" si="127"/>
        <v/>
      </c>
      <c r="DV45" s="14" t="str">
        <f t="shared" si="128"/>
        <v/>
      </c>
      <c r="DW45" s="15"/>
      <c r="DY45" s="16"/>
      <c r="DZ45" s="54"/>
      <c r="EA45" s="13" t="str">
        <f t="shared" si="140"/>
        <v/>
      </c>
      <c r="EB45" s="13"/>
      <c r="EC45" s="13"/>
      <c r="ED45" s="13"/>
      <c r="EE45" s="13" t="str">
        <f t="shared" si="141"/>
        <v/>
      </c>
      <c r="EF45" s="13"/>
      <c r="EG45" s="13"/>
      <c r="EH45" s="13"/>
      <c r="EI45" s="13" t="str">
        <f t="shared" si="129"/>
        <v/>
      </c>
      <c r="EJ45" s="14" t="str">
        <f t="shared" si="130"/>
        <v/>
      </c>
      <c r="EK45" s="15"/>
    </row>
    <row r="46" spans="1:141" ht="15" customHeight="1" thickBot="1" x14ac:dyDescent="0.25">
      <c r="A46" s="26"/>
      <c r="B46" s="46"/>
      <c r="C46" s="29"/>
      <c r="D46" s="61" t="str">
        <f t="shared" si="35"/>
        <v/>
      </c>
      <c r="E46" s="62"/>
      <c r="F46" s="27" t="str">
        <f t="shared" si="36"/>
        <v/>
      </c>
      <c r="G46" s="27"/>
      <c r="H46" s="27" t="str">
        <f t="shared" si="37"/>
        <v/>
      </c>
      <c r="I46" s="217"/>
      <c r="J46" s="57" t="str">
        <f t="shared" si="70"/>
        <v/>
      </c>
      <c r="K46" s="62" t="str">
        <f t="shared" si="71"/>
        <v/>
      </c>
      <c r="L46" s="27" t="str">
        <f t="shared" si="72"/>
        <v/>
      </c>
      <c r="M46" s="28" t="str">
        <f t="shared" si="73"/>
        <v/>
      </c>
      <c r="N46" s="15"/>
      <c r="O46" s="2"/>
      <c r="P46" s="26"/>
      <c r="Q46" s="29"/>
      <c r="R46" s="61" t="str">
        <f t="shared" si="42"/>
        <v/>
      </c>
      <c r="S46" s="62"/>
      <c r="T46" s="27" t="str">
        <f t="shared" si="43"/>
        <v/>
      </c>
      <c r="U46" s="27"/>
      <c r="V46" s="27" t="str">
        <f t="shared" si="44"/>
        <v/>
      </c>
      <c r="W46" s="217"/>
      <c r="X46" s="57" t="str">
        <f t="shared" si="142"/>
        <v/>
      </c>
      <c r="Y46" s="62" t="str">
        <f t="shared" si="143"/>
        <v/>
      </c>
      <c r="Z46" s="27" t="str">
        <f t="shared" si="76"/>
        <v/>
      </c>
      <c r="AA46" s="28" t="str">
        <f t="shared" si="77"/>
        <v/>
      </c>
      <c r="AB46" s="15"/>
      <c r="AC46" s="15"/>
      <c r="AD46" s="26"/>
      <c r="AE46" s="29"/>
      <c r="AF46" s="61" t="str">
        <f t="shared" si="49"/>
        <v/>
      </c>
      <c r="AG46" s="62"/>
      <c r="AH46" s="27" t="str">
        <f t="shared" si="50"/>
        <v/>
      </c>
      <c r="AI46" s="27"/>
      <c r="AJ46" s="27" t="str">
        <f t="shared" si="51"/>
        <v/>
      </c>
      <c r="AK46" s="217"/>
      <c r="AL46" s="57" t="str">
        <f t="shared" si="144"/>
        <v/>
      </c>
      <c r="AM46" s="62" t="str">
        <f t="shared" si="145"/>
        <v/>
      </c>
      <c r="AN46" s="27" t="str">
        <f t="shared" si="80"/>
        <v/>
      </c>
      <c r="AO46" s="28" t="str">
        <f t="shared" si="81"/>
        <v/>
      </c>
      <c r="AP46" s="15"/>
      <c r="AQ46" s="113"/>
      <c r="AR46" s="26"/>
      <c r="AS46" s="29"/>
      <c r="AT46" s="61" t="str">
        <f t="shared" si="56"/>
        <v/>
      </c>
      <c r="AU46" s="62"/>
      <c r="AV46" s="27" t="str">
        <f t="shared" si="57"/>
        <v/>
      </c>
      <c r="AW46" s="27"/>
      <c r="AX46" s="27" t="str">
        <f t="shared" si="58"/>
        <v/>
      </c>
      <c r="AY46" s="217"/>
      <c r="AZ46" s="57" t="str">
        <f t="shared" si="146"/>
        <v/>
      </c>
      <c r="BA46" s="62" t="str">
        <f t="shared" si="83"/>
        <v/>
      </c>
      <c r="BB46" s="27" t="str">
        <f t="shared" si="84"/>
        <v/>
      </c>
      <c r="BC46" s="28" t="str">
        <f t="shared" si="85"/>
        <v/>
      </c>
      <c r="BD46" s="15"/>
      <c r="BE46" s="2"/>
      <c r="BF46" s="26"/>
      <c r="BG46" s="241"/>
      <c r="BH46" s="29"/>
      <c r="BI46" s="61" t="str">
        <f t="shared" si="63"/>
        <v/>
      </c>
      <c r="BJ46" s="62"/>
      <c r="BK46" s="27" t="str">
        <f t="shared" si="64"/>
        <v/>
      </c>
      <c r="BL46" s="27"/>
      <c r="BM46" s="27" t="str">
        <f t="shared" si="65"/>
        <v/>
      </c>
      <c r="BN46" s="217"/>
      <c r="BO46" s="57" t="str">
        <f t="shared" si="147"/>
        <v/>
      </c>
      <c r="BP46" s="62" t="str">
        <f t="shared" si="87"/>
        <v/>
      </c>
      <c r="BQ46" s="27" t="str">
        <f t="shared" si="88"/>
        <v/>
      </c>
      <c r="BR46" s="28" t="str">
        <f t="shared" si="89"/>
        <v/>
      </c>
      <c r="BS46" s="15"/>
      <c r="BT46" s="113"/>
      <c r="BU46" s="16"/>
      <c r="BV46" s="54"/>
      <c r="BW46" s="13" t="str">
        <f t="shared" si="132"/>
        <v/>
      </c>
      <c r="BX46" s="13"/>
      <c r="BY46" s="13"/>
      <c r="BZ46" s="13"/>
      <c r="CA46" s="13" t="str">
        <f t="shared" si="133"/>
        <v/>
      </c>
      <c r="CB46" s="13"/>
      <c r="CC46" s="13"/>
      <c r="CD46" s="13"/>
      <c r="CE46" s="13" t="str">
        <f t="shared" si="122"/>
        <v/>
      </c>
      <c r="CF46" s="14" t="str">
        <f t="shared" si="123"/>
        <v/>
      </c>
      <c r="CG46" s="15"/>
      <c r="CH46" s="1"/>
      <c r="CI46" s="16"/>
      <c r="CJ46" s="54"/>
      <c r="CK46" s="13" t="str">
        <f t="shared" si="134"/>
        <v/>
      </c>
      <c r="CL46" s="13"/>
      <c r="CM46" s="13"/>
      <c r="CN46" s="13"/>
      <c r="CO46" s="13" t="str">
        <f t="shared" si="135"/>
        <v/>
      </c>
      <c r="CP46" s="13"/>
      <c r="CQ46" s="13"/>
      <c r="CR46" s="13"/>
      <c r="CS46" s="13" t="str">
        <f t="shared" si="124"/>
        <v/>
      </c>
      <c r="CT46" s="14" t="str">
        <f t="shared" si="131"/>
        <v/>
      </c>
      <c r="CU46" s="15"/>
      <c r="CV46" s="1"/>
      <c r="CW46" s="16"/>
      <c r="CX46" s="54"/>
      <c r="CY46" s="13" t="str">
        <f t="shared" si="136"/>
        <v/>
      </c>
      <c r="CZ46" s="13"/>
      <c r="DA46" s="13"/>
      <c r="DB46" s="13"/>
      <c r="DC46" s="13" t="str">
        <f t="shared" si="137"/>
        <v/>
      </c>
      <c r="DD46" s="13"/>
      <c r="DE46" s="13"/>
      <c r="DF46" s="13"/>
      <c r="DG46" s="13" t="str">
        <f t="shared" si="125"/>
        <v/>
      </c>
      <c r="DH46" s="14" t="str">
        <f t="shared" si="126"/>
        <v/>
      </c>
      <c r="DI46" s="15"/>
      <c r="DJ46" s="1"/>
      <c r="DK46" s="16"/>
      <c r="DL46" s="54"/>
      <c r="DM46" s="13" t="str">
        <f t="shared" si="138"/>
        <v/>
      </c>
      <c r="DN46" s="13"/>
      <c r="DO46" s="13"/>
      <c r="DP46" s="13"/>
      <c r="DQ46" s="13" t="str">
        <f t="shared" si="139"/>
        <v/>
      </c>
      <c r="DR46" s="13"/>
      <c r="DS46" s="13"/>
      <c r="DT46" s="13"/>
      <c r="DU46" s="13" t="str">
        <f t="shared" si="127"/>
        <v/>
      </c>
      <c r="DV46" s="14" t="str">
        <f t="shared" si="128"/>
        <v/>
      </c>
      <c r="DW46" s="15"/>
      <c r="DY46" s="16"/>
      <c r="DZ46" s="54"/>
      <c r="EA46" s="13" t="str">
        <f t="shared" si="140"/>
        <v/>
      </c>
      <c r="EB46" s="13"/>
      <c r="EC46" s="13"/>
      <c r="ED46" s="13"/>
      <c r="EE46" s="13" t="str">
        <f t="shared" si="141"/>
        <v/>
      </c>
      <c r="EF46" s="13"/>
      <c r="EG46" s="13"/>
      <c r="EH46" s="13"/>
      <c r="EI46" s="13" t="str">
        <f t="shared" si="129"/>
        <v/>
      </c>
      <c r="EJ46" s="14" t="str">
        <f t="shared" si="130"/>
        <v/>
      </c>
      <c r="EK46" s="15"/>
    </row>
    <row r="47" spans="1:141" ht="15" customHeight="1" thickTop="1" x14ac:dyDescent="0.2">
      <c r="A47" s="79"/>
      <c r="B47" s="74" t="str">
        <f>IF(A47="","",SUM(D47:D50)+SUM(R47:R50)+SUM(AF47:AF50)+SUM(AT47:AT50)+SUM(BW14,CK14,CY14,DM14))</f>
        <v/>
      </c>
      <c r="C47" s="53"/>
      <c r="D47" s="53" t="str">
        <f t="shared" si="35"/>
        <v/>
      </c>
      <c r="E47" s="53"/>
      <c r="F47" s="31" t="str">
        <f t="shared" si="36"/>
        <v/>
      </c>
      <c r="G47" s="53"/>
      <c r="H47" s="53" t="str">
        <f t="shared" si="37"/>
        <v/>
      </c>
      <c r="I47" s="17"/>
      <c r="J47" s="75" t="str">
        <f t="shared" si="70"/>
        <v/>
      </c>
      <c r="K47" s="76" t="str">
        <f t="shared" si="71"/>
        <v/>
      </c>
      <c r="L47" s="31" t="str">
        <f t="shared" si="72"/>
        <v/>
      </c>
      <c r="M47" s="32" t="str">
        <f t="shared" si="73"/>
        <v/>
      </c>
      <c r="N47" s="15"/>
      <c r="O47" s="2"/>
      <c r="P47" s="79" t="str">
        <f>IF(A47="","",A47)</f>
        <v/>
      </c>
      <c r="Q47" s="53"/>
      <c r="R47" s="53" t="str">
        <f t="shared" si="42"/>
        <v/>
      </c>
      <c r="S47" s="53"/>
      <c r="T47" s="31" t="str">
        <f t="shared" si="43"/>
        <v/>
      </c>
      <c r="U47" s="53"/>
      <c r="V47" s="53" t="str">
        <f t="shared" si="44"/>
        <v/>
      </c>
      <c r="W47" s="17"/>
      <c r="X47" s="75" t="str">
        <f t="shared" si="142"/>
        <v/>
      </c>
      <c r="Y47" s="76" t="str">
        <f t="shared" si="143"/>
        <v/>
      </c>
      <c r="Z47" s="31" t="str">
        <f t="shared" si="76"/>
        <v/>
      </c>
      <c r="AA47" s="32" t="str">
        <f t="shared" si="77"/>
        <v/>
      </c>
      <c r="AB47" s="15"/>
      <c r="AC47" s="15"/>
      <c r="AD47" s="79" t="str">
        <f>IF($A47="","",$A47)</f>
        <v/>
      </c>
      <c r="AE47" s="53"/>
      <c r="AF47" s="53" t="str">
        <f t="shared" si="49"/>
        <v/>
      </c>
      <c r="AG47" s="53"/>
      <c r="AH47" s="31" t="str">
        <f t="shared" si="50"/>
        <v/>
      </c>
      <c r="AI47" s="53"/>
      <c r="AJ47" s="53" t="str">
        <f t="shared" si="51"/>
        <v/>
      </c>
      <c r="AK47" s="17"/>
      <c r="AL47" s="75" t="str">
        <f t="shared" si="144"/>
        <v/>
      </c>
      <c r="AM47" s="76" t="str">
        <f t="shared" si="145"/>
        <v/>
      </c>
      <c r="AN47" s="31" t="str">
        <f t="shared" si="80"/>
        <v/>
      </c>
      <c r="AO47" s="32" t="str">
        <f t="shared" si="81"/>
        <v/>
      </c>
      <c r="AP47" s="15"/>
      <c r="AQ47" s="113"/>
      <c r="AR47" s="79" t="str">
        <f>IF($A47="","",$A47)</f>
        <v/>
      </c>
      <c r="AS47" s="53"/>
      <c r="AT47" s="53" t="str">
        <f t="shared" si="56"/>
        <v/>
      </c>
      <c r="AU47" s="53"/>
      <c r="AV47" s="31" t="str">
        <f t="shared" si="57"/>
        <v/>
      </c>
      <c r="AW47" s="53"/>
      <c r="AX47" s="53" t="str">
        <f t="shared" si="58"/>
        <v/>
      </c>
      <c r="AY47" s="17"/>
      <c r="AZ47" s="75" t="str">
        <f t="shared" si="146"/>
        <v/>
      </c>
      <c r="BA47" s="76" t="str">
        <f t="shared" si="83"/>
        <v/>
      </c>
      <c r="BB47" s="31" t="str">
        <f t="shared" si="84"/>
        <v/>
      </c>
      <c r="BC47" s="32" t="str">
        <f t="shared" si="85"/>
        <v/>
      </c>
      <c r="BD47" s="15"/>
      <c r="BE47" s="2"/>
      <c r="BF47" s="79" t="str">
        <f>IF(DW47="","",DW47)</f>
        <v/>
      </c>
      <c r="BG47" s="240"/>
      <c r="BH47" s="53"/>
      <c r="BI47" s="53" t="str">
        <f t="shared" si="63"/>
        <v/>
      </c>
      <c r="BJ47" s="53"/>
      <c r="BK47" s="31" t="str">
        <f t="shared" si="64"/>
        <v/>
      </c>
      <c r="BL47" s="53"/>
      <c r="BM47" s="53" t="str">
        <f t="shared" si="65"/>
        <v/>
      </c>
      <c r="BN47" s="17"/>
      <c r="BO47" s="75" t="str">
        <f t="shared" si="147"/>
        <v/>
      </c>
      <c r="BP47" s="76" t="str">
        <f t="shared" si="87"/>
        <v/>
      </c>
      <c r="BQ47" s="31" t="str">
        <f t="shared" si="88"/>
        <v/>
      </c>
      <c r="BR47" s="32" t="str">
        <f t="shared" si="89"/>
        <v/>
      </c>
      <c r="BS47" s="15"/>
      <c r="BT47" s="113"/>
      <c r="BU47" s="16"/>
      <c r="BV47" s="54"/>
      <c r="BW47" s="13" t="str">
        <f t="shared" si="132"/>
        <v/>
      </c>
      <c r="BX47" s="13"/>
      <c r="BY47" s="13"/>
      <c r="BZ47" s="13"/>
      <c r="CA47" s="13" t="str">
        <f t="shared" si="133"/>
        <v/>
      </c>
      <c r="CB47" s="13"/>
      <c r="CC47" s="13"/>
      <c r="CD47" s="13"/>
      <c r="CE47" s="13" t="str">
        <f t="shared" si="122"/>
        <v/>
      </c>
      <c r="CF47" s="14" t="str">
        <f t="shared" si="123"/>
        <v/>
      </c>
      <c r="CG47" s="15"/>
      <c r="CH47" s="1"/>
      <c r="CI47" s="16"/>
      <c r="CJ47" s="54"/>
      <c r="CK47" s="13" t="str">
        <f t="shared" si="134"/>
        <v/>
      </c>
      <c r="CL47" s="13"/>
      <c r="CM47" s="13"/>
      <c r="CN47" s="13"/>
      <c r="CO47" s="13" t="str">
        <f t="shared" si="135"/>
        <v/>
      </c>
      <c r="CP47" s="13"/>
      <c r="CQ47" s="13"/>
      <c r="CR47" s="13"/>
      <c r="CS47" s="13" t="str">
        <f t="shared" si="124"/>
        <v/>
      </c>
      <c r="CT47" s="14" t="str">
        <f t="shared" si="131"/>
        <v/>
      </c>
      <c r="CU47" s="15"/>
      <c r="CV47" s="1"/>
      <c r="CW47" s="16"/>
      <c r="CX47" s="54"/>
      <c r="CY47" s="13" t="str">
        <f t="shared" si="136"/>
        <v/>
      </c>
      <c r="CZ47" s="13"/>
      <c r="DA47" s="13"/>
      <c r="DB47" s="13"/>
      <c r="DC47" s="13" t="str">
        <f t="shared" si="137"/>
        <v/>
      </c>
      <c r="DD47" s="13"/>
      <c r="DE47" s="13"/>
      <c r="DF47" s="13"/>
      <c r="DG47" s="13" t="str">
        <f t="shared" si="125"/>
        <v/>
      </c>
      <c r="DH47" s="14" t="str">
        <f t="shared" si="126"/>
        <v/>
      </c>
      <c r="DI47" s="15"/>
      <c r="DJ47" s="1"/>
      <c r="DK47" s="16"/>
      <c r="DL47" s="54"/>
      <c r="DM47" s="13" t="str">
        <f t="shared" si="138"/>
        <v/>
      </c>
      <c r="DN47" s="13"/>
      <c r="DO47" s="13"/>
      <c r="DP47" s="13"/>
      <c r="DQ47" s="13" t="str">
        <f t="shared" si="139"/>
        <v/>
      </c>
      <c r="DR47" s="13"/>
      <c r="DS47" s="13"/>
      <c r="DT47" s="13"/>
      <c r="DU47" s="13" t="str">
        <f t="shared" si="127"/>
        <v/>
      </c>
      <c r="DV47" s="14" t="str">
        <f t="shared" si="128"/>
        <v/>
      </c>
      <c r="DW47" s="15"/>
      <c r="DY47" s="16"/>
      <c r="DZ47" s="54"/>
      <c r="EA47" s="13" t="str">
        <f t="shared" si="140"/>
        <v/>
      </c>
      <c r="EB47" s="13"/>
      <c r="EC47" s="13"/>
      <c r="ED47" s="13"/>
      <c r="EE47" s="13" t="str">
        <f t="shared" si="141"/>
        <v/>
      </c>
      <c r="EF47" s="13"/>
      <c r="EG47" s="13"/>
      <c r="EH47" s="13"/>
      <c r="EI47" s="13" t="str">
        <f t="shared" si="129"/>
        <v/>
      </c>
      <c r="EJ47" s="14" t="str">
        <f t="shared" si="130"/>
        <v/>
      </c>
      <c r="EK47" s="15"/>
    </row>
    <row r="48" spans="1:141" ht="15" customHeight="1" x14ac:dyDescent="0.2">
      <c r="A48" s="16"/>
      <c r="B48" s="11"/>
      <c r="C48" s="13"/>
      <c r="D48" s="53" t="str">
        <f t="shared" si="35"/>
        <v/>
      </c>
      <c r="E48" s="13"/>
      <c r="F48" s="13" t="str">
        <f t="shared" si="36"/>
        <v/>
      </c>
      <c r="G48" s="13"/>
      <c r="H48" s="13" t="str">
        <f t="shared" si="37"/>
        <v/>
      </c>
      <c r="I48" s="17"/>
      <c r="J48" s="56" t="str">
        <f t="shared" si="70"/>
        <v/>
      </c>
      <c r="K48" s="54" t="str">
        <f t="shared" si="71"/>
        <v/>
      </c>
      <c r="L48" s="13" t="str">
        <f t="shared" si="72"/>
        <v/>
      </c>
      <c r="M48" s="14" t="str">
        <f t="shared" si="73"/>
        <v/>
      </c>
      <c r="N48" s="15"/>
      <c r="O48" s="2"/>
      <c r="P48" s="16"/>
      <c r="Q48" s="13"/>
      <c r="R48" s="53" t="str">
        <f t="shared" si="42"/>
        <v/>
      </c>
      <c r="S48" s="13"/>
      <c r="T48" s="13" t="str">
        <f t="shared" si="43"/>
        <v/>
      </c>
      <c r="U48" s="13"/>
      <c r="V48" s="13" t="str">
        <f t="shared" si="44"/>
        <v/>
      </c>
      <c r="W48" s="17"/>
      <c r="X48" s="56" t="str">
        <f t="shared" si="142"/>
        <v/>
      </c>
      <c r="Y48" s="54" t="str">
        <f t="shared" si="143"/>
        <v/>
      </c>
      <c r="Z48" s="13" t="str">
        <f t="shared" si="76"/>
        <v/>
      </c>
      <c r="AA48" s="14" t="str">
        <f t="shared" si="77"/>
        <v/>
      </c>
      <c r="AB48" s="15"/>
      <c r="AC48" s="15"/>
      <c r="AD48" s="16"/>
      <c r="AE48" s="13"/>
      <c r="AF48" s="53" t="str">
        <f t="shared" si="49"/>
        <v/>
      </c>
      <c r="AG48" s="13"/>
      <c r="AH48" s="13" t="str">
        <f t="shared" si="50"/>
        <v/>
      </c>
      <c r="AI48" s="13"/>
      <c r="AJ48" s="13" t="str">
        <f t="shared" si="51"/>
        <v/>
      </c>
      <c r="AK48" s="17"/>
      <c r="AL48" s="56" t="str">
        <f t="shared" si="144"/>
        <v/>
      </c>
      <c r="AM48" s="54" t="str">
        <f t="shared" si="145"/>
        <v/>
      </c>
      <c r="AN48" s="13" t="str">
        <f t="shared" si="80"/>
        <v/>
      </c>
      <c r="AO48" s="14" t="str">
        <f t="shared" si="81"/>
        <v/>
      </c>
      <c r="AP48" s="15"/>
      <c r="AQ48" s="113"/>
      <c r="AR48" s="16"/>
      <c r="AS48" s="13"/>
      <c r="AT48" s="53" t="str">
        <f t="shared" si="56"/>
        <v/>
      </c>
      <c r="AU48" s="13"/>
      <c r="AV48" s="13" t="str">
        <f t="shared" si="57"/>
        <v/>
      </c>
      <c r="AW48" s="13"/>
      <c r="AX48" s="13" t="str">
        <f t="shared" si="58"/>
        <v/>
      </c>
      <c r="AY48" s="17"/>
      <c r="AZ48" s="56" t="str">
        <f t="shared" si="146"/>
        <v/>
      </c>
      <c r="BA48" s="54" t="str">
        <f t="shared" si="83"/>
        <v/>
      </c>
      <c r="BB48" s="13" t="str">
        <f t="shared" si="84"/>
        <v/>
      </c>
      <c r="BC48" s="14" t="str">
        <f t="shared" si="85"/>
        <v/>
      </c>
      <c r="BD48" s="15"/>
      <c r="BE48" s="2"/>
      <c r="BF48" s="16"/>
      <c r="BG48" s="7"/>
      <c r="BH48" s="13"/>
      <c r="BI48" s="53" t="str">
        <f t="shared" si="63"/>
        <v/>
      </c>
      <c r="BJ48" s="13"/>
      <c r="BK48" s="13" t="str">
        <f t="shared" si="64"/>
        <v/>
      </c>
      <c r="BL48" s="13"/>
      <c r="BM48" s="13" t="str">
        <f t="shared" si="65"/>
        <v/>
      </c>
      <c r="BN48" s="17"/>
      <c r="BO48" s="56" t="str">
        <f t="shared" si="147"/>
        <v/>
      </c>
      <c r="BP48" s="54" t="str">
        <f t="shared" si="87"/>
        <v/>
      </c>
      <c r="BQ48" s="13" t="str">
        <f t="shared" si="88"/>
        <v/>
      </c>
      <c r="BR48" s="14" t="str">
        <f t="shared" si="89"/>
        <v/>
      </c>
      <c r="BS48" s="15"/>
      <c r="BT48" s="113"/>
      <c r="BU48" s="16"/>
      <c r="BV48" s="54"/>
      <c r="BW48" s="13" t="str">
        <f t="shared" si="132"/>
        <v/>
      </c>
      <c r="BX48" s="13"/>
      <c r="BY48" s="13"/>
      <c r="BZ48" s="13"/>
      <c r="CA48" s="13" t="str">
        <f t="shared" si="133"/>
        <v/>
      </c>
      <c r="CB48" s="13"/>
      <c r="CC48" s="13"/>
      <c r="CD48" s="13"/>
      <c r="CE48" s="13" t="str">
        <f t="shared" si="122"/>
        <v/>
      </c>
      <c r="CF48" s="14" t="str">
        <f t="shared" si="123"/>
        <v/>
      </c>
      <c r="CG48" s="15"/>
      <c r="CH48" s="1"/>
      <c r="CI48" s="16"/>
      <c r="CJ48" s="54"/>
      <c r="CK48" s="13" t="str">
        <f t="shared" si="134"/>
        <v/>
      </c>
      <c r="CL48" s="13"/>
      <c r="CM48" s="13"/>
      <c r="CN48" s="13"/>
      <c r="CO48" s="13" t="str">
        <f t="shared" si="135"/>
        <v/>
      </c>
      <c r="CP48" s="13"/>
      <c r="CQ48" s="13"/>
      <c r="CR48" s="13"/>
      <c r="CS48" s="13" t="str">
        <f t="shared" si="124"/>
        <v/>
      </c>
      <c r="CT48" s="14" t="str">
        <f t="shared" si="131"/>
        <v/>
      </c>
      <c r="CU48" s="15"/>
      <c r="CV48" s="1"/>
      <c r="CW48" s="16"/>
      <c r="CX48" s="54"/>
      <c r="CY48" s="13" t="str">
        <f t="shared" si="136"/>
        <v/>
      </c>
      <c r="CZ48" s="13"/>
      <c r="DA48" s="13"/>
      <c r="DB48" s="13"/>
      <c r="DC48" s="13" t="str">
        <f t="shared" si="137"/>
        <v/>
      </c>
      <c r="DD48" s="13"/>
      <c r="DE48" s="13"/>
      <c r="DF48" s="13"/>
      <c r="DG48" s="13" t="str">
        <f t="shared" si="125"/>
        <v/>
      </c>
      <c r="DH48" s="14" t="str">
        <f t="shared" si="126"/>
        <v/>
      </c>
      <c r="DI48" s="15"/>
      <c r="DJ48" s="1"/>
      <c r="DK48" s="16"/>
      <c r="DL48" s="54"/>
      <c r="DM48" s="13" t="str">
        <f t="shared" si="138"/>
        <v/>
      </c>
      <c r="DN48" s="13"/>
      <c r="DO48" s="13"/>
      <c r="DP48" s="13"/>
      <c r="DQ48" s="13" t="str">
        <f t="shared" si="139"/>
        <v/>
      </c>
      <c r="DR48" s="13"/>
      <c r="DS48" s="13"/>
      <c r="DT48" s="13"/>
      <c r="DU48" s="13" t="str">
        <f t="shared" si="127"/>
        <v/>
      </c>
      <c r="DV48" s="14" t="str">
        <f t="shared" si="128"/>
        <v/>
      </c>
      <c r="DW48" s="15"/>
      <c r="DY48" s="16"/>
      <c r="DZ48" s="54"/>
      <c r="EA48" s="13" t="str">
        <f t="shared" si="140"/>
        <v/>
      </c>
      <c r="EB48" s="13"/>
      <c r="EC48" s="13"/>
      <c r="ED48" s="13"/>
      <c r="EE48" s="13" t="str">
        <f t="shared" si="141"/>
        <v/>
      </c>
      <c r="EF48" s="13"/>
      <c r="EG48" s="13"/>
      <c r="EH48" s="13"/>
      <c r="EI48" s="13" t="str">
        <f t="shared" si="129"/>
        <v/>
      </c>
      <c r="EJ48" s="14" t="str">
        <f t="shared" si="130"/>
        <v/>
      </c>
      <c r="EK48" s="15"/>
    </row>
    <row r="49" spans="1:141" ht="15" customHeight="1" x14ac:dyDescent="0.2">
      <c r="A49" s="16"/>
      <c r="B49" s="11"/>
      <c r="C49" s="13"/>
      <c r="D49" s="63" t="str">
        <f t="shared" si="35"/>
        <v/>
      </c>
      <c r="E49" s="13"/>
      <c r="F49" s="13" t="str">
        <f t="shared" si="36"/>
        <v/>
      </c>
      <c r="G49" s="13"/>
      <c r="H49" s="13" t="str">
        <f t="shared" si="37"/>
        <v/>
      </c>
      <c r="I49" s="17"/>
      <c r="J49" s="56" t="str">
        <f t="shared" si="70"/>
        <v/>
      </c>
      <c r="K49" s="13" t="str">
        <f t="shared" si="71"/>
        <v/>
      </c>
      <c r="L49" s="13" t="str">
        <f t="shared" si="72"/>
        <v/>
      </c>
      <c r="M49" s="14" t="str">
        <f t="shared" si="73"/>
        <v/>
      </c>
      <c r="N49" s="15"/>
      <c r="O49" s="2"/>
      <c r="P49" s="16"/>
      <c r="Q49" s="13"/>
      <c r="R49" s="63" t="str">
        <f t="shared" si="42"/>
        <v/>
      </c>
      <c r="S49" s="13"/>
      <c r="T49" s="13" t="str">
        <f t="shared" si="43"/>
        <v/>
      </c>
      <c r="U49" s="13"/>
      <c r="V49" s="13" t="str">
        <f t="shared" si="44"/>
        <v/>
      </c>
      <c r="W49" s="17"/>
      <c r="X49" s="56" t="str">
        <f t="shared" si="142"/>
        <v/>
      </c>
      <c r="Y49" s="13" t="str">
        <f t="shared" si="143"/>
        <v/>
      </c>
      <c r="Z49" s="13" t="str">
        <f t="shared" si="76"/>
        <v/>
      </c>
      <c r="AA49" s="14" t="str">
        <f t="shared" si="77"/>
        <v/>
      </c>
      <c r="AB49" s="15"/>
      <c r="AC49" s="15"/>
      <c r="AD49" s="16"/>
      <c r="AE49" s="13"/>
      <c r="AF49" s="63" t="str">
        <f t="shared" si="49"/>
        <v/>
      </c>
      <c r="AG49" s="13"/>
      <c r="AH49" s="13" t="str">
        <f t="shared" si="50"/>
        <v/>
      </c>
      <c r="AI49" s="13"/>
      <c r="AJ49" s="13" t="str">
        <f t="shared" si="51"/>
        <v/>
      </c>
      <c r="AK49" s="17"/>
      <c r="AL49" s="56" t="str">
        <f t="shared" si="144"/>
        <v/>
      </c>
      <c r="AM49" s="13" t="str">
        <f t="shared" si="145"/>
        <v/>
      </c>
      <c r="AN49" s="13" t="str">
        <f t="shared" si="80"/>
        <v/>
      </c>
      <c r="AO49" s="14" t="str">
        <f t="shared" si="81"/>
        <v/>
      </c>
      <c r="AP49" s="15"/>
      <c r="AQ49" s="113"/>
      <c r="AR49" s="16"/>
      <c r="AS49" s="13"/>
      <c r="AT49" s="63" t="str">
        <f t="shared" si="56"/>
        <v/>
      </c>
      <c r="AU49" s="13"/>
      <c r="AV49" s="13" t="str">
        <f t="shared" si="57"/>
        <v/>
      </c>
      <c r="AW49" s="13"/>
      <c r="AX49" s="13" t="str">
        <f t="shared" si="58"/>
        <v/>
      </c>
      <c r="AY49" s="17"/>
      <c r="AZ49" s="56" t="str">
        <f t="shared" si="146"/>
        <v/>
      </c>
      <c r="BA49" s="13" t="str">
        <f t="shared" si="83"/>
        <v/>
      </c>
      <c r="BB49" s="13" t="str">
        <f t="shared" si="84"/>
        <v/>
      </c>
      <c r="BC49" s="14" t="str">
        <f t="shared" si="85"/>
        <v/>
      </c>
      <c r="BD49" s="15"/>
      <c r="BE49" s="2"/>
      <c r="BF49" s="16"/>
      <c r="BG49" s="7"/>
      <c r="BH49" s="13"/>
      <c r="BI49" s="63" t="str">
        <f t="shared" si="63"/>
        <v/>
      </c>
      <c r="BJ49" s="13"/>
      <c r="BK49" s="13" t="str">
        <f t="shared" si="64"/>
        <v/>
      </c>
      <c r="BL49" s="13"/>
      <c r="BM49" s="13" t="str">
        <f t="shared" si="65"/>
        <v/>
      </c>
      <c r="BN49" s="17"/>
      <c r="BO49" s="56" t="str">
        <f t="shared" si="147"/>
        <v/>
      </c>
      <c r="BP49" s="13" t="str">
        <f t="shared" si="87"/>
        <v/>
      </c>
      <c r="BQ49" s="13" t="str">
        <f t="shared" si="88"/>
        <v/>
      </c>
      <c r="BR49" s="14" t="str">
        <f t="shared" si="89"/>
        <v/>
      </c>
      <c r="BS49" s="15"/>
      <c r="BT49" s="113"/>
      <c r="BU49" s="16"/>
      <c r="BV49" s="54"/>
      <c r="BW49" s="13" t="str">
        <f t="shared" si="132"/>
        <v/>
      </c>
      <c r="BX49" s="13"/>
      <c r="BY49" s="13"/>
      <c r="BZ49" s="13"/>
      <c r="CA49" s="13" t="str">
        <f t="shared" si="133"/>
        <v/>
      </c>
      <c r="CB49" s="13"/>
      <c r="CC49" s="13"/>
      <c r="CD49" s="13"/>
      <c r="CE49" s="13" t="str">
        <f t="shared" si="122"/>
        <v/>
      </c>
      <c r="CF49" s="14" t="str">
        <f t="shared" si="123"/>
        <v/>
      </c>
      <c r="CG49" s="15"/>
      <c r="CH49" s="1"/>
      <c r="CI49" s="16"/>
      <c r="CJ49" s="54"/>
      <c r="CK49" s="13" t="str">
        <f t="shared" si="134"/>
        <v/>
      </c>
      <c r="CL49" s="13"/>
      <c r="CM49" s="13"/>
      <c r="CN49" s="13"/>
      <c r="CO49" s="13" t="str">
        <f t="shared" si="135"/>
        <v/>
      </c>
      <c r="CP49" s="13"/>
      <c r="CQ49" s="13"/>
      <c r="CR49" s="13"/>
      <c r="CS49" s="13" t="str">
        <f t="shared" si="124"/>
        <v/>
      </c>
      <c r="CT49" s="14" t="str">
        <f t="shared" si="131"/>
        <v/>
      </c>
      <c r="CU49" s="15"/>
      <c r="CV49" s="1"/>
      <c r="CW49" s="16"/>
      <c r="CX49" s="54"/>
      <c r="CY49" s="13" t="str">
        <f t="shared" si="136"/>
        <v/>
      </c>
      <c r="CZ49" s="13"/>
      <c r="DA49" s="13"/>
      <c r="DB49" s="13"/>
      <c r="DC49" s="13" t="str">
        <f t="shared" si="137"/>
        <v/>
      </c>
      <c r="DD49" s="13"/>
      <c r="DE49" s="13"/>
      <c r="DF49" s="13"/>
      <c r="DG49" s="13" t="str">
        <f t="shared" si="125"/>
        <v/>
      </c>
      <c r="DH49" s="14" t="str">
        <f t="shared" si="126"/>
        <v/>
      </c>
      <c r="DI49" s="15"/>
      <c r="DJ49" s="1"/>
      <c r="DK49" s="16"/>
      <c r="DL49" s="54"/>
      <c r="DM49" s="13" t="str">
        <f t="shared" si="138"/>
        <v/>
      </c>
      <c r="DN49" s="13"/>
      <c r="DO49" s="13"/>
      <c r="DP49" s="13"/>
      <c r="DQ49" s="13" t="str">
        <f t="shared" si="139"/>
        <v/>
      </c>
      <c r="DR49" s="13"/>
      <c r="DS49" s="13"/>
      <c r="DT49" s="13"/>
      <c r="DU49" s="13" t="str">
        <f t="shared" si="127"/>
        <v/>
      </c>
      <c r="DV49" s="14" t="str">
        <f t="shared" si="128"/>
        <v/>
      </c>
      <c r="DW49" s="15"/>
      <c r="DY49" s="16"/>
      <c r="DZ49" s="54"/>
      <c r="EA49" s="13" t="str">
        <f t="shared" si="140"/>
        <v/>
      </c>
      <c r="EB49" s="13"/>
      <c r="EC49" s="13"/>
      <c r="ED49" s="13"/>
      <c r="EE49" s="13" t="str">
        <f t="shared" si="141"/>
        <v/>
      </c>
      <c r="EF49" s="13"/>
      <c r="EG49" s="13"/>
      <c r="EH49" s="13"/>
      <c r="EI49" s="13" t="str">
        <f t="shared" si="129"/>
        <v/>
      </c>
      <c r="EJ49" s="14" t="str">
        <f t="shared" si="130"/>
        <v/>
      </c>
      <c r="EK49" s="15"/>
    </row>
    <row r="50" spans="1:141" ht="15" customHeight="1" thickBot="1" x14ac:dyDescent="0.25">
      <c r="A50" s="26"/>
      <c r="B50" s="46"/>
      <c r="C50" s="27"/>
      <c r="D50" s="61" t="str">
        <f t="shared" si="35"/>
        <v/>
      </c>
      <c r="E50" s="62"/>
      <c r="F50" s="27" t="str">
        <f t="shared" si="36"/>
        <v/>
      </c>
      <c r="G50" s="27"/>
      <c r="H50" s="27" t="str">
        <f t="shared" si="37"/>
        <v/>
      </c>
      <c r="I50" s="47"/>
      <c r="J50" s="57" t="str">
        <f t="shared" si="70"/>
        <v/>
      </c>
      <c r="K50" s="62" t="str">
        <f t="shared" si="71"/>
        <v/>
      </c>
      <c r="L50" s="27" t="str">
        <f t="shared" si="72"/>
        <v/>
      </c>
      <c r="M50" s="28" t="str">
        <f t="shared" si="73"/>
        <v/>
      </c>
      <c r="N50" s="15"/>
      <c r="O50" s="2"/>
      <c r="P50" s="26"/>
      <c r="Q50" s="27"/>
      <c r="R50" s="61" t="str">
        <f t="shared" si="42"/>
        <v/>
      </c>
      <c r="S50" s="62"/>
      <c r="T50" s="27" t="str">
        <f t="shared" si="43"/>
        <v/>
      </c>
      <c r="U50" s="27"/>
      <c r="V50" s="27" t="str">
        <f t="shared" si="44"/>
        <v/>
      </c>
      <c r="W50" s="47"/>
      <c r="X50" s="57" t="str">
        <f t="shared" si="142"/>
        <v/>
      </c>
      <c r="Y50" s="62" t="str">
        <f t="shared" si="143"/>
        <v/>
      </c>
      <c r="Z50" s="27" t="str">
        <f t="shared" si="76"/>
        <v/>
      </c>
      <c r="AA50" s="28" t="str">
        <f t="shared" si="77"/>
        <v/>
      </c>
      <c r="AB50" s="15"/>
      <c r="AC50" s="15"/>
      <c r="AD50" s="26"/>
      <c r="AE50" s="27"/>
      <c r="AF50" s="61" t="str">
        <f t="shared" si="49"/>
        <v/>
      </c>
      <c r="AG50" s="62"/>
      <c r="AH50" s="27" t="str">
        <f t="shared" si="50"/>
        <v/>
      </c>
      <c r="AI50" s="27"/>
      <c r="AJ50" s="27" t="str">
        <f t="shared" si="51"/>
        <v/>
      </c>
      <c r="AK50" s="47"/>
      <c r="AL50" s="57" t="str">
        <f t="shared" si="144"/>
        <v/>
      </c>
      <c r="AM50" s="62" t="str">
        <f t="shared" si="145"/>
        <v/>
      </c>
      <c r="AN50" s="27" t="str">
        <f t="shared" si="80"/>
        <v/>
      </c>
      <c r="AO50" s="28" t="str">
        <f t="shared" si="81"/>
        <v/>
      </c>
      <c r="AP50" s="15"/>
      <c r="AQ50" s="113"/>
      <c r="AR50" s="26"/>
      <c r="AS50" s="27"/>
      <c r="AT50" s="61" t="str">
        <f t="shared" si="56"/>
        <v/>
      </c>
      <c r="AU50" s="62"/>
      <c r="AV50" s="27" t="str">
        <f t="shared" si="57"/>
        <v/>
      </c>
      <c r="AW50" s="27"/>
      <c r="AX50" s="27" t="str">
        <f t="shared" si="58"/>
        <v/>
      </c>
      <c r="AY50" s="47"/>
      <c r="AZ50" s="57" t="str">
        <f t="shared" si="146"/>
        <v/>
      </c>
      <c r="BA50" s="62" t="str">
        <f t="shared" si="83"/>
        <v/>
      </c>
      <c r="BB50" s="27" t="str">
        <f t="shared" si="84"/>
        <v/>
      </c>
      <c r="BC50" s="28" t="str">
        <f t="shared" si="85"/>
        <v/>
      </c>
      <c r="BD50" s="15"/>
      <c r="BE50" s="2"/>
      <c r="BF50" s="26"/>
      <c r="BG50" s="241"/>
      <c r="BH50" s="27"/>
      <c r="BI50" s="61" t="str">
        <f t="shared" si="63"/>
        <v/>
      </c>
      <c r="BJ50" s="62"/>
      <c r="BK50" s="27" t="str">
        <f t="shared" si="64"/>
        <v/>
      </c>
      <c r="BL50" s="27"/>
      <c r="BM50" s="27" t="str">
        <f t="shared" si="65"/>
        <v/>
      </c>
      <c r="BN50" s="47"/>
      <c r="BO50" s="57" t="str">
        <f t="shared" si="147"/>
        <v/>
      </c>
      <c r="BP50" s="62" t="str">
        <f t="shared" si="87"/>
        <v/>
      </c>
      <c r="BQ50" s="27" t="str">
        <f t="shared" si="88"/>
        <v/>
      </c>
      <c r="BR50" s="28" t="str">
        <f t="shared" si="89"/>
        <v/>
      </c>
      <c r="BS50" s="15"/>
      <c r="BT50" s="113"/>
      <c r="BU50" s="16"/>
      <c r="BV50" s="54"/>
      <c r="BW50" s="13" t="str">
        <f t="shared" si="132"/>
        <v/>
      </c>
      <c r="BX50" s="13"/>
      <c r="BY50" s="13"/>
      <c r="BZ50" s="13"/>
      <c r="CA50" s="13" t="str">
        <f t="shared" si="133"/>
        <v/>
      </c>
      <c r="CB50" s="13"/>
      <c r="CC50" s="13"/>
      <c r="CD50" s="13"/>
      <c r="CE50" s="13" t="str">
        <f t="shared" si="122"/>
        <v/>
      </c>
      <c r="CF50" s="14" t="str">
        <f t="shared" si="123"/>
        <v/>
      </c>
      <c r="CG50" s="15"/>
      <c r="CH50" s="1"/>
      <c r="CI50" s="16"/>
      <c r="CJ50" s="54"/>
      <c r="CK50" s="13" t="str">
        <f t="shared" si="134"/>
        <v/>
      </c>
      <c r="CL50" s="13"/>
      <c r="CM50" s="13"/>
      <c r="CN50" s="13"/>
      <c r="CO50" s="13" t="str">
        <f t="shared" si="135"/>
        <v/>
      </c>
      <c r="CP50" s="13"/>
      <c r="CQ50" s="13"/>
      <c r="CR50" s="13"/>
      <c r="CS50" s="13" t="str">
        <f t="shared" si="124"/>
        <v/>
      </c>
      <c r="CT50" s="14" t="str">
        <f t="shared" si="131"/>
        <v/>
      </c>
      <c r="CU50" s="15"/>
      <c r="CV50" s="1"/>
      <c r="CW50" s="16"/>
      <c r="CX50" s="54"/>
      <c r="CY50" s="13" t="str">
        <f t="shared" si="136"/>
        <v/>
      </c>
      <c r="CZ50" s="13"/>
      <c r="DA50" s="13"/>
      <c r="DB50" s="13"/>
      <c r="DC50" s="13" t="str">
        <f t="shared" si="137"/>
        <v/>
      </c>
      <c r="DD50" s="13"/>
      <c r="DE50" s="13"/>
      <c r="DF50" s="13"/>
      <c r="DG50" s="13" t="str">
        <f t="shared" si="125"/>
        <v/>
      </c>
      <c r="DH50" s="14" t="str">
        <f t="shared" si="126"/>
        <v/>
      </c>
      <c r="DI50" s="15"/>
      <c r="DJ50" s="1"/>
      <c r="DK50" s="16"/>
      <c r="DL50" s="54"/>
      <c r="DM50" s="13" t="str">
        <f t="shared" si="138"/>
        <v/>
      </c>
      <c r="DN50" s="13"/>
      <c r="DO50" s="13"/>
      <c r="DP50" s="13"/>
      <c r="DQ50" s="13" t="str">
        <f t="shared" si="139"/>
        <v/>
      </c>
      <c r="DR50" s="13"/>
      <c r="DS50" s="13"/>
      <c r="DT50" s="13"/>
      <c r="DU50" s="13" t="str">
        <f t="shared" si="127"/>
        <v/>
      </c>
      <c r="DV50" s="14" t="str">
        <f t="shared" si="128"/>
        <v/>
      </c>
      <c r="DW50" s="15"/>
      <c r="DY50" s="16"/>
      <c r="DZ50" s="54"/>
      <c r="EA50" s="13" t="str">
        <f t="shared" si="140"/>
        <v/>
      </c>
      <c r="EB50" s="13"/>
      <c r="EC50" s="13"/>
      <c r="ED50" s="13"/>
      <c r="EE50" s="13" t="str">
        <f t="shared" si="141"/>
        <v/>
      </c>
      <c r="EF50" s="13"/>
      <c r="EG50" s="13"/>
      <c r="EH50" s="13"/>
      <c r="EI50" s="13" t="str">
        <f t="shared" si="129"/>
        <v/>
      </c>
      <c r="EJ50" s="14" t="str">
        <f t="shared" si="130"/>
        <v/>
      </c>
      <c r="EK50" s="15"/>
    </row>
    <row r="51" spans="1:141" ht="15" customHeight="1" thickTop="1" x14ac:dyDescent="0.2">
      <c r="A51" s="79"/>
      <c r="B51" s="74" t="str">
        <f>IF(A51="","",SUM(D51:D54)+SUM(R51:R54)+SUM(AF51:AF54)+SUM(AT51:AT54)+SUM(BW15,CK15,CY15,DM15))</f>
        <v/>
      </c>
      <c r="C51" s="53"/>
      <c r="D51" s="53" t="str">
        <f t="shared" si="35"/>
        <v/>
      </c>
      <c r="E51" s="53"/>
      <c r="F51" s="31" t="str">
        <f t="shared" si="36"/>
        <v/>
      </c>
      <c r="G51" s="53"/>
      <c r="H51" s="53" t="str">
        <f t="shared" si="37"/>
        <v/>
      </c>
      <c r="I51" s="53"/>
      <c r="J51" s="75" t="str">
        <f t="shared" si="70"/>
        <v/>
      </c>
      <c r="K51" s="76" t="str">
        <f t="shared" si="71"/>
        <v/>
      </c>
      <c r="L51" s="31" t="str">
        <f t="shared" si="72"/>
        <v/>
      </c>
      <c r="M51" s="32" t="str">
        <f t="shared" si="73"/>
        <v/>
      </c>
      <c r="N51" s="15"/>
      <c r="O51" s="2"/>
      <c r="P51" s="79" t="str">
        <f>IF(A51="","",A51)</f>
        <v/>
      </c>
      <c r="Q51" s="53"/>
      <c r="R51" s="53" t="str">
        <f t="shared" si="42"/>
        <v/>
      </c>
      <c r="S51" s="53"/>
      <c r="T51" s="31" t="str">
        <f t="shared" si="43"/>
        <v/>
      </c>
      <c r="U51" s="53"/>
      <c r="V51" s="53" t="str">
        <f t="shared" si="44"/>
        <v/>
      </c>
      <c r="W51" s="53"/>
      <c r="X51" s="75" t="str">
        <f t="shared" si="142"/>
        <v/>
      </c>
      <c r="Y51" s="76" t="str">
        <f t="shared" si="143"/>
        <v/>
      </c>
      <c r="Z51" s="31" t="str">
        <f t="shared" si="76"/>
        <v/>
      </c>
      <c r="AA51" s="32" t="str">
        <f t="shared" si="77"/>
        <v/>
      </c>
      <c r="AB51" s="15"/>
      <c r="AD51" s="79" t="str">
        <f>IF($A51="","",$A51)</f>
        <v/>
      </c>
      <c r="AE51" s="53"/>
      <c r="AF51" s="53" t="str">
        <f t="shared" si="49"/>
        <v/>
      </c>
      <c r="AG51" s="53"/>
      <c r="AH51" s="31" t="str">
        <f t="shared" si="50"/>
        <v/>
      </c>
      <c r="AI51" s="53"/>
      <c r="AJ51" s="53" t="str">
        <f t="shared" si="51"/>
        <v/>
      </c>
      <c r="AK51" s="53"/>
      <c r="AL51" s="75" t="str">
        <f t="shared" si="144"/>
        <v/>
      </c>
      <c r="AM51" s="76" t="str">
        <f t="shared" si="145"/>
        <v/>
      </c>
      <c r="AN51" s="31" t="str">
        <f t="shared" si="80"/>
        <v/>
      </c>
      <c r="AO51" s="32" t="str">
        <f t="shared" si="81"/>
        <v/>
      </c>
      <c r="AP51" s="15"/>
      <c r="AQ51" s="115"/>
      <c r="AR51" s="79" t="str">
        <f>IF($A51="","",$A51)</f>
        <v/>
      </c>
      <c r="AS51" s="53"/>
      <c r="AT51" s="53" t="str">
        <f t="shared" si="56"/>
        <v/>
      </c>
      <c r="AU51" s="53"/>
      <c r="AV51" s="31" t="str">
        <f t="shared" si="57"/>
        <v/>
      </c>
      <c r="AW51" s="53"/>
      <c r="AX51" s="53" t="str">
        <f t="shared" si="58"/>
        <v/>
      </c>
      <c r="AY51" s="53"/>
      <c r="AZ51" s="75" t="str">
        <f t="shared" si="146"/>
        <v/>
      </c>
      <c r="BA51" s="76" t="str">
        <f t="shared" si="83"/>
        <v/>
      </c>
      <c r="BB51" s="31" t="str">
        <f t="shared" si="84"/>
        <v/>
      </c>
      <c r="BC51" s="32" t="str">
        <f t="shared" si="85"/>
        <v/>
      </c>
      <c r="BD51" s="15"/>
      <c r="BE51" s="2"/>
      <c r="BF51" s="79" t="str">
        <f>IF(DW51="","",DW51)</f>
        <v/>
      </c>
      <c r="BG51" s="240"/>
      <c r="BH51" s="53"/>
      <c r="BI51" s="53" t="str">
        <f t="shared" si="63"/>
        <v/>
      </c>
      <c r="BJ51" s="53"/>
      <c r="BK51" s="31" t="str">
        <f t="shared" si="64"/>
        <v/>
      </c>
      <c r="BL51" s="53"/>
      <c r="BM51" s="53" t="str">
        <f t="shared" si="65"/>
        <v/>
      </c>
      <c r="BN51" s="53"/>
      <c r="BO51" s="75" t="str">
        <f t="shared" si="147"/>
        <v/>
      </c>
      <c r="BP51" s="76" t="str">
        <f t="shared" si="87"/>
        <v/>
      </c>
      <c r="BQ51" s="31" t="str">
        <f t="shared" si="88"/>
        <v/>
      </c>
      <c r="BR51" s="32" t="str">
        <f t="shared" si="89"/>
        <v/>
      </c>
      <c r="BS51" s="15"/>
      <c r="BT51" s="114"/>
      <c r="BU51" s="16"/>
      <c r="BV51" s="54"/>
      <c r="BW51" s="13"/>
      <c r="BX51" s="13"/>
      <c r="BY51" s="13"/>
      <c r="BZ51" s="13"/>
      <c r="CA51" s="13"/>
      <c r="CB51" s="13"/>
      <c r="CC51" s="13"/>
      <c r="CD51" s="13"/>
      <c r="CE51" s="13"/>
      <c r="CF51" s="14"/>
      <c r="CG51" s="15"/>
      <c r="CH51" s="1"/>
      <c r="CI51" s="16"/>
      <c r="CJ51" s="54"/>
      <c r="CK51" s="13"/>
      <c r="CL51" s="13"/>
      <c r="CM51" s="13"/>
      <c r="CN51" s="13"/>
      <c r="CO51" s="13"/>
      <c r="CP51" s="13"/>
      <c r="CQ51" s="13"/>
      <c r="CR51" s="13"/>
      <c r="CS51" s="13"/>
      <c r="CT51" s="14"/>
      <c r="CU51" s="15"/>
      <c r="CV51" s="1"/>
      <c r="CW51" s="16"/>
      <c r="CX51" s="54"/>
      <c r="CY51" s="13"/>
      <c r="CZ51" s="13"/>
      <c r="DA51" s="13"/>
      <c r="DB51" s="13"/>
      <c r="DC51" s="13"/>
      <c r="DD51" s="13"/>
      <c r="DE51" s="13"/>
      <c r="DF51" s="13"/>
      <c r="DG51" s="13"/>
      <c r="DH51" s="14"/>
      <c r="DI51" s="15"/>
      <c r="DJ51" s="1"/>
      <c r="DK51" s="16"/>
      <c r="DL51" s="54"/>
      <c r="DM51" s="13"/>
      <c r="DN51" s="13"/>
      <c r="DO51" s="13"/>
      <c r="DP51" s="13"/>
      <c r="DQ51" s="13"/>
      <c r="DR51" s="13"/>
      <c r="DS51" s="13"/>
      <c r="DT51" s="13"/>
      <c r="DU51" s="13"/>
      <c r="DV51" s="14"/>
      <c r="DW51" s="15"/>
      <c r="DY51" s="16"/>
      <c r="DZ51" s="54"/>
      <c r="EA51" s="13"/>
      <c r="EB51" s="13"/>
      <c r="EC51" s="13"/>
      <c r="ED51" s="13"/>
      <c r="EE51" s="13"/>
      <c r="EF51" s="13"/>
      <c r="EG51" s="13"/>
      <c r="EH51" s="13"/>
      <c r="EI51" s="13"/>
      <c r="EJ51" s="14"/>
      <c r="EK51" s="15"/>
    </row>
    <row r="52" spans="1:141" ht="15" customHeight="1" x14ac:dyDescent="0.2">
      <c r="A52" s="16"/>
      <c r="B52" s="11"/>
      <c r="C52" s="13"/>
      <c r="D52" s="13" t="str">
        <f t="shared" si="35"/>
        <v/>
      </c>
      <c r="E52" s="13"/>
      <c r="F52" s="13" t="str">
        <f t="shared" si="36"/>
        <v/>
      </c>
      <c r="G52" s="13"/>
      <c r="H52" s="50" t="str">
        <f t="shared" si="37"/>
        <v/>
      </c>
      <c r="I52" s="13"/>
      <c r="J52" s="56" t="str">
        <f t="shared" si="70"/>
        <v/>
      </c>
      <c r="K52" s="54" t="str">
        <f t="shared" si="71"/>
        <v/>
      </c>
      <c r="L52" s="13" t="str">
        <f t="shared" si="72"/>
        <v/>
      </c>
      <c r="M52" s="14" t="str">
        <f t="shared" si="73"/>
        <v/>
      </c>
      <c r="N52" s="15"/>
      <c r="O52" s="2"/>
      <c r="P52" s="16"/>
      <c r="Q52" s="13"/>
      <c r="R52" s="13" t="str">
        <f t="shared" si="42"/>
        <v/>
      </c>
      <c r="S52" s="13"/>
      <c r="T52" s="13" t="str">
        <f t="shared" si="43"/>
        <v/>
      </c>
      <c r="U52" s="13"/>
      <c r="V52" s="50" t="str">
        <f t="shared" si="44"/>
        <v/>
      </c>
      <c r="W52" s="13"/>
      <c r="X52" s="56" t="str">
        <f t="shared" si="142"/>
        <v/>
      </c>
      <c r="Y52" s="54" t="str">
        <f t="shared" si="143"/>
        <v/>
      </c>
      <c r="Z52" s="13" t="str">
        <f t="shared" si="76"/>
        <v/>
      </c>
      <c r="AA52" s="14" t="str">
        <f t="shared" si="77"/>
        <v/>
      </c>
      <c r="AB52" s="15"/>
      <c r="AD52" s="16"/>
      <c r="AE52" s="13"/>
      <c r="AF52" s="13" t="str">
        <f t="shared" si="49"/>
        <v/>
      </c>
      <c r="AG52" s="13"/>
      <c r="AH52" s="13" t="str">
        <f t="shared" si="50"/>
        <v/>
      </c>
      <c r="AI52" s="13"/>
      <c r="AJ52" s="50" t="str">
        <f t="shared" si="51"/>
        <v/>
      </c>
      <c r="AK52" s="13"/>
      <c r="AL52" s="56" t="str">
        <f t="shared" si="144"/>
        <v/>
      </c>
      <c r="AM52" s="54" t="str">
        <f t="shared" si="145"/>
        <v/>
      </c>
      <c r="AN52" s="13" t="str">
        <f t="shared" si="80"/>
        <v/>
      </c>
      <c r="AO52" s="14" t="str">
        <f t="shared" si="81"/>
        <v/>
      </c>
      <c r="AP52" s="15"/>
      <c r="AQ52" s="115"/>
      <c r="AR52" s="16"/>
      <c r="AS52" s="13"/>
      <c r="AT52" s="13" t="str">
        <f t="shared" si="56"/>
        <v/>
      </c>
      <c r="AU52" s="13"/>
      <c r="AV52" s="13" t="str">
        <f t="shared" si="57"/>
        <v/>
      </c>
      <c r="AW52" s="13"/>
      <c r="AX52" s="50" t="str">
        <f t="shared" si="58"/>
        <v/>
      </c>
      <c r="AY52" s="13"/>
      <c r="AZ52" s="56" t="str">
        <f t="shared" si="146"/>
        <v/>
      </c>
      <c r="BA52" s="54" t="str">
        <f t="shared" si="83"/>
        <v/>
      </c>
      <c r="BB52" s="13" t="str">
        <f t="shared" si="84"/>
        <v/>
      </c>
      <c r="BC52" s="14" t="str">
        <f t="shared" si="85"/>
        <v/>
      </c>
      <c r="BD52" s="15"/>
      <c r="BE52" s="2"/>
      <c r="BF52" s="16"/>
      <c r="BG52" s="7"/>
      <c r="BH52" s="13"/>
      <c r="BI52" s="13" t="str">
        <f t="shared" si="63"/>
        <v/>
      </c>
      <c r="BJ52" s="13"/>
      <c r="BK52" s="13" t="str">
        <f t="shared" si="64"/>
        <v/>
      </c>
      <c r="BL52" s="13"/>
      <c r="BM52" s="50" t="str">
        <f t="shared" si="65"/>
        <v/>
      </c>
      <c r="BN52" s="13"/>
      <c r="BO52" s="56" t="str">
        <f t="shared" si="147"/>
        <v/>
      </c>
      <c r="BP52" s="54" t="str">
        <f t="shared" si="87"/>
        <v/>
      </c>
      <c r="BQ52" s="13" t="str">
        <f t="shared" si="88"/>
        <v/>
      </c>
      <c r="BR52" s="14" t="str">
        <f t="shared" si="89"/>
        <v/>
      </c>
      <c r="BS52" s="15"/>
      <c r="BT52" s="114"/>
      <c r="BU52" s="16"/>
      <c r="BV52" s="54"/>
      <c r="BW52" s="13" t="str">
        <f>IF(BV52="","",BV52-#REF!)</f>
        <v/>
      </c>
      <c r="BX52" s="13"/>
      <c r="BY52" s="13"/>
      <c r="BZ52" s="13"/>
      <c r="CA52" s="13" t="str">
        <f>IF(BZ52="","",#REF!+#REF!-BZ52)</f>
        <v/>
      </c>
      <c r="CB52" s="13"/>
      <c r="CC52" s="13"/>
      <c r="CD52" s="13"/>
      <c r="CE52" s="13" t="str">
        <f>IF(CD52="","",CA52*CD52)</f>
        <v/>
      </c>
      <c r="CF52" s="14" t="str">
        <f>IF(CE52="","",CE52/(BW52*100))</f>
        <v/>
      </c>
      <c r="CG52" s="15"/>
      <c r="CH52" s="1"/>
      <c r="CI52" s="16"/>
      <c r="CJ52" s="54"/>
      <c r="CK52" s="13" t="str">
        <f>IF(CJ52="","",CJ52-#REF!)</f>
        <v/>
      </c>
      <c r="CL52" s="13"/>
      <c r="CM52" s="13"/>
      <c r="CN52" s="13"/>
      <c r="CO52" s="13" t="str">
        <f>IF(CN52="","",#REF!+#REF!-CN52)</f>
        <v/>
      </c>
      <c r="CP52" s="13"/>
      <c r="CQ52" s="13"/>
      <c r="CR52" s="13"/>
      <c r="CS52" s="13" t="str">
        <f>IF(CR52="","",CO52*CR52)</f>
        <v/>
      </c>
      <c r="CT52" s="14" t="str">
        <f>IF(CS52="","",CS52/(CK52*100))</f>
        <v/>
      </c>
      <c r="CU52" s="15"/>
      <c r="CV52" s="1"/>
      <c r="CW52" s="16"/>
      <c r="CX52" s="54"/>
      <c r="CY52" s="13" t="str">
        <f>IF(CX52="","",CX52-#REF!)</f>
        <v/>
      </c>
      <c r="CZ52" s="13"/>
      <c r="DA52" s="13"/>
      <c r="DB52" s="13"/>
      <c r="DC52" s="13" t="str">
        <f>IF(DB52="","",#REF!+#REF!-DB52)</f>
        <v/>
      </c>
      <c r="DD52" s="13"/>
      <c r="DE52" s="13"/>
      <c r="DF52" s="13"/>
      <c r="DG52" s="13" t="str">
        <f>IF(DF52="","",DC52*DF52)</f>
        <v/>
      </c>
      <c r="DH52" s="14" t="str">
        <f>IF(DG52="","",DG52/(CY52*100))</f>
        <v/>
      </c>
      <c r="DI52" s="15"/>
      <c r="DJ52" s="1"/>
      <c r="DK52" s="16"/>
      <c r="DL52" s="54"/>
      <c r="DM52" s="13" t="str">
        <f>IF(DL52="","",DL52-#REF!)</f>
        <v/>
      </c>
      <c r="DN52" s="13"/>
      <c r="DO52" s="13"/>
      <c r="DP52" s="13"/>
      <c r="DQ52" s="13" t="str">
        <f>IF(DP52="","",#REF!+#REF!-DP52)</f>
        <v/>
      </c>
      <c r="DR52" s="13"/>
      <c r="DS52" s="13"/>
      <c r="DT52" s="13"/>
      <c r="DU52" s="13" t="str">
        <f>IF(DT52="","",DQ52*DT52)</f>
        <v/>
      </c>
      <c r="DV52" s="14" t="str">
        <f>IF(DU52="","",DU52/(DM52*100))</f>
        <v/>
      </c>
      <c r="DW52" s="15"/>
      <c r="DY52" s="16"/>
      <c r="DZ52" s="54"/>
      <c r="EA52" s="13" t="str">
        <f>IF(DZ52="","",DZ52-#REF!)</f>
        <v/>
      </c>
      <c r="EB52" s="13"/>
      <c r="EC52" s="13"/>
      <c r="ED52" s="13"/>
      <c r="EE52" s="13" t="str">
        <f>IF(ED52="","",#REF!+#REF!-ED52)</f>
        <v/>
      </c>
      <c r="EF52" s="13"/>
      <c r="EG52" s="13"/>
      <c r="EH52" s="13"/>
      <c r="EI52" s="13" t="str">
        <f>IF(EH52="","",EE52*EH52)</f>
        <v/>
      </c>
      <c r="EJ52" s="14" t="str">
        <f>IF(EI52="","",EI52/(EA52*100))</f>
        <v/>
      </c>
      <c r="EK52" s="15"/>
    </row>
    <row r="53" spans="1:141" ht="15" customHeight="1" x14ac:dyDescent="0.2">
      <c r="A53" s="16"/>
      <c r="B53" s="11"/>
      <c r="C53" s="13"/>
      <c r="D53" s="13" t="str">
        <f t="shared" si="35"/>
        <v/>
      </c>
      <c r="E53" s="13"/>
      <c r="F53" s="13" t="str">
        <f t="shared" si="36"/>
        <v/>
      </c>
      <c r="G53" s="13"/>
      <c r="H53" s="13" t="str">
        <f t="shared" si="37"/>
        <v/>
      </c>
      <c r="I53" s="13"/>
      <c r="J53" s="56" t="str">
        <f t="shared" si="70"/>
        <v/>
      </c>
      <c r="K53" s="13" t="str">
        <f t="shared" si="71"/>
        <v/>
      </c>
      <c r="L53" s="13" t="str">
        <f t="shared" si="72"/>
        <v/>
      </c>
      <c r="M53" s="14" t="str">
        <f t="shared" si="73"/>
        <v/>
      </c>
      <c r="N53" s="15"/>
      <c r="O53" s="2"/>
      <c r="P53" s="16"/>
      <c r="Q53" s="13"/>
      <c r="R53" s="13" t="str">
        <f t="shared" si="42"/>
        <v/>
      </c>
      <c r="S53" s="13"/>
      <c r="T53" s="13" t="str">
        <f t="shared" si="43"/>
        <v/>
      </c>
      <c r="U53" s="13"/>
      <c r="V53" s="13" t="str">
        <f t="shared" si="44"/>
        <v/>
      </c>
      <c r="W53" s="13"/>
      <c r="X53" s="56" t="str">
        <f t="shared" si="142"/>
        <v/>
      </c>
      <c r="Y53" s="13" t="str">
        <f t="shared" si="143"/>
        <v/>
      </c>
      <c r="Z53" s="13" t="str">
        <f t="shared" si="76"/>
        <v/>
      </c>
      <c r="AA53" s="14" t="str">
        <f t="shared" si="77"/>
        <v/>
      </c>
      <c r="AB53" s="15"/>
      <c r="AD53" s="16"/>
      <c r="AE53" s="13"/>
      <c r="AF53" s="13" t="str">
        <f t="shared" si="49"/>
        <v/>
      </c>
      <c r="AG53" s="13"/>
      <c r="AH53" s="13" t="str">
        <f t="shared" si="50"/>
        <v/>
      </c>
      <c r="AI53" s="13"/>
      <c r="AJ53" s="13" t="str">
        <f t="shared" si="51"/>
        <v/>
      </c>
      <c r="AK53" s="13"/>
      <c r="AL53" s="56" t="str">
        <f t="shared" si="144"/>
        <v/>
      </c>
      <c r="AM53" s="13" t="str">
        <f t="shared" si="145"/>
        <v/>
      </c>
      <c r="AN53" s="13" t="str">
        <f t="shared" si="80"/>
        <v/>
      </c>
      <c r="AO53" s="14" t="str">
        <f t="shared" si="81"/>
        <v/>
      </c>
      <c r="AP53" s="15"/>
      <c r="AQ53" s="115"/>
      <c r="AR53" s="16"/>
      <c r="AS53" s="13"/>
      <c r="AT53" s="13" t="str">
        <f t="shared" si="56"/>
        <v/>
      </c>
      <c r="AU53" s="13"/>
      <c r="AV53" s="13" t="str">
        <f t="shared" si="57"/>
        <v/>
      </c>
      <c r="AW53" s="13"/>
      <c r="AX53" s="13" t="str">
        <f t="shared" si="58"/>
        <v/>
      </c>
      <c r="AY53" s="13"/>
      <c r="AZ53" s="56" t="str">
        <f t="shared" si="146"/>
        <v/>
      </c>
      <c r="BA53" s="13" t="str">
        <f t="shared" si="83"/>
        <v/>
      </c>
      <c r="BB53" s="13" t="str">
        <f t="shared" si="84"/>
        <v/>
      </c>
      <c r="BC53" s="14" t="str">
        <f t="shared" si="85"/>
        <v/>
      </c>
      <c r="BD53" s="15"/>
      <c r="BE53" s="2"/>
      <c r="BF53" s="16"/>
      <c r="BG53" s="7"/>
      <c r="BH53" s="13"/>
      <c r="BI53" s="13" t="str">
        <f t="shared" si="63"/>
        <v/>
      </c>
      <c r="BJ53" s="13"/>
      <c r="BK53" s="13" t="str">
        <f t="shared" si="64"/>
        <v/>
      </c>
      <c r="BL53" s="13"/>
      <c r="BM53" s="13" t="str">
        <f t="shared" si="65"/>
        <v/>
      </c>
      <c r="BN53" s="13"/>
      <c r="BO53" s="56" t="str">
        <f t="shared" si="147"/>
        <v/>
      </c>
      <c r="BP53" s="13" t="str">
        <f t="shared" si="87"/>
        <v/>
      </c>
      <c r="BQ53" s="13" t="str">
        <f t="shared" si="88"/>
        <v/>
      </c>
      <c r="BR53" s="14" t="str">
        <f t="shared" si="89"/>
        <v/>
      </c>
      <c r="BS53" s="15"/>
      <c r="BU53" s="16"/>
      <c r="BV53" s="54"/>
      <c r="BW53" s="13" t="str">
        <f>IF(BV53="","",BV53-BV52)</f>
        <v/>
      </c>
      <c r="BX53" s="13"/>
      <c r="BY53" s="13"/>
      <c r="BZ53" s="13"/>
      <c r="CA53" s="13" t="str">
        <f>IF(BZ53="","",BZ52+CB52-BZ53)</f>
        <v/>
      </c>
      <c r="CB53" s="13"/>
      <c r="CC53" s="13"/>
      <c r="CD53" s="13"/>
      <c r="CE53" s="13" t="str">
        <f>IF(CD53="","",CA53*CD53)</f>
        <v/>
      </c>
      <c r="CF53" s="14" t="str">
        <f>IF(CE53="","",CE53/(BW53*100))</f>
        <v/>
      </c>
      <c r="CG53" s="15"/>
      <c r="CH53" s="1"/>
      <c r="CI53" s="16"/>
      <c r="CJ53" s="54"/>
      <c r="CK53" s="13" t="str">
        <f>IF(CJ53="","",CJ53-CJ52)</f>
        <v/>
      </c>
      <c r="CL53" s="13"/>
      <c r="CM53" s="13"/>
      <c r="CN53" s="13"/>
      <c r="CO53" s="13" t="str">
        <f>IF(CN53="","",CN52+CP52-CN53)</f>
        <v/>
      </c>
      <c r="CP53" s="13"/>
      <c r="CQ53" s="13"/>
      <c r="CR53" s="13"/>
      <c r="CS53" s="13" t="str">
        <f>IF(CR53="","",CO53*CR53)</f>
        <v/>
      </c>
      <c r="CT53" s="14" t="str">
        <f>IF(CS53="","",CS53/(CK53*100))</f>
        <v/>
      </c>
      <c r="CU53" s="15"/>
      <c r="CV53" s="1"/>
      <c r="CW53" s="16"/>
      <c r="CX53" s="54"/>
      <c r="CY53" s="13" t="str">
        <f>IF(CX53="","",CX53-CX52)</f>
        <v/>
      </c>
      <c r="CZ53" s="13"/>
      <c r="DA53" s="13"/>
      <c r="DB53" s="13"/>
      <c r="DC53" s="13" t="str">
        <f>IF(DB53="","",DB52+DD52-DB53)</f>
        <v/>
      </c>
      <c r="DD53" s="13"/>
      <c r="DE53" s="13"/>
      <c r="DF53" s="13"/>
      <c r="DG53" s="13" t="str">
        <f>IF(DF53="","",DC53*DF53)</f>
        <v/>
      </c>
      <c r="DH53" s="14" t="str">
        <f>IF(DG53="","",DG53/(CY53*100))</f>
        <v/>
      </c>
      <c r="DI53" s="15"/>
      <c r="DJ53" s="1"/>
      <c r="DK53" s="16"/>
      <c r="DL53" s="54"/>
      <c r="DM53" s="13" t="str">
        <f>IF(DL53="","",DL53-DL52)</f>
        <v/>
      </c>
      <c r="DN53" s="13"/>
      <c r="DO53" s="13"/>
      <c r="DP53" s="13"/>
      <c r="DQ53" s="13" t="str">
        <f>IF(DP53="","",DP52+DR52-DP53)</f>
        <v/>
      </c>
      <c r="DR53" s="13"/>
      <c r="DS53" s="13"/>
      <c r="DT53" s="13"/>
      <c r="DU53" s="13" t="str">
        <f>IF(DT53="","",DQ53*DT53)</f>
        <v/>
      </c>
      <c r="DV53" s="14" t="str">
        <f>IF(DU53="","",DU53/(DM53*100))</f>
        <v/>
      </c>
      <c r="DW53" s="15"/>
      <c r="DY53" s="16"/>
      <c r="DZ53" s="54"/>
      <c r="EA53" s="13" t="str">
        <f>IF(DZ53="","",DZ53-DZ52)</f>
        <v/>
      </c>
      <c r="EB53" s="13"/>
      <c r="EC53" s="13"/>
      <c r="ED53" s="13"/>
      <c r="EE53" s="13" t="str">
        <f>IF(ED53="","",ED52+EF52-ED53)</f>
        <v/>
      </c>
      <c r="EF53" s="13"/>
      <c r="EG53" s="13"/>
      <c r="EH53" s="13"/>
      <c r="EI53" s="13" t="str">
        <f>IF(EH53="","",EE53*EH53)</f>
        <v/>
      </c>
      <c r="EJ53" s="14" t="str">
        <f>IF(EI53="","",EI53/(EA53*100))</f>
        <v/>
      </c>
      <c r="EK53" s="15"/>
    </row>
    <row r="54" spans="1:141" ht="15" customHeight="1" thickBot="1" x14ac:dyDescent="0.25">
      <c r="A54" s="26"/>
      <c r="B54" s="46"/>
      <c r="C54" s="27"/>
      <c r="D54" s="27" t="str">
        <f t="shared" si="35"/>
        <v/>
      </c>
      <c r="E54" s="27"/>
      <c r="F54" s="27" t="str">
        <f t="shared" si="36"/>
        <v/>
      </c>
      <c r="G54" s="27"/>
      <c r="H54" s="27" t="str">
        <f t="shared" si="37"/>
        <v/>
      </c>
      <c r="I54" s="27"/>
      <c r="J54" s="57" t="str">
        <f t="shared" si="70"/>
        <v/>
      </c>
      <c r="K54" s="62" t="str">
        <f t="shared" si="71"/>
        <v/>
      </c>
      <c r="L54" s="27" t="str">
        <f t="shared" si="72"/>
        <v/>
      </c>
      <c r="M54" s="28" t="str">
        <f t="shared" si="73"/>
        <v/>
      </c>
      <c r="N54" s="15"/>
      <c r="O54" s="2"/>
      <c r="P54" s="26"/>
      <c r="Q54" s="27"/>
      <c r="R54" s="27" t="str">
        <f t="shared" si="42"/>
        <v/>
      </c>
      <c r="S54" s="27"/>
      <c r="T54" s="27" t="str">
        <f t="shared" si="43"/>
        <v/>
      </c>
      <c r="U54" s="27"/>
      <c r="V54" s="27" t="str">
        <f t="shared" si="44"/>
        <v/>
      </c>
      <c r="W54" s="27"/>
      <c r="X54" s="57" t="str">
        <f t="shared" si="142"/>
        <v/>
      </c>
      <c r="Y54" s="62" t="str">
        <f t="shared" si="143"/>
        <v/>
      </c>
      <c r="Z54" s="27" t="str">
        <f t="shared" si="76"/>
        <v/>
      </c>
      <c r="AA54" s="28" t="str">
        <f t="shared" si="77"/>
        <v/>
      </c>
      <c r="AB54" s="15"/>
      <c r="AD54" s="26"/>
      <c r="AE54" s="27"/>
      <c r="AF54" s="27" t="str">
        <f t="shared" si="49"/>
        <v/>
      </c>
      <c r="AG54" s="27"/>
      <c r="AH54" s="27" t="str">
        <f t="shared" si="50"/>
        <v/>
      </c>
      <c r="AI54" s="27"/>
      <c r="AJ54" s="27" t="str">
        <f t="shared" si="51"/>
        <v/>
      </c>
      <c r="AK54" s="27"/>
      <c r="AL54" s="57" t="str">
        <f t="shared" si="144"/>
        <v/>
      </c>
      <c r="AM54" s="62" t="str">
        <f t="shared" si="145"/>
        <v/>
      </c>
      <c r="AN54" s="27" t="str">
        <f t="shared" si="80"/>
        <v/>
      </c>
      <c r="AO54" s="28" t="str">
        <f t="shared" si="81"/>
        <v/>
      </c>
      <c r="AP54" s="15"/>
      <c r="AQ54" s="115"/>
      <c r="AR54" s="26"/>
      <c r="AS54" s="27"/>
      <c r="AT54" s="27" t="str">
        <f t="shared" si="56"/>
        <v/>
      </c>
      <c r="AU54" s="27"/>
      <c r="AV54" s="27" t="str">
        <f t="shared" si="57"/>
        <v/>
      </c>
      <c r="AW54" s="27"/>
      <c r="AX54" s="27" t="str">
        <f t="shared" si="58"/>
        <v/>
      </c>
      <c r="AY54" s="27"/>
      <c r="AZ54" s="57" t="str">
        <f t="shared" si="146"/>
        <v/>
      </c>
      <c r="BA54" s="62" t="str">
        <f t="shared" si="83"/>
        <v/>
      </c>
      <c r="BB54" s="27" t="str">
        <f t="shared" si="84"/>
        <v/>
      </c>
      <c r="BC54" s="28" t="str">
        <f t="shared" si="85"/>
        <v/>
      </c>
      <c r="BD54" s="15"/>
      <c r="BE54" s="2"/>
      <c r="BF54" s="26"/>
      <c r="BG54" s="241"/>
      <c r="BH54" s="27"/>
      <c r="BI54" s="27" t="str">
        <f t="shared" si="63"/>
        <v/>
      </c>
      <c r="BJ54" s="27"/>
      <c r="BK54" s="27" t="str">
        <f t="shared" si="64"/>
        <v/>
      </c>
      <c r="BL54" s="27"/>
      <c r="BM54" s="27" t="str">
        <f t="shared" si="65"/>
        <v/>
      </c>
      <c r="BN54" s="27"/>
      <c r="BO54" s="57" t="str">
        <f t="shared" si="147"/>
        <v/>
      </c>
      <c r="BP54" s="62" t="str">
        <f t="shared" si="87"/>
        <v/>
      </c>
      <c r="BQ54" s="27" t="str">
        <f t="shared" si="88"/>
        <v/>
      </c>
      <c r="BR54" s="28" t="str">
        <f t="shared" si="89"/>
        <v/>
      </c>
      <c r="BS54" s="15"/>
      <c r="BU54" s="16"/>
      <c r="BV54" s="54"/>
      <c r="BW54" s="13" t="str">
        <f>IF(BV54="","",BV54-BV53)</f>
        <v/>
      </c>
      <c r="BX54" s="13"/>
      <c r="BY54" s="13"/>
      <c r="BZ54" s="13"/>
      <c r="CA54" s="13" t="str">
        <f>IF(BZ54="","",BZ53+CB53-BZ54)</f>
        <v/>
      </c>
      <c r="CB54" s="13"/>
      <c r="CC54" s="13"/>
      <c r="CD54" s="13"/>
      <c r="CE54" s="13" t="str">
        <f>IF(CD54="","",CA54*CD54)</f>
        <v/>
      </c>
      <c r="CF54" s="14" t="str">
        <f>IF(CE54="","",CE54/(BW54*100))</f>
        <v/>
      </c>
      <c r="CG54" s="15"/>
      <c r="CH54" s="1"/>
      <c r="CI54" s="16"/>
      <c r="CJ54" s="54"/>
      <c r="CK54" s="13" t="str">
        <f>IF(CJ54="","",CJ54-CJ53)</f>
        <v/>
      </c>
      <c r="CL54" s="13"/>
      <c r="CM54" s="13"/>
      <c r="CN54" s="13"/>
      <c r="CO54" s="13" t="str">
        <f>IF(CN54="","",CN53+CP53-CN54)</f>
        <v/>
      </c>
      <c r="CP54" s="13"/>
      <c r="CQ54" s="13"/>
      <c r="CR54" s="13"/>
      <c r="CS54" s="13" t="str">
        <f>IF(CR54="","",CO54*CR54)</f>
        <v/>
      </c>
      <c r="CT54" s="14" t="str">
        <f>IF(CS54="","",CS54/(CK54*100))</f>
        <v/>
      </c>
      <c r="CU54" s="15"/>
      <c r="CV54" s="1"/>
      <c r="CW54" s="16"/>
      <c r="CX54" s="54"/>
      <c r="CY54" s="13" t="str">
        <f>IF(CX54="","",CX54-CX53)</f>
        <v/>
      </c>
      <c r="CZ54" s="13"/>
      <c r="DA54" s="13"/>
      <c r="DB54" s="13"/>
      <c r="DC54" s="13" t="str">
        <f>IF(DB54="","",DB53+DD53-DB54)</f>
        <v/>
      </c>
      <c r="DD54" s="13"/>
      <c r="DE54" s="13"/>
      <c r="DF54" s="13"/>
      <c r="DG54" s="13" t="str">
        <f>IF(DF54="","",DC54*DF54)</f>
        <v/>
      </c>
      <c r="DH54" s="14" t="str">
        <f>IF(DG54="","",DG54/(CY54*100))</f>
        <v/>
      </c>
      <c r="DI54" s="15"/>
      <c r="DJ54" s="1"/>
      <c r="DK54" s="16"/>
      <c r="DL54" s="54"/>
      <c r="DM54" s="13" t="str">
        <f>IF(DL54="","",DL54-DL53)</f>
        <v/>
      </c>
      <c r="DN54" s="13"/>
      <c r="DO54" s="13"/>
      <c r="DP54" s="13"/>
      <c r="DQ54" s="13" t="str">
        <f>IF(DP54="","",DP53+DR53-DP54)</f>
        <v/>
      </c>
      <c r="DR54" s="13"/>
      <c r="DS54" s="13"/>
      <c r="DT54" s="13"/>
      <c r="DU54" s="13" t="str">
        <f>IF(DT54="","",DQ54*DT54)</f>
        <v/>
      </c>
      <c r="DV54" s="14" t="str">
        <f>IF(DU54="","",DU54/(DM54*100))</f>
        <v/>
      </c>
      <c r="DW54" s="15"/>
      <c r="DY54" s="16"/>
      <c r="DZ54" s="54"/>
      <c r="EA54" s="13" t="str">
        <f>IF(DZ54="","",DZ54-DZ53)</f>
        <v/>
      </c>
      <c r="EB54" s="13"/>
      <c r="EC54" s="13"/>
      <c r="ED54" s="13"/>
      <c r="EE54" s="13" t="str">
        <f>IF(ED54="","",ED53+EF53-ED54)</f>
        <v/>
      </c>
      <c r="EF54" s="13"/>
      <c r="EG54" s="13"/>
      <c r="EH54" s="13"/>
      <c r="EI54" s="13" t="str">
        <f>IF(EH54="","",EE54*EH54)</f>
        <v/>
      </c>
      <c r="EJ54" s="14" t="str">
        <f>IF(EI54="","",EI54/(EA54*100))</f>
        <v/>
      </c>
      <c r="EK54" s="15"/>
    </row>
    <row r="55" spans="1:141" ht="15" customHeight="1" thickTop="1" x14ac:dyDescent="0.2">
      <c r="A55" s="79"/>
      <c r="B55" s="74" t="str">
        <f>IF(A55="","",SUM(D55:D58)+SUM(R55:R58)+SUM(AF55:AF58)+SUM(AT55:AT58)+SUM(BW16,CK16,CY16,DM16))</f>
        <v/>
      </c>
      <c r="C55" s="53"/>
      <c r="D55" s="53" t="str">
        <f t="shared" si="35"/>
        <v/>
      </c>
      <c r="E55" s="53"/>
      <c r="F55" s="31" t="str">
        <f t="shared" si="36"/>
        <v/>
      </c>
      <c r="G55" s="53"/>
      <c r="H55" s="53" t="str">
        <f t="shared" si="37"/>
        <v/>
      </c>
      <c r="I55" s="53"/>
      <c r="J55" s="75" t="str">
        <f t="shared" si="70"/>
        <v/>
      </c>
      <c r="K55" s="76" t="str">
        <f t="shared" si="71"/>
        <v/>
      </c>
      <c r="L55" s="31" t="str">
        <f t="shared" si="72"/>
        <v/>
      </c>
      <c r="M55" s="32" t="str">
        <f t="shared" si="73"/>
        <v/>
      </c>
      <c r="N55" s="15"/>
      <c r="O55" s="2"/>
      <c r="P55" s="79" t="str">
        <f>IF(A55="","",A55)</f>
        <v/>
      </c>
      <c r="Q55" s="53"/>
      <c r="R55" s="53" t="str">
        <f t="shared" si="42"/>
        <v/>
      </c>
      <c r="S55" s="53"/>
      <c r="T55" s="31" t="str">
        <f t="shared" si="43"/>
        <v/>
      </c>
      <c r="U55" s="53"/>
      <c r="V55" s="53" t="str">
        <f t="shared" si="44"/>
        <v/>
      </c>
      <c r="W55" s="53"/>
      <c r="X55" s="75" t="str">
        <f t="shared" si="142"/>
        <v/>
      </c>
      <c r="Y55" s="76" t="str">
        <f t="shared" si="143"/>
        <v/>
      </c>
      <c r="Z55" s="31" t="str">
        <f t="shared" si="76"/>
        <v/>
      </c>
      <c r="AA55" s="32" t="str">
        <f t="shared" si="77"/>
        <v/>
      </c>
      <c r="AB55" s="15"/>
      <c r="AD55" s="79" t="str">
        <f>IF($A55="","",$A55)</f>
        <v/>
      </c>
      <c r="AE55" s="53"/>
      <c r="AF55" s="53" t="str">
        <f t="shared" si="49"/>
        <v/>
      </c>
      <c r="AG55" s="53"/>
      <c r="AH55" s="31" t="str">
        <f t="shared" si="50"/>
        <v/>
      </c>
      <c r="AI55" s="53"/>
      <c r="AJ55" s="53" t="str">
        <f t="shared" si="51"/>
        <v/>
      </c>
      <c r="AK55" s="53"/>
      <c r="AL55" s="75" t="str">
        <f t="shared" si="144"/>
        <v/>
      </c>
      <c r="AM55" s="76" t="str">
        <f t="shared" si="145"/>
        <v/>
      </c>
      <c r="AN55" s="31" t="str">
        <f t="shared" si="80"/>
        <v/>
      </c>
      <c r="AO55" s="32" t="str">
        <f t="shared" si="81"/>
        <v/>
      </c>
      <c r="AP55" s="15"/>
      <c r="AQ55" s="2"/>
      <c r="AR55" s="79" t="str">
        <f>IF($A55="","",$A55)</f>
        <v/>
      </c>
      <c r="AS55" s="53"/>
      <c r="AT55" s="53" t="str">
        <f t="shared" si="56"/>
        <v/>
      </c>
      <c r="AU55" s="53"/>
      <c r="AV55" s="31" t="str">
        <f t="shared" si="57"/>
        <v/>
      </c>
      <c r="AW55" s="53"/>
      <c r="AX55" s="53" t="str">
        <f t="shared" si="58"/>
        <v/>
      </c>
      <c r="AY55" s="53"/>
      <c r="AZ55" s="75" t="str">
        <f t="shared" si="146"/>
        <v/>
      </c>
      <c r="BA55" s="76" t="str">
        <f t="shared" si="83"/>
        <v/>
      </c>
      <c r="BB55" s="31" t="str">
        <f t="shared" si="84"/>
        <v/>
      </c>
      <c r="BC55" s="32" t="str">
        <f t="shared" si="85"/>
        <v/>
      </c>
      <c r="BD55" s="15"/>
      <c r="BE55" s="2"/>
      <c r="BF55" s="79" t="str">
        <f>IF(DW55="","",DW55)</f>
        <v/>
      </c>
      <c r="BG55" s="240"/>
      <c r="BH55" s="53"/>
      <c r="BI55" s="53" t="str">
        <f t="shared" si="63"/>
        <v/>
      </c>
      <c r="BJ55" s="53"/>
      <c r="BK55" s="31" t="str">
        <f t="shared" si="64"/>
        <v/>
      </c>
      <c r="BL55" s="53"/>
      <c r="BM55" s="53" t="str">
        <f t="shared" si="65"/>
        <v/>
      </c>
      <c r="BN55" s="53"/>
      <c r="BO55" s="75" t="str">
        <f t="shared" si="147"/>
        <v/>
      </c>
      <c r="BP55" s="76" t="str">
        <f t="shared" si="87"/>
        <v/>
      </c>
      <c r="BQ55" s="31" t="str">
        <f t="shared" si="88"/>
        <v/>
      </c>
      <c r="BR55" s="32" t="str">
        <f t="shared" si="89"/>
        <v/>
      </c>
      <c r="BS55" s="15"/>
      <c r="BU55" s="16"/>
      <c r="BV55" s="54"/>
      <c r="BW55" s="13"/>
      <c r="BX55" s="13"/>
      <c r="BY55" s="13"/>
      <c r="BZ55" s="13"/>
      <c r="CA55" s="13" t="str">
        <f>IF(BZ55="","",BZ54+CB54-BZ55)</f>
        <v/>
      </c>
      <c r="CB55" s="13"/>
      <c r="CC55" s="13"/>
      <c r="CD55" s="13"/>
      <c r="CE55" s="13" t="str">
        <f>IF(CD55="","",CA55*CD55)</f>
        <v/>
      </c>
      <c r="CF55" s="14" t="str">
        <f>IF(CE55="","",CE55/(BW55*100))</f>
        <v/>
      </c>
      <c r="CG55" s="15"/>
      <c r="CH55" s="1"/>
      <c r="CI55" s="16"/>
      <c r="CJ55" s="54"/>
      <c r="CK55" s="13"/>
      <c r="CL55" s="13"/>
      <c r="CM55" s="13"/>
      <c r="CN55" s="13"/>
      <c r="CO55" s="13" t="str">
        <f>IF(CN55="","",CN54+CP54-CN55)</f>
        <v/>
      </c>
      <c r="CP55" s="13"/>
      <c r="CQ55" s="13"/>
      <c r="CR55" s="13"/>
      <c r="CS55" s="13" t="str">
        <f>IF(CR55="","",CO55*CR55)</f>
        <v/>
      </c>
      <c r="CT55" s="14" t="str">
        <f>IF(CS55="","",CS55/(CK55*100))</f>
        <v/>
      </c>
      <c r="CU55" s="15"/>
      <c r="CV55" s="1"/>
      <c r="CW55" s="16"/>
      <c r="CX55" s="54"/>
      <c r="CY55" s="13"/>
      <c r="CZ55" s="13"/>
      <c r="DA55" s="13"/>
      <c r="DB55" s="13"/>
      <c r="DC55" s="13" t="str">
        <f>IF(DB55="","",DB54+DD54-DB55)</f>
        <v/>
      </c>
      <c r="DD55" s="13"/>
      <c r="DE55" s="13"/>
      <c r="DF55" s="13"/>
      <c r="DG55" s="13" t="str">
        <f>IF(DF55="","",DC55*DF55)</f>
        <v/>
      </c>
      <c r="DH55" s="14" t="str">
        <f>IF(DG55="","",DG55/(CY55*100))</f>
        <v/>
      </c>
      <c r="DI55" s="15"/>
      <c r="DJ55" s="1"/>
      <c r="DK55" s="16"/>
      <c r="DL55" s="54"/>
      <c r="DM55" s="13"/>
      <c r="DN55" s="13"/>
      <c r="DO55" s="13"/>
      <c r="DP55" s="13"/>
      <c r="DQ55" s="13" t="str">
        <f>IF(DP55="","",DP54+DR54-DP55)</f>
        <v/>
      </c>
      <c r="DR55" s="13"/>
      <c r="DS55" s="13"/>
      <c r="DT55" s="13"/>
      <c r="DU55" s="13" t="str">
        <f>IF(DT55="","",DQ55*DT55)</f>
        <v/>
      </c>
      <c r="DV55" s="14" t="str">
        <f>IF(DU55="","",DU55/(DM55*100))</f>
        <v/>
      </c>
      <c r="DW55" s="15"/>
      <c r="DY55" s="16"/>
      <c r="DZ55" s="54"/>
      <c r="EA55" s="13"/>
      <c r="EB55" s="13"/>
      <c r="EC55" s="13"/>
      <c r="ED55" s="13"/>
      <c r="EE55" s="13" t="str">
        <f>IF(ED55="","",ED54+EF54-ED55)</f>
        <v/>
      </c>
      <c r="EF55" s="13"/>
      <c r="EG55" s="13"/>
      <c r="EH55" s="13"/>
      <c r="EI55" s="13" t="str">
        <f>IF(EH55="","",EE55*EH55)</f>
        <v/>
      </c>
      <c r="EJ55" s="14" t="str">
        <f>IF(EI55="","",EI55/(EA55*100))</f>
        <v/>
      </c>
      <c r="EK55" s="15"/>
    </row>
    <row r="56" spans="1:141" ht="15" customHeight="1" x14ac:dyDescent="0.2">
      <c r="A56" s="79"/>
      <c r="B56" s="74"/>
      <c r="C56" s="53"/>
      <c r="D56" s="13" t="str">
        <f t="shared" si="35"/>
        <v/>
      </c>
      <c r="E56" s="53"/>
      <c r="F56" s="13" t="str">
        <f t="shared" si="36"/>
        <v/>
      </c>
      <c r="G56" s="53"/>
      <c r="H56" s="50" t="str">
        <f t="shared" si="37"/>
        <v/>
      </c>
      <c r="I56" s="53"/>
      <c r="J56" s="56" t="str">
        <f t="shared" si="70"/>
        <v/>
      </c>
      <c r="K56" s="54" t="str">
        <f t="shared" si="71"/>
        <v/>
      </c>
      <c r="L56" s="13" t="str">
        <f t="shared" si="72"/>
        <v/>
      </c>
      <c r="M56" s="14" t="str">
        <f t="shared" si="73"/>
        <v/>
      </c>
      <c r="N56" s="15"/>
      <c r="O56" s="2"/>
      <c r="P56" s="79"/>
      <c r="Q56" s="53"/>
      <c r="R56" s="13" t="str">
        <f t="shared" si="42"/>
        <v/>
      </c>
      <c r="S56" s="53"/>
      <c r="T56" s="13" t="str">
        <f t="shared" si="43"/>
        <v/>
      </c>
      <c r="U56" s="53"/>
      <c r="V56" s="50" t="str">
        <f t="shared" si="44"/>
        <v/>
      </c>
      <c r="W56" s="53"/>
      <c r="X56" s="56" t="str">
        <f t="shared" si="142"/>
        <v/>
      </c>
      <c r="Y56" s="54" t="str">
        <f t="shared" si="143"/>
        <v/>
      </c>
      <c r="Z56" s="13" t="str">
        <f t="shared" si="76"/>
        <v/>
      </c>
      <c r="AA56" s="14" t="str">
        <f t="shared" si="77"/>
        <v/>
      </c>
      <c r="AB56" s="15"/>
      <c r="AD56" s="79"/>
      <c r="AE56" s="53"/>
      <c r="AF56" s="13" t="str">
        <f t="shared" si="49"/>
        <v/>
      </c>
      <c r="AG56" s="53"/>
      <c r="AH56" s="13" t="str">
        <f t="shared" si="50"/>
        <v/>
      </c>
      <c r="AI56" s="53"/>
      <c r="AJ56" s="50" t="str">
        <f t="shared" si="51"/>
        <v/>
      </c>
      <c r="AK56" s="53"/>
      <c r="AL56" s="56" t="str">
        <f t="shared" si="144"/>
        <v/>
      </c>
      <c r="AM56" s="54" t="str">
        <f t="shared" si="145"/>
        <v/>
      </c>
      <c r="AN56" s="13" t="str">
        <f t="shared" si="80"/>
        <v/>
      </c>
      <c r="AO56" s="14" t="str">
        <f t="shared" si="81"/>
        <v/>
      </c>
      <c r="AP56" s="15"/>
      <c r="AQ56" s="2"/>
      <c r="AR56" s="79"/>
      <c r="AS56" s="53"/>
      <c r="AT56" s="13" t="str">
        <f t="shared" si="56"/>
        <v/>
      </c>
      <c r="AU56" s="53"/>
      <c r="AV56" s="13" t="str">
        <f t="shared" si="57"/>
        <v/>
      </c>
      <c r="AW56" s="53"/>
      <c r="AX56" s="50" t="str">
        <f t="shared" si="58"/>
        <v/>
      </c>
      <c r="AY56" s="53"/>
      <c r="AZ56" s="56" t="str">
        <f t="shared" si="146"/>
        <v/>
      </c>
      <c r="BA56" s="54" t="str">
        <f t="shared" si="83"/>
        <v/>
      </c>
      <c r="BB56" s="13" t="str">
        <f t="shared" si="84"/>
        <v/>
      </c>
      <c r="BC56" s="14" t="str">
        <f t="shared" si="85"/>
        <v/>
      </c>
      <c r="BD56" s="15"/>
      <c r="BE56" s="2"/>
      <c r="BF56" s="79"/>
      <c r="BG56" s="240"/>
      <c r="BH56" s="53"/>
      <c r="BI56" s="13" t="str">
        <f t="shared" si="63"/>
        <v/>
      </c>
      <c r="BJ56" s="53"/>
      <c r="BK56" s="13" t="str">
        <f t="shared" si="64"/>
        <v/>
      </c>
      <c r="BL56" s="53"/>
      <c r="BM56" s="50" t="str">
        <f t="shared" si="65"/>
        <v/>
      </c>
      <c r="BN56" s="53"/>
      <c r="BO56" s="56" t="str">
        <f t="shared" si="147"/>
        <v/>
      </c>
      <c r="BP56" s="54" t="str">
        <f t="shared" si="87"/>
        <v/>
      </c>
      <c r="BQ56" s="13" t="str">
        <f t="shared" si="88"/>
        <v/>
      </c>
      <c r="BR56" s="14" t="str">
        <f t="shared" si="89"/>
        <v/>
      </c>
      <c r="BS56" s="15"/>
      <c r="BU56" s="16"/>
      <c r="BV56" s="54"/>
      <c r="BW56" s="13"/>
      <c r="BX56" s="13"/>
      <c r="BY56" s="13"/>
      <c r="BZ56" s="13"/>
      <c r="CA56" s="13"/>
      <c r="CB56" s="13"/>
      <c r="CC56" s="13"/>
      <c r="CD56" s="13"/>
      <c r="CE56" s="13"/>
      <c r="CF56" s="14"/>
      <c r="CG56" s="15"/>
      <c r="CH56" s="1"/>
      <c r="CI56" s="16"/>
      <c r="CJ56" s="54"/>
      <c r="CK56" s="13"/>
      <c r="CL56" s="13"/>
      <c r="CM56" s="13"/>
      <c r="CN56" s="13"/>
      <c r="CO56" s="13"/>
      <c r="CP56" s="13"/>
      <c r="CQ56" s="13"/>
      <c r="CR56" s="13"/>
      <c r="CS56" s="13"/>
      <c r="CT56" s="14"/>
      <c r="CU56" s="15"/>
      <c r="CV56" s="1"/>
      <c r="CW56" s="16"/>
      <c r="CX56" s="54"/>
      <c r="CY56" s="13"/>
      <c r="CZ56" s="13"/>
      <c r="DA56" s="13"/>
      <c r="DB56" s="13"/>
      <c r="DC56" s="13"/>
      <c r="DD56" s="13"/>
      <c r="DE56" s="13"/>
      <c r="DF56" s="13"/>
      <c r="DG56" s="13"/>
      <c r="DH56" s="14"/>
      <c r="DI56" s="15"/>
      <c r="DJ56" s="1"/>
      <c r="DK56" s="16"/>
      <c r="DL56" s="54"/>
      <c r="DM56" s="13"/>
      <c r="DN56" s="13"/>
      <c r="DO56" s="13"/>
      <c r="DP56" s="13"/>
      <c r="DQ56" s="13"/>
      <c r="DR56" s="13"/>
      <c r="DS56" s="13"/>
      <c r="DT56" s="13"/>
      <c r="DU56" s="13"/>
      <c r="DV56" s="14"/>
      <c r="DW56" s="15"/>
      <c r="DY56" s="16"/>
      <c r="DZ56" s="54"/>
      <c r="EA56" s="13"/>
      <c r="EB56" s="13"/>
      <c r="EC56" s="13"/>
      <c r="ED56" s="13"/>
      <c r="EE56" s="13"/>
      <c r="EF56" s="13"/>
      <c r="EG56" s="13"/>
      <c r="EH56" s="13"/>
      <c r="EI56" s="13"/>
      <c r="EJ56" s="14"/>
      <c r="EK56" s="15"/>
    </row>
    <row r="57" spans="1:141" ht="15" customHeight="1" x14ac:dyDescent="0.2">
      <c r="A57" s="79"/>
      <c r="B57" s="74"/>
      <c r="C57" s="53"/>
      <c r="D57" s="13" t="str">
        <f t="shared" si="35"/>
        <v/>
      </c>
      <c r="E57" s="53"/>
      <c r="F57" s="13" t="str">
        <f t="shared" si="36"/>
        <v/>
      </c>
      <c r="G57" s="53"/>
      <c r="H57" s="13" t="str">
        <f t="shared" si="37"/>
        <v/>
      </c>
      <c r="I57" s="53"/>
      <c r="J57" s="56" t="str">
        <f t="shared" si="70"/>
        <v/>
      </c>
      <c r="K57" s="13" t="str">
        <f t="shared" si="71"/>
        <v/>
      </c>
      <c r="L57" s="13" t="str">
        <f t="shared" si="72"/>
        <v/>
      </c>
      <c r="M57" s="14" t="str">
        <f t="shared" si="73"/>
        <v/>
      </c>
      <c r="N57" s="15"/>
      <c r="O57" s="2"/>
      <c r="P57" s="79"/>
      <c r="Q57" s="53"/>
      <c r="R57" s="13" t="str">
        <f t="shared" si="42"/>
        <v/>
      </c>
      <c r="S57" s="53"/>
      <c r="T57" s="13" t="str">
        <f t="shared" si="43"/>
        <v/>
      </c>
      <c r="U57" s="53"/>
      <c r="V57" s="13" t="str">
        <f t="shared" si="44"/>
        <v/>
      </c>
      <c r="W57" s="53"/>
      <c r="X57" s="56" t="str">
        <f t="shared" si="142"/>
        <v/>
      </c>
      <c r="Y57" s="13" t="str">
        <f t="shared" si="143"/>
        <v/>
      </c>
      <c r="Z57" s="13" t="str">
        <f t="shared" si="76"/>
        <v/>
      </c>
      <c r="AA57" s="14" t="str">
        <f t="shared" si="77"/>
        <v/>
      </c>
      <c r="AB57" s="15"/>
      <c r="AD57" s="79"/>
      <c r="AE57" s="53"/>
      <c r="AF57" s="13" t="str">
        <f t="shared" si="49"/>
        <v/>
      </c>
      <c r="AG57" s="53"/>
      <c r="AH57" s="13" t="str">
        <f t="shared" si="50"/>
        <v/>
      </c>
      <c r="AI57" s="53"/>
      <c r="AJ57" s="13" t="str">
        <f t="shared" si="51"/>
        <v/>
      </c>
      <c r="AK57" s="53"/>
      <c r="AL57" s="56" t="str">
        <f t="shared" si="144"/>
        <v/>
      </c>
      <c r="AM57" s="13" t="str">
        <f t="shared" si="145"/>
        <v/>
      </c>
      <c r="AN57" s="13" t="str">
        <f t="shared" si="80"/>
        <v/>
      </c>
      <c r="AO57" s="14" t="str">
        <f t="shared" si="81"/>
        <v/>
      </c>
      <c r="AP57" s="15"/>
      <c r="AQ57" s="2"/>
      <c r="AR57" s="79"/>
      <c r="AS57" s="53"/>
      <c r="AT57" s="13" t="str">
        <f t="shared" si="56"/>
        <v/>
      </c>
      <c r="AU57" s="53"/>
      <c r="AV57" s="13" t="str">
        <f t="shared" si="57"/>
        <v/>
      </c>
      <c r="AW57" s="53"/>
      <c r="AX57" s="13" t="str">
        <f t="shared" si="58"/>
        <v/>
      </c>
      <c r="AY57" s="53"/>
      <c r="AZ57" s="56" t="str">
        <f t="shared" si="146"/>
        <v/>
      </c>
      <c r="BA57" s="13" t="str">
        <f t="shared" si="83"/>
        <v/>
      </c>
      <c r="BB57" s="13" t="str">
        <f t="shared" si="84"/>
        <v/>
      </c>
      <c r="BC57" s="14" t="str">
        <f t="shared" si="85"/>
        <v/>
      </c>
      <c r="BD57" s="15"/>
      <c r="BE57" s="2"/>
      <c r="BF57" s="79"/>
      <c r="BG57" s="240"/>
      <c r="BH57" s="53"/>
      <c r="BI57" s="13" t="str">
        <f t="shared" si="63"/>
        <v/>
      </c>
      <c r="BJ57" s="53"/>
      <c r="BK57" s="13" t="str">
        <f t="shared" si="64"/>
        <v/>
      </c>
      <c r="BL57" s="53"/>
      <c r="BM57" s="13" t="str">
        <f t="shared" si="65"/>
        <v/>
      </c>
      <c r="BN57" s="53"/>
      <c r="BO57" s="56" t="str">
        <f t="shared" si="147"/>
        <v/>
      </c>
      <c r="BP57" s="13" t="str">
        <f t="shared" si="87"/>
        <v/>
      </c>
      <c r="BQ57" s="13" t="str">
        <f t="shared" si="88"/>
        <v/>
      </c>
      <c r="BR57" s="14" t="str">
        <f t="shared" si="89"/>
        <v/>
      </c>
      <c r="BS57" s="15"/>
      <c r="BU57" s="16"/>
      <c r="BV57" s="54"/>
      <c r="BW57" s="13"/>
      <c r="BX57" s="13"/>
      <c r="BY57" s="13"/>
      <c r="BZ57" s="13"/>
      <c r="CA57" s="13"/>
      <c r="CB57" s="13"/>
      <c r="CC57" s="13"/>
      <c r="CD57" s="13"/>
      <c r="CE57" s="13"/>
      <c r="CF57" s="14"/>
      <c r="CG57" s="15"/>
      <c r="CH57" s="1"/>
      <c r="CI57" s="16"/>
      <c r="CJ57" s="54"/>
      <c r="CK57" s="13"/>
      <c r="CL57" s="13"/>
      <c r="CM57" s="13"/>
      <c r="CN57" s="13"/>
      <c r="CO57" s="13"/>
      <c r="CP57" s="13"/>
      <c r="CQ57" s="13"/>
      <c r="CR57" s="13"/>
      <c r="CS57" s="13"/>
      <c r="CT57" s="14"/>
      <c r="CU57" s="15"/>
      <c r="CV57" s="1"/>
      <c r="CW57" s="16"/>
      <c r="CX57" s="54"/>
      <c r="CY57" s="13"/>
      <c r="CZ57" s="13"/>
      <c r="DA57" s="13"/>
      <c r="DB57" s="13"/>
      <c r="DC57" s="13"/>
      <c r="DD57" s="13"/>
      <c r="DE57" s="13"/>
      <c r="DF57" s="13"/>
      <c r="DG57" s="13"/>
      <c r="DH57" s="14"/>
      <c r="DI57" s="15"/>
      <c r="DJ57" s="1"/>
      <c r="DK57" s="16"/>
      <c r="DL57" s="54"/>
      <c r="DM57" s="13"/>
      <c r="DN57" s="13"/>
      <c r="DO57" s="13"/>
      <c r="DP57" s="13"/>
      <c r="DQ57" s="13"/>
      <c r="DR57" s="13"/>
      <c r="DS57" s="13"/>
      <c r="DT57" s="13"/>
      <c r="DU57" s="13"/>
      <c r="DV57" s="14"/>
      <c r="DW57" s="15"/>
      <c r="DY57" s="16"/>
      <c r="DZ57" s="54"/>
      <c r="EA57" s="13"/>
      <c r="EB57" s="13"/>
      <c r="EC57" s="13"/>
      <c r="ED57" s="13"/>
      <c r="EE57" s="13"/>
      <c r="EF57" s="13"/>
      <c r="EG57" s="13"/>
      <c r="EH57" s="13"/>
      <c r="EI57" s="13"/>
      <c r="EJ57" s="14"/>
      <c r="EK57" s="15"/>
    </row>
    <row r="58" spans="1:141" ht="15" customHeight="1" thickBot="1" x14ac:dyDescent="0.25">
      <c r="A58" s="160"/>
      <c r="B58" s="161"/>
      <c r="C58" s="162"/>
      <c r="D58" s="163" t="str">
        <f t="shared" si="35"/>
        <v/>
      </c>
      <c r="E58" s="162"/>
      <c r="F58" s="163" t="str">
        <f t="shared" si="36"/>
        <v/>
      </c>
      <c r="G58" s="162"/>
      <c r="H58" s="163" t="str">
        <f t="shared" si="37"/>
        <v/>
      </c>
      <c r="I58" s="162"/>
      <c r="J58" s="164" t="str">
        <f t="shared" si="70"/>
        <v/>
      </c>
      <c r="K58" s="165" t="str">
        <f t="shared" si="71"/>
        <v/>
      </c>
      <c r="L58" s="163" t="str">
        <f t="shared" si="72"/>
        <v/>
      </c>
      <c r="M58" s="166" t="str">
        <f t="shared" si="73"/>
        <v/>
      </c>
      <c r="N58" s="167"/>
      <c r="O58" s="168"/>
      <c r="P58" s="160"/>
      <c r="Q58" s="162"/>
      <c r="R58" s="163" t="str">
        <f t="shared" si="42"/>
        <v/>
      </c>
      <c r="S58" s="162"/>
      <c r="T58" s="163" t="str">
        <f t="shared" si="43"/>
        <v/>
      </c>
      <c r="U58" s="162"/>
      <c r="V58" s="163" t="str">
        <f t="shared" si="44"/>
        <v/>
      </c>
      <c r="W58" s="162"/>
      <c r="X58" s="164" t="str">
        <f t="shared" si="142"/>
        <v/>
      </c>
      <c r="Y58" s="165" t="str">
        <f t="shared" si="143"/>
        <v/>
      </c>
      <c r="Z58" s="163" t="str">
        <f t="shared" si="76"/>
        <v/>
      </c>
      <c r="AA58" s="166" t="str">
        <f t="shared" si="77"/>
        <v/>
      </c>
      <c r="AB58" s="167"/>
      <c r="AC58" s="169"/>
      <c r="AD58" s="160"/>
      <c r="AE58" s="162"/>
      <c r="AF58" s="163" t="str">
        <f t="shared" si="49"/>
        <v/>
      </c>
      <c r="AG58" s="162"/>
      <c r="AH58" s="163" t="str">
        <f t="shared" si="50"/>
        <v/>
      </c>
      <c r="AI58" s="162"/>
      <c r="AJ58" s="163" t="str">
        <f t="shared" si="51"/>
        <v/>
      </c>
      <c r="AK58" s="162"/>
      <c r="AL58" s="164" t="str">
        <f t="shared" si="144"/>
        <v/>
      </c>
      <c r="AM58" s="165" t="str">
        <f t="shared" si="145"/>
        <v/>
      </c>
      <c r="AN58" s="163" t="str">
        <f t="shared" si="80"/>
        <v/>
      </c>
      <c r="AO58" s="166" t="str">
        <f t="shared" si="81"/>
        <v/>
      </c>
      <c r="AP58" s="167"/>
      <c r="AQ58" s="168"/>
      <c r="AR58" s="160"/>
      <c r="AS58" s="162"/>
      <c r="AT58" s="163" t="str">
        <f t="shared" si="56"/>
        <v/>
      </c>
      <c r="AU58" s="162"/>
      <c r="AV58" s="163" t="str">
        <f t="shared" si="57"/>
        <v/>
      </c>
      <c r="AW58" s="162"/>
      <c r="AX58" s="163" t="str">
        <f t="shared" si="58"/>
        <v/>
      </c>
      <c r="AY58" s="162"/>
      <c r="AZ58" s="164" t="str">
        <f t="shared" si="146"/>
        <v/>
      </c>
      <c r="BA58" s="165" t="str">
        <f t="shared" si="83"/>
        <v/>
      </c>
      <c r="BB58" s="163" t="str">
        <f t="shared" si="84"/>
        <v/>
      </c>
      <c r="BC58" s="166" t="str">
        <f t="shared" si="85"/>
        <v/>
      </c>
      <c r="BD58" s="167"/>
      <c r="BE58" s="168"/>
      <c r="BF58" s="160"/>
      <c r="BG58" s="244"/>
      <c r="BH58" s="162"/>
      <c r="BI58" s="163" t="str">
        <f t="shared" si="63"/>
        <v/>
      </c>
      <c r="BJ58" s="162"/>
      <c r="BK58" s="163" t="str">
        <f t="shared" si="64"/>
        <v/>
      </c>
      <c r="BL58" s="162"/>
      <c r="BM58" s="163" t="str">
        <f t="shared" si="65"/>
        <v/>
      </c>
      <c r="BN58" s="162"/>
      <c r="BO58" s="164" t="str">
        <f t="shared" si="147"/>
        <v/>
      </c>
      <c r="BP58" s="165" t="str">
        <f t="shared" si="87"/>
        <v/>
      </c>
      <c r="BQ58" s="163" t="str">
        <f t="shared" si="88"/>
        <v/>
      </c>
      <c r="BR58" s="166" t="str">
        <f t="shared" si="89"/>
        <v/>
      </c>
      <c r="BS58" s="167"/>
      <c r="BT58" s="169"/>
      <c r="BU58" s="170"/>
      <c r="BV58" s="165"/>
      <c r="BW58" s="163"/>
      <c r="BX58" s="163"/>
      <c r="BY58" s="163"/>
      <c r="BZ58" s="163"/>
      <c r="CA58" s="163"/>
      <c r="CB58" s="163"/>
      <c r="CC58" s="163"/>
      <c r="CD58" s="163"/>
      <c r="CE58" s="163"/>
      <c r="CF58" s="166"/>
      <c r="CG58" s="167"/>
      <c r="CH58" s="171"/>
      <c r="CI58" s="170"/>
      <c r="CJ58" s="165"/>
      <c r="CK58" s="163"/>
      <c r="CL58" s="163"/>
      <c r="CM58" s="163"/>
      <c r="CN58" s="163"/>
      <c r="CO58" s="163"/>
      <c r="CP58" s="163"/>
      <c r="CQ58" s="163"/>
      <c r="CR58" s="163"/>
      <c r="CS58" s="163"/>
      <c r="CT58" s="166"/>
      <c r="CU58" s="167"/>
      <c r="CV58" s="171"/>
      <c r="CW58" s="170"/>
      <c r="CX58" s="165"/>
      <c r="CY58" s="163"/>
      <c r="CZ58" s="163"/>
      <c r="DA58" s="163"/>
      <c r="DB58" s="163"/>
      <c r="DC58" s="163"/>
      <c r="DD58" s="163"/>
      <c r="DE58" s="163"/>
      <c r="DF58" s="163"/>
      <c r="DG58" s="163"/>
      <c r="DH58" s="166"/>
      <c r="DI58" s="167"/>
      <c r="DJ58" s="171"/>
      <c r="DK58" s="170"/>
      <c r="DL58" s="165"/>
      <c r="DM58" s="163"/>
      <c r="DN58" s="163"/>
      <c r="DO58" s="163"/>
      <c r="DP58" s="163"/>
      <c r="DQ58" s="163"/>
      <c r="DR58" s="163"/>
      <c r="DS58" s="163"/>
      <c r="DT58" s="163"/>
      <c r="DU58" s="163"/>
      <c r="DV58" s="166"/>
      <c r="DW58" s="167"/>
      <c r="DY58" s="170"/>
      <c r="DZ58" s="165"/>
      <c r="EA58" s="163"/>
      <c r="EB58" s="163"/>
      <c r="EC58" s="163"/>
      <c r="ED58" s="163"/>
      <c r="EE58" s="163"/>
      <c r="EF58" s="163"/>
      <c r="EG58" s="163"/>
      <c r="EH58" s="163"/>
      <c r="EI58" s="163"/>
      <c r="EJ58" s="166"/>
      <c r="EK58" s="167"/>
    </row>
    <row r="59" spans="1:141" ht="15" customHeight="1" thickTop="1" x14ac:dyDescent="0.2">
      <c r="A59" s="59">
        <v>30</v>
      </c>
      <c r="B59" s="74"/>
      <c r="C59" s="172" t="s">
        <v>19</v>
      </c>
      <c r="D59" s="53">
        <f>SUM(D3:D55)*100</f>
        <v>123600</v>
      </c>
      <c r="E59" s="53"/>
      <c r="F59" s="53"/>
      <c r="G59" s="172"/>
      <c r="H59" s="53"/>
      <c r="I59" s="53"/>
      <c r="J59" s="280" t="s">
        <v>21</v>
      </c>
      <c r="K59" s="280"/>
      <c r="L59" s="53">
        <f>SUM(L3:L55)</f>
        <v>21509</v>
      </c>
      <c r="M59" s="53"/>
      <c r="N59" s="84"/>
      <c r="O59" s="2"/>
      <c r="P59" s="79"/>
      <c r="Q59" s="172" t="s">
        <v>19</v>
      </c>
      <c r="R59" s="53">
        <f>SUM(R3:R55)*100</f>
        <v>197000</v>
      </c>
      <c r="S59" s="53"/>
      <c r="T59" s="53"/>
      <c r="U59" s="172"/>
      <c r="V59" s="53"/>
      <c r="W59" s="53"/>
      <c r="X59" s="280" t="s">
        <v>21</v>
      </c>
      <c r="Y59" s="280"/>
      <c r="Z59" s="53">
        <f>SUM(Z3:Z55)</f>
        <v>47200</v>
      </c>
      <c r="AA59" s="53"/>
      <c r="AB59" s="84"/>
      <c r="AD59" s="79"/>
      <c r="AE59" s="172" t="s">
        <v>19</v>
      </c>
      <c r="AF59" s="53">
        <f>SUM(AF3:AF55)*100</f>
        <v>218100</v>
      </c>
      <c r="AG59" s="53"/>
      <c r="AH59" s="53"/>
      <c r="AI59" s="172"/>
      <c r="AJ59" s="53"/>
      <c r="AK59" s="53"/>
      <c r="AL59" s="280" t="s">
        <v>21</v>
      </c>
      <c r="AM59" s="280"/>
      <c r="AN59" s="53">
        <f>SUM(AN3:AN55)</f>
        <v>17850</v>
      </c>
      <c r="AO59" s="53"/>
      <c r="AP59" s="84"/>
      <c r="AQ59" s="2"/>
      <c r="AR59" s="79"/>
      <c r="AS59" s="172" t="s">
        <v>19</v>
      </c>
      <c r="AT59" s="53">
        <f>SUM(AT3:AT55)*100</f>
        <v>243600</v>
      </c>
      <c r="AU59" s="53"/>
      <c r="AV59" s="53"/>
      <c r="AW59" s="172"/>
      <c r="AX59" s="53"/>
      <c r="AY59" s="53"/>
      <c r="AZ59" s="280" t="s">
        <v>21</v>
      </c>
      <c r="BA59" s="280"/>
      <c r="BB59" s="53">
        <f>SUM(BB3:BB55)</f>
        <v>40710</v>
      </c>
      <c r="BC59" s="53"/>
      <c r="BD59" s="84"/>
      <c r="BE59" s="2"/>
      <c r="BF59" s="79"/>
      <c r="BG59" s="240"/>
      <c r="BH59" s="172" t="s">
        <v>19</v>
      </c>
      <c r="BI59" s="53">
        <f>SUM(BI3:BI55)*100</f>
        <v>139800</v>
      </c>
      <c r="BJ59" s="53"/>
      <c r="BK59" s="53"/>
      <c r="BL59" s="172"/>
      <c r="BM59" s="53"/>
      <c r="BN59" s="53"/>
      <c r="BO59" s="280" t="s">
        <v>21</v>
      </c>
      <c r="BP59" s="280"/>
      <c r="BQ59" s="53">
        <f>SUM(BQ3:BQ55)</f>
        <v>40500</v>
      </c>
      <c r="BR59" s="53"/>
      <c r="BS59" s="84"/>
      <c r="BU59" s="79"/>
      <c r="BV59" s="175" t="s">
        <v>19</v>
      </c>
      <c r="BW59" s="53">
        <f>SUM(BW3:BW55)*100</f>
        <v>97500</v>
      </c>
      <c r="BX59" s="53"/>
      <c r="BY59" s="53"/>
      <c r="BZ59" s="172"/>
      <c r="CA59" s="53"/>
      <c r="CB59" s="53"/>
      <c r="CC59" s="53"/>
      <c r="CD59" s="53"/>
      <c r="CE59" s="53"/>
      <c r="CF59" s="53"/>
      <c r="CG59" s="84"/>
      <c r="CH59" s="1"/>
      <c r="CI59" s="79"/>
      <c r="CJ59" s="175" t="s">
        <v>19</v>
      </c>
      <c r="CK59" s="53">
        <f>SUM(CK3:CK55)*100</f>
        <v>253300</v>
      </c>
      <c r="CL59" s="53"/>
      <c r="CM59" s="53"/>
      <c r="CN59" s="172"/>
      <c r="CO59" s="53"/>
      <c r="CP59" s="53"/>
      <c r="CQ59" s="53"/>
      <c r="CR59" s="53"/>
      <c r="CS59" s="53"/>
      <c r="CT59" s="53"/>
      <c r="CU59" s="84"/>
      <c r="CV59" s="1"/>
      <c r="CW59" s="79"/>
      <c r="CX59" s="175" t="s">
        <v>19</v>
      </c>
      <c r="CY59" s="53">
        <f>SUM(CY3:CY55)*100</f>
        <v>93200</v>
      </c>
      <c r="CZ59" s="53"/>
      <c r="DA59" s="53"/>
      <c r="DB59" s="172"/>
      <c r="DC59" s="53"/>
      <c r="DD59" s="53"/>
      <c r="DE59" s="53"/>
      <c r="DF59" s="53"/>
      <c r="DG59" s="53"/>
      <c r="DH59" s="53"/>
      <c r="DI59" s="84"/>
      <c r="DJ59" s="1"/>
      <c r="DK59" s="79"/>
      <c r="DL59" s="175" t="s">
        <v>19</v>
      </c>
      <c r="DM59" s="53">
        <f>SUM(DM3:DM55)*100</f>
        <v>59700</v>
      </c>
      <c r="DN59" s="53"/>
      <c r="DO59" s="53"/>
      <c r="DP59" s="172"/>
      <c r="DQ59" s="53"/>
      <c r="DR59" s="53"/>
      <c r="DS59" s="53"/>
      <c r="DT59" s="53"/>
      <c r="DU59" s="53"/>
      <c r="DV59" s="53"/>
      <c r="DW59" s="84"/>
      <c r="DY59" s="79"/>
      <c r="DZ59" s="175" t="s">
        <v>19</v>
      </c>
      <c r="EA59" s="53">
        <f>SUM(EA3:EA55)*100</f>
        <v>36800</v>
      </c>
      <c r="EB59" s="53"/>
      <c r="EC59" s="53"/>
      <c r="ED59" s="172"/>
      <c r="EE59" s="53"/>
      <c r="EF59" s="53"/>
      <c r="EG59" s="53"/>
      <c r="EH59" s="53"/>
      <c r="EI59" s="53"/>
      <c r="EJ59" s="53"/>
      <c r="EK59" s="84"/>
    </row>
    <row r="60" spans="1:141" ht="15" customHeight="1" x14ac:dyDescent="0.2">
      <c r="A60" s="94">
        <f>DATEDIF(A$109,A$19,"d")</f>
        <v>16</v>
      </c>
      <c r="B60">
        <f>SUMIF(B2:B55,"&gt;=0")</f>
        <v>14626</v>
      </c>
      <c r="C60" s="5" t="s">
        <v>22</v>
      </c>
      <c r="D60" s="13">
        <f>D59/A60</f>
        <v>7725</v>
      </c>
      <c r="E60" s="13">
        <f>D60*A59</f>
        <v>231750</v>
      </c>
      <c r="F60" s="13"/>
      <c r="G60" s="5"/>
      <c r="H60" s="13"/>
      <c r="I60" s="13"/>
      <c r="J60" s="271" t="s">
        <v>23</v>
      </c>
      <c r="K60" s="271"/>
      <c r="L60" s="13"/>
      <c r="M60" s="36">
        <f>L59/D59</f>
        <v>0.17402103559870549</v>
      </c>
      <c r="N60" s="15"/>
      <c r="O60" s="2"/>
      <c r="P60" s="33"/>
      <c r="Q60" s="5" t="s">
        <v>22</v>
      </c>
      <c r="R60" s="13">
        <f>R59/A60</f>
        <v>12312.5</v>
      </c>
      <c r="S60" s="13">
        <f>R60*A59</f>
        <v>369375</v>
      </c>
      <c r="T60" s="13"/>
      <c r="U60" s="5"/>
      <c r="V60" s="13"/>
      <c r="W60" s="13"/>
      <c r="X60" s="271" t="s">
        <v>23</v>
      </c>
      <c r="Y60" s="271"/>
      <c r="Z60" s="13"/>
      <c r="AA60" s="36">
        <f>Z59/R59</f>
        <v>0.23959390862944163</v>
      </c>
      <c r="AB60" s="15"/>
      <c r="AD60" s="51"/>
      <c r="AE60" s="5" t="s">
        <v>22</v>
      </c>
      <c r="AF60" s="13">
        <f>AF59/A60</f>
        <v>13631.25</v>
      </c>
      <c r="AG60" s="13">
        <f>AF60*A59</f>
        <v>408937.5</v>
      </c>
      <c r="AH60" s="13"/>
      <c r="AI60" s="5"/>
      <c r="AJ60" s="13"/>
      <c r="AK60" s="13"/>
      <c r="AL60" s="271" t="s">
        <v>23</v>
      </c>
      <c r="AM60" s="271"/>
      <c r="AN60" s="13"/>
      <c r="AO60" s="36">
        <f>AN59/AF59</f>
        <v>8.1843191196698764E-2</v>
      </c>
      <c r="AP60" s="15"/>
      <c r="AQ60" s="2"/>
      <c r="AR60" s="33"/>
      <c r="AS60" s="5" t="s">
        <v>22</v>
      </c>
      <c r="AT60" s="13">
        <f>AT59/A60</f>
        <v>15225</v>
      </c>
      <c r="AU60" s="13">
        <f>AT60*A59</f>
        <v>456750</v>
      </c>
      <c r="AV60" s="13"/>
      <c r="AW60" s="5"/>
      <c r="AX60" s="13"/>
      <c r="AY60" s="13"/>
      <c r="AZ60" s="271" t="s">
        <v>23</v>
      </c>
      <c r="BA60" s="271"/>
      <c r="BB60" s="13"/>
      <c r="BC60" s="36">
        <f>BB59/AT59</f>
        <v>0.16711822660098521</v>
      </c>
      <c r="BD60" s="15"/>
      <c r="BE60" s="2"/>
      <c r="BF60" s="33"/>
      <c r="BG60" s="8"/>
      <c r="BH60" s="5" t="s">
        <v>22</v>
      </c>
      <c r="BI60" s="13">
        <f>BI59/A60</f>
        <v>8737.5</v>
      </c>
      <c r="BJ60" s="13">
        <f>BI60*A59</f>
        <v>262125</v>
      </c>
      <c r="BK60" s="13"/>
      <c r="BL60" s="5"/>
      <c r="BM60" s="13"/>
      <c r="BN60" s="13"/>
      <c r="BO60" s="271" t="s">
        <v>23</v>
      </c>
      <c r="BP60" s="271"/>
      <c r="BQ60" s="13"/>
      <c r="BR60" s="36">
        <f>BQ59/BI59</f>
        <v>0.28969957081545067</v>
      </c>
      <c r="BS60" s="15"/>
      <c r="BU60" s="16"/>
      <c r="BV60" s="69" t="s">
        <v>22</v>
      </c>
      <c r="BW60" s="13">
        <f>BW59/A60</f>
        <v>6093.75</v>
      </c>
      <c r="BX60" s="13">
        <f>BW60*A59</f>
        <v>182812.5</v>
      </c>
      <c r="BY60" s="13"/>
      <c r="BZ60" s="5"/>
      <c r="CA60" s="13"/>
      <c r="CB60" s="13"/>
      <c r="CC60" s="13"/>
      <c r="CD60" s="13"/>
      <c r="CE60" s="13"/>
      <c r="CF60" s="13"/>
      <c r="CG60" s="15"/>
      <c r="CH60" s="1"/>
      <c r="CI60" s="16"/>
      <c r="CJ60" s="69" t="s">
        <v>22</v>
      </c>
      <c r="CK60" s="13">
        <f>CK59/A60</f>
        <v>15831.25</v>
      </c>
      <c r="CL60" s="13">
        <f>CK60*A59</f>
        <v>474937.5</v>
      </c>
      <c r="CM60" s="13"/>
      <c r="CN60" s="5"/>
      <c r="CO60" s="13"/>
      <c r="CP60" s="13"/>
      <c r="CQ60" s="13"/>
      <c r="CR60" s="13"/>
      <c r="CS60" s="13"/>
      <c r="CT60" s="13"/>
      <c r="CU60" s="15"/>
      <c r="CV60" s="1"/>
      <c r="CW60" s="16"/>
      <c r="CX60" s="69" t="s">
        <v>22</v>
      </c>
      <c r="CY60" s="13">
        <f>CY59/A60</f>
        <v>5825</v>
      </c>
      <c r="CZ60" s="13">
        <f>CY60*A59</f>
        <v>174750</v>
      </c>
      <c r="DA60" s="13"/>
      <c r="DB60" s="5"/>
      <c r="DC60" s="13"/>
      <c r="DD60" s="13"/>
      <c r="DE60" s="13"/>
      <c r="DF60" s="13"/>
      <c r="DG60" s="13"/>
      <c r="DH60" s="13"/>
      <c r="DI60" s="15"/>
      <c r="DJ60" s="1"/>
      <c r="DK60" s="16"/>
      <c r="DL60" s="69" t="s">
        <v>22</v>
      </c>
      <c r="DM60" s="13">
        <f>DM59/A60</f>
        <v>3731.25</v>
      </c>
      <c r="DN60" s="13">
        <f>DM60*A59</f>
        <v>111937.5</v>
      </c>
      <c r="DO60" s="13"/>
      <c r="DP60" s="5"/>
      <c r="DQ60" s="13"/>
      <c r="DR60" s="13"/>
      <c r="DS60" s="13"/>
      <c r="DT60" s="13"/>
      <c r="DU60" s="13"/>
      <c r="DV60" s="13"/>
      <c r="DW60" s="15"/>
      <c r="DY60" s="16"/>
      <c r="DZ60" s="69" t="s">
        <v>22</v>
      </c>
      <c r="EA60" s="13">
        <f>EA59/A60</f>
        <v>2300</v>
      </c>
      <c r="EB60" s="13">
        <f>EA60*A59</f>
        <v>69000</v>
      </c>
      <c r="EC60" s="13"/>
      <c r="ED60" s="5"/>
      <c r="EE60" s="13"/>
      <c r="EF60" s="13"/>
      <c r="EG60" s="13"/>
      <c r="EH60" s="13"/>
      <c r="EI60" s="13"/>
      <c r="EJ60" s="13"/>
      <c r="EK60" s="15"/>
    </row>
    <row r="61" spans="1:141" ht="15" customHeight="1" x14ac:dyDescent="0.2">
      <c r="A61" s="44" t="s">
        <v>22</v>
      </c>
      <c r="B61" s="81">
        <f>B60/A60</f>
        <v>914.125</v>
      </c>
      <c r="C61" s="69" t="s">
        <v>25</v>
      </c>
      <c r="D61" s="13">
        <f>D59*0.6</f>
        <v>74160</v>
      </c>
      <c r="E61" s="13"/>
      <c r="F61" s="13"/>
      <c r="G61" s="5"/>
      <c r="H61" s="13"/>
      <c r="I61" s="13"/>
      <c r="J61" s="271" t="s">
        <v>26</v>
      </c>
      <c r="K61" s="271"/>
      <c r="L61" s="13">
        <f>D61-L59</f>
        <v>52651</v>
      </c>
      <c r="M61" s="36">
        <f>L61/D59</f>
        <v>0.42597896440129451</v>
      </c>
      <c r="N61" s="15"/>
      <c r="O61" s="2"/>
      <c r="P61" s="16"/>
      <c r="Q61" s="69" t="s">
        <v>25</v>
      </c>
      <c r="R61" s="13">
        <f>R59*0.6</f>
        <v>118200</v>
      </c>
      <c r="S61" s="13"/>
      <c r="T61" s="13"/>
      <c r="U61" s="5"/>
      <c r="V61" s="13"/>
      <c r="W61" s="13"/>
      <c r="X61" s="271" t="s">
        <v>26</v>
      </c>
      <c r="Y61" s="271"/>
      <c r="Z61" s="13">
        <f>R61-Z59</f>
        <v>71000</v>
      </c>
      <c r="AA61" s="36">
        <f>Z61/R59</f>
        <v>0.3604060913705584</v>
      </c>
      <c r="AB61" s="15"/>
      <c r="AD61" s="16"/>
      <c r="AE61" s="69" t="s">
        <v>25</v>
      </c>
      <c r="AF61" s="13">
        <f>AF59*0.6</f>
        <v>130860</v>
      </c>
      <c r="AG61" s="13"/>
      <c r="AH61" s="13"/>
      <c r="AI61" s="5"/>
      <c r="AJ61" s="13"/>
      <c r="AK61" s="13"/>
      <c r="AL61" s="271" t="s">
        <v>26</v>
      </c>
      <c r="AM61" s="271"/>
      <c r="AN61" s="13">
        <f>AF61-AN59</f>
        <v>113010</v>
      </c>
      <c r="AO61" s="36">
        <f>AN61/AF59</f>
        <v>0.51815680880330128</v>
      </c>
      <c r="AP61" s="15"/>
      <c r="AQ61" s="2"/>
      <c r="AR61" s="16"/>
      <c r="AS61" s="69" t="s">
        <v>25</v>
      </c>
      <c r="AT61" s="13">
        <f>AT59*0.6</f>
        <v>146160</v>
      </c>
      <c r="AU61" s="13"/>
      <c r="AV61" s="13"/>
      <c r="AW61" s="5"/>
      <c r="AX61" s="13"/>
      <c r="AY61" s="13"/>
      <c r="AZ61" s="271" t="s">
        <v>26</v>
      </c>
      <c r="BA61" s="271"/>
      <c r="BB61" s="13">
        <f>AT61-BB59</f>
        <v>105450</v>
      </c>
      <c r="BC61" s="36">
        <f>BB61/AT59</f>
        <v>0.43288177339901479</v>
      </c>
      <c r="BD61" s="15"/>
      <c r="BE61" s="2"/>
      <c r="BF61" s="16"/>
      <c r="BG61" s="235"/>
      <c r="BH61" s="69" t="s">
        <v>25</v>
      </c>
      <c r="BI61" s="13">
        <f>BI59*0.6</f>
        <v>83880</v>
      </c>
      <c r="BJ61" s="13"/>
      <c r="BK61" s="13"/>
      <c r="BL61" s="5"/>
      <c r="BM61" s="13"/>
      <c r="BN61" s="13"/>
      <c r="BO61" s="271" t="s">
        <v>26</v>
      </c>
      <c r="BP61" s="271"/>
      <c r="BQ61" s="13">
        <f>BI61-BQ59</f>
        <v>43380</v>
      </c>
      <c r="BR61" s="36">
        <f>BQ61/BI59</f>
        <v>0.31030042918454936</v>
      </c>
      <c r="BS61" s="15"/>
      <c r="BU61" s="16"/>
      <c r="BV61" s="69" t="s">
        <v>25</v>
      </c>
      <c r="BW61" s="13">
        <f>BW59*0.6</f>
        <v>58500</v>
      </c>
      <c r="BX61" s="13"/>
      <c r="BY61" s="13"/>
      <c r="BZ61" s="5" t="s">
        <v>24</v>
      </c>
      <c r="CA61" s="13">
        <f>SUM(CE3:CE55)</f>
        <v>33660</v>
      </c>
      <c r="CB61" s="36">
        <f>CA61/BW59</f>
        <v>0.34523076923076923</v>
      </c>
      <c r="CC61" s="36"/>
      <c r="CD61" s="13"/>
      <c r="CE61" s="13"/>
      <c r="CF61" s="13"/>
      <c r="CG61" s="15"/>
      <c r="CH61" s="1"/>
      <c r="CI61" s="16"/>
      <c r="CJ61" s="69" t="s">
        <v>25</v>
      </c>
      <c r="CK61" s="13">
        <f>CK59*0.6</f>
        <v>151980</v>
      </c>
      <c r="CL61" s="13"/>
      <c r="CM61" s="13"/>
      <c r="CN61" s="5" t="s">
        <v>24</v>
      </c>
      <c r="CO61" s="13">
        <f>SUM(CS3:CS55)</f>
        <v>49500</v>
      </c>
      <c r="CP61" s="36">
        <f>CO61/CK59</f>
        <v>0.19542045005921832</v>
      </c>
      <c r="CQ61" s="36"/>
      <c r="CR61" s="13"/>
      <c r="CS61" s="13"/>
      <c r="CT61" s="13"/>
      <c r="CU61" s="15"/>
      <c r="CV61" s="1"/>
      <c r="CW61" s="16"/>
      <c r="CX61" s="69" t="s">
        <v>25</v>
      </c>
      <c r="CY61" s="13">
        <f>CY59*0.6</f>
        <v>55920</v>
      </c>
      <c r="CZ61" s="13"/>
      <c r="DA61" s="13"/>
      <c r="DB61" s="5" t="s">
        <v>24</v>
      </c>
      <c r="DC61" s="13">
        <f>SUM(DG3:DG55)</f>
        <v>28160</v>
      </c>
      <c r="DD61" s="36">
        <f>DC61/CY59</f>
        <v>0.30214592274678109</v>
      </c>
      <c r="DE61" s="36"/>
      <c r="DF61" s="13"/>
      <c r="DG61" s="13"/>
      <c r="DH61" s="13"/>
      <c r="DI61" s="15"/>
      <c r="DJ61" s="1"/>
      <c r="DK61" s="16"/>
      <c r="DL61" s="69" t="s">
        <v>25</v>
      </c>
      <c r="DM61" s="13">
        <f>DM59*0.6</f>
        <v>35820</v>
      </c>
      <c r="DN61" s="13"/>
      <c r="DO61" s="13"/>
      <c r="DP61" s="5" t="s">
        <v>24</v>
      </c>
      <c r="DQ61" s="13">
        <f>SUM(DU3:DU55)</f>
        <v>25454</v>
      </c>
      <c r="DR61" s="36">
        <f>DQ61/DM59</f>
        <v>0.42636515912897821</v>
      </c>
      <c r="DS61" s="36"/>
      <c r="DT61" s="13"/>
      <c r="DU61" s="13"/>
      <c r="DV61" s="13"/>
      <c r="DW61" s="15"/>
      <c r="DY61" s="16"/>
      <c r="DZ61" s="69" t="s">
        <v>25</v>
      </c>
      <c r="EA61" s="13">
        <f>EA59*0.6</f>
        <v>22080</v>
      </c>
      <c r="EB61" s="13"/>
      <c r="EC61" s="13"/>
      <c r="ED61" s="5" t="s">
        <v>24</v>
      </c>
      <c r="EE61" s="13">
        <f>SUM(EI3:EI55)</f>
        <v>70300</v>
      </c>
      <c r="EF61" s="36">
        <f>EE61/EA59</f>
        <v>1.9103260869565217</v>
      </c>
      <c r="EG61" s="36"/>
      <c r="EH61" s="13"/>
      <c r="EI61" s="13"/>
      <c r="EJ61" s="13"/>
      <c r="EK61" s="15"/>
    </row>
    <row r="62" spans="1:141" ht="15" customHeight="1" x14ac:dyDescent="0.2">
      <c r="A62" s="79"/>
      <c r="B62" s="74"/>
      <c r="C62" s="5" t="s">
        <v>27</v>
      </c>
      <c r="D62" s="13">
        <f>D133</f>
        <v>243700</v>
      </c>
      <c r="E62" s="13"/>
      <c r="F62" s="13"/>
      <c r="G62" s="5"/>
      <c r="H62" s="13"/>
      <c r="I62" s="24"/>
      <c r="J62" s="272" t="s">
        <v>29</v>
      </c>
      <c r="K62" s="272"/>
      <c r="L62" s="53" t="e">
        <f>(G35+I35)*K35+(G36+I36)*K36+(G37+I37)*K37+(G38+I38)*K38</f>
        <v>#VALUE!</v>
      </c>
      <c r="M62" s="14"/>
      <c r="N62" s="15"/>
      <c r="O62" s="2"/>
      <c r="P62" s="79"/>
      <c r="Q62" s="5" t="s">
        <v>27</v>
      </c>
      <c r="R62" s="13">
        <f>R133</f>
        <v>429200</v>
      </c>
      <c r="S62" s="13"/>
      <c r="T62" s="13"/>
      <c r="U62" s="5"/>
      <c r="V62" s="13"/>
      <c r="W62" s="24"/>
      <c r="X62" s="272" t="s">
        <v>29</v>
      </c>
      <c r="Y62" s="272"/>
      <c r="Z62" s="53" t="e">
        <f>(U35+W35)*Y35+(U36+W36)*Y36+(U37+W37)*Y37+(U38+W38)*Y38</f>
        <v>#VALUE!</v>
      </c>
      <c r="AA62" s="14"/>
      <c r="AB62" s="15"/>
      <c r="AD62" s="79"/>
      <c r="AE62" s="5" t="s">
        <v>27</v>
      </c>
      <c r="AF62" s="13">
        <f>AF133</f>
        <v>336400</v>
      </c>
      <c r="AG62" s="13"/>
      <c r="AH62" s="13"/>
      <c r="AI62" s="5"/>
      <c r="AJ62" s="13"/>
      <c r="AK62" s="24"/>
      <c r="AL62" s="272" t="s">
        <v>29</v>
      </c>
      <c r="AM62" s="272"/>
      <c r="AN62" s="53" t="e">
        <f>(AI35+AK35)*AM35+(AI36+AK36)*AM36+(AI37+AK37)*AM37+(AI38+AK38)*AM38</f>
        <v>#VALUE!</v>
      </c>
      <c r="AO62" s="14"/>
      <c r="AP62" s="15"/>
      <c r="AQ62" s="2"/>
      <c r="AR62" s="79"/>
      <c r="AS62" s="5" t="s">
        <v>27</v>
      </c>
      <c r="AT62" s="13">
        <f>AT133</f>
        <v>433200</v>
      </c>
      <c r="AU62" s="13"/>
      <c r="AV62" s="13"/>
      <c r="AW62" s="5"/>
      <c r="AX62" s="13"/>
      <c r="AY62" s="24"/>
      <c r="AZ62" s="272" t="s">
        <v>29</v>
      </c>
      <c r="BA62" s="272"/>
      <c r="BB62" s="53" t="e">
        <f>(AW35+AY35)*BA35+(AW36+AY36)*BA36+(AW37+AY37)*BA37+(AW38+AY38)*BA38</f>
        <v>#VALUE!</v>
      </c>
      <c r="BC62" s="14"/>
      <c r="BD62" s="15"/>
      <c r="BE62" s="2"/>
      <c r="BF62" s="79"/>
      <c r="BG62" s="240"/>
      <c r="BH62" s="5" t="s">
        <v>27</v>
      </c>
      <c r="BI62" s="13">
        <f>BI133</f>
        <v>374400</v>
      </c>
      <c r="BJ62" s="13"/>
      <c r="BK62" s="13"/>
      <c r="BL62" s="5"/>
      <c r="BM62" s="13"/>
      <c r="BN62" s="24"/>
      <c r="BO62" s="272" t="s">
        <v>29</v>
      </c>
      <c r="BP62" s="272"/>
      <c r="BQ62" s="53" t="e">
        <f>(BL35+BN35)*BP35+(BL36+BN36)*BP36+(BL37+BN37)*BP37+(BL38+BN38)*BP38</f>
        <v>#VALUE!</v>
      </c>
      <c r="BR62" s="14"/>
      <c r="BS62" s="15"/>
      <c r="BU62" s="16"/>
      <c r="BV62" s="69" t="s">
        <v>27</v>
      </c>
      <c r="BW62" s="13">
        <f>BW133</f>
        <v>107500</v>
      </c>
      <c r="BX62" s="13"/>
      <c r="BY62" s="13"/>
      <c r="BZ62" s="5" t="s">
        <v>26</v>
      </c>
      <c r="CA62" s="13">
        <f>BW61-CA61</f>
        <v>24840</v>
      </c>
      <c r="CB62" s="36">
        <f>CA62/BW59</f>
        <v>0.25476923076923075</v>
      </c>
      <c r="CC62" s="36"/>
      <c r="CD62" s="14"/>
      <c r="CE62" s="14"/>
      <c r="CF62" s="14"/>
      <c r="CG62" s="15"/>
      <c r="CH62" s="1"/>
      <c r="CI62" s="16"/>
      <c r="CJ62" s="69" t="s">
        <v>27</v>
      </c>
      <c r="CK62" s="13">
        <f>CK133</f>
        <v>527700</v>
      </c>
      <c r="CL62" s="13"/>
      <c r="CM62" s="13"/>
      <c r="CN62" s="5" t="s">
        <v>26</v>
      </c>
      <c r="CO62" s="13">
        <f>CK61-CO61</f>
        <v>102480</v>
      </c>
      <c r="CP62" s="36">
        <f>CO62/CK59</f>
        <v>0.40457954994078166</v>
      </c>
      <c r="CQ62" s="36"/>
      <c r="CR62" s="14"/>
      <c r="CS62" s="14"/>
      <c r="CT62" s="14"/>
      <c r="CU62" s="15"/>
      <c r="CV62" s="1"/>
      <c r="CW62" s="16"/>
      <c r="CX62" s="69" t="s">
        <v>27</v>
      </c>
      <c r="CY62" s="13">
        <f>CY133</f>
        <v>156400</v>
      </c>
      <c r="CZ62" s="13"/>
      <c r="DA62" s="13"/>
      <c r="DB62" s="5" t="s">
        <v>26</v>
      </c>
      <c r="DC62" s="13">
        <f>CY61-DC61</f>
        <v>27760</v>
      </c>
      <c r="DD62" s="36">
        <f>DC62/CY59</f>
        <v>0.29785407725321889</v>
      </c>
      <c r="DE62" s="36"/>
      <c r="DF62" s="14"/>
      <c r="DG62" s="14"/>
      <c r="DH62" s="14"/>
      <c r="DI62" s="15"/>
      <c r="DJ62" s="1"/>
      <c r="DK62" s="16"/>
      <c r="DL62" s="69" t="s">
        <v>27</v>
      </c>
      <c r="DM62" s="13">
        <f>DM133</f>
        <v>105800</v>
      </c>
      <c r="DN62" s="13"/>
      <c r="DO62" s="13"/>
      <c r="DP62" s="5" t="s">
        <v>26</v>
      </c>
      <c r="DQ62" s="13">
        <f>DM61-DQ61</f>
        <v>10366</v>
      </c>
      <c r="DR62" s="36">
        <f>DQ62/DM59</f>
        <v>0.17363484087102177</v>
      </c>
      <c r="DS62" s="36"/>
      <c r="DT62" s="14"/>
      <c r="DU62" s="14"/>
      <c r="DV62" s="14"/>
      <c r="DW62" s="15"/>
      <c r="DY62" s="16"/>
      <c r="DZ62" s="69" t="s">
        <v>27</v>
      </c>
      <c r="EA62" s="13">
        <f>EA133</f>
        <v>96100</v>
      </c>
      <c r="EB62" s="13"/>
      <c r="EC62" s="13"/>
      <c r="ED62" s="5" t="s">
        <v>26</v>
      </c>
      <c r="EE62" s="13">
        <f>EA61-EE61</f>
        <v>-48220</v>
      </c>
      <c r="EF62" s="36">
        <f>EE62/EA59</f>
        <v>-1.3103260869565216</v>
      </c>
      <c r="EG62" s="36"/>
      <c r="EH62" s="14"/>
      <c r="EI62" s="14"/>
      <c r="EJ62" s="14"/>
      <c r="EK62" s="15"/>
    </row>
    <row r="63" spans="1:141" ht="15" customHeight="1" x14ac:dyDescent="0.2">
      <c r="A63" s="273" t="s">
        <v>57</v>
      </c>
      <c r="B63" s="274"/>
      <c r="C63" s="273" t="s">
        <v>62</v>
      </c>
      <c r="D63" s="274"/>
      <c r="E63" s="273" t="s">
        <v>63</v>
      </c>
      <c r="F63" s="275"/>
      <c r="G63" s="5"/>
      <c r="H63" s="13"/>
      <c r="I63" s="24"/>
      <c r="J63" s="99"/>
      <c r="K63" s="102"/>
      <c r="L63" s="53"/>
      <c r="M63" s="14"/>
      <c r="N63" s="15"/>
      <c r="O63" s="2"/>
      <c r="P63" s="85"/>
      <c r="Q63" s="69"/>
      <c r="R63" s="13"/>
      <c r="S63" s="13"/>
      <c r="T63" s="13"/>
      <c r="U63" s="5"/>
      <c r="V63" s="13"/>
      <c r="W63" s="24"/>
      <c r="X63" s="99"/>
      <c r="Y63" s="102"/>
      <c r="Z63" s="53"/>
      <c r="AA63" s="14"/>
      <c r="AB63" s="15"/>
      <c r="AD63" s="85"/>
      <c r="AE63" s="69"/>
      <c r="AF63" s="13"/>
      <c r="AG63" s="13"/>
      <c r="AH63" s="13"/>
      <c r="AI63" s="5"/>
      <c r="AJ63" s="13"/>
      <c r="AK63" s="24"/>
      <c r="AL63" s="99"/>
      <c r="AM63" s="102"/>
      <c r="AN63" s="53"/>
      <c r="AO63" s="14"/>
      <c r="AP63" s="15"/>
      <c r="AQ63" s="2"/>
      <c r="AR63" s="85"/>
      <c r="AS63" s="69"/>
      <c r="AT63" s="13"/>
      <c r="AU63" s="13"/>
      <c r="AV63" s="13"/>
      <c r="AW63" s="5"/>
      <c r="AX63" s="13"/>
      <c r="AY63" s="24"/>
      <c r="AZ63" s="118"/>
      <c r="BA63" s="102"/>
      <c r="BB63" s="53"/>
      <c r="BC63" s="14"/>
      <c r="BD63" s="15"/>
      <c r="BE63" s="2"/>
      <c r="BF63" s="85"/>
      <c r="BG63" s="245"/>
      <c r="BH63" s="69"/>
      <c r="BI63" s="13"/>
      <c r="BJ63" s="13"/>
      <c r="BK63" s="13"/>
      <c r="BL63" s="5"/>
      <c r="BM63" s="13"/>
      <c r="BN63" s="24"/>
      <c r="BO63" s="99"/>
      <c r="BP63" s="102"/>
      <c r="BQ63" s="53"/>
      <c r="BR63" s="14"/>
      <c r="BS63" s="15"/>
      <c r="BU63" s="16"/>
      <c r="BV63" s="54"/>
      <c r="BW63" s="13"/>
      <c r="BX63" s="13"/>
      <c r="BY63" s="13"/>
      <c r="BZ63" s="263" t="s">
        <v>29</v>
      </c>
      <c r="CA63" s="264"/>
      <c r="CB63" s="13" t="e">
        <f>(BZ11+CB11)*CD11</f>
        <v>#VALUE!</v>
      </c>
      <c r="CC63" s="13"/>
      <c r="CD63" s="14"/>
      <c r="CE63" s="14"/>
      <c r="CF63" s="14"/>
      <c r="CG63" s="15"/>
      <c r="CH63" s="1"/>
      <c r="CI63" s="16"/>
      <c r="CJ63" s="54"/>
      <c r="CK63" s="13"/>
      <c r="CL63" s="13"/>
      <c r="CM63" s="13"/>
      <c r="CN63" s="263" t="s">
        <v>29</v>
      </c>
      <c r="CO63" s="264"/>
      <c r="CP63" s="13" t="e">
        <f>(CN11+CP11)*CR11</f>
        <v>#VALUE!</v>
      </c>
      <c r="CQ63" s="13"/>
      <c r="CR63" s="14"/>
      <c r="CS63" s="14"/>
      <c r="CT63" s="14"/>
      <c r="CU63" s="15"/>
      <c r="CV63" s="1"/>
      <c r="CW63" s="16"/>
      <c r="CX63" s="54"/>
      <c r="CY63" s="13"/>
      <c r="CZ63" s="13"/>
      <c r="DA63" s="13"/>
      <c r="DB63" s="263" t="s">
        <v>29</v>
      </c>
      <c r="DC63" s="264"/>
      <c r="DD63" s="13" t="e">
        <f>(DB11+DD11)*DF11</f>
        <v>#VALUE!</v>
      </c>
      <c r="DE63" s="13"/>
      <c r="DF63" s="14"/>
      <c r="DG63" s="14"/>
      <c r="DH63" s="14"/>
      <c r="DI63" s="15"/>
      <c r="DJ63" s="1"/>
      <c r="DK63" s="16"/>
      <c r="DL63" s="54"/>
      <c r="DM63" s="13"/>
      <c r="DN63" s="13"/>
      <c r="DO63" s="13"/>
      <c r="DP63" s="263" t="s">
        <v>29</v>
      </c>
      <c r="DQ63" s="264"/>
      <c r="DR63" s="13" t="e">
        <f>(DP11+DR11)*DT11</f>
        <v>#VALUE!</v>
      </c>
      <c r="DS63" s="13"/>
      <c r="DT63" s="14"/>
      <c r="DU63" s="14"/>
      <c r="DV63" s="14"/>
      <c r="DW63" s="15"/>
      <c r="DY63" s="16"/>
      <c r="DZ63" s="54"/>
      <c r="EA63" s="13"/>
      <c r="EB63" s="13"/>
      <c r="EC63" s="13"/>
      <c r="ED63" s="263" t="s">
        <v>29</v>
      </c>
      <c r="EE63" s="264"/>
      <c r="EF63" s="13" t="e">
        <f>(ED11+EF11)*EH11</f>
        <v>#VALUE!</v>
      </c>
      <c r="EG63" s="13"/>
      <c r="EH63" s="14"/>
      <c r="EI63" s="14"/>
      <c r="EJ63" s="14"/>
      <c r="EK63" s="15"/>
    </row>
    <row r="64" spans="1:141" ht="15" customHeight="1" x14ac:dyDescent="0.2">
      <c r="A64" s="265">
        <f>B61*A59*100</f>
        <v>2742375</v>
      </c>
      <c r="B64" s="266"/>
      <c r="C64" s="267">
        <f>L59+Z59+AN59+BB59+BQ59+CO61+DC61+DQ61+EE61</f>
        <v>341183</v>
      </c>
      <c r="D64" s="268"/>
      <c r="E64" s="267" t="e">
        <f>L62+Z62+AN62+BB62+CB63+CP63+DD63+DR63</f>
        <v>#VALUE!</v>
      </c>
      <c r="F64" s="268"/>
      <c r="G64" s="5"/>
      <c r="H64" s="13"/>
      <c r="I64" s="24"/>
      <c r="J64" s="99"/>
      <c r="K64" s="102"/>
      <c r="L64" s="53"/>
      <c r="M64" s="14"/>
      <c r="N64" s="15"/>
      <c r="O64" s="2"/>
      <c r="P64" s="85"/>
      <c r="Q64" s="69"/>
      <c r="R64" s="13"/>
      <c r="S64" s="13"/>
      <c r="T64" s="13"/>
      <c r="U64" s="5"/>
      <c r="V64" s="13"/>
      <c r="W64" s="24"/>
      <c r="X64" s="99"/>
      <c r="Y64" s="102"/>
      <c r="Z64" s="53"/>
      <c r="AA64" s="14"/>
      <c r="AB64" s="15"/>
      <c r="AD64" s="85"/>
      <c r="AE64" s="69"/>
      <c r="AF64" s="13"/>
      <c r="AG64" s="13"/>
      <c r="AH64" s="13"/>
      <c r="AI64" s="5"/>
      <c r="AJ64" s="13"/>
      <c r="AK64" s="24"/>
      <c r="AL64" s="99"/>
      <c r="AM64" s="102"/>
      <c r="AN64" s="53"/>
      <c r="AO64" s="14"/>
      <c r="AP64" s="15"/>
      <c r="AQ64" s="2"/>
      <c r="AR64" s="85"/>
      <c r="AS64" s="69"/>
      <c r="AT64" s="13"/>
      <c r="AU64" s="13"/>
      <c r="AV64" s="13"/>
      <c r="AW64" s="5"/>
      <c r="AX64" s="13"/>
      <c r="AY64" s="24"/>
      <c r="AZ64" s="118"/>
      <c r="BA64" s="102"/>
      <c r="BB64" s="53"/>
      <c r="BC64" s="14"/>
      <c r="BD64" s="15"/>
      <c r="BE64" s="2"/>
      <c r="BF64" s="85"/>
      <c r="BG64" s="245"/>
      <c r="BH64" s="69"/>
      <c r="BI64" s="13"/>
      <c r="BJ64" s="13"/>
      <c r="BK64" s="13"/>
      <c r="BL64" s="5"/>
      <c r="BM64" s="13"/>
      <c r="BN64" s="24"/>
      <c r="BO64" s="99"/>
      <c r="BP64" s="102"/>
      <c r="BQ64" s="53"/>
      <c r="BR64" s="14"/>
      <c r="BS64" s="15"/>
      <c r="BU64" s="16"/>
      <c r="BV64" s="54"/>
      <c r="BW64" s="13"/>
      <c r="BX64" s="13"/>
      <c r="BY64" s="13"/>
      <c r="BZ64" s="5"/>
      <c r="CA64" s="13"/>
      <c r="CB64" s="13"/>
      <c r="CC64" s="13"/>
      <c r="CD64" s="14"/>
      <c r="CE64" s="14"/>
      <c r="CF64" s="14"/>
      <c r="CG64" s="15"/>
      <c r="CH64" s="1"/>
      <c r="CI64" s="16"/>
      <c r="CJ64" s="54"/>
      <c r="CK64" s="13"/>
      <c r="CL64" s="13"/>
      <c r="CM64" s="13"/>
      <c r="CN64" s="5"/>
      <c r="CO64" s="13"/>
      <c r="CP64" s="13"/>
      <c r="CQ64" s="13"/>
      <c r="CR64" s="14"/>
      <c r="CS64" s="14"/>
      <c r="CT64" s="14"/>
      <c r="CU64" s="15"/>
      <c r="CV64" s="1"/>
      <c r="CW64" s="16"/>
      <c r="CX64" s="54"/>
      <c r="CY64" s="13"/>
      <c r="CZ64" s="13"/>
      <c r="DA64" s="13"/>
      <c r="DB64" s="5"/>
      <c r="DC64" s="13"/>
      <c r="DD64" s="13"/>
      <c r="DE64" s="13"/>
      <c r="DF64" s="14"/>
      <c r="DG64" s="14"/>
      <c r="DH64" s="14"/>
      <c r="DI64" s="15"/>
      <c r="DJ64" s="1"/>
      <c r="DK64" s="16"/>
      <c r="DL64" s="54"/>
      <c r="DM64" s="13"/>
      <c r="DN64" s="13"/>
      <c r="DO64" s="13"/>
      <c r="DP64" s="5"/>
      <c r="DQ64" s="13"/>
      <c r="DR64" s="13"/>
      <c r="DS64" s="13"/>
      <c r="DT64" s="14"/>
      <c r="DU64" s="14"/>
      <c r="DV64" s="14"/>
      <c r="DW64" s="15"/>
      <c r="DY64" s="16"/>
      <c r="DZ64" s="54"/>
      <c r="EA64" s="13"/>
      <c r="EB64" s="13"/>
      <c r="EC64" s="13"/>
      <c r="ED64" s="5"/>
      <c r="EE64" s="13"/>
      <c r="EF64" s="13"/>
      <c r="EG64" s="13"/>
      <c r="EH64" s="14"/>
      <c r="EI64" s="14"/>
      <c r="EJ64" s="14"/>
      <c r="EK64" s="15"/>
    </row>
    <row r="65" spans="1:141" ht="15" customHeight="1" x14ac:dyDescent="0.2">
      <c r="A65" s="281">
        <v>200000</v>
      </c>
      <c r="B65" s="282"/>
      <c r="C65" s="98"/>
      <c r="D65" s="106">
        <f>C64/A64</f>
        <v>0.12441150462646429</v>
      </c>
      <c r="E65" s="104"/>
      <c r="F65" s="96"/>
      <c r="G65" s="5"/>
      <c r="H65" s="13"/>
      <c r="I65" s="24"/>
      <c r="J65" s="99"/>
      <c r="K65" s="102"/>
      <c r="L65" s="53"/>
      <c r="M65" s="14"/>
      <c r="N65" s="15"/>
      <c r="O65" s="2"/>
      <c r="P65" s="85"/>
      <c r="Q65" s="69"/>
      <c r="R65" s="13"/>
      <c r="S65" s="13"/>
      <c r="T65" s="13"/>
      <c r="U65" s="5"/>
      <c r="V65" s="13"/>
      <c r="W65" s="24"/>
      <c r="X65" s="99"/>
      <c r="Y65" s="102"/>
      <c r="Z65" s="53"/>
      <c r="AA65" s="14"/>
      <c r="AB65" s="15"/>
      <c r="AD65" s="85"/>
      <c r="AE65" s="69"/>
      <c r="AF65" s="13"/>
      <c r="AG65" s="13"/>
      <c r="AH65" s="13"/>
      <c r="AI65" s="5"/>
      <c r="AJ65" s="13"/>
      <c r="AK65" s="24"/>
      <c r="AL65" s="99"/>
      <c r="AM65" s="102"/>
      <c r="AN65" s="53"/>
      <c r="AO65" s="14"/>
      <c r="AP65" s="15"/>
      <c r="AQ65" s="2"/>
      <c r="AR65" s="85"/>
      <c r="AS65" s="69"/>
      <c r="AT65" s="13"/>
      <c r="AU65" s="13"/>
      <c r="AV65" s="13"/>
      <c r="AW65" s="5"/>
      <c r="AX65" s="13"/>
      <c r="AY65" s="24"/>
      <c r="AZ65" s="118"/>
      <c r="BA65" s="102"/>
      <c r="BB65" s="53"/>
      <c r="BC65" s="14"/>
      <c r="BD65" s="15"/>
      <c r="BE65" s="2"/>
      <c r="BF65" s="85"/>
      <c r="BG65" s="245"/>
      <c r="BH65" s="69"/>
      <c r="BI65" s="13"/>
      <c r="BJ65" s="13"/>
      <c r="BK65" s="13"/>
      <c r="BL65" s="5"/>
      <c r="BM65" s="13"/>
      <c r="BN65" s="24"/>
      <c r="BO65" s="99"/>
      <c r="BP65" s="102"/>
      <c r="BQ65" s="53"/>
      <c r="BR65" s="14"/>
      <c r="BS65" s="15"/>
      <c r="BU65" s="16"/>
      <c r="BV65" s="54"/>
      <c r="BW65" s="13"/>
      <c r="BX65" s="13"/>
      <c r="BY65" s="13"/>
      <c r="BZ65" s="5"/>
      <c r="CA65" s="13"/>
      <c r="CB65" s="36"/>
      <c r="CC65" s="36"/>
      <c r="CD65" s="13"/>
      <c r="CE65" s="13"/>
      <c r="CF65" s="13"/>
      <c r="CG65" s="15"/>
      <c r="CH65" s="1"/>
      <c r="CI65" s="16"/>
      <c r="CJ65" s="54"/>
      <c r="CK65" s="13"/>
      <c r="CL65" s="13"/>
      <c r="CM65" s="13"/>
      <c r="CN65" s="5"/>
      <c r="CO65" s="13"/>
      <c r="CP65" s="36"/>
      <c r="CQ65" s="36"/>
      <c r="CR65" s="13"/>
      <c r="CS65" s="13"/>
      <c r="CT65" s="13"/>
      <c r="CU65" s="15"/>
      <c r="CV65" s="1"/>
      <c r="CW65" s="16"/>
      <c r="CX65" s="54"/>
      <c r="CY65" s="13"/>
      <c r="CZ65" s="13"/>
      <c r="DA65" s="13"/>
      <c r="DB65" s="5"/>
      <c r="DC65" s="13"/>
      <c r="DD65" s="36"/>
      <c r="DE65" s="36"/>
      <c r="DF65" s="13"/>
      <c r="DG65" s="13"/>
      <c r="DH65" s="13"/>
      <c r="DI65" s="15"/>
      <c r="DJ65" s="1"/>
      <c r="DK65" s="16"/>
      <c r="DL65" s="54"/>
      <c r="DM65" s="13"/>
      <c r="DN65" s="13"/>
      <c r="DO65" s="13"/>
      <c r="DP65" s="5"/>
      <c r="DQ65" s="13"/>
      <c r="DR65" s="36"/>
      <c r="DS65" s="36"/>
      <c r="DT65" s="13"/>
      <c r="DU65" s="13"/>
      <c r="DV65" s="13"/>
      <c r="DW65" s="15"/>
      <c r="DY65" s="16"/>
      <c r="DZ65" s="54"/>
      <c r="EA65" s="13"/>
      <c r="EB65" s="13"/>
      <c r="EC65" s="13"/>
      <c r="ED65" s="5"/>
      <c r="EE65" s="13"/>
      <c r="EF65" s="36"/>
      <c r="EG65" s="36"/>
      <c r="EH65" s="13"/>
      <c r="EI65" s="13"/>
      <c r="EJ65" s="13"/>
      <c r="EK65" s="15"/>
    </row>
    <row r="66" spans="1:141" ht="15" customHeight="1" x14ac:dyDescent="0.2">
      <c r="A66" s="153"/>
      <c r="B66" s="154"/>
      <c r="C66" s="98"/>
      <c r="D66" s="96"/>
      <c r="E66" s="5"/>
      <c r="F66" s="13"/>
      <c r="G66" s="5"/>
      <c r="H66" s="13"/>
      <c r="I66" s="13"/>
      <c r="J66" s="68"/>
      <c r="K66" s="82"/>
      <c r="L66" s="14"/>
      <c r="M66" s="14"/>
      <c r="N66" s="15"/>
      <c r="O66" s="2"/>
      <c r="P66" s="86"/>
      <c r="Q66" s="54"/>
      <c r="R66" s="13"/>
      <c r="S66" s="5"/>
      <c r="T66" s="13"/>
      <c r="U66" s="5"/>
      <c r="V66" s="13"/>
      <c r="W66" s="13"/>
      <c r="X66" s="52"/>
      <c r="Y66" s="82"/>
      <c r="Z66" s="14"/>
      <c r="AA66" s="14"/>
      <c r="AB66" s="15"/>
      <c r="AD66" s="86"/>
      <c r="AE66" s="54"/>
      <c r="AF66" s="13"/>
      <c r="AG66" s="5"/>
      <c r="AH66" s="13"/>
      <c r="AI66" s="5"/>
      <c r="AJ66" s="13"/>
      <c r="AK66" s="13"/>
      <c r="AL66" s="68"/>
      <c r="AM66" s="82"/>
      <c r="AN66" s="14"/>
      <c r="AO66" s="14"/>
      <c r="AP66" s="15"/>
      <c r="AQ66" s="2"/>
      <c r="AR66" s="86"/>
      <c r="AS66" s="54"/>
      <c r="AT66" s="13"/>
      <c r="AU66" s="5"/>
      <c r="AV66" s="13"/>
      <c r="AW66" s="5"/>
      <c r="AX66" s="13"/>
      <c r="AY66" s="13"/>
      <c r="AZ66" s="68"/>
      <c r="BA66" s="82"/>
      <c r="BB66" s="14"/>
      <c r="BC66" s="14"/>
      <c r="BD66" s="15"/>
      <c r="BE66" s="2"/>
      <c r="BF66" s="86"/>
      <c r="BG66" s="246"/>
      <c r="BH66" s="54"/>
      <c r="BI66" s="13"/>
      <c r="BJ66" s="5"/>
      <c r="BK66" s="13"/>
      <c r="BL66" s="5"/>
      <c r="BM66" s="13"/>
      <c r="BN66" s="13"/>
      <c r="BO66" s="52"/>
      <c r="BP66" s="82"/>
      <c r="BQ66" s="14"/>
      <c r="BR66" s="14"/>
      <c r="BS66" s="15"/>
      <c r="BU66" s="16"/>
      <c r="BV66" s="13"/>
      <c r="BW66" s="13"/>
      <c r="BX66" s="13"/>
      <c r="BY66" s="13"/>
      <c r="BZ66" s="5"/>
      <c r="CA66" s="13"/>
      <c r="CB66" s="36"/>
      <c r="CC66" s="36"/>
      <c r="CD66" s="13"/>
      <c r="CE66" s="13"/>
      <c r="CF66" s="13"/>
      <c r="CG66" s="15"/>
      <c r="CH66" s="1"/>
      <c r="CI66" s="16"/>
      <c r="CJ66" s="13"/>
      <c r="CK66" s="13"/>
      <c r="CL66" s="13"/>
      <c r="CM66" s="13"/>
      <c r="CN66" s="5"/>
      <c r="CO66" s="13"/>
      <c r="CP66" s="36"/>
      <c r="CQ66" s="36"/>
      <c r="CR66" s="13"/>
      <c r="CS66" s="13"/>
      <c r="CT66" s="13"/>
      <c r="CU66" s="15"/>
      <c r="CV66" s="1"/>
      <c r="CW66" s="16"/>
      <c r="CX66" s="13"/>
      <c r="CY66" s="13"/>
      <c r="CZ66" s="13"/>
      <c r="DA66" s="13"/>
      <c r="DB66" s="5"/>
      <c r="DC66" s="13"/>
      <c r="DD66" s="36"/>
      <c r="DE66" s="36"/>
      <c r="DF66" s="13"/>
      <c r="DG66" s="13"/>
      <c r="DH66" s="13"/>
      <c r="DI66" s="15"/>
      <c r="DJ66" s="1"/>
      <c r="DK66" s="16"/>
      <c r="DL66" s="13"/>
      <c r="DM66" s="13"/>
      <c r="DN66" s="13"/>
      <c r="DO66" s="13"/>
      <c r="DP66" s="5"/>
      <c r="DQ66" s="13"/>
      <c r="DR66" s="36"/>
      <c r="DS66" s="36"/>
      <c r="DT66" s="13"/>
      <c r="DU66" s="13"/>
      <c r="DV66" s="13"/>
      <c r="DW66" s="15"/>
      <c r="DY66" s="16"/>
      <c r="DZ66" s="13"/>
      <c r="EA66" s="13"/>
      <c r="EB66" s="13"/>
      <c r="EC66" s="13"/>
      <c r="ED66" s="5"/>
      <c r="EE66" s="13"/>
      <c r="EF66" s="36"/>
      <c r="EG66" s="36"/>
      <c r="EH66" s="13"/>
      <c r="EI66" s="13"/>
      <c r="EJ66" s="13"/>
      <c r="EK66" s="15"/>
    </row>
    <row r="67" spans="1:141" ht="15" customHeight="1" x14ac:dyDescent="0.2">
      <c r="A67" s="258" t="s">
        <v>28</v>
      </c>
      <c r="B67" s="260"/>
      <c r="C67" s="259"/>
      <c r="D67" s="38">
        <f>SUM(D3,D7,D11,D15,D19,D23,D27,D31,D35,D39,D43,D47,D51)*100</f>
        <v>32300</v>
      </c>
      <c r="E67" s="54"/>
      <c r="F67" s="13"/>
      <c r="G67" s="5">
        <f>D67/H67</f>
        <v>2484.6153846153848</v>
      </c>
      <c r="H67" s="38">
        <f>SUM(H3,H7,H11,H15,H19,H23,H28,H31,H35,H39,H43,H47,H51)</f>
        <v>13</v>
      </c>
      <c r="I67" s="13"/>
      <c r="J67" s="75" t="str">
        <f t="shared" ref="J67:K67" si="148">J3</f>
        <v>ジャグラーボタン</v>
      </c>
      <c r="K67" s="76">
        <f t="shared" si="148"/>
        <v>748</v>
      </c>
      <c r="L67" s="38">
        <f>SUM(L3,L7,L11,L15,L19,L23,L28,L31,L35,L39,L43,L47,L51)</f>
        <v>9724</v>
      </c>
      <c r="M67" s="36">
        <f>L67/D67</f>
        <v>0.30105263157894735</v>
      </c>
      <c r="N67" s="15"/>
      <c r="O67" s="2"/>
      <c r="P67" s="258" t="s">
        <v>28</v>
      </c>
      <c r="Q67" s="259"/>
      <c r="R67" s="38">
        <f>SUM(R3,R7,R11,R15,R19,R23,R28,R31,R35,R39,R43,R47,R51)*100</f>
        <v>90200</v>
      </c>
      <c r="S67" s="54"/>
      <c r="T67" s="13"/>
      <c r="U67" s="5">
        <f>R67/V67</f>
        <v>2577.1428571428573</v>
      </c>
      <c r="V67" s="38">
        <f>SUM(V3,V7,V11,V15,V19,V23,V28,V31,V35,V39,V43,V47,V51)</f>
        <v>35</v>
      </c>
      <c r="W67" s="13"/>
      <c r="X67" s="78" t="str">
        <f t="shared" ref="X67:Y67" si="149">X3</f>
        <v>たまごっちカスタムキーリング</v>
      </c>
      <c r="Y67" s="76">
        <f t="shared" si="149"/>
        <v>700</v>
      </c>
      <c r="Z67" s="38">
        <f>SUM(Z3,Z7,Z11,Z15,Z19,Z23,Z28,Z31,Z35,Z39,Z43,Z47,Z51)</f>
        <v>24500</v>
      </c>
      <c r="AA67" s="36">
        <f>Z67/R67</f>
        <v>0.27161862527716185</v>
      </c>
      <c r="AB67" s="15"/>
      <c r="AC67" s="23"/>
      <c r="AD67" s="258" t="s">
        <v>28</v>
      </c>
      <c r="AE67" s="259"/>
      <c r="AF67" s="38">
        <f>SUM(AF3,AF7,AF11,AF15,AF19,AF23,AF27,AF31,AF35,AF39,AF43,AF47,AF51)*100</f>
        <v>56900</v>
      </c>
      <c r="AG67" s="54"/>
      <c r="AH67" s="13"/>
      <c r="AI67" s="5">
        <f>AF67/AJ67</f>
        <v>2994.7368421052633</v>
      </c>
      <c r="AJ67" s="38">
        <f>SUM(AJ3,AJ7,AJ11,AJ15,AJ19,AJ23,AJ28,AJ31,AJ35,AJ39,AJ43,AJ47,AJ51)</f>
        <v>19</v>
      </c>
      <c r="AK67" s="13"/>
      <c r="AL67" s="75" t="str">
        <f t="shared" ref="AL67:AM67" si="150">AL3</f>
        <v>フルーツスクイーズ</v>
      </c>
      <c r="AM67" s="76">
        <f t="shared" si="150"/>
        <v>210</v>
      </c>
      <c r="AN67" s="38">
        <f>SUM(AN3,AN7,AN11,AN15,AN19,AN23,AN28,AN31,AN35,AN39,AN43,AN47,AN51)</f>
        <v>3990</v>
      </c>
      <c r="AO67" s="36">
        <f>AN67/AF67</f>
        <v>7.0123022847100175E-2</v>
      </c>
      <c r="AP67" s="15"/>
      <c r="AQ67" s="2"/>
      <c r="AR67" s="258" t="s">
        <v>28</v>
      </c>
      <c r="AS67" s="259"/>
      <c r="AT67" s="38">
        <f>SUM(AT3,AT7,AT11,AT15,AT19,AT23,AT28,AT31,AT35,AT39,AT43,AT47,AT51)*100</f>
        <v>103900</v>
      </c>
      <c r="AU67" s="54"/>
      <c r="AV67" s="13"/>
      <c r="AW67" s="5">
        <f>AT67/AX67</f>
        <v>4722.727272727273</v>
      </c>
      <c r="AX67" s="38">
        <f>SUM(AX3,AX7,AX11,AX15,AX19,AX23,AX27,AX31,AX35,AX39,AX43,AX47,AX51)</f>
        <v>22</v>
      </c>
      <c r="AY67" s="13"/>
      <c r="AZ67" s="75" t="str">
        <f t="shared" ref="AZ67:BA67" si="151">AZ3</f>
        <v>極とろスクイーズ</v>
      </c>
      <c r="BA67" s="76">
        <f t="shared" si="151"/>
        <v>1100</v>
      </c>
      <c r="BB67" s="38">
        <f>SUM(BB3,BB7,BB11,BB15,BB19,BB23,BB28,BB31,BB35,BB39,BB43,BB47,BB51)</f>
        <v>24200</v>
      </c>
      <c r="BC67" s="36">
        <f>BB67/AT67</f>
        <v>0.23291626564003851</v>
      </c>
      <c r="BD67" s="15"/>
      <c r="BE67" s="2"/>
      <c r="BF67" s="258" t="s">
        <v>28</v>
      </c>
      <c r="BG67" s="261"/>
      <c r="BH67" s="259"/>
      <c r="BI67" s="38">
        <f>SUM(BI3,BI7,BI11,BI15,BI19,BI23,BI28,BI31,BI35,BI39,BI43,BI47,BI51)*100</f>
        <v>30800</v>
      </c>
      <c r="BJ67" s="54"/>
      <c r="BK67" s="13"/>
      <c r="BL67" s="5">
        <f>BI67/BM67</f>
        <v>6160</v>
      </c>
      <c r="BM67" s="38">
        <f>SUM(BM3,BM7,BM11,BM15,BM19,BM23,BM28,BM31,BM35,BM39,BM43,BM47,BM51)</f>
        <v>5</v>
      </c>
      <c r="BN67" s="13"/>
      <c r="BO67" s="78" t="str">
        <f t="shared" ref="BO67:BP67" si="152">BO3</f>
        <v>ボンドロ</v>
      </c>
      <c r="BP67" s="76">
        <f t="shared" si="152"/>
        <v>1500</v>
      </c>
      <c r="BQ67" s="38">
        <f>SUM(BQ3,BQ7,BQ11,BQ15,BQ19,BQ23,BQ28,BQ31,BQ35,BQ39,BQ43,BQ47,BQ51)</f>
        <v>7500</v>
      </c>
      <c r="BR67" s="36">
        <f>BQ67/BI67</f>
        <v>0.2435064935064935</v>
      </c>
      <c r="BS67" s="15"/>
      <c r="BU67" s="16"/>
      <c r="BV67" s="270"/>
      <c r="BW67" s="270"/>
      <c r="BX67" s="10"/>
      <c r="BY67" s="13"/>
      <c r="BZ67" s="5"/>
      <c r="CA67" s="13"/>
      <c r="CB67" s="36"/>
      <c r="CC67" s="36"/>
      <c r="CD67" s="13"/>
      <c r="CE67" s="13"/>
      <c r="CF67" s="13"/>
      <c r="CG67" s="15"/>
      <c r="CH67" s="1"/>
      <c r="CI67" s="16"/>
      <c r="CJ67" s="270"/>
      <c r="CK67" s="270"/>
      <c r="CL67" s="10"/>
      <c r="CM67" s="13"/>
      <c r="CN67" s="5"/>
      <c r="CO67" s="13"/>
      <c r="CP67" s="36"/>
      <c r="CQ67" s="36"/>
      <c r="CR67" s="13"/>
      <c r="CS67" s="13"/>
      <c r="CT67" s="13"/>
      <c r="CU67" s="15"/>
      <c r="CV67" s="1"/>
      <c r="CW67" s="16"/>
      <c r="CX67" s="270"/>
      <c r="CY67" s="270"/>
      <c r="CZ67" s="10"/>
      <c r="DA67" s="13"/>
      <c r="DB67" s="5"/>
      <c r="DC67" s="13"/>
      <c r="DD67" s="36"/>
      <c r="DE67" s="36"/>
      <c r="DF67" s="13"/>
      <c r="DG67" s="13"/>
      <c r="DH67" s="13"/>
      <c r="DI67" s="15"/>
      <c r="DJ67" s="1"/>
      <c r="DK67" s="16"/>
      <c r="DL67" s="270"/>
      <c r="DM67" s="270"/>
      <c r="DN67" s="10"/>
      <c r="DO67" s="13"/>
      <c r="DP67" s="5"/>
      <c r="DQ67" s="13"/>
      <c r="DR67" s="36"/>
      <c r="DS67" s="36"/>
      <c r="DT67" s="13"/>
      <c r="DU67" s="13"/>
      <c r="DV67" s="13"/>
      <c r="DW67" s="15"/>
      <c r="DY67" s="16"/>
      <c r="DZ67" s="270"/>
      <c r="EA67" s="270"/>
      <c r="EB67" s="10"/>
      <c r="EC67" s="13"/>
      <c r="ED67" s="5"/>
      <c r="EE67" s="13"/>
      <c r="EF67" s="36"/>
      <c r="EG67" s="36"/>
      <c r="EH67" s="13"/>
      <c r="EI67" s="13"/>
      <c r="EJ67" s="13"/>
      <c r="EK67" s="15"/>
    </row>
    <row r="68" spans="1:141" x14ac:dyDescent="0.2">
      <c r="A68" s="258" t="s">
        <v>28</v>
      </c>
      <c r="B68" s="260"/>
      <c r="C68" s="259"/>
      <c r="D68" s="38">
        <f>SUM(D4,D8,D12,D16,D20,D24,D28,D32,D36,D40,D44,D48,D52)*100</f>
        <v>43600</v>
      </c>
      <c r="E68" s="54"/>
      <c r="F68" s="13"/>
      <c r="G68" s="5">
        <f>D68/H68</f>
        <v>2906.6666666666665</v>
      </c>
      <c r="H68" s="38">
        <f>SUM(H4,H8,H12,H16,H20,H24,H27,H32,H36,H40,H44,H48,H52)</f>
        <v>15</v>
      </c>
      <c r="I68" s="13"/>
      <c r="J68" s="75" t="str">
        <f t="shared" ref="J68:K68" si="153">J4</f>
        <v>電ブル</v>
      </c>
      <c r="K68" s="76">
        <f t="shared" si="153"/>
        <v>275</v>
      </c>
      <c r="L68" s="38">
        <f>SUM(L4,L8,L12,L16,L20,L24,L27,L32,L36,L40,L44,L48,L52)</f>
        <v>4125</v>
      </c>
      <c r="M68" s="36">
        <f>L68/D68</f>
        <v>9.4610091743119268E-2</v>
      </c>
      <c r="N68" s="15"/>
      <c r="O68" s="2"/>
      <c r="P68" s="258" t="s">
        <v>28</v>
      </c>
      <c r="Q68" s="259"/>
      <c r="R68" s="38">
        <f>SUM(R4,R8,R12,R16,R20,R24,R27,R32,R36,R40,R44,R48,R52)*100</f>
        <v>27400</v>
      </c>
      <c r="S68" s="54"/>
      <c r="T68" s="13"/>
      <c r="U68" s="5">
        <f>R68/V68</f>
        <v>2283.3333333333335</v>
      </c>
      <c r="V68" s="38">
        <f>SUM(V4,V8,V12,V16,V20,V24,V27,V32,V36,V40,V44,V48,V52)</f>
        <v>12</v>
      </c>
      <c r="W68" s="13"/>
      <c r="X68" s="78" t="str">
        <f t="shared" ref="X68:Y68" si="154">X4</f>
        <v>たまごっちブロックシール</v>
      </c>
      <c r="Y68" s="76">
        <f t="shared" si="154"/>
        <v>600</v>
      </c>
      <c r="Z68" s="38">
        <f>SUM(Z4,Z8,Z12,Z16,Z20,Z24,Z27,Z32,Z36,Z40,Z44,Z48,Z52)</f>
        <v>7200</v>
      </c>
      <c r="AA68" s="36">
        <f>Z68/R68</f>
        <v>0.26277372262773724</v>
      </c>
      <c r="AB68" s="15"/>
      <c r="AC68" s="1"/>
      <c r="AD68" s="258" t="s">
        <v>28</v>
      </c>
      <c r="AE68" s="259"/>
      <c r="AF68" s="38">
        <f>SUM(AF4,AF8,AF12,AF16,AF20,AF24,AF28,AF32,AF36,AF40,AF44,AF48,AF52)*100</f>
        <v>44900</v>
      </c>
      <c r="AG68" s="54"/>
      <c r="AH68" s="13"/>
      <c r="AI68" s="5">
        <f>AF68/AJ68</f>
        <v>6414.2857142857147</v>
      </c>
      <c r="AJ68" s="38">
        <f>SUM(AJ4,AJ8,AJ12,AJ16,AJ20,AJ24,AJ27,AJ32,AJ36,AJ40,AJ44,AJ48,AJ52)</f>
        <v>7</v>
      </c>
      <c r="AK68" s="13"/>
      <c r="AL68" s="75" t="str">
        <f t="shared" ref="AL68:AM68" si="155">AL4</f>
        <v>サンリオハンディファン</v>
      </c>
      <c r="AM68" s="76">
        <f t="shared" si="155"/>
        <v>1100</v>
      </c>
      <c r="AN68" s="38">
        <f>SUM(AN4,AN8,AN12,AN16,AN20,AN24,AN27,AN32,AN36,AN40,AN44,AN48,AN52)</f>
        <v>7700</v>
      </c>
      <c r="AO68" s="36">
        <f>AN68/AF68</f>
        <v>0.17149220489977729</v>
      </c>
      <c r="AP68" s="15"/>
      <c r="AQ68" s="2"/>
      <c r="AR68" s="258" t="s">
        <v>28</v>
      </c>
      <c r="AS68" s="259"/>
      <c r="AT68" s="38">
        <f>SUM(AT4,AT8,AT12,AT16,AT20,AT24,AT27,AT32,AT36,AT40,AT44,AT48,AT52)*100</f>
        <v>60500</v>
      </c>
      <c r="AU68" s="54"/>
      <c r="AV68" s="13"/>
      <c r="AW68" s="5">
        <f>AT68/AX68</f>
        <v>20166.666666666668</v>
      </c>
      <c r="AX68" s="38">
        <f>SUM(AX4,AX8,AX12,AX16,AX20,AX24,AX28,AX32,AX36,AX40,AX44,AX48,AX52)</f>
        <v>3</v>
      </c>
      <c r="AY68" s="13"/>
      <c r="AZ68" s="75" t="str">
        <f t="shared" ref="AZ68:BA68" si="156">AZ4</f>
        <v>ベアブリック</v>
      </c>
      <c r="BA68" s="76">
        <f t="shared" si="156"/>
        <v>1100</v>
      </c>
      <c r="BB68" s="38">
        <f>SUM(BB4,BB8,BB12,BB16,BB20,BB24,BB27,BB32,BB36,BB40,BB44,BB48,BB52)</f>
        <v>3300</v>
      </c>
      <c r="BC68" s="36">
        <f>BB68/AT68</f>
        <v>5.4545454545454543E-2</v>
      </c>
      <c r="BD68" s="15"/>
      <c r="BE68" s="2"/>
      <c r="BF68" s="258" t="s">
        <v>28</v>
      </c>
      <c r="BG68" s="261"/>
      <c r="BH68" s="259"/>
      <c r="BI68" s="38">
        <f>SUM(BI4,BI8,BI12,BI16,BI20,BI24,BI27,BI32,BI36,BI40,BI44,BI48,BI52)*100</f>
        <v>57300</v>
      </c>
      <c r="BJ68" s="54"/>
      <c r="BK68" s="13"/>
      <c r="BL68" s="5">
        <f>BI68/BM68</f>
        <v>19100</v>
      </c>
      <c r="BM68" s="38">
        <f>SUM(BM4,BM8,BM12,BM16,BM20,BM24,BM27,BM32,BM36,BM40,BM44,BM48,BM52)</f>
        <v>3</v>
      </c>
      <c r="BN68" s="13"/>
      <c r="BO68" s="78" t="str">
        <f t="shared" ref="BO68:BP68" si="157">BO4</f>
        <v>ボンボンドロップシール</v>
      </c>
      <c r="BP68" s="76">
        <f t="shared" si="157"/>
        <v>1500</v>
      </c>
      <c r="BQ68" s="38">
        <f>SUM(BQ4,BQ8,BQ12,BQ16,BQ20,BQ24,BQ27,BQ32,BQ36,BQ40,BQ44,BQ48,BQ52)</f>
        <v>4500</v>
      </c>
      <c r="BR68" s="36">
        <f>BQ68/BI68</f>
        <v>7.8534031413612565E-2</v>
      </c>
      <c r="BS68" s="15"/>
      <c r="BU68" s="16"/>
      <c r="BV68" s="270"/>
      <c r="BW68" s="270"/>
      <c r="BX68" s="13"/>
      <c r="BY68" s="13"/>
      <c r="BZ68" s="5"/>
      <c r="CA68" s="13"/>
      <c r="CB68" s="36"/>
      <c r="CC68" s="36"/>
      <c r="CD68" s="14"/>
      <c r="CE68" s="14"/>
      <c r="CF68" s="14"/>
      <c r="CG68" s="15"/>
      <c r="CH68" s="1"/>
      <c r="CI68" s="16"/>
      <c r="CJ68" s="270"/>
      <c r="CK68" s="270"/>
      <c r="CL68" s="13"/>
      <c r="CM68" s="13"/>
      <c r="CN68" s="5"/>
      <c r="CO68" s="13"/>
      <c r="CP68" s="36"/>
      <c r="CQ68" s="36"/>
      <c r="CR68" s="14"/>
      <c r="CS68" s="14"/>
      <c r="CT68" s="14"/>
      <c r="CU68" s="15"/>
      <c r="CV68" s="1"/>
      <c r="CW68" s="16"/>
      <c r="CX68" s="270"/>
      <c r="CY68" s="270"/>
      <c r="CZ68" s="13"/>
      <c r="DA68" s="13"/>
      <c r="DB68" s="5"/>
      <c r="DC68" s="13"/>
      <c r="DD68" s="36"/>
      <c r="DE68" s="36"/>
      <c r="DF68" s="14"/>
      <c r="DG68" s="14"/>
      <c r="DH68" s="14"/>
      <c r="DI68" s="15"/>
      <c r="DJ68" s="1"/>
      <c r="DK68" s="16"/>
      <c r="DL68" s="270"/>
      <c r="DM68" s="270"/>
      <c r="DN68" s="13"/>
      <c r="DO68" s="13"/>
      <c r="DP68" s="5"/>
      <c r="DQ68" s="13"/>
      <c r="DR68" s="36"/>
      <c r="DS68" s="36"/>
      <c r="DT68" s="14"/>
      <c r="DU68" s="14"/>
      <c r="DV68" s="14"/>
      <c r="DW68" s="15"/>
      <c r="DY68" s="16"/>
      <c r="DZ68" s="270"/>
      <c r="EA68" s="270"/>
      <c r="EB68" s="13"/>
      <c r="EC68" s="13"/>
      <c r="ED68" s="5"/>
      <c r="EE68" s="13"/>
      <c r="EF68" s="36"/>
      <c r="EG68" s="36"/>
      <c r="EH68" s="14"/>
      <c r="EI68" s="14"/>
      <c r="EJ68" s="14"/>
      <c r="EK68" s="15"/>
    </row>
    <row r="69" spans="1:141" x14ac:dyDescent="0.2">
      <c r="A69" s="258" t="s">
        <v>28</v>
      </c>
      <c r="B69" s="260"/>
      <c r="C69" s="259"/>
      <c r="D69" s="38">
        <f>SUM(D5,D9,D13,D17,D21,D25,D29,D33,D37,D41,D45,D49,D53)*100</f>
        <v>20400</v>
      </c>
      <c r="E69" s="54"/>
      <c r="F69" s="13"/>
      <c r="G69" s="5">
        <f>D69/H69</f>
        <v>510</v>
      </c>
      <c r="H69" s="38">
        <f>SUM(H5,H9,H13,H18,H21,H25,H29,H33,H37,H41,H45,H49,H53)</f>
        <v>40</v>
      </c>
      <c r="I69" s="13"/>
      <c r="J69" s="75" t="str">
        <f t="shared" ref="J69:K69" si="158">J5</f>
        <v>ブレスレット</v>
      </c>
      <c r="K69" s="76">
        <f t="shared" si="158"/>
        <v>100</v>
      </c>
      <c r="L69" s="38">
        <f>SUM(L5,L9,L13,L18,L21,L25,L29,L33,L37,L41,L45,L49,L53)</f>
        <v>4372</v>
      </c>
      <c r="M69" s="36">
        <f>L69/D69</f>
        <v>0.21431372549019609</v>
      </c>
      <c r="N69" s="15"/>
      <c r="O69" s="2"/>
      <c r="P69" s="258" t="s">
        <v>28</v>
      </c>
      <c r="Q69" s="259"/>
      <c r="R69" s="38">
        <f>SUM(R5,R9,R13,R17,R21,R25,R29,R33,R37,R41,R45,R49,R53)*100</f>
        <v>50800</v>
      </c>
      <c r="S69" s="54"/>
      <c r="T69" s="13"/>
      <c r="U69" s="5">
        <f>R69/V69</f>
        <v>2116.6666666666665</v>
      </c>
      <c r="V69" s="38">
        <f>SUM(V5,V9,V13,V18,V21,V25,V29,V33,V37,V41,V45,V49,V53)</f>
        <v>24</v>
      </c>
      <c r="W69" s="13"/>
      <c r="X69" s="78" t="str">
        <f t="shared" ref="X69:Y69" si="159">X5</f>
        <v>たまごっちミニクリップ</v>
      </c>
      <c r="Y69" s="76">
        <f t="shared" si="159"/>
        <v>1100</v>
      </c>
      <c r="Z69" s="38">
        <f>SUM(Z5,Z9,Z13,Z18,Z21,Z25,Z29,Z33,Z37,Z41,Z45,Z49,Z53)</f>
        <v>10200</v>
      </c>
      <c r="AA69" s="36">
        <f>Z69/R69</f>
        <v>0.20078740157480315</v>
      </c>
      <c r="AB69" s="15"/>
      <c r="AC69" s="1"/>
      <c r="AD69" s="258" t="s">
        <v>28</v>
      </c>
      <c r="AE69" s="259"/>
      <c r="AF69" s="38">
        <f>SUM(AF5,AF9,AF13,AF17,AF21,AF25,AF29,AF33,AF37,AF41,AF45,AF49,AF53)*100</f>
        <v>78600</v>
      </c>
      <c r="AG69" s="54"/>
      <c r="AH69" s="13"/>
      <c r="AI69" s="5">
        <f>AF69/AJ69</f>
        <v>9825</v>
      </c>
      <c r="AJ69" s="38">
        <f>SUM(AJ5,AJ9,AJ13,AJ18,AJ21,AJ25,AJ29,AJ33,AJ37,AJ41,AJ45,AJ49,AJ53)</f>
        <v>8</v>
      </c>
      <c r="AK69" s="13"/>
      <c r="AL69" s="75" t="str">
        <f t="shared" ref="AL69:AM69" si="160">AL5</f>
        <v>ふわもちスクイーズ</v>
      </c>
      <c r="AM69" s="76">
        <f t="shared" si="160"/>
        <v>260</v>
      </c>
      <c r="AN69" s="38">
        <f>SUM(AN5,AN9,AN13,AN18,AN21,AN25,AN29,AN33,AN37,AN41,AN45,AN49,AN53)</f>
        <v>2080</v>
      </c>
      <c r="AO69" s="36">
        <f>AN69/AF69</f>
        <v>2.6463104325699746E-2</v>
      </c>
      <c r="AP69" s="15"/>
      <c r="AQ69" s="2"/>
      <c r="AR69" s="258" t="s">
        <v>28</v>
      </c>
      <c r="AS69" s="259"/>
      <c r="AT69" s="38">
        <f>SUM(AT5,AT9,AT13,AT17,AT21,AT25,AT29,AT33,AT37,AT41,AT45,AT49,AT53)*100</f>
        <v>45700</v>
      </c>
      <c r="AU69" s="54"/>
      <c r="AV69" s="13"/>
      <c r="AW69" s="5">
        <f>AT69/AX69</f>
        <v>6528.5714285714284</v>
      </c>
      <c r="AX69" s="38">
        <f>SUM(AX5,AX9,AX13,AX17,AX21,AX25,AX29,AX33,AX37,AX41,AX45,AX49,AX53)</f>
        <v>7</v>
      </c>
      <c r="AY69" s="13"/>
      <c r="AZ69" s="75" t="str">
        <f t="shared" ref="AZ69:BA69" si="161">AZ5</f>
        <v>たまごっちマスコット</v>
      </c>
      <c r="BA69" s="76">
        <f t="shared" si="161"/>
        <v>1430</v>
      </c>
      <c r="BB69" s="38">
        <f>SUM(BB5,BB9,BB13,BB18,BB21,BB25,BB29,BB33,BB37,BB41,BB45,BB49,BB53)</f>
        <v>7550</v>
      </c>
      <c r="BC69" s="36">
        <f>BB69/AT69</f>
        <v>0.16520787746170679</v>
      </c>
      <c r="BD69" s="15"/>
      <c r="BE69" s="2"/>
      <c r="BF69" s="258" t="s">
        <v>28</v>
      </c>
      <c r="BG69" s="261"/>
      <c r="BH69" s="259"/>
      <c r="BI69" s="38">
        <f>SUM(BI5,BI9,BI13,BI17,BI21,BI25,BI29,BI33,BI37,BI41,BI45,BI49,BI53)*100</f>
        <v>25900</v>
      </c>
      <c r="BJ69" s="54"/>
      <c r="BK69" s="13"/>
      <c r="BL69" s="5">
        <f>BI69/BM69</f>
        <v>2158.3333333333335</v>
      </c>
      <c r="BM69" s="38">
        <f>SUM(BM5,BM9,BM13,BM18,BM21,BM25,BM29,BM33,BM37,BM41,BM45,BM49,BM53)</f>
        <v>12</v>
      </c>
      <c r="BN69" s="13"/>
      <c r="BO69" s="78" t="str">
        <f t="shared" ref="BO69:BP69" si="162">BO5</f>
        <v>ボンドロ</v>
      </c>
      <c r="BP69" s="76">
        <f t="shared" si="162"/>
        <v>1500</v>
      </c>
      <c r="BQ69" s="38">
        <f>SUM(BQ5,BQ9,BQ13,BQ18,BQ21,BQ25,BQ29,BQ33,BQ37,BQ41,BQ45,BQ49,BQ53)</f>
        <v>18000</v>
      </c>
      <c r="BR69" s="36">
        <f>BQ69/BI69</f>
        <v>0.69498069498069504</v>
      </c>
      <c r="BS69" s="15"/>
      <c r="BU69" s="16"/>
      <c r="BV69" s="270"/>
      <c r="BW69" s="270"/>
      <c r="BX69" s="36"/>
      <c r="BY69" s="13"/>
      <c r="BZ69" s="5"/>
      <c r="CA69" s="13"/>
      <c r="CB69" s="36"/>
      <c r="CC69" s="36"/>
      <c r="CD69" s="14"/>
      <c r="CE69" s="14"/>
      <c r="CF69" s="14"/>
      <c r="CG69" s="15"/>
      <c r="CH69" s="1"/>
      <c r="CI69" s="16"/>
      <c r="CJ69" s="270"/>
      <c r="CK69" s="270"/>
      <c r="CL69" s="36"/>
      <c r="CM69" s="13"/>
      <c r="CN69" s="5"/>
      <c r="CO69" s="13"/>
      <c r="CP69" s="36"/>
      <c r="CQ69" s="36"/>
      <c r="CR69" s="14"/>
      <c r="CS69" s="14"/>
      <c r="CT69" s="14"/>
      <c r="CU69" s="15"/>
      <c r="CV69" s="1"/>
      <c r="CW69" s="16"/>
      <c r="CX69" s="270"/>
      <c r="CY69" s="270"/>
      <c r="CZ69" s="36"/>
      <c r="DA69" s="13"/>
      <c r="DB69" s="5"/>
      <c r="DC69" s="13"/>
      <c r="DD69" s="36"/>
      <c r="DE69" s="36"/>
      <c r="DF69" s="14"/>
      <c r="DG69" s="14"/>
      <c r="DH69" s="14"/>
      <c r="DI69" s="15"/>
      <c r="DJ69" s="1"/>
      <c r="DK69" s="16"/>
      <c r="DL69" s="270"/>
      <c r="DM69" s="270"/>
      <c r="DN69" s="36"/>
      <c r="DO69" s="13"/>
      <c r="DP69" s="5"/>
      <c r="DQ69" s="13"/>
      <c r="DR69" s="36"/>
      <c r="DS69" s="36"/>
      <c r="DT69" s="14"/>
      <c r="DU69" s="14"/>
      <c r="DV69" s="14"/>
      <c r="DW69" s="15"/>
      <c r="DY69" s="16"/>
      <c r="DZ69" s="270"/>
      <c r="EA69" s="270"/>
      <c r="EB69" s="36"/>
      <c r="EC69" s="13"/>
      <c r="ED69" s="5"/>
      <c r="EE69" s="13"/>
      <c r="EF69" s="36"/>
      <c r="EG69" s="36"/>
      <c r="EH69" s="14"/>
      <c r="EI69" s="14"/>
      <c r="EJ69" s="14"/>
      <c r="EK69" s="15"/>
    </row>
    <row r="70" spans="1:141" x14ac:dyDescent="0.2">
      <c r="A70" s="258" t="s">
        <v>28</v>
      </c>
      <c r="B70" s="260"/>
      <c r="C70" s="259"/>
      <c r="D70" s="38">
        <f>SUM(D6,D10,D14,D18,D22,D26,D30,D34,D38,D42,D46,D50,D54)*100</f>
        <v>27300</v>
      </c>
      <c r="E70" s="54"/>
      <c r="F70" s="13"/>
      <c r="G70" s="5">
        <f>D70/H70</f>
        <v>1820</v>
      </c>
      <c r="H70" s="38">
        <f>SUM(H6,H10,H14,H17,H22,H26,H30,H34,H38,H42,H46,H50,H54)</f>
        <v>15</v>
      </c>
      <c r="I70" s="13"/>
      <c r="J70" s="75" t="str">
        <f t="shared" ref="J70:K70" si="163">J6</f>
        <v>モンチチフルーツマスコット</v>
      </c>
      <c r="K70" s="76">
        <f t="shared" si="163"/>
        <v>572</v>
      </c>
      <c r="L70" s="38">
        <f>SUM(L6,L10,L14,L17,L22,L26,L30,L34,L38,L42,L46,L50,L54)</f>
        <v>3288</v>
      </c>
      <c r="M70" s="36">
        <f>L70/D70</f>
        <v>0.12043956043956044</v>
      </c>
      <c r="N70" s="15"/>
      <c r="O70" s="2"/>
      <c r="P70" s="258" t="s">
        <v>28</v>
      </c>
      <c r="Q70" s="259"/>
      <c r="R70" s="38">
        <f>SUM(R6,R10,R14,R18,R22,R26,R30,R34,R38,R42,R46,R50,R54)*100</f>
        <v>28600</v>
      </c>
      <c r="S70" s="54"/>
      <c r="T70" s="13"/>
      <c r="U70" s="5">
        <f>R70/V70</f>
        <v>1300</v>
      </c>
      <c r="V70" s="38">
        <f>SUM(V6,V10,V14,V17,V22,V26,V30,V34,V38,V42,V46,V50,V54)</f>
        <v>22</v>
      </c>
      <c r="W70" s="13"/>
      <c r="X70" s="78" t="str">
        <f t="shared" ref="X70:Y70" si="164">X6</f>
        <v>ボンボンドロップ</v>
      </c>
      <c r="Y70" s="76">
        <f t="shared" si="164"/>
        <v>200</v>
      </c>
      <c r="Z70" s="38">
        <f>SUM(Z6,Z10,Z14,Z17,Z22,Z26,Z30,Z34,Z38,Z42,Z46,Z50,Z54)</f>
        <v>5300</v>
      </c>
      <c r="AA70" s="36">
        <f>Z70/R70</f>
        <v>0.18531468531468531</v>
      </c>
      <c r="AB70" s="15"/>
      <c r="AC70" s="1"/>
      <c r="AD70" s="258" t="s">
        <v>28</v>
      </c>
      <c r="AE70" s="259"/>
      <c r="AF70" s="38">
        <f>SUM(AF6,AF10,AF14,AF18,AF22,AF26,AF30,AF34,AF38,AF42,AF46,AF50,AF54)*100</f>
        <v>37700</v>
      </c>
      <c r="AG70" s="54"/>
      <c r="AH70" s="13"/>
      <c r="AI70" s="5">
        <f>AF70/AJ70</f>
        <v>2900</v>
      </c>
      <c r="AJ70" s="38">
        <f>SUM(AJ6,AJ10,AJ14,AJ17,AJ22,AJ26,AJ30,AJ34,AJ38,AJ42,AJ46,AJ50,AJ54)</f>
        <v>13</v>
      </c>
      <c r="AK70" s="13"/>
      <c r="AL70" s="75" t="str">
        <f t="shared" ref="AL70:AM70" si="165">AL6</f>
        <v>キティキラキラマルチケース</v>
      </c>
      <c r="AM70" s="76">
        <f t="shared" si="165"/>
        <v>400</v>
      </c>
      <c r="AN70" s="38">
        <f>SUM(AN6,AN10,AN14,AN17,AN22,AN26,AN30,AN34,AN38,AN42,AN46,AN50,AN54)</f>
        <v>4080</v>
      </c>
      <c r="AO70" s="36">
        <f>AN70/AF70</f>
        <v>0.10822281167108753</v>
      </c>
      <c r="AP70" s="15"/>
      <c r="AQ70" s="2"/>
      <c r="AR70" s="258" t="s">
        <v>28</v>
      </c>
      <c r="AS70" s="259"/>
      <c r="AT70" s="38">
        <f>SUM(AT6,AT10,AT14,AT18,AT22,AT26,AT30,AT34,AT38,AT42,AT46,AT50,AT54)*100</f>
        <v>33500</v>
      </c>
      <c r="AU70" s="54"/>
      <c r="AV70" s="13"/>
      <c r="AW70" s="5">
        <f>AT70/AX70</f>
        <v>4187.5</v>
      </c>
      <c r="AX70" s="38">
        <f>SUM(AX6,AX10,AX14,AX18,AX22,AX26,AX30,AX34,AX38,AX42,AX46,AX50,AX54)</f>
        <v>8</v>
      </c>
      <c r="AY70" s="13"/>
      <c r="AZ70" s="75" t="str">
        <f t="shared" ref="AZ70:BA70" si="166">AZ6</f>
        <v>バタースクイーズ</v>
      </c>
      <c r="BA70" s="76">
        <f t="shared" si="166"/>
        <v>400</v>
      </c>
      <c r="BB70" s="38">
        <f>SUM(BB6,BB10,BB14,BB17,BB22,BB26,BB30,BB34,BB38,BB42,BB46,BB50,BB54)</f>
        <v>5660</v>
      </c>
      <c r="BC70" s="36">
        <f>BB70/AT70</f>
        <v>0.16895522388059703</v>
      </c>
      <c r="BD70" s="15"/>
      <c r="BE70" s="2"/>
      <c r="BF70" s="258" t="s">
        <v>28</v>
      </c>
      <c r="BG70" s="261"/>
      <c r="BH70" s="259"/>
      <c r="BI70" s="38">
        <f>SUM(BI6,BI10,BI14,BI18,BI22,BI26,BI30,BI34,BI38,BI42,BI46,BI50,BI54)*100</f>
        <v>25800</v>
      </c>
      <c r="BJ70" s="54"/>
      <c r="BK70" s="13"/>
      <c r="BL70" s="5">
        <f>BI70/BM70</f>
        <v>3685.7142857142858</v>
      </c>
      <c r="BM70" s="38">
        <f>SUM(BM6,BM10,BM14,BM17,BM22,BM26,BM30,BM34,BM38,BM42,BM46,BM50,BM54)</f>
        <v>7</v>
      </c>
      <c r="BN70" s="13"/>
      <c r="BO70" s="78" t="str">
        <f t="shared" ref="BO70:BP70" si="167">BO6</f>
        <v>ボンボンドロップシール</v>
      </c>
      <c r="BP70" s="76">
        <f t="shared" si="167"/>
        <v>1500</v>
      </c>
      <c r="BQ70" s="38">
        <f>SUM(BQ6,BQ10,BQ14,BQ17,BQ22,BQ26,BQ30,BQ34,BQ38,BQ42,BQ46,BQ50,BQ54)</f>
        <v>10500</v>
      </c>
      <c r="BR70" s="36">
        <f>BQ70/BI70</f>
        <v>0.40697674418604651</v>
      </c>
      <c r="BS70" s="15"/>
      <c r="BU70" s="40"/>
      <c r="BV70" s="3"/>
      <c r="BW70" s="2"/>
      <c r="BX70" s="41"/>
      <c r="BY70" s="1"/>
      <c r="BZ70" s="3"/>
      <c r="CA70" s="1"/>
      <c r="CB70" s="23"/>
      <c r="CC70" s="23"/>
      <c r="CD70" s="23"/>
      <c r="CE70" s="23"/>
      <c r="CF70" s="23"/>
      <c r="CG70" s="18"/>
      <c r="CH70" s="1"/>
      <c r="CI70" s="40"/>
      <c r="CJ70" s="3"/>
      <c r="CK70" s="2"/>
      <c r="CL70" s="41"/>
      <c r="CM70" s="1"/>
      <c r="CN70" s="3"/>
      <c r="CO70" s="1"/>
      <c r="CP70" s="23"/>
      <c r="CQ70" s="23"/>
      <c r="CR70" s="23"/>
      <c r="CS70" s="23"/>
      <c r="CT70" s="23"/>
      <c r="CU70" s="18"/>
      <c r="CV70" s="1"/>
      <c r="CW70" s="40"/>
      <c r="CX70" s="3"/>
      <c r="CY70" s="2"/>
      <c r="CZ70" s="41"/>
      <c r="DA70" s="1"/>
      <c r="DB70" s="3"/>
      <c r="DC70" s="1"/>
      <c r="DD70" s="23"/>
      <c r="DE70" s="23"/>
      <c r="DF70" s="23"/>
      <c r="DG70" s="23"/>
      <c r="DH70" s="23"/>
      <c r="DI70" s="18"/>
      <c r="DJ70" s="1"/>
      <c r="DK70" s="40"/>
      <c r="DL70" s="3"/>
      <c r="DM70" s="2"/>
      <c r="DN70" s="41"/>
      <c r="DO70" s="1"/>
      <c r="DP70" s="3"/>
      <c r="DQ70" s="1"/>
      <c r="DR70" s="23"/>
      <c r="DS70" s="23"/>
      <c r="DT70" s="23"/>
      <c r="DU70" s="23"/>
      <c r="DV70" s="23"/>
      <c r="DW70" s="18"/>
    </row>
    <row r="71" spans="1:141" x14ac:dyDescent="0.2">
      <c r="A71" s="16"/>
      <c r="B71" s="11"/>
      <c r="C71" s="5" t="s">
        <v>19</v>
      </c>
      <c r="D71" s="13">
        <f>SUM(D67:D70)</f>
        <v>123600</v>
      </c>
      <c r="E71" s="13"/>
      <c r="F71" s="13"/>
      <c r="G71" s="13"/>
      <c r="H71" s="13">
        <f>SUM(H67:H70)</f>
        <v>83</v>
      </c>
      <c r="I71" s="13"/>
      <c r="J71" s="262" t="s">
        <v>31</v>
      </c>
      <c r="K71" s="259"/>
      <c r="L71" s="53">
        <f>SUM(L67:L70)</f>
        <v>21509</v>
      </c>
      <c r="M71" s="83">
        <f>L71/D71</f>
        <v>0.17402103559870549</v>
      </c>
      <c r="N71" s="84"/>
      <c r="O71" s="2"/>
      <c r="P71" s="16"/>
      <c r="Q71" s="5" t="s">
        <v>19</v>
      </c>
      <c r="R71" s="13">
        <f>SUM(R67:R70)</f>
        <v>197000</v>
      </c>
      <c r="S71" s="54"/>
      <c r="T71" s="13"/>
      <c r="U71" s="13"/>
      <c r="V71" s="13">
        <f>SUM(V67:V70)</f>
        <v>93</v>
      </c>
      <c r="W71" s="13"/>
      <c r="X71" s="262" t="s">
        <v>31</v>
      </c>
      <c r="Y71" s="259"/>
      <c r="Z71" s="53">
        <f>SUM(Z67:Z70)</f>
        <v>47200</v>
      </c>
      <c r="AA71" s="83">
        <f>Z71/R71</f>
        <v>0.23959390862944163</v>
      </c>
      <c r="AB71" s="84"/>
      <c r="AC71" s="1"/>
      <c r="AD71" s="16"/>
      <c r="AE71" s="5" t="s">
        <v>19</v>
      </c>
      <c r="AF71" s="13">
        <f>SUM(AF67:AF70)</f>
        <v>218100</v>
      </c>
      <c r="AG71" s="54"/>
      <c r="AH71" s="13"/>
      <c r="AI71" s="13"/>
      <c r="AJ71" s="13">
        <f>SUM(AJ67:AJ70)</f>
        <v>47</v>
      </c>
      <c r="AK71" s="13"/>
      <c r="AL71" s="262" t="s">
        <v>31</v>
      </c>
      <c r="AM71" s="259"/>
      <c r="AN71" s="53">
        <f>SUM(AN67:AN70)</f>
        <v>17850</v>
      </c>
      <c r="AO71" s="83">
        <f>AN71/AF71</f>
        <v>8.1843191196698764E-2</v>
      </c>
      <c r="AP71" s="84"/>
      <c r="AQ71" s="2"/>
      <c r="AR71" s="16"/>
      <c r="AS71" s="5" t="s">
        <v>19</v>
      </c>
      <c r="AT71" s="13">
        <f>SUM(AT67:AT70)</f>
        <v>243600</v>
      </c>
      <c r="AU71" s="54"/>
      <c r="AV71" s="13"/>
      <c r="AW71" s="13"/>
      <c r="AX71" s="13">
        <f>SUM(AX67:AX70)</f>
        <v>40</v>
      </c>
      <c r="AY71" s="13"/>
      <c r="AZ71" s="262" t="s">
        <v>31</v>
      </c>
      <c r="BA71" s="259"/>
      <c r="BB71" s="53">
        <f>SUM(BB67:BB70)</f>
        <v>40710</v>
      </c>
      <c r="BC71" s="83">
        <f>BB71/AT71</f>
        <v>0.16711822660098521</v>
      </c>
      <c r="BD71" s="84"/>
      <c r="BE71" s="2"/>
      <c r="BF71" s="16"/>
      <c r="BG71" s="7"/>
      <c r="BH71" s="5" t="s">
        <v>19</v>
      </c>
      <c r="BI71" s="13">
        <f>SUM(BI67:BI70)</f>
        <v>139800</v>
      </c>
      <c r="BJ71" s="54"/>
      <c r="BK71" s="13"/>
      <c r="BL71" s="13"/>
      <c r="BM71" s="13">
        <f>SUM(BM67:BM70)</f>
        <v>27</v>
      </c>
      <c r="BN71" s="13"/>
      <c r="BO71" s="262" t="s">
        <v>31</v>
      </c>
      <c r="BP71" s="259"/>
      <c r="BQ71" s="53">
        <f>SUM(BQ67:BQ70)</f>
        <v>40500</v>
      </c>
      <c r="BR71" s="83">
        <f>BQ71/BI71</f>
        <v>0.28969957081545067</v>
      </c>
      <c r="BS71" s="84"/>
      <c r="BU71" s="42"/>
      <c r="BV71" s="256"/>
      <c r="BW71" s="256"/>
      <c r="BX71" s="41"/>
      <c r="BY71" s="1"/>
      <c r="BZ71" s="3"/>
      <c r="CA71" s="1"/>
      <c r="CB71" s="23"/>
      <c r="CC71" s="23"/>
      <c r="CD71" s="23"/>
      <c r="CE71" s="23"/>
      <c r="CF71" s="23"/>
      <c r="CG71" s="18"/>
      <c r="CH71" s="1"/>
      <c r="CI71" s="42"/>
      <c r="CJ71" s="256"/>
      <c r="CK71" s="256"/>
      <c r="CL71" s="41"/>
      <c r="CM71" s="1"/>
      <c r="CN71" s="3"/>
      <c r="CO71" s="1"/>
      <c r="CP71" s="23"/>
      <c r="CQ71" s="23"/>
      <c r="CR71" s="23"/>
      <c r="CS71" s="23"/>
      <c r="CT71" s="23"/>
      <c r="CU71" s="18"/>
      <c r="CV71" s="1"/>
      <c r="CW71" s="42"/>
      <c r="CX71" s="256"/>
      <c r="CY71" s="256"/>
      <c r="CZ71" s="41"/>
      <c r="DA71" s="1"/>
      <c r="DB71" s="3"/>
      <c r="DC71" s="1"/>
      <c r="DD71" s="23"/>
      <c r="DE71" s="23"/>
      <c r="DF71" s="23"/>
      <c r="DG71" s="23"/>
      <c r="DH71" s="23"/>
      <c r="DI71" s="18"/>
      <c r="DJ71" s="1"/>
      <c r="DK71" s="42"/>
      <c r="DL71" s="256"/>
      <c r="DM71" s="256"/>
      <c r="DN71" s="41"/>
      <c r="DO71" s="1"/>
      <c r="DP71" s="3"/>
      <c r="DQ71" s="1"/>
      <c r="DR71" s="23"/>
      <c r="DS71" s="23"/>
      <c r="DT71" s="23"/>
      <c r="DU71" s="23"/>
      <c r="DV71" s="23"/>
      <c r="DW71" s="18"/>
    </row>
    <row r="72" spans="1:141" x14ac:dyDescent="0.2">
      <c r="A72" s="85"/>
      <c r="B72" s="101"/>
      <c r="C72" s="35"/>
      <c r="D72" s="54"/>
      <c r="E72" s="24"/>
      <c r="F72" s="54"/>
      <c r="G72" s="5"/>
      <c r="H72" s="13"/>
      <c r="I72" s="24"/>
      <c r="J72" s="99"/>
      <c r="K72" s="100"/>
      <c r="L72" s="76"/>
      <c r="M72" s="14"/>
      <c r="N72" s="15"/>
      <c r="O72" s="2"/>
      <c r="P72" s="79"/>
      <c r="Q72" s="5"/>
      <c r="R72" s="13"/>
      <c r="S72" s="13"/>
      <c r="T72" s="13"/>
      <c r="U72" s="5"/>
      <c r="V72" s="13"/>
      <c r="W72" s="24"/>
      <c r="X72" s="99"/>
      <c r="Y72" s="100"/>
      <c r="Z72" s="76"/>
      <c r="AA72" s="14"/>
      <c r="AB72" s="15"/>
      <c r="AD72" s="79"/>
      <c r="AE72" s="5"/>
      <c r="AF72" s="13"/>
      <c r="AG72" s="13"/>
      <c r="AH72" s="13"/>
      <c r="AI72" s="5"/>
      <c r="AJ72" s="13"/>
      <c r="AK72" s="24"/>
      <c r="AL72" s="99"/>
      <c r="AM72" s="100"/>
      <c r="AN72" s="76"/>
      <c r="AO72" s="14"/>
      <c r="AP72" s="15"/>
      <c r="AQ72" s="2"/>
      <c r="AR72" s="79"/>
      <c r="AS72" s="5"/>
      <c r="AT72" s="13"/>
      <c r="AU72" s="13"/>
      <c r="AV72" s="13"/>
      <c r="AW72" s="5"/>
      <c r="AX72" s="13"/>
      <c r="AY72" s="24"/>
      <c r="AZ72" s="118"/>
      <c r="BA72" s="100"/>
      <c r="BB72" s="76"/>
      <c r="BC72" s="14"/>
      <c r="BD72" s="15"/>
      <c r="BE72" s="2"/>
      <c r="BF72" s="79"/>
      <c r="BG72" s="240"/>
      <c r="BH72" s="5"/>
      <c r="BI72" s="13"/>
      <c r="BJ72" s="13"/>
      <c r="BK72" s="13"/>
      <c r="BL72" s="5"/>
      <c r="BM72" s="13"/>
      <c r="BN72" s="24"/>
      <c r="BO72" s="99"/>
      <c r="BP72" s="100"/>
      <c r="BQ72" s="76"/>
      <c r="BR72" s="14"/>
      <c r="BS72" s="15"/>
      <c r="BU72" s="42"/>
      <c r="BV72" s="3"/>
      <c r="BX72" s="41"/>
      <c r="BY72" s="1"/>
      <c r="BZ72" s="3"/>
      <c r="CA72" s="1"/>
      <c r="CB72" s="23"/>
      <c r="CC72" s="23"/>
      <c r="CD72" s="23"/>
      <c r="CE72" s="23"/>
      <c r="CF72" s="23"/>
      <c r="CG72" s="18"/>
      <c r="CH72" s="1"/>
      <c r="CI72" s="42"/>
      <c r="CJ72" s="3"/>
      <c r="CL72" s="41"/>
      <c r="CM72" s="1"/>
      <c r="CN72" s="3"/>
      <c r="CO72" s="1"/>
      <c r="CP72" s="23"/>
      <c r="CQ72" s="23"/>
      <c r="CR72" s="23"/>
      <c r="CS72" s="23"/>
      <c r="CT72" s="23"/>
      <c r="CU72" s="18"/>
      <c r="CV72" s="1"/>
      <c r="CW72" s="42"/>
      <c r="CX72" s="3"/>
      <c r="CZ72" s="41"/>
      <c r="DA72" s="1"/>
      <c r="DB72" s="3"/>
      <c r="DC72" s="1"/>
      <c r="DD72" s="23"/>
      <c r="DE72" s="23"/>
      <c r="DF72" s="23"/>
      <c r="DG72" s="23"/>
      <c r="DH72" s="23"/>
      <c r="DI72" s="18"/>
      <c r="DJ72" s="1"/>
      <c r="DK72" s="42"/>
      <c r="DL72" s="3"/>
      <c r="DN72" s="41"/>
      <c r="DO72" s="1"/>
      <c r="DP72" s="3"/>
      <c r="DQ72" s="1"/>
      <c r="DR72" s="23"/>
      <c r="DS72" s="23"/>
      <c r="DT72" s="23"/>
      <c r="DU72" s="23"/>
      <c r="DV72" s="23"/>
      <c r="DW72" s="18"/>
    </row>
    <row r="73" spans="1:141" x14ac:dyDescent="0.2">
      <c r="A73" s="257"/>
      <c r="B73" s="257"/>
      <c r="C73" s="257"/>
      <c r="D73" s="257"/>
      <c r="E73" s="257"/>
      <c r="F73" s="257"/>
      <c r="BU73" s="40"/>
      <c r="BV73" s="256"/>
      <c r="BW73" s="256"/>
      <c r="BX73" s="41"/>
      <c r="BY73" s="1"/>
      <c r="BZ73" s="3"/>
      <c r="CA73" s="1"/>
      <c r="CB73" s="23"/>
      <c r="CC73" s="23"/>
      <c r="CD73" s="23"/>
      <c r="CE73" s="23"/>
      <c r="CF73" s="23"/>
      <c r="CG73" s="18"/>
      <c r="CH73" s="1"/>
      <c r="CI73" s="40"/>
      <c r="CJ73" s="256"/>
      <c r="CK73" s="256"/>
      <c r="CL73" s="41"/>
      <c r="CM73" s="1"/>
      <c r="CN73" s="3"/>
      <c r="CO73" s="1"/>
      <c r="CP73" s="23"/>
      <c r="CQ73" s="23"/>
      <c r="CR73" s="23"/>
      <c r="CS73" s="23"/>
      <c r="CT73" s="23"/>
      <c r="CU73" s="18"/>
      <c r="CV73" s="1"/>
      <c r="CW73" s="40"/>
      <c r="CX73" s="256"/>
      <c r="CY73" s="256"/>
      <c r="CZ73" s="41"/>
      <c r="DA73" s="1"/>
      <c r="DB73" s="3"/>
      <c r="DC73" s="1"/>
      <c r="DD73" s="23"/>
      <c r="DE73" s="23"/>
      <c r="DF73" s="23"/>
      <c r="DG73" s="23"/>
      <c r="DH73" s="23"/>
      <c r="DI73" s="18"/>
      <c r="DJ73" s="1"/>
      <c r="DK73" s="40"/>
      <c r="DL73" s="256"/>
      <c r="DM73" s="256"/>
      <c r="DN73" s="41"/>
      <c r="DO73" s="1"/>
      <c r="DP73" s="3"/>
      <c r="DQ73" s="1"/>
      <c r="DR73" s="23"/>
      <c r="DS73" s="23"/>
      <c r="DT73" s="23"/>
      <c r="DU73" s="23"/>
      <c r="DV73" s="23"/>
      <c r="DW73" s="18"/>
    </row>
    <row r="74" spans="1:141" ht="15" customHeight="1" x14ac:dyDescent="0.2">
      <c r="A74" s="257"/>
      <c r="B74" s="257"/>
      <c r="J74"/>
      <c r="BU74" s="40"/>
      <c r="BV74" s="3"/>
      <c r="BX74" s="41"/>
      <c r="BY74" s="1"/>
      <c r="BZ74" s="3"/>
      <c r="CA74" s="1"/>
      <c r="CB74" s="23"/>
      <c r="CC74" s="23"/>
      <c r="CD74" s="23"/>
      <c r="CE74" s="23"/>
      <c r="CF74" s="23"/>
      <c r="CG74" s="18"/>
      <c r="CH74" s="1"/>
      <c r="CI74" s="40"/>
      <c r="CJ74" s="3"/>
      <c r="CL74" s="41"/>
      <c r="CM74" s="1"/>
      <c r="CN74" s="3"/>
      <c r="CO74" s="1"/>
      <c r="CP74" s="23"/>
      <c r="CQ74" s="23"/>
      <c r="CR74" s="23"/>
      <c r="CS74" s="23"/>
      <c r="CT74" s="23"/>
      <c r="CU74" s="18"/>
      <c r="CV74" s="1"/>
      <c r="CW74" s="40"/>
      <c r="CX74" s="3"/>
      <c r="CZ74" s="41"/>
      <c r="DA74" s="1"/>
      <c r="DB74" s="3"/>
      <c r="DC74" s="1"/>
      <c r="DD74" s="23"/>
      <c r="DE74" s="23"/>
      <c r="DF74" s="23"/>
      <c r="DG74" s="23"/>
      <c r="DH74" s="23"/>
      <c r="DI74" s="18"/>
      <c r="DJ74" s="1"/>
      <c r="DK74" s="40"/>
      <c r="DL74" s="3"/>
      <c r="DN74" s="41"/>
      <c r="DO74" s="1"/>
      <c r="DP74" s="3"/>
      <c r="DQ74" s="1"/>
      <c r="DR74" s="23"/>
      <c r="DS74" s="23"/>
      <c r="DT74" s="23"/>
      <c r="DU74" s="23"/>
      <c r="DV74" s="23"/>
      <c r="DW74" s="18"/>
    </row>
    <row r="75" spans="1:141" x14ac:dyDescent="0.2">
      <c r="A75" s="276" t="s">
        <v>42</v>
      </c>
      <c r="B75" s="276"/>
      <c r="C75" s="276"/>
      <c r="D75" s="276"/>
      <c r="E75" s="70" t="s">
        <v>56</v>
      </c>
      <c r="F75" s="70"/>
      <c r="G75" s="70"/>
      <c r="H75" s="70"/>
      <c r="I75" s="70"/>
      <c r="J75" s="71"/>
      <c r="K75" s="70"/>
      <c r="L75" s="70"/>
      <c r="M75" s="70"/>
      <c r="N75" s="72"/>
      <c r="O75" s="2"/>
      <c r="P75" s="276" t="s">
        <v>43</v>
      </c>
      <c r="Q75" s="276"/>
      <c r="R75" s="276"/>
      <c r="S75" s="70" t="s">
        <v>55</v>
      </c>
      <c r="T75" s="70"/>
      <c r="U75" s="70"/>
      <c r="V75" s="70"/>
      <c r="W75" s="70"/>
      <c r="X75" s="73"/>
      <c r="Y75" s="70"/>
      <c r="Z75" s="70"/>
      <c r="AA75" s="70"/>
      <c r="AB75" s="72"/>
      <c r="AC75" s="1"/>
      <c r="AD75" s="276" t="s">
        <v>54</v>
      </c>
      <c r="AE75" s="276"/>
      <c r="AF75" s="276"/>
      <c r="AG75" s="70" t="s">
        <v>52</v>
      </c>
      <c r="AH75" s="70"/>
      <c r="AI75" s="70"/>
      <c r="AJ75" s="70"/>
      <c r="AK75" s="70"/>
      <c r="AL75" s="71"/>
      <c r="AM75" s="70"/>
      <c r="AN75" s="70"/>
      <c r="AO75" s="70"/>
      <c r="AP75" s="72"/>
      <c r="AQ75" s="2"/>
      <c r="AR75" s="276" t="s">
        <v>54</v>
      </c>
      <c r="AS75" s="276"/>
      <c r="AT75" s="276"/>
      <c r="AU75" s="70" t="s">
        <v>53</v>
      </c>
      <c r="AV75" s="70"/>
      <c r="AW75" s="70"/>
      <c r="AX75" s="70"/>
      <c r="AY75" s="70"/>
      <c r="AZ75" s="71"/>
      <c r="BA75" s="70"/>
      <c r="BB75" s="70"/>
      <c r="BC75" s="70"/>
      <c r="BD75" s="72"/>
      <c r="BE75" s="2"/>
      <c r="BF75" s="276" t="s">
        <v>43</v>
      </c>
      <c r="BG75" s="293"/>
      <c r="BH75" s="276"/>
      <c r="BI75" s="276"/>
      <c r="BJ75" s="276" t="s">
        <v>481</v>
      </c>
      <c r="BK75" s="276"/>
      <c r="BL75" s="276"/>
      <c r="BM75" s="70"/>
      <c r="BN75" s="70"/>
      <c r="BO75" s="73"/>
      <c r="BP75" s="70"/>
      <c r="BQ75" s="70"/>
      <c r="BR75" s="70"/>
      <c r="BS75" s="72"/>
      <c r="BU75" s="124"/>
      <c r="BV75" s="277" t="s">
        <v>137</v>
      </c>
      <c r="BW75" s="278"/>
      <c r="BX75" s="278"/>
      <c r="BY75" s="278"/>
      <c r="BZ75" s="125"/>
      <c r="CA75" s="125"/>
      <c r="CB75" s="125"/>
      <c r="CC75" s="125"/>
      <c r="CD75" s="125"/>
      <c r="CE75" s="125"/>
      <c r="CF75" s="125"/>
      <c r="CG75" s="125"/>
      <c r="CH75" s="125"/>
      <c r="CI75" s="124"/>
      <c r="CJ75" s="277" t="s">
        <v>138</v>
      </c>
      <c r="CK75" s="278"/>
      <c r="CL75" s="278"/>
      <c r="CM75" s="278"/>
      <c r="CN75" s="125"/>
      <c r="CO75" s="125"/>
      <c r="CP75" s="125"/>
      <c r="CQ75" s="125"/>
      <c r="CR75" s="125"/>
      <c r="CS75" s="125"/>
      <c r="CT75" s="125"/>
      <c r="CU75" s="125"/>
      <c r="CV75" s="125"/>
      <c r="CW75" s="124"/>
      <c r="CX75" s="277" t="s">
        <v>139</v>
      </c>
      <c r="CY75" s="278"/>
      <c r="CZ75" s="278"/>
      <c r="DA75" s="278"/>
      <c r="DB75" s="125"/>
      <c r="DC75" s="125"/>
      <c r="DD75" s="125"/>
      <c r="DE75" s="125"/>
      <c r="DF75" s="125"/>
      <c r="DG75" s="125"/>
      <c r="DH75" s="125"/>
      <c r="DI75" s="125"/>
      <c r="DJ75" s="125"/>
      <c r="DK75" s="124"/>
      <c r="DL75" s="277" t="s">
        <v>140</v>
      </c>
      <c r="DM75" s="278"/>
      <c r="DN75" s="278"/>
      <c r="DO75" s="278"/>
      <c r="DP75" s="125"/>
      <c r="DQ75" s="125"/>
      <c r="DR75" s="125"/>
      <c r="DS75" s="125"/>
      <c r="DT75" s="125"/>
      <c r="DU75" s="125"/>
      <c r="DV75" s="125"/>
      <c r="DW75" s="125"/>
      <c r="DY75" s="124"/>
      <c r="DZ75" s="277" t="s">
        <v>465</v>
      </c>
      <c r="EA75" s="278"/>
      <c r="EB75" s="278"/>
      <c r="EC75" s="278"/>
      <c r="ED75" s="125"/>
      <c r="EE75" s="125"/>
      <c r="EF75" s="125"/>
      <c r="EG75" s="125"/>
      <c r="EH75" s="125"/>
      <c r="EI75" s="125"/>
      <c r="EJ75" s="125"/>
      <c r="EK75" s="125"/>
    </row>
    <row r="76" spans="1:141" x14ac:dyDescent="0.2">
      <c r="A76" s="7" t="s">
        <v>1</v>
      </c>
      <c r="B76" s="4" t="s">
        <v>19</v>
      </c>
      <c r="C76" s="5" t="s">
        <v>2</v>
      </c>
      <c r="D76" s="5" t="s">
        <v>3</v>
      </c>
      <c r="E76" s="6" t="s">
        <v>4</v>
      </c>
      <c r="F76" s="5" t="s">
        <v>3</v>
      </c>
      <c r="G76" s="5" t="s">
        <v>5</v>
      </c>
      <c r="H76" s="5" t="s">
        <v>6</v>
      </c>
      <c r="I76" s="5" t="s">
        <v>7</v>
      </c>
      <c r="J76" s="55" t="s">
        <v>12</v>
      </c>
      <c r="K76" s="5" t="s">
        <v>8</v>
      </c>
      <c r="L76" s="5" t="s">
        <v>6</v>
      </c>
      <c r="M76" s="5" t="s">
        <v>13</v>
      </c>
      <c r="N76" s="5" t="s">
        <v>11</v>
      </c>
      <c r="O76" s="2"/>
      <c r="P76" s="7" t="s">
        <v>1</v>
      </c>
      <c r="Q76" s="5" t="s">
        <v>2</v>
      </c>
      <c r="R76" s="5" t="s">
        <v>3</v>
      </c>
      <c r="S76" s="6" t="s">
        <v>4</v>
      </c>
      <c r="T76" s="5" t="s">
        <v>3</v>
      </c>
      <c r="U76" s="5" t="s">
        <v>5</v>
      </c>
      <c r="V76" s="5" t="s">
        <v>6</v>
      </c>
      <c r="W76" s="5" t="s">
        <v>7</v>
      </c>
      <c r="X76" s="6" t="s">
        <v>12</v>
      </c>
      <c r="Y76" s="5" t="s">
        <v>8</v>
      </c>
      <c r="Z76" s="5" t="s">
        <v>6</v>
      </c>
      <c r="AA76" s="5" t="s">
        <v>13</v>
      </c>
      <c r="AB76" s="5" t="s">
        <v>11</v>
      </c>
      <c r="AC76" s="3"/>
      <c r="AD76" s="7" t="s">
        <v>1</v>
      </c>
      <c r="AE76" s="5" t="s">
        <v>2</v>
      </c>
      <c r="AF76" s="5" t="s">
        <v>3</v>
      </c>
      <c r="AG76" s="6" t="s">
        <v>4</v>
      </c>
      <c r="AH76" s="5" t="s">
        <v>3</v>
      </c>
      <c r="AI76" s="5" t="s">
        <v>5</v>
      </c>
      <c r="AJ76" s="5" t="s">
        <v>6</v>
      </c>
      <c r="AK76" s="5" t="s">
        <v>7</v>
      </c>
      <c r="AL76" s="55" t="s">
        <v>12</v>
      </c>
      <c r="AM76" s="5" t="s">
        <v>8</v>
      </c>
      <c r="AN76" s="5" t="s">
        <v>6</v>
      </c>
      <c r="AO76" s="5" t="s">
        <v>13</v>
      </c>
      <c r="AP76" s="5" t="s">
        <v>11</v>
      </c>
      <c r="AQ76" s="2"/>
      <c r="AR76" s="7" t="s">
        <v>1</v>
      </c>
      <c r="AS76" s="5" t="s">
        <v>2</v>
      </c>
      <c r="AT76" s="5" t="s">
        <v>3</v>
      </c>
      <c r="AU76" s="6" t="s">
        <v>4</v>
      </c>
      <c r="AV76" s="5" t="s">
        <v>3</v>
      </c>
      <c r="AW76" s="5" t="s">
        <v>5</v>
      </c>
      <c r="AX76" s="5" t="s">
        <v>6</v>
      </c>
      <c r="AY76" s="5" t="s">
        <v>7</v>
      </c>
      <c r="AZ76" s="55" t="s">
        <v>12</v>
      </c>
      <c r="BA76" s="5" t="s">
        <v>8</v>
      </c>
      <c r="BB76" s="5" t="s">
        <v>6</v>
      </c>
      <c r="BC76" s="5" t="s">
        <v>13</v>
      </c>
      <c r="BD76" s="5" t="s">
        <v>11</v>
      </c>
      <c r="BE76" s="2"/>
      <c r="BF76" s="236" t="s">
        <v>1</v>
      </c>
      <c r="BG76" s="237"/>
      <c r="BH76" s="69" t="s">
        <v>2</v>
      </c>
      <c r="BI76" s="5" t="s">
        <v>3</v>
      </c>
      <c r="BJ76" s="6" t="s">
        <v>4</v>
      </c>
      <c r="BK76" s="5" t="s">
        <v>3</v>
      </c>
      <c r="BL76" s="5" t="s">
        <v>5</v>
      </c>
      <c r="BM76" s="5" t="s">
        <v>6</v>
      </c>
      <c r="BN76" s="5" t="s">
        <v>7</v>
      </c>
      <c r="BO76" s="6" t="s">
        <v>12</v>
      </c>
      <c r="BP76" s="5" t="s">
        <v>8</v>
      </c>
      <c r="BQ76" s="5" t="s">
        <v>6</v>
      </c>
      <c r="BR76" s="5" t="s">
        <v>13</v>
      </c>
      <c r="BS76" s="5" t="s">
        <v>11</v>
      </c>
      <c r="BU76" s="8" t="s">
        <v>1</v>
      </c>
      <c r="BV76" s="5" t="s">
        <v>2</v>
      </c>
      <c r="BW76" s="5" t="s">
        <v>3</v>
      </c>
      <c r="BX76" s="6" t="s">
        <v>4</v>
      </c>
      <c r="BY76" s="5" t="s">
        <v>3</v>
      </c>
      <c r="BZ76" s="5" t="s">
        <v>5</v>
      </c>
      <c r="CA76" s="5" t="s">
        <v>6</v>
      </c>
      <c r="CB76" s="5" t="s">
        <v>7</v>
      </c>
      <c r="CC76" s="229" t="s">
        <v>12</v>
      </c>
      <c r="CD76" s="5" t="s">
        <v>8</v>
      </c>
      <c r="CE76" s="5" t="s">
        <v>9</v>
      </c>
      <c r="CF76" s="5" t="s">
        <v>10</v>
      </c>
      <c r="CG76" s="5" t="s">
        <v>11</v>
      </c>
      <c r="CH76" s="63"/>
      <c r="CI76" s="8" t="s">
        <v>1</v>
      </c>
      <c r="CJ76" s="5" t="s">
        <v>2</v>
      </c>
      <c r="CK76" s="5" t="s">
        <v>3</v>
      </c>
      <c r="CL76" s="6" t="s">
        <v>4</v>
      </c>
      <c r="CM76" s="5" t="s">
        <v>3</v>
      </c>
      <c r="CN76" s="5" t="s">
        <v>5</v>
      </c>
      <c r="CO76" s="5" t="s">
        <v>6</v>
      </c>
      <c r="CP76" s="5" t="s">
        <v>7</v>
      </c>
      <c r="CQ76" s="229" t="s">
        <v>12</v>
      </c>
      <c r="CR76" s="5" t="s">
        <v>8</v>
      </c>
      <c r="CS76" s="5" t="s">
        <v>9</v>
      </c>
      <c r="CT76" s="5" t="s">
        <v>10</v>
      </c>
      <c r="CU76" s="5" t="s">
        <v>11</v>
      </c>
      <c r="CV76" s="1"/>
      <c r="CW76" s="8" t="s">
        <v>1</v>
      </c>
      <c r="CX76" s="5" t="s">
        <v>2</v>
      </c>
      <c r="CY76" s="5" t="s">
        <v>3</v>
      </c>
      <c r="CZ76" s="6" t="s">
        <v>4</v>
      </c>
      <c r="DA76" s="5" t="s">
        <v>3</v>
      </c>
      <c r="DB76" s="5" t="s">
        <v>5</v>
      </c>
      <c r="DC76" s="5" t="s">
        <v>6</v>
      </c>
      <c r="DD76" s="5" t="s">
        <v>7</v>
      </c>
      <c r="DE76" s="229" t="s">
        <v>12</v>
      </c>
      <c r="DF76" s="5" t="s">
        <v>8</v>
      </c>
      <c r="DG76" s="5" t="s">
        <v>9</v>
      </c>
      <c r="DH76" s="5" t="s">
        <v>10</v>
      </c>
      <c r="DI76" s="5" t="s">
        <v>11</v>
      </c>
      <c r="DJ76" s="63"/>
      <c r="DK76" s="8" t="s">
        <v>1</v>
      </c>
      <c r="DL76" s="5" t="s">
        <v>2</v>
      </c>
      <c r="DM76" s="5" t="s">
        <v>3</v>
      </c>
      <c r="DN76" s="6" t="s">
        <v>4</v>
      </c>
      <c r="DO76" s="5" t="s">
        <v>3</v>
      </c>
      <c r="DP76" s="5" t="s">
        <v>5</v>
      </c>
      <c r="DQ76" s="5" t="s">
        <v>6</v>
      </c>
      <c r="DR76" s="5" t="s">
        <v>7</v>
      </c>
      <c r="DS76" s="229" t="s">
        <v>12</v>
      </c>
      <c r="DT76" s="5" t="s">
        <v>8</v>
      </c>
      <c r="DU76" s="5" t="s">
        <v>9</v>
      </c>
      <c r="DV76" s="5" t="s">
        <v>10</v>
      </c>
      <c r="DW76" s="5" t="s">
        <v>11</v>
      </c>
      <c r="DY76" s="8" t="s">
        <v>1</v>
      </c>
      <c r="DZ76" s="5" t="s">
        <v>2</v>
      </c>
      <c r="EA76" s="5" t="s">
        <v>3</v>
      </c>
      <c r="EB76" s="6" t="s">
        <v>4</v>
      </c>
      <c r="EC76" s="5" t="s">
        <v>3</v>
      </c>
      <c r="ED76" s="5" t="s">
        <v>5</v>
      </c>
      <c r="EE76" s="5" t="s">
        <v>6</v>
      </c>
      <c r="EF76" s="5" t="s">
        <v>7</v>
      </c>
      <c r="EG76" s="229" t="s">
        <v>12</v>
      </c>
      <c r="EH76" s="5" t="s">
        <v>8</v>
      </c>
      <c r="EI76" s="5" t="s">
        <v>9</v>
      </c>
      <c r="EJ76" s="5" t="s">
        <v>10</v>
      </c>
      <c r="EK76" s="5" t="s">
        <v>11</v>
      </c>
    </row>
    <row r="77" spans="1:141" x14ac:dyDescent="0.2">
      <c r="A77" s="16">
        <v>46125</v>
      </c>
      <c r="B77" s="74">
        <v>1589</v>
      </c>
      <c r="C77" s="53">
        <v>7684</v>
      </c>
      <c r="D77" s="53">
        <v>88</v>
      </c>
      <c r="E77" s="53">
        <v>388</v>
      </c>
      <c r="F77" s="53">
        <v>1</v>
      </c>
      <c r="G77" s="53">
        <v>18</v>
      </c>
      <c r="H77" s="53">
        <v>1</v>
      </c>
      <c r="I77" s="53">
        <v>0</v>
      </c>
      <c r="J77" s="75" t="s">
        <v>411</v>
      </c>
      <c r="K77" s="76">
        <v>748</v>
      </c>
      <c r="L77" s="53">
        <v>748</v>
      </c>
      <c r="M77" s="77">
        <v>8.5000000000000006E-2</v>
      </c>
      <c r="N77" s="159" t="s">
        <v>475</v>
      </c>
      <c r="O77" s="2"/>
      <c r="P77" s="16">
        <v>46125</v>
      </c>
      <c r="Q77" s="53">
        <v>8784</v>
      </c>
      <c r="R77" s="53">
        <v>166</v>
      </c>
      <c r="S77" s="53">
        <v>263</v>
      </c>
      <c r="T77" s="53">
        <v>3</v>
      </c>
      <c r="U77" s="53">
        <v>9</v>
      </c>
      <c r="V77" s="53">
        <v>3</v>
      </c>
      <c r="W77" s="53">
        <v>0</v>
      </c>
      <c r="X77" s="75" t="s">
        <v>412</v>
      </c>
      <c r="Y77" s="76">
        <v>1100</v>
      </c>
      <c r="Z77" s="53">
        <v>3300</v>
      </c>
      <c r="AA77" s="77">
        <v>0.19879518072289157</v>
      </c>
      <c r="AB77" s="15"/>
      <c r="AC77" s="1"/>
      <c r="AD77" s="16">
        <v>46125</v>
      </c>
      <c r="AE77" s="53">
        <v>11733</v>
      </c>
      <c r="AF77" s="53">
        <v>57</v>
      </c>
      <c r="AG77" s="53">
        <v>268</v>
      </c>
      <c r="AH77" s="53">
        <v>0</v>
      </c>
      <c r="AI77" s="53">
        <v>15</v>
      </c>
      <c r="AJ77" s="53">
        <v>0</v>
      </c>
      <c r="AK77" s="53">
        <v>0</v>
      </c>
      <c r="AL77" s="75" t="s">
        <v>586</v>
      </c>
      <c r="AM77" s="76">
        <v>1100</v>
      </c>
      <c r="AN77" s="53">
        <v>0</v>
      </c>
      <c r="AO77" s="77">
        <v>0</v>
      </c>
      <c r="AP77" s="15"/>
      <c r="AQ77" s="2"/>
      <c r="AR77" s="16">
        <v>46125</v>
      </c>
      <c r="AS77" s="53">
        <v>12601</v>
      </c>
      <c r="AT77" s="53">
        <v>0</v>
      </c>
      <c r="AU77" s="53">
        <v>392</v>
      </c>
      <c r="AV77" s="53">
        <v>0</v>
      </c>
      <c r="AW77" s="53">
        <v>28</v>
      </c>
      <c r="AX77" s="53">
        <v>0</v>
      </c>
      <c r="AY77" s="53">
        <v>0</v>
      </c>
      <c r="AZ77" s="75" t="s">
        <v>423</v>
      </c>
      <c r="BA77" s="76">
        <v>1100</v>
      </c>
      <c r="BB77" s="53">
        <v>0</v>
      </c>
      <c r="BC77" s="77" t="e">
        <v>#DIV/0!</v>
      </c>
      <c r="BD77" s="15"/>
      <c r="BE77" s="2"/>
      <c r="BF77" s="86">
        <v>46125</v>
      </c>
      <c r="BG77" s="239" t="s">
        <v>589</v>
      </c>
      <c r="BH77" s="76">
        <v>2153</v>
      </c>
      <c r="BI77" s="53">
        <v>0</v>
      </c>
      <c r="BJ77" s="53">
        <v>26</v>
      </c>
      <c r="BK77" s="53">
        <v>0</v>
      </c>
      <c r="BL77" s="53">
        <v>3</v>
      </c>
      <c r="BM77" s="53">
        <v>0</v>
      </c>
      <c r="BN77" s="53">
        <v>1</v>
      </c>
      <c r="BO77" s="75" t="s">
        <v>544</v>
      </c>
      <c r="BP77" s="76">
        <v>1500</v>
      </c>
      <c r="BQ77" s="53">
        <v>0</v>
      </c>
      <c r="BR77" s="77" t="e">
        <v>#DIV/0!</v>
      </c>
      <c r="BS77" s="15"/>
      <c r="BU77" s="16">
        <v>46125</v>
      </c>
      <c r="BV77" s="76">
        <v>18045</v>
      </c>
      <c r="BW77" s="53">
        <v>0</v>
      </c>
      <c r="BX77" s="53">
        <v>493</v>
      </c>
      <c r="BY77" s="53">
        <v>0</v>
      </c>
      <c r="BZ77" s="53">
        <v>60</v>
      </c>
      <c r="CA77" s="53">
        <v>0</v>
      </c>
      <c r="CB77" s="53">
        <v>0</v>
      </c>
      <c r="CC77" s="230" t="s">
        <v>514</v>
      </c>
      <c r="CD77" s="53">
        <v>935</v>
      </c>
      <c r="CE77" s="13">
        <v>0</v>
      </c>
      <c r="CF77" s="14" t="e">
        <v>#DIV/0!</v>
      </c>
      <c r="CG77" s="91"/>
      <c r="CH77" s="1"/>
      <c r="CI77" s="16">
        <v>46125</v>
      </c>
      <c r="CJ77" s="76">
        <v>41445</v>
      </c>
      <c r="CK77" s="53">
        <v>0</v>
      </c>
      <c r="CL77" s="53">
        <v>518</v>
      </c>
      <c r="CM77" s="53">
        <v>0</v>
      </c>
      <c r="CN77" s="53">
        <v>40</v>
      </c>
      <c r="CO77" s="53">
        <v>0</v>
      </c>
      <c r="CP77" s="53">
        <v>0</v>
      </c>
      <c r="CQ77" s="230" t="s">
        <v>482</v>
      </c>
      <c r="CR77" s="13">
        <v>1500</v>
      </c>
      <c r="CS77" s="13">
        <v>0</v>
      </c>
      <c r="CT77" s="14" t="e">
        <v>#DIV/0!</v>
      </c>
      <c r="CU77" s="67"/>
      <c r="CV77" s="1"/>
      <c r="CW77" s="16">
        <v>46125</v>
      </c>
      <c r="CX77" s="76">
        <v>15931</v>
      </c>
      <c r="CY77" s="53">
        <v>0</v>
      </c>
      <c r="CZ77" s="53">
        <v>319</v>
      </c>
      <c r="DA77" s="53">
        <v>0</v>
      </c>
      <c r="DB77" s="53">
        <v>69</v>
      </c>
      <c r="DC77" s="53">
        <v>0</v>
      </c>
      <c r="DD77" s="53">
        <v>0</v>
      </c>
      <c r="DE77" s="230" t="s">
        <v>334</v>
      </c>
      <c r="DF77" s="53">
        <v>880</v>
      </c>
      <c r="DG77" s="13">
        <v>0</v>
      </c>
      <c r="DH77" s="14" t="e">
        <v>#DIV/0!</v>
      </c>
      <c r="DI77" s="134"/>
      <c r="DJ77" s="1"/>
      <c r="DK77" s="16">
        <v>46125</v>
      </c>
      <c r="DL77" s="76">
        <v>11247</v>
      </c>
      <c r="DM77" s="53">
        <v>0</v>
      </c>
      <c r="DN77" s="53">
        <v>326</v>
      </c>
      <c r="DO77" s="53">
        <v>0</v>
      </c>
      <c r="DP77" s="53">
        <v>29</v>
      </c>
      <c r="DQ77" s="53">
        <v>0</v>
      </c>
      <c r="DR77" s="53">
        <v>0</v>
      </c>
      <c r="DS77" s="230" t="s">
        <v>593</v>
      </c>
      <c r="DT77" s="13">
        <v>1091</v>
      </c>
      <c r="DU77" s="13">
        <v>0</v>
      </c>
      <c r="DV77" s="14" t="e">
        <v>#DIV/0!</v>
      </c>
      <c r="DW77" s="250" t="s">
        <v>595</v>
      </c>
      <c r="DY77" s="16">
        <v>46125</v>
      </c>
      <c r="DZ77" s="76">
        <v>1889</v>
      </c>
      <c r="EA77" s="53">
        <v>0</v>
      </c>
      <c r="EB77" s="53">
        <v>142</v>
      </c>
      <c r="EC77" s="53">
        <v>0</v>
      </c>
      <c r="ED77" s="53">
        <v>82</v>
      </c>
      <c r="EE77" s="53">
        <v>0</v>
      </c>
      <c r="EF77" s="53">
        <v>10</v>
      </c>
      <c r="EG77" s="230" t="s">
        <v>594</v>
      </c>
      <c r="EH77" s="13">
        <v>950</v>
      </c>
      <c r="EI77" s="13">
        <v>0</v>
      </c>
      <c r="EJ77" s="14" t="e">
        <v>#DIV/0!</v>
      </c>
      <c r="EK77" s="22"/>
    </row>
    <row r="78" spans="1:141" x14ac:dyDescent="0.2">
      <c r="A78" s="16"/>
      <c r="B78" s="11"/>
      <c r="C78" s="13">
        <v>7413</v>
      </c>
      <c r="D78" s="13">
        <v>93</v>
      </c>
      <c r="E78" s="13">
        <v>432</v>
      </c>
      <c r="F78" s="13">
        <v>2</v>
      </c>
      <c r="G78" s="13">
        <v>38</v>
      </c>
      <c r="H78" s="13">
        <v>2</v>
      </c>
      <c r="I78" s="13">
        <v>0</v>
      </c>
      <c r="J78" s="56" t="s">
        <v>393</v>
      </c>
      <c r="K78" s="54">
        <v>275</v>
      </c>
      <c r="L78" s="13">
        <v>550</v>
      </c>
      <c r="M78" s="14">
        <v>5.9139784946236562E-2</v>
      </c>
      <c r="N78" s="159" t="s">
        <v>475</v>
      </c>
      <c r="O78" s="2"/>
      <c r="P78" s="16"/>
      <c r="Q78" s="13">
        <v>1806</v>
      </c>
      <c r="R78" s="13">
        <v>212</v>
      </c>
      <c r="S78" s="13">
        <v>165</v>
      </c>
      <c r="T78" s="13">
        <v>2</v>
      </c>
      <c r="U78" s="13">
        <v>12</v>
      </c>
      <c r="V78" s="13">
        <v>5</v>
      </c>
      <c r="W78" s="13">
        <v>0</v>
      </c>
      <c r="X78" s="75" t="s">
        <v>577</v>
      </c>
      <c r="Y78" s="53">
        <v>600</v>
      </c>
      <c r="Z78" s="13">
        <v>3000</v>
      </c>
      <c r="AA78" s="14">
        <v>0.14150943396226415</v>
      </c>
      <c r="AB78" s="15"/>
      <c r="AC78" s="1"/>
      <c r="AD78" s="16"/>
      <c r="AE78" s="13">
        <v>11713</v>
      </c>
      <c r="AF78" s="13">
        <v>113</v>
      </c>
      <c r="AG78" s="13">
        <v>245</v>
      </c>
      <c r="AH78" s="13">
        <v>3</v>
      </c>
      <c r="AI78" s="13">
        <v>8</v>
      </c>
      <c r="AJ78" s="13">
        <v>4</v>
      </c>
      <c r="AK78" s="13">
        <v>0</v>
      </c>
      <c r="AL78" s="56" t="s">
        <v>587</v>
      </c>
      <c r="AM78" s="54">
        <v>1100</v>
      </c>
      <c r="AN78" s="13">
        <v>4400</v>
      </c>
      <c r="AO78" s="14">
        <v>0.38938053097345132</v>
      </c>
      <c r="AP78" s="15"/>
      <c r="AQ78" s="2"/>
      <c r="AR78" s="16"/>
      <c r="AS78" s="13">
        <v>9473</v>
      </c>
      <c r="AT78" s="13">
        <v>0</v>
      </c>
      <c r="AU78" s="13">
        <v>469</v>
      </c>
      <c r="AV78" s="13">
        <v>0</v>
      </c>
      <c r="AW78" s="13">
        <v>13</v>
      </c>
      <c r="AX78" s="13">
        <v>0</v>
      </c>
      <c r="AY78" s="13">
        <v>0</v>
      </c>
      <c r="AZ78" s="56" t="s">
        <v>522</v>
      </c>
      <c r="BA78" s="54">
        <v>1100</v>
      </c>
      <c r="BB78" s="13">
        <v>0</v>
      </c>
      <c r="BC78" s="14" t="e">
        <v>#DIV/0!</v>
      </c>
      <c r="BD78" s="15"/>
      <c r="BE78" s="2"/>
      <c r="BF78" s="86"/>
      <c r="BG78" s="239" t="s">
        <v>590</v>
      </c>
      <c r="BH78" s="54">
        <v>3082</v>
      </c>
      <c r="BI78" s="179">
        <v>0</v>
      </c>
      <c r="BJ78" s="13">
        <v>20</v>
      </c>
      <c r="BK78" s="13">
        <v>0</v>
      </c>
      <c r="BL78" s="13">
        <v>3</v>
      </c>
      <c r="BM78" s="13">
        <v>0</v>
      </c>
      <c r="BN78" s="13">
        <v>1</v>
      </c>
      <c r="BO78" s="75" t="s">
        <v>482</v>
      </c>
      <c r="BP78" s="53">
        <v>1500</v>
      </c>
      <c r="BQ78" s="13">
        <v>0</v>
      </c>
      <c r="BR78" s="14" t="e">
        <v>#DIV/0!</v>
      </c>
      <c r="BS78" s="15"/>
      <c r="BU78" s="79">
        <f>IF($A81="","",$A81)</f>
        <v>46129</v>
      </c>
      <c r="BV78" s="17">
        <v>18244</v>
      </c>
      <c r="BW78" s="13">
        <f t="shared" ref="BW78:BW90" si="168">IF(BV78="","",BV78-BV77)</f>
        <v>199</v>
      </c>
      <c r="BX78" s="13">
        <v>510</v>
      </c>
      <c r="BY78" s="13">
        <f t="shared" ref="BY78:BY90" si="169">IF(BX78="","",BX78-BX77)</f>
        <v>17</v>
      </c>
      <c r="BZ78" s="13">
        <v>40</v>
      </c>
      <c r="CA78" s="13">
        <f t="shared" ref="CA78:CA90" si="170">IF(BZ78="","",BZ77+CB77-BZ78)</f>
        <v>20</v>
      </c>
      <c r="CB78" s="13">
        <v>28</v>
      </c>
      <c r="CC78" s="231" t="str">
        <f t="shared" ref="CC78:CC100" si="171">IF(BV78="","",CC77)</f>
        <v>サミュエルうさぎ</v>
      </c>
      <c r="CD78" s="53">
        <f t="shared" ref="CD78:CD90" si="172">IF(BV78="","",CD77)</f>
        <v>935</v>
      </c>
      <c r="CE78" s="13">
        <f t="shared" ref="CE78:CE90" si="173">IF(CD78="","",CA78*CD78)</f>
        <v>18700</v>
      </c>
      <c r="CF78" s="123">
        <f t="shared" ref="CF78:CF89" si="174">IF(CE78="","",CE78/(BW78*100))</f>
        <v>0.93969849246231152</v>
      </c>
      <c r="CG78" s="15" t="s">
        <v>601</v>
      </c>
      <c r="CH78" s="1"/>
      <c r="CI78" s="79">
        <f>IF($A81="","",$A81)</f>
        <v>46129</v>
      </c>
      <c r="CJ78" s="17">
        <v>42350</v>
      </c>
      <c r="CK78" s="13">
        <f t="shared" ref="CK78:CK90" si="175">IF(CJ78="","",CJ78-CJ77)</f>
        <v>905</v>
      </c>
      <c r="CL78" s="13">
        <v>525</v>
      </c>
      <c r="CM78" s="13">
        <f t="shared" ref="CM78:CM90" si="176">IF(CL78="","",CL78-CL77)</f>
        <v>7</v>
      </c>
      <c r="CN78" s="13">
        <v>30</v>
      </c>
      <c r="CO78" s="13">
        <f t="shared" ref="CO78:CO90" si="177">IF(CN78="","",CN77+CP77-CN78)</f>
        <v>10</v>
      </c>
      <c r="CP78" s="13">
        <v>10</v>
      </c>
      <c r="CQ78" s="231" t="str">
        <f t="shared" ref="CQ78:CQ100" si="178">IF(CJ78="","",CQ77)</f>
        <v>ボンボンドロップシール</v>
      </c>
      <c r="CR78" s="53">
        <f t="shared" ref="CR78:CR90" si="179">IF(CJ78="","",CR77)</f>
        <v>1500</v>
      </c>
      <c r="CS78" s="13">
        <f t="shared" ref="CS78:CS90" si="180">IF(CR78="","",CO78*CR78)</f>
        <v>15000</v>
      </c>
      <c r="CT78" s="14">
        <f t="shared" ref="CT78:CT89" si="181">IF(CS78="","",CS78/(CK78*100))</f>
        <v>0.16574585635359115</v>
      </c>
      <c r="CU78" s="15"/>
      <c r="CV78" s="1"/>
      <c r="CW78" s="79">
        <f>IF($A81="","",$A81)</f>
        <v>46129</v>
      </c>
      <c r="CX78" s="17">
        <v>16268</v>
      </c>
      <c r="CY78" s="13">
        <f t="shared" ref="CY78:CY90" si="182">IF(CX78="","",CX78-CX77)</f>
        <v>337</v>
      </c>
      <c r="CZ78" s="13">
        <v>331</v>
      </c>
      <c r="DA78" s="13">
        <f t="shared" ref="DA78:DA90" si="183">IF(CZ78="","",CZ78-CZ77)</f>
        <v>12</v>
      </c>
      <c r="DB78" s="13">
        <v>56</v>
      </c>
      <c r="DC78" s="13">
        <f t="shared" ref="DC78:DC90" si="184">IF(DB78="","",DB77+DD77-DB78)</f>
        <v>13</v>
      </c>
      <c r="DD78" s="13">
        <v>10</v>
      </c>
      <c r="DE78" s="231" t="str">
        <f t="shared" ref="DE78:DE100" si="185">IF(CX78="","",DE77)</f>
        <v>サンリオマスコットポーチ</v>
      </c>
      <c r="DF78" s="53">
        <f t="shared" ref="DF78:DF90" si="186">IF(CX78="","",DF77)</f>
        <v>880</v>
      </c>
      <c r="DG78" s="13">
        <f t="shared" ref="DG78:DG90" si="187">IF(DF78="","",DC78*DF78)</f>
        <v>11440</v>
      </c>
      <c r="DH78" s="14">
        <f t="shared" ref="DH78:DH89" si="188">IF(DG78="","",DG78/(CY78*100))</f>
        <v>0.33946587537091988</v>
      </c>
      <c r="DI78" s="15"/>
      <c r="DJ78" s="1"/>
      <c r="DK78" s="79">
        <f>IF($A81="","",$A81)</f>
        <v>46129</v>
      </c>
      <c r="DL78" s="17">
        <v>11368</v>
      </c>
      <c r="DM78" s="13">
        <f t="shared" ref="DM78:DM90" si="189">IF(DL78="","",DL78-DL77)</f>
        <v>121</v>
      </c>
      <c r="DN78" s="13">
        <v>326</v>
      </c>
      <c r="DO78" s="13">
        <f t="shared" ref="DO78:DO90" si="190">IF(DN78="","",DN78-DN77)</f>
        <v>0</v>
      </c>
      <c r="DP78" s="13">
        <v>29</v>
      </c>
      <c r="DQ78" s="13">
        <f t="shared" ref="DQ78:DQ90" si="191">IF(DP78="","",DP77+DR77-DP78)</f>
        <v>0</v>
      </c>
      <c r="DR78" s="13">
        <v>0</v>
      </c>
      <c r="DS78" s="231" t="str">
        <f>IF(DL78="","",DS77)</f>
        <v>ミニプリンター</v>
      </c>
      <c r="DT78" s="53">
        <f>IF(DL78="","",DT77)</f>
        <v>1091</v>
      </c>
      <c r="DU78" s="13">
        <f t="shared" ref="DU78:DU90" si="192">IF(DT78="","",DQ78*DT78)</f>
        <v>0</v>
      </c>
      <c r="DV78" s="14">
        <f t="shared" ref="DV78:DV89" si="193">IF(DU78="","",DU78/(DM78*100))</f>
        <v>0</v>
      </c>
      <c r="DW78" s="15" t="s">
        <v>598</v>
      </c>
      <c r="DY78" s="79">
        <f>IF($A81="","",$A81)</f>
        <v>46129</v>
      </c>
      <c r="DZ78" s="17">
        <v>2113</v>
      </c>
      <c r="EA78" s="13">
        <f t="shared" ref="EA78:EA90" si="194">IF(DZ78="","",DZ78-DZ77)</f>
        <v>224</v>
      </c>
      <c r="EB78" s="13">
        <v>152</v>
      </c>
      <c r="EC78" s="13">
        <f t="shared" ref="EC78:EC90" si="195">IF(EB78="","",EB78-EB77)</f>
        <v>10</v>
      </c>
      <c r="ED78" s="13">
        <v>80</v>
      </c>
      <c r="EE78" s="13">
        <f t="shared" ref="EE78:EE90" si="196">IF(ED78="","",ED77+EF77-ED78)</f>
        <v>12</v>
      </c>
      <c r="EF78" s="13">
        <v>10</v>
      </c>
      <c r="EG78" s="231" t="str">
        <f t="shared" ref="EG78:EG100" si="197">IF(DZ78="","",EG77)</f>
        <v>サンリオアニマルポーチ</v>
      </c>
      <c r="EH78" s="53">
        <f t="shared" ref="EH78:EH90" si="198">IF(DZ78="","",EH77)</f>
        <v>950</v>
      </c>
      <c r="EI78" s="13">
        <f t="shared" ref="EI78:EI90" si="199">IF(EH78="","",EE78*EH78)</f>
        <v>11400</v>
      </c>
      <c r="EJ78" s="14">
        <f t="shared" ref="EJ78:EJ89" si="200">IF(EI78="","",EI78/(EA78*100))</f>
        <v>0.5089285714285714</v>
      </c>
      <c r="EK78" s="15"/>
    </row>
    <row r="79" spans="1:141" x14ac:dyDescent="0.2">
      <c r="A79" s="16"/>
      <c r="B79" s="11"/>
      <c r="C79" s="13">
        <v>13039</v>
      </c>
      <c r="D79" s="13">
        <v>78</v>
      </c>
      <c r="E79" s="13">
        <v>740</v>
      </c>
      <c r="F79" s="13">
        <v>15</v>
      </c>
      <c r="G79" s="13">
        <v>260</v>
      </c>
      <c r="H79" s="13">
        <v>20</v>
      </c>
      <c r="I79" s="13">
        <v>0</v>
      </c>
      <c r="J79" s="56" t="s">
        <v>519</v>
      </c>
      <c r="K79" s="54">
        <v>100</v>
      </c>
      <c r="L79" s="13">
        <v>2000</v>
      </c>
      <c r="M79" s="14">
        <v>0.25641025641025639</v>
      </c>
      <c r="N79" s="159" t="s">
        <v>475</v>
      </c>
      <c r="O79" s="2"/>
      <c r="P79" s="16"/>
      <c r="Q79" s="13">
        <v>10211</v>
      </c>
      <c r="R79" s="13">
        <v>116</v>
      </c>
      <c r="S79" s="13">
        <v>213</v>
      </c>
      <c r="T79" s="13">
        <v>3</v>
      </c>
      <c r="U79" s="13">
        <v>22</v>
      </c>
      <c r="V79" s="13">
        <v>4</v>
      </c>
      <c r="W79" s="13">
        <v>0</v>
      </c>
      <c r="X79" s="56" t="s">
        <v>499</v>
      </c>
      <c r="Y79" s="54">
        <v>1100</v>
      </c>
      <c r="Z79" s="13">
        <v>4400</v>
      </c>
      <c r="AA79" s="14">
        <v>0.37931034482758619</v>
      </c>
      <c r="AB79" s="15"/>
      <c r="AC79" s="1"/>
      <c r="AD79" s="16"/>
      <c r="AE79" s="13">
        <v>13841</v>
      </c>
      <c r="AF79" s="13">
        <v>174</v>
      </c>
      <c r="AG79" s="13">
        <v>389</v>
      </c>
      <c r="AH79" s="13">
        <v>14</v>
      </c>
      <c r="AI79" s="13">
        <v>120</v>
      </c>
      <c r="AJ79" s="13">
        <v>20</v>
      </c>
      <c r="AK79" s="13">
        <v>0</v>
      </c>
      <c r="AL79" s="56" t="s">
        <v>578</v>
      </c>
      <c r="AM79" s="54">
        <v>99</v>
      </c>
      <c r="AN79" s="13">
        <v>1980</v>
      </c>
      <c r="AO79" s="14">
        <v>0.11379310344827587</v>
      </c>
      <c r="AP79" s="15"/>
      <c r="AQ79" s="2"/>
      <c r="AR79" s="16"/>
      <c r="AS79" s="13">
        <v>17648</v>
      </c>
      <c r="AT79" s="13">
        <v>0</v>
      </c>
      <c r="AU79" s="13">
        <v>568</v>
      </c>
      <c r="AV79" s="13">
        <v>0</v>
      </c>
      <c r="AW79" s="13">
        <v>19</v>
      </c>
      <c r="AX79" s="13">
        <v>0</v>
      </c>
      <c r="AY79" s="13">
        <v>0</v>
      </c>
      <c r="AZ79" s="56" t="s">
        <v>477</v>
      </c>
      <c r="BA79" s="54">
        <v>1430</v>
      </c>
      <c r="BB79" s="13">
        <v>0</v>
      </c>
      <c r="BC79" s="14" t="e">
        <v>#DIV/0!</v>
      </c>
      <c r="BD79" s="15"/>
      <c r="BE79" s="2"/>
      <c r="BF79" s="86"/>
      <c r="BG79" s="239" t="s">
        <v>591</v>
      </c>
      <c r="BH79" s="54">
        <v>2564</v>
      </c>
      <c r="BI79" s="179">
        <v>0</v>
      </c>
      <c r="BJ79" s="13">
        <v>23</v>
      </c>
      <c r="BK79" s="13">
        <v>0</v>
      </c>
      <c r="BL79" s="13">
        <v>3</v>
      </c>
      <c r="BM79" s="13">
        <v>0</v>
      </c>
      <c r="BN79" s="13">
        <v>3</v>
      </c>
      <c r="BO79" s="56" t="s">
        <v>524</v>
      </c>
      <c r="BP79" s="54">
        <v>1500</v>
      </c>
      <c r="BQ79" s="13">
        <v>0</v>
      </c>
      <c r="BR79" s="14" t="e">
        <v>#DIV/0!</v>
      </c>
      <c r="BS79" s="39"/>
      <c r="BU79" s="226">
        <f>IF($A85="","",$A85)</f>
        <v>46132</v>
      </c>
      <c r="BV79" s="17">
        <v>18427</v>
      </c>
      <c r="BW79" s="13">
        <f t="shared" si="168"/>
        <v>183</v>
      </c>
      <c r="BX79" s="13">
        <v>518</v>
      </c>
      <c r="BY79" s="13">
        <f t="shared" si="169"/>
        <v>8</v>
      </c>
      <c r="BZ79" s="13">
        <v>60</v>
      </c>
      <c r="CA79" s="13">
        <f t="shared" si="170"/>
        <v>8</v>
      </c>
      <c r="CB79" s="13">
        <v>0</v>
      </c>
      <c r="CC79" s="231" t="str">
        <f t="shared" si="171"/>
        <v>サミュエルうさぎ</v>
      </c>
      <c r="CD79" s="53">
        <f t="shared" si="172"/>
        <v>935</v>
      </c>
      <c r="CE79" s="13">
        <f t="shared" si="173"/>
        <v>7480</v>
      </c>
      <c r="CF79" s="123">
        <f t="shared" si="174"/>
        <v>0.40874316939890709</v>
      </c>
      <c r="CG79" s="159" t="s">
        <v>475</v>
      </c>
      <c r="CH79" s="1"/>
      <c r="CI79" s="226">
        <f>IF($A85="","",$A85)</f>
        <v>46132</v>
      </c>
      <c r="CJ79" s="17">
        <v>42989</v>
      </c>
      <c r="CK79" s="13">
        <f t="shared" si="175"/>
        <v>639</v>
      </c>
      <c r="CL79" s="13">
        <v>531</v>
      </c>
      <c r="CM79" s="13">
        <f t="shared" si="176"/>
        <v>6</v>
      </c>
      <c r="CN79" s="13">
        <v>30</v>
      </c>
      <c r="CO79" s="13">
        <f t="shared" si="177"/>
        <v>10</v>
      </c>
      <c r="CP79" s="13">
        <v>8</v>
      </c>
      <c r="CQ79" s="231" t="str">
        <f t="shared" si="178"/>
        <v>ボンボンドロップシール</v>
      </c>
      <c r="CR79" s="53">
        <f t="shared" si="179"/>
        <v>1500</v>
      </c>
      <c r="CS79" s="13">
        <f t="shared" si="180"/>
        <v>15000</v>
      </c>
      <c r="CT79" s="14">
        <f t="shared" si="181"/>
        <v>0.23474178403755869</v>
      </c>
      <c r="CU79" s="15"/>
      <c r="CV79" s="1"/>
      <c r="CW79" s="226">
        <f>IF($A85="","",$A85)</f>
        <v>46132</v>
      </c>
      <c r="CX79" s="17">
        <v>16463</v>
      </c>
      <c r="CY79" s="13">
        <f t="shared" si="182"/>
        <v>195</v>
      </c>
      <c r="CZ79" s="13">
        <v>337</v>
      </c>
      <c r="DA79" s="13">
        <f t="shared" si="183"/>
        <v>6</v>
      </c>
      <c r="DB79" s="13">
        <v>60</v>
      </c>
      <c r="DC79" s="13">
        <f t="shared" si="184"/>
        <v>6</v>
      </c>
      <c r="DD79" s="13">
        <v>0</v>
      </c>
      <c r="DE79" s="231" t="str">
        <f t="shared" si="185"/>
        <v>サンリオマスコットポーチ</v>
      </c>
      <c r="DF79" s="53">
        <f t="shared" si="186"/>
        <v>880</v>
      </c>
      <c r="DG79" s="13">
        <f t="shared" si="187"/>
        <v>5280</v>
      </c>
      <c r="DH79" s="14">
        <f t="shared" si="188"/>
        <v>0.27076923076923076</v>
      </c>
      <c r="DI79" s="159" t="s">
        <v>475</v>
      </c>
      <c r="DJ79" s="1"/>
      <c r="DK79" s="226">
        <f>IF($A85="","",$A85)</f>
        <v>46132</v>
      </c>
      <c r="DL79" s="17">
        <v>11400</v>
      </c>
      <c r="DM79" s="87">
        <f t="shared" si="189"/>
        <v>32</v>
      </c>
      <c r="DN79" s="13">
        <v>332</v>
      </c>
      <c r="DO79" s="13">
        <f t="shared" si="190"/>
        <v>6</v>
      </c>
      <c r="DP79" s="13">
        <v>23</v>
      </c>
      <c r="DQ79" s="13">
        <f t="shared" si="191"/>
        <v>6</v>
      </c>
      <c r="DR79" s="13">
        <v>57</v>
      </c>
      <c r="DS79" s="231" t="str">
        <f>IF(DL79="","",DS78)</f>
        <v>ミニプリンター</v>
      </c>
      <c r="DT79" s="53">
        <f>IF(DL79="","",DT78)</f>
        <v>1091</v>
      </c>
      <c r="DU79" s="13">
        <f t="shared" si="192"/>
        <v>6546</v>
      </c>
      <c r="DV79" s="14">
        <f t="shared" si="193"/>
        <v>2.0456249999999998</v>
      </c>
      <c r="DW79" s="15" t="s">
        <v>609</v>
      </c>
      <c r="DY79" s="226">
        <f>IF($A85="","",$A85)</f>
        <v>46132</v>
      </c>
      <c r="DZ79" s="17">
        <v>2200</v>
      </c>
      <c r="EA79" s="13">
        <f t="shared" si="194"/>
        <v>87</v>
      </c>
      <c r="EB79" s="13">
        <v>159</v>
      </c>
      <c r="EC79" s="13">
        <f t="shared" si="195"/>
        <v>7</v>
      </c>
      <c r="ED79" s="13">
        <v>82</v>
      </c>
      <c r="EE79" s="13">
        <f t="shared" si="196"/>
        <v>8</v>
      </c>
      <c r="EF79" s="13">
        <v>14</v>
      </c>
      <c r="EG79" s="231" t="str">
        <f t="shared" si="197"/>
        <v>サンリオアニマルポーチ</v>
      </c>
      <c r="EH79" s="53">
        <f t="shared" si="198"/>
        <v>950</v>
      </c>
      <c r="EI79" s="13">
        <f t="shared" si="199"/>
        <v>7600</v>
      </c>
      <c r="EJ79" s="14">
        <f t="shared" si="200"/>
        <v>0.87356321839080464</v>
      </c>
      <c r="EK79" s="15" t="s">
        <v>607</v>
      </c>
    </row>
    <row r="80" spans="1:141" ht="15" customHeight="1" thickBot="1" x14ac:dyDescent="0.25">
      <c r="A80" s="26"/>
      <c r="B80" s="46"/>
      <c r="C80" s="27">
        <v>9039</v>
      </c>
      <c r="D80" s="27">
        <v>144</v>
      </c>
      <c r="E80" s="27">
        <v>531</v>
      </c>
      <c r="F80" s="27">
        <v>9</v>
      </c>
      <c r="G80" s="27">
        <v>9</v>
      </c>
      <c r="H80" s="27">
        <v>9</v>
      </c>
      <c r="I80" s="27">
        <v>0</v>
      </c>
      <c r="J80" s="57" t="s">
        <v>562</v>
      </c>
      <c r="K80" s="27">
        <v>572</v>
      </c>
      <c r="L80" s="27">
        <v>5148</v>
      </c>
      <c r="M80" s="28">
        <v>0.35749999999999998</v>
      </c>
      <c r="N80" s="159" t="s">
        <v>475</v>
      </c>
      <c r="O80" s="2"/>
      <c r="P80" s="26"/>
      <c r="Q80" s="27">
        <v>14411</v>
      </c>
      <c r="R80" s="27">
        <v>261</v>
      </c>
      <c r="S80" s="27">
        <v>606</v>
      </c>
      <c r="T80" s="27">
        <v>13</v>
      </c>
      <c r="U80" s="27">
        <v>28</v>
      </c>
      <c r="V80" s="27">
        <v>14</v>
      </c>
      <c r="W80" s="27">
        <v>10</v>
      </c>
      <c r="X80" s="57" t="s">
        <v>449</v>
      </c>
      <c r="Y80" s="27">
        <v>200</v>
      </c>
      <c r="Z80" s="27">
        <v>2800</v>
      </c>
      <c r="AA80" s="28">
        <v>0.10727969348659004</v>
      </c>
      <c r="AB80" s="142"/>
      <c r="AC80" s="63"/>
      <c r="AD80" s="145"/>
      <c r="AE80" s="27">
        <v>13558</v>
      </c>
      <c r="AF80" s="27">
        <v>87</v>
      </c>
      <c r="AG80" s="27">
        <v>354</v>
      </c>
      <c r="AH80" s="27">
        <v>0</v>
      </c>
      <c r="AI80" s="27">
        <v>14</v>
      </c>
      <c r="AJ80" s="27">
        <v>0</v>
      </c>
      <c r="AK80" s="27">
        <v>0</v>
      </c>
      <c r="AL80" s="57" t="s">
        <v>588</v>
      </c>
      <c r="AM80" s="27">
        <v>400</v>
      </c>
      <c r="AN80" s="27">
        <v>0</v>
      </c>
      <c r="AO80" s="28">
        <v>0</v>
      </c>
      <c r="AP80" s="15"/>
      <c r="AQ80" s="2"/>
      <c r="AR80" s="26"/>
      <c r="AS80" s="27">
        <v>17780</v>
      </c>
      <c r="AT80" s="27">
        <v>0</v>
      </c>
      <c r="AU80" s="27">
        <v>502</v>
      </c>
      <c r="AV80" s="27">
        <v>0</v>
      </c>
      <c r="AW80" s="27">
        <v>20</v>
      </c>
      <c r="AX80" s="27">
        <v>0</v>
      </c>
      <c r="AY80" s="27">
        <v>0</v>
      </c>
      <c r="AZ80" s="57" t="s">
        <v>527</v>
      </c>
      <c r="BA80" s="27">
        <v>400</v>
      </c>
      <c r="BB80" s="27">
        <v>0</v>
      </c>
      <c r="BC80" s="28" t="e">
        <v>#DIV/0!</v>
      </c>
      <c r="BD80" s="15"/>
      <c r="BE80" s="2"/>
      <c r="BF80" s="26"/>
      <c r="BG80" s="238" t="s">
        <v>592</v>
      </c>
      <c r="BH80" s="27">
        <v>1967</v>
      </c>
      <c r="BI80" s="138">
        <v>0</v>
      </c>
      <c r="BJ80" s="27">
        <v>23</v>
      </c>
      <c r="BK80" s="27">
        <v>0</v>
      </c>
      <c r="BL80" s="27">
        <v>2</v>
      </c>
      <c r="BM80" s="27">
        <v>0</v>
      </c>
      <c r="BN80" s="27">
        <v>2</v>
      </c>
      <c r="BO80" s="57" t="s">
        <v>482</v>
      </c>
      <c r="BP80" s="27">
        <v>1500</v>
      </c>
      <c r="BQ80" s="27">
        <v>0</v>
      </c>
      <c r="BR80" s="184" t="e">
        <v>#DIV/0!</v>
      </c>
      <c r="BS80" s="183"/>
      <c r="BU80" s="79">
        <f>IF($A89="","",$A89)</f>
        <v>46136</v>
      </c>
      <c r="BV80" s="17">
        <v>18515</v>
      </c>
      <c r="BW80" s="13">
        <f t="shared" si="168"/>
        <v>88</v>
      </c>
      <c r="BX80" s="13">
        <v>520</v>
      </c>
      <c r="BY80" s="13">
        <f t="shared" si="169"/>
        <v>2</v>
      </c>
      <c r="BZ80" s="13">
        <v>58</v>
      </c>
      <c r="CA80" s="13">
        <f t="shared" si="170"/>
        <v>2</v>
      </c>
      <c r="CB80" s="13">
        <v>20</v>
      </c>
      <c r="CC80" s="231" t="str">
        <f t="shared" si="171"/>
        <v>サミュエルうさぎ</v>
      </c>
      <c r="CD80" s="53">
        <f t="shared" si="172"/>
        <v>935</v>
      </c>
      <c r="CE80" s="13">
        <f t="shared" si="173"/>
        <v>1870</v>
      </c>
      <c r="CF80" s="251">
        <f t="shared" si="174"/>
        <v>0.21249999999999999</v>
      </c>
      <c r="CG80" s="15"/>
      <c r="CH80" s="1"/>
      <c r="CI80" s="79">
        <f>IF($A89="","",$A89)</f>
        <v>46136</v>
      </c>
      <c r="CJ80" s="17">
        <v>43581</v>
      </c>
      <c r="CK80" s="13">
        <f t="shared" si="175"/>
        <v>592</v>
      </c>
      <c r="CL80" s="13">
        <v>539</v>
      </c>
      <c r="CM80" s="13">
        <f t="shared" si="176"/>
        <v>8</v>
      </c>
      <c r="CN80" s="13">
        <v>30</v>
      </c>
      <c r="CO80" s="13">
        <f t="shared" si="177"/>
        <v>8</v>
      </c>
      <c r="CP80" s="13">
        <v>6</v>
      </c>
      <c r="CQ80" s="231" t="str">
        <f t="shared" si="178"/>
        <v>ボンボンドロップシール</v>
      </c>
      <c r="CR80" s="53">
        <f t="shared" si="179"/>
        <v>1500</v>
      </c>
      <c r="CS80" s="13">
        <f t="shared" si="180"/>
        <v>12000</v>
      </c>
      <c r="CT80" s="14">
        <f t="shared" si="181"/>
        <v>0.20270270270270271</v>
      </c>
      <c r="CU80" s="15"/>
      <c r="CV80" s="1"/>
      <c r="CW80" s="79">
        <f>IF($A89="","",$A89)</f>
        <v>46136</v>
      </c>
      <c r="CX80" s="17">
        <v>16529</v>
      </c>
      <c r="CY80" s="13">
        <f t="shared" si="182"/>
        <v>66</v>
      </c>
      <c r="CZ80" s="13">
        <v>338</v>
      </c>
      <c r="DA80" s="13">
        <f t="shared" si="183"/>
        <v>1</v>
      </c>
      <c r="DB80" s="13">
        <v>58</v>
      </c>
      <c r="DC80" s="13">
        <f t="shared" si="184"/>
        <v>2</v>
      </c>
      <c r="DD80" s="13">
        <v>0</v>
      </c>
      <c r="DE80" s="231" t="str">
        <f t="shared" si="185"/>
        <v>サンリオマスコットポーチ</v>
      </c>
      <c r="DF80" s="53">
        <f t="shared" si="186"/>
        <v>880</v>
      </c>
      <c r="DG80" s="13">
        <f t="shared" si="187"/>
        <v>1760</v>
      </c>
      <c r="DH80" s="14">
        <f t="shared" si="188"/>
        <v>0.26666666666666666</v>
      </c>
      <c r="DI80" s="159" t="s">
        <v>475</v>
      </c>
      <c r="DJ80" s="1"/>
      <c r="DK80" s="79">
        <f>IF($A89="","",$A89)</f>
        <v>46136</v>
      </c>
      <c r="DL80" s="17">
        <v>11494</v>
      </c>
      <c r="DM80" s="13">
        <f t="shared" si="189"/>
        <v>94</v>
      </c>
      <c r="DN80" s="13">
        <v>335</v>
      </c>
      <c r="DO80" s="13">
        <f t="shared" si="190"/>
        <v>3</v>
      </c>
      <c r="DP80" s="13">
        <v>76</v>
      </c>
      <c r="DQ80" s="13">
        <f t="shared" si="191"/>
        <v>4</v>
      </c>
      <c r="DR80" s="13">
        <v>20</v>
      </c>
      <c r="DS80" s="231" t="s">
        <v>612</v>
      </c>
      <c r="DT80" s="53">
        <v>286</v>
      </c>
      <c r="DU80" s="13">
        <f t="shared" si="192"/>
        <v>1144</v>
      </c>
      <c r="DV80" s="14">
        <f t="shared" si="193"/>
        <v>0.12170212765957447</v>
      </c>
      <c r="DW80" s="15"/>
      <c r="DY80" s="79">
        <f>IF($A89="","",$A89)</f>
        <v>46136</v>
      </c>
      <c r="DZ80" s="17">
        <v>2289</v>
      </c>
      <c r="EA80" s="13">
        <f t="shared" si="194"/>
        <v>89</v>
      </c>
      <c r="EB80" s="13">
        <v>167</v>
      </c>
      <c r="EC80" s="13">
        <f t="shared" si="195"/>
        <v>8</v>
      </c>
      <c r="ED80" s="13">
        <v>88</v>
      </c>
      <c r="EE80" s="13">
        <f t="shared" si="196"/>
        <v>8</v>
      </c>
      <c r="EF80" s="13">
        <v>8</v>
      </c>
      <c r="EG80" s="231" t="str">
        <f t="shared" si="197"/>
        <v>サンリオアニマルポーチ</v>
      </c>
      <c r="EH80" s="53">
        <f t="shared" si="198"/>
        <v>950</v>
      </c>
      <c r="EI80" s="13">
        <f t="shared" si="199"/>
        <v>7600</v>
      </c>
      <c r="EJ80" s="14">
        <f t="shared" si="200"/>
        <v>0.8539325842696629</v>
      </c>
      <c r="EK80" s="15"/>
    </row>
    <row r="81" spans="1:141" ht="15" customHeight="1" thickTop="1" x14ac:dyDescent="0.2">
      <c r="A81" s="79">
        <v>46129</v>
      </c>
      <c r="B81" s="74">
        <f>IF(A81="","",SUM(D81:D84)+SUM(R81:R84)+SUM(AF81:AF84)+SUM(AT81:AT84)+SUM(BW78,CK78,CY78,DM78,EA78)+SUM(BI81:BI84))</f>
        <v>4172</v>
      </c>
      <c r="C81" s="53">
        <v>7717</v>
      </c>
      <c r="D81" s="53">
        <f t="shared" ref="D81:D112" si="201">IF(C81="","",C81-C77)</f>
        <v>33</v>
      </c>
      <c r="E81" s="53">
        <v>389</v>
      </c>
      <c r="F81" s="31">
        <f t="shared" ref="F81:F112" si="202">IF(E81="","",E81-E77)</f>
        <v>1</v>
      </c>
      <c r="G81" s="53">
        <v>17</v>
      </c>
      <c r="H81" s="53">
        <f t="shared" ref="H81:H112" si="203">IF(G81="","",G77+I77-G81)</f>
        <v>1</v>
      </c>
      <c r="I81" s="80">
        <v>30</v>
      </c>
      <c r="J81" s="135" t="str">
        <f t="shared" ref="J81:J112" si="204">IF(C81="","",J77)</f>
        <v>ジャグラーボタン</v>
      </c>
      <c r="K81" s="76">
        <f t="shared" ref="K81:K112" si="205">IF(D81="","",K77)</f>
        <v>748</v>
      </c>
      <c r="L81" s="31">
        <f t="shared" ref="L81:L112" si="206">IF(G81="","",H81*K81)</f>
        <v>748</v>
      </c>
      <c r="M81" s="32">
        <f t="shared" ref="M81:M112" si="207">IF(H81="","",L81/(D81*100))</f>
        <v>0.22666666666666666</v>
      </c>
      <c r="N81" s="15" t="s">
        <v>600</v>
      </c>
      <c r="O81" s="2"/>
      <c r="P81" s="79">
        <f>IF(A81="","",A81)</f>
        <v>46129</v>
      </c>
      <c r="Q81" s="53">
        <v>8859</v>
      </c>
      <c r="R81" s="53">
        <f t="shared" ref="R81:R112" si="208">IF(Q81="","",Q81-Q77)</f>
        <v>75</v>
      </c>
      <c r="S81" s="53">
        <v>264</v>
      </c>
      <c r="T81" s="31">
        <f t="shared" ref="T81:T112" si="209">IF(S81="","",S81-S77)</f>
        <v>1</v>
      </c>
      <c r="U81" s="53">
        <v>7</v>
      </c>
      <c r="V81" s="53">
        <f t="shared" ref="V81:V112" si="210">IF(U81="","",U77+W77-U81)</f>
        <v>2</v>
      </c>
      <c r="W81" s="80">
        <v>6</v>
      </c>
      <c r="X81" s="75" t="str">
        <f t="shared" ref="X81:X112" si="211">IF(Q81="","",X77)</f>
        <v>キティボアバンスクリップ</v>
      </c>
      <c r="Y81" s="76">
        <f t="shared" ref="Y81:Y112" si="212">IF(R81="","",Y77)</f>
        <v>1100</v>
      </c>
      <c r="Z81" s="31">
        <f t="shared" ref="Z81:Z112" si="213">IF(U81="","",V81*Y81)</f>
        <v>2200</v>
      </c>
      <c r="AA81" s="32">
        <f t="shared" ref="AA81:AA112" si="214">IF(V81="","",Z81/(R81*100))</f>
        <v>0.29333333333333333</v>
      </c>
      <c r="AB81" s="15"/>
      <c r="AC81" s="15"/>
      <c r="AD81" s="79">
        <f>IF($A81="","",$A81)</f>
        <v>46129</v>
      </c>
      <c r="AE81" s="53">
        <v>11774</v>
      </c>
      <c r="AF81" s="53">
        <f t="shared" ref="AF81:AF112" si="215">IF(AE81="","",AE81-AE77)</f>
        <v>41</v>
      </c>
      <c r="AG81" s="53">
        <v>268</v>
      </c>
      <c r="AH81" s="31">
        <f t="shared" ref="AH81:AH112" si="216">IF(AG81="","",AG81-AG77)</f>
        <v>0</v>
      </c>
      <c r="AI81" s="53">
        <v>15</v>
      </c>
      <c r="AJ81" s="53">
        <f t="shared" ref="AJ81:AJ112" si="217">IF(AI81="","",AI77+AK77-AI81)</f>
        <v>0</v>
      </c>
      <c r="AK81" s="80">
        <v>0</v>
      </c>
      <c r="AL81" s="135" t="str">
        <f t="shared" ref="AL81:AL90" si="218">IF(AE81="","",AL77)</f>
        <v>着物キティ</v>
      </c>
      <c r="AM81" s="76">
        <f t="shared" ref="AM81:AM90" si="219">IF(AF81="","",AM77)</f>
        <v>1100</v>
      </c>
      <c r="AN81" s="31">
        <f t="shared" ref="AN81:AN112" si="220">IF(AI81="","",AJ81*AM81)</f>
        <v>0</v>
      </c>
      <c r="AO81" s="32">
        <f t="shared" ref="AO81:AO112" si="221">IF(AJ81="","",AN81/(AF81*100))</f>
        <v>0</v>
      </c>
      <c r="AP81" s="15" t="s">
        <v>596</v>
      </c>
      <c r="AQ81" s="113"/>
      <c r="AR81" s="79">
        <f>IF($A81="","",$A81)</f>
        <v>46129</v>
      </c>
      <c r="AS81" s="53">
        <v>12734</v>
      </c>
      <c r="AT81" s="53">
        <f t="shared" ref="AT81:AT112" si="222">IF(AS81="","",AS81-AS77)</f>
        <v>133</v>
      </c>
      <c r="AU81" s="53">
        <v>394</v>
      </c>
      <c r="AV81" s="31">
        <f t="shared" ref="AV81:AV112" si="223">IF(AU81="","",AU81-AU77)</f>
        <v>2</v>
      </c>
      <c r="AW81" s="53">
        <v>27</v>
      </c>
      <c r="AX81" s="53">
        <f t="shared" ref="AX81:AX112" si="224">IF(AW81="","",AW77+AY77-AW81)</f>
        <v>1</v>
      </c>
      <c r="AY81" s="80">
        <v>0</v>
      </c>
      <c r="AZ81" s="75" t="str">
        <f t="shared" ref="AZ81:BA85" si="225">IF(AS81="","",AZ77)</f>
        <v>ゲーム機イヤホン</v>
      </c>
      <c r="BA81" s="76">
        <f t="shared" si="225"/>
        <v>1100</v>
      </c>
      <c r="BB81" s="31">
        <f t="shared" ref="BB81:BB112" si="226">IF(AW81="","",AX81*BA81)</f>
        <v>1100</v>
      </c>
      <c r="BC81" s="32">
        <f t="shared" ref="BC81:BC112" si="227">IF(AX81="","",BB81/(AT81*100))</f>
        <v>8.2706766917293228E-2</v>
      </c>
      <c r="BD81" s="15"/>
      <c r="BE81" s="2"/>
      <c r="BF81" s="79">
        <f>IF(A81="","",A81)</f>
        <v>46129</v>
      </c>
      <c r="BG81" s="240" t="s">
        <v>589</v>
      </c>
      <c r="BH81" s="53">
        <v>2248</v>
      </c>
      <c r="BI81" s="53">
        <f t="shared" ref="BI81:BI112" si="228">IF(BH81="","",BH81-BH77)</f>
        <v>95</v>
      </c>
      <c r="BJ81" s="53">
        <v>28</v>
      </c>
      <c r="BK81" s="31">
        <f t="shared" ref="BK81:BK112" si="229">IF(BJ81="","",BJ81-BJ77)</f>
        <v>2</v>
      </c>
      <c r="BL81" s="53">
        <v>1</v>
      </c>
      <c r="BM81" s="53">
        <f t="shared" ref="BM81:BM112" si="230">IF(BL81="","",BL77+BN77-BL81)</f>
        <v>3</v>
      </c>
      <c r="BN81" s="80">
        <v>2</v>
      </c>
      <c r="BO81" s="75" t="str">
        <f t="shared" ref="BO81:BP86" si="231">IF(BH81="","",BO77)</f>
        <v>プチドロディズニー</v>
      </c>
      <c r="BP81" s="76">
        <f t="shared" si="231"/>
        <v>1500</v>
      </c>
      <c r="BQ81" s="31">
        <f t="shared" ref="BQ81:BQ112" si="232">IF(BL81="","",BM81*BP81)</f>
        <v>4500</v>
      </c>
      <c r="BR81" s="32">
        <f t="shared" ref="BR81:BR112" si="233">IF(BM81="","",BQ81/(BI81*100))</f>
        <v>0.47368421052631576</v>
      </c>
      <c r="BS81" s="15"/>
      <c r="BU81" s="79">
        <f>IF($A93="","",$A93)</f>
        <v>46139</v>
      </c>
      <c r="BV81" s="17">
        <v>18666</v>
      </c>
      <c r="BW81" s="13">
        <f t="shared" si="168"/>
        <v>151</v>
      </c>
      <c r="BX81" s="13">
        <v>528</v>
      </c>
      <c r="BY81" s="13">
        <f t="shared" si="169"/>
        <v>8</v>
      </c>
      <c r="BZ81" s="13">
        <v>70</v>
      </c>
      <c r="CA81" s="13">
        <f t="shared" si="170"/>
        <v>8</v>
      </c>
      <c r="CB81" s="13">
        <v>10</v>
      </c>
      <c r="CC81" s="231" t="str">
        <f t="shared" si="171"/>
        <v>サミュエルうさぎ</v>
      </c>
      <c r="CD81" s="53">
        <f t="shared" si="172"/>
        <v>935</v>
      </c>
      <c r="CE81" s="13">
        <f t="shared" si="173"/>
        <v>7480</v>
      </c>
      <c r="CF81" s="123">
        <f t="shared" si="174"/>
        <v>0.49536423841059601</v>
      </c>
      <c r="CG81" s="15"/>
      <c r="CH81" s="1"/>
      <c r="CI81" s="79">
        <f>IF($A93="","",$A93)</f>
        <v>46139</v>
      </c>
      <c r="CJ81" s="17">
        <v>43718</v>
      </c>
      <c r="CK81" s="13">
        <f t="shared" si="175"/>
        <v>137</v>
      </c>
      <c r="CL81" s="13">
        <v>541</v>
      </c>
      <c r="CM81" s="13">
        <f t="shared" si="176"/>
        <v>2</v>
      </c>
      <c r="CN81" s="13">
        <v>34</v>
      </c>
      <c r="CO81" s="13">
        <f t="shared" si="177"/>
        <v>2</v>
      </c>
      <c r="CP81" s="13">
        <v>10</v>
      </c>
      <c r="CQ81" s="231" t="str">
        <f t="shared" si="178"/>
        <v>ボンボンドロップシール</v>
      </c>
      <c r="CR81" s="53">
        <f t="shared" si="179"/>
        <v>1500</v>
      </c>
      <c r="CS81" s="13">
        <f t="shared" si="180"/>
        <v>3000</v>
      </c>
      <c r="CT81" s="14">
        <f t="shared" si="181"/>
        <v>0.21897810218978103</v>
      </c>
      <c r="CU81" s="92" t="s">
        <v>618</v>
      </c>
      <c r="CV81" s="1"/>
      <c r="CW81" s="79">
        <f>IF($A93="","",$A93)</f>
        <v>46139</v>
      </c>
      <c r="CX81" s="17">
        <v>16703</v>
      </c>
      <c r="CY81" s="13">
        <f t="shared" si="182"/>
        <v>174</v>
      </c>
      <c r="CZ81" s="13">
        <v>341</v>
      </c>
      <c r="DA81" s="13">
        <f t="shared" si="183"/>
        <v>3</v>
      </c>
      <c r="DB81" s="13">
        <v>54</v>
      </c>
      <c r="DC81" s="13">
        <f t="shared" si="184"/>
        <v>4</v>
      </c>
      <c r="DD81" s="13">
        <v>22</v>
      </c>
      <c r="DE81" s="231" t="str">
        <f t="shared" si="185"/>
        <v>サンリオマスコットポーチ</v>
      </c>
      <c r="DF81" s="53">
        <f t="shared" si="186"/>
        <v>880</v>
      </c>
      <c r="DG81" s="13">
        <f t="shared" si="187"/>
        <v>3520</v>
      </c>
      <c r="DH81" s="14">
        <f t="shared" si="188"/>
        <v>0.20229885057471264</v>
      </c>
      <c r="DI81" s="15"/>
      <c r="DJ81" s="1"/>
      <c r="DK81" s="79">
        <f>IF($A93="","",$A93)</f>
        <v>46139</v>
      </c>
      <c r="DL81" s="17">
        <v>11709</v>
      </c>
      <c r="DM81" s="13">
        <f t="shared" si="189"/>
        <v>215</v>
      </c>
      <c r="DN81" s="13">
        <v>346</v>
      </c>
      <c r="DO81" s="13">
        <f t="shared" si="190"/>
        <v>11</v>
      </c>
      <c r="DP81" s="13">
        <v>84</v>
      </c>
      <c r="DQ81" s="13">
        <f t="shared" si="191"/>
        <v>12</v>
      </c>
      <c r="DR81" s="13">
        <v>20</v>
      </c>
      <c r="DS81" s="231" t="str">
        <f t="shared" ref="DS81:DS100" si="234">IF(DL81="","",DS80)</f>
        <v>箱入りバター</v>
      </c>
      <c r="DT81" s="53">
        <f t="shared" ref="DT81:DT90" si="235">IF(DL81="","",DT80)</f>
        <v>286</v>
      </c>
      <c r="DU81" s="13">
        <f t="shared" si="192"/>
        <v>3432</v>
      </c>
      <c r="DV81" s="14">
        <f t="shared" si="193"/>
        <v>0.1596279069767442</v>
      </c>
      <c r="DW81" s="15"/>
      <c r="DY81" s="79">
        <f>IF($A93="","",$A93)</f>
        <v>46139</v>
      </c>
      <c r="DZ81" s="17">
        <v>2435</v>
      </c>
      <c r="EA81" s="13">
        <f t="shared" si="194"/>
        <v>146</v>
      </c>
      <c r="EB81" s="13">
        <v>175</v>
      </c>
      <c r="EC81" s="13">
        <f t="shared" si="195"/>
        <v>8</v>
      </c>
      <c r="ED81" s="13">
        <v>88</v>
      </c>
      <c r="EE81" s="13">
        <f t="shared" si="196"/>
        <v>8</v>
      </c>
      <c r="EF81" s="13">
        <v>10</v>
      </c>
      <c r="EG81" s="231" t="str">
        <f t="shared" si="197"/>
        <v>サンリオアニマルポーチ</v>
      </c>
      <c r="EH81" s="53">
        <f t="shared" si="198"/>
        <v>950</v>
      </c>
      <c r="EI81" s="13">
        <f t="shared" si="199"/>
        <v>7600</v>
      </c>
      <c r="EJ81" s="14">
        <f t="shared" si="200"/>
        <v>0.52054794520547942</v>
      </c>
      <c r="EK81" s="15"/>
    </row>
    <row r="82" spans="1:141" x14ac:dyDescent="0.2">
      <c r="A82" s="16"/>
      <c r="B82" s="11"/>
      <c r="C82" s="13">
        <v>7461</v>
      </c>
      <c r="D82" s="13">
        <f t="shared" si="201"/>
        <v>48</v>
      </c>
      <c r="E82" s="13">
        <v>433</v>
      </c>
      <c r="F82" s="13">
        <f t="shared" si="202"/>
        <v>1</v>
      </c>
      <c r="G82" s="13">
        <v>36</v>
      </c>
      <c r="H82" s="13">
        <f t="shared" si="203"/>
        <v>2</v>
      </c>
      <c r="I82" s="17">
        <v>10</v>
      </c>
      <c r="J82" s="111" t="str">
        <f t="shared" si="204"/>
        <v>電ブル</v>
      </c>
      <c r="K82" s="54">
        <f t="shared" si="205"/>
        <v>275</v>
      </c>
      <c r="L82" s="13">
        <f t="shared" si="206"/>
        <v>550</v>
      </c>
      <c r="M82" s="14">
        <f t="shared" si="207"/>
        <v>0.11458333333333333</v>
      </c>
      <c r="N82" s="15" t="s">
        <v>603</v>
      </c>
      <c r="O82" s="2"/>
      <c r="P82" s="16"/>
      <c r="Q82" s="13">
        <v>1976</v>
      </c>
      <c r="R82" s="13">
        <f t="shared" si="208"/>
        <v>170</v>
      </c>
      <c r="S82" s="13">
        <v>168</v>
      </c>
      <c r="T82" s="13">
        <f t="shared" si="209"/>
        <v>3</v>
      </c>
      <c r="U82" s="13">
        <v>9</v>
      </c>
      <c r="V82" s="13">
        <f t="shared" si="210"/>
        <v>3</v>
      </c>
      <c r="W82" s="17">
        <v>8</v>
      </c>
      <c r="X82" s="56" t="str">
        <f t="shared" si="211"/>
        <v>たまごっちブロックシール</v>
      </c>
      <c r="Y82" s="54">
        <f t="shared" si="212"/>
        <v>600</v>
      </c>
      <c r="Z82" s="13">
        <f t="shared" si="213"/>
        <v>1800</v>
      </c>
      <c r="AA82" s="14">
        <f t="shared" si="214"/>
        <v>0.10588235294117647</v>
      </c>
      <c r="AB82" s="15"/>
      <c r="AC82" s="15"/>
      <c r="AD82" s="16"/>
      <c r="AE82" s="13">
        <v>11788</v>
      </c>
      <c r="AF82" s="13">
        <f t="shared" si="215"/>
        <v>75</v>
      </c>
      <c r="AG82" s="13">
        <v>248</v>
      </c>
      <c r="AH82" s="13">
        <f t="shared" si="216"/>
        <v>3</v>
      </c>
      <c r="AI82" s="13">
        <v>5</v>
      </c>
      <c r="AJ82" s="13">
        <f t="shared" si="217"/>
        <v>3</v>
      </c>
      <c r="AK82" s="17">
        <v>4</v>
      </c>
      <c r="AL82" s="56" t="str">
        <f t="shared" si="218"/>
        <v>サンリオハンディファン</v>
      </c>
      <c r="AM82" s="54">
        <f t="shared" si="219"/>
        <v>1100</v>
      </c>
      <c r="AN82" s="13">
        <f t="shared" si="220"/>
        <v>3300</v>
      </c>
      <c r="AO82" s="14">
        <f t="shared" si="221"/>
        <v>0.44</v>
      </c>
      <c r="AP82" s="15" t="s">
        <v>597</v>
      </c>
      <c r="AQ82" s="113"/>
      <c r="AR82" s="16"/>
      <c r="AS82" s="13">
        <v>9559</v>
      </c>
      <c r="AT82" s="13">
        <f t="shared" si="222"/>
        <v>86</v>
      </c>
      <c r="AU82" s="13">
        <v>471</v>
      </c>
      <c r="AV82" s="13">
        <f t="shared" si="223"/>
        <v>2</v>
      </c>
      <c r="AW82" s="13">
        <v>11</v>
      </c>
      <c r="AX82" s="13">
        <f t="shared" si="224"/>
        <v>2</v>
      </c>
      <c r="AY82" s="17">
        <v>13</v>
      </c>
      <c r="AZ82" s="56" t="str">
        <f t="shared" si="225"/>
        <v>液晶ミニカメラ</v>
      </c>
      <c r="BA82" s="54">
        <f t="shared" si="225"/>
        <v>1100</v>
      </c>
      <c r="BB82" s="13">
        <f t="shared" si="226"/>
        <v>2200</v>
      </c>
      <c r="BC82" s="14">
        <f t="shared" si="227"/>
        <v>0.2558139534883721</v>
      </c>
      <c r="BD82" s="15" t="s">
        <v>602</v>
      </c>
      <c r="BE82" s="2"/>
      <c r="BF82" s="16"/>
      <c r="BG82" s="7" t="s">
        <v>590</v>
      </c>
      <c r="BH82" s="13">
        <v>3444</v>
      </c>
      <c r="BI82" s="13">
        <f t="shared" si="228"/>
        <v>362</v>
      </c>
      <c r="BJ82" s="13">
        <v>21</v>
      </c>
      <c r="BK82" s="13">
        <f t="shared" si="229"/>
        <v>1</v>
      </c>
      <c r="BL82" s="13">
        <v>3</v>
      </c>
      <c r="BM82" s="13">
        <f t="shared" si="230"/>
        <v>1</v>
      </c>
      <c r="BN82" s="17">
        <v>0</v>
      </c>
      <c r="BO82" s="56" t="str">
        <f t="shared" si="231"/>
        <v>ボンボンドロップシール</v>
      </c>
      <c r="BP82" s="54">
        <f t="shared" si="231"/>
        <v>1500</v>
      </c>
      <c r="BQ82" s="13">
        <f t="shared" si="232"/>
        <v>1500</v>
      </c>
      <c r="BR82" s="14">
        <f t="shared" si="233"/>
        <v>4.1436464088397788E-2</v>
      </c>
      <c r="BS82" s="15"/>
      <c r="BU82" s="79">
        <f>IF($A97="","",$A97)</f>
        <v>46143</v>
      </c>
      <c r="BV82" s="17">
        <v>18826</v>
      </c>
      <c r="BW82" s="13">
        <f t="shared" si="168"/>
        <v>160</v>
      </c>
      <c r="BX82" s="13">
        <v>543</v>
      </c>
      <c r="BY82" s="13">
        <f t="shared" si="169"/>
        <v>15</v>
      </c>
      <c r="BZ82" s="13">
        <v>65</v>
      </c>
      <c r="CA82" s="13">
        <f t="shared" si="170"/>
        <v>15</v>
      </c>
      <c r="CB82" s="13">
        <v>0</v>
      </c>
      <c r="CC82" s="231" t="str">
        <f t="shared" si="171"/>
        <v>サミュエルうさぎ</v>
      </c>
      <c r="CD82" s="53">
        <f t="shared" si="172"/>
        <v>935</v>
      </c>
      <c r="CE82" s="13">
        <f t="shared" si="173"/>
        <v>14025</v>
      </c>
      <c r="CF82" s="123">
        <f t="shared" si="174"/>
        <v>0.87656250000000002</v>
      </c>
      <c r="CG82" s="15"/>
      <c r="CH82" s="1"/>
      <c r="CI82" s="79">
        <f>IF($A97="","",$A97)</f>
        <v>46143</v>
      </c>
      <c r="CJ82" s="17">
        <v>45082</v>
      </c>
      <c r="CK82" s="13">
        <f t="shared" si="175"/>
        <v>1364</v>
      </c>
      <c r="CL82" s="13">
        <v>559</v>
      </c>
      <c r="CM82" s="13">
        <f t="shared" si="176"/>
        <v>18</v>
      </c>
      <c r="CN82" s="13">
        <v>24</v>
      </c>
      <c r="CO82" s="13">
        <f t="shared" si="177"/>
        <v>20</v>
      </c>
      <c r="CP82" s="13">
        <v>20</v>
      </c>
      <c r="CQ82" s="231" t="str">
        <f t="shared" si="178"/>
        <v>ボンボンドロップシール</v>
      </c>
      <c r="CR82" s="53">
        <f t="shared" si="179"/>
        <v>1500</v>
      </c>
      <c r="CS82" s="13">
        <f t="shared" si="180"/>
        <v>30000</v>
      </c>
      <c r="CT82" s="14">
        <f t="shared" si="181"/>
        <v>0.21994134897360704</v>
      </c>
      <c r="CU82" s="15"/>
      <c r="CV82" s="1"/>
      <c r="CW82" s="79">
        <f>IF($A97="","",$A97)</f>
        <v>46143</v>
      </c>
      <c r="CX82" s="17">
        <v>16869</v>
      </c>
      <c r="CY82" s="13">
        <f t="shared" si="182"/>
        <v>166</v>
      </c>
      <c r="CZ82" s="13">
        <v>348</v>
      </c>
      <c r="DA82" s="13">
        <f t="shared" si="183"/>
        <v>7</v>
      </c>
      <c r="DB82" s="13">
        <v>68</v>
      </c>
      <c r="DC82" s="13">
        <f t="shared" si="184"/>
        <v>8</v>
      </c>
      <c r="DD82" s="13">
        <v>10</v>
      </c>
      <c r="DE82" s="231" t="str">
        <f t="shared" si="185"/>
        <v>サンリオマスコットポーチ</v>
      </c>
      <c r="DF82" s="53">
        <f t="shared" si="186"/>
        <v>880</v>
      </c>
      <c r="DG82" s="13">
        <f t="shared" si="187"/>
        <v>7040</v>
      </c>
      <c r="DH82" s="14">
        <f t="shared" si="188"/>
        <v>0.42409638554216866</v>
      </c>
      <c r="DI82" s="15"/>
      <c r="DJ82" s="1"/>
      <c r="DK82" s="79">
        <f>IF($A97="","",$A97)</f>
        <v>46143</v>
      </c>
      <c r="DL82" s="17">
        <v>11918</v>
      </c>
      <c r="DM82" s="13">
        <f t="shared" si="189"/>
        <v>209</v>
      </c>
      <c r="DN82" s="13">
        <v>356</v>
      </c>
      <c r="DO82" s="13">
        <f t="shared" si="190"/>
        <v>10</v>
      </c>
      <c r="DP82" s="13">
        <v>90</v>
      </c>
      <c r="DQ82" s="13">
        <f t="shared" si="191"/>
        <v>14</v>
      </c>
      <c r="DR82" s="13">
        <v>10</v>
      </c>
      <c r="DS82" s="231" t="str">
        <f t="shared" si="234"/>
        <v>箱入りバター</v>
      </c>
      <c r="DT82" s="53">
        <f t="shared" si="235"/>
        <v>286</v>
      </c>
      <c r="DU82" s="13">
        <f t="shared" si="192"/>
        <v>4004</v>
      </c>
      <c r="DV82" s="14">
        <f t="shared" si="193"/>
        <v>0.19157894736842104</v>
      </c>
      <c r="DW82" s="15"/>
      <c r="DY82" s="79">
        <f>IF($A97="","",$A97)</f>
        <v>46143</v>
      </c>
      <c r="DZ82" s="17">
        <v>2566</v>
      </c>
      <c r="EA82" s="13">
        <f t="shared" si="194"/>
        <v>131</v>
      </c>
      <c r="EB82" s="13">
        <v>182</v>
      </c>
      <c r="EC82" s="13">
        <f t="shared" si="195"/>
        <v>7</v>
      </c>
      <c r="ED82" s="13">
        <v>90</v>
      </c>
      <c r="EE82" s="13">
        <f t="shared" si="196"/>
        <v>8</v>
      </c>
      <c r="EF82" s="13">
        <v>14</v>
      </c>
      <c r="EG82" s="231" t="str">
        <f t="shared" si="197"/>
        <v>サンリオアニマルポーチ</v>
      </c>
      <c r="EH82" s="53">
        <f t="shared" si="198"/>
        <v>950</v>
      </c>
      <c r="EI82" s="13">
        <f t="shared" si="199"/>
        <v>7600</v>
      </c>
      <c r="EJ82" s="14">
        <f t="shared" si="200"/>
        <v>0.58015267175572516</v>
      </c>
      <c r="EK82" s="15" t="s">
        <v>623</v>
      </c>
    </row>
    <row r="83" spans="1:141" x14ac:dyDescent="0.2">
      <c r="A83" s="16"/>
      <c r="B83" s="11"/>
      <c r="C83" s="34">
        <v>13077</v>
      </c>
      <c r="D83" s="13">
        <f t="shared" si="201"/>
        <v>38</v>
      </c>
      <c r="E83" s="34">
        <v>741</v>
      </c>
      <c r="F83" s="13">
        <f t="shared" si="202"/>
        <v>1</v>
      </c>
      <c r="G83" s="34">
        <v>256</v>
      </c>
      <c r="H83" s="13">
        <f t="shared" si="203"/>
        <v>4</v>
      </c>
      <c r="I83" s="49">
        <v>0</v>
      </c>
      <c r="J83" s="111" t="str">
        <f t="shared" si="204"/>
        <v>ブレスレット</v>
      </c>
      <c r="K83" s="13">
        <f t="shared" si="205"/>
        <v>100</v>
      </c>
      <c r="L83" s="13">
        <f t="shared" si="206"/>
        <v>400</v>
      </c>
      <c r="M83" s="14">
        <f t="shared" si="207"/>
        <v>0.10526315789473684</v>
      </c>
      <c r="N83" s="159" t="s">
        <v>475</v>
      </c>
      <c r="O83" s="2"/>
      <c r="P83" s="16"/>
      <c r="Q83" s="34">
        <v>10294</v>
      </c>
      <c r="R83" s="13">
        <f t="shared" si="208"/>
        <v>83</v>
      </c>
      <c r="S83" s="34">
        <v>215</v>
      </c>
      <c r="T83" s="13">
        <f t="shared" si="209"/>
        <v>2</v>
      </c>
      <c r="U83" s="34">
        <v>21</v>
      </c>
      <c r="V83" s="13">
        <f t="shared" si="210"/>
        <v>1</v>
      </c>
      <c r="W83" s="49">
        <v>0</v>
      </c>
      <c r="X83" s="56" t="str">
        <f t="shared" si="211"/>
        <v>たまごっちミニクリップ</v>
      </c>
      <c r="Y83" s="13">
        <f t="shared" si="212"/>
        <v>1100</v>
      </c>
      <c r="Z83" s="13">
        <f t="shared" si="213"/>
        <v>1100</v>
      </c>
      <c r="AA83" s="14">
        <f t="shared" si="214"/>
        <v>0.13253012048192772</v>
      </c>
      <c r="AB83" s="15"/>
      <c r="AC83" s="15"/>
      <c r="AD83" s="16"/>
      <c r="AE83" s="34">
        <v>13921</v>
      </c>
      <c r="AF83" s="13">
        <f t="shared" si="215"/>
        <v>80</v>
      </c>
      <c r="AG83" s="34">
        <v>391</v>
      </c>
      <c r="AH83" s="13">
        <f t="shared" si="216"/>
        <v>2</v>
      </c>
      <c r="AI83" s="34">
        <v>118</v>
      </c>
      <c r="AJ83" s="13">
        <f t="shared" si="217"/>
        <v>2</v>
      </c>
      <c r="AK83" s="49">
        <v>0</v>
      </c>
      <c r="AL83" s="56" t="str">
        <f t="shared" si="218"/>
        <v>ふわもちスクイーズ</v>
      </c>
      <c r="AM83" s="13">
        <f t="shared" si="219"/>
        <v>99</v>
      </c>
      <c r="AN83" s="13">
        <f t="shared" si="220"/>
        <v>198</v>
      </c>
      <c r="AO83" s="14">
        <f t="shared" si="221"/>
        <v>2.4750000000000001E-2</v>
      </c>
      <c r="AP83" s="15"/>
      <c r="AQ83" s="113"/>
      <c r="AR83" s="16"/>
      <c r="AS83" s="34">
        <v>17911</v>
      </c>
      <c r="AT83" s="13">
        <f t="shared" si="222"/>
        <v>263</v>
      </c>
      <c r="AU83" s="34">
        <v>571</v>
      </c>
      <c r="AV83" s="13">
        <f t="shared" si="223"/>
        <v>3</v>
      </c>
      <c r="AW83" s="34">
        <v>16</v>
      </c>
      <c r="AX83" s="13">
        <f t="shared" si="224"/>
        <v>3</v>
      </c>
      <c r="AY83" s="49">
        <v>0</v>
      </c>
      <c r="AZ83" s="56" t="str">
        <f t="shared" si="225"/>
        <v>たまごっちマスコット</v>
      </c>
      <c r="BA83" s="13">
        <f t="shared" si="225"/>
        <v>1430</v>
      </c>
      <c r="BB83" s="13">
        <f t="shared" si="226"/>
        <v>4290</v>
      </c>
      <c r="BC83" s="14">
        <f t="shared" si="227"/>
        <v>0.16311787072243347</v>
      </c>
      <c r="BD83" s="15"/>
      <c r="BE83" s="2"/>
      <c r="BF83" s="16"/>
      <c r="BG83" s="7" t="s">
        <v>591</v>
      </c>
      <c r="BH83" s="34">
        <v>2714</v>
      </c>
      <c r="BI83" s="13">
        <f t="shared" si="228"/>
        <v>150</v>
      </c>
      <c r="BJ83" s="34">
        <v>26</v>
      </c>
      <c r="BK83" s="13">
        <f t="shared" si="229"/>
        <v>3</v>
      </c>
      <c r="BL83" s="34">
        <v>3</v>
      </c>
      <c r="BM83" s="13">
        <f t="shared" si="230"/>
        <v>3</v>
      </c>
      <c r="BN83" s="49">
        <v>0</v>
      </c>
      <c r="BO83" s="56" t="str">
        <f t="shared" si="231"/>
        <v>うるちゅるサンリオ</v>
      </c>
      <c r="BP83" s="13">
        <f t="shared" si="231"/>
        <v>1500</v>
      </c>
      <c r="BQ83" s="13">
        <f t="shared" si="232"/>
        <v>4500</v>
      </c>
      <c r="BR83" s="14">
        <f t="shared" si="233"/>
        <v>0.3</v>
      </c>
      <c r="BS83" s="15" t="s">
        <v>544</v>
      </c>
      <c r="BU83" s="79">
        <f>IF($A101="","",$A101)</f>
        <v>46146</v>
      </c>
      <c r="BV83" s="17">
        <v>18923</v>
      </c>
      <c r="BW83" s="13">
        <f t="shared" si="168"/>
        <v>97</v>
      </c>
      <c r="BX83" s="13">
        <v>547</v>
      </c>
      <c r="BY83" s="13">
        <f t="shared" si="169"/>
        <v>4</v>
      </c>
      <c r="BZ83" s="13">
        <v>60</v>
      </c>
      <c r="CA83" s="13">
        <f t="shared" si="170"/>
        <v>5</v>
      </c>
      <c r="CB83" s="13">
        <v>10</v>
      </c>
      <c r="CC83" s="231" t="str">
        <f t="shared" si="171"/>
        <v>サミュエルうさぎ</v>
      </c>
      <c r="CD83" s="53">
        <f t="shared" si="172"/>
        <v>935</v>
      </c>
      <c r="CE83" s="13">
        <f t="shared" si="173"/>
        <v>4675</v>
      </c>
      <c r="CF83" s="123">
        <f t="shared" si="174"/>
        <v>0.48195876288659795</v>
      </c>
      <c r="CG83" s="15" t="s">
        <v>626</v>
      </c>
      <c r="CH83" s="1"/>
      <c r="CI83" s="79">
        <f>IF($A101="","",$A101)</f>
        <v>46146</v>
      </c>
      <c r="CJ83" s="17">
        <v>45682</v>
      </c>
      <c r="CK83" s="13">
        <f t="shared" si="175"/>
        <v>600</v>
      </c>
      <c r="CL83" s="13">
        <v>565</v>
      </c>
      <c r="CM83" s="13">
        <f t="shared" si="176"/>
        <v>6</v>
      </c>
      <c r="CN83" s="13">
        <v>37</v>
      </c>
      <c r="CO83" s="13">
        <f t="shared" si="177"/>
        <v>7</v>
      </c>
      <c r="CP83" s="13">
        <v>8</v>
      </c>
      <c r="CQ83" s="231" t="str">
        <f t="shared" si="178"/>
        <v>ボンボンドロップシール</v>
      </c>
      <c r="CR83" s="53">
        <f t="shared" si="179"/>
        <v>1500</v>
      </c>
      <c r="CS83" s="13">
        <f t="shared" si="180"/>
        <v>10500</v>
      </c>
      <c r="CT83" s="14">
        <f t="shared" si="181"/>
        <v>0.17499999999999999</v>
      </c>
      <c r="CU83" s="15"/>
      <c r="CV83" s="1"/>
      <c r="CW83" s="79">
        <f>IF($A101="","",$A101)</f>
        <v>46146</v>
      </c>
      <c r="CX83" s="17">
        <v>17128</v>
      </c>
      <c r="CY83" s="13">
        <f t="shared" si="182"/>
        <v>259</v>
      </c>
      <c r="CZ83" s="13">
        <v>356</v>
      </c>
      <c r="DA83" s="13">
        <f t="shared" si="183"/>
        <v>8</v>
      </c>
      <c r="DB83" s="13">
        <v>70</v>
      </c>
      <c r="DC83" s="13">
        <f t="shared" si="184"/>
        <v>8</v>
      </c>
      <c r="DD83" s="13">
        <v>14</v>
      </c>
      <c r="DE83" s="231" t="str">
        <f t="shared" si="185"/>
        <v>サンリオマスコットポーチ</v>
      </c>
      <c r="DF83" s="53">
        <f t="shared" si="186"/>
        <v>880</v>
      </c>
      <c r="DG83" s="13">
        <f t="shared" si="187"/>
        <v>7040</v>
      </c>
      <c r="DH83" s="14">
        <f t="shared" si="188"/>
        <v>0.27181467181467184</v>
      </c>
      <c r="DI83" s="15"/>
      <c r="DJ83" s="1"/>
      <c r="DK83" s="79">
        <f>IF($A101="","",$A101)</f>
        <v>46146</v>
      </c>
      <c r="DL83" s="17">
        <v>12069</v>
      </c>
      <c r="DM83" s="13">
        <f t="shared" si="189"/>
        <v>151</v>
      </c>
      <c r="DN83" s="13">
        <v>371</v>
      </c>
      <c r="DO83" s="13">
        <f t="shared" si="190"/>
        <v>15</v>
      </c>
      <c r="DP83" s="13">
        <v>85</v>
      </c>
      <c r="DQ83" s="13">
        <f t="shared" si="191"/>
        <v>15</v>
      </c>
      <c r="DR83" s="13">
        <v>10</v>
      </c>
      <c r="DS83" s="231" t="str">
        <f t="shared" si="234"/>
        <v>箱入りバター</v>
      </c>
      <c r="DT83" s="53">
        <f t="shared" si="235"/>
        <v>286</v>
      </c>
      <c r="DU83" s="13">
        <f t="shared" si="192"/>
        <v>4290</v>
      </c>
      <c r="DV83" s="14">
        <f t="shared" si="193"/>
        <v>0.28410596026490065</v>
      </c>
      <c r="DW83" s="15" t="s">
        <v>624</v>
      </c>
      <c r="DY83" s="79">
        <f>IF($A101="","",$A101)</f>
        <v>46146</v>
      </c>
      <c r="DZ83" s="17">
        <v>2659</v>
      </c>
      <c r="EA83" s="13">
        <f t="shared" si="194"/>
        <v>93</v>
      </c>
      <c r="EB83" s="13">
        <v>187</v>
      </c>
      <c r="EC83" s="13">
        <f t="shared" si="195"/>
        <v>5</v>
      </c>
      <c r="ED83" s="13">
        <v>99</v>
      </c>
      <c r="EE83" s="13">
        <f t="shared" si="196"/>
        <v>5</v>
      </c>
      <c r="EF83" s="13">
        <v>16</v>
      </c>
      <c r="EG83" s="231" t="str">
        <f t="shared" si="197"/>
        <v>サンリオアニマルポーチ</v>
      </c>
      <c r="EH83" s="53">
        <f t="shared" si="198"/>
        <v>950</v>
      </c>
      <c r="EI83" s="13">
        <f t="shared" si="199"/>
        <v>4750</v>
      </c>
      <c r="EJ83" s="14">
        <f t="shared" si="200"/>
        <v>0.510752688172043</v>
      </c>
      <c r="EK83" s="15"/>
    </row>
    <row r="84" spans="1:141" ht="15" customHeight="1" thickBot="1" x14ac:dyDescent="0.25">
      <c r="A84" s="26"/>
      <c r="B84" s="46"/>
      <c r="C84" s="27">
        <v>9117</v>
      </c>
      <c r="D84" s="27">
        <f t="shared" si="201"/>
        <v>78</v>
      </c>
      <c r="E84" s="27">
        <v>534</v>
      </c>
      <c r="F84" s="27">
        <f t="shared" si="202"/>
        <v>3</v>
      </c>
      <c r="G84" s="27">
        <v>6</v>
      </c>
      <c r="H84" s="27">
        <f t="shared" si="203"/>
        <v>3</v>
      </c>
      <c r="I84" s="47">
        <v>11</v>
      </c>
      <c r="J84" s="57" t="str">
        <f t="shared" si="204"/>
        <v>モンチチフルーツマスコット</v>
      </c>
      <c r="K84" s="62">
        <f t="shared" si="205"/>
        <v>572</v>
      </c>
      <c r="L84" s="27">
        <f t="shared" si="206"/>
        <v>1716</v>
      </c>
      <c r="M84" s="28">
        <f t="shared" si="207"/>
        <v>0.22</v>
      </c>
      <c r="N84" s="15"/>
      <c r="O84" s="2"/>
      <c r="P84" s="26"/>
      <c r="Q84" s="27">
        <v>14499</v>
      </c>
      <c r="R84" s="27">
        <f t="shared" si="208"/>
        <v>88</v>
      </c>
      <c r="S84" s="27">
        <v>615</v>
      </c>
      <c r="T84" s="27">
        <f t="shared" si="209"/>
        <v>9</v>
      </c>
      <c r="U84" s="27">
        <v>28</v>
      </c>
      <c r="V84" s="27">
        <f t="shared" si="210"/>
        <v>10</v>
      </c>
      <c r="W84" s="47">
        <v>16</v>
      </c>
      <c r="X84" s="57" t="str">
        <f t="shared" si="211"/>
        <v>ボンボンドロップ</v>
      </c>
      <c r="Y84" s="62">
        <f t="shared" si="212"/>
        <v>200</v>
      </c>
      <c r="Z84" s="27">
        <f t="shared" si="213"/>
        <v>2000</v>
      </c>
      <c r="AA84" s="28">
        <f t="shared" si="214"/>
        <v>0.22727272727272727</v>
      </c>
      <c r="AB84" s="15"/>
      <c r="AC84" s="15"/>
      <c r="AD84" s="26"/>
      <c r="AE84" s="27">
        <v>13604</v>
      </c>
      <c r="AF84" s="27">
        <f t="shared" si="215"/>
        <v>46</v>
      </c>
      <c r="AG84" s="27">
        <v>354</v>
      </c>
      <c r="AH84" s="27">
        <f t="shared" si="216"/>
        <v>0</v>
      </c>
      <c r="AI84" s="27">
        <v>13</v>
      </c>
      <c r="AJ84" s="27">
        <f t="shared" si="217"/>
        <v>1</v>
      </c>
      <c r="AK84" s="47">
        <v>6</v>
      </c>
      <c r="AL84" s="108" t="str">
        <f t="shared" si="218"/>
        <v>キティキラキラマルチケース</v>
      </c>
      <c r="AM84" s="62">
        <f t="shared" si="219"/>
        <v>400</v>
      </c>
      <c r="AN84" s="27">
        <f t="shared" si="220"/>
        <v>400</v>
      </c>
      <c r="AO84" s="28">
        <f t="shared" si="221"/>
        <v>8.6956521739130432E-2</v>
      </c>
      <c r="AP84" s="15" t="s">
        <v>599</v>
      </c>
      <c r="AQ84" s="113"/>
      <c r="AR84" s="26"/>
      <c r="AS84" s="27">
        <v>18058</v>
      </c>
      <c r="AT84" s="27">
        <f t="shared" si="222"/>
        <v>278</v>
      </c>
      <c r="AU84" s="27">
        <v>504</v>
      </c>
      <c r="AV84" s="27">
        <f t="shared" si="223"/>
        <v>2</v>
      </c>
      <c r="AW84" s="27">
        <v>19</v>
      </c>
      <c r="AX84" s="27">
        <f t="shared" si="224"/>
        <v>1</v>
      </c>
      <c r="AY84" s="47">
        <v>0</v>
      </c>
      <c r="AZ84" s="57" t="str">
        <f t="shared" si="225"/>
        <v>バタースクイーズ</v>
      </c>
      <c r="BA84" s="62">
        <f t="shared" si="225"/>
        <v>400</v>
      </c>
      <c r="BB84" s="27">
        <f t="shared" si="226"/>
        <v>400</v>
      </c>
      <c r="BC84" s="28">
        <f t="shared" si="227"/>
        <v>1.4388489208633094E-2</v>
      </c>
      <c r="BD84" s="15"/>
      <c r="BE84" s="2"/>
      <c r="BF84" s="26"/>
      <c r="BG84" s="241" t="s">
        <v>592</v>
      </c>
      <c r="BH84" s="27">
        <v>2131</v>
      </c>
      <c r="BI84" s="27">
        <f t="shared" si="228"/>
        <v>164</v>
      </c>
      <c r="BJ84" s="27">
        <v>24</v>
      </c>
      <c r="BK84" s="27">
        <f t="shared" si="229"/>
        <v>1</v>
      </c>
      <c r="BL84" s="27">
        <v>3</v>
      </c>
      <c r="BM84" s="27">
        <f t="shared" si="230"/>
        <v>1</v>
      </c>
      <c r="BN84" s="47">
        <v>0</v>
      </c>
      <c r="BO84" s="57" t="str">
        <f t="shared" si="231"/>
        <v>ボンボンドロップシール</v>
      </c>
      <c r="BP84" s="62">
        <f t="shared" si="231"/>
        <v>1500</v>
      </c>
      <c r="BQ84" s="27">
        <f t="shared" si="232"/>
        <v>1500</v>
      </c>
      <c r="BR84" s="28">
        <f t="shared" si="233"/>
        <v>9.1463414634146339E-2</v>
      </c>
      <c r="BS84" s="15"/>
      <c r="BU84" s="79">
        <f>IF($A105="","",$A105)</f>
        <v>46149</v>
      </c>
      <c r="BV84" s="17">
        <v>19069</v>
      </c>
      <c r="BW84" s="13">
        <f t="shared" si="168"/>
        <v>146</v>
      </c>
      <c r="BX84" s="13">
        <v>549</v>
      </c>
      <c r="BY84" s="13">
        <f t="shared" si="169"/>
        <v>2</v>
      </c>
      <c r="BZ84" s="13">
        <v>68</v>
      </c>
      <c r="CA84" s="13">
        <f t="shared" si="170"/>
        <v>2</v>
      </c>
      <c r="CB84" s="13">
        <v>6</v>
      </c>
      <c r="CC84" s="231" t="str">
        <f t="shared" si="171"/>
        <v>サミュエルうさぎ</v>
      </c>
      <c r="CD84" s="53">
        <f t="shared" si="172"/>
        <v>935</v>
      </c>
      <c r="CE84" s="13">
        <f t="shared" si="173"/>
        <v>1870</v>
      </c>
      <c r="CF84" s="14">
        <f t="shared" si="174"/>
        <v>0.12808219178082192</v>
      </c>
      <c r="CG84" s="15"/>
      <c r="CH84" s="1"/>
      <c r="CI84" s="79">
        <f>IF($A105="","",$A105)</f>
        <v>46149</v>
      </c>
      <c r="CJ84" s="17">
        <v>46244</v>
      </c>
      <c r="CK84" s="13">
        <f t="shared" si="175"/>
        <v>562</v>
      </c>
      <c r="CL84" s="13">
        <v>569</v>
      </c>
      <c r="CM84" s="13">
        <f t="shared" si="176"/>
        <v>4</v>
      </c>
      <c r="CN84" s="13">
        <v>40</v>
      </c>
      <c r="CO84" s="13">
        <f t="shared" si="177"/>
        <v>5</v>
      </c>
      <c r="CP84" s="13">
        <v>16</v>
      </c>
      <c r="CQ84" s="231" t="str">
        <f t="shared" si="178"/>
        <v>ボンボンドロップシール</v>
      </c>
      <c r="CR84" s="53">
        <f t="shared" si="179"/>
        <v>1500</v>
      </c>
      <c r="CS84" s="13">
        <f t="shared" si="180"/>
        <v>7500</v>
      </c>
      <c r="CT84" s="14">
        <f t="shared" si="181"/>
        <v>0.13345195729537365</v>
      </c>
      <c r="CU84" s="15"/>
      <c r="CV84" s="1"/>
      <c r="CW84" s="79">
        <f>IF($A105="","",$A105)</f>
        <v>46149</v>
      </c>
      <c r="CX84" s="17">
        <v>17424</v>
      </c>
      <c r="CY84" s="13">
        <f t="shared" si="182"/>
        <v>296</v>
      </c>
      <c r="CZ84" s="13">
        <v>365</v>
      </c>
      <c r="DA84" s="13">
        <f t="shared" si="183"/>
        <v>9</v>
      </c>
      <c r="DB84" s="13">
        <v>74</v>
      </c>
      <c r="DC84" s="13">
        <f t="shared" si="184"/>
        <v>10</v>
      </c>
      <c r="DD84" s="13">
        <v>8</v>
      </c>
      <c r="DE84" s="231" t="str">
        <f t="shared" si="185"/>
        <v>サンリオマスコットポーチ</v>
      </c>
      <c r="DF84" s="53">
        <f t="shared" si="186"/>
        <v>880</v>
      </c>
      <c r="DG84" s="13">
        <f t="shared" si="187"/>
        <v>8800</v>
      </c>
      <c r="DH84" s="14">
        <f t="shared" si="188"/>
        <v>0.29729729729729731</v>
      </c>
      <c r="DI84" s="15"/>
      <c r="DJ84" s="1"/>
      <c r="DK84" s="79">
        <f>IF($A105="","",$A105)</f>
        <v>46149</v>
      </c>
      <c r="DL84" s="17">
        <v>12222</v>
      </c>
      <c r="DM84" s="13">
        <f t="shared" si="189"/>
        <v>153</v>
      </c>
      <c r="DN84" s="13">
        <v>379</v>
      </c>
      <c r="DO84" s="13">
        <f t="shared" si="190"/>
        <v>8</v>
      </c>
      <c r="DP84" s="13">
        <v>86</v>
      </c>
      <c r="DQ84" s="13">
        <f t="shared" si="191"/>
        <v>9</v>
      </c>
      <c r="DR84" s="13">
        <v>30</v>
      </c>
      <c r="DS84" s="231" t="str">
        <f t="shared" si="234"/>
        <v>箱入りバター</v>
      </c>
      <c r="DT84" s="53">
        <f t="shared" si="235"/>
        <v>286</v>
      </c>
      <c r="DU84" s="13">
        <f t="shared" si="192"/>
        <v>2574</v>
      </c>
      <c r="DV84" s="14">
        <f t="shared" si="193"/>
        <v>0.16823529411764707</v>
      </c>
      <c r="DW84" s="15"/>
      <c r="DY84" s="79">
        <f>IF($A105="","",$A105)</f>
        <v>46149</v>
      </c>
      <c r="DZ84" s="17">
        <v>2836</v>
      </c>
      <c r="EA84" s="13">
        <f t="shared" si="194"/>
        <v>177</v>
      </c>
      <c r="EB84" s="13">
        <v>198</v>
      </c>
      <c r="EC84" s="13">
        <f t="shared" si="195"/>
        <v>11</v>
      </c>
      <c r="ED84" s="13">
        <v>104</v>
      </c>
      <c r="EE84" s="13">
        <f t="shared" si="196"/>
        <v>11</v>
      </c>
      <c r="EF84" s="13">
        <v>0</v>
      </c>
      <c r="EG84" s="231" t="str">
        <f t="shared" si="197"/>
        <v>サンリオアニマルポーチ</v>
      </c>
      <c r="EH84" s="53">
        <f t="shared" si="198"/>
        <v>950</v>
      </c>
      <c r="EI84" s="13">
        <f t="shared" si="199"/>
        <v>10450</v>
      </c>
      <c r="EJ84" s="14">
        <f t="shared" si="200"/>
        <v>0.59039548022598876</v>
      </c>
      <c r="EK84" s="15"/>
    </row>
    <row r="85" spans="1:141" ht="15" customHeight="1" thickTop="1" x14ac:dyDescent="0.2">
      <c r="A85" s="79">
        <v>46132</v>
      </c>
      <c r="B85" s="74">
        <f>IF(A85="","",SUM(D85:D88)+SUM(R85:R88)+SUM(AF85:AF88)+SUM(AT85:AT88)+SUM(BW79,CK79,CY79,DM79,EA79)+SUM(BI85:BI88))</f>
        <v>3273</v>
      </c>
      <c r="C85" s="190">
        <v>7790</v>
      </c>
      <c r="D85" s="53">
        <f t="shared" si="201"/>
        <v>73</v>
      </c>
      <c r="E85" s="13">
        <v>391</v>
      </c>
      <c r="F85" s="31">
        <f t="shared" si="202"/>
        <v>2</v>
      </c>
      <c r="G85" s="13">
        <v>44</v>
      </c>
      <c r="H85" s="53">
        <f t="shared" si="203"/>
        <v>3</v>
      </c>
      <c r="I85" s="192">
        <v>20</v>
      </c>
      <c r="J85" s="75" t="str">
        <f t="shared" si="204"/>
        <v>ジャグラーボタン</v>
      </c>
      <c r="K85" s="76">
        <f t="shared" si="205"/>
        <v>748</v>
      </c>
      <c r="L85" s="31">
        <f t="shared" si="206"/>
        <v>2244</v>
      </c>
      <c r="M85" s="32">
        <f t="shared" si="207"/>
        <v>0.30739726027397263</v>
      </c>
      <c r="N85" s="15"/>
      <c r="O85" s="248"/>
      <c r="P85" s="79">
        <f>IF(A85="","",A85)</f>
        <v>46132</v>
      </c>
      <c r="Q85" s="190">
        <v>9009</v>
      </c>
      <c r="R85" s="53">
        <f t="shared" si="208"/>
        <v>150</v>
      </c>
      <c r="S85" s="13">
        <v>267</v>
      </c>
      <c r="T85" s="31">
        <f t="shared" si="209"/>
        <v>3</v>
      </c>
      <c r="U85" s="13">
        <v>10</v>
      </c>
      <c r="V85" s="53">
        <f t="shared" si="210"/>
        <v>3</v>
      </c>
      <c r="W85" s="192">
        <v>2</v>
      </c>
      <c r="X85" s="75" t="str">
        <f t="shared" si="211"/>
        <v>キティボアバンスクリップ</v>
      </c>
      <c r="Y85" s="76">
        <f t="shared" si="212"/>
        <v>1100</v>
      </c>
      <c r="Z85" s="31">
        <f t="shared" si="213"/>
        <v>3300</v>
      </c>
      <c r="AA85" s="32">
        <f t="shared" si="214"/>
        <v>0.22</v>
      </c>
      <c r="AB85" s="15"/>
      <c r="AC85" s="199"/>
      <c r="AD85" s="79">
        <f>IF($A85="","",$A85)</f>
        <v>46132</v>
      </c>
      <c r="AE85" s="190">
        <v>11805</v>
      </c>
      <c r="AF85" s="127">
        <f t="shared" si="215"/>
        <v>31</v>
      </c>
      <c r="AG85" s="13">
        <v>268</v>
      </c>
      <c r="AH85" s="31">
        <f t="shared" si="216"/>
        <v>0</v>
      </c>
      <c r="AI85" s="13">
        <v>15</v>
      </c>
      <c r="AJ85" s="53">
        <f t="shared" si="217"/>
        <v>0</v>
      </c>
      <c r="AK85" s="192">
        <v>0</v>
      </c>
      <c r="AL85" s="75" t="str">
        <f t="shared" si="218"/>
        <v>着物キティ</v>
      </c>
      <c r="AM85" s="76">
        <f t="shared" si="219"/>
        <v>1100</v>
      </c>
      <c r="AN85" s="31">
        <f t="shared" si="220"/>
        <v>0</v>
      </c>
      <c r="AO85" s="32">
        <f t="shared" si="221"/>
        <v>0</v>
      </c>
      <c r="AP85" s="233" t="s">
        <v>610</v>
      </c>
      <c r="AQ85" s="201"/>
      <c r="AR85" s="79">
        <f>IF($A85="","",$A85)</f>
        <v>46132</v>
      </c>
      <c r="AS85" s="190">
        <v>12783</v>
      </c>
      <c r="AT85" s="53">
        <f t="shared" si="222"/>
        <v>49</v>
      </c>
      <c r="AU85" s="13">
        <v>394</v>
      </c>
      <c r="AV85" s="31">
        <f t="shared" si="223"/>
        <v>0</v>
      </c>
      <c r="AW85" s="13">
        <v>27</v>
      </c>
      <c r="AX85" s="53">
        <f t="shared" si="224"/>
        <v>0</v>
      </c>
      <c r="AY85" s="192">
        <v>0</v>
      </c>
      <c r="AZ85" s="75" t="str">
        <f t="shared" si="225"/>
        <v>ゲーム機イヤホン</v>
      </c>
      <c r="BA85" s="76">
        <f t="shared" si="225"/>
        <v>1100</v>
      </c>
      <c r="BB85" s="31">
        <f t="shared" si="226"/>
        <v>0</v>
      </c>
      <c r="BC85" s="32">
        <f t="shared" si="227"/>
        <v>0</v>
      </c>
      <c r="BD85" s="15" t="s">
        <v>35</v>
      </c>
      <c r="BE85" s="248"/>
      <c r="BF85" s="79">
        <f>IF(A85="","",A85)</f>
        <v>46132</v>
      </c>
      <c r="BG85" s="239" t="s">
        <v>589</v>
      </c>
      <c r="BH85" s="190">
        <v>2401</v>
      </c>
      <c r="BI85" s="53">
        <f t="shared" si="228"/>
        <v>153</v>
      </c>
      <c r="BJ85" s="13">
        <v>28</v>
      </c>
      <c r="BK85" s="31">
        <f t="shared" si="229"/>
        <v>0</v>
      </c>
      <c r="BL85" s="13">
        <v>3</v>
      </c>
      <c r="BM85" s="53">
        <f t="shared" si="230"/>
        <v>0</v>
      </c>
      <c r="BN85" s="192">
        <v>0</v>
      </c>
      <c r="BO85" s="75" t="str">
        <f t="shared" si="231"/>
        <v>プチドロディズニー</v>
      </c>
      <c r="BP85" s="76">
        <f t="shared" si="231"/>
        <v>1500</v>
      </c>
      <c r="BQ85" s="31">
        <f t="shared" si="232"/>
        <v>0</v>
      </c>
      <c r="BR85" s="32">
        <f t="shared" si="233"/>
        <v>0</v>
      </c>
      <c r="BS85" s="15" t="s">
        <v>608</v>
      </c>
      <c r="BU85" s="79">
        <f>IF($A109="","",$A109)</f>
        <v>46151</v>
      </c>
      <c r="BV85" s="17">
        <v>19120</v>
      </c>
      <c r="BW85" s="13">
        <f t="shared" si="168"/>
        <v>51</v>
      </c>
      <c r="BX85" s="13">
        <v>551</v>
      </c>
      <c r="BY85" s="13">
        <f t="shared" si="169"/>
        <v>2</v>
      </c>
      <c r="BZ85" s="13">
        <v>72</v>
      </c>
      <c r="CA85" s="13">
        <f t="shared" si="170"/>
        <v>2</v>
      </c>
      <c r="CB85" s="13">
        <v>6</v>
      </c>
      <c r="CC85" s="231" t="str">
        <f t="shared" si="171"/>
        <v>サミュエルうさぎ</v>
      </c>
      <c r="CD85" s="53">
        <f t="shared" si="172"/>
        <v>935</v>
      </c>
      <c r="CE85" s="13">
        <f t="shared" si="173"/>
        <v>1870</v>
      </c>
      <c r="CF85" s="14">
        <f t="shared" si="174"/>
        <v>0.36666666666666664</v>
      </c>
      <c r="CG85" s="15"/>
      <c r="CH85" s="1"/>
      <c r="CI85" s="79">
        <f>IF($A109="","",$A109)</f>
        <v>46151</v>
      </c>
      <c r="CJ85" s="17">
        <v>46722</v>
      </c>
      <c r="CK85" s="13">
        <f t="shared" si="175"/>
        <v>478</v>
      </c>
      <c r="CL85" s="13">
        <v>574</v>
      </c>
      <c r="CM85" s="13">
        <f t="shared" si="176"/>
        <v>5</v>
      </c>
      <c r="CN85" s="13">
        <v>51</v>
      </c>
      <c r="CO85" s="13">
        <f t="shared" si="177"/>
        <v>5</v>
      </c>
      <c r="CP85" s="13">
        <v>0</v>
      </c>
      <c r="CQ85" s="231" t="str">
        <f t="shared" si="178"/>
        <v>ボンボンドロップシール</v>
      </c>
      <c r="CR85" s="53">
        <f t="shared" si="179"/>
        <v>1500</v>
      </c>
      <c r="CS85" s="13">
        <f t="shared" si="180"/>
        <v>7500</v>
      </c>
      <c r="CT85" s="14">
        <f t="shared" si="181"/>
        <v>0.15690376569037656</v>
      </c>
      <c r="CU85" s="15"/>
      <c r="CV85" s="1"/>
      <c r="CW85" s="79">
        <f>IF($A109="","",$A109)</f>
        <v>46151</v>
      </c>
      <c r="CX85" s="17">
        <v>17495</v>
      </c>
      <c r="CY85" s="13">
        <f t="shared" si="182"/>
        <v>71</v>
      </c>
      <c r="CZ85" s="13">
        <v>367</v>
      </c>
      <c r="DA85" s="13">
        <f t="shared" si="183"/>
        <v>2</v>
      </c>
      <c r="DB85" s="13">
        <v>80</v>
      </c>
      <c r="DC85" s="13">
        <f t="shared" si="184"/>
        <v>2</v>
      </c>
      <c r="DD85" s="13">
        <v>3</v>
      </c>
      <c r="DE85" s="231" t="str">
        <f t="shared" si="185"/>
        <v>サンリオマスコットポーチ</v>
      </c>
      <c r="DF85" s="53">
        <f t="shared" si="186"/>
        <v>880</v>
      </c>
      <c r="DG85" s="13">
        <f t="shared" si="187"/>
        <v>1760</v>
      </c>
      <c r="DH85" s="14">
        <f t="shared" si="188"/>
        <v>0.24788732394366197</v>
      </c>
      <c r="DI85" s="15"/>
      <c r="DJ85" s="1"/>
      <c r="DK85" s="79">
        <f>IF($A109="","",$A109)</f>
        <v>46151</v>
      </c>
      <c r="DL85" s="17">
        <v>12305</v>
      </c>
      <c r="DM85" s="13">
        <f t="shared" si="189"/>
        <v>83</v>
      </c>
      <c r="DN85" s="13">
        <v>387</v>
      </c>
      <c r="DO85" s="13">
        <f t="shared" si="190"/>
        <v>8</v>
      </c>
      <c r="DP85" s="13">
        <v>108</v>
      </c>
      <c r="DQ85" s="13">
        <f t="shared" si="191"/>
        <v>8</v>
      </c>
      <c r="DR85" s="13">
        <v>5</v>
      </c>
      <c r="DS85" s="231" t="str">
        <f t="shared" si="234"/>
        <v>箱入りバター</v>
      </c>
      <c r="DT85" s="53">
        <f t="shared" si="235"/>
        <v>286</v>
      </c>
      <c r="DU85" s="13">
        <f t="shared" si="192"/>
        <v>2288</v>
      </c>
      <c r="DV85" s="14">
        <f t="shared" si="193"/>
        <v>0.27566265060240963</v>
      </c>
      <c r="DW85" s="15"/>
      <c r="DY85" s="79">
        <f>IF($A109="","",$A109)</f>
        <v>46151</v>
      </c>
      <c r="DZ85" s="17">
        <v>2850</v>
      </c>
      <c r="EA85" s="13">
        <f t="shared" si="194"/>
        <v>14</v>
      </c>
      <c r="EB85" s="13">
        <v>199</v>
      </c>
      <c r="EC85" s="13">
        <f t="shared" si="195"/>
        <v>1</v>
      </c>
      <c r="ED85" s="13">
        <v>103</v>
      </c>
      <c r="EE85" s="13">
        <f t="shared" si="196"/>
        <v>1</v>
      </c>
      <c r="EF85" s="13">
        <v>7</v>
      </c>
      <c r="EG85" s="231" t="str">
        <f t="shared" si="197"/>
        <v>サンリオアニマルポーチ</v>
      </c>
      <c r="EH85" s="53">
        <f t="shared" si="198"/>
        <v>950</v>
      </c>
      <c r="EI85" s="13">
        <f t="shared" si="199"/>
        <v>950</v>
      </c>
      <c r="EJ85" s="14">
        <f t="shared" si="200"/>
        <v>0.6785714285714286</v>
      </c>
      <c r="EK85" s="15"/>
    </row>
    <row r="86" spans="1:141" x14ac:dyDescent="0.2">
      <c r="A86" s="203"/>
      <c r="B86" s="203"/>
      <c r="C86" s="204">
        <v>7516</v>
      </c>
      <c r="D86" s="13">
        <f t="shared" si="201"/>
        <v>55</v>
      </c>
      <c r="E86" s="53">
        <v>435</v>
      </c>
      <c r="F86" s="13">
        <f t="shared" si="202"/>
        <v>2</v>
      </c>
      <c r="G86" s="13">
        <v>44</v>
      </c>
      <c r="H86" s="13">
        <f t="shared" si="203"/>
        <v>2</v>
      </c>
      <c r="I86" s="205">
        <v>0</v>
      </c>
      <c r="J86" s="56" t="str">
        <f t="shared" si="204"/>
        <v>電ブル</v>
      </c>
      <c r="K86" s="54">
        <f t="shared" si="205"/>
        <v>275</v>
      </c>
      <c r="L86" s="13">
        <f t="shared" si="206"/>
        <v>550</v>
      </c>
      <c r="M86" s="14">
        <f t="shared" si="207"/>
        <v>0.1</v>
      </c>
      <c r="N86" s="159" t="s">
        <v>475</v>
      </c>
      <c r="O86" s="248"/>
      <c r="P86" s="203"/>
      <c r="Q86" s="204">
        <v>2163</v>
      </c>
      <c r="R86" s="13">
        <f t="shared" si="208"/>
        <v>187</v>
      </c>
      <c r="S86" s="53">
        <v>172</v>
      </c>
      <c r="T86" s="13">
        <f t="shared" si="209"/>
        <v>4</v>
      </c>
      <c r="U86" s="13">
        <v>12</v>
      </c>
      <c r="V86" s="13">
        <f t="shared" si="210"/>
        <v>5</v>
      </c>
      <c r="W86" s="205">
        <v>4</v>
      </c>
      <c r="X86" s="56" t="str">
        <f t="shared" si="211"/>
        <v>たまごっちブロックシール</v>
      </c>
      <c r="Y86" s="54">
        <f t="shared" si="212"/>
        <v>600</v>
      </c>
      <c r="Z86" s="13">
        <f t="shared" si="213"/>
        <v>3000</v>
      </c>
      <c r="AA86" s="14">
        <f t="shared" si="214"/>
        <v>0.16042780748663102</v>
      </c>
      <c r="AB86" s="15"/>
      <c r="AC86" s="199"/>
      <c r="AD86" s="207"/>
      <c r="AE86" s="204">
        <v>11861</v>
      </c>
      <c r="AF86" s="13">
        <f t="shared" si="215"/>
        <v>73</v>
      </c>
      <c r="AG86" s="53">
        <v>249</v>
      </c>
      <c r="AH86" s="13">
        <f t="shared" si="216"/>
        <v>1</v>
      </c>
      <c r="AI86" s="13">
        <v>8</v>
      </c>
      <c r="AJ86" s="13">
        <f t="shared" si="217"/>
        <v>1</v>
      </c>
      <c r="AK86" s="205">
        <v>4</v>
      </c>
      <c r="AL86" s="56" t="str">
        <f t="shared" si="218"/>
        <v>サンリオハンディファン</v>
      </c>
      <c r="AM86" s="54">
        <f t="shared" si="219"/>
        <v>1100</v>
      </c>
      <c r="AN86" s="13">
        <f t="shared" si="220"/>
        <v>1100</v>
      </c>
      <c r="AO86" s="14">
        <f t="shared" si="221"/>
        <v>0.15068493150684931</v>
      </c>
      <c r="AP86" s="15"/>
      <c r="AQ86" s="201"/>
      <c r="AR86" s="203"/>
      <c r="AS86" s="204">
        <v>9688</v>
      </c>
      <c r="AT86" s="13">
        <f t="shared" si="222"/>
        <v>129</v>
      </c>
      <c r="AU86" s="53">
        <v>473</v>
      </c>
      <c r="AV86" s="13">
        <f t="shared" si="223"/>
        <v>2</v>
      </c>
      <c r="AW86" s="13">
        <v>22</v>
      </c>
      <c r="AX86" s="13">
        <f t="shared" si="224"/>
        <v>2</v>
      </c>
      <c r="AY86" s="205">
        <v>8</v>
      </c>
      <c r="AZ86" s="56" t="s">
        <v>605</v>
      </c>
      <c r="BA86" s="54">
        <f t="shared" ref="BA86:BA132" si="236">IF(AT86="","",BA82)</f>
        <v>1100</v>
      </c>
      <c r="BB86" s="13">
        <f t="shared" si="226"/>
        <v>2200</v>
      </c>
      <c r="BC86" s="14">
        <f t="shared" si="227"/>
        <v>0.17054263565891473</v>
      </c>
      <c r="BD86" s="15" t="s">
        <v>606</v>
      </c>
      <c r="BE86" s="248"/>
      <c r="BF86" s="203"/>
      <c r="BG86" s="239" t="s">
        <v>590</v>
      </c>
      <c r="BH86" s="204">
        <v>3609</v>
      </c>
      <c r="BI86" s="13">
        <f t="shared" si="228"/>
        <v>165</v>
      </c>
      <c r="BJ86" s="53">
        <v>24</v>
      </c>
      <c r="BK86" s="13">
        <f t="shared" si="229"/>
        <v>3</v>
      </c>
      <c r="BL86" s="13">
        <v>0</v>
      </c>
      <c r="BM86" s="13">
        <f t="shared" si="230"/>
        <v>3</v>
      </c>
      <c r="BN86" s="205">
        <v>3</v>
      </c>
      <c r="BO86" s="56" t="str">
        <f t="shared" si="231"/>
        <v>ボンボンドロップシール</v>
      </c>
      <c r="BP86" s="54">
        <f t="shared" si="231"/>
        <v>1500</v>
      </c>
      <c r="BQ86" s="13">
        <f t="shared" si="232"/>
        <v>4500</v>
      </c>
      <c r="BR86" s="14">
        <f t="shared" si="233"/>
        <v>0.27272727272727271</v>
      </c>
      <c r="BS86" s="15"/>
      <c r="BU86" s="79" t="str">
        <f>IF($A113="","",$A113)</f>
        <v/>
      </c>
      <c r="BV86" s="17"/>
      <c r="BW86" s="13"/>
      <c r="BX86" s="13"/>
      <c r="BY86" s="13"/>
      <c r="BZ86" s="13"/>
      <c r="CA86" s="13"/>
      <c r="CB86" s="13"/>
      <c r="CC86" s="231"/>
      <c r="CD86" s="53"/>
      <c r="CE86" s="13"/>
      <c r="CF86" s="14"/>
      <c r="CG86" s="15"/>
      <c r="CH86" s="1"/>
      <c r="CI86" s="79"/>
      <c r="CJ86" s="17"/>
      <c r="CK86" s="13"/>
      <c r="CL86" s="13"/>
      <c r="CM86" s="13"/>
      <c r="CN86" s="13"/>
      <c r="CO86" s="13"/>
      <c r="CP86" s="13"/>
      <c r="CQ86" s="231"/>
      <c r="CR86" s="53"/>
      <c r="CS86" s="13"/>
      <c r="CT86" s="14"/>
      <c r="CU86" s="15"/>
      <c r="CV86" s="1"/>
      <c r="CW86" s="79"/>
      <c r="CX86" s="17"/>
      <c r="CY86" s="13"/>
      <c r="CZ86" s="13"/>
      <c r="DA86" s="13"/>
      <c r="DB86" s="13"/>
      <c r="DC86" s="13"/>
      <c r="DD86" s="13"/>
      <c r="DE86" s="231"/>
      <c r="DF86" s="53"/>
      <c r="DG86" s="13"/>
      <c r="DH86" s="14"/>
      <c r="DI86" s="15"/>
      <c r="DJ86" s="1"/>
      <c r="DK86" s="79"/>
      <c r="DL86" s="17"/>
      <c r="DM86" s="13"/>
      <c r="DN86" s="13"/>
      <c r="DO86" s="13"/>
      <c r="DP86" s="13"/>
      <c r="DQ86" s="13"/>
      <c r="DR86" s="13"/>
      <c r="DS86" s="231"/>
      <c r="DT86" s="53"/>
      <c r="DU86" s="13"/>
      <c r="DV86" s="14"/>
      <c r="DW86" s="15"/>
      <c r="DY86" s="79"/>
      <c r="DZ86" s="17"/>
      <c r="EA86" s="13"/>
      <c r="EB86" s="13"/>
      <c r="EC86" s="13"/>
      <c r="ED86" s="13"/>
      <c r="EE86" s="13"/>
      <c r="EF86" s="13"/>
      <c r="EG86" s="231"/>
      <c r="EH86" s="53"/>
      <c r="EI86" s="13"/>
      <c r="EJ86" s="14"/>
      <c r="EK86" s="15"/>
    </row>
    <row r="87" spans="1:141" x14ac:dyDescent="0.2">
      <c r="A87" s="203"/>
      <c r="B87" s="203"/>
      <c r="C87" s="212">
        <v>13137</v>
      </c>
      <c r="D87" s="13">
        <f t="shared" si="201"/>
        <v>60</v>
      </c>
      <c r="E87" s="13">
        <v>759</v>
      </c>
      <c r="F87" s="13">
        <f t="shared" si="202"/>
        <v>18</v>
      </c>
      <c r="G87" s="13">
        <v>230</v>
      </c>
      <c r="H87" s="13">
        <f t="shared" si="203"/>
        <v>26</v>
      </c>
      <c r="I87" s="214">
        <v>100</v>
      </c>
      <c r="J87" s="56" t="str">
        <f t="shared" si="204"/>
        <v>ブレスレット</v>
      </c>
      <c r="K87" s="13">
        <f t="shared" si="205"/>
        <v>100</v>
      </c>
      <c r="L87" s="13">
        <f t="shared" si="206"/>
        <v>2600</v>
      </c>
      <c r="M87" s="14">
        <f t="shared" si="207"/>
        <v>0.43333333333333335</v>
      </c>
      <c r="N87" s="15"/>
      <c r="O87" s="248"/>
      <c r="P87" s="203"/>
      <c r="Q87" s="212">
        <v>10406</v>
      </c>
      <c r="R87" s="13">
        <f t="shared" si="208"/>
        <v>112</v>
      </c>
      <c r="S87" s="13">
        <v>215</v>
      </c>
      <c r="T87" s="13">
        <f t="shared" si="209"/>
        <v>0</v>
      </c>
      <c r="U87" s="13">
        <v>20</v>
      </c>
      <c r="V87" s="13">
        <f t="shared" si="210"/>
        <v>1</v>
      </c>
      <c r="W87" s="214">
        <v>0</v>
      </c>
      <c r="X87" s="56" t="str">
        <f t="shared" si="211"/>
        <v>たまごっちミニクリップ</v>
      </c>
      <c r="Y87" s="13">
        <f t="shared" si="212"/>
        <v>1100</v>
      </c>
      <c r="Z87" s="13">
        <f t="shared" si="213"/>
        <v>1100</v>
      </c>
      <c r="AA87" s="14">
        <f t="shared" si="214"/>
        <v>9.8214285714285712E-2</v>
      </c>
      <c r="AB87" s="15"/>
      <c r="AC87" s="199"/>
      <c r="AD87" s="207"/>
      <c r="AE87" s="212">
        <v>14027</v>
      </c>
      <c r="AF87" s="13">
        <f t="shared" si="215"/>
        <v>106</v>
      </c>
      <c r="AG87" s="13">
        <v>394</v>
      </c>
      <c r="AH87" s="13">
        <f t="shared" si="216"/>
        <v>3</v>
      </c>
      <c r="AI87" s="13">
        <v>114</v>
      </c>
      <c r="AJ87" s="13">
        <f t="shared" si="217"/>
        <v>4</v>
      </c>
      <c r="AK87" s="214">
        <v>18</v>
      </c>
      <c r="AL87" s="56" t="str">
        <f t="shared" si="218"/>
        <v>ふわもちスクイーズ</v>
      </c>
      <c r="AM87" s="13">
        <f t="shared" si="219"/>
        <v>99</v>
      </c>
      <c r="AN87" s="13">
        <f t="shared" si="220"/>
        <v>396</v>
      </c>
      <c r="AO87" s="14">
        <f t="shared" si="221"/>
        <v>3.7358490566037739E-2</v>
      </c>
      <c r="AP87" s="15" t="s">
        <v>604</v>
      </c>
      <c r="AQ87" s="201"/>
      <c r="AR87" s="203"/>
      <c r="AS87" s="212">
        <v>17984</v>
      </c>
      <c r="AT87" s="13">
        <f t="shared" si="222"/>
        <v>73</v>
      </c>
      <c r="AU87" s="13">
        <v>571</v>
      </c>
      <c r="AV87" s="13">
        <f t="shared" si="223"/>
        <v>0</v>
      </c>
      <c r="AW87" s="13">
        <v>16</v>
      </c>
      <c r="AX87" s="13">
        <f t="shared" si="224"/>
        <v>0</v>
      </c>
      <c r="AY87" s="214">
        <v>6</v>
      </c>
      <c r="AZ87" s="56" t="str">
        <f t="shared" ref="AZ87:AZ96" si="237">IF(AS87="","",AZ83)</f>
        <v>たまごっちマスコット</v>
      </c>
      <c r="BA87" s="13">
        <f t="shared" si="236"/>
        <v>1430</v>
      </c>
      <c r="BB87" s="13">
        <f t="shared" si="226"/>
        <v>0</v>
      </c>
      <c r="BC87" s="14">
        <f t="shared" si="227"/>
        <v>0</v>
      </c>
      <c r="BD87" s="15"/>
      <c r="BE87" s="248"/>
      <c r="BF87" s="203"/>
      <c r="BG87" s="239" t="s">
        <v>591</v>
      </c>
      <c r="BH87" s="212">
        <v>2797</v>
      </c>
      <c r="BI87" s="13">
        <f t="shared" si="228"/>
        <v>83</v>
      </c>
      <c r="BJ87" s="13">
        <v>26</v>
      </c>
      <c r="BK87" s="13">
        <f t="shared" si="229"/>
        <v>0</v>
      </c>
      <c r="BL87" s="13">
        <v>3</v>
      </c>
      <c r="BM87" s="13">
        <f t="shared" si="230"/>
        <v>0</v>
      </c>
      <c r="BN87" s="214">
        <v>0</v>
      </c>
      <c r="BO87" s="56" t="s">
        <v>544</v>
      </c>
      <c r="BP87" s="13">
        <f t="shared" ref="BP87:BP132" si="238">IF(BI87="","",BP83)</f>
        <v>1500</v>
      </c>
      <c r="BQ87" s="13">
        <f t="shared" si="232"/>
        <v>0</v>
      </c>
      <c r="BR87" s="14">
        <f t="shared" si="233"/>
        <v>0</v>
      </c>
      <c r="BS87" s="15" t="s">
        <v>608</v>
      </c>
      <c r="BU87" s="79" t="str">
        <f>IF($A117="","",$A117)</f>
        <v/>
      </c>
      <c r="BV87" s="17"/>
      <c r="BW87" s="13" t="str">
        <f t="shared" si="168"/>
        <v/>
      </c>
      <c r="BX87" s="13"/>
      <c r="BY87" s="13" t="str">
        <f t="shared" si="169"/>
        <v/>
      </c>
      <c r="BZ87" s="13"/>
      <c r="CA87" s="13" t="str">
        <f t="shared" si="170"/>
        <v/>
      </c>
      <c r="CB87" s="13"/>
      <c r="CC87" s="231" t="str">
        <f t="shared" si="171"/>
        <v/>
      </c>
      <c r="CD87" s="53" t="str">
        <f t="shared" si="172"/>
        <v/>
      </c>
      <c r="CE87" s="13" t="str">
        <f t="shared" si="173"/>
        <v/>
      </c>
      <c r="CF87" s="14" t="str">
        <f t="shared" si="174"/>
        <v/>
      </c>
      <c r="CG87" s="43"/>
      <c r="CH87" s="1"/>
      <c r="CI87" s="79" t="str">
        <f>IF($A117="","",$A117)</f>
        <v/>
      </c>
      <c r="CJ87" s="17"/>
      <c r="CK87" s="13" t="str">
        <f t="shared" si="175"/>
        <v/>
      </c>
      <c r="CL87" s="13"/>
      <c r="CM87" s="13" t="str">
        <f t="shared" si="176"/>
        <v/>
      </c>
      <c r="CN87" s="13"/>
      <c r="CO87" s="13" t="str">
        <f t="shared" si="177"/>
        <v/>
      </c>
      <c r="CP87" s="13"/>
      <c r="CQ87" s="231" t="str">
        <f t="shared" si="178"/>
        <v/>
      </c>
      <c r="CR87" s="53" t="str">
        <f t="shared" si="179"/>
        <v/>
      </c>
      <c r="CS87" s="13" t="str">
        <f t="shared" si="180"/>
        <v/>
      </c>
      <c r="CT87" s="14" t="str">
        <f t="shared" si="181"/>
        <v/>
      </c>
      <c r="CU87" s="43"/>
      <c r="CV87" s="1"/>
      <c r="CW87" s="79" t="str">
        <f>IF($A117="","",$A117)</f>
        <v/>
      </c>
      <c r="CX87" s="17"/>
      <c r="CY87" s="13" t="str">
        <f t="shared" si="182"/>
        <v/>
      </c>
      <c r="CZ87" s="13"/>
      <c r="DA87" s="13" t="str">
        <f t="shared" si="183"/>
        <v/>
      </c>
      <c r="DB87" s="13"/>
      <c r="DC87" s="13" t="str">
        <f t="shared" si="184"/>
        <v/>
      </c>
      <c r="DD87" s="13"/>
      <c r="DE87" s="231" t="str">
        <f t="shared" si="185"/>
        <v/>
      </c>
      <c r="DF87" s="53" t="str">
        <f t="shared" si="186"/>
        <v/>
      </c>
      <c r="DG87" s="13" t="str">
        <f t="shared" si="187"/>
        <v/>
      </c>
      <c r="DH87" s="14" t="str">
        <f t="shared" si="188"/>
        <v/>
      </c>
      <c r="DI87" s="43"/>
      <c r="DJ87" s="1"/>
      <c r="DK87" s="79" t="str">
        <f>IF($A117="","",$A117)</f>
        <v/>
      </c>
      <c r="DL87" s="17"/>
      <c r="DM87" s="13" t="str">
        <f t="shared" si="189"/>
        <v/>
      </c>
      <c r="DN87" s="13"/>
      <c r="DO87" s="13" t="str">
        <f t="shared" si="190"/>
        <v/>
      </c>
      <c r="DP87" s="13"/>
      <c r="DQ87" s="13" t="str">
        <f t="shared" si="191"/>
        <v/>
      </c>
      <c r="DR87" s="13"/>
      <c r="DS87" s="231" t="str">
        <f t="shared" si="234"/>
        <v/>
      </c>
      <c r="DT87" s="53" t="str">
        <f t="shared" si="235"/>
        <v/>
      </c>
      <c r="DU87" s="13" t="str">
        <f t="shared" si="192"/>
        <v/>
      </c>
      <c r="DV87" s="14" t="str">
        <f t="shared" si="193"/>
        <v/>
      </c>
      <c r="DW87" s="43"/>
      <c r="DY87" s="79" t="str">
        <f>IF($A117="","",$A117)</f>
        <v/>
      </c>
      <c r="DZ87" s="17"/>
      <c r="EA87" s="13" t="str">
        <f t="shared" si="194"/>
        <v/>
      </c>
      <c r="EB87" s="13"/>
      <c r="EC87" s="13" t="str">
        <f t="shared" si="195"/>
        <v/>
      </c>
      <c r="ED87" s="13"/>
      <c r="EE87" s="13" t="str">
        <f t="shared" si="196"/>
        <v/>
      </c>
      <c r="EF87" s="13"/>
      <c r="EG87" s="231" t="str">
        <f t="shared" si="197"/>
        <v/>
      </c>
      <c r="EH87" s="53" t="str">
        <f t="shared" si="198"/>
        <v/>
      </c>
      <c r="EI87" s="13" t="str">
        <f t="shared" si="199"/>
        <v/>
      </c>
      <c r="EJ87" s="14" t="str">
        <f t="shared" si="200"/>
        <v/>
      </c>
      <c r="EK87" s="43"/>
    </row>
    <row r="88" spans="1:141" ht="15" customHeight="1" thickBot="1" x14ac:dyDescent="0.25">
      <c r="A88" s="215"/>
      <c r="B88" s="215"/>
      <c r="C88" s="216">
        <v>9181</v>
      </c>
      <c r="D88" s="27">
        <f t="shared" si="201"/>
        <v>64</v>
      </c>
      <c r="E88" s="27">
        <v>535</v>
      </c>
      <c r="F88" s="27">
        <f t="shared" si="202"/>
        <v>1</v>
      </c>
      <c r="G88" s="27">
        <v>16</v>
      </c>
      <c r="H88" s="27">
        <f t="shared" si="203"/>
        <v>1</v>
      </c>
      <c r="I88" s="217">
        <v>2</v>
      </c>
      <c r="J88" s="57" t="str">
        <f t="shared" si="204"/>
        <v>モンチチフルーツマスコット</v>
      </c>
      <c r="K88" s="62">
        <f t="shared" si="205"/>
        <v>572</v>
      </c>
      <c r="L88" s="27">
        <f t="shared" si="206"/>
        <v>572</v>
      </c>
      <c r="M88" s="28">
        <f t="shared" si="207"/>
        <v>8.9374999999999996E-2</v>
      </c>
      <c r="N88" s="15"/>
      <c r="O88" s="248"/>
      <c r="P88" s="215"/>
      <c r="Q88" s="216">
        <v>14697</v>
      </c>
      <c r="R88" s="27">
        <f t="shared" si="208"/>
        <v>198</v>
      </c>
      <c r="S88" s="27">
        <v>629</v>
      </c>
      <c r="T88" s="27">
        <f t="shared" si="209"/>
        <v>14</v>
      </c>
      <c r="U88" s="27">
        <v>28</v>
      </c>
      <c r="V88" s="27">
        <f t="shared" si="210"/>
        <v>16</v>
      </c>
      <c r="W88" s="217">
        <v>10</v>
      </c>
      <c r="X88" s="57" t="str">
        <f t="shared" si="211"/>
        <v>ボンボンドロップ</v>
      </c>
      <c r="Y88" s="62">
        <f t="shared" si="212"/>
        <v>200</v>
      </c>
      <c r="Z88" s="27">
        <f t="shared" si="213"/>
        <v>3200</v>
      </c>
      <c r="AA88" s="28">
        <f t="shared" si="214"/>
        <v>0.16161616161616163</v>
      </c>
      <c r="AB88" s="15"/>
      <c r="AC88" s="199"/>
      <c r="AD88" s="219"/>
      <c r="AE88" s="216">
        <v>13690</v>
      </c>
      <c r="AF88" s="27">
        <f t="shared" si="215"/>
        <v>86</v>
      </c>
      <c r="AG88" s="27">
        <v>355</v>
      </c>
      <c r="AH88" s="27">
        <f t="shared" si="216"/>
        <v>1</v>
      </c>
      <c r="AI88" s="27">
        <v>18</v>
      </c>
      <c r="AJ88" s="27">
        <f t="shared" si="217"/>
        <v>1</v>
      </c>
      <c r="AK88" s="217">
        <v>0</v>
      </c>
      <c r="AL88" s="57" t="str">
        <f t="shared" si="218"/>
        <v>キティキラキラマルチケース</v>
      </c>
      <c r="AM88" s="62">
        <f t="shared" si="219"/>
        <v>400</v>
      </c>
      <c r="AN88" s="27">
        <f t="shared" si="220"/>
        <v>400</v>
      </c>
      <c r="AO88" s="28">
        <f t="shared" si="221"/>
        <v>4.6511627906976744E-2</v>
      </c>
      <c r="AP88" s="15"/>
      <c r="AQ88" s="201"/>
      <c r="AR88" s="215"/>
      <c r="AS88" s="216">
        <v>18225</v>
      </c>
      <c r="AT88" s="27">
        <f t="shared" si="222"/>
        <v>167</v>
      </c>
      <c r="AU88" s="27">
        <v>511</v>
      </c>
      <c r="AV88" s="27">
        <f t="shared" si="223"/>
        <v>7</v>
      </c>
      <c r="AW88" s="27">
        <v>14</v>
      </c>
      <c r="AX88" s="27">
        <f t="shared" si="224"/>
        <v>5</v>
      </c>
      <c r="AY88" s="217">
        <v>0</v>
      </c>
      <c r="AZ88" s="57" t="str">
        <f t="shared" si="237"/>
        <v>バタースクイーズ</v>
      </c>
      <c r="BA88" s="62">
        <f t="shared" si="236"/>
        <v>400</v>
      </c>
      <c r="BB88" s="27">
        <f t="shared" si="226"/>
        <v>2000</v>
      </c>
      <c r="BC88" s="28">
        <f t="shared" si="227"/>
        <v>0.11976047904191617</v>
      </c>
      <c r="BD88" s="159" t="s">
        <v>475</v>
      </c>
      <c r="BE88" s="248"/>
      <c r="BF88" s="215"/>
      <c r="BG88" s="238" t="s">
        <v>592</v>
      </c>
      <c r="BH88" s="216">
        <v>2254</v>
      </c>
      <c r="BI88" s="27">
        <f t="shared" si="228"/>
        <v>123</v>
      </c>
      <c r="BJ88" s="27">
        <v>27</v>
      </c>
      <c r="BK88" s="27">
        <f t="shared" si="229"/>
        <v>3</v>
      </c>
      <c r="BL88" s="27">
        <v>0</v>
      </c>
      <c r="BM88" s="27">
        <f t="shared" si="230"/>
        <v>3</v>
      </c>
      <c r="BN88" s="217">
        <v>3</v>
      </c>
      <c r="BO88" s="57" t="str">
        <f>IF(BH88="","",BO84)</f>
        <v>ボンボンドロップシール</v>
      </c>
      <c r="BP88" s="62">
        <f t="shared" si="238"/>
        <v>1500</v>
      </c>
      <c r="BQ88" s="27">
        <f t="shared" si="232"/>
        <v>4500</v>
      </c>
      <c r="BR88" s="28">
        <f t="shared" si="233"/>
        <v>0.36585365853658536</v>
      </c>
      <c r="BS88" s="15"/>
      <c r="BU88" s="79" t="str">
        <f>IF($A121="","",$A121)</f>
        <v/>
      </c>
      <c r="BV88" s="17"/>
      <c r="BW88" s="13" t="str">
        <f t="shared" si="168"/>
        <v/>
      </c>
      <c r="BX88" s="13"/>
      <c r="BY88" s="13" t="str">
        <f t="shared" si="169"/>
        <v/>
      </c>
      <c r="BZ88" s="13"/>
      <c r="CA88" s="13" t="str">
        <f t="shared" si="170"/>
        <v/>
      </c>
      <c r="CB88" s="13"/>
      <c r="CC88" s="231" t="str">
        <f t="shared" si="171"/>
        <v/>
      </c>
      <c r="CD88" s="53" t="str">
        <f t="shared" si="172"/>
        <v/>
      </c>
      <c r="CE88" s="13" t="str">
        <f t="shared" si="173"/>
        <v/>
      </c>
      <c r="CF88" s="14" t="str">
        <f t="shared" si="174"/>
        <v/>
      </c>
      <c r="CG88" s="15"/>
      <c r="CH88" s="1"/>
      <c r="CI88" s="79" t="str">
        <f>IF($A121="","",$A121)</f>
        <v/>
      </c>
      <c r="CJ88" s="17"/>
      <c r="CK88" s="13" t="str">
        <f t="shared" si="175"/>
        <v/>
      </c>
      <c r="CL88" s="13"/>
      <c r="CM88" s="13" t="str">
        <f t="shared" si="176"/>
        <v/>
      </c>
      <c r="CN88" s="13"/>
      <c r="CO88" s="13" t="str">
        <f t="shared" si="177"/>
        <v/>
      </c>
      <c r="CP88" s="13"/>
      <c r="CQ88" s="231" t="str">
        <f t="shared" si="178"/>
        <v/>
      </c>
      <c r="CR88" s="53" t="str">
        <f t="shared" si="179"/>
        <v/>
      </c>
      <c r="CS88" s="13" t="str">
        <f t="shared" si="180"/>
        <v/>
      </c>
      <c r="CT88" s="14" t="str">
        <f t="shared" si="181"/>
        <v/>
      </c>
      <c r="CU88" s="15"/>
      <c r="CV88" s="1"/>
      <c r="CW88" s="79" t="str">
        <f>IF($A121="","",$A121)</f>
        <v/>
      </c>
      <c r="CX88" s="17"/>
      <c r="CY88" s="13" t="str">
        <f t="shared" si="182"/>
        <v/>
      </c>
      <c r="CZ88" s="13"/>
      <c r="DA88" s="13" t="str">
        <f t="shared" si="183"/>
        <v/>
      </c>
      <c r="DB88" s="13"/>
      <c r="DC88" s="13" t="str">
        <f t="shared" si="184"/>
        <v/>
      </c>
      <c r="DD88" s="13"/>
      <c r="DE88" s="231" t="str">
        <f t="shared" si="185"/>
        <v/>
      </c>
      <c r="DF88" s="53" t="str">
        <f t="shared" si="186"/>
        <v/>
      </c>
      <c r="DG88" s="13" t="str">
        <f t="shared" si="187"/>
        <v/>
      </c>
      <c r="DH88" s="14" t="str">
        <f t="shared" si="188"/>
        <v/>
      </c>
      <c r="DI88" s="15"/>
      <c r="DJ88" s="1"/>
      <c r="DK88" s="79" t="str">
        <f>IF($A121="","",$A121)</f>
        <v/>
      </c>
      <c r="DL88" s="17"/>
      <c r="DM88" s="13" t="str">
        <f t="shared" si="189"/>
        <v/>
      </c>
      <c r="DN88" s="13"/>
      <c r="DO88" s="13" t="str">
        <f t="shared" si="190"/>
        <v/>
      </c>
      <c r="DP88" s="13"/>
      <c r="DQ88" s="13" t="str">
        <f t="shared" si="191"/>
        <v/>
      </c>
      <c r="DR88" s="13"/>
      <c r="DS88" s="231" t="str">
        <f t="shared" si="234"/>
        <v/>
      </c>
      <c r="DT88" s="53" t="str">
        <f t="shared" si="235"/>
        <v/>
      </c>
      <c r="DU88" s="13" t="str">
        <f t="shared" si="192"/>
        <v/>
      </c>
      <c r="DV88" s="14" t="str">
        <f t="shared" si="193"/>
        <v/>
      </c>
      <c r="DW88" s="15"/>
      <c r="DY88" s="79" t="str">
        <f>IF($A121="","",$A121)</f>
        <v/>
      </c>
      <c r="DZ88" s="17"/>
      <c r="EA88" s="13" t="str">
        <f t="shared" si="194"/>
        <v/>
      </c>
      <c r="EB88" s="13"/>
      <c r="EC88" s="13" t="str">
        <f t="shared" si="195"/>
        <v/>
      </c>
      <c r="ED88" s="13"/>
      <c r="EE88" s="13" t="str">
        <f t="shared" si="196"/>
        <v/>
      </c>
      <c r="EF88" s="13"/>
      <c r="EG88" s="231" t="str">
        <f t="shared" si="197"/>
        <v/>
      </c>
      <c r="EH88" s="53" t="str">
        <f t="shared" si="198"/>
        <v/>
      </c>
      <c r="EI88" s="13" t="str">
        <f t="shared" si="199"/>
        <v/>
      </c>
      <c r="EJ88" s="14" t="str">
        <f t="shared" si="200"/>
        <v/>
      </c>
      <c r="EK88" s="15"/>
    </row>
    <row r="89" spans="1:141" ht="15" customHeight="1" thickTop="1" x14ac:dyDescent="0.2">
      <c r="A89" s="79">
        <v>46136</v>
      </c>
      <c r="B89" s="74">
        <f>IF(A89="","",SUM(D89:D92)+SUM(R89:R92)+SUM(AF89:AF92)+SUM(AT89:AT92)+SUM(BW80,CK80,CY80,DM80,EA80)+SUM(BI89:BI92))</f>
        <v>2466</v>
      </c>
      <c r="C89" s="13">
        <v>7848</v>
      </c>
      <c r="D89" s="53">
        <f t="shared" si="201"/>
        <v>58</v>
      </c>
      <c r="E89" s="13">
        <v>396</v>
      </c>
      <c r="F89" s="31">
        <f t="shared" si="202"/>
        <v>5</v>
      </c>
      <c r="G89" s="13">
        <v>58</v>
      </c>
      <c r="H89" s="53">
        <f t="shared" si="203"/>
        <v>6</v>
      </c>
      <c r="I89" s="192">
        <v>0</v>
      </c>
      <c r="J89" s="75" t="str">
        <f t="shared" si="204"/>
        <v>ジャグラーボタン</v>
      </c>
      <c r="K89" s="76">
        <f t="shared" si="205"/>
        <v>748</v>
      </c>
      <c r="L89" s="31">
        <f t="shared" si="206"/>
        <v>4488</v>
      </c>
      <c r="M89" s="32">
        <f t="shared" si="207"/>
        <v>0.7737931034482759</v>
      </c>
      <c r="N89" s="15"/>
      <c r="O89" s="2"/>
      <c r="P89" s="79">
        <f>IF(A89="","",A89)</f>
        <v>46136</v>
      </c>
      <c r="Q89" s="13">
        <v>9086</v>
      </c>
      <c r="R89" s="53">
        <f t="shared" si="208"/>
        <v>77</v>
      </c>
      <c r="S89" s="13">
        <v>268</v>
      </c>
      <c r="T89" s="31">
        <f t="shared" si="209"/>
        <v>1</v>
      </c>
      <c r="U89" s="13">
        <v>11</v>
      </c>
      <c r="V89" s="53">
        <f t="shared" si="210"/>
        <v>1</v>
      </c>
      <c r="W89" s="192">
        <v>3</v>
      </c>
      <c r="X89" s="75" t="str">
        <f t="shared" si="211"/>
        <v>キティボアバンスクリップ</v>
      </c>
      <c r="Y89" s="76">
        <f t="shared" si="212"/>
        <v>1100</v>
      </c>
      <c r="Z89" s="31">
        <f t="shared" si="213"/>
        <v>1100</v>
      </c>
      <c r="AA89" s="32">
        <f t="shared" si="214"/>
        <v>0.14285714285714285</v>
      </c>
      <c r="AB89" s="15"/>
      <c r="AC89" s="113"/>
      <c r="AD89" s="146">
        <f>IF($A89="","",$A89)</f>
        <v>46136</v>
      </c>
      <c r="AE89" s="13">
        <v>11822</v>
      </c>
      <c r="AF89" s="127">
        <f t="shared" si="215"/>
        <v>17</v>
      </c>
      <c r="AG89" s="13">
        <v>268</v>
      </c>
      <c r="AH89" s="31">
        <f t="shared" si="216"/>
        <v>0</v>
      </c>
      <c r="AI89" s="13">
        <v>15</v>
      </c>
      <c r="AJ89" s="53">
        <f t="shared" si="217"/>
        <v>0</v>
      </c>
      <c r="AK89" s="192">
        <v>-7</v>
      </c>
      <c r="AL89" s="75" t="str">
        <f t="shared" si="218"/>
        <v>着物キティ</v>
      </c>
      <c r="AM89" s="76">
        <f t="shared" si="219"/>
        <v>1100</v>
      </c>
      <c r="AN89" s="31">
        <f t="shared" si="220"/>
        <v>0</v>
      </c>
      <c r="AO89" s="32">
        <f t="shared" si="221"/>
        <v>0</v>
      </c>
      <c r="AP89" s="15" t="s">
        <v>613</v>
      </c>
      <c r="AQ89" s="15"/>
      <c r="AR89" s="79">
        <f>IF($A89="","",$A89)</f>
        <v>46136</v>
      </c>
      <c r="AS89" s="13">
        <v>12846</v>
      </c>
      <c r="AT89" s="53">
        <f t="shared" si="222"/>
        <v>63</v>
      </c>
      <c r="AU89" s="13">
        <v>394</v>
      </c>
      <c r="AV89" s="31">
        <f t="shared" si="223"/>
        <v>0</v>
      </c>
      <c r="AW89" s="13">
        <v>26</v>
      </c>
      <c r="AX89" s="53">
        <f t="shared" si="224"/>
        <v>1</v>
      </c>
      <c r="AY89" s="192">
        <v>0</v>
      </c>
      <c r="AZ89" s="75" t="str">
        <f t="shared" si="237"/>
        <v>ゲーム機イヤホン</v>
      </c>
      <c r="BA89" s="76">
        <f t="shared" si="236"/>
        <v>1100</v>
      </c>
      <c r="BB89" s="31">
        <f t="shared" si="226"/>
        <v>1100</v>
      </c>
      <c r="BC89" s="32">
        <f t="shared" si="227"/>
        <v>0.17460317460317459</v>
      </c>
      <c r="BD89" s="15"/>
      <c r="BE89" s="2"/>
      <c r="BF89" s="79">
        <f>IF(A89="","",A89)</f>
        <v>46136</v>
      </c>
      <c r="BG89" s="240" t="s">
        <v>589</v>
      </c>
      <c r="BH89" s="13">
        <v>2460</v>
      </c>
      <c r="BI89" s="53">
        <f t="shared" si="228"/>
        <v>59</v>
      </c>
      <c r="BJ89" s="13">
        <v>29</v>
      </c>
      <c r="BK89" s="31">
        <f t="shared" si="229"/>
        <v>1</v>
      </c>
      <c r="BL89" s="13">
        <v>2</v>
      </c>
      <c r="BM89" s="53">
        <f t="shared" si="230"/>
        <v>1</v>
      </c>
      <c r="BN89" s="192">
        <v>1</v>
      </c>
      <c r="BO89" s="75" t="s">
        <v>524</v>
      </c>
      <c r="BP89" s="76">
        <f t="shared" si="238"/>
        <v>1500</v>
      </c>
      <c r="BQ89" s="31">
        <f t="shared" si="232"/>
        <v>1500</v>
      </c>
      <c r="BR89" s="32">
        <f t="shared" si="233"/>
        <v>0.25423728813559321</v>
      </c>
      <c r="BS89" s="15" t="s">
        <v>614</v>
      </c>
      <c r="BU89" s="79" t="str">
        <f>IF($A125="","",$A125)</f>
        <v/>
      </c>
      <c r="BV89" s="17"/>
      <c r="BW89" s="13" t="str">
        <f t="shared" si="168"/>
        <v/>
      </c>
      <c r="BX89" s="13"/>
      <c r="BY89" s="13" t="str">
        <f t="shared" si="169"/>
        <v/>
      </c>
      <c r="BZ89" s="13"/>
      <c r="CA89" s="13" t="str">
        <f t="shared" si="170"/>
        <v/>
      </c>
      <c r="CB89" s="13"/>
      <c r="CC89" s="231" t="str">
        <f t="shared" si="171"/>
        <v/>
      </c>
      <c r="CD89" s="53" t="str">
        <f t="shared" si="172"/>
        <v/>
      </c>
      <c r="CE89" s="13" t="str">
        <f t="shared" si="173"/>
        <v/>
      </c>
      <c r="CF89" s="14" t="str">
        <f t="shared" si="174"/>
        <v/>
      </c>
      <c r="CG89" s="15"/>
      <c r="CH89" s="1"/>
      <c r="CI89" s="79" t="str">
        <f>IF($A125="","",$A125)</f>
        <v/>
      </c>
      <c r="CJ89" s="17"/>
      <c r="CK89" s="13" t="str">
        <f t="shared" si="175"/>
        <v/>
      </c>
      <c r="CL89" s="13"/>
      <c r="CM89" s="13" t="str">
        <f t="shared" si="176"/>
        <v/>
      </c>
      <c r="CN89" s="13"/>
      <c r="CO89" s="13" t="str">
        <f t="shared" si="177"/>
        <v/>
      </c>
      <c r="CP89" s="13"/>
      <c r="CQ89" s="231" t="str">
        <f t="shared" si="178"/>
        <v/>
      </c>
      <c r="CR89" s="53" t="str">
        <f t="shared" si="179"/>
        <v/>
      </c>
      <c r="CS89" s="13" t="str">
        <f t="shared" si="180"/>
        <v/>
      </c>
      <c r="CT89" s="14" t="str">
        <f t="shared" si="181"/>
        <v/>
      </c>
      <c r="CU89" s="15"/>
      <c r="CV89" s="1"/>
      <c r="CW89" s="79" t="str">
        <f>IF($A125="","",$A125)</f>
        <v/>
      </c>
      <c r="CX89" s="17"/>
      <c r="CY89" s="13" t="str">
        <f t="shared" si="182"/>
        <v/>
      </c>
      <c r="CZ89" s="13"/>
      <c r="DA89" s="13" t="str">
        <f t="shared" si="183"/>
        <v/>
      </c>
      <c r="DB89" s="13"/>
      <c r="DC89" s="13" t="str">
        <f t="shared" si="184"/>
        <v/>
      </c>
      <c r="DD89" s="13"/>
      <c r="DE89" s="231" t="str">
        <f t="shared" si="185"/>
        <v/>
      </c>
      <c r="DF89" s="53" t="str">
        <f t="shared" si="186"/>
        <v/>
      </c>
      <c r="DG89" s="13" t="str">
        <f t="shared" si="187"/>
        <v/>
      </c>
      <c r="DH89" s="14" t="str">
        <f t="shared" si="188"/>
        <v/>
      </c>
      <c r="DI89" s="15"/>
      <c r="DJ89" s="1"/>
      <c r="DK89" s="79" t="str">
        <f>IF($A125="","",$A125)</f>
        <v/>
      </c>
      <c r="DL89" s="17"/>
      <c r="DM89" s="13" t="str">
        <f t="shared" si="189"/>
        <v/>
      </c>
      <c r="DN89" s="13"/>
      <c r="DO89" s="13" t="str">
        <f t="shared" si="190"/>
        <v/>
      </c>
      <c r="DP89" s="13"/>
      <c r="DQ89" s="13" t="str">
        <f t="shared" si="191"/>
        <v/>
      </c>
      <c r="DR89" s="13"/>
      <c r="DS89" s="231" t="str">
        <f t="shared" si="234"/>
        <v/>
      </c>
      <c r="DT89" s="53" t="str">
        <f t="shared" si="235"/>
        <v/>
      </c>
      <c r="DU89" s="13" t="str">
        <f t="shared" si="192"/>
        <v/>
      </c>
      <c r="DV89" s="14" t="str">
        <f t="shared" si="193"/>
        <v/>
      </c>
      <c r="DW89" s="15"/>
      <c r="DY89" s="79" t="str">
        <f>IF($A125="","",$A125)</f>
        <v/>
      </c>
      <c r="DZ89" s="17"/>
      <c r="EA89" s="13" t="str">
        <f t="shared" si="194"/>
        <v/>
      </c>
      <c r="EB89" s="13"/>
      <c r="EC89" s="13" t="str">
        <f t="shared" si="195"/>
        <v/>
      </c>
      <c r="ED89" s="13"/>
      <c r="EE89" s="13" t="str">
        <f t="shared" si="196"/>
        <v/>
      </c>
      <c r="EF89" s="13"/>
      <c r="EG89" s="231" t="str">
        <f t="shared" si="197"/>
        <v/>
      </c>
      <c r="EH89" s="53" t="str">
        <f t="shared" si="198"/>
        <v/>
      </c>
      <c r="EI89" s="13" t="str">
        <f t="shared" si="199"/>
        <v/>
      </c>
      <c r="EJ89" s="14" t="str">
        <f t="shared" si="200"/>
        <v/>
      </c>
      <c r="EK89" s="15"/>
    </row>
    <row r="90" spans="1:141" x14ac:dyDescent="0.2">
      <c r="A90" s="16"/>
      <c r="B90" s="48"/>
      <c r="C90" s="53">
        <v>7541</v>
      </c>
      <c r="D90" s="13">
        <f t="shared" si="201"/>
        <v>25</v>
      </c>
      <c r="E90" s="53">
        <v>437</v>
      </c>
      <c r="F90" s="13">
        <f t="shared" si="202"/>
        <v>2</v>
      </c>
      <c r="G90" s="13">
        <v>42</v>
      </c>
      <c r="H90" s="13">
        <f t="shared" si="203"/>
        <v>2</v>
      </c>
      <c r="I90" s="205">
        <v>20</v>
      </c>
      <c r="J90" s="56" t="str">
        <f t="shared" si="204"/>
        <v>電ブル</v>
      </c>
      <c r="K90" s="54">
        <f t="shared" si="205"/>
        <v>275</v>
      </c>
      <c r="L90" s="13">
        <f t="shared" si="206"/>
        <v>550</v>
      </c>
      <c r="M90" s="14">
        <f t="shared" si="207"/>
        <v>0.22</v>
      </c>
      <c r="N90" s="15"/>
      <c r="O90" s="2"/>
      <c r="P90" s="16"/>
      <c r="Q90" s="53">
        <v>2260</v>
      </c>
      <c r="R90" s="13">
        <f t="shared" si="208"/>
        <v>97</v>
      </c>
      <c r="S90" s="53">
        <v>175</v>
      </c>
      <c r="T90" s="13">
        <f t="shared" si="209"/>
        <v>3</v>
      </c>
      <c r="U90" s="13">
        <v>12</v>
      </c>
      <c r="V90" s="13">
        <f t="shared" si="210"/>
        <v>4</v>
      </c>
      <c r="W90" s="205">
        <v>4</v>
      </c>
      <c r="X90" s="56" t="str">
        <f t="shared" si="211"/>
        <v>たまごっちブロックシール</v>
      </c>
      <c r="Y90" s="54">
        <f t="shared" si="212"/>
        <v>600</v>
      </c>
      <c r="Z90" s="13">
        <f t="shared" si="213"/>
        <v>2400</v>
      </c>
      <c r="AA90" s="14">
        <f t="shared" si="214"/>
        <v>0.24742268041237114</v>
      </c>
      <c r="AB90" s="15"/>
      <c r="AC90" s="113"/>
      <c r="AD90" s="147"/>
      <c r="AE90" s="53">
        <v>11987</v>
      </c>
      <c r="AF90" s="13">
        <f t="shared" si="215"/>
        <v>126</v>
      </c>
      <c r="AG90" s="53">
        <v>252</v>
      </c>
      <c r="AH90" s="13">
        <f t="shared" si="216"/>
        <v>3</v>
      </c>
      <c r="AI90" s="13">
        <v>9</v>
      </c>
      <c r="AJ90" s="13">
        <f t="shared" si="217"/>
        <v>3</v>
      </c>
      <c r="AK90" s="205">
        <v>5</v>
      </c>
      <c r="AL90" s="56" t="str">
        <f t="shared" si="218"/>
        <v>サンリオハンディファン</v>
      </c>
      <c r="AM90" s="54">
        <f t="shared" si="219"/>
        <v>1100</v>
      </c>
      <c r="AN90" s="13">
        <f t="shared" si="220"/>
        <v>3300</v>
      </c>
      <c r="AO90" s="14">
        <f t="shared" si="221"/>
        <v>0.26190476190476192</v>
      </c>
      <c r="AP90" s="15"/>
      <c r="AQ90" s="15"/>
      <c r="AR90" s="16"/>
      <c r="AS90" s="53">
        <v>9846</v>
      </c>
      <c r="AT90" s="13">
        <f t="shared" si="222"/>
        <v>158</v>
      </c>
      <c r="AU90" s="53">
        <v>474</v>
      </c>
      <c r="AV90" s="13">
        <f t="shared" si="223"/>
        <v>1</v>
      </c>
      <c r="AW90" s="13">
        <v>28</v>
      </c>
      <c r="AX90" s="13">
        <f t="shared" si="224"/>
        <v>2</v>
      </c>
      <c r="AY90" s="205">
        <v>0</v>
      </c>
      <c r="AZ90" s="56" t="str">
        <f t="shared" si="237"/>
        <v>ベアブリック</v>
      </c>
      <c r="BA90" s="54">
        <f t="shared" si="236"/>
        <v>1100</v>
      </c>
      <c r="BB90" s="13">
        <f t="shared" si="226"/>
        <v>2200</v>
      </c>
      <c r="BC90" s="14">
        <f t="shared" si="227"/>
        <v>0.13924050632911392</v>
      </c>
      <c r="BD90" s="15"/>
      <c r="BE90" s="2"/>
      <c r="BF90" s="16"/>
      <c r="BG90" s="7" t="s">
        <v>590</v>
      </c>
      <c r="BH90" s="53">
        <v>3737</v>
      </c>
      <c r="BI90" s="13">
        <f t="shared" si="228"/>
        <v>128</v>
      </c>
      <c r="BJ90" s="53">
        <v>26</v>
      </c>
      <c r="BK90" s="13">
        <f t="shared" si="229"/>
        <v>2</v>
      </c>
      <c r="BL90" s="13">
        <v>1</v>
      </c>
      <c r="BM90" s="13">
        <f t="shared" si="230"/>
        <v>2</v>
      </c>
      <c r="BN90" s="205">
        <v>2</v>
      </c>
      <c r="BO90" s="56" t="str">
        <f>IF(BH90="","",BO86)</f>
        <v>ボンボンドロップシール</v>
      </c>
      <c r="BP90" s="54">
        <f t="shared" si="238"/>
        <v>1500</v>
      </c>
      <c r="BQ90" s="13">
        <f t="shared" si="232"/>
        <v>3000</v>
      </c>
      <c r="BR90" s="14">
        <f t="shared" si="233"/>
        <v>0.234375</v>
      </c>
      <c r="BS90" s="15"/>
      <c r="BU90" s="79" t="str">
        <f>IF($A129="","",$A129)</f>
        <v/>
      </c>
      <c r="BV90" s="13"/>
      <c r="BW90" s="13" t="str">
        <f t="shared" si="168"/>
        <v/>
      </c>
      <c r="BX90" s="13"/>
      <c r="BY90" s="13" t="str">
        <f t="shared" si="169"/>
        <v/>
      </c>
      <c r="BZ90" s="13"/>
      <c r="CA90" s="13" t="str">
        <f t="shared" si="170"/>
        <v/>
      </c>
      <c r="CB90" s="13"/>
      <c r="CC90" s="231" t="str">
        <f t="shared" si="171"/>
        <v/>
      </c>
      <c r="CD90" s="53" t="str">
        <f t="shared" si="172"/>
        <v/>
      </c>
      <c r="CE90" s="13" t="str">
        <f t="shared" si="173"/>
        <v/>
      </c>
      <c r="CF90" s="14" t="str">
        <f>IF(CE90="","",CE90/(BV90*100))</f>
        <v/>
      </c>
      <c r="CG90" s="67"/>
      <c r="CH90" s="1"/>
      <c r="CI90" s="79" t="str">
        <f>IF($A129="","",$A129)</f>
        <v/>
      </c>
      <c r="CJ90" s="13"/>
      <c r="CK90" s="13" t="str">
        <f t="shared" si="175"/>
        <v/>
      </c>
      <c r="CL90" s="13"/>
      <c r="CM90" s="13" t="str">
        <f t="shared" si="176"/>
        <v/>
      </c>
      <c r="CN90" s="13"/>
      <c r="CO90" s="13" t="str">
        <f t="shared" si="177"/>
        <v/>
      </c>
      <c r="CP90" s="13"/>
      <c r="CQ90" s="231" t="str">
        <f t="shared" si="178"/>
        <v/>
      </c>
      <c r="CR90" s="53" t="str">
        <f t="shared" si="179"/>
        <v/>
      </c>
      <c r="CS90" s="13" t="str">
        <f t="shared" si="180"/>
        <v/>
      </c>
      <c r="CT90" s="14" t="str">
        <f>IF(CS90="","",CS90/(CJ90*100))</f>
        <v/>
      </c>
      <c r="CU90" s="67"/>
      <c r="CV90" s="1"/>
      <c r="CW90" s="79" t="str">
        <f>IF($A129="","",$A129)</f>
        <v/>
      </c>
      <c r="CX90" s="13"/>
      <c r="CY90" s="13" t="str">
        <f t="shared" si="182"/>
        <v/>
      </c>
      <c r="CZ90" s="13"/>
      <c r="DA90" s="13" t="str">
        <f t="shared" si="183"/>
        <v/>
      </c>
      <c r="DB90" s="13"/>
      <c r="DC90" s="13" t="str">
        <f t="shared" si="184"/>
        <v/>
      </c>
      <c r="DD90" s="13"/>
      <c r="DE90" s="231" t="str">
        <f t="shared" si="185"/>
        <v/>
      </c>
      <c r="DF90" s="53" t="str">
        <f t="shared" si="186"/>
        <v/>
      </c>
      <c r="DG90" s="13" t="str">
        <f t="shared" si="187"/>
        <v/>
      </c>
      <c r="DH90" s="14" t="str">
        <f>IF(DG90="","",DG90/(CX90*100))</f>
        <v/>
      </c>
      <c r="DI90" s="67"/>
      <c r="DJ90" s="1"/>
      <c r="DK90" s="79" t="str">
        <f>IF($A129="","",$A129)</f>
        <v/>
      </c>
      <c r="DL90" s="13"/>
      <c r="DM90" s="13" t="str">
        <f t="shared" si="189"/>
        <v/>
      </c>
      <c r="DN90" s="13"/>
      <c r="DO90" s="13" t="str">
        <f t="shared" si="190"/>
        <v/>
      </c>
      <c r="DP90" s="13"/>
      <c r="DQ90" s="13" t="str">
        <f t="shared" si="191"/>
        <v/>
      </c>
      <c r="DR90" s="13"/>
      <c r="DS90" s="231" t="str">
        <f t="shared" si="234"/>
        <v/>
      </c>
      <c r="DT90" s="53" t="str">
        <f t="shared" si="235"/>
        <v/>
      </c>
      <c r="DU90" s="13" t="str">
        <f t="shared" si="192"/>
        <v/>
      </c>
      <c r="DV90" s="14" t="str">
        <f>IF(DU90="","",DU90/(DL90*100))</f>
        <v/>
      </c>
      <c r="DW90" s="67"/>
      <c r="DY90" s="79" t="str">
        <f>IF($A129="","",$A129)</f>
        <v/>
      </c>
      <c r="DZ90" s="13"/>
      <c r="EA90" s="13" t="str">
        <f t="shared" si="194"/>
        <v/>
      </c>
      <c r="EB90" s="13"/>
      <c r="EC90" s="13" t="str">
        <f t="shared" si="195"/>
        <v/>
      </c>
      <c r="ED90" s="13"/>
      <c r="EE90" s="13" t="str">
        <f t="shared" si="196"/>
        <v/>
      </c>
      <c r="EF90" s="13"/>
      <c r="EG90" s="231" t="str">
        <f t="shared" si="197"/>
        <v/>
      </c>
      <c r="EH90" s="53" t="str">
        <f t="shared" si="198"/>
        <v/>
      </c>
      <c r="EI90" s="13" t="str">
        <f t="shared" si="199"/>
        <v/>
      </c>
      <c r="EJ90" s="14" t="str">
        <f>IF(EI90="","",EI90/(DZ90*100))</f>
        <v/>
      </c>
      <c r="EK90" s="67"/>
    </row>
    <row r="91" spans="1:141" x14ac:dyDescent="0.2">
      <c r="A91" s="33"/>
      <c r="B91" s="48"/>
      <c r="C91" s="13">
        <v>13160</v>
      </c>
      <c r="D91" s="13">
        <f t="shared" si="201"/>
        <v>23</v>
      </c>
      <c r="E91" s="13">
        <v>773</v>
      </c>
      <c r="F91" s="13">
        <f t="shared" si="202"/>
        <v>14</v>
      </c>
      <c r="G91" s="13">
        <v>310</v>
      </c>
      <c r="H91" s="13">
        <f t="shared" si="203"/>
        <v>20</v>
      </c>
      <c r="I91" s="214">
        <v>0</v>
      </c>
      <c r="J91" s="111" t="str">
        <f t="shared" si="204"/>
        <v>ブレスレット</v>
      </c>
      <c r="K91" s="13">
        <f t="shared" si="205"/>
        <v>100</v>
      </c>
      <c r="L91" s="13">
        <f t="shared" si="206"/>
        <v>2000</v>
      </c>
      <c r="M91" s="14">
        <f t="shared" si="207"/>
        <v>0.86956521739130432</v>
      </c>
      <c r="N91" s="15"/>
      <c r="O91" s="2"/>
      <c r="P91" s="33"/>
      <c r="Q91" s="13">
        <v>10527</v>
      </c>
      <c r="R91" s="13">
        <f t="shared" si="208"/>
        <v>121</v>
      </c>
      <c r="S91" s="13">
        <v>217</v>
      </c>
      <c r="T91" s="13">
        <f t="shared" si="209"/>
        <v>2</v>
      </c>
      <c r="U91" s="13">
        <v>19</v>
      </c>
      <c r="V91" s="13">
        <f t="shared" si="210"/>
        <v>1</v>
      </c>
      <c r="W91" s="214">
        <v>0</v>
      </c>
      <c r="X91" s="56" t="str">
        <f t="shared" si="211"/>
        <v>たまごっちミニクリップ</v>
      </c>
      <c r="Y91" s="13">
        <f t="shared" si="212"/>
        <v>1100</v>
      </c>
      <c r="Z91" s="13">
        <f t="shared" si="213"/>
        <v>1100</v>
      </c>
      <c r="AA91" s="14">
        <f t="shared" si="214"/>
        <v>9.0909090909090912E-2</v>
      </c>
      <c r="AB91" s="15"/>
      <c r="AC91" s="84"/>
      <c r="AD91" s="33"/>
      <c r="AE91" s="13">
        <v>14054</v>
      </c>
      <c r="AF91" s="13">
        <f t="shared" si="215"/>
        <v>27</v>
      </c>
      <c r="AG91" s="13">
        <v>396</v>
      </c>
      <c r="AH91" s="13">
        <f t="shared" si="216"/>
        <v>2</v>
      </c>
      <c r="AI91" s="13">
        <v>130</v>
      </c>
      <c r="AJ91" s="13">
        <f t="shared" si="217"/>
        <v>2</v>
      </c>
      <c r="AK91" s="214">
        <v>0</v>
      </c>
      <c r="AL91" s="56" t="str">
        <f>IF(AE91="","",AL87)</f>
        <v>ふわもちスクイーズ</v>
      </c>
      <c r="AM91" s="13">
        <v>260</v>
      </c>
      <c r="AN91" s="13">
        <f t="shared" si="220"/>
        <v>520</v>
      </c>
      <c r="AO91" s="14">
        <f t="shared" si="221"/>
        <v>0.19259259259259259</v>
      </c>
      <c r="AP91" s="92" t="s">
        <v>611</v>
      </c>
      <c r="AQ91" s="15"/>
      <c r="AR91" s="33"/>
      <c r="AS91" s="13">
        <v>18035</v>
      </c>
      <c r="AT91" s="13">
        <f t="shared" si="222"/>
        <v>51</v>
      </c>
      <c r="AU91" s="13">
        <v>571</v>
      </c>
      <c r="AV91" s="13">
        <f t="shared" si="223"/>
        <v>0</v>
      </c>
      <c r="AW91" s="13">
        <v>21</v>
      </c>
      <c r="AX91" s="13">
        <f t="shared" si="224"/>
        <v>1</v>
      </c>
      <c r="AY91" s="214">
        <v>4</v>
      </c>
      <c r="AZ91" s="56" t="str">
        <f t="shared" si="237"/>
        <v>たまごっちマスコット</v>
      </c>
      <c r="BA91" s="13">
        <f t="shared" si="236"/>
        <v>1430</v>
      </c>
      <c r="BB91" s="13">
        <f t="shared" si="226"/>
        <v>1430</v>
      </c>
      <c r="BC91" s="14">
        <f t="shared" si="227"/>
        <v>0.2803921568627451</v>
      </c>
      <c r="BD91" s="15"/>
      <c r="BE91" s="2"/>
      <c r="BF91" s="33"/>
      <c r="BG91" s="7" t="s">
        <v>591</v>
      </c>
      <c r="BH91" s="13">
        <v>2871</v>
      </c>
      <c r="BI91" s="13">
        <f t="shared" si="228"/>
        <v>74</v>
      </c>
      <c r="BJ91" s="13">
        <v>27</v>
      </c>
      <c r="BK91" s="13">
        <f t="shared" si="229"/>
        <v>1</v>
      </c>
      <c r="BL91" s="13">
        <v>2</v>
      </c>
      <c r="BM91" s="13">
        <f t="shared" si="230"/>
        <v>1</v>
      </c>
      <c r="BN91" s="214">
        <v>1</v>
      </c>
      <c r="BO91" s="56" t="s">
        <v>524</v>
      </c>
      <c r="BP91" s="13">
        <f t="shared" si="238"/>
        <v>1500</v>
      </c>
      <c r="BQ91" s="13">
        <f t="shared" si="232"/>
        <v>1500</v>
      </c>
      <c r="BR91" s="14">
        <f t="shared" si="233"/>
        <v>0.20270270270270271</v>
      </c>
      <c r="BS91" s="15" t="s">
        <v>614</v>
      </c>
      <c r="BU91" s="79"/>
      <c r="BV91" s="13"/>
      <c r="BW91" s="13"/>
      <c r="BX91" s="13"/>
      <c r="BY91" s="13"/>
      <c r="BZ91" s="13"/>
      <c r="CA91" s="13"/>
      <c r="CB91" s="13"/>
      <c r="CC91" s="231" t="str">
        <f t="shared" si="171"/>
        <v/>
      </c>
      <c r="CD91" s="53"/>
      <c r="CE91" s="13"/>
      <c r="CF91" s="14" t="str">
        <f>IF(CE91="","",CE91/(BV91*100))</f>
        <v/>
      </c>
      <c r="CG91" s="67"/>
      <c r="CH91" s="1"/>
      <c r="CI91" s="79"/>
      <c r="CJ91" s="13"/>
      <c r="CK91" s="13"/>
      <c r="CL91" s="13"/>
      <c r="CM91" s="13"/>
      <c r="CN91" s="13"/>
      <c r="CO91" s="13"/>
      <c r="CP91" s="13"/>
      <c r="CQ91" s="231" t="str">
        <f t="shared" si="178"/>
        <v/>
      </c>
      <c r="CR91" s="53"/>
      <c r="CS91" s="13"/>
      <c r="CT91" s="14" t="str">
        <f>IF(CS91="","",CS91/(CJ91*100))</f>
        <v/>
      </c>
      <c r="CU91" s="67"/>
      <c r="CV91" s="1"/>
      <c r="CW91" s="79"/>
      <c r="CX91" s="13"/>
      <c r="CY91" s="13"/>
      <c r="CZ91" s="13"/>
      <c r="DA91" s="13"/>
      <c r="DB91" s="13"/>
      <c r="DC91" s="13"/>
      <c r="DD91" s="13"/>
      <c r="DE91" s="231" t="str">
        <f t="shared" si="185"/>
        <v/>
      </c>
      <c r="DF91" s="53"/>
      <c r="DG91" s="13"/>
      <c r="DH91" s="14" t="str">
        <f>IF(DG91="","",DG91/(CX91*100))</f>
        <v/>
      </c>
      <c r="DI91" s="67"/>
      <c r="DJ91" s="1"/>
      <c r="DK91" s="79"/>
      <c r="DL91" s="13"/>
      <c r="DM91" s="13"/>
      <c r="DN91" s="13"/>
      <c r="DO91" s="13"/>
      <c r="DP91" s="13"/>
      <c r="DQ91" s="13"/>
      <c r="DR91" s="13"/>
      <c r="DS91" s="231" t="str">
        <f t="shared" si="234"/>
        <v/>
      </c>
      <c r="DT91" s="53"/>
      <c r="DU91" s="13"/>
      <c r="DV91" s="14" t="str">
        <f>IF(DU91="","",DU91/(DL91*100))</f>
        <v/>
      </c>
      <c r="DW91" s="67"/>
      <c r="DY91" s="79"/>
      <c r="DZ91" s="13"/>
      <c r="EA91" s="13"/>
      <c r="EB91" s="13"/>
      <c r="EC91" s="13"/>
      <c r="ED91" s="13"/>
      <c r="EE91" s="13"/>
      <c r="EF91" s="13"/>
      <c r="EG91" s="231" t="str">
        <f t="shared" si="197"/>
        <v/>
      </c>
      <c r="EH91" s="53"/>
      <c r="EI91" s="13"/>
      <c r="EJ91" s="14" t="str">
        <f>IF(EI91="","",EI91/(DZ91*100))</f>
        <v/>
      </c>
      <c r="EK91" s="67"/>
    </row>
    <row r="92" spans="1:141" ht="15" customHeight="1" thickBot="1" x14ac:dyDescent="0.25">
      <c r="A92" s="26"/>
      <c r="B92" s="46"/>
      <c r="C92" s="27">
        <v>9246</v>
      </c>
      <c r="D92" s="27">
        <f t="shared" si="201"/>
        <v>65</v>
      </c>
      <c r="E92" s="27">
        <v>538</v>
      </c>
      <c r="F92" s="27">
        <f t="shared" si="202"/>
        <v>3</v>
      </c>
      <c r="G92" s="27">
        <v>15</v>
      </c>
      <c r="H92" s="27">
        <f t="shared" si="203"/>
        <v>3</v>
      </c>
      <c r="I92" s="217">
        <v>8</v>
      </c>
      <c r="J92" s="57" t="str">
        <f t="shared" si="204"/>
        <v>モンチチフルーツマスコット</v>
      </c>
      <c r="K92" s="62">
        <f t="shared" si="205"/>
        <v>572</v>
      </c>
      <c r="L92" s="27">
        <f t="shared" si="206"/>
        <v>1716</v>
      </c>
      <c r="M92" s="28">
        <f t="shared" si="207"/>
        <v>0.26400000000000001</v>
      </c>
      <c r="N92" s="15"/>
      <c r="O92" s="2"/>
      <c r="P92" s="26"/>
      <c r="Q92" s="27">
        <v>14812</v>
      </c>
      <c r="R92" s="27">
        <f t="shared" si="208"/>
        <v>115</v>
      </c>
      <c r="S92" s="27">
        <v>639</v>
      </c>
      <c r="T92" s="27">
        <f t="shared" si="209"/>
        <v>10</v>
      </c>
      <c r="U92" s="27">
        <v>29</v>
      </c>
      <c r="V92" s="27">
        <f t="shared" si="210"/>
        <v>9</v>
      </c>
      <c r="W92" s="217">
        <v>8</v>
      </c>
      <c r="X92" s="57" t="str">
        <f t="shared" si="211"/>
        <v>ボンボンドロップ</v>
      </c>
      <c r="Y92" s="62">
        <f t="shared" si="212"/>
        <v>200</v>
      </c>
      <c r="Z92" s="27">
        <f t="shared" si="213"/>
        <v>1800</v>
      </c>
      <c r="AA92" s="28">
        <f t="shared" si="214"/>
        <v>0.15652173913043479</v>
      </c>
      <c r="AB92" s="15"/>
      <c r="AC92" s="15"/>
      <c r="AD92" s="26"/>
      <c r="AE92" s="27">
        <v>13780</v>
      </c>
      <c r="AF92" s="27">
        <f t="shared" si="215"/>
        <v>90</v>
      </c>
      <c r="AG92" s="27">
        <v>357</v>
      </c>
      <c r="AH92" s="27">
        <f t="shared" si="216"/>
        <v>2</v>
      </c>
      <c r="AI92" s="27">
        <v>17</v>
      </c>
      <c r="AJ92" s="27">
        <f t="shared" si="217"/>
        <v>1</v>
      </c>
      <c r="AK92" s="217">
        <v>4</v>
      </c>
      <c r="AL92" s="57" t="str">
        <f>IF(AE92="","",AL88)</f>
        <v>キティキラキラマルチケース</v>
      </c>
      <c r="AM92" s="62">
        <f t="shared" ref="AM92:AM104" si="239">IF(AF92="","",AM88)</f>
        <v>400</v>
      </c>
      <c r="AN92" s="27">
        <f t="shared" si="220"/>
        <v>400</v>
      </c>
      <c r="AO92" s="28">
        <f t="shared" si="221"/>
        <v>4.4444444444444446E-2</v>
      </c>
      <c r="AP92" s="15"/>
      <c r="AQ92" s="15"/>
      <c r="AR92" s="26"/>
      <c r="AS92" s="27">
        <v>18290</v>
      </c>
      <c r="AT92" s="27">
        <f t="shared" si="222"/>
        <v>65</v>
      </c>
      <c r="AU92" s="27">
        <v>511</v>
      </c>
      <c r="AV92" s="27">
        <f t="shared" si="223"/>
        <v>0</v>
      </c>
      <c r="AW92" s="27">
        <v>13</v>
      </c>
      <c r="AX92" s="27">
        <f t="shared" si="224"/>
        <v>1</v>
      </c>
      <c r="AY92" s="217">
        <v>8</v>
      </c>
      <c r="AZ92" s="57" t="str">
        <f t="shared" si="237"/>
        <v>バタースクイーズ</v>
      </c>
      <c r="BA92" s="62">
        <f t="shared" si="236"/>
        <v>400</v>
      </c>
      <c r="BB92" s="27">
        <f t="shared" si="226"/>
        <v>400</v>
      </c>
      <c r="BC92" s="28">
        <f t="shared" si="227"/>
        <v>6.1538461538461542E-2</v>
      </c>
      <c r="BD92" s="15"/>
      <c r="BE92" s="2"/>
      <c r="BF92" s="26"/>
      <c r="BG92" s="241" t="s">
        <v>592</v>
      </c>
      <c r="BH92" s="27">
        <v>2352</v>
      </c>
      <c r="BI92" s="27">
        <f t="shared" si="228"/>
        <v>98</v>
      </c>
      <c r="BJ92" s="27">
        <v>29</v>
      </c>
      <c r="BK92" s="27">
        <f t="shared" si="229"/>
        <v>2</v>
      </c>
      <c r="BL92" s="27">
        <v>1</v>
      </c>
      <c r="BM92" s="27">
        <f t="shared" si="230"/>
        <v>2</v>
      </c>
      <c r="BN92" s="217">
        <v>2</v>
      </c>
      <c r="BO92" s="57" t="str">
        <f>IF(BH92="","",BO88)</f>
        <v>ボンボンドロップシール</v>
      </c>
      <c r="BP92" s="62">
        <f t="shared" si="238"/>
        <v>1500</v>
      </c>
      <c r="BQ92" s="27">
        <f t="shared" si="232"/>
        <v>3000</v>
      </c>
      <c r="BR92" s="28">
        <f t="shared" si="233"/>
        <v>0.30612244897959184</v>
      </c>
      <c r="BS92" s="15"/>
      <c r="BU92" s="79"/>
      <c r="BV92" s="13"/>
      <c r="BW92" s="13" t="str">
        <f>IF(BV92="","",BV92-BV93)</f>
        <v/>
      </c>
      <c r="BX92" s="13"/>
      <c r="BY92" s="13" t="str">
        <f>IF(BX92="","",BX92-BX93)</f>
        <v/>
      </c>
      <c r="BZ92" s="13"/>
      <c r="CA92" s="13" t="str">
        <f>IF(BZ92="","",BZ93+CB93-BZ92)</f>
        <v/>
      </c>
      <c r="CB92" s="13"/>
      <c r="CC92" s="231" t="str">
        <f t="shared" si="171"/>
        <v/>
      </c>
      <c r="CD92" s="53" t="str">
        <f>IF(BV92="","",CD93)</f>
        <v/>
      </c>
      <c r="CE92" s="13" t="str">
        <f t="shared" ref="CE92:CE124" si="240">IF(CD92="","",CA92*CD92)</f>
        <v/>
      </c>
      <c r="CF92" s="14" t="str">
        <f t="shared" ref="CF92:CF124" si="241">IF(CE92="","",CE92/(BW92*100))</f>
        <v/>
      </c>
      <c r="CG92" s="67"/>
      <c r="CH92" s="1"/>
      <c r="CI92" s="79"/>
      <c r="CJ92" s="13"/>
      <c r="CK92" s="13" t="str">
        <f>IF(CJ92="","",CJ92-CJ93)</f>
        <v/>
      </c>
      <c r="CL92" s="13"/>
      <c r="CM92" s="13" t="str">
        <f>IF(CL92="","",CL92-CL93)</f>
        <v/>
      </c>
      <c r="CN92" s="13"/>
      <c r="CO92" s="13" t="str">
        <f>IF(CN92="","",CN93+CP93-CN92)</f>
        <v/>
      </c>
      <c r="CP92" s="13"/>
      <c r="CQ92" s="231" t="str">
        <f t="shared" si="178"/>
        <v/>
      </c>
      <c r="CR92" s="53" t="str">
        <f>IF(CJ92="","",CR93)</f>
        <v/>
      </c>
      <c r="CS92" s="13" t="str">
        <f t="shared" ref="CS92:CS124" si="242">IF(CR92="","",CO92*CR92)</f>
        <v/>
      </c>
      <c r="CT92" s="14" t="str">
        <f>IF(CS92="","",CS92/(CK92*100))</f>
        <v/>
      </c>
      <c r="CU92" s="15"/>
      <c r="CV92" s="1"/>
      <c r="CW92" s="79"/>
      <c r="CX92" s="13"/>
      <c r="CY92" s="13" t="str">
        <f>IF(CX92="","",CX92-CX93)</f>
        <v/>
      </c>
      <c r="CZ92" s="13"/>
      <c r="DA92" s="13" t="str">
        <f>IF(CZ92="","",CZ92-CZ93)</f>
        <v/>
      </c>
      <c r="DB92" s="13"/>
      <c r="DC92" s="13" t="str">
        <f>IF(DB92="","",DB93+DD93-DB92)</f>
        <v/>
      </c>
      <c r="DD92" s="13"/>
      <c r="DE92" s="231" t="str">
        <f t="shared" si="185"/>
        <v/>
      </c>
      <c r="DF92" s="53" t="str">
        <f>IF(CX92="","",DF93)</f>
        <v/>
      </c>
      <c r="DG92" s="13" t="str">
        <f t="shared" ref="DG92:DG124" si="243">IF(DF92="","",DC92*DF92)</f>
        <v/>
      </c>
      <c r="DH92" s="14" t="str">
        <f t="shared" ref="DH92:DH124" si="244">IF(DG92="","",DG92/(CY92*100))</f>
        <v/>
      </c>
      <c r="DI92" s="15"/>
      <c r="DJ92" s="1"/>
      <c r="DK92" s="79"/>
      <c r="DL92" s="13"/>
      <c r="DM92" s="13" t="str">
        <f>IF(DL92="","",DL92-DL93)</f>
        <v/>
      </c>
      <c r="DN92" s="13"/>
      <c r="DO92" s="13" t="str">
        <f>IF(DN92="","",DN92-DN93)</f>
        <v/>
      </c>
      <c r="DP92" s="13"/>
      <c r="DQ92" s="13" t="str">
        <f>IF(DP92="","",DP93+DR93-DP92)</f>
        <v/>
      </c>
      <c r="DR92" s="13"/>
      <c r="DS92" s="231" t="str">
        <f t="shared" si="234"/>
        <v/>
      </c>
      <c r="DT92" s="53" t="str">
        <f>IF(DL92="","",DT93)</f>
        <v/>
      </c>
      <c r="DU92" s="13" t="str">
        <f t="shared" ref="DU92:DU124" si="245">IF(DT92="","",DQ92*DT92)</f>
        <v/>
      </c>
      <c r="DV92" s="14" t="str">
        <f t="shared" ref="DV92:DV124" si="246">IF(DU92="","",DU92/(DM92*100))</f>
        <v/>
      </c>
      <c r="DW92" s="15"/>
      <c r="DY92" s="79"/>
      <c r="DZ92" s="13"/>
      <c r="EA92" s="13" t="str">
        <f>IF(DZ92="","",DZ92-DZ93)</f>
        <v/>
      </c>
      <c r="EB92" s="13"/>
      <c r="EC92" s="13" t="str">
        <f>IF(EB92="","",EB92-EB93)</f>
        <v/>
      </c>
      <c r="ED92" s="13"/>
      <c r="EE92" s="13" t="str">
        <f>IF(ED92="","",ED93+EF93-ED92)</f>
        <v/>
      </c>
      <c r="EF92" s="13"/>
      <c r="EG92" s="231" t="str">
        <f t="shared" si="197"/>
        <v/>
      </c>
      <c r="EH92" s="53" t="str">
        <f>IF(DZ92="","",EH93)</f>
        <v/>
      </c>
      <c r="EI92" s="13" t="str">
        <f t="shared" ref="EI92:EI124" si="247">IF(EH92="","",EE92*EH92)</f>
        <v/>
      </c>
      <c r="EJ92" s="14" t="str">
        <f t="shared" ref="EJ92:EJ124" si="248">IF(EI92="","",EI92/(EA92*100))</f>
        <v/>
      </c>
      <c r="EK92" s="15"/>
    </row>
    <row r="93" spans="1:141" ht="15" customHeight="1" thickTop="1" x14ac:dyDescent="0.2">
      <c r="A93" s="79">
        <v>46139</v>
      </c>
      <c r="B93" s="74">
        <f>IF(A93="","",SUM(D93:D96)+SUM(R93:R96)+SUM(AF93:AF96)+SUM(AT93:AT96)+SUM(BW81,CK81,CY81,DM81,EA81)+SUM(BI93:BI96))</f>
        <v>3300</v>
      </c>
      <c r="C93" s="53">
        <v>7975</v>
      </c>
      <c r="D93" s="53">
        <f t="shared" si="201"/>
        <v>127</v>
      </c>
      <c r="E93" s="53">
        <v>401</v>
      </c>
      <c r="F93" s="31">
        <f t="shared" si="202"/>
        <v>5</v>
      </c>
      <c r="G93" s="53">
        <v>50</v>
      </c>
      <c r="H93" s="53">
        <f t="shared" si="203"/>
        <v>8</v>
      </c>
      <c r="I93" s="192">
        <v>0</v>
      </c>
      <c r="J93" s="75" t="str">
        <f t="shared" si="204"/>
        <v>ジャグラーボタン</v>
      </c>
      <c r="K93" s="76">
        <f t="shared" si="205"/>
        <v>748</v>
      </c>
      <c r="L93" s="31">
        <f t="shared" si="206"/>
        <v>5984</v>
      </c>
      <c r="M93" s="32">
        <f t="shared" si="207"/>
        <v>0.47118110236220473</v>
      </c>
      <c r="N93" s="15"/>
      <c r="O93" s="2"/>
      <c r="P93" s="79">
        <f>IF($A93="","",$A93)</f>
        <v>46139</v>
      </c>
      <c r="Q93" s="53">
        <v>9242</v>
      </c>
      <c r="R93" s="53">
        <f t="shared" si="208"/>
        <v>156</v>
      </c>
      <c r="S93" s="53">
        <v>274</v>
      </c>
      <c r="T93" s="31">
        <f t="shared" si="209"/>
        <v>6</v>
      </c>
      <c r="U93" s="53">
        <v>9</v>
      </c>
      <c r="V93" s="53">
        <f t="shared" si="210"/>
        <v>5</v>
      </c>
      <c r="W93" s="192">
        <v>4</v>
      </c>
      <c r="X93" s="75" t="str">
        <f t="shared" si="211"/>
        <v>キティボアバンスクリップ</v>
      </c>
      <c r="Y93" s="76">
        <f t="shared" si="212"/>
        <v>1100</v>
      </c>
      <c r="Z93" s="31">
        <f t="shared" si="213"/>
        <v>5500</v>
      </c>
      <c r="AA93" s="32">
        <f t="shared" si="214"/>
        <v>0.35256410256410259</v>
      </c>
      <c r="AB93" s="15"/>
      <c r="AC93" s="15"/>
      <c r="AD93" s="79">
        <f>IF($A93="","",$A93)</f>
        <v>46139</v>
      </c>
      <c r="AE93" s="53">
        <v>11897</v>
      </c>
      <c r="AF93" s="53">
        <f t="shared" si="215"/>
        <v>75</v>
      </c>
      <c r="AG93" s="53">
        <v>269</v>
      </c>
      <c r="AH93" s="31">
        <f t="shared" si="216"/>
        <v>1</v>
      </c>
      <c r="AI93" s="53">
        <v>8</v>
      </c>
      <c r="AJ93" s="53">
        <f t="shared" si="217"/>
        <v>0</v>
      </c>
      <c r="AK93" s="192">
        <v>8</v>
      </c>
      <c r="AL93" s="75" t="s">
        <v>616</v>
      </c>
      <c r="AM93" s="76">
        <f t="shared" si="239"/>
        <v>1100</v>
      </c>
      <c r="AN93" s="31">
        <f t="shared" si="220"/>
        <v>0</v>
      </c>
      <c r="AO93" s="32">
        <f t="shared" si="221"/>
        <v>0</v>
      </c>
      <c r="AP93" s="15" t="s">
        <v>615</v>
      </c>
      <c r="AQ93" s="15"/>
      <c r="AR93" s="79">
        <f>IF($A93="","",$A93)</f>
        <v>46139</v>
      </c>
      <c r="AS93" s="53">
        <v>12903</v>
      </c>
      <c r="AT93" s="53">
        <f t="shared" si="222"/>
        <v>57</v>
      </c>
      <c r="AU93" s="53">
        <v>397</v>
      </c>
      <c r="AV93" s="31">
        <f t="shared" si="223"/>
        <v>3</v>
      </c>
      <c r="AW93" s="53">
        <v>25</v>
      </c>
      <c r="AX93" s="53">
        <f t="shared" si="224"/>
        <v>1</v>
      </c>
      <c r="AY93" s="192">
        <v>-17</v>
      </c>
      <c r="AZ93" s="75" t="str">
        <f t="shared" si="237"/>
        <v>ゲーム機イヤホン</v>
      </c>
      <c r="BA93" s="76">
        <f t="shared" si="236"/>
        <v>1100</v>
      </c>
      <c r="BB93" s="31">
        <f t="shared" si="226"/>
        <v>1100</v>
      </c>
      <c r="BC93" s="32">
        <f t="shared" si="227"/>
        <v>0.19298245614035087</v>
      </c>
      <c r="BD93" s="15" t="s">
        <v>619</v>
      </c>
      <c r="BE93" s="2"/>
      <c r="BF93" s="79">
        <f>IF($A93="","",$A93)</f>
        <v>46139</v>
      </c>
      <c r="BG93" s="239" t="s">
        <v>589</v>
      </c>
      <c r="BH93" s="53">
        <v>2562</v>
      </c>
      <c r="BI93" s="53">
        <f t="shared" si="228"/>
        <v>102</v>
      </c>
      <c r="BJ93" s="53">
        <v>30</v>
      </c>
      <c r="BK93" s="31">
        <f t="shared" si="229"/>
        <v>1</v>
      </c>
      <c r="BL93" s="53">
        <v>0</v>
      </c>
      <c r="BM93" s="53">
        <f t="shared" si="230"/>
        <v>3</v>
      </c>
      <c r="BN93" s="192">
        <v>3</v>
      </c>
      <c r="BO93" s="75" t="s">
        <v>614</v>
      </c>
      <c r="BP93" s="76">
        <f t="shared" si="238"/>
        <v>1500</v>
      </c>
      <c r="BQ93" s="31">
        <f t="shared" si="232"/>
        <v>4500</v>
      </c>
      <c r="BR93" s="32">
        <f t="shared" si="233"/>
        <v>0.44117647058823528</v>
      </c>
      <c r="BS93" s="15"/>
      <c r="BU93" s="79"/>
      <c r="BV93" s="13"/>
      <c r="BW93" s="13" t="str">
        <f>IF(BV93="","",BV93-BV90)</f>
        <v/>
      </c>
      <c r="BX93" s="13"/>
      <c r="BY93" s="13" t="str">
        <f>IF(BX93="","",BX93-BX90)</f>
        <v/>
      </c>
      <c r="BZ93" s="13"/>
      <c r="CA93" s="13" t="str">
        <f>IF(BZ93="","",BZ90+CB90-BZ93)</f>
        <v/>
      </c>
      <c r="CB93" s="13"/>
      <c r="CC93" s="231" t="str">
        <f t="shared" si="171"/>
        <v/>
      </c>
      <c r="CD93" s="53" t="str">
        <f>IF(BV93="","",CD90)</f>
        <v/>
      </c>
      <c r="CE93" s="13" t="str">
        <f t="shared" si="240"/>
        <v/>
      </c>
      <c r="CF93" s="14" t="str">
        <f t="shared" si="241"/>
        <v/>
      </c>
      <c r="CG93" s="67"/>
      <c r="CH93" s="1"/>
      <c r="CI93" s="79"/>
      <c r="CJ93" s="13"/>
      <c r="CK93" s="13" t="str">
        <f>IF(CJ93="","",CJ93-CJ90)</f>
        <v/>
      </c>
      <c r="CL93" s="13"/>
      <c r="CM93" s="13" t="str">
        <f>IF(CL93="","",CL93-CL90)</f>
        <v/>
      </c>
      <c r="CN93" s="13"/>
      <c r="CO93" s="13" t="str">
        <f>IF(CN93="","",CN90+CP90-CN93)</f>
        <v/>
      </c>
      <c r="CP93" s="13"/>
      <c r="CQ93" s="231" t="str">
        <f t="shared" si="178"/>
        <v/>
      </c>
      <c r="CR93" s="53" t="str">
        <f>IF(CJ93="","",CR90)</f>
        <v/>
      </c>
      <c r="CS93" s="13" t="str">
        <f t="shared" si="242"/>
        <v/>
      </c>
      <c r="CT93" s="14" t="str">
        <f>IF(CS93="","",CS93/(CK93*100))</f>
        <v/>
      </c>
      <c r="CU93" s="15"/>
      <c r="CV93" s="1"/>
      <c r="CW93" s="79"/>
      <c r="CX93" s="13"/>
      <c r="CY93" s="13" t="str">
        <f>IF(CX93="","",CX93-CX90)</f>
        <v/>
      </c>
      <c r="CZ93" s="13"/>
      <c r="DA93" s="13" t="str">
        <f>IF(CZ93="","",CZ93-CZ90)</f>
        <v/>
      </c>
      <c r="DB93" s="13"/>
      <c r="DC93" s="13" t="str">
        <f>IF(DB93="","",DB90+DD90-DB93)</f>
        <v/>
      </c>
      <c r="DD93" s="13"/>
      <c r="DE93" s="231" t="str">
        <f t="shared" si="185"/>
        <v/>
      </c>
      <c r="DF93" s="53" t="str">
        <f>IF(CX93="","",DF90)</f>
        <v/>
      </c>
      <c r="DG93" s="13" t="str">
        <f t="shared" si="243"/>
        <v/>
      </c>
      <c r="DH93" s="14" t="str">
        <f t="shared" si="244"/>
        <v/>
      </c>
      <c r="DI93" s="15"/>
      <c r="DJ93" s="1"/>
      <c r="DK93" s="79"/>
      <c r="DL93" s="13"/>
      <c r="DM93" s="13" t="str">
        <f>IF(DL93="","",DL93-DL90)</f>
        <v/>
      </c>
      <c r="DN93" s="13"/>
      <c r="DO93" s="13" t="str">
        <f>IF(DN93="","",DN93-DN90)</f>
        <v/>
      </c>
      <c r="DP93" s="13"/>
      <c r="DQ93" s="13" t="str">
        <f>IF(DP93="","",DP90+DR90-DP93)</f>
        <v/>
      </c>
      <c r="DR93" s="13"/>
      <c r="DS93" s="231" t="str">
        <f t="shared" si="234"/>
        <v/>
      </c>
      <c r="DT93" s="53" t="str">
        <f>IF(DL93="","",DT90)</f>
        <v/>
      </c>
      <c r="DU93" s="13" t="str">
        <f t="shared" si="245"/>
        <v/>
      </c>
      <c r="DV93" s="14" t="str">
        <f t="shared" si="246"/>
        <v/>
      </c>
      <c r="DW93" s="15"/>
      <c r="DY93" s="79"/>
      <c r="DZ93" s="13"/>
      <c r="EA93" s="13" t="str">
        <f>IF(DZ93="","",DZ93-DZ90)</f>
        <v/>
      </c>
      <c r="EB93" s="13"/>
      <c r="EC93" s="13" t="str">
        <f>IF(EB93="","",EB93-EB90)</f>
        <v/>
      </c>
      <c r="ED93" s="13"/>
      <c r="EE93" s="13" t="str">
        <f>IF(ED93="","",ED90+EF90-ED93)</f>
        <v/>
      </c>
      <c r="EF93" s="13"/>
      <c r="EG93" s="231" t="str">
        <f t="shared" si="197"/>
        <v/>
      </c>
      <c r="EH93" s="53" t="str">
        <f>IF(DZ93="","",EH90)</f>
        <v/>
      </c>
      <c r="EI93" s="13" t="str">
        <f t="shared" si="247"/>
        <v/>
      </c>
      <c r="EJ93" s="14" t="str">
        <f t="shared" si="248"/>
        <v/>
      </c>
      <c r="EK93" s="15"/>
    </row>
    <row r="94" spans="1:141" x14ac:dyDescent="0.2">
      <c r="A94" s="136"/>
      <c r="B94" s="11"/>
      <c r="C94" s="13">
        <v>7587</v>
      </c>
      <c r="D94" s="13">
        <f t="shared" si="201"/>
        <v>46</v>
      </c>
      <c r="E94" s="13">
        <v>441</v>
      </c>
      <c r="F94" s="13">
        <f t="shared" si="202"/>
        <v>4</v>
      </c>
      <c r="G94" s="13">
        <v>58</v>
      </c>
      <c r="H94" s="13">
        <f t="shared" si="203"/>
        <v>4</v>
      </c>
      <c r="I94" s="205">
        <v>0</v>
      </c>
      <c r="J94" s="111" t="str">
        <f t="shared" si="204"/>
        <v>電ブル</v>
      </c>
      <c r="K94" s="54">
        <f t="shared" si="205"/>
        <v>275</v>
      </c>
      <c r="L94" s="13">
        <f t="shared" si="206"/>
        <v>1100</v>
      </c>
      <c r="M94" s="14">
        <f t="shared" si="207"/>
        <v>0.2391304347826087</v>
      </c>
      <c r="N94" s="15"/>
      <c r="O94" s="2"/>
      <c r="P94" s="79"/>
      <c r="Q94" s="13">
        <v>2410</v>
      </c>
      <c r="R94" s="13">
        <f t="shared" si="208"/>
        <v>150</v>
      </c>
      <c r="S94" s="13">
        <v>176</v>
      </c>
      <c r="T94" s="13">
        <f t="shared" si="209"/>
        <v>1</v>
      </c>
      <c r="U94" s="13">
        <v>13</v>
      </c>
      <c r="V94" s="13">
        <f t="shared" si="210"/>
        <v>3</v>
      </c>
      <c r="W94" s="205">
        <v>0</v>
      </c>
      <c r="X94" s="56" t="str">
        <f t="shared" si="211"/>
        <v>たまごっちブロックシール</v>
      </c>
      <c r="Y94" s="54">
        <f t="shared" si="212"/>
        <v>600</v>
      </c>
      <c r="Z94" s="13">
        <f t="shared" si="213"/>
        <v>1800</v>
      </c>
      <c r="AA94" s="14">
        <f t="shared" si="214"/>
        <v>0.12</v>
      </c>
      <c r="AB94" s="15"/>
      <c r="AC94" s="15"/>
      <c r="AD94" s="79"/>
      <c r="AE94" s="13">
        <v>12093</v>
      </c>
      <c r="AF94" s="13">
        <f t="shared" si="215"/>
        <v>106</v>
      </c>
      <c r="AG94" s="13">
        <v>254</v>
      </c>
      <c r="AH94" s="13">
        <f t="shared" si="216"/>
        <v>2</v>
      </c>
      <c r="AI94" s="13">
        <v>12</v>
      </c>
      <c r="AJ94" s="13">
        <f t="shared" si="217"/>
        <v>2</v>
      </c>
      <c r="AK94" s="205">
        <v>4</v>
      </c>
      <c r="AL94" s="56" t="str">
        <f t="shared" ref="AL94:AL104" si="249">IF(AE94="","",AL90)</f>
        <v>サンリオハンディファン</v>
      </c>
      <c r="AM94" s="54">
        <f t="shared" si="239"/>
        <v>1100</v>
      </c>
      <c r="AN94" s="13">
        <f t="shared" si="220"/>
        <v>2200</v>
      </c>
      <c r="AO94" s="14">
        <f t="shared" si="221"/>
        <v>0.20754716981132076</v>
      </c>
      <c r="AP94" s="15"/>
      <c r="AQ94" s="15"/>
      <c r="AR94" s="79"/>
      <c r="AS94" s="13">
        <v>10074</v>
      </c>
      <c r="AT94" s="13">
        <f t="shared" si="222"/>
        <v>228</v>
      </c>
      <c r="AU94" s="13">
        <v>478</v>
      </c>
      <c r="AV94" s="13">
        <f t="shared" si="223"/>
        <v>4</v>
      </c>
      <c r="AW94" s="13">
        <v>24</v>
      </c>
      <c r="AX94" s="13">
        <f t="shared" si="224"/>
        <v>4</v>
      </c>
      <c r="AY94" s="205">
        <v>0</v>
      </c>
      <c r="AZ94" s="56" t="str">
        <f t="shared" si="237"/>
        <v>ベアブリック</v>
      </c>
      <c r="BA94" s="54">
        <f t="shared" si="236"/>
        <v>1100</v>
      </c>
      <c r="BB94" s="13">
        <f t="shared" si="226"/>
        <v>4400</v>
      </c>
      <c r="BC94" s="14">
        <f t="shared" si="227"/>
        <v>0.19298245614035087</v>
      </c>
      <c r="BD94" s="15"/>
      <c r="BE94" s="2"/>
      <c r="BF94" s="79"/>
      <c r="BG94" s="239" t="s">
        <v>590</v>
      </c>
      <c r="BH94" s="13">
        <v>3889</v>
      </c>
      <c r="BI94" s="13">
        <f t="shared" si="228"/>
        <v>152</v>
      </c>
      <c r="BJ94" s="13">
        <v>28</v>
      </c>
      <c r="BK94" s="13">
        <f t="shared" si="229"/>
        <v>2</v>
      </c>
      <c r="BL94" s="13">
        <v>0</v>
      </c>
      <c r="BM94" s="13">
        <f t="shared" si="230"/>
        <v>3</v>
      </c>
      <c r="BN94" s="205">
        <v>3</v>
      </c>
      <c r="BO94" s="56" t="str">
        <f>IF(BH94="","",BO90)</f>
        <v>ボンボンドロップシール</v>
      </c>
      <c r="BP94" s="54">
        <f t="shared" si="238"/>
        <v>1500</v>
      </c>
      <c r="BQ94" s="13">
        <f t="shared" si="232"/>
        <v>4500</v>
      </c>
      <c r="BR94" s="14">
        <f t="shared" si="233"/>
        <v>0.29605263157894735</v>
      </c>
      <c r="BS94" s="15"/>
      <c r="BU94" s="79"/>
      <c r="BV94" s="13"/>
      <c r="BW94" s="13" t="str">
        <f>IF(BV94="","",BV94-BV92)</f>
        <v/>
      </c>
      <c r="BX94" s="13"/>
      <c r="BY94" s="13" t="str">
        <f>IF(BX94="","",BX94-BX92)</f>
        <v/>
      </c>
      <c r="BZ94" s="13"/>
      <c r="CA94" s="13" t="str">
        <f>IF(BZ94="","",BZ92+CB92-BZ94)</f>
        <v/>
      </c>
      <c r="CB94" s="13"/>
      <c r="CC94" s="231" t="str">
        <f t="shared" si="171"/>
        <v/>
      </c>
      <c r="CD94" s="53" t="str">
        <f>IF(BV94="","",CD92)</f>
        <v/>
      </c>
      <c r="CE94" s="13" t="str">
        <f t="shared" si="240"/>
        <v/>
      </c>
      <c r="CF94" s="14" t="str">
        <f t="shared" si="241"/>
        <v/>
      </c>
      <c r="CG94" s="15"/>
      <c r="CH94" s="1"/>
      <c r="CI94" s="79"/>
      <c r="CJ94" s="13"/>
      <c r="CK94" s="13" t="str">
        <f>IF(CJ94="","",CJ94-CJ92)</f>
        <v/>
      </c>
      <c r="CL94" s="13"/>
      <c r="CM94" s="13" t="str">
        <f>IF(CL94="","",CL94-CL92)</f>
        <v/>
      </c>
      <c r="CN94" s="13"/>
      <c r="CO94" s="13" t="str">
        <f>IF(CN94="","",CN92+CP92-CN94)</f>
        <v/>
      </c>
      <c r="CP94" s="13"/>
      <c r="CQ94" s="231" t="str">
        <f t="shared" si="178"/>
        <v/>
      </c>
      <c r="CR94" s="53" t="str">
        <f>IF(CJ94="","",CR92)</f>
        <v/>
      </c>
      <c r="CS94" s="13" t="str">
        <f t="shared" si="242"/>
        <v/>
      </c>
      <c r="CT94" s="14" t="str">
        <f>IF(CS94="","",CS94/(CK94*100))</f>
        <v/>
      </c>
      <c r="CU94" s="15"/>
      <c r="CV94" s="1"/>
      <c r="CW94" s="79"/>
      <c r="CX94" s="13"/>
      <c r="CY94" s="13" t="str">
        <f>IF(CX94="","",CX94-CX92)</f>
        <v/>
      </c>
      <c r="CZ94" s="13"/>
      <c r="DA94" s="13" t="str">
        <f>IF(CZ94="","",CZ94-CZ92)</f>
        <v/>
      </c>
      <c r="DB94" s="13"/>
      <c r="DC94" s="13" t="str">
        <f>IF(DB94="","",DB92+DD92-DB94)</f>
        <v/>
      </c>
      <c r="DD94" s="13"/>
      <c r="DE94" s="231" t="str">
        <f t="shared" si="185"/>
        <v/>
      </c>
      <c r="DF94" s="53" t="str">
        <f>IF(CX94="","",DF92)</f>
        <v/>
      </c>
      <c r="DG94" s="13" t="str">
        <f t="shared" si="243"/>
        <v/>
      </c>
      <c r="DH94" s="14" t="str">
        <f t="shared" si="244"/>
        <v/>
      </c>
      <c r="DI94" s="15"/>
      <c r="DJ94" s="1"/>
      <c r="DK94" s="79"/>
      <c r="DL94" s="13"/>
      <c r="DM94" s="13" t="str">
        <f>IF(DL94="","",DL94-DL92)</f>
        <v/>
      </c>
      <c r="DN94" s="13"/>
      <c r="DO94" s="13" t="str">
        <f>IF(DN94="","",DN94-DN92)</f>
        <v/>
      </c>
      <c r="DP94" s="13"/>
      <c r="DQ94" s="13" t="str">
        <f>IF(DP94="","",DP92+DR92-DP94)</f>
        <v/>
      </c>
      <c r="DR94" s="13"/>
      <c r="DS94" s="231" t="str">
        <f t="shared" si="234"/>
        <v/>
      </c>
      <c r="DT94" s="53" t="str">
        <f>IF(DL94="","",DT92)</f>
        <v/>
      </c>
      <c r="DU94" s="13" t="str">
        <f t="shared" si="245"/>
        <v/>
      </c>
      <c r="DV94" s="14" t="str">
        <f t="shared" si="246"/>
        <v/>
      </c>
      <c r="DW94" s="15"/>
      <c r="DY94" s="79"/>
      <c r="DZ94" s="13"/>
      <c r="EA94" s="13" t="str">
        <f>IF(DZ94="","",DZ94-DZ92)</f>
        <v/>
      </c>
      <c r="EB94" s="13"/>
      <c r="EC94" s="13" t="str">
        <f>IF(EB94="","",EB94-EB92)</f>
        <v/>
      </c>
      <c r="ED94" s="13"/>
      <c r="EE94" s="13" t="str">
        <f>IF(ED94="","",ED92+EF92-ED94)</f>
        <v/>
      </c>
      <c r="EF94" s="13"/>
      <c r="EG94" s="231" t="str">
        <f t="shared" si="197"/>
        <v/>
      </c>
      <c r="EH94" s="53" t="str">
        <f>IF(DZ94="","",EH92)</f>
        <v/>
      </c>
      <c r="EI94" s="13" t="str">
        <f t="shared" si="247"/>
        <v/>
      </c>
      <c r="EJ94" s="14" t="str">
        <f t="shared" si="248"/>
        <v/>
      </c>
      <c r="EK94" s="15"/>
    </row>
    <row r="95" spans="1:141" ht="15" customHeight="1" x14ac:dyDescent="0.2">
      <c r="A95" s="79"/>
      <c r="B95" s="11"/>
      <c r="C95" s="34">
        <v>13222</v>
      </c>
      <c r="D95" s="13">
        <f t="shared" si="201"/>
        <v>62</v>
      </c>
      <c r="E95" s="34">
        <v>793</v>
      </c>
      <c r="F95" s="13">
        <f t="shared" si="202"/>
        <v>20</v>
      </c>
      <c r="G95" s="34">
        <v>290</v>
      </c>
      <c r="H95" s="13">
        <f t="shared" si="203"/>
        <v>20</v>
      </c>
      <c r="I95" s="214">
        <v>0</v>
      </c>
      <c r="J95" s="56" t="str">
        <f t="shared" si="204"/>
        <v>ブレスレット</v>
      </c>
      <c r="K95" s="13">
        <f t="shared" si="205"/>
        <v>100</v>
      </c>
      <c r="L95" s="13">
        <f t="shared" si="206"/>
        <v>2000</v>
      </c>
      <c r="M95" s="14">
        <f t="shared" si="207"/>
        <v>0.32258064516129031</v>
      </c>
      <c r="N95" s="233" t="s">
        <v>475</v>
      </c>
      <c r="O95" s="2"/>
      <c r="P95" s="79"/>
      <c r="Q95" s="34">
        <v>10665</v>
      </c>
      <c r="R95" s="13">
        <f t="shared" si="208"/>
        <v>138</v>
      </c>
      <c r="S95" s="34">
        <v>219</v>
      </c>
      <c r="T95" s="13">
        <f t="shared" si="209"/>
        <v>2</v>
      </c>
      <c r="U95" s="34">
        <v>17</v>
      </c>
      <c r="V95" s="13">
        <f t="shared" si="210"/>
        <v>2</v>
      </c>
      <c r="W95" s="214">
        <v>0</v>
      </c>
      <c r="X95" s="56" t="str">
        <f t="shared" si="211"/>
        <v>たまごっちミニクリップ</v>
      </c>
      <c r="Y95" s="13">
        <f t="shared" si="212"/>
        <v>1100</v>
      </c>
      <c r="Z95" s="13">
        <f t="shared" si="213"/>
        <v>2200</v>
      </c>
      <c r="AA95" s="14">
        <f t="shared" si="214"/>
        <v>0.15942028985507245</v>
      </c>
      <c r="AB95" s="15"/>
      <c r="AC95" s="15"/>
      <c r="AD95" s="79"/>
      <c r="AE95" s="34">
        <v>14288</v>
      </c>
      <c r="AF95" s="13">
        <f t="shared" si="215"/>
        <v>234</v>
      </c>
      <c r="AG95" s="34">
        <v>456</v>
      </c>
      <c r="AH95" s="13">
        <f t="shared" si="216"/>
        <v>60</v>
      </c>
      <c r="AI95" s="34">
        <v>60</v>
      </c>
      <c r="AJ95" s="13">
        <f t="shared" si="217"/>
        <v>70</v>
      </c>
      <c r="AK95" s="214">
        <v>36</v>
      </c>
      <c r="AL95" s="56" t="str">
        <f t="shared" si="249"/>
        <v>ふわもちスクイーズ</v>
      </c>
      <c r="AM95" s="13">
        <f t="shared" si="239"/>
        <v>260</v>
      </c>
      <c r="AN95" s="13">
        <f t="shared" si="220"/>
        <v>18200</v>
      </c>
      <c r="AO95" s="14">
        <f t="shared" si="221"/>
        <v>0.77777777777777779</v>
      </c>
      <c r="AP95" s="15" t="s">
        <v>617</v>
      </c>
      <c r="AQ95" s="15"/>
      <c r="AR95" s="79"/>
      <c r="AS95" s="34">
        <v>18219</v>
      </c>
      <c r="AT95" s="13">
        <f t="shared" si="222"/>
        <v>184</v>
      </c>
      <c r="AU95" s="34">
        <v>572</v>
      </c>
      <c r="AV95" s="13">
        <f t="shared" si="223"/>
        <v>1</v>
      </c>
      <c r="AW95" s="34">
        <v>24</v>
      </c>
      <c r="AX95" s="13">
        <f t="shared" si="224"/>
        <v>1</v>
      </c>
      <c r="AY95" s="214">
        <v>0</v>
      </c>
      <c r="AZ95" s="56" t="str">
        <f t="shared" si="237"/>
        <v>たまごっちマスコット</v>
      </c>
      <c r="BA95" s="13">
        <f t="shared" si="236"/>
        <v>1430</v>
      </c>
      <c r="BB95" s="13">
        <f t="shared" si="226"/>
        <v>1430</v>
      </c>
      <c r="BC95" s="14">
        <f t="shared" si="227"/>
        <v>7.7717391304347822E-2</v>
      </c>
      <c r="BD95" s="92" t="s">
        <v>39</v>
      </c>
      <c r="BE95" s="2"/>
      <c r="BF95" s="79"/>
      <c r="BG95" s="239" t="s">
        <v>591</v>
      </c>
      <c r="BH95" s="34">
        <v>2934</v>
      </c>
      <c r="BI95" s="13">
        <f t="shared" si="228"/>
        <v>63</v>
      </c>
      <c r="BJ95" s="34">
        <v>28</v>
      </c>
      <c r="BK95" s="13">
        <f t="shared" si="229"/>
        <v>1</v>
      </c>
      <c r="BL95" s="34">
        <v>1</v>
      </c>
      <c r="BM95" s="13">
        <f t="shared" si="230"/>
        <v>2</v>
      </c>
      <c r="BN95" s="214">
        <v>2</v>
      </c>
      <c r="BO95" s="56" t="s">
        <v>614</v>
      </c>
      <c r="BP95" s="13">
        <f t="shared" si="238"/>
        <v>1500</v>
      </c>
      <c r="BQ95" s="13">
        <f t="shared" si="232"/>
        <v>3000</v>
      </c>
      <c r="BR95" s="14">
        <f t="shared" si="233"/>
        <v>0.47619047619047616</v>
      </c>
      <c r="BS95" s="15"/>
      <c r="BU95" s="79"/>
      <c r="BV95" s="13"/>
      <c r="BW95" s="13" t="str">
        <f>IF(BV95="","",BV95-#REF!)</f>
        <v/>
      </c>
      <c r="BX95" s="13"/>
      <c r="BY95" s="13" t="str">
        <f>IF(BX95="","",BX95-#REF!)</f>
        <v/>
      </c>
      <c r="BZ95" s="13"/>
      <c r="CA95" s="13" t="str">
        <f>IF(BZ95="","",#REF!+#REF!-BZ95)</f>
        <v/>
      </c>
      <c r="CB95" s="13"/>
      <c r="CC95" s="231" t="str">
        <f t="shared" si="171"/>
        <v/>
      </c>
      <c r="CD95" s="53" t="str">
        <f>IF(BV95="","",#REF!)</f>
        <v/>
      </c>
      <c r="CE95" s="13" t="str">
        <f t="shared" si="240"/>
        <v/>
      </c>
      <c r="CF95" s="14" t="str">
        <f t="shared" si="241"/>
        <v/>
      </c>
      <c r="CG95" s="15"/>
      <c r="CH95" s="1"/>
      <c r="CI95" s="79"/>
      <c r="CJ95" s="13"/>
      <c r="CK95" s="13" t="str">
        <f>IF(CJ95="","",CJ95-#REF!)</f>
        <v/>
      </c>
      <c r="CL95" s="13"/>
      <c r="CM95" s="13" t="str">
        <f>IF(CL95="","",CL95-#REF!)</f>
        <v/>
      </c>
      <c r="CN95" s="13"/>
      <c r="CO95" s="13" t="str">
        <f>IF(CN95="","",#REF!+#REF!-CN95)</f>
        <v/>
      </c>
      <c r="CP95" s="13"/>
      <c r="CQ95" s="231" t="str">
        <f t="shared" si="178"/>
        <v/>
      </c>
      <c r="CR95" s="53" t="str">
        <f>IF(CJ95="","",#REF!)</f>
        <v/>
      </c>
      <c r="CS95" s="13" t="str">
        <f t="shared" si="242"/>
        <v/>
      </c>
      <c r="CT95" s="14" t="str">
        <f>IF(CS95="","",CS95/(CK95*100))</f>
        <v/>
      </c>
      <c r="CU95" s="15"/>
      <c r="CV95" s="1"/>
      <c r="CW95" s="79"/>
      <c r="CX95" s="13"/>
      <c r="CY95" s="13" t="str">
        <f>IF(CX95="","",CX95-#REF!)</f>
        <v/>
      </c>
      <c r="CZ95" s="13"/>
      <c r="DA95" s="13" t="str">
        <f>IF(CZ95="","",CZ95-#REF!)</f>
        <v/>
      </c>
      <c r="DB95" s="13"/>
      <c r="DC95" s="13" t="str">
        <f>IF(DB95="","",#REF!+#REF!-DB95)</f>
        <v/>
      </c>
      <c r="DD95" s="13"/>
      <c r="DE95" s="231" t="str">
        <f t="shared" si="185"/>
        <v/>
      </c>
      <c r="DF95" s="53" t="str">
        <f>IF(CX95="","",#REF!)</f>
        <v/>
      </c>
      <c r="DG95" s="13" t="str">
        <f t="shared" si="243"/>
        <v/>
      </c>
      <c r="DH95" s="14" t="str">
        <f t="shared" si="244"/>
        <v/>
      </c>
      <c r="DI95" s="15"/>
      <c r="DJ95" s="1"/>
      <c r="DK95" s="79"/>
      <c r="DL95" s="13"/>
      <c r="DM95" s="13" t="str">
        <f>IF(DL95="","",DL95-#REF!)</f>
        <v/>
      </c>
      <c r="DN95" s="13"/>
      <c r="DO95" s="13" t="str">
        <f>IF(DN95="","",DN95-#REF!)</f>
        <v/>
      </c>
      <c r="DP95" s="13"/>
      <c r="DQ95" s="13" t="str">
        <f>IF(DP95="","",#REF!+#REF!-DP95)</f>
        <v/>
      </c>
      <c r="DR95" s="13"/>
      <c r="DS95" s="231" t="str">
        <f t="shared" si="234"/>
        <v/>
      </c>
      <c r="DT95" s="53" t="str">
        <f>IF(DL95="","",#REF!)</f>
        <v/>
      </c>
      <c r="DU95" s="13" t="str">
        <f t="shared" si="245"/>
        <v/>
      </c>
      <c r="DV95" s="14" t="str">
        <f t="shared" si="246"/>
        <v/>
      </c>
      <c r="DW95" s="15"/>
      <c r="DY95" s="79"/>
      <c r="DZ95" s="13"/>
      <c r="EA95" s="13" t="str">
        <f>IF(DZ95="","",DZ95-#REF!)</f>
        <v/>
      </c>
      <c r="EB95" s="13"/>
      <c r="EC95" s="13" t="str">
        <f>IF(EB95="","",EB95-#REF!)</f>
        <v/>
      </c>
      <c r="ED95" s="13"/>
      <c r="EE95" s="13" t="str">
        <f>IF(ED95="","",#REF!+#REF!-ED95)</f>
        <v/>
      </c>
      <c r="EF95" s="13"/>
      <c r="EG95" s="231" t="str">
        <f t="shared" si="197"/>
        <v/>
      </c>
      <c r="EH95" s="53" t="str">
        <f>IF(DZ95="","",#REF!)</f>
        <v/>
      </c>
      <c r="EI95" s="13" t="str">
        <f t="shared" si="247"/>
        <v/>
      </c>
      <c r="EJ95" s="14" t="str">
        <f t="shared" si="248"/>
        <v/>
      </c>
      <c r="EK95" s="15"/>
    </row>
    <row r="96" spans="1:141" ht="15" customHeight="1" thickBot="1" x14ac:dyDescent="0.25">
      <c r="A96" s="26"/>
      <c r="B96" s="46"/>
      <c r="C96" s="27">
        <v>9334</v>
      </c>
      <c r="D96" s="27">
        <f t="shared" si="201"/>
        <v>88</v>
      </c>
      <c r="E96" s="27">
        <v>539</v>
      </c>
      <c r="F96" s="27">
        <f t="shared" si="202"/>
        <v>1</v>
      </c>
      <c r="G96" s="27">
        <v>22</v>
      </c>
      <c r="H96" s="27">
        <f t="shared" si="203"/>
        <v>1</v>
      </c>
      <c r="I96" s="217">
        <v>0</v>
      </c>
      <c r="J96" s="57" t="str">
        <f t="shared" si="204"/>
        <v>モンチチフルーツマスコット</v>
      </c>
      <c r="K96" s="62">
        <f t="shared" si="205"/>
        <v>572</v>
      </c>
      <c r="L96" s="27">
        <f t="shared" si="206"/>
        <v>572</v>
      </c>
      <c r="M96" s="28">
        <f t="shared" si="207"/>
        <v>6.5000000000000002E-2</v>
      </c>
      <c r="N96" s="15"/>
      <c r="O96" s="2"/>
      <c r="P96" s="26"/>
      <c r="Q96" s="27">
        <v>14936</v>
      </c>
      <c r="R96" s="27">
        <f t="shared" si="208"/>
        <v>124</v>
      </c>
      <c r="S96" s="27">
        <v>646</v>
      </c>
      <c r="T96" s="27">
        <f t="shared" si="209"/>
        <v>7</v>
      </c>
      <c r="U96" s="27">
        <v>30</v>
      </c>
      <c r="V96" s="27">
        <f t="shared" si="210"/>
        <v>7</v>
      </c>
      <c r="W96" s="217">
        <v>12</v>
      </c>
      <c r="X96" s="57" t="str">
        <f t="shared" si="211"/>
        <v>ボンボンドロップ</v>
      </c>
      <c r="Y96" s="62">
        <f t="shared" si="212"/>
        <v>200</v>
      </c>
      <c r="Z96" s="27">
        <f t="shared" si="213"/>
        <v>1400</v>
      </c>
      <c r="AA96" s="28">
        <f t="shared" si="214"/>
        <v>0.11290322580645161</v>
      </c>
      <c r="AB96" s="15"/>
      <c r="AC96" s="15"/>
      <c r="AD96" s="26"/>
      <c r="AE96" s="27">
        <v>13891</v>
      </c>
      <c r="AF96" s="27">
        <f t="shared" si="215"/>
        <v>111</v>
      </c>
      <c r="AG96" s="27">
        <v>358</v>
      </c>
      <c r="AH96" s="27">
        <f t="shared" si="216"/>
        <v>1</v>
      </c>
      <c r="AI96" s="27">
        <v>21</v>
      </c>
      <c r="AJ96" s="27">
        <f t="shared" si="217"/>
        <v>0</v>
      </c>
      <c r="AK96" s="217">
        <v>0</v>
      </c>
      <c r="AL96" s="57" t="str">
        <f t="shared" si="249"/>
        <v>キティキラキラマルチケース</v>
      </c>
      <c r="AM96" s="62">
        <f t="shared" si="239"/>
        <v>400</v>
      </c>
      <c r="AN96" s="27">
        <f t="shared" si="220"/>
        <v>0</v>
      </c>
      <c r="AO96" s="28">
        <f t="shared" si="221"/>
        <v>0</v>
      </c>
      <c r="AP96" s="15"/>
      <c r="AQ96" s="15"/>
      <c r="AR96" s="26"/>
      <c r="AS96" s="27">
        <v>18501</v>
      </c>
      <c r="AT96" s="27">
        <f t="shared" si="222"/>
        <v>211</v>
      </c>
      <c r="AU96" s="27">
        <v>514</v>
      </c>
      <c r="AV96" s="27">
        <f t="shared" si="223"/>
        <v>3</v>
      </c>
      <c r="AW96" s="27">
        <v>18</v>
      </c>
      <c r="AX96" s="27">
        <f t="shared" si="224"/>
        <v>3</v>
      </c>
      <c r="AY96" s="217">
        <v>0</v>
      </c>
      <c r="AZ96" s="57" t="str">
        <f t="shared" si="237"/>
        <v>バタースクイーズ</v>
      </c>
      <c r="BA96" s="62">
        <f t="shared" si="236"/>
        <v>400</v>
      </c>
      <c r="BB96" s="27">
        <f t="shared" si="226"/>
        <v>1200</v>
      </c>
      <c r="BC96" s="28">
        <f t="shared" si="227"/>
        <v>5.6872037914691941E-2</v>
      </c>
      <c r="BD96" s="15"/>
      <c r="BE96" s="2"/>
      <c r="BF96" s="26"/>
      <c r="BG96" s="238" t="s">
        <v>592</v>
      </c>
      <c r="BH96" s="27">
        <v>2415</v>
      </c>
      <c r="BI96" s="27">
        <f t="shared" si="228"/>
        <v>63</v>
      </c>
      <c r="BJ96" s="27">
        <v>32</v>
      </c>
      <c r="BK96" s="27">
        <f t="shared" si="229"/>
        <v>3</v>
      </c>
      <c r="BL96" s="27">
        <v>0</v>
      </c>
      <c r="BM96" s="27">
        <f t="shared" si="230"/>
        <v>3</v>
      </c>
      <c r="BN96" s="217">
        <v>3</v>
      </c>
      <c r="BO96" s="57" t="str">
        <f t="shared" ref="BO96:BO132" si="250">IF(BH96="","",BO92)</f>
        <v>ボンボンドロップシール</v>
      </c>
      <c r="BP96" s="62">
        <f t="shared" si="238"/>
        <v>1500</v>
      </c>
      <c r="BQ96" s="27">
        <f t="shared" si="232"/>
        <v>4500</v>
      </c>
      <c r="BR96" s="28">
        <f t="shared" si="233"/>
        <v>0.7142857142857143</v>
      </c>
      <c r="BS96" s="15"/>
      <c r="BU96" s="79"/>
      <c r="BV96" s="13"/>
      <c r="BW96" s="13" t="str">
        <f>IF(BV96="","",BV96-BV95)</f>
        <v/>
      </c>
      <c r="BX96" s="13"/>
      <c r="BY96" s="13" t="str">
        <f>IF(BX96="","",BX96-BX95)</f>
        <v/>
      </c>
      <c r="BZ96" s="13"/>
      <c r="CA96" s="13" t="str">
        <f>IF(BZ96="","",BZ95+CB95-BZ96)</f>
        <v/>
      </c>
      <c r="CB96" s="13"/>
      <c r="CC96" s="231" t="str">
        <f t="shared" si="171"/>
        <v/>
      </c>
      <c r="CD96" s="53" t="str">
        <f>IF(BV96="","",CD95)</f>
        <v/>
      </c>
      <c r="CE96" s="13" t="str">
        <f t="shared" si="240"/>
        <v/>
      </c>
      <c r="CF96" s="14" t="str">
        <f t="shared" si="241"/>
        <v/>
      </c>
      <c r="CG96" s="15"/>
      <c r="CH96" s="1"/>
      <c r="CI96" s="79"/>
      <c r="CJ96" s="13"/>
      <c r="CK96" s="13" t="str">
        <f>IF(CJ96="","",CJ96-CJ95)</f>
        <v/>
      </c>
      <c r="CL96" s="13"/>
      <c r="CM96" s="13" t="str">
        <f>IF(CL96="","",CL96-CL95)</f>
        <v/>
      </c>
      <c r="CN96" s="13"/>
      <c r="CO96" s="13" t="str">
        <f>IF(CN96="","",CN95+CP95-CN96)</f>
        <v/>
      </c>
      <c r="CP96" s="13"/>
      <c r="CQ96" s="231" t="str">
        <f t="shared" si="178"/>
        <v/>
      </c>
      <c r="CR96" s="53" t="str">
        <f>IF(CJ96="","",CR95)</f>
        <v/>
      </c>
      <c r="CS96" s="13" t="str">
        <f t="shared" si="242"/>
        <v/>
      </c>
      <c r="CT96" s="14" t="str">
        <f>IF(CS96="","",CS96/(CJ96*100))</f>
        <v/>
      </c>
      <c r="CU96" s="15"/>
      <c r="CV96" s="1"/>
      <c r="CW96" s="79"/>
      <c r="CX96" s="13"/>
      <c r="CY96" s="13" t="str">
        <f>IF(CX96="","",CX96-CX95)</f>
        <v/>
      </c>
      <c r="CZ96" s="13"/>
      <c r="DA96" s="13" t="str">
        <f>IF(CZ96="","",CZ96-CZ95)</f>
        <v/>
      </c>
      <c r="DB96" s="13"/>
      <c r="DC96" s="13" t="str">
        <f>IF(DB96="","",DB95+DD95-DB96)</f>
        <v/>
      </c>
      <c r="DD96" s="13"/>
      <c r="DE96" s="231" t="str">
        <f t="shared" si="185"/>
        <v/>
      </c>
      <c r="DF96" s="53" t="str">
        <f>IF(CX96="","",DF95)</f>
        <v/>
      </c>
      <c r="DG96" s="13" t="str">
        <f t="shared" si="243"/>
        <v/>
      </c>
      <c r="DH96" s="14" t="str">
        <f t="shared" si="244"/>
        <v/>
      </c>
      <c r="DI96" s="15"/>
      <c r="DJ96" s="1"/>
      <c r="DK96" s="79"/>
      <c r="DL96" s="13"/>
      <c r="DM96" s="13" t="str">
        <f>IF(DL96="","",DL96-DL95)</f>
        <v/>
      </c>
      <c r="DN96" s="13"/>
      <c r="DO96" s="13" t="str">
        <f>IF(DN96="","",DN96-DN95)</f>
        <v/>
      </c>
      <c r="DP96" s="13"/>
      <c r="DQ96" s="13" t="str">
        <f>IF(DP96="","",DP95+DR95-DP96)</f>
        <v/>
      </c>
      <c r="DR96" s="13"/>
      <c r="DS96" s="231" t="str">
        <f t="shared" si="234"/>
        <v/>
      </c>
      <c r="DT96" s="53" t="str">
        <f>IF(DL96="","",DT95)</f>
        <v/>
      </c>
      <c r="DU96" s="13" t="str">
        <f t="shared" si="245"/>
        <v/>
      </c>
      <c r="DV96" s="14" t="str">
        <f t="shared" si="246"/>
        <v/>
      </c>
      <c r="DW96" s="15"/>
      <c r="DY96" s="79"/>
      <c r="DZ96" s="13"/>
      <c r="EA96" s="13" t="str">
        <f>IF(DZ96="","",DZ96-DZ95)</f>
        <v/>
      </c>
      <c r="EB96" s="13"/>
      <c r="EC96" s="13" t="str">
        <f>IF(EB96="","",EB96-EB95)</f>
        <v/>
      </c>
      <c r="ED96" s="13"/>
      <c r="EE96" s="13" t="str">
        <f>IF(ED96="","",ED95+EF95-ED96)</f>
        <v/>
      </c>
      <c r="EF96" s="13"/>
      <c r="EG96" s="231" t="str">
        <f t="shared" si="197"/>
        <v/>
      </c>
      <c r="EH96" s="53" t="str">
        <f>IF(DZ96="","",EH95)</f>
        <v/>
      </c>
      <c r="EI96" s="13" t="str">
        <f t="shared" si="247"/>
        <v/>
      </c>
      <c r="EJ96" s="14" t="str">
        <f t="shared" si="248"/>
        <v/>
      </c>
      <c r="EK96" s="15"/>
    </row>
    <row r="97" spans="1:141" ht="15" customHeight="1" thickTop="1" x14ac:dyDescent="0.2">
      <c r="A97" s="79">
        <v>46143</v>
      </c>
      <c r="B97" s="151">
        <f>IF(A97="","",SUM(D97:D100)+SUM(R97:R100)+SUM(BI97:BI100)+SUM(AF97:AF100)+SUM(AT97:AT100)+SUM(BW82,CK82,CY82,DM82,EA82))</f>
        <v>4114</v>
      </c>
      <c r="C97" s="53">
        <v>8120</v>
      </c>
      <c r="D97" s="53">
        <f t="shared" si="201"/>
        <v>145</v>
      </c>
      <c r="E97" s="53">
        <v>405</v>
      </c>
      <c r="F97" s="31">
        <f t="shared" si="202"/>
        <v>4</v>
      </c>
      <c r="G97" s="53">
        <v>44</v>
      </c>
      <c r="H97" s="53">
        <f t="shared" si="203"/>
        <v>6</v>
      </c>
      <c r="I97" s="192">
        <v>20</v>
      </c>
      <c r="J97" s="75" t="str">
        <f t="shared" si="204"/>
        <v>ジャグラーボタン</v>
      </c>
      <c r="K97" s="76">
        <f t="shared" si="205"/>
        <v>748</v>
      </c>
      <c r="L97" s="31">
        <f t="shared" si="206"/>
        <v>4488</v>
      </c>
      <c r="M97" s="32">
        <f t="shared" si="207"/>
        <v>0.30951724137931036</v>
      </c>
      <c r="N97" s="15"/>
      <c r="O97" s="2"/>
      <c r="P97" s="79">
        <f>IF($A97="","",$A97)</f>
        <v>46143</v>
      </c>
      <c r="Q97" s="53">
        <v>9387</v>
      </c>
      <c r="R97" s="53">
        <f t="shared" si="208"/>
        <v>145</v>
      </c>
      <c r="S97" s="53">
        <v>278</v>
      </c>
      <c r="T97" s="31">
        <f t="shared" si="209"/>
        <v>4</v>
      </c>
      <c r="U97" s="53">
        <v>11</v>
      </c>
      <c r="V97" s="53">
        <f t="shared" si="210"/>
        <v>2</v>
      </c>
      <c r="W97" s="192">
        <v>3</v>
      </c>
      <c r="X97" s="75" t="str">
        <f t="shared" si="211"/>
        <v>キティボアバンスクリップ</v>
      </c>
      <c r="Y97" s="76">
        <f t="shared" si="212"/>
        <v>1100</v>
      </c>
      <c r="Z97" s="31">
        <f t="shared" si="213"/>
        <v>2200</v>
      </c>
      <c r="AA97" s="32">
        <f t="shared" si="214"/>
        <v>0.15172413793103448</v>
      </c>
      <c r="AB97" s="15"/>
      <c r="AC97" s="15"/>
      <c r="AD97" s="79">
        <f>IF($A97="","",$A97)</f>
        <v>46143</v>
      </c>
      <c r="AE97" s="53">
        <v>11919</v>
      </c>
      <c r="AF97" s="53">
        <f t="shared" si="215"/>
        <v>22</v>
      </c>
      <c r="AG97" s="53">
        <v>270</v>
      </c>
      <c r="AH97" s="31">
        <f t="shared" si="216"/>
        <v>1</v>
      </c>
      <c r="AI97" s="53">
        <v>15</v>
      </c>
      <c r="AJ97" s="53">
        <f t="shared" si="217"/>
        <v>1</v>
      </c>
      <c r="AK97" s="192">
        <v>0</v>
      </c>
      <c r="AL97" s="135" t="str">
        <f t="shared" si="249"/>
        <v>サミュエル顔</v>
      </c>
      <c r="AM97" s="76">
        <f t="shared" si="239"/>
        <v>1100</v>
      </c>
      <c r="AN97" s="31">
        <f t="shared" si="220"/>
        <v>1100</v>
      </c>
      <c r="AO97" s="32">
        <f t="shared" si="221"/>
        <v>0.5</v>
      </c>
      <c r="AP97" s="15"/>
      <c r="AQ97" s="15"/>
      <c r="AR97" s="79">
        <f>IF($A97="","",$A97)</f>
        <v>46143</v>
      </c>
      <c r="AS97" s="53">
        <v>12984</v>
      </c>
      <c r="AT97" s="53">
        <f t="shared" si="222"/>
        <v>81</v>
      </c>
      <c r="AU97" s="53">
        <v>403</v>
      </c>
      <c r="AV97" s="31">
        <f t="shared" si="223"/>
        <v>6</v>
      </c>
      <c r="AW97" s="53">
        <v>0</v>
      </c>
      <c r="AX97" s="53">
        <f t="shared" si="224"/>
        <v>8</v>
      </c>
      <c r="AY97" s="192">
        <v>8</v>
      </c>
      <c r="AZ97" s="75" t="s">
        <v>411</v>
      </c>
      <c r="BA97" s="76">
        <f t="shared" si="236"/>
        <v>1100</v>
      </c>
      <c r="BB97" s="31">
        <f t="shared" si="226"/>
        <v>8800</v>
      </c>
      <c r="BC97" s="32">
        <f t="shared" si="227"/>
        <v>1.0864197530864197</v>
      </c>
      <c r="BD97" s="15" t="s">
        <v>621</v>
      </c>
      <c r="BE97" s="2"/>
      <c r="BF97" s="79">
        <f>IF($A97="","",$A97)</f>
        <v>46143</v>
      </c>
      <c r="BG97" s="240" t="s">
        <v>589</v>
      </c>
      <c r="BH97" s="53">
        <v>2676</v>
      </c>
      <c r="BI97" s="53">
        <f t="shared" si="228"/>
        <v>114</v>
      </c>
      <c r="BJ97" s="53">
        <v>32</v>
      </c>
      <c r="BK97" s="31">
        <f t="shared" si="229"/>
        <v>2</v>
      </c>
      <c r="BL97" s="53">
        <v>1</v>
      </c>
      <c r="BM97" s="53">
        <f t="shared" si="230"/>
        <v>2</v>
      </c>
      <c r="BN97" s="192">
        <v>2</v>
      </c>
      <c r="BO97" s="75" t="str">
        <f t="shared" si="250"/>
        <v>ボンドロ</v>
      </c>
      <c r="BP97" s="76">
        <f t="shared" si="238"/>
        <v>1500</v>
      </c>
      <c r="BQ97" s="31">
        <f t="shared" si="232"/>
        <v>3000</v>
      </c>
      <c r="BR97" s="32">
        <f t="shared" si="233"/>
        <v>0.26315789473684209</v>
      </c>
      <c r="BS97" s="15"/>
      <c r="BU97" s="79"/>
      <c r="BV97" s="13"/>
      <c r="BW97" s="13" t="str">
        <f>IF(BV97="","",BV97-BV96)</f>
        <v/>
      </c>
      <c r="BX97" s="13"/>
      <c r="BY97" s="13" t="str">
        <f>IF(BX97="","",BX97-BX96)</f>
        <v/>
      </c>
      <c r="BZ97" s="13"/>
      <c r="CA97" s="13" t="str">
        <f>IF(BZ97="","",BZ96+CB96-BZ97)</f>
        <v/>
      </c>
      <c r="CB97" s="13"/>
      <c r="CC97" s="231" t="str">
        <f t="shared" si="171"/>
        <v/>
      </c>
      <c r="CD97" s="53" t="str">
        <f>IF(BV97="","",CD96)</f>
        <v/>
      </c>
      <c r="CE97" s="13" t="str">
        <f t="shared" si="240"/>
        <v/>
      </c>
      <c r="CF97" s="14" t="str">
        <f t="shared" si="241"/>
        <v/>
      </c>
      <c r="CG97" s="15"/>
      <c r="CH97" s="1"/>
      <c r="CI97" s="79"/>
      <c r="CJ97" s="13"/>
      <c r="CK97" s="13" t="str">
        <f>IF(CJ97="","",CJ97-CJ96)</f>
        <v/>
      </c>
      <c r="CL97" s="13"/>
      <c r="CM97" s="13" t="str">
        <f>IF(CL97="","",CL97-CL96)</f>
        <v/>
      </c>
      <c r="CN97" s="13"/>
      <c r="CO97" s="13" t="str">
        <f>IF(CN97="","",CN96+CP96-CN97)</f>
        <v/>
      </c>
      <c r="CP97" s="13"/>
      <c r="CQ97" s="231" t="str">
        <f t="shared" si="178"/>
        <v/>
      </c>
      <c r="CR97" s="53" t="str">
        <f>IF(CJ97="","",CR96)</f>
        <v/>
      </c>
      <c r="CS97" s="13" t="str">
        <f t="shared" si="242"/>
        <v/>
      </c>
      <c r="CT97" s="14" t="str">
        <f>IF(CS97="","",CS97/(CJ97*100))</f>
        <v/>
      </c>
      <c r="CU97" s="15"/>
      <c r="CV97" s="1"/>
      <c r="CW97" s="79"/>
      <c r="CX97" s="13"/>
      <c r="CY97" s="13" t="str">
        <f>IF(CX97="","",CX97-CX96)</f>
        <v/>
      </c>
      <c r="CZ97" s="13"/>
      <c r="DA97" s="13" t="str">
        <f>IF(CZ97="","",CZ97-CZ96)</f>
        <v/>
      </c>
      <c r="DB97" s="13"/>
      <c r="DC97" s="13" t="str">
        <f>IF(DB97="","",DB96+DD96-DB97)</f>
        <v/>
      </c>
      <c r="DD97" s="13"/>
      <c r="DE97" s="231" t="str">
        <f t="shared" si="185"/>
        <v/>
      </c>
      <c r="DF97" s="53" t="str">
        <f>IF(CX97="","",DF96)</f>
        <v/>
      </c>
      <c r="DG97" s="13" t="str">
        <f t="shared" si="243"/>
        <v/>
      </c>
      <c r="DH97" s="14" t="str">
        <f t="shared" si="244"/>
        <v/>
      </c>
      <c r="DI97" s="15"/>
      <c r="DJ97" s="1"/>
      <c r="DK97" s="79"/>
      <c r="DL97" s="13"/>
      <c r="DM97" s="13" t="str">
        <f>IF(DL97="","",DL97-DL96)</f>
        <v/>
      </c>
      <c r="DN97" s="13"/>
      <c r="DO97" s="13" t="str">
        <f>IF(DN97="","",DN97-DN96)</f>
        <v/>
      </c>
      <c r="DP97" s="13"/>
      <c r="DQ97" s="13" t="str">
        <f>IF(DP97="","",DP96+DR96-DP97)</f>
        <v/>
      </c>
      <c r="DR97" s="13"/>
      <c r="DS97" s="231" t="str">
        <f t="shared" si="234"/>
        <v/>
      </c>
      <c r="DT97" s="53" t="str">
        <f>IF(DL97="","",DT96)</f>
        <v/>
      </c>
      <c r="DU97" s="13" t="str">
        <f t="shared" si="245"/>
        <v/>
      </c>
      <c r="DV97" s="14" t="str">
        <f t="shared" si="246"/>
        <v/>
      </c>
      <c r="DW97" s="15"/>
      <c r="DY97" s="79"/>
      <c r="DZ97" s="13"/>
      <c r="EA97" s="13" t="str">
        <f>IF(DZ97="","",DZ97-DZ96)</f>
        <v/>
      </c>
      <c r="EB97" s="13"/>
      <c r="EC97" s="13" t="str">
        <f>IF(EB97="","",EB97-EB96)</f>
        <v/>
      </c>
      <c r="ED97" s="13"/>
      <c r="EE97" s="13" t="str">
        <f>IF(ED97="","",ED96+EF96-ED97)</f>
        <v/>
      </c>
      <c r="EF97" s="13"/>
      <c r="EG97" s="231" t="str">
        <f t="shared" si="197"/>
        <v/>
      </c>
      <c r="EH97" s="53" t="str">
        <f>IF(DZ97="","",EH96)</f>
        <v/>
      </c>
      <c r="EI97" s="13" t="str">
        <f t="shared" si="247"/>
        <v/>
      </c>
      <c r="EJ97" s="14" t="str">
        <f t="shared" si="248"/>
        <v/>
      </c>
      <c r="EK97" s="15"/>
    </row>
    <row r="98" spans="1:141" ht="15" customHeight="1" x14ac:dyDescent="0.2">
      <c r="A98" s="150"/>
      <c r="B98" s="152"/>
      <c r="C98" s="54">
        <v>7702</v>
      </c>
      <c r="D98" s="13">
        <f t="shared" si="201"/>
        <v>115</v>
      </c>
      <c r="E98" s="13">
        <v>448</v>
      </c>
      <c r="F98" s="13">
        <f t="shared" si="202"/>
        <v>7</v>
      </c>
      <c r="G98" s="13">
        <v>50</v>
      </c>
      <c r="H98" s="13">
        <f t="shared" si="203"/>
        <v>8</v>
      </c>
      <c r="I98" s="205">
        <v>0</v>
      </c>
      <c r="J98" s="56" t="str">
        <f t="shared" si="204"/>
        <v>電ブル</v>
      </c>
      <c r="K98" s="54">
        <f t="shared" si="205"/>
        <v>275</v>
      </c>
      <c r="L98" s="13">
        <f t="shared" si="206"/>
        <v>2200</v>
      </c>
      <c r="M98" s="14">
        <f t="shared" si="207"/>
        <v>0.19130434782608696</v>
      </c>
      <c r="N98" s="15"/>
      <c r="O98" s="2"/>
      <c r="P98" s="16"/>
      <c r="Q98" s="54">
        <v>2477</v>
      </c>
      <c r="R98" s="13">
        <f t="shared" si="208"/>
        <v>67</v>
      </c>
      <c r="S98" s="13">
        <v>178</v>
      </c>
      <c r="T98" s="13">
        <f t="shared" si="209"/>
        <v>2</v>
      </c>
      <c r="U98" s="13">
        <v>11</v>
      </c>
      <c r="V98" s="13">
        <f t="shared" si="210"/>
        <v>2</v>
      </c>
      <c r="W98" s="205">
        <v>4</v>
      </c>
      <c r="X98" s="56" t="str">
        <f t="shared" si="211"/>
        <v>たまごっちブロックシール</v>
      </c>
      <c r="Y98" s="54">
        <f t="shared" si="212"/>
        <v>600</v>
      </c>
      <c r="Z98" s="13">
        <f t="shared" si="213"/>
        <v>1200</v>
      </c>
      <c r="AA98" s="14">
        <f t="shared" si="214"/>
        <v>0.17910447761194029</v>
      </c>
      <c r="AB98" s="15"/>
      <c r="AC98" s="15"/>
      <c r="AD98" s="16"/>
      <c r="AE98" s="54">
        <v>12172</v>
      </c>
      <c r="AF98" s="13">
        <f t="shared" si="215"/>
        <v>79</v>
      </c>
      <c r="AG98" s="13">
        <v>255</v>
      </c>
      <c r="AH98" s="13">
        <f t="shared" si="216"/>
        <v>1</v>
      </c>
      <c r="AI98" s="13">
        <v>14</v>
      </c>
      <c r="AJ98" s="13">
        <f t="shared" si="217"/>
        <v>2</v>
      </c>
      <c r="AK98" s="205">
        <v>0</v>
      </c>
      <c r="AL98" s="56" t="str">
        <f t="shared" si="249"/>
        <v>サンリオハンディファン</v>
      </c>
      <c r="AM98" s="54">
        <f t="shared" si="239"/>
        <v>1100</v>
      </c>
      <c r="AN98" s="13">
        <f t="shared" si="220"/>
        <v>2200</v>
      </c>
      <c r="AO98" s="14">
        <f t="shared" si="221"/>
        <v>0.27848101265822783</v>
      </c>
      <c r="AP98" s="15"/>
      <c r="AQ98" s="15"/>
      <c r="AR98" s="16"/>
      <c r="AS98" s="54">
        <v>10308</v>
      </c>
      <c r="AT98" s="13">
        <f t="shared" si="222"/>
        <v>234</v>
      </c>
      <c r="AU98" s="13">
        <v>481</v>
      </c>
      <c r="AV98" s="13">
        <f t="shared" si="223"/>
        <v>3</v>
      </c>
      <c r="AW98" s="13">
        <v>21</v>
      </c>
      <c r="AX98" s="13">
        <f t="shared" si="224"/>
        <v>3</v>
      </c>
      <c r="AY98" s="205">
        <v>0</v>
      </c>
      <c r="AZ98" s="56" t="str">
        <f>IF(AS98="","",AZ94)</f>
        <v>ベアブリック</v>
      </c>
      <c r="BA98" s="54">
        <f t="shared" si="236"/>
        <v>1100</v>
      </c>
      <c r="BB98" s="13">
        <f t="shared" si="226"/>
        <v>3300</v>
      </c>
      <c r="BC98" s="14">
        <f t="shared" si="227"/>
        <v>0.14102564102564102</v>
      </c>
      <c r="BD98" s="15" t="s">
        <v>622</v>
      </c>
      <c r="BE98" s="2"/>
      <c r="BF98" s="16"/>
      <c r="BG98" s="7" t="s">
        <v>590</v>
      </c>
      <c r="BH98" s="54">
        <v>4046</v>
      </c>
      <c r="BI98" s="13">
        <f t="shared" si="228"/>
        <v>157</v>
      </c>
      <c r="BJ98" s="13">
        <v>28</v>
      </c>
      <c r="BK98" s="13">
        <f t="shared" si="229"/>
        <v>0</v>
      </c>
      <c r="BL98" s="13">
        <v>3</v>
      </c>
      <c r="BM98" s="13">
        <f t="shared" si="230"/>
        <v>0</v>
      </c>
      <c r="BN98" s="205">
        <v>0</v>
      </c>
      <c r="BO98" s="56" t="str">
        <f t="shared" si="250"/>
        <v>ボンボンドロップシール</v>
      </c>
      <c r="BP98" s="54">
        <f t="shared" si="238"/>
        <v>1500</v>
      </c>
      <c r="BQ98" s="13">
        <f t="shared" si="232"/>
        <v>0</v>
      </c>
      <c r="BR98" s="14">
        <f t="shared" si="233"/>
        <v>0</v>
      </c>
      <c r="BS98" s="15"/>
      <c r="BU98" s="16"/>
      <c r="BV98" s="54"/>
      <c r="BW98" s="13" t="str">
        <f>IF(BV98="","",BV98-BV97)</f>
        <v/>
      </c>
      <c r="BX98" s="13"/>
      <c r="BY98" s="13" t="str">
        <f>IF(BX98="","",BX98-BX97)</f>
        <v/>
      </c>
      <c r="BZ98" s="13"/>
      <c r="CA98" s="13" t="str">
        <f>IF(BZ98="","",BZ97+CB97-BZ98)</f>
        <v/>
      </c>
      <c r="CB98" s="13"/>
      <c r="CC98" s="232" t="str">
        <f t="shared" si="171"/>
        <v/>
      </c>
      <c r="CD98" s="13"/>
      <c r="CE98" s="13" t="str">
        <f t="shared" si="240"/>
        <v/>
      </c>
      <c r="CF98" s="14" t="str">
        <f t="shared" si="241"/>
        <v/>
      </c>
      <c r="CG98" s="15"/>
      <c r="CH98" s="1"/>
      <c r="CI98" s="16"/>
      <c r="CJ98" s="54"/>
      <c r="CK98" s="13" t="str">
        <f>IF(CJ98="","",CJ98-CJ97)</f>
        <v/>
      </c>
      <c r="CL98" s="13"/>
      <c r="CM98" s="13" t="str">
        <f>IF(CL98="","",CL98-CL97)</f>
        <v/>
      </c>
      <c r="CN98" s="13"/>
      <c r="CO98" s="13" t="str">
        <f>IF(CN98="","",CN97+CP97-CN98)</f>
        <v/>
      </c>
      <c r="CP98" s="13"/>
      <c r="CQ98" s="232" t="str">
        <f t="shared" si="178"/>
        <v/>
      </c>
      <c r="CR98" s="13"/>
      <c r="CS98" s="13" t="str">
        <f t="shared" si="242"/>
        <v/>
      </c>
      <c r="CT98" s="14" t="str">
        <f t="shared" ref="CT98:CT124" si="251">IF(CS98="","",CS98/(CK98*100))</f>
        <v/>
      </c>
      <c r="CU98" s="15"/>
      <c r="CV98" s="1"/>
      <c r="CW98" s="16"/>
      <c r="CX98" s="54"/>
      <c r="CY98" s="13" t="str">
        <f>IF(CX98="","",CX98-CX97)</f>
        <v/>
      </c>
      <c r="CZ98" s="13"/>
      <c r="DA98" s="13" t="str">
        <f>IF(CZ98="","",CZ98-CZ97)</f>
        <v/>
      </c>
      <c r="DB98" s="13"/>
      <c r="DC98" s="13" t="str">
        <f>IF(DB98="","",DB97+DD97-DB98)</f>
        <v/>
      </c>
      <c r="DD98" s="13"/>
      <c r="DE98" s="232" t="str">
        <f t="shared" si="185"/>
        <v/>
      </c>
      <c r="DF98" s="13"/>
      <c r="DG98" s="13" t="str">
        <f t="shared" si="243"/>
        <v/>
      </c>
      <c r="DH98" s="14" t="str">
        <f t="shared" si="244"/>
        <v/>
      </c>
      <c r="DI98" s="15"/>
      <c r="DJ98" s="1"/>
      <c r="DK98" s="16"/>
      <c r="DL98" s="54"/>
      <c r="DM98" s="13" t="str">
        <f>IF(DL98="","",DL98-DL97)</f>
        <v/>
      </c>
      <c r="DN98" s="13"/>
      <c r="DO98" s="13" t="str">
        <f>IF(DN98="","",DN98-DN97)</f>
        <v/>
      </c>
      <c r="DP98" s="13"/>
      <c r="DQ98" s="13" t="str">
        <f>IF(DP98="","",DP97+DR97-DP98)</f>
        <v/>
      </c>
      <c r="DR98" s="13"/>
      <c r="DS98" s="232" t="str">
        <f t="shared" si="234"/>
        <v/>
      </c>
      <c r="DT98" s="13"/>
      <c r="DU98" s="13" t="str">
        <f t="shared" si="245"/>
        <v/>
      </c>
      <c r="DV98" s="14" t="str">
        <f t="shared" si="246"/>
        <v/>
      </c>
      <c r="DW98" s="15"/>
      <c r="DY98" s="16"/>
      <c r="DZ98" s="54"/>
      <c r="EA98" s="13" t="str">
        <f>IF(DZ98="","",DZ98-DZ97)</f>
        <v/>
      </c>
      <c r="EB98" s="13"/>
      <c r="EC98" s="13" t="str">
        <f>IF(EB98="","",EB98-EB97)</f>
        <v/>
      </c>
      <c r="ED98" s="13"/>
      <c r="EE98" s="13" t="str">
        <f>IF(ED98="","",ED97+EF97-ED98)</f>
        <v/>
      </c>
      <c r="EF98" s="13"/>
      <c r="EG98" s="232" t="str">
        <f t="shared" si="197"/>
        <v/>
      </c>
      <c r="EH98" s="13"/>
      <c r="EI98" s="13" t="str">
        <f t="shared" si="247"/>
        <v/>
      </c>
      <c r="EJ98" s="14" t="str">
        <f t="shared" si="248"/>
        <v/>
      </c>
      <c r="EK98" s="15"/>
    </row>
    <row r="99" spans="1:141" ht="15" customHeight="1" x14ac:dyDescent="0.2">
      <c r="A99" s="16"/>
      <c r="B99" s="74"/>
      <c r="C99" s="34">
        <v>13249</v>
      </c>
      <c r="D99" s="13">
        <f t="shared" si="201"/>
        <v>27</v>
      </c>
      <c r="E99" s="34">
        <v>802</v>
      </c>
      <c r="F99" s="13">
        <f t="shared" si="202"/>
        <v>9</v>
      </c>
      <c r="G99" s="13">
        <v>280</v>
      </c>
      <c r="H99" s="13">
        <f t="shared" si="203"/>
        <v>10</v>
      </c>
      <c r="I99" s="214">
        <v>10</v>
      </c>
      <c r="J99" s="111" t="str">
        <f t="shared" si="204"/>
        <v>ブレスレット</v>
      </c>
      <c r="K99" s="13">
        <f t="shared" si="205"/>
        <v>100</v>
      </c>
      <c r="L99" s="13">
        <f t="shared" si="206"/>
        <v>1000</v>
      </c>
      <c r="M99" s="14">
        <f t="shared" si="207"/>
        <v>0.37037037037037035</v>
      </c>
      <c r="N99" s="15" t="s">
        <v>620</v>
      </c>
      <c r="O99" s="2"/>
      <c r="P99" s="16"/>
      <c r="Q99" s="34">
        <v>10784</v>
      </c>
      <c r="R99" s="13">
        <f t="shared" si="208"/>
        <v>119</v>
      </c>
      <c r="S99" s="34">
        <v>220</v>
      </c>
      <c r="T99" s="13">
        <f t="shared" si="209"/>
        <v>1</v>
      </c>
      <c r="U99" s="13">
        <v>16</v>
      </c>
      <c r="V99" s="13">
        <f t="shared" si="210"/>
        <v>1</v>
      </c>
      <c r="W99" s="214">
        <v>10</v>
      </c>
      <c r="X99" s="56" t="str">
        <f t="shared" si="211"/>
        <v>たまごっちミニクリップ</v>
      </c>
      <c r="Y99" s="13">
        <f t="shared" si="212"/>
        <v>1100</v>
      </c>
      <c r="Z99" s="13">
        <f t="shared" si="213"/>
        <v>1100</v>
      </c>
      <c r="AA99" s="14">
        <f t="shared" si="214"/>
        <v>9.2436974789915971E-2</v>
      </c>
      <c r="AB99" s="15"/>
      <c r="AC99" s="15"/>
      <c r="AD99" s="16"/>
      <c r="AE99" s="34">
        <v>14437</v>
      </c>
      <c r="AF99" s="13">
        <f t="shared" si="215"/>
        <v>149</v>
      </c>
      <c r="AG99" s="34">
        <v>476</v>
      </c>
      <c r="AH99" s="13">
        <f t="shared" si="216"/>
        <v>20</v>
      </c>
      <c r="AI99" s="13">
        <v>70</v>
      </c>
      <c r="AJ99" s="13">
        <f t="shared" si="217"/>
        <v>26</v>
      </c>
      <c r="AK99" s="214">
        <v>36</v>
      </c>
      <c r="AL99" s="56" t="str">
        <f t="shared" si="249"/>
        <v>ふわもちスクイーズ</v>
      </c>
      <c r="AM99" s="13">
        <f t="shared" si="239"/>
        <v>260</v>
      </c>
      <c r="AN99" s="13">
        <f t="shared" si="220"/>
        <v>6760</v>
      </c>
      <c r="AO99" s="14">
        <f t="shared" si="221"/>
        <v>0.45369127516778524</v>
      </c>
      <c r="AP99" s="15"/>
      <c r="AQ99" s="15"/>
      <c r="AR99" s="16"/>
      <c r="AS99" s="34">
        <v>18325</v>
      </c>
      <c r="AT99" s="13">
        <f t="shared" si="222"/>
        <v>106</v>
      </c>
      <c r="AU99" s="34">
        <v>575</v>
      </c>
      <c r="AV99" s="13">
        <f t="shared" si="223"/>
        <v>3</v>
      </c>
      <c r="AW99" s="13">
        <v>21</v>
      </c>
      <c r="AX99" s="13">
        <f t="shared" si="224"/>
        <v>3</v>
      </c>
      <c r="AY99" s="214">
        <v>0</v>
      </c>
      <c r="AZ99" s="56" t="str">
        <f>IF(AS99="","",AZ95)</f>
        <v>たまごっちマスコット</v>
      </c>
      <c r="BA99" s="13">
        <f t="shared" si="236"/>
        <v>1430</v>
      </c>
      <c r="BB99" s="13">
        <f t="shared" si="226"/>
        <v>4290</v>
      </c>
      <c r="BC99" s="14">
        <f t="shared" si="227"/>
        <v>0.40471698113207549</v>
      </c>
      <c r="BD99" s="15"/>
      <c r="BE99" s="2"/>
      <c r="BF99" s="16"/>
      <c r="BG99" s="7" t="s">
        <v>591</v>
      </c>
      <c r="BH99" s="34">
        <v>2994</v>
      </c>
      <c r="BI99" s="13">
        <f t="shared" si="228"/>
        <v>60</v>
      </c>
      <c r="BJ99" s="34">
        <v>29</v>
      </c>
      <c r="BK99" s="13">
        <f t="shared" si="229"/>
        <v>1</v>
      </c>
      <c r="BL99" s="13">
        <v>2</v>
      </c>
      <c r="BM99" s="13">
        <f t="shared" si="230"/>
        <v>1</v>
      </c>
      <c r="BN99" s="214">
        <v>1</v>
      </c>
      <c r="BO99" s="56" t="str">
        <f t="shared" si="250"/>
        <v>ボンドロ</v>
      </c>
      <c r="BP99" s="13">
        <f t="shared" si="238"/>
        <v>1500</v>
      </c>
      <c r="BQ99" s="13">
        <f t="shared" si="232"/>
        <v>1500</v>
      </c>
      <c r="BR99" s="14">
        <f t="shared" si="233"/>
        <v>0.25</v>
      </c>
      <c r="BS99" s="15"/>
      <c r="BU99" s="16"/>
      <c r="BV99" s="54"/>
      <c r="BW99" s="13" t="str">
        <f>IF(BV99="","",BV99-BV98)</f>
        <v/>
      </c>
      <c r="BX99" s="13"/>
      <c r="BY99" s="13" t="str">
        <f>IF(BX99="","",BX99-BX98)</f>
        <v/>
      </c>
      <c r="BZ99" s="13"/>
      <c r="CA99" s="13" t="str">
        <f>IF(BZ99="","",BZ98+CB98-BZ99)</f>
        <v/>
      </c>
      <c r="CB99" s="13"/>
      <c r="CC99" s="232" t="str">
        <f t="shared" si="171"/>
        <v/>
      </c>
      <c r="CD99" s="13"/>
      <c r="CE99" s="13" t="str">
        <f t="shared" si="240"/>
        <v/>
      </c>
      <c r="CF99" s="14" t="str">
        <f t="shared" si="241"/>
        <v/>
      </c>
      <c r="CG99" s="15"/>
      <c r="CH99" s="1"/>
      <c r="CI99" s="16"/>
      <c r="CJ99" s="54"/>
      <c r="CK99" s="13" t="str">
        <f>IF(CJ99="","",CJ99-CJ98)</f>
        <v/>
      </c>
      <c r="CL99" s="13"/>
      <c r="CM99" s="13" t="str">
        <f>IF(CL99="","",CL99-CL98)</f>
        <v/>
      </c>
      <c r="CN99" s="13"/>
      <c r="CO99" s="13" t="str">
        <f>IF(CN99="","",CN98+CP98-CN99)</f>
        <v/>
      </c>
      <c r="CP99" s="13"/>
      <c r="CQ99" s="232" t="str">
        <f t="shared" si="178"/>
        <v/>
      </c>
      <c r="CR99" s="13"/>
      <c r="CS99" s="13" t="str">
        <f t="shared" si="242"/>
        <v/>
      </c>
      <c r="CT99" s="14" t="str">
        <f t="shared" si="251"/>
        <v/>
      </c>
      <c r="CU99" s="15"/>
      <c r="CV99" s="1"/>
      <c r="CW99" s="16"/>
      <c r="CX99" s="54"/>
      <c r="CY99" s="13" t="str">
        <f>IF(CX99="","",CX99-CX98)</f>
        <v/>
      </c>
      <c r="CZ99" s="13"/>
      <c r="DA99" s="13" t="str">
        <f>IF(CZ99="","",CZ99-CZ98)</f>
        <v/>
      </c>
      <c r="DB99" s="13"/>
      <c r="DC99" s="13" t="str">
        <f>IF(DB99="","",DB98+DD98-DB99)</f>
        <v/>
      </c>
      <c r="DD99" s="13"/>
      <c r="DE99" s="232" t="str">
        <f t="shared" si="185"/>
        <v/>
      </c>
      <c r="DF99" s="13"/>
      <c r="DG99" s="13" t="str">
        <f t="shared" si="243"/>
        <v/>
      </c>
      <c r="DH99" s="14" t="str">
        <f t="shared" si="244"/>
        <v/>
      </c>
      <c r="DI99" s="15"/>
      <c r="DJ99" s="1"/>
      <c r="DK99" s="16"/>
      <c r="DL99" s="54"/>
      <c r="DM99" s="13" t="str">
        <f>IF(DL99="","",DL99-DL98)</f>
        <v/>
      </c>
      <c r="DN99" s="13"/>
      <c r="DO99" s="13" t="str">
        <f>IF(DN99="","",DN99-DN98)</f>
        <v/>
      </c>
      <c r="DP99" s="13"/>
      <c r="DQ99" s="13" t="str">
        <f>IF(DP99="","",DP98+DR98-DP99)</f>
        <v/>
      </c>
      <c r="DR99" s="13"/>
      <c r="DS99" s="232" t="str">
        <f t="shared" si="234"/>
        <v/>
      </c>
      <c r="DT99" s="13"/>
      <c r="DU99" s="13" t="str">
        <f t="shared" si="245"/>
        <v/>
      </c>
      <c r="DV99" s="14" t="str">
        <f t="shared" si="246"/>
        <v/>
      </c>
      <c r="DW99" s="15"/>
      <c r="DY99" s="16"/>
      <c r="DZ99" s="54"/>
      <c r="EA99" s="13" t="str">
        <f>IF(DZ99="","",DZ99-DZ98)</f>
        <v/>
      </c>
      <c r="EB99" s="13"/>
      <c r="EC99" s="13" t="str">
        <f>IF(EB99="","",EB99-EB98)</f>
        <v/>
      </c>
      <c r="ED99" s="13"/>
      <c r="EE99" s="13" t="str">
        <f>IF(ED99="","",ED98+EF98-ED99)</f>
        <v/>
      </c>
      <c r="EF99" s="13"/>
      <c r="EG99" s="232" t="str">
        <f t="shared" si="197"/>
        <v/>
      </c>
      <c r="EH99" s="13"/>
      <c r="EI99" s="13" t="str">
        <f t="shared" si="247"/>
        <v/>
      </c>
      <c r="EJ99" s="14" t="str">
        <f t="shared" si="248"/>
        <v/>
      </c>
      <c r="EK99" s="15"/>
    </row>
    <row r="100" spans="1:141" ht="15" customHeight="1" thickBot="1" x14ac:dyDescent="0.25">
      <c r="A100" s="26"/>
      <c r="B100" s="46"/>
      <c r="C100" s="27">
        <v>9355</v>
      </c>
      <c r="D100" s="27">
        <f t="shared" si="201"/>
        <v>21</v>
      </c>
      <c r="E100" s="27">
        <v>539</v>
      </c>
      <c r="F100" s="27">
        <f t="shared" si="202"/>
        <v>0</v>
      </c>
      <c r="G100" s="27">
        <v>22</v>
      </c>
      <c r="H100" s="27">
        <f t="shared" si="203"/>
        <v>0</v>
      </c>
      <c r="I100" s="217">
        <v>2</v>
      </c>
      <c r="J100" s="108" t="str">
        <f t="shared" si="204"/>
        <v>モンチチフルーツマスコット</v>
      </c>
      <c r="K100" s="62">
        <f t="shared" si="205"/>
        <v>572</v>
      </c>
      <c r="L100" s="27">
        <f t="shared" si="206"/>
        <v>0</v>
      </c>
      <c r="M100" s="28">
        <f t="shared" si="207"/>
        <v>0</v>
      </c>
      <c r="N100" s="15"/>
      <c r="O100" s="2"/>
      <c r="P100" s="26"/>
      <c r="Q100" s="27">
        <v>15038</v>
      </c>
      <c r="R100" s="27">
        <f t="shared" si="208"/>
        <v>102</v>
      </c>
      <c r="S100" s="27">
        <v>654</v>
      </c>
      <c r="T100" s="27">
        <f t="shared" si="209"/>
        <v>8</v>
      </c>
      <c r="U100" s="27">
        <v>32</v>
      </c>
      <c r="V100" s="27">
        <f t="shared" si="210"/>
        <v>10</v>
      </c>
      <c r="W100" s="217">
        <v>0</v>
      </c>
      <c r="X100" s="57" t="str">
        <f t="shared" si="211"/>
        <v>ボンボンドロップ</v>
      </c>
      <c r="Y100" s="62">
        <f t="shared" si="212"/>
        <v>200</v>
      </c>
      <c r="Z100" s="27">
        <f t="shared" si="213"/>
        <v>2000</v>
      </c>
      <c r="AA100" s="28">
        <f t="shared" si="214"/>
        <v>0.19607843137254902</v>
      </c>
      <c r="AB100" s="15"/>
      <c r="AC100" s="15"/>
      <c r="AD100" s="26"/>
      <c r="AE100" s="27">
        <v>13987</v>
      </c>
      <c r="AF100" s="27">
        <f t="shared" si="215"/>
        <v>96</v>
      </c>
      <c r="AG100" s="27">
        <v>359</v>
      </c>
      <c r="AH100" s="27">
        <f t="shared" si="216"/>
        <v>1</v>
      </c>
      <c r="AI100" s="27">
        <v>20</v>
      </c>
      <c r="AJ100" s="27">
        <f t="shared" si="217"/>
        <v>1</v>
      </c>
      <c r="AK100" s="217">
        <v>2</v>
      </c>
      <c r="AL100" s="57" t="str">
        <f t="shared" si="249"/>
        <v>キティキラキラマルチケース</v>
      </c>
      <c r="AM100" s="62">
        <f t="shared" si="239"/>
        <v>400</v>
      </c>
      <c r="AN100" s="27">
        <f t="shared" si="220"/>
        <v>400</v>
      </c>
      <c r="AO100" s="28">
        <f t="shared" si="221"/>
        <v>4.1666666666666664E-2</v>
      </c>
      <c r="AP100" s="15"/>
      <c r="AQ100" s="15"/>
      <c r="AR100" s="26"/>
      <c r="AS100" s="27">
        <v>18614</v>
      </c>
      <c r="AT100" s="27">
        <f t="shared" si="222"/>
        <v>113</v>
      </c>
      <c r="AU100" s="27">
        <v>517</v>
      </c>
      <c r="AV100" s="27">
        <f t="shared" si="223"/>
        <v>3</v>
      </c>
      <c r="AW100" s="27">
        <v>15</v>
      </c>
      <c r="AX100" s="27">
        <f t="shared" si="224"/>
        <v>3</v>
      </c>
      <c r="AY100" s="217">
        <v>8</v>
      </c>
      <c r="AZ100" s="57" t="str">
        <f>IF(AS100="","",AZ96)</f>
        <v>バタースクイーズ</v>
      </c>
      <c r="BA100" s="62">
        <f t="shared" si="236"/>
        <v>400</v>
      </c>
      <c r="BB100" s="27">
        <f t="shared" si="226"/>
        <v>1200</v>
      </c>
      <c r="BC100" s="28">
        <f t="shared" si="227"/>
        <v>0.10619469026548672</v>
      </c>
      <c r="BD100" s="15"/>
      <c r="BE100" s="2"/>
      <c r="BF100" s="26"/>
      <c r="BG100" s="241" t="s">
        <v>592</v>
      </c>
      <c r="BH100" s="27">
        <v>2547</v>
      </c>
      <c r="BI100" s="27">
        <f t="shared" si="228"/>
        <v>132</v>
      </c>
      <c r="BJ100" s="27">
        <v>33</v>
      </c>
      <c r="BK100" s="27">
        <f t="shared" si="229"/>
        <v>1</v>
      </c>
      <c r="BL100" s="27">
        <v>2</v>
      </c>
      <c r="BM100" s="27">
        <f t="shared" si="230"/>
        <v>1</v>
      </c>
      <c r="BN100" s="217">
        <v>1</v>
      </c>
      <c r="BO100" s="57" t="str">
        <f t="shared" si="250"/>
        <v>ボンボンドロップシール</v>
      </c>
      <c r="BP100" s="62">
        <f t="shared" si="238"/>
        <v>1500</v>
      </c>
      <c r="BQ100" s="27">
        <f t="shared" si="232"/>
        <v>1500</v>
      </c>
      <c r="BR100" s="28">
        <f t="shared" si="233"/>
        <v>0.11363636363636363</v>
      </c>
      <c r="BS100" s="15"/>
      <c r="BU100" s="16"/>
      <c r="BV100" s="54"/>
      <c r="BW100" s="13" t="str">
        <f>IF(BV100="","",BV100-BV99)</f>
        <v/>
      </c>
      <c r="BX100" s="13"/>
      <c r="BY100" s="13"/>
      <c r="BZ100" s="13"/>
      <c r="CA100" s="13" t="str">
        <f>IF(BZ100="","",BZ99+CB99-BZ100)</f>
        <v/>
      </c>
      <c r="CB100" s="13"/>
      <c r="CC100" s="232" t="str">
        <f t="shared" si="171"/>
        <v/>
      </c>
      <c r="CD100" s="13"/>
      <c r="CE100" s="13" t="str">
        <f t="shared" si="240"/>
        <v/>
      </c>
      <c r="CF100" s="14" t="str">
        <f t="shared" si="241"/>
        <v/>
      </c>
      <c r="CG100" s="15"/>
      <c r="CH100" s="1"/>
      <c r="CI100" s="16"/>
      <c r="CJ100" s="54"/>
      <c r="CK100" s="13" t="str">
        <f>IF(CJ100="","",CJ100-CJ99)</f>
        <v/>
      </c>
      <c r="CL100" s="13"/>
      <c r="CM100" s="13"/>
      <c r="CN100" s="13"/>
      <c r="CO100" s="13" t="str">
        <f>IF(CN100="","",CN99+CP99-CN100)</f>
        <v/>
      </c>
      <c r="CP100" s="13"/>
      <c r="CQ100" s="232" t="str">
        <f t="shared" si="178"/>
        <v/>
      </c>
      <c r="CR100" s="13"/>
      <c r="CS100" s="13" t="str">
        <f t="shared" si="242"/>
        <v/>
      </c>
      <c r="CT100" s="14" t="str">
        <f t="shared" si="251"/>
        <v/>
      </c>
      <c r="CU100" s="15"/>
      <c r="CV100" s="1"/>
      <c r="CW100" s="16"/>
      <c r="CX100" s="54"/>
      <c r="CY100" s="13" t="str">
        <f>IF(CX100="","",CX100-CX99)</f>
        <v/>
      </c>
      <c r="CZ100" s="13"/>
      <c r="DA100" s="13"/>
      <c r="DB100" s="13"/>
      <c r="DC100" s="13" t="str">
        <f>IF(DB100="","",DB99+DD99-DB100)</f>
        <v/>
      </c>
      <c r="DD100" s="13"/>
      <c r="DE100" s="232" t="str">
        <f t="shared" si="185"/>
        <v/>
      </c>
      <c r="DF100" s="13"/>
      <c r="DG100" s="13" t="str">
        <f t="shared" si="243"/>
        <v/>
      </c>
      <c r="DH100" s="14" t="str">
        <f t="shared" si="244"/>
        <v/>
      </c>
      <c r="DI100" s="15"/>
      <c r="DJ100" s="1"/>
      <c r="DK100" s="16"/>
      <c r="DL100" s="54"/>
      <c r="DM100" s="13" t="str">
        <f>IF(DL100="","",DL100-DL99)</f>
        <v/>
      </c>
      <c r="DN100" s="13"/>
      <c r="DO100" s="13"/>
      <c r="DP100" s="13"/>
      <c r="DQ100" s="13" t="str">
        <f>IF(DP100="","",DP99+DR99-DP100)</f>
        <v/>
      </c>
      <c r="DR100" s="13"/>
      <c r="DS100" s="232" t="str">
        <f t="shared" si="234"/>
        <v/>
      </c>
      <c r="DT100" s="13"/>
      <c r="DU100" s="13" t="str">
        <f t="shared" si="245"/>
        <v/>
      </c>
      <c r="DV100" s="14" t="str">
        <f t="shared" si="246"/>
        <v/>
      </c>
      <c r="DW100" s="15"/>
      <c r="DY100" s="16"/>
      <c r="DZ100" s="54"/>
      <c r="EA100" s="13" t="str">
        <f>IF(DZ100="","",DZ100-DZ99)</f>
        <v/>
      </c>
      <c r="EB100" s="13"/>
      <c r="EC100" s="13"/>
      <c r="ED100" s="13"/>
      <c r="EE100" s="13" t="str">
        <f>IF(ED100="","",ED99+EF99-ED100)</f>
        <v/>
      </c>
      <c r="EF100" s="13"/>
      <c r="EG100" s="232" t="str">
        <f t="shared" si="197"/>
        <v/>
      </c>
      <c r="EH100" s="13"/>
      <c r="EI100" s="13" t="str">
        <f t="shared" si="247"/>
        <v/>
      </c>
      <c r="EJ100" s="14" t="str">
        <f t="shared" si="248"/>
        <v/>
      </c>
      <c r="EK100" s="15"/>
    </row>
    <row r="101" spans="1:141" ht="15" customHeight="1" thickTop="1" x14ac:dyDescent="0.2">
      <c r="A101" s="79">
        <v>46146</v>
      </c>
      <c r="B101" s="74">
        <f>IF(A101="","",SUM(D101:D104)+SUM(R101:R104)+SUM(BI101:BI104)+SUM(AF101:AF104)+SUM(AT101:AT104)+SUM(BW83,CK83,CY83,DM83))</f>
        <v>3484</v>
      </c>
      <c r="C101" s="13">
        <v>8198</v>
      </c>
      <c r="D101" s="53">
        <f t="shared" si="201"/>
        <v>78</v>
      </c>
      <c r="E101" s="13">
        <v>412</v>
      </c>
      <c r="F101" s="31">
        <f t="shared" si="202"/>
        <v>7</v>
      </c>
      <c r="G101" s="13">
        <v>56</v>
      </c>
      <c r="H101" s="53">
        <f t="shared" si="203"/>
        <v>8</v>
      </c>
      <c r="I101" s="192">
        <v>0</v>
      </c>
      <c r="J101" s="75" t="str">
        <f t="shared" si="204"/>
        <v>ジャグラーボタン</v>
      </c>
      <c r="K101" s="76">
        <f t="shared" si="205"/>
        <v>748</v>
      </c>
      <c r="L101" s="31">
        <f t="shared" si="206"/>
        <v>5984</v>
      </c>
      <c r="M101" s="32">
        <f t="shared" si="207"/>
        <v>0.76717948717948714</v>
      </c>
      <c r="N101" s="15"/>
      <c r="O101" s="2"/>
      <c r="P101" s="79">
        <f>IF($A101="","",$A101)</f>
        <v>46146</v>
      </c>
      <c r="Q101" s="13">
        <v>9461</v>
      </c>
      <c r="R101" s="53">
        <f t="shared" si="208"/>
        <v>74</v>
      </c>
      <c r="S101" s="13">
        <v>280</v>
      </c>
      <c r="T101" s="31">
        <f t="shared" si="209"/>
        <v>2</v>
      </c>
      <c r="U101" s="13">
        <v>12</v>
      </c>
      <c r="V101" s="53">
        <f t="shared" si="210"/>
        <v>2</v>
      </c>
      <c r="W101" s="17">
        <v>1</v>
      </c>
      <c r="X101" s="75" t="str">
        <f t="shared" si="211"/>
        <v>キティボアバンスクリップ</v>
      </c>
      <c r="Y101" s="76">
        <f t="shared" si="212"/>
        <v>1100</v>
      </c>
      <c r="Z101" s="31">
        <f t="shared" si="213"/>
        <v>2200</v>
      </c>
      <c r="AA101" s="32">
        <f t="shared" si="214"/>
        <v>0.29729729729729731</v>
      </c>
      <c r="AB101" s="15"/>
      <c r="AC101" s="15"/>
      <c r="AD101" s="79">
        <f>IF($A101="","",$A101)</f>
        <v>46146</v>
      </c>
      <c r="AE101" s="13">
        <v>11941</v>
      </c>
      <c r="AF101" s="127">
        <f t="shared" si="215"/>
        <v>22</v>
      </c>
      <c r="AG101" s="13">
        <v>270</v>
      </c>
      <c r="AH101" s="31">
        <f t="shared" si="216"/>
        <v>0</v>
      </c>
      <c r="AI101" s="13">
        <v>15</v>
      </c>
      <c r="AJ101" s="53">
        <f t="shared" si="217"/>
        <v>0</v>
      </c>
      <c r="AK101" s="17">
        <v>14</v>
      </c>
      <c r="AL101" s="75" t="str">
        <f t="shared" si="249"/>
        <v>サミュエル顔</v>
      </c>
      <c r="AM101" s="76">
        <f t="shared" si="239"/>
        <v>1100</v>
      </c>
      <c r="AN101" s="31">
        <f t="shared" si="220"/>
        <v>0</v>
      </c>
      <c r="AO101" s="32">
        <f t="shared" si="221"/>
        <v>0</v>
      </c>
      <c r="AP101" s="15" t="s">
        <v>627</v>
      </c>
      <c r="AQ101" s="15"/>
      <c r="AR101" s="79">
        <f>IF($A101="","",$A101)</f>
        <v>46146</v>
      </c>
      <c r="AS101" s="13">
        <v>13239</v>
      </c>
      <c r="AT101" s="53">
        <f t="shared" si="222"/>
        <v>255</v>
      </c>
      <c r="AU101" s="13">
        <v>410</v>
      </c>
      <c r="AV101" s="31">
        <f t="shared" si="223"/>
        <v>7</v>
      </c>
      <c r="AW101" s="13">
        <v>0</v>
      </c>
      <c r="AX101" s="53">
        <f t="shared" si="224"/>
        <v>8</v>
      </c>
      <c r="AY101" s="17">
        <v>8</v>
      </c>
      <c r="AZ101" s="75" t="s">
        <v>625</v>
      </c>
      <c r="BA101" s="76">
        <f t="shared" si="236"/>
        <v>1100</v>
      </c>
      <c r="BB101" s="31">
        <f t="shared" si="226"/>
        <v>8800</v>
      </c>
      <c r="BC101" s="32">
        <f t="shared" si="227"/>
        <v>0.34509803921568627</v>
      </c>
      <c r="BD101" s="15" t="s">
        <v>32</v>
      </c>
      <c r="BE101" s="2"/>
      <c r="BF101" s="79">
        <f>IF($A101="","",$A101)</f>
        <v>46146</v>
      </c>
      <c r="BG101" s="239" t="s">
        <v>589</v>
      </c>
      <c r="BH101" s="13">
        <v>2743</v>
      </c>
      <c r="BI101" s="53">
        <f t="shared" si="228"/>
        <v>67</v>
      </c>
      <c r="BJ101" s="13">
        <v>34</v>
      </c>
      <c r="BK101" s="31">
        <f t="shared" si="229"/>
        <v>2</v>
      </c>
      <c r="BL101" s="13">
        <v>0</v>
      </c>
      <c r="BM101" s="127">
        <f t="shared" si="230"/>
        <v>3</v>
      </c>
      <c r="BN101" s="17">
        <v>3</v>
      </c>
      <c r="BO101" s="75" t="str">
        <f t="shared" si="250"/>
        <v>ボンドロ</v>
      </c>
      <c r="BP101" s="76">
        <f t="shared" si="238"/>
        <v>1500</v>
      </c>
      <c r="BQ101" s="31">
        <f t="shared" si="232"/>
        <v>4500</v>
      </c>
      <c r="BR101" s="32">
        <f t="shared" si="233"/>
        <v>0.67164179104477617</v>
      </c>
      <c r="BS101" s="15"/>
      <c r="BU101" s="16"/>
      <c r="BV101" s="13"/>
      <c r="BW101" s="13" t="str">
        <f>IF(BV101="","",BV101-BV102)</f>
        <v/>
      </c>
      <c r="BX101" s="13"/>
      <c r="BY101" s="13" t="str">
        <f>IF(BX101="","",BX101-BX102)</f>
        <v/>
      </c>
      <c r="BZ101" s="13"/>
      <c r="CA101" s="13" t="str">
        <f>IF(BZ101="","",BZ102+CB102-BZ101)</f>
        <v/>
      </c>
      <c r="CB101" s="13"/>
      <c r="CC101" s="13"/>
      <c r="CD101" s="13"/>
      <c r="CE101" s="13" t="str">
        <f t="shared" si="240"/>
        <v/>
      </c>
      <c r="CF101" s="14" t="str">
        <f t="shared" si="241"/>
        <v/>
      </c>
      <c r="CG101" s="15"/>
      <c r="CH101" s="1"/>
      <c r="CI101" s="16"/>
      <c r="CJ101" s="13"/>
      <c r="CK101" s="13" t="str">
        <f>IF(CJ101="","",CJ101-CJ102)</f>
        <v/>
      </c>
      <c r="CL101" s="13"/>
      <c r="CM101" s="13" t="str">
        <f>IF(CL101="","",CL101-CL102)</f>
        <v/>
      </c>
      <c r="CN101" s="13"/>
      <c r="CO101" s="13" t="str">
        <f>IF(CN101="","",CN102+CP102-CN101)</f>
        <v/>
      </c>
      <c r="CP101" s="13"/>
      <c r="CQ101" s="13"/>
      <c r="CR101" s="13"/>
      <c r="CS101" s="13" t="str">
        <f t="shared" si="242"/>
        <v/>
      </c>
      <c r="CT101" s="14" t="str">
        <f t="shared" si="251"/>
        <v/>
      </c>
      <c r="CU101" s="15"/>
      <c r="CV101" s="1"/>
      <c r="CW101" s="16"/>
      <c r="CX101" s="13"/>
      <c r="CY101" s="13" t="str">
        <f>IF(CX101="","",CX101-CX102)</f>
        <v/>
      </c>
      <c r="CZ101" s="13"/>
      <c r="DA101" s="13" t="str">
        <f>IF(CZ101="","",CZ101-CZ102)</f>
        <v/>
      </c>
      <c r="DB101" s="13"/>
      <c r="DC101" s="13" t="str">
        <f>IF(DB101="","",DB102+DD102-DB101)</f>
        <v/>
      </c>
      <c r="DD101" s="13"/>
      <c r="DE101" s="13"/>
      <c r="DF101" s="13"/>
      <c r="DG101" s="13" t="str">
        <f t="shared" si="243"/>
        <v/>
      </c>
      <c r="DH101" s="14" t="str">
        <f t="shared" si="244"/>
        <v/>
      </c>
      <c r="DI101" s="15"/>
      <c r="DJ101" s="1"/>
      <c r="DK101" s="16"/>
      <c r="DL101" s="13"/>
      <c r="DM101" s="13" t="str">
        <f>IF(DL101="","",DL101-DL102)</f>
        <v/>
      </c>
      <c r="DN101" s="13"/>
      <c r="DO101" s="13" t="str">
        <f>IF(DN101="","",DN101-DN102)</f>
        <v/>
      </c>
      <c r="DP101" s="13"/>
      <c r="DQ101" s="13" t="str">
        <f>IF(DP101="","",DP102+DR102-DP101)</f>
        <v/>
      </c>
      <c r="DR101" s="13"/>
      <c r="DS101" s="13"/>
      <c r="DT101" s="13"/>
      <c r="DU101" s="13" t="str">
        <f t="shared" si="245"/>
        <v/>
      </c>
      <c r="DV101" s="14" t="str">
        <f t="shared" si="246"/>
        <v/>
      </c>
      <c r="DW101" s="15"/>
      <c r="DY101" s="16"/>
      <c r="DZ101" s="13"/>
      <c r="EA101" s="13" t="str">
        <f>IF(DZ101="","",DZ101-DZ102)</f>
        <v/>
      </c>
      <c r="EB101" s="13"/>
      <c r="EC101" s="13" t="str">
        <f>IF(EB101="","",EB101-EB102)</f>
        <v/>
      </c>
      <c r="ED101" s="13"/>
      <c r="EE101" s="13" t="str">
        <f>IF(ED101="","",ED102+EF102-ED101)</f>
        <v/>
      </c>
      <c r="EF101" s="13"/>
      <c r="EG101" s="13"/>
      <c r="EH101" s="13"/>
      <c r="EI101" s="13" t="str">
        <f t="shared" si="247"/>
        <v/>
      </c>
      <c r="EJ101" s="14" t="str">
        <f t="shared" si="248"/>
        <v/>
      </c>
      <c r="EK101" s="15"/>
    </row>
    <row r="102" spans="1:141" ht="15" customHeight="1" x14ac:dyDescent="0.2">
      <c r="A102" s="79"/>
      <c r="B102" s="11"/>
      <c r="C102" s="53">
        <v>7765</v>
      </c>
      <c r="D102" s="13">
        <f t="shared" si="201"/>
        <v>63</v>
      </c>
      <c r="E102" s="53">
        <v>450</v>
      </c>
      <c r="F102" s="13">
        <f t="shared" si="202"/>
        <v>2</v>
      </c>
      <c r="G102" s="13">
        <v>48</v>
      </c>
      <c r="H102" s="13">
        <f t="shared" si="203"/>
        <v>2</v>
      </c>
      <c r="I102" s="205">
        <v>0</v>
      </c>
      <c r="J102" s="56" t="str">
        <f t="shared" si="204"/>
        <v>電ブル</v>
      </c>
      <c r="K102" s="54">
        <f t="shared" si="205"/>
        <v>275</v>
      </c>
      <c r="L102" s="13">
        <f t="shared" si="206"/>
        <v>550</v>
      </c>
      <c r="M102" s="14">
        <f t="shared" si="207"/>
        <v>8.7301587301587297E-2</v>
      </c>
      <c r="N102" s="15"/>
      <c r="O102" s="2"/>
      <c r="P102" s="79" t="str">
        <f>IF(A102="","",A102)</f>
        <v/>
      </c>
      <c r="Q102" s="53">
        <v>2609</v>
      </c>
      <c r="R102" s="13">
        <f t="shared" si="208"/>
        <v>132</v>
      </c>
      <c r="S102" s="53">
        <v>179</v>
      </c>
      <c r="T102" s="13">
        <f t="shared" si="209"/>
        <v>1</v>
      </c>
      <c r="U102" s="13">
        <v>14</v>
      </c>
      <c r="V102" s="13">
        <f t="shared" si="210"/>
        <v>1</v>
      </c>
      <c r="W102" s="17">
        <v>0</v>
      </c>
      <c r="X102" s="56" t="str">
        <f t="shared" si="211"/>
        <v>たまごっちブロックシール</v>
      </c>
      <c r="Y102" s="54">
        <f t="shared" si="212"/>
        <v>600</v>
      </c>
      <c r="Z102" s="13">
        <f t="shared" si="213"/>
        <v>600</v>
      </c>
      <c r="AA102" s="14">
        <f t="shared" si="214"/>
        <v>4.5454545454545456E-2</v>
      </c>
      <c r="AB102" s="15"/>
      <c r="AC102" s="15"/>
      <c r="AD102" s="79" t="str">
        <f>IF(O102="","",O102)</f>
        <v/>
      </c>
      <c r="AE102" s="53">
        <v>12258</v>
      </c>
      <c r="AF102" s="13">
        <f t="shared" si="215"/>
        <v>86</v>
      </c>
      <c r="AG102" s="53">
        <v>257</v>
      </c>
      <c r="AH102" s="13">
        <f t="shared" si="216"/>
        <v>2</v>
      </c>
      <c r="AI102" s="13">
        <v>12</v>
      </c>
      <c r="AJ102" s="13">
        <f t="shared" si="217"/>
        <v>2</v>
      </c>
      <c r="AK102" s="17">
        <v>-2</v>
      </c>
      <c r="AL102" s="56" t="str">
        <f t="shared" si="249"/>
        <v>サンリオハンディファン</v>
      </c>
      <c r="AM102" s="54">
        <f t="shared" si="239"/>
        <v>1100</v>
      </c>
      <c r="AN102" s="13">
        <f t="shared" si="220"/>
        <v>2200</v>
      </c>
      <c r="AO102" s="14">
        <f t="shared" si="221"/>
        <v>0.2558139534883721</v>
      </c>
      <c r="AP102" s="15"/>
      <c r="AQ102" s="15"/>
      <c r="AR102" s="79" t="str">
        <f>IF(AC102="","",AC102)</f>
        <v/>
      </c>
      <c r="AS102" s="53">
        <v>10488</v>
      </c>
      <c r="AT102" s="13">
        <f t="shared" si="222"/>
        <v>180</v>
      </c>
      <c r="AU102" s="53">
        <v>485</v>
      </c>
      <c r="AV102" s="13">
        <f t="shared" si="223"/>
        <v>4</v>
      </c>
      <c r="AW102" s="13">
        <v>16</v>
      </c>
      <c r="AX102" s="13">
        <f t="shared" si="224"/>
        <v>5</v>
      </c>
      <c r="AY102" s="17">
        <v>7</v>
      </c>
      <c r="AZ102" s="56" t="str">
        <f t="shared" ref="AZ102:AZ132" si="252">IF(AS102="","",AZ98)</f>
        <v>ベアブリック</v>
      </c>
      <c r="BA102" s="54">
        <f t="shared" si="236"/>
        <v>1100</v>
      </c>
      <c r="BB102" s="13">
        <f t="shared" si="226"/>
        <v>5500</v>
      </c>
      <c r="BC102" s="14">
        <f t="shared" si="227"/>
        <v>0.30555555555555558</v>
      </c>
      <c r="BD102" s="15"/>
      <c r="BE102" s="2"/>
      <c r="BF102" s="79" t="str">
        <f>IF(DW102="","",DW102)</f>
        <v/>
      </c>
      <c r="BG102" s="239" t="s">
        <v>590</v>
      </c>
      <c r="BH102" s="53">
        <v>4127</v>
      </c>
      <c r="BI102" s="13">
        <f t="shared" si="228"/>
        <v>81</v>
      </c>
      <c r="BJ102" s="53">
        <v>29</v>
      </c>
      <c r="BK102" s="13">
        <f t="shared" si="229"/>
        <v>1</v>
      </c>
      <c r="BL102" s="13">
        <v>2</v>
      </c>
      <c r="BM102" s="13">
        <f t="shared" si="230"/>
        <v>1</v>
      </c>
      <c r="BN102" s="17">
        <v>1</v>
      </c>
      <c r="BO102" s="56" t="str">
        <f t="shared" si="250"/>
        <v>ボンボンドロップシール</v>
      </c>
      <c r="BP102" s="54">
        <f t="shared" si="238"/>
        <v>1500</v>
      </c>
      <c r="BQ102" s="13">
        <f t="shared" si="232"/>
        <v>1500</v>
      </c>
      <c r="BR102" s="14">
        <f t="shared" si="233"/>
        <v>0.18518518518518517</v>
      </c>
      <c r="BS102" s="15"/>
      <c r="BU102" s="16"/>
      <c r="BV102" s="13"/>
      <c r="BW102" s="13" t="str">
        <f>IF(BV102="","",BV102-BV100)</f>
        <v/>
      </c>
      <c r="BX102" s="13"/>
      <c r="BY102" s="13" t="str">
        <f>IF(BX102="","",BX102-BX100)</f>
        <v/>
      </c>
      <c r="BZ102" s="13"/>
      <c r="CA102" s="13" t="str">
        <f>IF(BZ102="","",BZ100+CB100-BZ102)</f>
        <v/>
      </c>
      <c r="CB102" s="13"/>
      <c r="CC102" s="13"/>
      <c r="CD102" s="13"/>
      <c r="CE102" s="13" t="str">
        <f t="shared" si="240"/>
        <v/>
      </c>
      <c r="CF102" s="14" t="str">
        <f t="shared" si="241"/>
        <v/>
      </c>
      <c r="CG102" s="15"/>
      <c r="CH102" s="1"/>
      <c r="CI102" s="16"/>
      <c r="CJ102" s="13"/>
      <c r="CK102" s="13" t="str">
        <f>IF(CJ102="","",CJ102-CJ100)</f>
        <v/>
      </c>
      <c r="CL102" s="13"/>
      <c r="CM102" s="13" t="str">
        <f>IF(CL102="","",CL102-CL100)</f>
        <v/>
      </c>
      <c r="CN102" s="13"/>
      <c r="CO102" s="13" t="str">
        <f>IF(CN102="","",CN100+CP100-CN102)</f>
        <v/>
      </c>
      <c r="CP102" s="13"/>
      <c r="CQ102" s="13"/>
      <c r="CR102" s="13"/>
      <c r="CS102" s="13" t="str">
        <f t="shared" si="242"/>
        <v/>
      </c>
      <c r="CT102" s="14" t="str">
        <f t="shared" si="251"/>
        <v/>
      </c>
      <c r="CU102" s="15"/>
      <c r="CV102" s="1"/>
      <c r="CW102" s="16"/>
      <c r="CX102" s="13"/>
      <c r="CY102" s="13" t="str">
        <f>IF(CX102="","",CX102-CX100)</f>
        <v/>
      </c>
      <c r="CZ102" s="13"/>
      <c r="DA102" s="13" t="str">
        <f>IF(CZ102="","",CZ102-CZ100)</f>
        <v/>
      </c>
      <c r="DB102" s="13"/>
      <c r="DC102" s="13" t="str">
        <f>IF(DB102="","",DB100+DD100-DB102)</f>
        <v/>
      </c>
      <c r="DD102" s="13"/>
      <c r="DE102" s="13"/>
      <c r="DF102" s="13"/>
      <c r="DG102" s="13" t="str">
        <f t="shared" si="243"/>
        <v/>
      </c>
      <c r="DH102" s="14" t="str">
        <f t="shared" si="244"/>
        <v/>
      </c>
      <c r="DI102" s="15"/>
      <c r="DJ102" s="1"/>
      <c r="DK102" s="16"/>
      <c r="DL102" s="13"/>
      <c r="DM102" s="13" t="str">
        <f>IF(DL102="","",DL102-DL100)</f>
        <v/>
      </c>
      <c r="DN102" s="13"/>
      <c r="DO102" s="13" t="str">
        <f>IF(DN102="","",DN102-DN100)</f>
        <v/>
      </c>
      <c r="DP102" s="13"/>
      <c r="DQ102" s="13" t="str">
        <f>IF(DP102="","",DP100+DR100-DP102)</f>
        <v/>
      </c>
      <c r="DR102" s="13"/>
      <c r="DS102" s="13"/>
      <c r="DT102" s="13"/>
      <c r="DU102" s="13" t="str">
        <f t="shared" si="245"/>
        <v/>
      </c>
      <c r="DV102" s="14" t="str">
        <f t="shared" si="246"/>
        <v/>
      </c>
      <c r="DW102" s="15"/>
      <c r="DY102" s="16"/>
      <c r="DZ102" s="13"/>
      <c r="EA102" s="13" t="str">
        <f>IF(DZ102="","",DZ102-DZ100)</f>
        <v/>
      </c>
      <c r="EB102" s="13"/>
      <c r="EC102" s="13" t="str">
        <f>IF(EB102="","",EB102-EB100)</f>
        <v/>
      </c>
      <c r="ED102" s="13"/>
      <c r="EE102" s="13" t="str">
        <f>IF(ED102="","",ED100+EF100-ED102)</f>
        <v/>
      </c>
      <c r="EF102" s="13"/>
      <c r="EG102" s="13"/>
      <c r="EH102" s="13"/>
      <c r="EI102" s="13" t="str">
        <f t="shared" si="247"/>
        <v/>
      </c>
      <c r="EJ102" s="14" t="str">
        <f t="shared" si="248"/>
        <v/>
      </c>
      <c r="EK102" s="15"/>
    </row>
    <row r="103" spans="1:141" ht="15" customHeight="1" x14ac:dyDescent="0.2">
      <c r="A103" s="16"/>
      <c r="B103" s="11"/>
      <c r="C103" s="13">
        <v>13346</v>
      </c>
      <c r="D103" s="13">
        <f t="shared" si="201"/>
        <v>97</v>
      </c>
      <c r="E103" s="13">
        <v>821</v>
      </c>
      <c r="F103" s="13">
        <f t="shared" si="202"/>
        <v>19</v>
      </c>
      <c r="G103" s="13">
        <v>270</v>
      </c>
      <c r="H103" s="13">
        <f t="shared" si="203"/>
        <v>20</v>
      </c>
      <c r="I103" s="214">
        <v>0</v>
      </c>
      <c r="J103" s="56" t="str">
        <f t="shared" si="204"/>
        <v>ブレスレット</v>
      </c>
      <c r="K103" s="13">
        <f t="shared" si="205"/>
        <v>100</v>
      </c>
      <c r="L103" s="13">
        <f t="shared" si="206"/>
        <v>2000</v>
      </c>
      <c r="M103" s="14">
        <f t="shared" si="207"/>
        <v>0.20618556701030927</v>
      </c>
      <c r="N103" s="15"/>
      <c r="O103" s="2"/>
      <c r="P103" s="16"/>
      <c r="Q103" s="13">
        <v>10897</v>
      </c>
      <c r="R103" s="13">
        <f t="shared" si="208"/>
        <v>113</v>
      </c>
      <c r="S103" s="13">
        <v>220</v>
      </c>
      <c r="T103" s="13">
        <f t="shared" si="209"/>
        <v>0</v>
      </c>
      <c r="U103" s="13">
        <v>26</v>
      </c>
      <c r="V103" s="13">
        <f t="shared" si="210"/>
        <v>0</v>
      </c>
      <c r="W103" s="17">
        <v>0</v>
      </c>
      <c r="X103" s="56" t="str">
        <f t="shared" si="211"/>
        <v>たまごっちミニクリップ</v>
      </c>
      <c r="Y103" s="13">
        <f t="shared" si="212"/>
        <v>1100</v>
      </c>
      <c r="Z103" s="13">
        <f t="shared" si="213"/>
        <v>0</v>
      </c>
      <c r="AA103" s="14">
        <f t="shared" si="214"/>
        <v>0</v>
      </c>
      <c r="AB103" s="15"/>
      <c r="AC103" s="15"/>
      <c r="AD103" s="16"/>
      <c r="AE103" s="13">
        <v>14676</v>
      </c>
      <c r="AF103" s="13">
        <f t="shared" si="215"/>
        <v>239</v>
      </c>
      <c r="AG103" s="13">
        <v>511</v>
      </c>
      <c r="AH103" s="13">
        <f t="shared" si="216"/>
        <v>35</v>
      </c>
      <c r="AI103" s="13">
        <v>70</v>
      </c>
      <c r="AJ103" s="13">
        <f t="shared" si="217"/>
        <v>36</v>
      </c>
      <c r="AK103" s="17">
        <v>36</v>
      </c>
      <c r="AL103" s="56" t="str">
        <f t="shared" si="249"/>
        <v>ふわもちスクイーズ</v>
      </c>
      <c r="AM103" s="13">
        <f t="shared" si="239"/>
        <v>260</v>
      </c>
      <c r="AN103" s="13">
        <f t="shared" si="220"/>
        <v>9360</v>
      </c>
      <c r="AO103" s="14">
        <f t="shared" si="221"/>
        <v>0.39163179916317992</v>
      </c>
      <c r="AP103" s="15"/>
      <c r="AQ103" s="15"/>
      <c r="AR103" s="16"/>
      <c r="AS103" s="13">
        <v>18540</v>
      </c>
      <c r="AT103" s="13">
        <f t="shared" si="222"/>
        <v>215</v>
      </c>
      <c r="AU103" s="13">
        <v>576</v>
      </c>
      <c r="AV103" s="13">
        <f t="shared" si="223"/>
        <v>1</v>
      </c>
      <c r="AW103" s="13">
        <v>21</v>
      </c>
      <c r="AX103" s="13">
        <f t="shared" si="224"/>
        <v>0</v>
      </c>
      <c r="AY103" s="17">
        <v>0</v>
      </c>
      <c r="AZ103" s="56" t="str">
        <f t="shared" si="252"/>
        <v>たまごっちマスコット</v>
      </c>
      <c r="BA103" s="13">
        <f t="shared" si="236"/>
        <v>1430</v>
      </c>
      <c r="BB103" s="13">
        <f t="shared" si="226"/>
        <v>0</v>
      </c>
      <c r="BC103" s="14">
        <f t="shared" si="227"/>
        <v>0</v>
      </c>
      <c r="BD103" s="15"/>
      <c r="BE103" s="2"/>
      <c r="BF103" s="16"/>
      <c r="BG103" s="239" t="s">
        <v>591</v>
      </c>
      <c r="BH103" s="13">
        <v>3146</v>
      </c>
      <c r="BI103" s="13">
        <f t="shared" si="228"/>
        <v>152</v>
      </c>
      <c r="BJ103" s="13">
        <v>30</v>
      </c>
      <c r="BK103" s="13">
        <f t="shared" si="229"/>
        <v>1</v>
      </c>
      <c r="BL103" s="13">
        <v>2</v>
      </c>
      <c r="BM103" s="13">
        <f t="shared" si="230"/>
        <v>1</v>
      </c>
      <c r="BN103" s="17">
        <v>1</v>
      </c>
      <c r="BO103" s="56" t="str">
        <f t="shared" si="250"/>
        <v>ボンドロ</v>
      </c>
      <c r="BP103" s="13">
        <f t="shared" si="238"/>
        <v>1500</v>
      </c>
      <c r="BQ103" s="13">
        <f t="shared" si="232"/>
        <v>1500</v>
      </c>
      <c r="BR103" s="14">
        <f t="shared" si="233"/>
        <v>9.8684210526315791E-2</v>
      </c>
      <c r="BS103" s="15"/>
      <c r="BU103" s="16"/>
      <c r="BV103" s="54"/>
      <c r="BW103" s="13" t="str">
        <f>IF(BV103="","",BV103-BV101)</f>
        <v/>
      </c>
      <c r="BX103" s="13"/>
      <c r="BY103" s="13"/>
      <c r="BZ103" s="13"/>
      <c r="CA103" s="13" t="str">
        <f>IF(BZ103="","",BZ101+CB101-BZ103)</f>
        <v/>
      </c>
      <c r="CB103" s="13"/>
      <c r="CC103" s="13"/>
      <c r="CD103" s="13"/>
      <c r="CE103" s="13" t="str">
        <f t="shared" si="240"/>
        <v/>
      </c>
      <c r="CF103" s="14" t="str">
        <f t="shared" si="241"/>
        <v/>
      </c>
      <c r="CG103" s="15"/>
      <c r="CH103" s="1"/>
      <c r="CI103" s="16"/>
      <c r="CJ103" s="54"/>
      <c r="CK103" s="13" t="str">
        <f>IF(CJ103="","",CJ103-CJ101)</f>
        <v/>
      </c>
      <c r="CL103" s="13"/>
      <c r="CM103" s="13"/>
      <c r="CN103" s="13"/>
      <c r="CO103" s="13" t="str">
        <f>IF(CN103="","",CN101+CP101-CN103)</f>
        <v/>
      </c>
      <c r="CP103" s="13"/>
      <c r="CQ103" s="13"/>
      <c r="CR103" s="13"/>
      <c r="CS103" s="13" t="str">
        <f t="shared" si="242"/>
        <v/>
      </c>
      <c r="CT103" s="14" t="str">
        <f t="shared" si="251"/>
        <v/>
      </c>
      <c r="CU103" s="15"/>
      <c r="CV103" s="1"/>
      <c r="CW103" s="16"/>
      <c r="CX103" s="54"/>
      <c r="CY103" s="13" t="str">
        <f>IF(CX103="","",CX103-CX101)</f>
        <v/>
      </c>
      <c r="CZ103" s="13"/>
      <c r="DA103" s="13"/>
      <c r="DB103" s="13"/>
      <c r="DC103" s="13" t="str">
        <f>IF(DB103="","",DB101+DD101-DB103)</f>
        <v/>
      </c>
      <c r="DD103" s="13"/>
      <c r="DE103" s="13"/>
      <c r="DF103" s="13"/>
      <c r="DG103" s="13" t="str">
        <f t="shared" si="243"/>
        <v/>
      </c>
      <c r="DH103" s="14" t="str">
        <f t="shared" si="244"/>
        <v/>
      </c>
      <c r="DI103" s="15"/>
      <c r="DJ103" s="1"/>
      <c r="DK103" s="16"/>
      <c r="DL103" s="54"/>
      <c r="DM103" s="13" t="str">
        <f>IF(DL103="","",DL103-DL101)</f>
        <v/>
      </c>
      <c r="DN103" s="13"/>
      <c r="DO103" s="13"/>
      <c r="DP103" s="13"/>
      <c r="DQ103" s="13" t="str">
        <f>IF(DP103="","",DP101+DR101-DP103)</f>
        <v/>
      </c>
      <c r="DR103" s="13"/>
      <c r="DS103" s="13"/>
      <c r="DT103" s="13"/>
      <c r="DU103" s="13" t="str">
        <f t="shared" si="245"/>
        <v/>
      </c>
      <c r="DV103" s="14" t="str">
        <f t="shared" si="246"/>
        <v/>
      </c>
      <c r="DW103" s="15"/>
      <c r="DY103" s="16"/>
      <c r="DZ103" s="54"/>
      <c r="EA103" s="13" t="str">
        <f>IF(DZ103="","",DZ103-DZ101)</f>
        <v/>
      </c>
      <c r="EB103" s="13"/>
      <c r="EC103" s="13"/>
      <c r="ED103" s="13"/>
      <c r="EE103" s="13" t="str">
        <f>IF(ED103="","",ED101+EF101-ED103)</f>
        <v/>
      </c>
      <c r="EF103" s="13"/>
      <c r="EG103" s="13"/>
      <c r="EH103" s="13"/>
      <c r="EI103" s="13" t="str">
        <f t="shared" si="247"/>
        <v/>
      </c>
      <c r="EJ103" s="14" t="str">
        <f t="shared" si="248"/>
        <v/>
      </c>
      <c r="EK103" s="15"/>
    </row>
    <row r="104" spans="1:141" ht="15" customHeight="1" thickBot="1" x14ac:dyDescent="0.25">
      <c r="A104" s="26"/>
      <c r="B104" s="46"/>
      <c r="C104" s="27">
        <v>9470</v>
      </c>
      <c r="D104" s="27">
        <f t="shared" si="201"/>
        <v>115</v>
      </c>
      <c r="E104" s="27">
        <v>539</v>
      </c>
      <c r="F104" s="27">
        <f t="shared" si="202"/>
        <v>0</v>
      </c>
      <c r="G104" s="27">
        <v>24</v>
      </c>
      <c r="H104" s="27">
        <f t="shared" si="203"/>
        <v>0</v>
      </c>
      <c r="I104" s="217">
        <v>0</v>
      </c>
      <c r="J104" s="57" t="str">
        <f t="shared" si="204"/>
        <v>モンチチフルーツマスコット</v>
      </c>
      <c r="K104" s="62">
        <f t="shared" si="205"/>
        <v>572</v>
      </c>
      <c r="L104" s="27">
        <f t="shared" si="206"/>
        <v>0</v>
      </c>
      <c r="M104" s="28">
        <f t="shared" si="207"/>
        <v>0</v>
      </c>
      <c r="N104" s="15"/>
      <c r="O104" s="2"/>
      <c r="P104" s="26"/>
      <c r="Q104" s="27">
        <v>15152</v>
      </c>
      <c r="R104" s="27">
        <f t="shared" si="208"/>
        <v>114</v>
      </c>
      <c r="S104" s="27">
        <v>664</v>
      </c>
      <c r="T104" s="27">
        <f t="shared" si="209"/>
        <v>10</v>
      </c>
      <c r="U104" s="27">
        <v>24</v>
      </c>
      <c r="V104" s="27">
        <f t="shared" si="210"/>
        <v>8</v>
      </c>
      <c r="W104" s="47">
        <v>4</v>
      </c>
      <c r="X104" s="57" t="str">
        <f t="shared" si="211"/>
        <v>ボンボンドロップ</v>
      </c>
      <c r="Y104" s="62">
        <f t="shared" si="212"/>
        <v>200</v>
      </c>
      <c r="Z104" s="27">
        <f t="shared" si="213"/>
        <v>1600</v>
      </c>
      <c r="AA104" s="28">
        <f t="shared" si="214"/>
        <v>0.14035087719298245</v>
      </c>
      <c r="AB104" s="15"/>
      <c r="AC104" s="15"/>
      <c r="AD104" s="26"/>
      <c r="AE104" s="27">
        <v>14045</v>
      </c>
      <c r="AF104" s="27">
        <f t="shared" si="215"/>
        <v>58</v>
      </c>
      <c r="AG104" s="27">
        <v>359</v>
      </c>
      <c r="AH104" s="27">
        <f t="shared" si="216"/>
        <v>0</v>
      </c>
      <c r="AI104" s="27">
        <v>22</v>
      </c>
      <c r="AJ104" s="27">
        <f t="shared" si="217"/>
        <v>0</v>
      </c>
      <c r="AK104" s="47">
        <v>0</v>
      </c>
      <c r="AL104" s="57" t="str">
        <f t="shared" si="249"/>
        <v>キティキラキラマルチケース</v>
      </c>
      <c r="AM104" s="62">
        <f t="shared" si="239"/>
        <v>400</v>
      </c>
      <c r="AN104" s="27">
        <f t="shared" si="220"/>
        <v>0</v>
      </c>
      <c r="AO104" s="28">
        <f t="shared" si="221"/>
        <v>0</v>
      </c>
      <c r="AP104" s="15"/>
      <c r="AQ104" s="15"/>
      <c r="AR104" s="26"/>
      <c r="AS104" s="27">
        <v>18727</v>
      </c>
      <c r="AT104" s="27">
        <f t="shared" si="222"/>
        <v>113</v>
      </c>
      <c r="AU104" s="27">
        <v>519</v>
      </c>
      <c r="AV104" s="27">
        <f t="shared" si="223"/>
        <v>2</v>
      </c>
      <c r="AW104" s="27">
        <v>21</v>
      </c>
      <c r="AX104" s="27">
        <f t="shared" si="224"/>
        <v>2</v>
      </c>
      <c r="AY104" s="47">
        <v>0</v>
      </c>
      <c r="AZ104" s="57" t="str">
        <f t="shared" si="252"/>
        <v>バタースクイーズ</v>
      </c>
      <c r="BA104" s="62">
        <f t="shared" si="236"/>
        <v>400</v>
      </c>
      <c r="BB104" s="27">
        <f t="shared" si="226"/>
        <v>800</v>
      </c>
      <c r="BC104" s="28">
        <f t="shared" si="227"/>
        <v>7.0796460176991149E-2</v>
      </c>
      <c r="BD104" s="15"/>
      <c r="BE104" s="2"/>
      <c r="BF104" s="26"/>
      <c r="BG104" s="238" t="s">
        <v>592</v>
      </c>
      <c r="BH104" s="27">
        <v>2670</v>
      </c>
      <c r="BI104" s="27">
        <f t="shared" si="228"/>
        <v>123</v>
      </c>
      <c r="BJ104" s="27">
        <v>34</v>
      </c>
      <c r="BK104" s="27">
        <f t="shared" si="229"/>
        <v>1</v>
      </c>
      <c r="BL104" s="27">
        <v>2</v>
      </c>
      <c r="BM104" s="27">
        <f t="shared" si="230"/>
        <v>1</v>
      </c>
      <c r="BN104" s="47">
        <v>1</v>
      </c>
      <c r="BO104" s="57" t="str">
        <f t="shared" si="250"/>
        <v>ボンボンドロップシール</v>
      </c>
      <c r="BP104" s="62">
        <f t="shared" si="238"/>
        <v>1500</v>
      </c>
      <c r="BQ104" s="27">
        <f t="shared" si="232"/>
        <v>1500</v>
      </c>
      <c r="BR104" s="28">
        <f t="shared" si="233"/>
        <v>0.12195121951219512</v>
      </c>
      <c r="BS104" s="15"/>
      <c r="BU104" s="16"/>
      <c r="BV104" s="54"/>
      <c r="BW104" s="13" t="str">
        <f t="shared" ref="BW104:BW124" si="253">IF(BV104="","",BV104-BV103)</f>
        <v/>
      </c>
      <c r="BX104" s="13"/>
      <c r="BY104" s="13"/>
      <c r="BZ104" s="13"/>
      <c r="CA104" s="13" t="str">
        <f t="shared" ref="CA104:CA124" si="254">IF(BZ104="","",BZ103+CB103-BZ104)</f>
        <v/>
      </c>
      <c r="CB104" s="13"/>
      <c r="CC104" s="13"/>
      <c r="CD104" s="13"/>
      <c r="CE104" s="13" t="str">
        <f t="shared" si="240"/>
        <v/>
      </c>
      <c r="CF104" s="14" t="str">
        <f t="shared" si="241"/>
        <v/>
      </c>
      <c r="CG104" s="15"/>
      <c r="CH104" s="1"/>
      <c r="CI104" s="16"/>
      <c r="CJ104" s="54"/>
      <c r="CK104" s="13" t="str">
        <f t="shared" ref="CK104:CK124" si="255">IF(CJ104="","",CJ104-CJ103)</f>
        <v/>
      </c>
      <c r="CL104" s="13"/>
      <c r="CM104" s="13"/>
      <c r="CN104" s="13"/>
      <c r="CO104" s="13" t="str">
        <f t="shared" ref="CO104:CO124" si="256">IF(CN104="","",CN103+CP103-CN104)</f>
        <v/>
      </c>
      <c r="CP104" s="13"/>
      <c r="CQ104" s="13"/>
      <c r="CR104" s="13"/>
      <c r="CS104" s="13" t="str">
        <f t="shared" si="242"/>
        <v/>
      </c>
      <c r="CT104" s="14" t="str">
        <f t="shared" si="251"/>
        <v/>
      </c>
      <c r="CU104" s="15"/>
      <c r="CV104" s="1"/>
      <c r="CW104" s="16"/>
      <c r="CX104" s="54"/>
      <c r="CY104" s="13" t="str">
        <f t="shared" ref="CY104:CY124" si="257">IF(CX104="","",CX104-CX103)</f>
        <v/>
      </c>
      <c r="CZ104" s="13"/>
      <c r="DA104" s="13"/>
      <c r="DB104" s="13"/>
      <c r="DC104" s="13" t="str">
        <f t="shared" ref="DC104:DC124" si="258">IF(DB104="","",DB103+DD103-DB104)</f>
        <v/>
      </c>
      <c r="DD104" s="13"/>
      <c r="DE104" s="13"/>
      <c r="DF104" s="13"/>
      <c r="DG104" s="13" t="str">
        <f t="shared" si="243"/>
        <v/>
      </c>
      <c r="DH104" s="14" t="str">
        <f t="shared" si="244"/>
        <v/>
      </c>
      <c r="DI104" s="15"/>
      <c r="DJ104" s="1"/>
      <c r="DK104" s="16"/>
      <c r="DL104" s="54"/>
      <c r="DM104" s="13" t="str">
        <f t="shared" ref="DM104:DM124" si="259">IF(DL104="","",DL104-DL103)</f>
        <v/>
      </c>
      <c r="DN104" s="13"/>
      <c r="DO104" s="13"/>
      <c r="DP104" s="13"/>
      <c r="DQ104" s="13" t="str">
        <f t="shared" ref="DQ104:DQ124" si="260">IF(DP104="","",DP103+DR103-DP104)</f>
        <v/>
      </c>
      <c r="DR104" s="13"/>
      <c r="DS104" s="13"/>
      <c r="DT104" s="13"/>
      <c r="DU104" s="13" t="str">
        <f t="shared" si="245"/>
        <v/>
      </c>
      <c r="DV104" s="14" t="str">
        <f t="shared" si="246"/>
        <v/>
      </c>
      <c r="DW104" s="15"/>
      <c r="DY104" s="16"/>
      <c r="DZ104" s="54"/>
      <c r="EA104" s="13" t="str">
        <f t="shared" ref="EA104:EA124" si="261">IF(DZ104="","",DZ104-DZ103)</f>
        <v/>
      </c>
      <c r="EB104" s="13"/>
      <c r="EC104" s="13"/>
      <c r="ED104" s="13"/>
      <c r="EE104" s="13" t="str">
        <f t="shared" ref="EE104:EE124" si="262">IF(ED104="","",ED103+EF103-ED104)</f>
        <v/>
      </c>
      <c r="EF104" s="13"/>
      <c r="EG104" s="13"/>
      <c r="EH104" s="13"/>
      <c r="EI104" s="13" t="str">
        <f t="shared" si="247"/>
        <v/>
      </c>
      <c r="EJ104" s="14" t="str">
        <f t="shared" si="248"/>
        <v/>
      </c>
      <c r="EK104" s="15"/>
    </row>
    <row r="105" spans="1:141" ht="15" customHeight="1" thickTop="1" x14ac:dyDescent="0.2">
      <c r="A105" s="79">
        <v>46149</v>
      </c>
      <c r="B105" s="74">
        <f>IF(A105="","",SUM(D105:D108)+SUM(R105:R108)+SUM(BI105:BI108)+SUM(AF105:AF108)+SUM(AT105:AT108)+SUM(BW84,CK84,CY84,DM84,EA84))</f>
        <v>4064</v>
      </c>
      <c r="C105" s="13">
        <v>8311</v>
      </c>
      <c r="D105" s="53">
        <f t="shared" si="201"/>
        <v>113</v>
      </c>
      <c r="E105" s="13">
        <v>418</v>
      </c>
      <c r="F105" s="31">
        <f t="shared" si="202"/>
        <v>6</v>
      </c>
      <c r="G105" s="13">
        <v>50</v>
      </c>
      <c r="H105" s="53">
        <f t="shared" si="203"/>
        <v>6</v>
      </c>
      <c r="I105" s="17">
        <v>0</v>
      </c>
      <c r="J105" s="75" t="str">
        <f t="shared" si="204"/>
        <v>ジャグラーボタン</v>
      </c>
      <c r="K105" s="76">
        <f t="shared" si="205"/>
        <v>748</v>
      </c>
      <c r="L105" s="31">
        <f t="shared" si="206"/>
        <v>4488</v>
      </c>
      <c r="M105" s="32">
        <f t="shared" si="207"/>
        <v>0.39716814159292035</v>
      </c>
      <c r="N105" s="233" t="s">
        <v>475</v>
      </c>
      <c r="O105" s="2"/>
      <c r="P105" s="79">
        <f>IF($A105="","",$A105)</f>
        <v>46149</v>
      </c>
      <c r="Q105" s="13">
        <v>9552</v>
      </c>
      <c r="R105" s="53">
        <f t="shared" si="208"/>
        <v>91</v>
      </c>
      <c r="S105" s="13">
        <v>283</v>
      </c>
      <c r="T105" s="31">
        <f t="shared" si="209"/>
        <v>3</v>
      </c>
      <c r="U105" s="13">
        <v>10</v>
      </c>
      <c r="V105" s="53">
        <f t="shared" si="210"/>
        <v>3</v>
      </c>
      <c r="W105" s="17">
        <v>18</v>
      </c>
      <c r="X105" s="75" t="str">
        <f t="shared" si="211"/>
        <v>キティボアバンスクリップ</v>
      </c>
      <c r="Y105" s="76">
        <f t="shared" si="212"/>
        <v>1100</v>
      </c>
      <c r="Z105" s="31">
        <f t="shared" si="213"/>
        <v>3300</v>
      </c>
      <c r="AA105" s="32">
        <f t="shared" si="214"/>
        <v>0.36263736263736263</v>
      </c>
      <c r="AB105" s="15" t="s">
        <v>631</v>
      </c>
      <c r="AC105" s="15"/>
      <c r="AD105" s="79">
        <f>IF($A105="","",$A105)</f>
        <v>46149</v>
      </c>
      <c r="AE105" s="13">
        <v>12114</v>
      </c>
      <c r="AF105" s="53">
        <f t="shared" si="215"/>
        <v>173</v>
      </c>
      <c r="AG105" s="13">
        <v>274</v>
      </c>
      <c r="AH105" s="31">
        <f t="shared" si="216"/>
        <v>4</v>
      </c>
      <c r="AI105" s="13">
        <v>16</v>
      </c>
      <c r="AJ105" s="53">
        <f t="shared" si="217"/>
        <v>13</v>
      </c>
      <c r="AK105" s="17">
        <v>8</v>
      </c>
      <c r="AL105" s="75" t="s">
        <v>628</v>
      </c>
      <c r="AM105" s="76">
        <v>210</v>
      </c>
      <c r="AN105" s="31">
        <f t="shared" si="220"/>
        <v>2730</v>
      </c>
      <c r="AO105" s="32">
        <f t="shared" si="221"/>
        <v>0.15780346820809249</v>
      </c>
      <c r="AP105" s="15" t="s">
        <v>632</v>
      </c>
      <c r="AQ105" s="15"/>
      <c r="AR105" s="79">
        <f>IF($A105="","",$A105)</f>
        <v>46149</v>
      </c>
      <c r="AS105" s="13">
        <v>13410</v>
      </c>
      <c r="AT105" s="53">
        <f t="shared" si="222"/>
        <v>171</v>
      </c>
      <c r="AU105" s="13">
        <v>414</v>
      </c>
      <c r="AV105" s="31">
        <f t="shared" si="223"/>
        <v>4</v>
      </c>
      <c r="AW105" s="13">
        <v>0</v>
      </c>
      <c r="AX105" s="53">
        <f t="shared" si="224"/>
        <v>8</v>
      </c>
      <c r="AY105" s="17">
        <v>8</v>
      </c>
      <c r="AZ105" s="75" t="str">
        <f t="shared" si="252"/>
        <v>極とろスクイーズ</v>
      </c>
      <c r="BA105" s="76">
        <f t="shared" si="236"/>
        <v>1100</v>
      </c>
      <c r="BB105" s="31">
        <f t="shared" si="226"/>
        <v>8800</v>
      </c>
      <c r="BC105" s="32">
        <f t="shared" si="227"/>
        <v>0.51461988304093564</v>
      </c>
      <c r="BD105" s="15" t="s">
        <v>630</v>
      </c>
      <c r="BE105" s="2"/>
      <c r="BF105" s="79">
        <f>IF($A105="","",$A105)</f>
        <v>46149</v>
      </c>
      <c r="BG105" s="240" t="s">
        <v>589</v>
      </c>
      <c r="BH105" s="13">
        <v>2888</v>
      </c>
      <c r="BI105" s="53">
        <f t="shared" si="228"/>
        <v>145</v>
      </c>
      <c r="BJ105" s="13">
        <v>35</v>
      </c>
      <c r="BK105" s="31">
        <f t="shared" si="229"/>
        <v>1</v>
      </c>
      <c r="BL105" s="13">
        <v>2</v>
      </c>
      <c r="BM105" s="53">
        <f t="shared" si="230"/>
        <v>1</v>
      </c>
      <c r="BN105" s="17">
        <v>1</v>
      </c>
      <c r="BO105" s="75" t="str">
        <f t="shared" si="250"/>
        <v>ボンドロ</v>
      </c>
      <c r="BP105" s="76">
        <f t="shared" si="238"/>
        <v>1500</v>
      </c>
      <c r="BQ105" s="31">
        <f t="shared" si="232"/>
        <v>1500</v>
      </c>
      <c r="BR105" s="32">
        <f t="shared" si="233"/>
        <v>0.10344827586206896</v>
      </c>
      <c r="BS105" s="92" t="s">
        <v>633</v>
      </c>
      <c r="BU105" s="16"/>
      <c r="BV105" s="54"/>
      <c r="BW105" s="13" t="str">
        <f t="shared" si="253"/>
        <v/>
      </c>
      <c r="BX105" s="13"/>
      <c r="BY105" s="13"/>
      <c r="BZ105" s="13"/>
      <c r="CA105" s="13" t="str">
        <f t="shared" si="254"/>
        <v/>
      </c>
      <c r="CB105" s="13"/>
      <c r="CC105" s="13"/>
      <c r="CD105" s="13"/>
      <c r="CE105" s="13" t="str">
        <f t="shared" si="240"/>
        <v/>
      </c>
      <c r="CF105" s="14" t="str">
        <f t="shared" si="241"/>
        <v/>
      </c>
      <c r="CG105" s="15"/>
      <c r="CH105" s="1"/>
      <c r="CI105" s="16"/>
      <c r="CJ105" s="54"/>
      <c r="CK105" s="13" t="str">
        <f t="shared" si="255"/>
        <v/>
      </c>
      <c r="CL105" s="13"/>
      <c r="CM105" s="13"/>
      <c r="CN105" s="13"/>
      <c r="CO105" s="13" t="str">
        <f t="shared" si="256"/>
        <v/>
      </c>
      <c r="CP105" s="13"/>
      <c r="CQ105" s="13"/>
      <c r="CR105" s="13"/>
      <c r="CS105" s="13" t="str">
        <f t="shared" si="242"/>
        <v/>
      </c>
      <c r="CT105" s="14" t="str">
        <f t="shared" si="251"/>
        <v/>
      </c>
      <c r="CU105" s="15"/>
      <c r="CV105" s="1"/>
      <c r="CW105" s="16"/>
      <c r="CX105" s="54"/>
      <c r="CY105" s="13" t="str">
        <f t="shared" si="257"/>
        <v/>
      </c>
      <c r="CZ105" s="13"/>
      <c r="DA105" s="13"/>
      <c r="DB105" s="13"/>
      <c r="DC105" s="13" t="str">
        <f t="shared" si="258"/>
        <v/>
      </c>
      <c r="DD105" s="13"/>
      <c r="DE105" s="13"/>
      <c r="DF105" s="13"/>
      <c r="DG105" s="13" t="str">
        <f t="shared" si="243"/>
        <v/>
      </c>
      <c r="DH105" s="14" t="str">
        <f t="shared" si="244"/>
        <v/>
      </c>
      <c r="DI105" s="15"/>
      <c r="DJ105" s="1"/>
      <c r="DK105" s="16"/>
      <c r="DL105" s="54"/>
      <c r="DM105" s="13" t="str">
        <f t="shared" si="259"/>
        <v/>
      </c>
      <c r="DN105" s="13"/>
      <c r="DO105" s="13"/>
      <c r="DP105" s="13"/>
      <c r="DQ105" s="13" t="str">
        <f t="shared" si="260"/>
        <v/>
      </c>
      <c r="DR105" s="13"/>
      <c r="DS105" s="13"/>
      <c r="DT105" s="13"/>
      <c r="DU105" s="13" t="str">
        <f t="shared" si="245"/>
        <v/>
      </c>
      <c r="DV105" s="14" t="str">
        <f t="shared" si="246"/>
        <v/>
      </c>
      <c r="DW105" s="15"/>
      <c r="DY105" s="16"/>
      <c r="DZ105" s="54"/>
      <c r="EA105" s="13" t="str">
        <f t="shared" si="261"/>
        <v/>
      </c>
      <c r="EB105" s="13"/>
      <c r="EC105" s="13"/>
      <c r="ED105" s="13"/>
      <c r="EE105" s="13" t="str">
        <f t="shared" si="262"/>
        <v/>
      </c>
      <c r="EF105" s="13"/>
      <c r="EG105" s="13"/>
      <c r="EH105" s="13"/>
      <c r="EI105" s="13" t="str">
        <f t="shared" si="247"/>
        <v/>
      </c>
      <c r="EJ105" s="14" t="str">
        <f t="shared" si="248"/>
        <v/>
      </c>
      <c r="EK105" s="15"/>
    </row>
    <row r="106" spans="1:141" ht="15" customHeight="1" x14ac:dyDescent="0.2">
      <c r="A106" s="121"/>
      <c r="B106" s="74"/>
      <c r="C106" s="53">
        <v>7830</v>
      </c>
      <c r="D106" s="13">
        <f t="shared" si="201"/>
        <v>65</v>
      </c>
      <c r="E106" s="53">
        <v>452</v>
      </c>
      <c r="F106" s="13">
        <f t="shared" si="202"/>
        <v>2</v>
      </c>
      <c r="G106" s="13">
        <v>46</v>
      </c>
      <c r="H106" s="13">
        <f t="shared" si="203"/>
        <v>2</v>
      </c>
      <c r="I106" s="17">
        <v>10</v>
      </c>
      <c r="J106" s="56" t="str">
        <f t="shared" si="204"/>
        <v>電ブル</v>
      </c>
      <c r="K106" s="54">
        <f t="shared" si="205"/>
        <v>275</v>
      </c>
      <c r="L106" s="13">
        <f t="shared" si="206"/>
        <v>550</v>
      </c>
      <c r="M106" s="14">
        <f t="shared" si="207"/>
        <v>8.461538461538462E-2</v>
      </c>
      <c r="N106" s="15"/>
      <c r="O106" s="2"/>
      <c r="P106" s="16"/>
      <c r="Q106" s="53">
        <v>2705</v>
      </c>
      <c r="R106" s="13">
        <f t="shared" si="208"/>
        <v>96</v>
      </c>
      <c r="S106" s="53">
        <v>181</v>
      </c>
      <c r="T106" s="13">
        <f t="shared" si="209"/>
        <v>2</v>
      </c>
      <c r="U106" s="13">
        <v>12</v>
      </c>
      <c r="V106" s="13">
        <f t="shared" si="210"/>
        <v>2</v>
      </c>
      <c r="W106" s="17">
        <v>7</v>
      </c>
      <c r="X106" s="56" t="str">
        <f t="shared" si="211"/>
        <v>たまごっちブロックシール</v>
      </c>
      <c r="Y106" s="54">
        <f t="shared" si="212"/>
        <v>600</v>
      </c>
      <c r="Z106" s="13">
        <f t="shared" si="213"/>
        <v>1200</v>
      </c>
      <c r="AA106" s="14">
        <f t="shared" si="214"/>
        <v>0.125</v>
      </c>
      <c r="AB106" s="15"/>
      <c r="AC106" s="15"/>
      <c r="AD106" s="16"/>
      <c r="AE106" s="53">
        <v>12411</v>
      </c>
      <c r="AF106" s="13">
        <f t="shared" si="215"/>
        <v>153</v>
      </c>
      <c r="AG106" s="53">
        <v>257</v>
      </c>
      <c r="AH106" s="13">
        <f t="shared" si="216"/>
        <v>0</v>
      </c>
      <c r="AI106" s="13">
        <v>10</v>
      </c>
      <c r="AJ106" s="13">
        <f t="shared" si="217"/>
        <v>0</v>
      </c>
      <c r="AK106" s="17">
        <v>0</v>
      </c>
      <c r="AL106" s="56" t="str">
        <f t="shared" ref="AL106:AL132" si="263">IF(AE106="","",AL102)</f>
        <v>サンリオハンディファン</v>
      </c>
      <c r="AM106" s="54">
        <f t="shared" ref="AM106:AM132" si="264">IF(AF106="","",AM102)</f>
        <v>1100</v>
      </c>
      <c r="AN106" s="13">
        <f t="shared" si="220"/>
        <v>0</v>
      </c>
      <c r="AO106" s="14">
        <f t="shared" si="221"/>
        <v>0</v>
      </c>
      <c r="AP106" s="15"/>
      <c r="AQ106" s="15"/>
      <c r="AR106" s="16"/>
      <c r="AS106" s="53">
        <v>10703</v>
      </c>
      <c r="AT106" s="13">
        <f t="shared" si="222"/>
        <v>215</v>
      </c>
      <c r="AU106" s="53">
        <v>487</v>
      </c>
      <c r="AV106" s="13">
        <f t="shared" si="223"/>
        <v>2</v>
      </c>
      <c r="AW106" s="13">
        <v>22</v>
      </c>
      <c r="AX106" s="13">
        <f t="shared" si="224"/>
        <v>1</v>
      </c>
      <c r="AY106" s="17">
        <v>0</v>
      </c>
      <c r="AZ106" s="56" t="str">
        <f t="shared" si="252"/>
        <v>ベアブリック</v>
      </c>
      <c r="BA106" s="54">
        <f t="shared" si="236"/>
        <v>1100</v>
      </c>
      <c r="BB106" s="13">
        <f t="shared" si="226"/>
        <v>1100</v>
      </c>
      <c r="BC106" s="14">
        <f t="shared" si="227"/>
        <v>5.1162790697674418E-2</v>
      </c>
      <c r="BD106" s="15"/>
      <c r="BE106" s="2"/>
      <c r="BF106" s="16"/>
      <c r="BG106" s="7" t="s">
        <v>590</v>
      </c>
      <c r="BH106" s="53">
        <v>4300</v>
      </c>
      <c r="BI106" s="13">
        <f t="shared" si="228"/>
        <v>173</v>
      </c>
      <c r="BJ106" s="53">
        <v>30</v>
      </c>
      <c r="BK106" s="13">
        <f t="shared" si="229"/>
        <v>1</v>
      </c>
      <c r="BL106" s="13">
        <v>2</v>
      </c>
      <c r="BM106" s="13">
        <f t="shared" si="230"/>
        <v>1</v>
      </c>
      <c r="BN106" s="17">
        <v>1</v>
      </c>
      <c r="BO106" s="56" t="str">
        <f t="shared" si="250"/>
        <v>ボンボンドロップシール</v>
      </c>
      <c r="BP106" s="54">
        <f t="shared" si="238"/>
        <v>1500</v>
      </c>
      <c r="BQ106" s="13">
        <f t="shared" si="232"/>
        <v>1500</v>
      </c>
      <c r="BR106" s="14">
        <f t="shared" si="233"/>
        <v>8.6705202312138727E-2</v>
      </c>
      <c r="BS106" s="15" t="s">
        <v>634</v>
      </c>
      <c r="BU106" s="16"/>
      <c r="BV106" s="54"/>
      <c r="BW106" s="13" t="str">
        <f t="shared" si="253"/>
        <v/>
      </c>
      <c r="BX106" s="13"/>
      <c r="BY106" s="13"/>
      <c r="BZ106" s="13"/>
      <c r="CA106" s="13" t="str">
        <f t="shared" si="254"/>
        <v/>
      </c>
      <c r="CB106" s="13"/>
      <c r="CC106" s="13"/>
      <c r="CD106" s="13"/>
      <c r="CE106" s="13" t="str">
        <f t="shared" si="240"/>
        <v/>
      </c>
      <c r="CF106" s="14" t="str">
        <f t="shared" si="241"/>
        <v/>
      </c>
      <c r="CG106" s="15"/>
      <c r="CH106" s="1"/>
      <c r="CI106" s="16"/>
      <c r="CJ106" s="54"/>
      <c r="CK106" s="13" t="str">
        <f t="shared" si="255"/>
        <v/>
      </c>
      <c r="CL106" s="13"/>
      <c r="CM106" s="13"/>
      <c r="CN106" s="13"/>
      <c r="CO106" s="13" t="str">
        <f t="shared" si="256"/>
        <v/>
      </c>
      <c r="CP106" s="13"/>
      <c r="CQ106" s="13"/>
      <c r="CR106" s="13"/>
      <c r="CS106" s="13" t="str">
        <f t="shared" si="242"/>
        <v/>
      </c>
      <c r="CT106" s="14" t="str">
        <f t="shared" si="251"/>
        <v/>
      </c>
      <c r="CU106" s="15"/>
      <c r="CV106" s="1"/>
      <c r="CW106" s="16"/>
      <c r="CX106" s="54"/>
      <c r="CY106" s="13" t="str">
        <f t="shared" si="257"/>
        <v/>
      </c>
      <c r="CZ106" s="13"/>
      <c r="DA106" s="13"/>
      <c r="DB106" s="13"/>
      <c r="DC106" s="13" t="str">
        <f t="shared" si="258"/>
        <v/>
      </c>
      <c r="DD106" s="13"/>
      <c r="DE106" s="13"/>
      <c r="DF106" s="13"/>
      <c r="DG106" s="13" t="str">
        <f t="shared" si="243"/>
        <v/>
      </c>
      <c r="DH106" s="14" t="str">
        <f t="shared" si="244"/>
        <v/>
      </c>
      <c r="DI106" s="15"/>
      <c r="DJ106" s="1"/>
      <c r="DK106" s="16"/>
      <c r="DL106" s="54"/>
      <c r="DM106" s="13" t="str">
        <f t="shared" si="259"/>
        <v/>
      </c>
      <c r="DN106" s="13"/>
      <c r="DO106" s="13"/>
      <c r="DP106" s="13"/>
      <c r="DQ106" s="13" t="str">
        <f t="shared" si="260"/>
        <v/>
      </c>
      <c r="DR106" s="13"/>
      <c r="DS106" s="13"/>
      <c r="DT106" s="13"/>
      <c r="DU106" s="13" t="str">
        <f t="shared" si="245"/>
        <v/>
      </c>
      <c r="DV106" s="14" t="str">
        <f t="shared" si="246"/>
        <v/>
      </c>
      <c r="DW106" s="15"/>
      <c r="DY106" s="16"/>
      <c r="DZ106" s="54"/>
      <c r="EA106" s="13" t="str">
        <f t="shared" si="261"/>
        <v/>
      </c>
      <c r="EB106" s="13"/>
      <c r="EC106" s="13"/>
      <c r="ED106" s="13"/>
      <c r="EE106" s="13" t="str">
        <f t="shared" si="262"/>
        <v/>
      </c>
      <c r="EF106" s="13"/>
      <c r="EG106" s="13"/>
      <c r="EH106" s="13"/>
      <c r="EI106" s="13" t="str">
        <f t="shared" si="247"/>
        <v/>
      </c>
      <c r="EJ106" s="14" t="str">
        <f t="shared" si="248"/>
        <v/>
      </c>
      <c r="EK106" s="15"/>
    </row>
    <row r="107" spans="1:141" ht="15" customHeight="1" x14ac:dyDescent="0.2">
      <c r="A107" s="16"/>
      <c r="B107" s="11"/>
      <c r="C107" s="13">
        <v>13417</v>
      </c>
      <c r="D107" s="13">
        <f t="shared" si="201"/>
        <v>71</v>
      </c>
      <c r="E107" s="13">
        <v>833</v>
      </c>
      <c r="F107" s="13">
        <f t="shared" si="202"/>
        <v>12</v>
      </c>
      <c r="G107" s="13">
        <v>250</v>
      </c>
      <c r="H107" s="13">
        <f t="shared" si="203"/>
        <v>20</v>
      </c>
      <c r="I107" s="17">
        <v>0</v>
      </c>
      <c r="J107" s="56" t="str">
        <f t="shared" si="204"/>
        <v>ブレスレット</v>
      </c>
      <c r="K107" s="13">
        <f t="shared" si="205"/>
        <v>100</v>
      </c>
      <c r="L107" s="13">
        <f t="shared" si="206"/>
        <v>2000</v>
      </c>
      <c r="M107" s="14">
        <f t="shared" si="207"/>
        <v>0.28169014084507044</v>
      </c>
      <c r="N107" s="15"/>
      <c r="O107" s="2"/>
      <c r="P107" s="16"/>
      <c r="Q107" s="13">
        <v>11023</v>
      </c>
      <c r="R107" s="13">
        <f t="shared" si="208"/>
        <v>126</v>
      </c>
      <c r="S107" s="13">
        <v>222</v>
      </c>
      <c r="T107" s="13">
        <f t="shared" si="209"/>
        <v>2</v>
      </c>
      <c r="U107" s="13">
        <v>23</v>
      </c>
      <c r="V107" s="13">
        <f t="shared" si="210"/>
        <v>3</v>
      </c>
      <c r="W107" s="17">
        <v>18</v>
      </c>
      <c r="X107" s="56" t="str">
        <f t="shared" si="211"/>
        <v>たまごっちミニクリップ</v>
      </c>
      <c r="Y107" s="13">
        <f t="shared" si="212"/>
        <v>1100</v>
      </c>
      <c r="Z107" s="13">
        <f t="shared" si="213"/>
        <v>3300</v>
      </c>
      <c r="AA107" s="14">
        <f t="shared" si="214"/>
        <v>0.26190476190476192</v>
      </c>
      <c r="AB107" s="15"/>
      <c r="AC107" s="15"/>
      <c r="AD107" s="16"/>
      <c r="AE107" s="13">
        <v>14956</v>
      </c>
      <c r="AF107" s="13">
        <f t="shared" si="215"/>
        <v>280</v>
      </c>
      <c r="AG107" s="13">
        <v>561</v>
      </c>
      <c r="AH107" s="13">
        <f t="shared" si="216"/>
        <v>50</v>
      </c>
      <c r="AI107" s="13">
        <v>50</v>
      </c>
      <c r="AJ107" s="13">
        <f t="shared" si="217"/>
        <v>56</v>
      </c>
      <c r="AK107" s="17">
        <v>32</v>
      </c>
      <c r="AL107" s="56" t="str">
        <f t="shared" si="263"/>
        <v>ふわもちスクイーズ</v>
      </c>
      <c r="AM107" s="13">
        <f t="shared" si="264"/>
        <v>260</v>
      </c>
      <c r="AN107" s="13">
        <f t="shared" si="220"/>
        <v>14560</v>
      </c>
      <c r="AO107" s="14">
        <f t="shared" si="221"/>
        <v>0.52</v>
      </c>
      <c r="AP107" s="15" t="s">
        <v>629</v>
      </c>
      <c r="AQ107" s="15"/>
      <c r="AR107" s="16"/>
      <c r="AS107" s="13">
        <v>18683</v>
      </c>
      <c r="AT107" s="13">
        <f t="shared" si="222"/>
        <v>143</v>
      </c>
      <c r="AU107" s="13">
        <v>577</v>
      </c>
      <c r="AV107" s="13">
        <f t="shared" si="223"/>
        <v>1</v>
      </c>
      <c r="AW107" s="13">
        <v>20</v>
      </c>
      <c r="AX107" s="13">
        <f t="shared" si="224"/>
        <v>1</v>
      </c>
      <c r="AY107" s="17">
        <v>0</v>
      </c>
      <c r="AZ107" s="56" t="str">
        <f t="shared" si="252"/>
        <v>たまごっちマスコット</v>
      </c>
      <c r="BA107" s="13">
        <f t="shared" si="236"/>
        <v>1430</v>
      </c>
      <c r="BB107" s="13">
        <f t="shared" si="226"/>
        <v>1430</v>
      </c>
      <c r="BC107" s="14">
        <f t="shared" si="227"/>
        <v>0.1</v>
      </c>
      <c r="BD107" s="15"/>
      <c r="BE107" s="2"/>
      <c r="BF107" s="16"/>
      <c r="BG107" s="7" t="s">
        <v>591</v>
      </c>
      <c r="BH107" s="13">
        <v>3409</v>
      </c>
      <c r="BI107" s="13">
        <f t="shared" si="228"/>
        <v>263</v>
      </c>
      <c r="BJ107" s="13">
        <v>32</v>
      </c>
      <c r="BK107" s="13">
        <f t="shared" si="229"/>
        <v>2</v>
      </c>
      <c r="BL107" s="13">
        <v>1</v>
      </c>
      <c r="BM107" s="13">
        <f t="shared" si="230"/>
        <v>2</v>
      </c>
      <c r="BN107" s="17">
        <v>2</v>
      </c>
      <c r="BO107" s="56" t="str">
        <f t="shared" si="250"/>
        <v>ボンドロ</v>
      </c>
      <c r="BP107" s="13">
        <f t="shared" si="238"/>
        <v>1500</v>
      </c>
      <c r="BQ107" s="13">
        <f t="shared" si="232"/>
        <v>3000</v>
      </c>
      <c r="BR107" s="14">
        <f t="shared" si="233"/>
        <v>0.11406844106463879</v>
      </c>
      <c r="BS107" s="15" t="s">
        <v>635</v>
      </c>
      <c r="BU107" s="16"/>
      <c r="BV107" s="54"/>
      <c r="BW107" s="13" t="str">
        <f t="shared" si="253"/>
        <v/>
      </c>
      <c r="BX107" s="13"/>
      <c r="BY107" s="13"/>
      <c r="BZ107" s="13"/>
      <c r="CA107" s="13" t="str">
        <f t="shared" si="254"/>
        <v/>
      </c>
      <c r="CB107" s="13"/>
      <c r="CC107" s="13"/>
      <c r="CD107" s="13"/>
      <c r="CE107" s="13" t="str">
        <f t="shared" si="240"/>
        <v/>
      </c>
      <c r="CF107" s="14" t="str">
        <f t="shared" si="241"/>
        <v/>
      </c>
      <c r="CG107" s="15"/>
      <c r="CH107" s="1"/>
      <c r="CI107" s="16"/>
      <c r="CJ107" s="54"/>
      <c r="CK107" s="13" t="str">
        <f t="shared" si="255"/>
        <v/>
      </c>
      <c r="CL107" s="13"/>
      <c r="CM107" s="13"/>
      <c r="CN107" s="13"/>
      <c r="CO107" s="13" t="str">
        <f t="shared" si="256"/>
        <v/>
      </c>
      <c r="CP107" s="13"/>
      <c r="CQ107" s="13"/>
      <c r="CR107" s="13"/>
      <c r="CS107" s="13" t="str">
        <f t="shared" si="242"/>
        <v/>
      </c>
      <c r="CT107" s="14" t="str">
        <f t="shared" si="251"/>
        <v/>
      </c>
      <c r="CU107" s="15"/>
      <c r="CV107" s="1"/>
      <c r="CW107" s="16"/>
      <c r="CX107" s="54"/>
      <c r="CY107" s="13" t="str">
        <f t="shared" si="257"/>
        <v/>
      </c>
      <c r="CZ107" s="13"/>
      <c r="DA107" s="13"/>
      <c r="DB107" s="13"/>
      <c r="DC107" s="13" t="str">
        <f t="shared" si="258"/>
        <v/>
      </c>
      <c r="DD107" s="13"/>
      <c r="DE107" s="13"/>
      <c r="DF107" s="13"/>
      <c r="DG107" s="13" t="str">
        <f t="shared" si="243"/>
        <v/>
      </c>
      <c r="DH107" s="14" t="str">
        <f t="shared" si="244"/>
        <v/>
      </c>
      <c r="DI107" s="15"/>
      <c r="DJ107" s="1"/>
      <c r="DK107" s="16"/>
      <c r="DL107" s="54"/>
      <c r="DM107" s="13" t="str">
        <f t="shared" si="259"/>
        <v/>
      </c>
      <c r="DN107" s="13"/>
      <c r="DO107" s="13"/>
      <c r="DP107" s="13"/>
      <c r="DQ107" s="13" t="str">
        <f t="shared" si="260"/>
        <v/>
      </c>
      <c r="DR107" s="13"/>
      <c r="DS107" s="13"/>
      <c r="DT107" s="13"/>
      <c r="DU107" s="13" t="str">
        <f t="shared" si="245"/>
        <v/>
      </c>
      <c r="DV107" s="14" t="str">
        <f t="shared" si="246"/>
        <v/>
      </c>
      <c r="DW107" s="15"/>
      <c r="DY107" s="16"/>
      <c r="DZ107" s="54"/>
      <c r="EA107" s="13" t="str">
        <f t="shared" si="261"/>
        <v/>
      </c>
      <c r="EB107" s="13"/>
      <c r="EC107" s="13"/>
      <c r="ED107" s="13"/>
      <c r="EE107" s="13" t="str">
        <f t="shared" si="262"/>
        <v/>
      </c>
      <c r="EF107" s="13"/>
      <c r="EG107" s="13"/>
      <c r="EH107" s="13"/>
      <c r="EI107" s="13" t="str">
        <f t="shared" si="247"/>
        <v/>
      </c>
      <c r="EJ107" s="14" t="str">
        <f t="shared" si="248"/>
        <v/>
      </c>
      <c r="EK107" s="15"/>
    </row>
    <row r="108" spans="1:141" ht="15" customHeight="1" thickBot="1" x14ac:dyDescent="0.25">
      <c r="A108" s="26"/>
      <c r="B108" s="46"/>
      <c r="C108" s="27">
        <v>9530</v>
      </c>
      <c r="D108" s="27">
        <f t="shared" si="201"/>
        <v>60</v>
      </c>
      <c r="E108" s="27">
        <v>540</v>
      </c>
      <c r="F108" s="27">
        <f t="shared" si="202"/>
        <v>1</v>
      </c>
      <c r="G108" s="27">
        <v>22</v>
      </c>
      <c r="H108" s="27">
        <f t="shared" si="203"/>
        <v>2</v>
      </c>
      <c r="I108" s="47">
        <v>0</v>
      </c>
      <c r="J108" s="57" t="str">
        <f t="shared" si="204"/>
        <v>モンチチフルーツマスコット</v>
      </c>
      <c r="K108" s="62">
        <f t="shared" si="205"/>
        <v>572</v>
      </c>
      <c r="L108" s="27">
        <f t="shared" si="206"/>
        <v>1144</v>
      </c>
      <c r="M108" s="28">
        <f t="shared" si="207"/>
        <v>0.19066666666666668</v>
      </c>
      <c r="N108" s="15"/>
      <c r="O108" s="2"/>
      <c r="P108" s="26"/>
      <c r="Q108" s="27">
        <v>15324</v>
      </c>
      <c r="R108" s="27">
        <f t="shared" si="208"/>
        <v>172</v>
      </c>
      <c r="S108" s="27">
        <v>680</v>
      </c>
      <c r="T108" s="27">
        <f t="shared" si="209"/>
        <v>16</v>
      </c>
      <c r="U108" s="27">
        <v>15</v>
      </c>
      <c r="V108" s="27">
        <f t="shared" si="210"/>
        <v>13</v>
      </c>
      <c r="W108" s="47">
        <v>10</v>
      </c>
      <c r="X108" s="57" t="str">
        <f t="shared" si="211"/>
        <v>ボンボンドロップ</v>
      </c>
      <c r="Y108" s="62">
        <f t="shared" si="212"/>
        <v>200</v>
      </c>
      <c r="Z108" s="27">
        <f t="shared" si="213"/>
        <v>2600</v>
      </c>
      <c r="AA108" s="28">
        <f t="shared" si="214"/>
        <v>0.15116279069767441</v>
      </c>
      <c r="AB108" s="15"/>
      <c r="AC108" s="15"/>
      <c r="AD108" s="26"/>
      <c r="AE108" s="27">
        <v>14135</v>
      </c>
      <c r="AF108" s="27">
        <f t="shared" si="215"/>
        <v>90</v>
      </c>
      <c r="AG108" s="27">
        <v>363</v>
      </c>
      <c r="AH108" s="27">
        <f t="shared" si="216"/>
        <v>4</v>
      </c>
      <c r="AI108" s="27">
        <v>17</v>
      </c>
      <c r="AJ108" s="27">
        <f t="shared" si="217"/>
        <v>5</v>
      </c>
      <c r="AK108" s="47">
        <v>0</v>
      </c>
      <c r="AL108" s="57" t="str">
        <f t="shared" si="263"/>
        <v>キティキラキラマルチケース</v>
      </c>
      <c r="AM108" s="62">
        <f t="shared" si="264"/>
        <v>400</v>
      </c>
      <c r="AN108" s="27">
        <f t="shared" si="220"/>
        <v>2000</v>
      </c>
      <c r="AO108" s="28">
        <f t="shared" si="221"/>
        <v>0.22222222222222221</v>
      </c>
      <c r="AP108" s="233" t="s">
        <v>636</v>
      </c>
      <c r="AQ108" s="15"/>
      <c r="AR108" s="26"/>
      <c r="AS108" s="27">
        <v>18825</v>
      </c>
      <c r="AT108" s="27">
        <f t="shared" si="222"/>
        <v>98</v>
      </c>
      <c r="AU108" s="27">
        <v>522</v>
      </c>
      <c r="AV108" s="27">
        <f t="shared" si="223"/>
        <v>3</v>
      </c>
      <c r="AW108" s="27">
        <v>18</v>
      </c>
      <c r="AX108" s="27">
        <f t="shared" si="224"/>
        <v>3</v>
      </c>
      <c r="AY108" s="47">
        <v>6</v>
      </c>
      <c r="AZ108" s="57" t="str">
        <f t="shared" si="252"/>
        <v>バタースクイーズ</v>
      </c>
      <c r="BA108" s="62">
        <f t="shared" si="236"/>
        <v>400</v>
      </c>
      <c r="BB108" s="27">
        <f t="shared" si="226"/>
        <v>1200</v>
      </c>
      <c r="BC108" s="28">
        <f t="shared" si="227"/>
        <v>0.12244897959183673</v>
      </c>
      <c r="BD108" s="15"/>
      <c r="BE108" s="2"/>
      <c r="BF108" s="26"/>
      <c r="BG108" s="241" t="s">
        <v>592</v>
      </c>
      <c r="BH108" s="27">
        <v>2702</v>
      </c>
      <c r="BI108" s="27">
        <f t="shared" si="228"/>
        <v>32</v>
      </c>
      <c r="BJ108" s="27">
        <v>35</v>
      </c>
      <c r="BK108" s="27">
        <f t="shared" si="229"/>
        <v>1</v>
      </c>
      <c r="BL108" s="27">
        <v>2</v>
      </c>
      <c r="BM108" s="27">
        <f t="shared" si="230"/>
        <v>1</v>
      </c>
      <c r="BN108" s="47">
        <v>1</v>
      </c>
      <c r="BO108" s="57" t="str">
        <f t="shared" si="250"/>
        <v>ボンボンドロップシール</v>
      </c>
      <c r="BP108" s="62">
        <f t="shared" si="238"/>
        <v>1500</v>
      </c>
      <c r="BQ108" s="27">
        <f t="shared" si="232"/>
        <v>1500</v>
      </c>
      <c r="BR108" s="28">
        <f t="shared" si="233"/>
        <v>0.46875</v>
      </c>
      <c r="BS108" s="92" t="s">
        <v>633</v>
      </c>
      <c r="BU108" s="16"/>
      <c r="BV108" s="54"/>
      <c r="BW108" s="13" t="str">
        <f t="shared" si="253"/>
        <v/>
      </c>
      <c r="BX108" s="13"/>
      <c r="BY108" s="13"/>
      <c r="BZ108" s="13"/>
      <c r="CA108" s="13" t="str">
        <f t="shared" si="254"/>
        <v/>
      </c>
      <c r="CB108" s="13"/>
      <c r="CC108" s="13"/>
      <c r="CD108" s="13"/>
      <c r="CE108" s="13" t="str">
        <f t="shared" si="240"/>
        <v/>
      </c>
      <c r="CF108" s="14" t="str">
        <f t="shared" si="241"/>
        <v/>
      </c>
      <c r="CG108" s="15"/>
      <c r="CH108" s="1"/>
      <c r="CI108" s="16"/>
      <c r="CJ108" s="54"/>
      <c r="CK108" s="13" t="str">
        <f t="shared" si="255"/>
        <v/>
      </c>
      <c r="CL108" s="13"/>
      <c r="CM108" s="13"/>
      <c r="CN108" s="13"/>
      <c r="CO108" s="13" t="str">
        <f t="shared" si="256"/>
        <v/>
      </c>
      <c r="CP108" s="13"/>
      <c r="CQ108" s="13"/>
      <c r="CR108" s="13"/>
      <c r="CS108" s="13" t="str">
        <f t="shared" si="242"/>
        <v/>
      </c>
      <c r="CT108" s="14" t="str">
        <f t="shared" si="251"/>
        <v/>
      </c>
      <c r="CU108" s="15"/>
      <c r="CV108" s="1"/>
      <c r="CW108" s="16"/>
      <c r="CX108" s="54"/>
      <c r="CY108" s="13" t="str">
        <f t="shared" si="257"/>
        <v/>
      </c>
      <c r="CZ108" s="13"/>
      <c r="DA108" s="13"/>
      <c r="DB108" s="13"/>
      <c r="DC108" s="13" t="str">
        <f t="shared" si="258"/>
        <v/>
      </c>
      <c r="DD108" s="13"/>
      <c r="DE108" s="13"/>
      <c r="DF108" s="13"/>
      <c r="DG108" s="13" t="str">
        <f t="shared" si="243"/>
        <v/>
      </c>
      <c r="DH108" s="14" t="str">
        <f t="shared" si="244"/>
        <v/>
      </c>
      <c r="DI108" s="15"/>
      <c r="DJ108" s="1"/>
      <c r="DK108" s="16"/>
      <c r="DL108" s="54"/>
      <c r="DM108" s="13" t="str">
        <f t="shared" si="259"/>
        <v/>
      </c>
      <c r="DN108" s="13"/>
      <c r="DO108" s="13"/>
      <c r="DP108" s="13"/>
      <c r="DQ108" s="13" t="str">
        <f t="shared" si="260"/>
        <v/>
      </c>
      <c r="DR108" s="13"/>
      <c r="DS108" s="13"/>
      <c r="DT108" s="13"/>
      <c r="DU108" s="13" t="str">
        <f t="shared" si="245"/>
        <v/>
      </c>
      <c r="DV108" s="14" t="str">
        <f t="shared" si="246"/>
        <v/>
      </c>
      <c r="DW108" s="15"/>
      <c r="DY108" s="16"/>
      <c r="DZ108" s="54"/>
      <c r="EA108" s="13" t="str">
        <f t="shared" si="261"/>
        <v/>
      </c>
      <c r="EB108" s="13"/>
      <c r="EC108" s="13"/>
      <c r="ED108" s="13"/>
      <c r="EE108" s="13" t="str">
        <f t="shared" si="262"/>
        <v/>
      </c>
      <c r="EF108" s="13"/>
      <c r="EG108" s="13"/>
      <c r="EH108" s="13"/>
      <c r="EI108" s="13" t="str">
        <f t="shared" si="247"/>
        <v/>
      </c>
      <c r="EJ108" s="14" t="str">
        <f t="shared" si="248"/>
        <v/>
      </c>
      <c r="EK108" s="15"/>
    </row>
    <row r="109" spans="1:141" ht="15" customHeight="1" thickTop="1" x14ac:dyDescent="0.2">
      <c r="A109" s="79">
        <v>46151</v>
      </c>
      <c r="B109" s="74">
        <f>IF(A109="","",SUM(D109:D112)+SUM(R109:R112)+SUM(AF109:AF112)+SUM(AT109:AT112)+SUM(BW85,CK85,CY85,EA85,DM85)+SUM(BI109:BI112))</f>
        <v>1549</v>
      </c>
      <c r="C109" s="13">
        <v>8364</v>
      </c>
      <c r="D109" s="53">
        <f t="shared" si="201"/>
        <v>53</v>
      </c>
      <c r="E109" s="13">
        <v>418</v>
      </c>
      <c r="F109" s="31">
        <f t="shared" si="202"/>
        <v>0</v>
      </c>
      <c r="G109" s="13">
        <v>48</v>
      </c>
      <c r="H109" s="53">
        <f t="shared" si="203"/>
        <v>2</v>
      </c>
      <c r="I109" s="17">
        <v>10</v>
      </c>
      <c r="J109" s="75" t="str">
        <f t="shared" si="204"/>
        <v>ジャグラーボタン</v>
      </c>
      <c r="K109" s="76">
        <f t="shared" si="205"/>
        <v>748</v>
      </c>
      <c r="L109" s="31">
        <f t="shared" si="206"/>
        <v>1496</v>
      </c>
      <c r="M109" s="32">
        <f t="shared" si="207"/>
        <v>0.28226415094339624</v>
      </c>
      <c r="N109" s="15"/>
      <c r="O109" s="2"/>
      <c r="P109" s="79">
        <f>IF($A109="","",$A109)</f>
        <v>46151</v>
      </c>
      <c r="Q109" s="13">
        <v>9569</v>
      </c>
      <c r="R109" s="53">
        <f t="shared" si="208"/>
        <v>17</v>
      </c>
      <c r="S109" s="13">
        <v>283</v>
      </c>
      <c r="T109" s="31">
        <f t="shared" si="209"/>
        <v>0</v>
      </c>
      <c r="U109" s="13">
        <v>28</v>
      </c>
      <c r="V109" s="53">
        <f t="shared" si="210"/>
        <v>0</v>
      </c>
      <c r="W109" s="17">
        <v>-18</v>
      </c>
      <c r="X109" s="75" t="str">
        <f t="shared" si="211"/>
        <v>キティボアバンスクリップ</v>
      </c>
      <c r="Y109" s="76">
        <f t="shared" si="212"/>
        <v>1100</v>
      </c>
      <c r="Z109" s="31">
        <f t="shared" si="213"/>
        <v>0</v>
      </c>
      <c r="AA109" s="32">
        <f t="shared" si="214"/>
        <v>0</v>
      </c>
      <c r="AB109" s="15" t="s">
        <v>639</v>
      </c>
      <c r="AC109" s="15"/>
      <c r="AD109" s="79">
        <f>IF($A109="","",$A109)</f>
        <v>46151</v>
      </c>
      <c r="AE109" s="13">
        <v>12129</v>
      </c>
      <c r="AF109" s="53">
        <f t="shared" si="215"/>
        <v>15</v>
      </c>
      <c r="AG109" s="13">
        <v>275</v>
      </c>
      <c r="AH109" s="31">
        <f t="shared" si="216"/>
        <v>1</v>
      </c>
      <c r="AI109" s="13">
        <v>23</v>
      </c>
      <c r="AJ109" s="53">
        <f t="shared" si="217"/>
        <v>1</v>
      </c>
      <c r="AK109" s="17">
        <v>14</v>
      </c>
      <c r="AL109" s="75" t="str">
        <f t="shared" si="263"/>
        <v>フルーツスクイーズ</v>
      </c>
      <c r="AM109" s="76">
        <f t="shared" si="264"/>
        <v>210</v>
      </c>
      <c r="AN109" s="31">
        <f t="shared" si="220"/>
        <v>210</v>
      </c>
      <c r="AO109" s="32">
        <f t="shared" si="221"/>
        <v>0.14000000000000001</v>
      </c>
      <c r="AP109" s="15" t="s">
        <v>638</v>
      </c>
      <c r="AQ109" s="15"/>
      <c r="AR109" s="79">
        <f>IF($A109="","",$A109)</f>
        <v>46151</v>
      </c>
      <c r="AS109" s="13">
        <v>13543</v>
      </c>
      <c r="AT109" s="53">
        <f t="shared" si="222"/>
        <v>133</v>
      </c>
      <c r="AU109" s="13">
        <v>419</v>
      </c>
      <c r="AV109" s="31">
        <f t="shared" si="223"/>
        <v>5</v>
      </c>
      <c r="AW109" s="13">
        <v>2</v>
      </c>
      <c r="AX109" s="53">
        <f t="shared" si="224"/>
        <v>6</v>
      </c>
      <c r="AY109" s="17">
        <v>4</v>
      </c>
      <c r="AZ109" s="75" t="str">
        <f t="shared" si="252"/>
        <v>極とろスクイーズ</v>
      </c>
      <c r="BA109" s="76">
        <f t="shared" si="236"/>
        <v>1100</v>
      </c>
      <c r="BB109" s="31">
        <f t="shared" si="226"/>
        <v>6600</v>
      </c>
      <c r="BC109" s="32">
        <f t="shared" si="227"/>
        <v>0.49624060150375937</v>
      </c>
      <c r="BD109" s="15" t="s">
        <v>637</v>
      </c>
      <c r="BE109" s="2"/>
      <c r="BF109" s="79">
        <f>IF($A109="","",$A109)</f>
        <v>46151</v>
      </c>
      <c r="BG109" s="239" t="s">
        <v>589</v>
      </c>
      <c r="BH109" s="13">
        <v>2921</v>
      </c>
      <c r="BI109" s="53">
        <f t="shared" si="228"/>
        <v>33</v>
      </c>
      <c r="BJ109" s="13">
        <v>35</v>
      </c>
      <c r="BK109" s="31">
        <f t="shared" si="229"/>
        <v>0</v>
      </c>
      <c r="BL109" s="13">
        <v>2</v>
      </c>
      <c r="BM109" s="129">
        <f t="shared" si="230"/>
        <v>1</v>
      </c>
      <c r="BN109" s="17">
        <v>1</v>
      </c>
      <c r="BO109" s="75" t="str">
        <f t="shared" si="250"/>
        <v>ボンドロ</v>
      </c>
      <c r="BP109" s="76">
        <f t="shared" si="238"/>
        <v>1500</v>
      </c>
      <c r="BQ109" s="31">
        <f t="shared" si="232"/>
        <v>1500</v>
      </c>
      <c r="BR109" s="32">
        <f t="shared" si="233"/>
        <v>0.45454545454545453</v>
      </c>
      <c r="BS109" s="15"/>
      <c r="BU109" s="16"/>
      <c r="BV109" s="54"/>
      <c r="BW109" s="13" t="str">
        <f t="shared" si="253"/>
        <v/>
      </c>
      <c r="BX109" s="13"/>
      <c r="BY109" s="13"/>
      <c r="BZ109" s="13"/>
      <c r="CA109" s="13" t="str">
        <f t="shared" si="254"/>
        <v/>
      </c>
      <c r="CB109" s="13"/>
      <c r="CC109" s="13"/>
      <c r="CD109" s="13"/>
      <c r="CE109" s="13" t="str">
        <f t="shared" si="240"/>
        <v/>
      </c>
      <c r="CF109" s="14" t="str">
        <f t="shared" si="241"/>
        <v/>
      </c>
      <c r="CG109" s="15"/>
      <c r="CH109" s="1"/>
      <c r="CI109" s="16"/>
      <c r="CJ109" s="54"/>
      <c r="CK109" s="13" t="str">
        <f t="shared" si="255"/>
        <v/>
      </c>
      <c r="CL109" s="13"/>
      <c r="CM109" s="13"/>
      <c r="CN109" s="13"/>
      <c r="CO109" s="13" t="str">
        <f t="shared" si="256"/>
        <v/>
      </c>
      <c r="CP109" s="13"/>
      <c r="CQ109" s="13"/>
      <c r="CR109" s="13"/>
      <c r="CS109" s="13" t="str">
        <f t="shared" si="242"/>
        <v/>
      </c>
      <c r="CT109" s="14" t="str">
        <f t="shared" si="251"/>
        <v/>
      </c>
      <c r="CU109" s="15"/>
      <c r="CV109" s="1"/>
      <c r="CW109" s="16"/>
      <c r="CX109" s="54"/>
      <c r="CY109" s="13" t="str">
        <f t="shared" si="257"/>
        <v/>
      </c>
      <c r="CZ109" s="13"/>
      <c r="DA109" s="13"/>
      <c r="DB109" s="13"/>
      <c r="DC109" s="13" t="str">
        <f t="shared" si="258"/>
        <v/>
      </c>
      <c r="DD109" s="13"/>
      <c r="DE109" s="13"/>
      <c r="DF109" s="13"/>
      <c r="DG109" s="13" t="str">
        <f t="shared" si="243"/>
        <v/>
      </c>
      <c r="DH109" s="14" t="str">
        <f t="shared" si="244"/>
        <v/>
      </c>
      <c r="DI109" s="15"/>
      <c r="DJ109" s="1"/>
      <c r="DK109" s="16"/>
      <c r="DL109" s="54"/>
      <c r="DM109" s="13" t="str">
        <f t="shared" si="259"/>
        <v/>
      </c>
      <c r="DN109" s="13"/>
      <c r="DO109" s="13"/>
      <c r="DP109" s="13"/>
      <c r="DQ109" s="13" t="str">
        <f t="shared" si="260"/>
        <v/>
      </c>
      <c r="DR109" s="13"/>
      <c r="DS109" s="13"/>
      <c r="DT109" s="13"/>
      <c r="DU109" s="13" t="str">
        <f t="shared" si="245"/>
        <v/>
      </c>
      <c r="DV109" s="14" t="str">
        <f t="shared" si="246"/>
        <v/>
      </c>
      <c r="DW109" s="15"/>
      <c r="DY109" s="16"/>
      <c r="DZ109" s="54"/>
      <c r="EA109" s="13" t="str">
        <f t="shared" si="261"/>
        <v/>
      </c>
      <c r="EB109" s="13"/>
      <c r="EC109" s="13"/>
      <c r="ED109" s="13"/>
      <c r="EE109" s="13" t="str">
        <f t="shared" si="262"/>
        <v/>
      </c>
      <c r="EF109" s="13"/>
      <c r="EG109" s="13"/>
      <c r="EH109" s="13"/>
      <c r="EI109" s="13" t="str">
        <f t="shared" si="247"/>
        <v/>
      </c>
      <c r="EJ109" s="14" t="str">
        <f t="shared" si="248"/>
        <v/>
      </c>
      <c r="EK109" s="15"/>
    </row>
    <row r="110" spans="1:141" ht="15" customHeight="1" x14ac:dyDescent="0.2">
      <c r="A110" s="133"/>
      <c r="B110" s="11"/>
      <c r="C110" s="53">
        <v>7870</v>
      </c>
      <c r="D110" s="13">
        <f t="shared" si="201"/>
        <v>40</v>
      </c>
      <c r="E110" s="53">
        <v>455</v>
      </c>
      <c r="F110" s="13">
        <f t="shared" si="202"/>
        <v>3</v>
      </c>
      <c r="G110" s="13">
        <v>52</v>
      </c>
      <c r="H110" s="13">
        <f t="shared" si="203"/>
        <v>4</v>
      </c>
      <c r="I110" s="17">
        <v>0</v>
      </c>
      <c r="J110" s="56" t="str">
        <f t="shared" si="204"/>
        <v>電ブル</v>
      </c>
      <c r="K110" s="54">
        <f t="shared" si="205"/>
        <v>275</v>
      </c>
      <c r="L110" s="13">
        <f t="shared" si="206"/>
        <v>1100</v>
      </c>
      <c r="M110" s="14">
        <f t="shared" si="207"/>
        <v>0.27500000000000002</v>
      </c>
      <c r="N110" s="15"/>
      <c r="O110" s="2"/>
      <c r="P110" s="16"/>
      <c r="Q110" s="53">
        <v>2748</v>
      </c>
      <c r="R110" s="13">
        <f t="shared" si="208"/>
        <v>43</v>
      </c>
      <c r="S110" s="53">
        <v>183</v>
      </c>
      <c r="T110" s="13">
        <f t="shared" si="209"/>
        <v>2</v>
      </c>
      <c r="U110" s="13">
        <v>18</v>
      </c>
      <c r="V110" s="13">
        <f t="shared" si="210"/>
        <v>1</v>
      </c>
      <c r="W110" s="17">
        <v>0</v>
      </c>
      <c r="X110" s="56" t="str">
        <f t="shared" si="211"/>
        <v>たまごっちブロックシール</v>
      </c>
      <c r="Y110" s="54">
        <f t="shared" si="212"/>
        <v>600</v>
      </c>
      <c r="Z110" s="13">
        <f t="shared" si="213"/>
        <v>600</v>
      </c>
      <c r="AA110" s="14">
        <f t="shared" si="214"/>
        <v>0.13953488372093023</v>
      </c>
      <c r="AB110" s="15"/>
      <c r="AC110" s="15"/>
      <c r="AD110" s="16"/>
      <c r="AE110" s="53">
        <v>12431</v>
      </c>
      <c r="AF110" s="13">
        <f t="shared" si="215"/>
        <v>20</v>
      </c>
      <c r="AG110" s="53">
        <v>257</v>
      </c>
      <c r="AH110" s="13">
        <f t="shared" si="216"/>
        <v>0</v>
      </c>
      <c r="AI110" s="13">
        <v>10</v>
      </c>
      <c r="AJ110" s="13">
        <f t="shared" si="217"/>
        <v>0</v>
      </c>
      <c r="AK110" s="17">
        <v>0</v>
      </c>
      <c r="AL110" s="56" t="str">
        <f t="shared" si="263"/>
        <v>サンリオハンディファン</v>
      </c>
      <c r="AM110" s="54">
        <f t="shared" si="264"/>
        <v>1100</v>
      </c>
      <c r="AN110" s="13">
        <f t="shared" si="220"/>
        <v>0</v>
      </c>
      <c r="AO110" s="14">
        <f t="shared" si="221"/>
        <v>0</v>
      </c>
      <c r="AP110" s="15"/>
      <c r="AQ110" s="15"/>
      <c r="AR110" s="16"/>
      <c r="AS110" s="53">
        <v>10746</v>
      </c>
      <c r="AT110" s="13">
        <f t="shared" si="222"/>
        <v>43</v>
      </c>
      <c r="AU110" s="53">
        <v>488</v>
      </c>
      <c r="AV110" s="13">
        <f t="shared" si="223"/>
        <v>1</v>
      </c>
      <c r="AW110" s="13">
        <v>21</v>
      </c>
      <c r="AX110" s="13">
        <f t="shared" si="224"/>
        <v>1</v>
      </c>
      <c r="AY110" s="17">
        <v>6</v>
      </c>
      <c r="AZ110" s="56" t="str">
        <f t="shared" si="252"/>
        <v>ベアブリック</v>
      </c>
      <c r="BA110" s="54">
        <f t="shared" si="236"/>
        <v>1100</v>
      </c>
      <c r="BB110" s="13">
        <f t="shared" si="226"/>
        <v>1100</v>
      </c>
      <c r="BC110" s="14">
        <f t="shared" si="227"/>
        <v>0.2558139534883721</v>
      </c>
      <c r="BD110" s="15" t="s">
        <v>458</v>
      </c>
      <c r="BE110" s="2"/>
      <c r="BF110" s="16"/>
      <c r="BG110" s="239" t="s">
        <v>590</v>
      </c>
      <c r="BH110" s="53">
        <v>4375</v>
      </c>
      <c r="BI110" s="13">
        <f t="shared" si="228"/>
        <v>75</v>
      </c>
      <c r="BJ110" s="53">
        <v>31</v>
      </c>
      <c r="BK110" s="13">
        <f t="shared" si="229"/>
        <v>1</v>
      </c>
      <c r="BL110" s="13">
        <v>2</v>
      </c>
      <c r="BM110" s="13">
        <f t="shared" si="230"/>
        <v>1</v>
      </c>
      <c r="BN110" s="17">
        <v>1</v>
      </c>
      <c r="BO110" s="56" t="str">
        <f t="shared" si="250"/>
        <v>ボンボンドロップシール</v>
      </c>
      <c r="BP110" s="54">
        <f t="shared" si="238"/>
        <v>1500</v>
      </c>
      <c r="BQ110" s="13">
        <f t="shared" si="232"/>
        <v>1500</v>
      </c>
      <c r="BR110" s="14">
        <f t="shared" si="233"/>
        <v>0.2</v>
      </c>
      <c r="BS110" s="15"/>
      <c r="BU110" s="16"/>
      <c r="BV110" s="54"/>
      <c r="BW110" s="13" t="str">
        <f t="shared" si="253"/>
        <v/>
      </c>
      <c r="BX110" s="13"/>
      <c r="BY110" s="13"/>
      <c r="BZ110" s="13"/>
      <c r="CA110" s="13" t="str">
        <f t="shared" si="254"/>
        <v/>
      </c>
      <c r="CB110" s="13"/>
      <c r="CC110" s="13"/>
      <c r="CD110" s="13"/>
      <c r="CE110" s="13" t="str">
        <f t="shared" si="240"/>
        <v/>
      </c>
      <c r="CF110" s="14" t="str">
        <f t="shared" si="241"/>
        <v/>
      </c>
      <c r="CG110" s="15"/>
      <c r="CH110" s="1"/>
      <c r="CI110" s="16"/>
      <c r="CJ110" s="54"/>
      <c r="CK110" s="13" t="str">
        <f t="shared" si="255"/>
        <v/>
      </c>
      <c r="CL110" s="13"/>
      <c r="CM110" s="13"/>
      <c r="CN110" s="13"/>
      <c r="CO110" s="13" t="str">
        <f t="shared" si="256"/>
        <v/>
      </c>
      <c r="CP110" s="13"/>
      <c r="CQ110" s="13"/>
      <c r="CR110" s="13"/>
      <c r="CS110" s="13" t="str">
        <f t="shared" si="242"/>
        <v/>
      </c>
      <c r="CT110" s="14" t="str">
        <f t="shared" si="251"/>
        <v/>
      </c>
      <c r="CU110" s="15"/>
      <c r="CV110" s="1"/>
      <c r="CW110" s="16"/>
      <c r="CX110" s="54"/>
      <c r="CY110" s="13" t="str">
        <f t="shared" si="257"/>
        <v/>
      </c>
      <c r="CZ110" s="13"/>
      <c r="DA110" s="13"/>
      <c r="DB110" s="13"/>
      <c r="DC110" s="13" t="str">
        <f t="shared" si="258"/>
        <v/>
      </c>
      <c r="DD110" s="13"/>
      <c r="DE110" s="13"/>
      <c r="DF110" s="13"/>
      <c r="DG110" s="13" t="str">
        <f t="shared" si="243"/>
        <v/>
      </c>
      <c r="DH110" s="14" t="str">
        <f t="shared" si="244"/>
        <v/>
      </c>
      <c r="DI110" s="15"/>
      <c r="DJ110" s="1"/>
      <c r="DK110" s="16"/>
      <c r="DL110" s="54"/>
      <c r="DM110" s="13" t="str">
        <f t="shared" si="259"/>
        <v/>
      </c>
      <c r="DN110" s="13"/>
      <c r="DO110" s="13"/>
      <c r="DP110" s="13"/>
      <c r="DQ110" s="13" t="str">
        <f t="shared" si="260"/>
        <v/>
      </c>
      <c r="DR110" s="13"/>
      <c r="DS110" s="13"/>
      <c r="DT110" s="13"/>
      <c r="DU110" s="13" t="str">
        <f t="shared" si="245"/>
        <v/>
      </c>
      <c r="DV110" s="14" t="str">
        <f t="shared" si="246"/>
        <v/>
      </c>
      <c r="DW110" s="15"/>
      <c r="DY110" s="16"/>
      <c r="DZ110" s="54"/>
      <c r="EA110" s="13" t="str">
        <f t="shared" si="261"/>
        <v/>
      </c>
      <c r="EB110" s="13"/>
      <c r="EC110" s="13"/>
      <c r="ED110" s="13"/>
      <c r="EE110" s="13" t="str">
        <f t="shared" si="262"/>
        <v/>
      </c>
      <c r="EF110" s="13"/>
      <c r="EG110" s="13"/>
      <c r="EH110" s="13"/>
      <c r="EI110" s="13" t="str">
        <f t="shared" si="247"/>
        <v/>
      </c>
      <c r="EJ110" s="14" t="str">
        <f t="shared" si="248"/>
        <v/>
      </c>
      <c r="EK110" s="15"/>
    </row>
    <row r="111" spans="1:141" ht="15" customHeight="1" x14ac:dyDescent="0.2">
      <c r="A111" s="133"/>
      <c r="B111" s="11"/>
      <c r="C111" s="13">
        <v>13424</v>
      </c>
      <c r="D111" s="13">
        <f t="shared" si="201"/>
        <v>7</v>
      </c>
      <c r="E111" s="13">
        <v>834</v>
      </c>
      <c r="F111" s="13">
        <f t="shared" si="202"/>
        <v>1</v>
      </c>
      <c r="G111" s="13">
        <v>248</v>
      </c>
      <c r="H111" s="13">
        <f t="shared" si="203"/>
        <v>2</v>
      </c>
      <c r="I111" s="17">
        <v>0</v>
      </c>
      <c r="J111" s="111" t="str">
        <f t="shared" si="204"/>
        <v>ブレスレット</v>
      </c>
      <c r="K111" s="13">
        <f t="shared" si="205"/>
        <v>100</v>
      </c>
      <c r="L111" s="13">
        <f t="shared" si="206"/>
        <v>200</v>
      </c>
      <c r="M111" s="14">
        <f t="shared" si="207"/>
        <v>0.2857142857142857</v>
      </c>
      <c r="N111" s="233" t="s">
        <v>435</v>
      </c>
      <c r="O111" s="2"/>
      <c r="P111" s="16"/>
      <c r="Q111" s="13">
        <v>11036</v>
      </c>
      <c r="R111" s="13">
        <f t="shared" si="208"/>
        <v>13</v>
      </c>
      <c r="S111" s="13">
        <v>223</v>
      </c>
      <c r="T111" s="13">
        <f t="shared" si="209"/>
        <v>1</v>
      </c>
      <c r="U111" s="13">
        <v>40</v>
      </c>
      <c r="V111" s="13">
        <f t="shared" si="210"/>
        <v>1</v>
      </c>
      <c r="W111" s="17">
        <v>0</v>
      </c>
      <c r="X111" s="56" t="str">
        <f t="shared" si="211"/>
        <v>たまごっちミニクリップ</v>
      </c>
      <c r="Y111" s="13">
        <f t="shared" si="212"/>
        <v>1100</v>
      </c>
      <c r="Z111" s="13">
        <f t="shared" si="213"/>
        <v>1100</v>
      </c>
      <c r="AA111" s="14">
        <f t="shared" si="214"/>
        <v>0.84615384615384615</v>
      </c>
      <c r="AB111" s="15"/>
      <c r="AC111" s="15"/>
      <c r="AD111" s="16"/>
      <c r="AE111" s="13">
        <v>15045</v>
      </c>
      <c r="AF111" s="13">
        <f t="shared" si="215"/>
        <v>89</v>
      </c>
      <c r="AG111" s="13">
        <v>570</v>
      </c>
      <c r="AH111" s="13">
        <f t="shared" si="216"/>
        <v>9</v>
      </c>
      <c r="AI111" s="13">
        <v>72</v>
      </c>
      <c r="AJ111" s="13">
        <f t="shared" si="217"/>
        <v>10</v>
      </c>
      <c r="AK111" s="17">
        <v>10</v>
      </c>
      <c r="AL111" s="56" t="str">
        <f t="shared" si="263"/>
        <v>ふわもちスクイーズ</v>
      </c>
      <c r="AM111" s="13">
        <f t="shared" si="264"/>
        <v>260</v>
      </c>
      <c r="AN111" s="13">
        <f t="shared" si="220"/>
        <v>2600</v>
      </c>
      <c r="AO111" s="14">
        <f t="shared" si="221"/>
        <v>0.29213483146067415</v>
      </c>
      <c r="AP111" s="15"/>
      <c r="AQ111" s="15"/>
      <c r="AR111" s="16"/>
      <c r="AS111" s="13">
        <v>18705</v>
      </c>
      <c r="AT111" s="13">
        <f t="shared" si="222"/>
        <v>22</v>
      </c>
      <c r="AU111" s="13">
        <v>578</v>
      </c>
      <c r="AV111" s="13">
        <f t="shared" si="223"/>
        <v>1</v>
      </c>
      <c r="AW111" s="13">
        <v>19</v>
      </c>
      <c r="AX111" s="13">
        <f t="shared" si="224"/>
        <v>1</v>
      </c>
      <c r="AY111" s="17">
        <v>6</v>
      </c>
      <c r="AZ111" s="56" t="str">
        <f t="shared" si="252"/>
        <v>たまごっちマスコット</v>
      </c>
      <c r="BA111" s="13">
        <f t="shared" si="236"/>
        <v>1430</v>
      </c>
      <c r="BB111" s="13">
        <f t="shared" si="226"/>
        <v>1430</v>
      </c>
      <c r="BC111" s="14">
        <f t="shared" si="227"/>
        <v>0.65</v>
      </c>
      <c r="BD111" s="15"/>
      <c r="BE111" s="2"/>
      <c r="BF111" s="16"/>
      <c r="BG111" s="239" t="s">
        <v>591</v>
      </c>
      <c r="BH111" s="13">
        <v>3458</v>
      </c>
      <c r="BI111" s="13">
        <f t="shared" si="228"/>
        <v>49</v>
      </c>
      <c r="BJ111" s="13">
        <v>34</v>
      </c>
      <c r="BK111" s="13">
        <f t="shared" si="229"/>
        <v>2</v>
      </c>
      <c r="BL111" s="13">
        <v>1</v>
      </c>
      <c r="BM111" s="13">
        <f t="shared" si="230"/>
        <v>2</v>
      </c>
      <c r="BN111" s="17">
        <v>2</v>
      </c>
      <c r="BO111" s="56" t="str">
        <f t="shared" si="250"/>
        <v>ボンドロ</v>
      </c>
      <c r="BP111" s="13">
        <f t="shared" si="238"/>
        <v>1500</v>
      </c>
      <c r="BQ111" s="13">
        <f t="shared" si="232"/>
        <v>3000</v>
      </c>
      <c r="BR111" s="148">
        <f t="shared" si="233"/>
        <v>0.61224489795918369</v>
      </c>
      <c r="BS111" s="15"/>
      <c r="BU111" s="16"/>
      <c r="BV111" s="54"/>
      <c r="BW111" s="13" t="str">
        <f t="shared" si="253"/>
        <v/>
      </c>
      <c r="BX111" s="13"/>
      <c r="BY111" s="13"/>
      <c r="BZ111" s="13"/>
      <c r="CA111" s="13" t="str">
        <f t="shared" si="254"/>
        <v/>
      </c>
      <c r="CB111" s="13"/>
      <c r="CC111" s="13"/>
      <c r="CD111" s="13"/>
      <c r="CE111" s="13" t="str">
        <f t="shared" si="240"/>
        <v/>
      </c>
      <c r="CF111" s="14" t="str">
        <f t="shared" si="241"/>
        <v/>
      </c>
      <c r="CG111" s="15"/>
      <c r="CH111" s="1"/>
      <c r="CI111" s="16"/>
      <c r="CJ111" s="54"/>
      <c r="CK111" s="13" t="str">
        <f t="shared" si="255"/>
        <v/>
      </c>
      <c r="CL111" s="13"/>
      <c r="CM111" s="13"/>
      <c r="CN111" s="13"/>
      <c r="CO111" s="13" t="str">
        <f t="shared" si="256"/>
        <v/>
      </c>
      <c r="CP111" s="13"/>
      <c r="CQ111" s="13"/>
      <c r="CR111" s="13"/>
      <c r="CS111" s="13" t="str">
        <f t="shared" si="242"/>
        <v/>
      </c>
      <c r="CT111" s="14" t="str">
        <f t="shared" si="251"/>
        <v/>
      </c>
      <c r="CU111" s="15"/>
      <c r="CV111" s="1"/>
      <c r="CW111" s="16"/>
      <c r="CX111" s="54"/>
      <c r="CY111" s="13" t="str">
        <f t="shared" si="257"/>
        <v/>
      </c>
      <c r="CZ111" s="13"/>
      <c r="DA111" s="13"/>
      <c r="DB111" s="13"/>
      <c r="DC111" s="13" t="str">
        <f t="shared" si="258"/>
        <v/>
      </c>
      <c r="DD111" s="13"/>
      <c r="DE111" s="13"/>
      <c r="DF111" s="13"/>
      <c r="DG111" s="13" t="str">
        <f t="shared" si="243"/>
        <v/>
      </c>
      <c r="DH111" s="14" t="str">
        <f t="shared" si="244"/>
        <v/>
      </c>
      <c r="DI111" s="15"/>
      <c r="DJ111" s="1"/>
      <c r="DK111" s="16"/>
      <c r="DL111" s="54"/>
      <c r="DM111" s="13" t="str">
        <f t="shared" si="259"/>
        <v/>
      </c>
      <c r="DN111" s="13"/>
      <c r="DO111" s="13"/>
      <c r="DP111" s="13"/>
      <c r="DQ111" s="13" t="str">
        <f t="shared" si="260"/>
        <v/>
      </c>
      <c r="DR111" s="13"/>
      <c r="DS111" s="13"/>
      <c r="DT111" s="13"/>
      <c r="DU111" s="13" t="str">
        <f t="shared" si="245"/>
        <v/>
      </c>
      <c r="DV111" s="14" t="str">
        <f t="shared" si="246"/>
        <v/>
      </c>
      <c r="DW111" s="15"/>
      <c r="DY111" s="16"/>
      <c r="DZ111" s="54"/>
      <c r="EA111" s="13" t="str">
        <f t="shared" si="261"/>
        <v/>
      </c>
      <c r="EB111" s="13"/>
      <c r="EC111" s="13"/>
      <c r="ED111" s="13"/>
      <c r="EE111" s="13" t="str">
        <f t="shared" si="262"/>
        <v/>
      </c>
      <c r="EF111" s="13"/>
      <c r="EG111" s="13"/>
      <c r="EH111" s="13"/>
      <c r="EI111" s="13" t="str">
        <f t="shared" si="247"/>
        <v/>
      </c>
      <c r="EJ111" s="14" t="str">
        <f t="shared" si="248"/>
        <v/>
      </c>
      <c r="EK111" s="15"/>
    </row>
    <row r="112" spans="1:141" ht="15" customHeight="1" thickBot="1" x14ac:dyDescent="0.25">
      <c r="A112" s="26"/>
      <c r="B112" s="46"/>
      <c r="C112" s="27">
        <v>9551</v>
      </c>
      <c r="D112" s="27">
        <f t="shared" si="201"/>
        <v>21</v>
      </c>
      <c r="E112" s="27">
        <v>540</v>
      </c>
      <c r="F112" s="27">
        <f t="shared" si="202"/>
        <v>0</v>
      </c>
      <c r="G112" s="27">
        <v>22</v>
      </c>
      <c r="H112" s="27">
        <f t="shared" si="203"/>
        <v>0</v>
      </c>
      <c r="I112" s="47">
        <v>0</v>
      </c>
      <c r="J112" s="57" t="str">
        <f t="shared" si="204"/>
        <v>モンチチフルーツマスコット</v>
      </c>
      <c r="K112" s="62">
        <f t="shared" si="205"/>
        <v>572</v>
      </c>
      <c r="L112" s="27">
        <f t="shared" si="206"/>
        <v>0</v>
      </c>
      <c r="M112" s="28">
        <f t="shared" si="207"/>
        <v>0</v>
      </c>
      <c r="N112" s="15"/>
      <c r="O112" s="2"/>
      <c r="P112" s="26"/>
      <c r="Q112" s="27">
        <v>15396</v>
      </c>
      <c r="R112" s="27">
        <f t="shared" si="208"/>
        <v>72</v>
      </c>
      <c r="S112" s="27">
        <v>686</v>
      </c>
      <c r="T112" s="27">
        <f t="shared" si="209"/>
        <v>6</v>
      </c>
      <c r="U112" s="27">
        <v>19</v>
      </c>
      <c r="V112" s="27">
        <f t="shared" si="210"/>
        <v>6</v>
      </c>
      <c r="W112" s="47">
        <v>0</v>
      </c>
      <c r="X112" s="57" t="str">
        <f t="shared" si="211"/>
        <v>ボンボンドロップ</v>
      </c>
      <c r="Y112" s="62">
        <f t="shared" si="212"/>
        <v>200</v>
      </c>
      <c r="Z112" s="27">
        <f t="shared" si="213"/>
        <v>1200</v>
      </c>
      <c r="AA112" s="28">
        <f t="shared" si="214"/>
        <v>0.16666666666666666</v>
      </c>
      <c r="AB112" s="233" t="s">
        <v>475</v>
      </c>
      <c r="AC112" s="15"/>
      <c r="AD112" s="26"/>
      <c r="AE112" s="27">
        <v>14173</v>
      </c>
      <c r="AF112" s="27">
        <f t="shared" si="215"/>
        <v>38</v>
      </c>
      <c r="AG112" s="27">
        <v>363</v>
      </c>
      <c r="AH112" s="27">
        <f t="shared" si="216"/>
        <v>0</v>
      </c>
      <c r="AI112" s="27">
        <v>17</v>
      </c>
      <c r="AJ112" s="27">
        <f t="shared" si="217"/>
        <v>0</v>
      </c>
      <c r="AK112" s="47">
        <v>0</v>
      </c>
      <c r="AL112" s="57" t="str">
        <f t="shared" si="263"/>
        <v>キティキラキラマルチケース</v>
      </c>
      <c r="AM112" s="62">
        <f t="shared" si="264"/>
        <v>400</v>
      </c>
      <c r="AN112" s="27">
        <f t="shared" si="220"/>
        <v>0</v>
      </c>
      <c r="AO112" s="28">
        <f t="shared" si="221"/>
        <v>0</v>
      </c>
      <c r="AP112" s="15"/>
      <c r="AQ112" s="39"/>
      <c r="AR112" s="26"/>
      <c r="AS112" s="27">
        <v>18840</v>
      </c>
      <c r="AT112" s="27">
        <f t="shared" si="222"/>
        <v>15</v>
      </c>
      <c r="AU112" s="27">
        <v>522</v>
      </c>
      <c r="AV112" s="27">
        <f t="shared" si="223"/>
        <v>0</v>
      </c>
      <c r="AW112" s="27">
        <v>24</v>
      </c>
      <c r="AX112" s="27">
        <f t="shared" si="224"/>
        <v>0</v>
      </c>
      <c r="AY112" s="47">
        <v>0</v>
      </c>
      <c r="AZ112" s="57" t="str">
        <f t="shared" si="252"/>
        <v>バタースクイーズ</v>
      </c>
      <c r="BA112" s="62">
        <f t="shared" si="236"/>
        <v>400</v>
      </c>
      <c r="BB112" s="27">
        <f t="shared" si="226"/>
        <v>0</v>
      </c>
      <c r="BC112" s="28">
        <f t="shared" si="227"/>
        <v>0</v>
      </c>
      <c r="BD112" s="15"/>
      <c r="BE112" s="2"/>
      <c r="BF112" s="26"/>
      <c r="BG112" s="238" t="s">
        <v>592</v>
      </c>
      <c r="BH112" s="27">
        <v>2756</v>
      </c>
      <c r="BI112" s="27">
        <f t="shared" si="228"/>
        <v>54</v>
      </c>
      <c r="BJ112" s="27">
        <v>36</v>
      </c>
      <c r="BK112" s="27">
        <f t="shared" si="229"/>
        <v>1</v>
      </c>
      <c r="BL112" s="27">
        <v>1</v>
      </c>
      <c r="BM112" s="90">
        <f t="shared" si="230"/>
        <v>2</v>
      </c>
      <c r="BN112" s="47">
        <v>2</v>
      </c>
      <c r="BO112" s="57" t="str">
        <f t="shared" si="250"/>
        <v>ボンボンドロップシール</v>
      </c>
      <c r="BP112" s="62">
        <f t="shared" si="238"/>
        <v>1500</v>
      </c>
      <c r="BQ112" s="27">
        <f t="shared" si="232"/>
        <v>3000</v>
      </c>
      <c r="BR112" s="28">
        <f t="shared" si="233"/>
        <v>0.55555555555555558</v>
      </c>
      <c r="BS112" s="15"/>
      <c r="BU112" s="16"/>
      <c r="BV112" s="54"/>
      <c r="BW112" s="13" t="str">
        <f t="shared" si="253"/>
        <v/>
      </c>
      <c r="BX112" s="13"/>
      <c r="BY112" s="13"/>
      <c r="BZ112" s="13"/>
      <c r="CA112" s="13" t="str">
        <f t="shared" si="254"/>
        <v/>
      </c>
      <c r="CB112" s="13"/>
      <c r="CC112" s="13"/>
      <c r="CD112" s="13"/>
      <c r="CE112" s="13" t="str">
        <f t="shared" si="240"/>
        <v/>
      </c>
      <c r="CF112" s="14" t="str">
        <f t="shared" si="241"/>
        <v/>
      </c>
      <c r="CG112" s="15"/>
      <c r="CH112" s="1"/>
      <c r="CI112" s="16"/>
      <c r="CJ112" s="54"/>
      <c r="CK112" s="13" t="str">
        <f t="shared" si="255"/>
        <v/>
      </c>
      <c r="CL112" s="13"/>
      <c r="CM112" s="13"/>
      <c r="CN112" s="13"/>
      <c r="CO112" s="13" t="str">
        <f t="shared" si="256"/>
        <v/>
      </c>
      <c r="CP112" s="13"/>
      <c r="CQ112" s="13"/>
      <c r="CR112" s="13"/>
      <c r="CS112" s="13" t="str">
        <f t="shared" si="242"/>
        <v/>
      </c>
      <c r="CT112" s="14" t="str">
        <f t="shared" si="251"/>
        <v/>
      </c>
      <c r="CU112" s="15"/>
      <c r="CV112" s="1"/>
      <c r="CW112" s="16"/>
      <c r="CX112" s="54"/>
      <c r="CY112" s="13" t="str">
        <f t="shared" si="257"/>
        <v/>
      </c>
      <c r="CZ112" s="13"/>
      <c r="DA112" s="13"/>
      <c r="DB112" s="13"/>
      <c r="DC112" s="13" t="str">
        <f t="shared" si="258"/>
        <v/>
      </c>
      <c r="DD112" s="13"/>
      <c r="DE112" s="13"/>
      <c r="DF112" s="13"/>
      <c r="DG112" s="13" t="str">
        <f t="shared" si="243"/>
        <v/>
      </c>
      <c r="DH112" s="14" t="str">
        <f t="shared" si="244"/>
        <v/>
      </c>
      <c r="DI112" s="15"/>
      <c r="DJ112" s="1"/>
      <c r="DK112" s="16"/>
      <c r="DL112" s="54"/>
      <c r="DM112" s="13" t="str">
        <f t="shared" si="259"/>
        <v/>
      </c>
      <c r="DN112" s="13"/>
      <c r="DO112" s="13"/>
      <c r="DP112" s="13"/>
      <c r="DQ112" s="13" t="str">
        <f t="shared" si="260"/>
        <v/>
      </c>
      <c r="DR112" s="13"/>
      <c r="DS112" s="13"/>
      <c r="DT112" s="13"/>
      <c r="DU112" s="13" t="str">
        <f t="shared" si="245"/>
        <v/>
      </c>
      <c r="DV112" s="14" t="str">
        <f t="shared" si="246"/>
        <v/>
      </c>
      <c r="DW112" s="15"/>
      <c r="DY112" s="16"/>
      <c r="DZ112" s="54"/>
      <c r="EA112" s="13" t="str">
        <f t="shared" si="261"/>
        <v/>
      </c>
      <c r="EB112" s="13"/>
      <c r="EC112" s="13"/>
      <c r="ED112" s="13"/>
      <c r="EE112" s="13" t="str">
        <f t="shared" si="262"/>
        <v/>
      </c>
      <c r="EF112" s="13"/>
      <c r="EG112" s="13"/>
      <c r="EH112" s="13"/>
      <c r="EI112" s="13" t="str">
        <f t="shared" si="247"/>
        <v/>
      </c>
      <c r="EJ112" s="14" t="str">
        <f t="shared" si="248"/>
        <v/>
      </c>
      <c r="EK112" s="15"/>
    </row>
    <row r="113" spans="1:141" ht="15" customHeight="1" thickTop="1" x14ac:dyDescent="0.2">
      <c r="A113" s="158"/>
      <c r="B113" s="74"/>
      <c r="C113" s="53"/>
      <c r="D113" s="53"/>
      <c r="E113" s="53"/>
      <c r="F113" s="31"/>
      <c r="G113" s="53"/>
      <c r="H113" s="53"/>
      <c r="I113" s="192"/>
      <c r="J113" s="75"/>
      <c r="K113" s="76"/>
      <c r="L113" s="31"/>
      <c r="M113" s="32"/>
      <c r="N113" s="15"/>
      <c r="O113" s="2"/>
      <c r="P113" s="79"/>
      <c r="Q113" s="53"/>
      <c r="R113" s="53"/>
      <c r="S113" s="53"/>
      <c r="T113" s="31"/>
      <c r="U113" s="53"/>
      <c r="V113" s="53"/>
      <c r="W113" s="192"/>
      <c r="X113" s="75"/>
      <c r="Y113" s="76"/>
      <c r="Z113" s="31"/>
      <c r="AA113" s="32"/>
      <c r="AB113" s="15"/>
      <c r="AC113" s="15"/>
      <c r="AD113" s="79"/>
      <c r="AE113" s="53"/>
      <c r="AF113" s="53"/>
      <c r="AG113" s="53"/>
      <c r="AH113" s="31"/>
      <c r="AI113" s="53"/>
      <c r="AJ113" s="53"/>
      <c r="AK113" s="192"/>
      <c r="AL113" s="75"/>
      <c r="AM113" s="76"/>
      <c r="AN113" s="31"/>
      <c r="AO113" s="32"/>
      <c r="AP113" s="15"/>
      <c r="AQ113" s="113"/>
      <c r="AR113" s="79"/>
      <c r="AS113" s="53"/>
      <c r="AT113" s="53"/>
      <c r="AU113" s="53"/>
      <c r="AV113" s="31"/>
      <c r="AW113" s="53"/>
      <c r="AX113" s="53"/>
      <c r="AY113" s="192"/>
      <c r="AZ113" s="75"/>
      <c r="BA113" s="76"/>
      <c r="BB113" s="31"/>
      <c r="BC113" s="32"/>
      <c r="BD113" s="15"/>
      <c r="BE113" s="2"/>
      <c r="BF113" s="79"/>
      <c r="BG113" s="239"/>
      <c r="BH113" s="53"/>
      <c r="BI113" s="53"/>
      <c r="BJ113" s="53"/>
      <c r="BK113" s="31"/>
      <c r="BL113" s="53"/>
      <c r="BM113" s="129"/>
      <c r="BN113" s="80"/>
      <c r="BO113" s="75"/>
      <c r="BP113" s="76"/>
      <c r="BQ113" s="31"/>
      <c r="BR113" s="32"/>
      <c r="BS113" s="15"/>
      <c r="BU113" s="16"/>
      <c r="BV113" s="54"/>
      <c r="BW113" s="13" t="str">
        <f t="shared" si="253"/>
        <v/>
      </c>
      <c r="BX113" s="13"/>
      <c r="BY113" s="13"/>
      <c r="BZ113" s="13"/>
      <c r="CA113" s="13" t="str">
        <f t="shared" si="254"/>
        <v/>
      </c>
      <c r="CB113" s="13"/>
      <c r="CC113" s="13"/>
      <c r="CD113" s="13"/>
      <c r="CE113" s="13" t="str">
        <f t="shared" si="240"/>
        <v/>
      </c>
      <c r="CF113" s="14" t="str">
        <f t="shared" si="241"/>
        <v/>
      </c>
      <c r="CG113" s="15"/>
      <c r="CH113" s="1"/>
      <c r="CI113" s="16"/>
      <c r="CJ113" s="54"/>
      <c r="CK113" s="13" t="str">
        <f t="shared" si="255"/>
        <v/>
      </c>
      <c r="CL113" s="13"/>
      <c r="CM113" s="13"/>
      <c r="CN113" s="13"/>
      <c r="CO113" s="13" t="str">
        <f t="shared" si="256"/>
        <v/>
      </c>
      <c r="CP113" s="13"/>
      <c r="CQ113" s="13"/>
      <c r="CR113" s="13"/>
      <c r="CS113" s="13" t="str">
        <f t="shared" si="242"/>
        <v/>
      </c>
      <c r="CT113" s="14" t="str">
        <f t="shared" si="251"/>
        <v/>
      </c>
      <c r="CU113" s="15"/>
      <c r="CV113" s="1"/>
      <c r="CW113" s="16"/>
      <c r="CX113" s="54"/>
      <c r="CY113" s="13" t="str">
        <f t="shared" si="257"/>
        <v/>
      </c>
      <c r="CZ113" s="13"/>
      <c r="DA113" s="13"/>
      <c r="DB113" s="13"/>
      <c r="DC113" s="13" t="str">
        <f t="shared" si="258"/>
        <v/>
      </c>
      <c r="DD113" s="13"/>
      <c r="DE113" s="13"/>
      <c r="DF113" s="13"/>
      <c r="DG113" s="13" t="str">
        <f t="shared" si="243"/>
        <v/>
      </c>
      <c r="DH113" s="14" t="str">
        <f t="shared" si="244"/>
        <v/>
      </c>
      <c r="DI113" s="15"/>
      <c r="DJ113" s="1"/>
      <c r="DK113" s="16"/>
      <c r="DL113" s="54"/>
      <c r="DM113" s="13" t="str">
        <f t="shared" si="259"/>
        <v/>
      </c>
      <c r="DN113" s="13"/>
      <c r="DO113" s="13"/>
      <c r="DP113" s="13"/>
      <c r="DQ113" s="13" t="str">
        <f t="shared" si="260"/>
        <v/>
      </c>
      <c r="DR113" s="13"/>
      <c r="DS113" s="13"/>
      <c r="DT113" s="13"/>
      <c r="DU113" s="13" t="str">
        <f t="shared" si="245"/>
        <v/>
      </c>
      <c r="DV113" s="14" t="str">
        <f t="shared" si="246"/>
        <v/>
      </c>
      <c r="DW113" s="15"/>
      <c r="DY113" s="16"/>
      <c r="DZ113" s="54"/>
      <c r="EA113" s="13" t="str">
        <f t="shared" si="261"/>
        <v/>
      </c>
      <c r="EB113" s="13"/>
      <c r="EC113" s="13"/>
      <c r="ED113" s="13"/>
      <c r="EE113" s="13" t="str">
        <f t="shared" si="262"/>
        <v/>
      </c>
      <c r="EF113" s="13"/>
      <c r="EG113" s="13"/>
      <c r="EH113" s="13"/>
      <c r="EI113" s="13" t="str">
        <f t="shared" si="247"/>
        <v/>
      </c>
      <c r="EJ113" s="14" t="str">
        <f t="shared" si="248"/>
        <v/>
      </c>
      <c r="EK113" s="15"/>
    </row>
    <row r="114" spans="1:141" x14ac:dyDescent="0.2">
      <c r="A114" s="16"/>
      <c r="B114" s="11"/>
      <c r="C114" s="13"/>
      <c r="D114" s="53"/>
      <c r="E114" s="13"/>
      <c r="F114" s="13"/>
      <c r="G114" s="13"/>
      <c r="H114" s="13"/>
      <c r="I114" s="205"/>
      <c r="J114" s="56"/>
      <c r="K114" s="54"/>
      <c r="L114" s="13"/>
      <c r="M114" s="14"/>
      <c r="N114" s="15"/>
      <c r="O114" s="2"/>
      <c r="P114" s="16"/>
      <c r="Q114" s="13"/>
      <c r="R114" s="53"/>
      <c r="S114" s="13"/>
      <c r="T114" s="13"/>
      <c r="U114" s="13"/>
      <c r="V114" s="13"/>
      <c r="W114" s="205"/>
      <c r="X114" s="56"/>
      <c r="Y114" s="54"/>
      <c r="Z114" s="13"/>
      <c r="AA114" s="14"/>
      <c r="AB114" s="15"/>
      <c r="AC114" s="15"/>
      <c r="AD114" s="16"/>
      <c r="AE114" s="13"/>
      <c r="AF114" s="53"/>
      <c r="AG114" s="13"/>
      <c r="AH114" s="13"/>
      <c r="AI114" s="13"/>
      <c r="AJ114" s="13"/>
      <c r="AK114" s="205"/>
      <c r="AL114" s="56"/>
      <c r="AM114" s="54"/>
      <c r="AN114" s="13"/>
      <c r="AO114" s="14"/>
      <c r="AP114" s="15"/>
      <c r="AQ114" s="113"/>
      <c r="AR114" s="16"/>
      <c r="AS114" s="13"/>
      <c r="AT114" s="53"/>
      <c r="AU114" s="13"/>
      <c r="AV114" s="13"/>
      <c r="AW114" s="13"/>
      <c r="AX114" s="13"/>
      <c r="AY114" s="205"/>
      <c r="AZ114" s="56"/>
      <c r="BA114" s="54"/>
      <c r="BB114" s="13"/>
      <c r="BC114" s="14"/>
      <c r="BD114" s="15"/>
      <c r="BE114" s="2"/>
      <c r="BF114" s="16"/>
      <c r="BG114" s="239"/>
      <c r="BH114" s="13"/>
      <c r="BI114" s="53"/>
      <c r="BJ114" s="13"/>
      <c r="BK114" s="13"/>
      <c r="BL114" s="13"/>
      <c r="BM114" s="13"/>
      <c r="BN114" s="17"/>
      <c r="BO114" s="56"/>
      <c r="BP114" s="54"/>
      <c r="BQ114" s="13"/>
      <c r="BR114" s="14"/>
      <c r="BS114" s="15"/>
      <c r="BT114" s="113"/>
      <c r="BU114" s="16"/>
      <c r="BV114" s="54"/>
      <c r="BW114" s="13" t="str">
        <f t="shared" si="253"/>
        <v/>
      </c>
      <c r="BX114" s="13"/>
      <c r="BY114" s="13"/>
      <c r="BZ114" s="13"/>
      <c r="CA114" s="13" t="str">
        <f t="shared" si="254"/>
        <v/>
      </c>
      <c r="CB114" s="13"/>
      <c r="CC114" s="13"/>
      <c r="CD114" s="13"/>
      <c r="CE114" s="13" t="str">
        <f t="shared" si="240"/>
        <v/>
      </c>
      <c r="CF114" s="14" t="str">
        <f t="shared" si="241"/>
        <v/>
      </c>
      <c r="CG114" s="15"/>
      <c r="CH114" s="1"/>
      <c r="CI114" s="16"/>
      <c r="CJ114" s="54"/>
      <c r="CK114" s="13" t="str">
        <f t="shared" si="255"/>
        <v/>
      </c>
      <c r="CL114" s="13"/>
      <c r="CM114" s="13"/>
      <c r="CN114" s="13"/>
      <c r="CO114" s="13" t="str">
        <f t="shared" si="256"/>
        <v/>
      </c>
      <c r="CP114" s="13"/>
      <c r="CQ114" s="13"/>
      <c r="CR114" s="13"/>
      <c r="CS114" s="13" t="str">
        <f t="shared" si="242"/>
        <v/>
      </c>
      <c r="CT114" s="14" t="str">
        <f t="shared" si="251"/>
        <v/>
      </c>
      <c r="CU114" s="15"/>
      <c r="CV114" s="1"/>
      <c r="CW114" s="16"/>
      <c r="CX114" s="54"/>
      <c r="CY114" s="13" t="str">
        <f t="shared" si="257"/>
        <v/>
      </c>
      <c r="CZ114" s="13"/>
      <c r="DA114" s="13"/>
      <c r="DB114" s="13"/>
      <c r="DC114" s="13" t="str">
        <f t="shared" si="258"/>
        <v/>
      </c>
      <c r="DD114" s="13"/>
      <c r="DE114" s="13"/>
      <c r="DF114" s="13"/>
      <c r="DG114" s="13" t="str">
        <f t="shared" si="243"/>
        <v/>
      </c>
      <c r="DH114" s="14" t="str">
        <f t="shared" si="244"/>
        <v/>
      </c>
      <c r="DI114" s="15"/>
      <c r="DJ114" s="1"/>
      <c r="DK114" s="16"/>
      <c r="DL114" s="54"/>
      <c r="DM114" s="13" t="str">
        <f t="shared" si="259"/>
        <v/>
      </c>
      <c r="DN114" s="13"/>
      <c r="DO114" s="13"/>
      <c r="DP114" s="13"/>
      <c r="DQ114" s="13" t="str">
        <f t="shared" si="260"/>
        <v/>
      </c>
      <c r="DR114" s="13"/>
      <c r="DS114" s="13"/>
      <c r="DT114" s="13"/>
      <c r="DU114" s="13" t="str">
        <f t="shared" si="245"/>
        <v/>
      </c>
      <c r="DV114" s="14" t="str">
        <f t="shared" si="246"/>
        <v/>
      </c>
      <c r="DW114" s="15"/>
      <c r="DY114" s="16"/>
      <c r="DZ114" s="54"/>
      <c r="EA114" s="13" t="str">
        <f t="shared" si="261"/>
        <v/>
      </c>
      <c r="EB114" s="13"/>
      <c r="EC114" s="13"/>
      <c r="ED114" s="13"/>
      <c r="EE114" s="13" t="str">
        <f t="shared" si="262"/>
        <v/>
      </c>
      <c r="EF114" s="13"/>
      <c r="EG114" s="13"/>
      <c r="EH114" s="13"/>
      <c r="EI114" s="13" t="str">
        <f t="shared" si="247"/>
        <v/>
      </c>
      <c r="EJ114" s="14" t="str">
        <f t="shared" si="248"/>
        <v/>
      </c>
      <c r="EK114" s="15"/>
    </row>
    <row r="115" spans="1:141" ht="15" customHeight="1" x14ac:dyDescent="0.2">
      <c r="A115" s="149"/>
      <c r="B115" s="11"/>
      <c r="C115" s="13"/>
      <c r="D115" s="63"/>
      <c r="E115" s="13"/>
      <c r="F115" s="13"/>
      <c r="G115" s="34"/>
      <c r="H115" s="34"/>
      <c r="I115" s="214"/>
      <c r="J115" s="56"/>
      <c r="K115" s="13"/>
      <c r="L115" s="13"/>
      <c r="M115" s="14"/>
      <c r="N115" s="15"/>
      <c r="O115" s="2"/>
      <c r="P115" s="16"/>
      <c r="Q115" s="13"/>
      <c r="R115" s="63"/>
      <c r="S115" s="13"/>
      <c r="T115" s="13"/>
      <c r="U115" s="34"/>
      <c r="V115" s="34"/>
      <c r="W115" s="214"/>
      <c r="X115" s="56"/>
      <c r="Y115" s="13"/>
      <c r="Z115" s="13"/>
      <c r="AA115" s="14"/>
      <c r="AB115" s="15"/>
      <c r="AC115" s="15"/>
      <c r="AD115" s="16"/>
      <c r="AE115" s="13"/>
      <c r="AF115" s="63"/>
      <c r="AG115" s="13"/>
      <c r="AH115" s="13"/>
      <c r="AI115" s="34"/>
      <c r="AJ115" s="34"/>
      <c r="AK115" s="214"/>
      <c r="AL115" s="56"/>
      <c r="AM115" s="13"/>
      <c r="AN115" s="13"/>
      <c r="AO115" s="14"/>
      <c r="AP115" s="15"/>
      <c r="AQ115" s="113"/>
      <c r="AR115" s="16"/>
      <c r="AS115" s="13"/>
      <c r="AT115" s="63"/>
      <c r="AU115" s="13"/>
      <c r="AV115" s="13"/>
      <c r="AW115" s="34"/>
      <c r="AX115" s="34"/>
      <c r="AY115" s="214"/>
      <c r="AZ115" s="56"/>
      <c r="BA115" s="13"/>
      <c r="BB115" s="13"/>
      <c r="BC115" s="14"/>
      <c r="BD115" s="15"/>
      <c r="BE115" s="2"/>
      <c r="BF115" s="16"/>
      <c r="BG115" s="239"/>
      <c r="BH115" s="13"/>
      <c r="BI115" s="63"/>
      <c r="BJ115" s="13"/>
      <c r="BK115" s="13"/>
      <c r="BL115" s="34"/>
      <c r="BM115" s="34"/>
      <c r="BN115" s="49"/>
      <c r="BO115" s="56"/>
      <c r="BP115" s="13"/>
      <c r="BQ115" s="13"/>
      <c r="BR115" s="14"/>
      <c r="BS115" s="15"/>
      <c r="BT115" s="113"/>
      <c r="BU115" s="16"/>
      <c r="BV115" s="54"/>
      <c r="BW115" s="13" t="str">
        <f t="shared" si="253"/>
        <v/>
      </c>
      <c r="BX115" s="13"/>
      <c r="BY115" s="13"/>
      <c r="BZ115" s="13"/>
      <c r="CA115" s="13" t="str">
        <f t="shared" si="254"/>
        <v/>
      </c>
      <c r="CB115" s="13"/>
      <c r="CC115" s="13"/>
      <c r="CD115" s="13"/>
      <c r="CE115" s="13" t="str">
        <f t="shared" si="240"/>
        <v/>
      </c>
      <c r="CF115" s="14" t="str">
        <f t="shared" si="241"/>
        <v/>
      </c>
      <c r="CG115" s="15"/>
      <c r="CH115" s="1"/>
      <c r="CI115" s="16"/>
      <c r="CJ115" s="54"/>
      <c r="CK115" s="13" t="str">
        <f t="shared" si="255"/>
        <v/>
      </c>
      <c r="CL115" s="13"/>
      <c r="CM115" s="13"/>
      <c r="CN115" s="13"/>
      <c r="CO115" s="13" t="str">
        <f t="shared" si="256"/>
        <v/>
      </c>
      <c r="CP115" s="13"/>
      <c r="CQ115" s="13"/>
      <c r="CR115" s="13"/>
      <c r="CS115" s="13" t="str">
        <f t="shared" si="242"/>
        <v/>
      </c>
      <c r="CT115" s="14" t="str">
        <f t="shared" si="251"/>
        <v/>
      </c>
      <c r="CU115" s="15"/>
      <c r="CV115" s="1"/>
      <c r="CW115" s="16"/>
      <c r="CX115" s="54"/>
      <c r="CY115" s="13" t="str">
        <f t="shared" si="257"/>
        <v/>
      </c>
      <c r="CZ115" s="13"/>
      <c r="DA115" s="13"/>
      <c r="DB115" s="13"/>
      <c r="DC115" s="13" t="str">
        <f t="shared" si="258"/>
        <v/>
      </c>
      <c r="DD115" s="13"/>
      <c r="DE115" s="13"/>
      <c r="DF115" s="13"/>
      <c r="DG115" s="13" t="str">
        <f t="shared" si="243"/>
        <v/>
      </c>
      <c r="DH115" s="14" t="str">
        <f t="shared" si="244"/>
        <v/>
      </c>
      <c r="DI115" s="15"/>
      <c r="DJ115" s="1"/>
      <c r="DK115" s="16"/>
      <c r="DL115" s="54"/>
      <c r="DM115" s="13" t="str">
        <f t="shared" si="259"/>
        <v/>
      </c>
      <c r="DN115" s="13"/>
      <c r="DO115" s="13"/>
      <c r="DP115" s="13"/>
      <c r="DQ115" s="13" t="str">
        <f t="shared" si="260"/>
        <v/>
      </c>
      <c r="DR115" s="13"/>
      <c r="DS115" s="13"/>
      <c r="DT115" s="13"/>
      <c r="DU115" s="13" t="str">
        <f t="shared" si="245"/>
        <v/>
      </c>
      <c r="DV115" s="14" t="str">
        <f t="shared" si="246"/>
        <v/>
      </c>
      <c r="DW115" s="15"/>
      <c r="DY115" s="16"/>
      <c r="DZ115" s="54"/>
      <c r="EA115" s="13" t="str">
        <f t="shared" si="261"/>
        <v/>
      </c>
      <c r="EB115" s="13"/>
      <c r="EC115" s="13"/>
      <c r="ED115" s="13"/>
      <c r="EE115" s="13" t="str">
        <f t="shared" si="262"/>
        <v/>
      </c>
      <c r="EF115" s="13"/>
      <c r="EG115" s="13"/>
      <c r="EH115" s="13"/>
      <c r="EI115" s="13" t="str">
        <f t="shared" si="247"/>
        <v/>
      </c>
      <c r="EJ115" s="14" t="str">
        <f t="shared" si="248"/>
        <v/>
      </c>
      <c r="EK115" s="15"/>
    </row>
    <row r="116" spans="1:141" ht="15" customHeight="1" thickBot="1" x14ac:dyDescent="0.25">
      <c r="A116" s="26"/>
      <c r="B116" s="46"/>
      <c r="C116" s="29"/>
      <c r="D116" s="61"/>
      <c r="E116" s="62"/>
      <c r="F116" s="29"/>
      <c r="G116" s="64"/>
      <c r="H116" s="64"/>
      <c r="I116" s="217"/>
      <c r="J116" s="57"/>
      <c r="K116" s="62"/>
      <c r="L116" s="27"/>
      <c r="M116" s="28"/>
      <c r="N116" s="15"/>
      <c r="O116" s="2"/>
      <c r="P116" s="26"/>
      <c r="Q116" s="29"/>
      <c r="R116" s="61"/>
      <c r="S116" s="62"/>
      <c r="T116" s="29"/>
      <c r="U116" s="64"/>
      <c r="V116" s="64"/>
      <c r="W116" s="217"/>
      <c r="X116" s="57"/>
      <c r="Y116" s="62"/>
      <c r="Z116" s="27"/>
      <c r="AA116" s="28"/>
      <c r="AB116" s="15"/>
      <c r="AC116" s="15"/>
      <c r="AD116" s="26"/>
      <c r="AE116" s="29"/>
      <c r="AF116" s="61"/>
      <c r="AG116" s="62"/>
      <c r="AH116" s="29"/>
      <c r="AI116" s="64"/>
      <c r="AJ116" s="64"/>
      <c r="AK116" s="217"/>
      <c r="AL116" s="57"/>
      <c r="AM116" s="62"/>
      <c r="AN116" s="27"/>
      <c r="AO116" s="28"/>
      <c r="AP116" s="15"/>
      <c r="AQ116" s="113"/>
      <c r="AR116" s="26"/>
      <c r="AS116" s="29"/>
      <c r="AT116" s="61"/>
      <c r="AU116" s="62"/>
      <c r="AV116" s="29"/>
      <c r="AW116" s="64"/>
      <c r="AX116" s="64"/>
      <c r="AY116" s="217"/>
      <c r="AZ116" s="57"/>
      <c r="BA116" s="62"/>
      <c r="BB116" s="27"/>
      <c r="BC116" s="28"/>
      <c r="BD116" s="15"/>
      <c r="BE116" s="2"/>
      <c r="BF116" s="26"/>
      <c r="BG116" s="238"/>
      <c r="BH116" s="29"/>
      <c r="BI116" s="61"/>
      <c r="BJ116" s="62"/>
      <c r="BK116" s="29"/>
      <c r="BL116" s="64"/>
      <c r="BM116" s="252"/>
      <c r="BN116" s="47"/>
      <c r="BO116" s="57"/>
      <c r="BP116" s="62"/>
      <c r="BQ116" s="27"/>
      <c r="BR116" s="28"/>
      <c r="BS116" s="15"/>
      <c r="BT116" s="113"/>
      <c r="BU116" s="16"/>
      <c r="BV116" s="54"/>
      <c r="BW116" s="13" t="str">
        <f t="shared" si="253"/>
        <v/>
      </c>
      <c r="BX116" s="13"/>
      <c r="BY116" s="13"/>
      <c r="BZ116" s="13"/>
      <c r="CA116" s="13" t="str">
        <f t="shared" si="254"/>
        <v/>
      </c>
      <c r="CB116" s="13"/>
      <c r="CC116" s="13"/>
      <c r="CD116" s="13"/>
      <c r="CE116" s="13" t="str">
        <f t="shared" si="240"/>
        <v/>
      </c>
      <c r="CF116" s="14" t="str">
        <f t="shared" si="241"/>
        <v/>
      </c>
      <c r="CG116" s="15"/>
      <c r="CH116" s="1"/>
      <c r="CI116" s="16"/>
      <c r="CJ116" s="54"/>
      <c r="CK116" s="13" t="str">
        <f t="shared" si="255"/>
        <v/>
      </c>
      <c r="CL116" s="13"/>
      <c r="CM116" s="13"/>
      <c r="CN116" s="13"/>
      <c r="CO116" s="13" t="str">
        <f t="shared" si="256"/>
        <v/>
      </c>
      <c r="CP116" s="13"/>
      <c r="CQ116" s="13"/>
      <c r="CR116" s="13"/>
      <c r="CS116" s="13" t="str">
        <f t="shared" si="242"/>
        <v/>
      </c>
      <c r="CT116" s="14" t="str">
        <f t="shared" si="251"/>
        <v/>
      </c>
      <c r="CU116" s="15"/>
      <c r="CV116" s="1"/>
      <c r="CW116" s="16"/>
      <c r="CX116" s="54"/>
      <c r="CY116" s="13" t="str">
        <f t="shared" si="257"/>
        <v/>
      </c>
      <c r="CZ116" s="13"/>
      <c r="DA116" s="13"/>
      <c r="DB116" s="13"/>
      <c r="DC116" s="13" t="str">
        <f t="shared" si="258"/>
        <v/>
      </c>
      <c r="DD116" s="13"/>
      <c r="DE116" s="13"/>
      <c r="DF116" s="13"/>
      <c r="DG116" s="13" t="str">
        <f t="shared" si="243"/>
        <v/>
      </c>
      <c r="DH116" s="14" t="str">
        <f t="shared" si="244"/>
        <v/>
      </c>
      <c r="DI116" s="15"/>
      <c r="DJ116" s="1"/>
      <c r="DK116" s="16"/>
      <c r="DL116" s="54"/>
      <c r="DM116" s="13" t="str">
        <f t="shared" si="259"/>
        <v/>
      </c>
      <c r="DN116" s="13"/>
      <c r="DO116" s="13"/>
      <c r="DP116" s="13"/>
      <c r="DQ116" s="13" t="str">
        <f t="shared" si="260"/>
        <v/>
      </c>
      <c r="DR116" s="13"/>
      <c r="DS116" s="13"/>
      <c r="DT116" s="13"/>
      <c r="DU116" s="13" t="str">
        <f t="shared" si="245"/>
        <v/>
      </c>
      <c r="DV116" s="14" t="str">
        <f t="shared" si="246"/>
        <v/>
      </c>
      <c r="DW116" s="15"/>
      <c r="DY116" s="16"/>
      <c r="DZ116" s="54"/>
      <c r="EA116" s="13" t="str">
        <f t="shared" si="261"/>
        <v/>
      </c>
      <c r="EB116" s="13"/>
      <c r="EC116" s="13"/>
      <c r="ED116" s="13"/>
      <c r="EE116" s="13" t="str">
        <f t="shared" si="262"/>
        <v/>
      </c>
      <c r="EF116" s="13"/>
      <c r="EG116" s="13"/>
      <c r="EH116" s="13"/>
      <c r="EI116" s="13" t="str">
        <f t="shared" si="247"/>
        <v/>
      </c>
      <c r="EJ116" s="14" t="str">
        <f t="shared" si="248"/>
        <v/>
      </c>
      <c r="EK116" s="15"/>
    </row>
    <row r="117" spans="1:141" ht="15" customHeight="1" thickTop="1" x14ac:dyDescent="0.2">
      <c r="A117" s="79"/>
      <c r="B117" s="74" t="str">
        <f>IF(A117="","",SUM(D117:D120)+SUM(R117:R120)+SUM(AF117:AF120)+SUM(AT117:AT120)+SUM(BW87,CK87,CY87,DM87))</f>
        <v/>
      </c>
      <c r="C117" s="53"/>
      <c r="D117" s="53" t="str">
        <f t="shared" ref="D113:D144" si="265">IF(C117="","",C117-C113)</f>
        <v/>
      </c>
      <c r="E117" s="53"/>
      <c r="F117" s="31" t="str">
        <f t="shared" ref="F113:F144" si="266">IF(E117="","",E117-E113)</f>
        <v/>
      </c>
      <c r="G117" s="53"/>
      <c r="H117" s="53" t="str">
        <f t="shared" ref="H113:H144" si="267">IF(G117="","",G113+I113-G117)</f>
        <v/>
      </c>
      <c r="I117" s="192"/>
      <c r="J117" s="75" t="str">
        <f t="shared" ref="J113:J144" si="268">IF(C117="","",J113)</f>
        <v/>
      </c>
      <c r="K117" s="76" t="str">
        <f t="shared" ref="K113:K144" si="269">IF(D117="","",K113)</f>
        <v/>
      </c>
      <c r="L117" s="31" t="str">
        <f t="shared" ref="L113:L144" si="270">IF(G117="","",H117*K117)</f>
        <v/>
      </c>
      <c r="M117" s="32" t="str">
        <f t="shared" ref="M113:M144" si="271">IF(H117="","",L117/(D117*100))</f>
        <v/>
      </c>
      <c r="N117" s="15"/>
      <c r="O117" s="2"/>
      <c r="P117" s="79" t="str">
        <f>IF(A117="","",A117)</f>
        <v/>
      </c>
      <c r="Q117" s="53"/>
      <c r="R117" s="53" t="str">
        <f t="shared" ref="R113:R144" si="272">IF(Q117="","",Q117-Q113)</f>
        <v/>
      </c>
      <c r="S117" s="53"/>
      <c r="T117" s="31" t="str">
        <f t="shared" ref="T113:T144" si="273">IF(S117="","",S117-S113)</f>
        <v/>
      </c>
      <c r="U117" s="53"/>
      <c r="V117" s="53" t="str">
        <f t="shared" ref="V113:V144" si="274">IF(U117="","",U113+W113-U117)</f>
        <v/>
      </c>
      <c r="W117" s="192"/>
      <c r="X117" s="75" t="str">
        <f t="shared" ref="X114:X132" si="275">IF(Q117="","",X113)</f>
        <v/>
      </c>
      <c r="Y117" s="76" t="str">
        <f t="shared" ref="Y114:Y132" si="276">IF(R117="","",Y113)</f>
        <v/>
      </c>
      <c r="Z117" s="31" t="str">
        <f t="shared" ref="Z113:Z144" si="277">IF(U117="","",V117*Y117)</f>
        <v/>
      </c>
      <c r="AA117" s="32" t="str">
        <f t="shared" ref="AA113:AA144" si="278">IF(V117="","",Z117/(R117*100))</f>
        <v/>
      </c>
      <c r="AB117" s="15"/>
      <c r="AC117" s="15"/>
      <c r="AD117" s="79" t="str">
        <f>IF($A117="","",$A117)</f>
        <v/>
      </c>
      <c r="AE117" s="53"/>
      <c r="AF117" s="53" t="str">
        <f t="shared" ref="AF113:AF144" si="279">IF(AE117="","",AE117-AE113)</f>
        <v/>
      </c>
      <c r="AG117" s="53"/>
      <c r="AH117" s="31" t="str">
        <f t="shared" ref="AH113:AH144" si="280">IF(AG117="","",AG117-AG113)</f>
        <v/>
      </c>
      <c r="AI117" s="53"/>
      <c r="AJ117" s="53" t="str">
        <f t="shared" ref="AJ113:AJ144" si="281">IF(AI117="","",AI113+AK113-AI117)</f>
        <v/>
      </c>
      <c r="AK117" s="192"/>
      <c r="AL117" s="75" t="str">
        <f t="shared" si="263"/>
        <v/>
      </c>
      <c r="AM117" s="76" t="str">
        <f t="shared" si="264"/>
        <v/>
      </c>
      <c r="AN117" s="31" t="str">
        <f t="shared" ref="AN113:AN144" si="282">IF(AI117="","",AJ117*AM117)</f>
        <v/>
      </c>
      <c r="AO117" s="32" t="str">
        <f t="shared" ref="AO113:AO144" si="283">IF(AJ117="","",AN117/(AF117*100))</f>
        <v/>
      </c>
      <c r="AP117" s="15"/>
      <c r="AQ117" s="113"/>
      <c r="AR117" s="79" t="str">
        <f>IF($A117="","",$A117)</f>
        <v/>
      </c>
      <c r="AS117" s="53"/>
      <c r="AT117" s="53" t="str">
        <f t="shared" ref="AT113:AT144" si="284">IF(AS117="","",AS117-AS113)</f>
        <v/>
      </c>
      <c r="AU117" s="53"/>
      <c r="AV117" s="31" t="str">
        <f t="shared" ref="AV113:AV144" si="285">IF(AU117="","",AU117-AU113)</f>
        <v/>
      </c>
      <c r="AW117" s="53"/>
      <c r="AX117" s="53" t="str">
        <f t="shared" ref="AX113:AX144" si="286">IF(AW117="","",AW113+AY113-AW117)</f>
        <v/>
      </c>
      <c r="AY117" s="192"/>
      <c r="AZ117" s="75" t="str">
        <f t="shared" si="252"/>
        <v/>
      </c>
      <c r="BA117" s="76" t="str">
        <f t="shared" si="236"/>
        <v/>
      </c>
      <c r="BB117" s="31" t="str">
        <f t="shared" ref="BB113:BB144" si="287">IF(AW117="","",AX117*BA117)</f>
        <v/>
      </c>
      <c r="BC117" s="32" t="str">
        <f t="shared" ref="BC113:BC144" si="288">IF(AX117="","",BB117/(AT117*100))</f>
        <v/>
      </c>
      <c r="BD117" s="15"/>
      <c r="BE117" s="2"/>
      <c r="BF117" s="79" t="str">
        <f>IF($A117="","",$A117)</f>
        <v/>
      </c>
      <c r="BG117" s="240"/>
      <c r="BH117" s="53"/>
      <c r="BI117" s="53" t="str">
        <f t="shared" ref="BI113:BI144" si="289">IF(BH117="","",BH117-BH113)</f>
        <v/>
      </c>
      <c r="BJ117" s="53"/>
      <c r="BK117" s="31" t="str">
        <f t="shared" ref="BK113:BK144" si="290">IF(BJ117="","",BJ117-BJ113)</f>
        <v/>
      </c>
      <c r="BL117" s="53"/>
      <c r="BM117" s="53" t="str">
        <f t="shared" ref="BM113:BM144" si="291">IF(BL117="","",BL113+BN113-BL117)</f>
        <v/>
      </c>
      <c r="BN117" s="192"/>
      <c r="BO117" s="75" t="str">
        <f t="shared" si="250"/>
        <v/>
      </c>
      <c r="BP117" s="76" t="str">
        <f t="shared" si="238"/>
        <v/>
      </c>
      <c r="BQ117" s="31" t="str">
        <f t="shared" ref="BQ113:BQ144" si="292">IF(BL117="","",BM117*BP117)</f>
        <v/>
      </c>
      <c r="BR117" s="32" t="str">
        <f t="shared" ref="BR113:BR144" si="293">IF(BM117="","",BQ117/(BI117*100))</f>
        <v/>
      </c>
      <c r="BS117" s="15"/>
      <c r="BT117" s="113"/>
      <c r="BU117" s="16"/>
      <c r="BV117" s="54"/>
      <c r="BW117" s="13" t="str">
        <f t="shared" si="253"/>
        <v/>
      </c>
      <c r="BX117" s="13"/>
      <c r="BY117" s="13"/>
      <c r="BZ117" s="13"/>
      <c r="CA117" s="13" t="str">
        <f t="shared" si="254"/>
        <v/>
      </c>
      <c r="CB117" s="13"/>
      <c r="CC117" s="13"/>
      <c r="CD117" s="13"/>
      <c r="CE117" s="13" t="str">
        <f t="shared" si="240"/>
        <v/>
      </c>
      <c r="CF117" s="14" t="str">
        <f t="shared" si="241"/>
        <v/>
      </c>
      <c r="CG117" s="15"/>
      <c r="CH117" s="1"/>
      <c r="CI117" s="16"/>
      <c r="CJ117" s="54"/>
      <c r="CK117" s="13" t="str">
        <f t="shared" si="255"/>
        <v/>
      </c>
      <c r="CL117" s="13"/>
      <c r="CM117" s="13"/>
      <c r="CN117" s="13"/>
      <c r="CO117" s="13" t="str">
        <f t="shared" si="256"/>
        <v/>
      </c>
      <c r="CP117" s="13"/>
      <c r="CQ117" s="13"/>
      <c r="CR117" s="13"/>
      <c r="CS117" s="13" t="str">
        <f t="shared" si="242"/>
        <v/>
      </c>
      <c r="CT117" s="14" t="str">
        <f t="shared" si="251"/>
        <v/>
      </c>
      <c r="CU117" s="15"/>
      <c r="CV117" s="1"/>
      <c r="CW117" s="16"/>
      <c r="CX117" s="54"/>
      <c r="CY117" s="13" t="str">
        <f t="shared" si="257"/>
        <v/>
      </c>
      <c r="CZ117" s="13"/>
      <c r="DA117" s="13"/>
      <c r="DB117" s="13"/>
      <c r="DC117" s="13" t="str">
        <f t="shared" si="258"/>
        <v/>
      </c>
      <c r="DD117" s="13"/>
      <c r="DE117" s="13"/>
      <c r="DF117" s="13"/>
      <c r="DG117" s="13" t="str">
        <f t="shared" si="243"/>
        <v/>
      </c>
      <c r="DH117" s="14" t="str">
        <f t="shared" si="244"/>
        <v/>
      </c>
      <c r="DI117" s="15"/>
      <c r="DJ117" s="1"/>
      <c r="DK117" s="16"/>
      <c r="DL117" s="54"/>
      <c r="DM117" s="13" t="str">
        <f t="shared" si="259"/>
        <v/>
      </c>
      <c r="DN117" s="13"/>
      <c r="DO117" s="13"/>
      <c r="DP117" s="13"/>
      <c r="DQ117" s="13" t="str">
        <f t="shared" si="260"/>
        <v/>
      </c>
      <c r="DR117" s="13"/>
      <c r="DS117" s="13"/>
      <c r="DT117" s="13"/>
      <c r="DU117" s="13" t="str">
        <f t="shared" si="245"/>
        <v/>
      </c>
      <c r="DV117" s="14" t="str">
        <f t="shared" si="246"/>
        <v/>
      </c>
      <c r="DW117" s="15"/>
      <c r="DY117" s="16"/>
      <c r="DZ117" s="54"/>
      <c r="EA117" s="13" t="str">
        <f t="shared" si="261"/>
        <v/>
      </c>
      <c r="EB117" s="13"/>
      <c r="EC117" s="13"/>
      <c r="ED117" s="13"/>
      <c r="EE117" s="13" t="str">
        <f t="shared" si="262"/>
        <v/>
      </c>
      <c r="EF117" s="13"/>
      <c r="EG117" s="13"/>
      <c r="EH117" s="13"/>
      <c r="EI117" s="13" t="str">
        <f t="shared" si="247"/>
        <v/>
      </c>
      <c r="EJ117" s="14" t="str">
        <f t="shared" si="248"/>
        <v/>
      </c>
      <c r="EK117" s="15"/>
    </row>
    <row r="118" spans="1:141" ht="15" customHeight="1" x14ac:dyDescent="0.2">
      <c r="A118" s="16"/>
      <c r="B118" s="11"/>
      <c r="C118" s="13"/>
      <c r="D118" s="53" t="str">
        <f t="shared" si="265"/>
        <v/>
      </c>
      <c r="E118" s="13"/>
      <c r="F118" s="13" t="str">
        <f t="shared" si="266"/>
        <v/>
      </c>
      <c r="G118" s="13"/>
      <c r="H118" s="13" t="str">
        <f t="shared" si="267"/>
        <v/>
      </c>
      <c r="I118" s="205"/>
      <c r="J118" s="56" t="str">
        <f t="shared" si="268"/>
        <v/>
      </c>
      <c r="K118" s="54" t="str">
        <f t="shared" si="269"/>
        <v/>
      </c>
      <c r="L118" s="13" t="str">
        <f t="shared" si="270"/>
        <v/>
      </c>
      <c r="M118" s="14" t="str">
        <f t="shared" si="271"/>
        <v/>
      </c>
      <c r="N118" s="15"/>
      <c r="O118" s="2"/>
      <c r="P118" s="16"/>
      <c r="Q118" s="13"/>
      <c r="R118" s="53" t="str">
        <f t="shared" si="272"/>
        <v/>
      </c>
      <c r="S118" s="13"/>
      <c r="T118" s="13" t="str">
        <f t="shared" si="273"/>
        <v/>
      </c>
      <c r="U118" s="13"/>
      <c r="V118" s="13" t="str">
        <f t="shared" si="274"/>
        <v/>
      </c>
      <c r="W118" s="205"/>
      <c r="X118" s="56" t="str">
        <f t="shared" si="275"/>
        <v/>
      </c>
      <c r="Y118" s="54" t="str">
        <f t="shared" si="276"/>
        <v/>
      </c>
      <c r="Z118" s="13" t="str">
        <f t="shared" si="277"/>
        <v/>
      </c>
      <c r="AA118" s="14" t="str">
        <f t="shared" si="278"/>
        <v/>
      </c>
      <c r="AB118" s="15"/>
      <c r="AC118" s="15"/>
      <c r="AD118" s="16"/>
      <c r="AE118" s="13"/>
      <c r="AF118" s="53" t="str">
        <f t="shared" si="279"/>
        <v/>
      </c>
      <c r="AG118" s="13"/>
      <c r="AH118" s="13" t="str">
        <f t="shared" si="280"/>
        <v/>
      </c>
      <c r="AI118" s="13"/>
      <c r="AJ118" s="13" t="str">
        <f t="shared" si="281"/>
        <v/>
      </c>
      <c r="AK118" s="205"/>
      <c r="AL118" s="56" t="str">
        <f t="shared" si="263"/>
        <v/>
      </c>
      <c r="AM118" s="54" t="str">
        <f t="shared" si="264"/>
        <v/>
      </c>
      <c r="AN118" s="13" t="str">
        <f t="shared" si="282"/>
        <v/>
      </c>
      <c r="AO118" s="14" t="str">
        <f t="shared" si="283"/>
        <v/>
      </c>
      <c r="AP118" s="15"/>
      <c r="AQ118" s="113"/>
      <c r="AR118" s="16"/>
      <c r="AS118" s="13"/>
      <c r="AT118" s="53" t="str">
        <f t="shared" si="284"/>
        <v/>
      </c>
      <c r="AU118" s="13"/>
      <c r="AV118" s="13" t="str">
        <f t="shared" si="285"/>
        <v/>
      </c>
      <c r="AW118" s="13"/>
      <c r="AX118" s="13" t="str">
        <f t="shared" si="286"/>
        <v/>
      </c>
      <c r="AY118" s="205"/>
      <c r="AZ118" s="56" t="str">
        <f t="shared" si="252"/>
        <v/>
      </c>
      <c r="BA118" s="54" t="str">
        <f t="shared" si="236"/>
        <v/>
      </c>
      <c r="BB118" s="13" t="str">
        <f t="shared" si="287"/>
        <v/>
      </c>
      <c r="BC118" s="14" t="str">
        <f t="shared" si="288"/>
        <v/>
      </c>
      <c r="BD118" s="15"/>
      <c r="BE118" s="2"/>
      <c r="BF118" s="16"/>
      <c r="BG118" s="7"/>
      <c r="BH118" s="13"/>
      <c r="BI118" s="53" t="str">
        <f t="shared" si="289"/>
        <v/>
      </c>
      <c r="BJ118" s="13"/>
      <c r="BK118" s="13" t="str">
        <f t="shared" si="290"/>
        <v/>
      </c>
      <c r="BL118" s="13"/>
      <c r="BM118" s="13" t="str">
        <f t="shared" si="291"/>
        <v/>
      </c>
      <c r="BN118" s="205"/>
      <c r="BO118" s="56" t="str">
        <f t="shared" si="250"/>
        <v/>
      </c>
      <c r="BP118" s="54" t="str">
        <f t="shared" si="238"/>
        <v/>
      </c>
      <c r="BQ118" s="13" t="str">
        <f t="shared" si="292"/>
        <v/>
      </c>
      <c r="BR118" s="14" t="str">
        <f t="shared" si="293"/>
        <v/>
      </c>
      <c r="BS118" s="15"/>
      <c r="BT118" s="113"/>
      <c r="BU118" s="16"/>
      <c r="BV118" s="54"/>
      <c r="BW118" s="13" t="str">
        <f t="shared" si="253"/>
        <v/>
      </c>
      <c r="BX118" s="13"/>
      <c r="BY118" s="13"/>
      <c r="BZ118" s="13"/>
      <c r="CA118" s="13" t="str">
        <f t="shared" si="254"/>
        <v/>
      </c>
      <c r="CB118" s="13"/>
      <c r="CC118" s="13"/>
      <c r="CD118" s="13"/>
      <c r="CE118" s="13" t="str">
        <f t="shared" si="240"/>
        <v/>
      </c>
      <c r="CF118" s="14" t="str">
        <f t="shared" si="241"/>
        <v/>
      </c>
      <c r="CG118" s="15"/>
      <c r="CH118" s="1"/>
      <c r="CI118" s="16"/>
      <c r="CJ118" s="54"/>
      <c r="CK118" s="13" t="str">
        <f t="shared" si="255"/>
        <v/>
      </c>
      <c r="CL118" s="13"/>
      <c r="CM118" s="13"/>
      <c r="CN118" s="13"/>
      <c r="CO118" s="13" t="str">
        <f t="shared" si="256"/>
        <v/>
      </c>
      <c r="CP118" s="13"/>
      <c r="CQ118" s="13"/>
      <c r="CR118" s="13"/>
      <c r="CS118" s="13" t="str">
        <f t="shared" si="242"/>
        <v/>
      </c>
      <c r="CT118" s="14" t="str">
        <f t="shared" si="251"/>
        <v/>
      </c>
      <c r="CU118" s="15"/>
      <c r="CV118" s="1"/>
      <c r="CW118" s="16"/>
      <c r="CX118" s="54"/>
      <c r="CY118" s="13" t="str">
        <f t="shared" si="257"/>
        <v/>
      </c>
      <c r="CZ118" s="13"/>
      <c r="DA118" s="13"/>
      <c r="DB118" s="13"/>
      <c r="DC118" s="13" t="str">
        <f t="shared" si="258"/>
        <v/>
      </c>
      <c r="DD118" s="13"/>
      <c r="DE118" s="13"/>
      <c r="DF118" s="13"/>
      <c r="DG118" s="13" t="str">
        <f t="shared" si="243"/>
        <v/>
      </c>
      <c r="DH118" s="14" t="str">
        <f t="shared" si="244"/>
        <v/>
      </c>
      <c r="DI118" s="15"/>
      <c r="DJ118" s="1"/>
      <c r="DK118" s="16"/>
      <c r="DL118" s="54"/>
      <c r="DM118" s="13" t="str">
        <f t="shared" si="259"/>
        <v/>
      </c>
      <c r="DN118" s="13"/>
      <c r="DO118" s="13"/>
      <c r="DP118" s="13"/>
      <c r="DQ118" s="13" t="str">
        <f t="shared" si="260"/>
        <v/>
      </c>
      <c r="DR118" s="13"/>
      <c r="DS118" s="13"/>
      <c r="DT118" s="13"/>
      <c r="DU118" s="13" t="str">
        <f t="shared" si="245"/>
        <v/>
      </c>
      <c r="DV118" s="14" t="str">
        <f t="shared" si="246"/>
        <v/>
      </c>
      <c r="DW118" s="15"/>
      <c r="DY118" s="16"/>
      <c r="DZ118" s="54"/>
      <c r="EA118" s="13" t="str">
        <f t="shared" si="261"/>
        <v/>
      </c>
      <c r="EB118" s="13"/>
      <c r="EC118" s="13"/>
      <c r="ED118" s="13"/>
      <c r="EE118" s="13" t="str">
        <f t="shared" si="262"/>
        <v/>
      </c>
      <c r="EF118" s="13"/>
      <c r="EG118" s="13"/>
      <c r="EH118" s="13"/>
      <c r="EI118" s="13" t="str">
        <f t="shared" si="247"/>
        <v/>
      </c>
      <c r="EJ118" s="14" t="str">
        <f t="shared" si="248"/>
        <v/>
      </c>
      <c r="EK118" s="15"/>
    </row>
    <row r="119" spans="1:141" ht="15" customHeight="1" x14ac:dyDescent="0.2">
      <c r="A119" s="16"/>
      <c r="B119" s="11"/>
      <c r="C119" s="13"/>
      <c r="D119" s="63" t="str">
        <f t="shared" si="265"/>
        <v/>
      </c>
      <c r="E119" s="13"/>
      <c r="F119" s="13" t="str">
        <f t="shared" si="266"/>
        <v/>
      </c>
      <c r="G119" s="13"/>
      <c r="H119" s="13" t="str">
        <f t="shared" si="267"/>
        <v/>
      </c>
      <c r="I119" s="214"/>
      <c r="J119" s="56" t="str">
        <f t="shared" si="268"/>
        <v/>
      </c>
      <c r="K119" s="13" t="str">
        <f t="shared" si="269"/>
        <v/>
      </c>
      <c r="L119" s="13" t="str">
        <f t="shared" si="270"/>
        <v/>
      </c>
      <c r="M119" s="14" t="str">
        <f t="shared" si="271"/>
        <v/>
      </c>
      <c r="N119" s="15"/>
      <c r="O119" s="2"/>
      <c r="P119" s="16"/>
      <c r="Q119" s="13"/>
      <c r="R119" s="63" t="str">
        <f t="shared" si="272"/>
        <v/>
      </c>
      <c r="S119" s="13"/>
      <c r="T119" s="13" t="str">
        <f t="shared" si="273"/>
        <v/>
      </c>
      <c r="U119" s="13"/>
      <c r="V119" s="13" t="str">
        <f t="shared" si="274"/>
        <v/>
      </c>
      <c r="W119" s="214"/>
      <c r="X119" s="56" t="str">
        <f t="shared" si="275"/>
        <v/>
      </c>
      <c r="Y119" s="13" t="str">
        <f t="shared" si="276"/>
        <v/>
      </c>
      <c r="Z119" s="13" t="str">
        <f t="shared" si="277"/>
        <v/>
      </c>
      <c r="AA119" s="14" t="str">
        <f t="shared" si="278"/>
        <v/>
      </c>
      <c r="AB119" s="15"/>
      <c r="AC119" s="15"/>
      <c r="AD119" s="16"/>
      <c r="AE119" s="13"/>
      <c r="AF119" s="63" t="str">
        <f t="shared" si="279"/>
        <v/>
      </c>
      <c r="AG119" s="13"/>
      <c r="AH119" s="13" t="str">
        <f t="shared" si="280"/>
        <v/>
      </c>
      <c r="AI119" s="13"/>
      <c r="AJ119" s="13" t="str">
        <f t="shared" si="281"/>
        <v/>
      </c>
      <c r="AK119" s="214"/>
      <c r="AL119" s="56" t="str">
        <f t="shared" si="263"/>
        <v/>
      </c>
      <c r="AM119" s="13" t="str">
        <f t="shared" si="264"/>
        <v/>
      </c>
      <c r="AN119" s="13" t="str">
        <f t="shared" si="282"/>
        <v/>
      </c>
      <c r="AO119" s="14" t="str">
        <f t="shared" si="283"/>
        <v/>
      </c>
      <c r="AP119" s="15"/>
      <c r="AQ119" s="113"/>
      <c r="AR119" s="16"/>
      <c r="AS119" s="13"/>
      <c r="AT119" s="63" t="str">
        <f t="shared" si="284"/>
        <v/>
      </c>
      <c r="AU119" s="13"/>
      <c r="AV119" s="13" t="str">
        <f t="shared" si="285"/>
        <v/>
      </c>
      <c r="AW119" s="13"/>
      <c r="AX119" s="13" t="str">
        <f t="shared" si="286"/>
        <v/>
      </c>
      <c r="AY119" s="214"/>
      <c r="AZ119" s="56" t="str">
        <f t="shared" si="252"/>
        <v/>
      </c>
      <c r="BA119" s="13" t="str">
        <f t="shared" si="236"/>
        <v/>
      </c>
      <c r="BB119" s="13" t="str">
        <f t="shared" si="287"/>
        <v/>
      </c>
      <c r="BC119" s="14" t="str">
        <f t="shared" si="288"/>
        <v/>
      </c>
      <c r="BD119" s="15"/>
      <c r="BE119" s="2"/>
      <c r="BF119" s="16"/>
      <c r="BG119" s="7"/>
      <c r="BH119" s="13"/>
      <c r="BI119" s="63" t="str">
        <f t="shared" si="289"/>
        <v/>
      </c>
      <c r="BJ119" s="13"/>
      <c r="BK119" s="13" t="str">
        <f t="shared" si="290"/>
        <v/>
      </c>
      <c r="BL119" s="13"/>
      <c r="BM119" s="13" t="str">
        <f t="shared" si="291"/>
        <v/>
      </c>
      <c r="BN119" s="214"/>
      <c r="BO119" s="56" t="str">
        <f t="shared" si="250"/>
        <v/>
      </c>
      <c r="BP119" s="13" t="str">
        <f t="shared" si="238"/>
        <v/>
      </c>
      <c r="BQ119" s="13" t="str">
        <f t="shared" si="292"/>
        <v/>
      </c>
      <c r="BR119" s="14" t="str">
        <f t="shared" si="293"/>
        <v/>
      </c>
      <c r="BS119" s="15"/>
      <c r="BT119" s="113"/>
      <c r="BU119" s="16"/>
      <c r="BV119" s="54"/>
      <c r="BW119" s="13" t="str">
        <f t="shared" si="253"/>
        <v/>
      </c>
      <c r="BX119" s="13"/>
      <c r="BY119" s="13"/>
      <c r="BZ119" s="13"/>
      <c r="CA119" s="13" t="str">
        <f t="shared" si="254"/>
        <v/>
      </c>
      <c r="CB119" s="13"/>
      <c r="CC119" s="13"/>
      <c r="CD119" s="13"/>
      <c r="CE119" s="13" t="str">
        <f t="shared" si="240"/>
        <v/>
      </c>
      <c r="CF119" s="14" t="str">
        <f t="shared" si="241"/>
        <v/>
      </c>
      <c r="CG119" s="15"/>
      <c r="CH119" s="1"/>
      <c r="CI119" s="16"/>
      <c r="CJ119" s="54"/>
      <c r="CK119" s="13" t="str">
        <f t="shared" si="255"/>
        <v/>
      </c>
      <c r="CL119" s="13"/>
      <c r="CM119" s="13"/>
      <c r="CN119" s="13"/>
      <c r="CO119" s="13" t="str">
        <f t="shared" si="256"/>
        <v/>
      </c>
      <c r="CP119" s="13"/>
      <c r="CQ119" s="13"/>
      <c r="CR119" s="13"/>
      <c r="CS119" s="13" t="str">
        <f t="shared" si="242"/>
        <v/>
      </c>
      <c r="CT119" s="14" t="str">
        <f t="shared" si="251"/>
        <v/>
      </c>
      <c r="CU119" s="15"/>
      <c r="CV119" s="1"/>
      <c r="CW119" s="16"/>
      <c r="CX119" s="54"/>
      <c r="CY119" s="13" t="str">
        <f t="shared" si="257"/>
        <v/>
      </c>
      <c r="CZ119" s="13"/>
      <c r="DA119" s="13"/>
      <c r="DB119" s="13"/>
      <c r="DC119" s="13" t="str">
        <f t="shared" si="258"/>
        <v/>
      </c>
      <c r="DD119" s="13"/>
      <c r="DE119" s="13"/>
      <c r="DF119" s="13"/>
      <c r="DG119" s="13" t="str">
        <f t="shared" si="243"/>
        <v/>
      </c>
      <c r="DH119" s="14" t="str">
        <f t="shared" si="244"/>
        <v/>
      </c>
      <c r="DI119" s="15"/>
      <c r="DJ119" s="1"/>
      <c r="DK119" s="16"/>
      <c r="DL119" s="54"/>
      <c r="DM119" s="13" t="str">
        <f t="shared" si="259"/>
        <v/>
      </c>
      <c r="DN119" s="13"/>
      <c r="DO119" s="13"/>
      <c r="DP119" s="13"/>
      <c r="DQ119" s="13" t="str">
        <f t="shared" si="260"/>
        <v/>
      </c>
      <c r="DR119" s="13"/>
      <c r="DS119" s="13"/>
      <c r="DT119" s="13"/>
      <c r="DU119" s="13" t="str">
        <f t="shared" si="245"/>
        <v/>
      </c>
      <c r="DV119" s="14" t="str">
        <f t="shared" si="246"/>
        <v/>
      </c>
      <c r="DW119" s="15"/>
      <c r="DY119" s="16"/>
      <c r="DZ119" s="54"/>
      <c r="EA119" s="13" t="str">
        <f t="shared" si="261"/>
        <v/>
      </c>
      <c r="EB119" s="13"/>
      <c r="EC119" s="13"/>
      <c r="ED119" s="13"/>
      <c r="EE119" s="13" t="str">
        <f t="shared" si="262"/>
        <v/>
      </c>
      <c r="EF119" s="13"/>
      <c r="EG119" s="13"/>
      <c r="EH119" s="13"/>
      <c r="EI119" s="13" t="str">
        <f t="shared" si="247"/>
        <v/>
      </c>
      <c r="EJ119" s="14" t="str">
        <f t="shared" si="248"/>
        <v/>
      </c>
      <c r="EK119" s="15"/>
    </row>
    <row r="120" spans="1:141" ht="15" customHeight="1" thickBot="1" x14ac:dyDescent="0.25">
      <c r="A120" s="26"/>
      <c r="B120" s="46"/>
      <c r="C120" s="29"/>
      <c r="D120" s="61" t="str">
        <f t="shared" si="265"/>
        <v/>
      </c>
      <c r="E120" s="62"/>
      <c r="F120" s="27" t="str">
        <f t="shared" si="266"/>
        <v/>
      </c>
      <c r="G120" s="27"/>
      <c r="H120" s="27" t="str">
        <f t="shared" si="267"/>
        <v/>
      </c>
      <c r="I120" s="217"/>
      <c r="J120" s="57" t="str">
        <f t="shared" si="268"/>
        <v/>
      </c>
      <c r="K120" s="62" t="str">
        <f t="shared" si="269"/>
        <v/>
      </c>
      <c r="L120" s="27" t="str">
        <f t="shared" si="270"/>
        <v/>
      </c>
      <c r="M120" s="28" t="str">
        <f t="shared" si="271"/>
        <v/>
      </c>
      <c r="N120" s="15"/>
      <c r="O120" s="2"/>
      <c r="P120" s="26"/>
      <c r="Q120" s="29"/>
      <c r="R120" s="61" t="str">
        <f t="shared" si="272"/>
        <v/>
      </c>
      <c r="S120" s="62"/>
      <c r="T120" s="27" t="str">
        <f t="shared" si="273"/>
        <v/>
      </c>
      <c r="U120" s="27"/>
      <c r="V120" s="27" t="str">
        <f t="shared" si="274"/>
        <v/>
      </c>
      <c r="W120" s="217"/>
      <c r="X120" s="57" t="str">
        <f t="shared" si="275"/>
        <v/>
      </c>
      <c r="Y120" s="62" t="str">
        <f t="shared" si="276"/>
        <v/>
      </c>
      <c r="Z120" s="27" t="str">
        <f t="shared" si="277"/>
        <v/>
      </c>
      <c r="AA120" s="28" t="str">
        <f t="shared" si="278"/>
        <v/>
      </c>
      <c r="AB120" s="15"/>
      <c r="AC120" s="15"/>
      <c r="AD120" s="26"/>
      <c r="AE120" s="29"/>
      <c r="AF120" s="61" t="str">
        <f t="shared" si="279"/>
        <v/>
      </c>
      <c r="AG120" s="62"/>
      <c r="AH120" s="27" t="str">
        <f t="shared" si="280"/>
        <v/>
      </c>
      <c r="AI120" s="27"/>
      <c r="AJ120" s="27" t="str">
        <f t="shared" si="281"/>
        <v/>
      </c>
      <c r="AK120" s="217"/>
      <c r="AL120" s="57" t="str">
        <f t="shared" si="263"/>
        <v/>
      </c>
      <c r="AM120" s="62" t="str">
        <f t="shared" si="264"/>
        <v/>
      </c>
      <c r="AN120" s="27" t="str">
        <f t="shared" si="282"/>
        <v/>
      </c>
      <c r="AO120" s="28" t="str">
        <f t="shared" si="283"/>
        <v/>
      </c>
      <c r="AP120" s="15"/>
      <c r="AQ120" s="113"/>
      <c r="AR120" s="26"/>
      <c r="AS120" s="29"/>
      <c r="AT120" s="61" t="str">
        <f t="shared" si="284"/>
        <v/>
      </c>
      <c r="AU120" s="62"/>
      <c r="AV120" s="27" t="str">
        <f t="shared" si="285"/>
        <v/>
      </c>
      <c r="AW120" s="27"/>
      <c r="AX120" s="27" t="str">
        <f t="shared" si="286"/>
        <v/>
      </c>
      <c r="AY120" s="217"/>
      <c r="AZ120" s="57" t="str">
        <f t="shared" si="252"/>
        <v/>
      </c>
      <c r="BA120" s="62" t="str">
        <f t="shared" si="236"/>
        <v/>
      </c>
      <c r="BB120" s="27" t="str">
        <f t="shared" si="287"/>
        <v/>
      </c>
      <c r="BC120" s="28" t="str">
        <f t="shared" si="288"/>
        <v/>
      </c>
      <c r="BD120" s="15"/>
      <c r="BE120" s="2"/>
      <c r="BF120" s="26"/>
      <c r="BG120" s="241"/>
      <c r="BH120" s="29"/>
      <c r="BI120" s="61" t="str">
        <f t="shared" si="289"/>
        <v/>
      </c>
      <c r="BJ120" s="62"/>
      <c r="BK120" s="27" t="str">
        <f t="shared" si="290"/>
        <v/>
      </c>
      <c r="BL120" s="27"/>
      <c r="BM120" s="27" t="str">
        <f t="shared" si="291"/>
        <v/>
      </c>
      <c r="BN120" s="217"/>
      <c r="BO120" s="57" t="str">
        <f t="shared" si="250"/>
        <v/>
      </c>
      <c r="BP120" s="62" t="str">
        <f t="shared" si="238"/>
        <v/>
      </c>
      <c r="BQ120" s="27" t="str">
        <f t="shared" si="292"/>
        <v/>
      </c>
      <c r="BR120" s="28" t="str">
        <f t="shared" si="293"/>
        <v/>
      </c>
      <c r="BS120" s="15"/>
      <c r="BT120" s="113"/>
      <c r="BU120" s="16"/>
      <c r="BV120" s="54"/>
      <c r="BW120" s="13" t="str">
        <f t="shared" si="253"/>
        <v/>
      </c>
      <c r="BX120" s="13"/>
      <c r="BY120" s="13"/>
      <c r="BZ120" s="13"/>
      <c r="CA120" s="13" t="str">
        <f t="shared" si="254"/>
        <v/>
      </c>
      <c r="CB120" s="13"/>
      <c r="CC120" s="13"/>
      <c r="CD120" s="13"/>
      <c r="CE120" s="13" t="str">
        <f t="shared" si="240"/>
        <v/>
      </c>
      <c r="CF120" s="14" t="str">
        <f t="shared" si="241"/>
        <v/>
      </c>
      <c r="CG120" s="15"/>
      <c r="CH120" s="1"/>
      <c r="CI120" s="16"/>
      <c r="CJ120" s="54"/>
      <c r="CK120" s="13" t="str">
        <f t="shared" si="255"/>
        <v/>
      </c>
      <c r="CL120" s="13"/>
      <c r="CM120" s="13"/>
      <c r="CN120" s="13"/>
      <c r="CO120" s="13" t="str">
        <f t="shared" si="256"/>
        <v/>
      </c>
      <c r="CP120" s="13"/>
      <c r="CQ120" s="13"/>
      <c r="CR120" s="13"/>
      <c r="CS120" s="13" t="str">
        <f t="shared" si="242"/>
        <v/>
      </c>
      <c r="CT120" s="14" t="str">
        <f t="shared" si="251"/>
        <v/>
      </c>
      <c r="CU120" s="15"/>
      <c r="CV120" s="1"/>
      <c r="CW120" s="16"/>
      <c r="CX120" s="54"/>
      <c r="CY120" s="13" t="str">
        <f t="shared" si="257"/>
        <v/>
      </c>
      <c r="CZ120" s="13"/>
      <c r="DA120" s="13"/>
      <c r="DB120" s="13"/>
      <c r="DC120" s="13" t="str">
        <f t="shared" si="258"/>
        <v/>
      </c>
      <c r="DD120" s="13"/>
      <c r="DE120" s="13"/>
      <c r="DF120" s="13"/>
      <c r="DG120" s="13" t="str">
        <f t="shared" si="243"/>
        <v/>
      </c>
      <c r="DH120" s="14" t="str">
        <f t="shared" si="244"/>
        <v/>
      </c>
      <c r="DI120" s="15"/>
      <c r="DJ120" s="1"/>
      <c r="DK120" s="16"/>
      <c r="DL120" s="54"/>
      <c r="DM120" s="13" t="str">
        <f t="shared" si="259"/>
        <v/>
      </c>
      <c r="DN120" s="13"/>
      <c r="DO120" s="13"/>
      <c r="DP120" s="13"/>
      <c r="DQ120" s="13" t="str">
        <f t="shared" si="260"/>
        <v/>
      </c>
      <c r="DR120" s="13"/>
      <c r="DS120" s="13"/>
      <c r="DT120" s="13"/>
      <c r="DU120" s="13" t="str">
        <f t="shared" si="245"/>
        <v/>
      </c>
      <c r="DV120" s="14" t="str">
        <f t="shared" si="246"/>
        <v/>
      </c>
      <c r="DW120" s="15"/>
      <c r="DY120" s="16"/>
      <c r="DZ120" s="54"/>
      <c r="EA120" s="13" t="str">
        <f t="shared" si="261"/>
        <v/>
      </c>
      <c r="EB120" s="13"/>
      <c r="EC120" s="13"/>
      <c r="ED120" s="13"/>
      <c r="EE120" s="13" t="str">
        <f t="shared" si="262"/>
        <v/>
      </c>
      <c r="EF120" s="13"/>
      <c r="EG120" s="13"/>
      <c r="EH120" s="13"/>
      <c r="EI120" s="13" t="str">
        <f t="shared" si="247"/>
        <v/>
      </c>
      <c r="EJ120" s="14" t="str">
        <f t="shared" si="248"/>
        <v/>
      </c>
      <c r="EK120" s="15"/>
    </row>
    <row r="121" spans="1:141" ht="15" customHeight="1" thickTop="1" x14ac:dyDescent="0.2">
      <c r="A121" s="79"/>
      <c r="B121" s="74" t="str">
        <f>IF(A121="","",SUM(D121:D124)+SUM(R121:R124)+SUM(AF121:AF124)+SUM(AT121:AT124)+SUM(BW88,CK88,CY88,DM88))</f>
        <v/>
      </c>
      <c r="C121" s="53"/>
      <c r="D121" s="53" t="str">
        <f t="shared" si="265"/>
        <v/>
      </c>
      <c r="E121" s="53"/>
      <c r="F121" s="31" t="str">
        <f t="shared" si="266"/>
        <v/>
      </c>
      <c r="G121" s="53"/>
      <c r="H121" s="53" t="str">
        <f t="shared" si="267"/>
        <v/>
      </c>
      <c r="I121" s="17"/>
      <c r="J121" s="75" t="str">
        <f t="shared" si="268"/>
        <v/>
      </c>
      <c r="K121" s="76" t="str">
        <f t="shared" si="269"/>
        <v/>
      </c>
      <c r="L121" s="31" t="str">
        <f t="shared" si="270"/>
        <v/>
      </c>
      <c r="M121" s="32" t="str">
        <f t="shared" si="271"/>
        <v/>
      </c>
      <c r="N121" s="15"/>
      <c r="O121" s="2"/>
      <c r="P121" s="79" t="str">
        <f>IF(A121="","",A121)</f>
        <v/>
      </c>
      <c r="Q121" s="53"/>
      <c r="R121" s="53" t="str">
        <f t="shared" si="272"/>
        <v/>
      </c>
      <c r="S121" s="53"/>
      <c r="T121" s="31" t="str">
        <f t="shared" si="273"/>
        <v/>
      </c>
      <c r="U121" s="53"/>
      <c r="V121" s="53" t="str">
        <f t="shared" si="274"/>
        <v/>
      </c>
      <c r="W121" s="17"/>
      <c r="X121" s="75" t="str">
        <f t="shared" si="275"/>
        <v/>
      </c>
      <c r="Y121" s="76" t="str">
        <f t="shared" si="276"/>
        <v/>
      </c>
      <c r="Z121" s="31" t="str">
        <f t="shared" si="277"/>
        <v/>
      </c>
      <c r="AA121" s="32" t="str">
        <f t="shared" si="278"/>
        <v/>
      </c>
      <c r="AB121" s="15"/>
      <c r="AC121" s="15"/>
      <c r="AD121" s="79" t="str">
        <f>IF($A121="","",$A121)</f>
        <v/>
      </c>
      <c r="AE121" s="53"/>
      <c r="AF121" s="53" t="str">
        <f t="shared" si="279"/>
        <v/>
      </c>
      <c r="AG121" s="53"/>
      <c r="AH121" s="31" t="str">
        <f t="shared" si="280"/>
        <v/>
      </c>
      <c r="AI121" s="53"/>
      <c r="AJ121" s="53" t="str">
        <f t="shared" si="281"/>
        <v/>
      </c>
      <c r="AK121" s="17"/>
      <c r="AL121" s="75" t="str">
        <f t="shared" si="263"/>
        <v/>
      </c>
      <c r="AM121" s="76" t="str">
        <f t="shared" si="264"/>
        <v/>
      </c>
      <c r="AN121" s="31" t="str">
        <f t="shared" si="282"/>
        <v/>
      </c>
      <c r="AO121" s="32" t="str">
        <f t="shared" si="283"/>
        <v/>
      </c>
      <c r="AP121" s="15"/>
      <c r="AQ121" s="113"/>
      <c r="AR121" s="79" t="str">
        <f>IF($A121="","",$A121)</f>
        <v/>
      </c>
      <c r="AS121" s="53"/>
      <c r="AT121" s="53" t="str">
        <f t="shared" si="284"/>
        <v/>
      </c>
      <c r="AU121" s="53"/>
      <c r="AV121" s="31" t="str">
        <f t="shared" si="285"/>
        <v/>
      </c>
      <c r="AW121" s="53"/>
      <c r="AX121" s="53" t="str">
        <f t="shared" si="286"/>
        <v/>
      </c>
      <c r="AY121" s="17"/>
      <c r="AZ121" s="75" t="str">
        <f t="shared" si="252"/>
        <v/>
      </c>
      <c r="BA121" s="76" t="str">
        <f t="shared" si="236"/>
        <v/>
      </c>
      <c r="BB121" s="31" t="str">
        <f t="shared" si="287"/>
        <v/>
      </c>
      <c r="BC121" s="32" t="str">
        <f t="shared" si="288"/>
        <v/>
      </c>
      <c r="BD121" s="15"/>
      <c r="BE121" s="2"/>
      <c r="BF121" s="79" t="str">
        <f>IF(DW121="","",DW121)</f>
        <v/>
      </c>
      <c r="BG121" s="240"/>
      <c r="BH121" s="53"/>
      <c r="BI121" s="53" t="str">
        <f t="shared" si="289"/>
        <v/>
      </c>
      <c r="BJ121" s="53"/>
      <c r="BK121" s="31" t="str">
        <f t="shared" si="290"/>
        <v/>
      </c>
      <c r="BL121" s="53"/>
      <c r="BM121" s="53" t="str">
        <f t="shared" si="291"/>
        <v/>
      </c>
      <c r="BN121" s="17"/>
      <c r="BO121" s="75" t="str">
        <f t="shared" si="250"/>
        <v/>
      </c>
      <c r="BP121" s="76" t="str">
        <f t="shared" si="238"/>
        <v/>
      </c>
      <c r="BQ121" s="31" t="str">
        <f t="shared" si="292"/>
        <v/>
      </c>
      <c r="BR121" s="32" t="str">
        <f t="shared" si="293"/>
        <v/>
      </c>
      <c r="BS121" s="15"/>
      <c r="BT121" s="113"/>
      <c r="BU121" s="16"/>
      <c r="BV121" s="54"/>
      <c r="BW121" s="13" t="str">
        <f t="shared" si="253"/>
        <v/>
      </c>
      <c r="BX121" s="13"/>
      <c r="BY121" s="13"/>
      <c r="BZ121" s="13"/>
      <c r="CA121" s="13" t="str">
        <f t="shared" si="254"/>
        <v/>
      </c>
      <c r="CB121" s="13"/>
      <c r="CC121" s="13"/>
      <c r="CD121" s="13"/>
      <c r="CE121" s="13" t="str">
        <f t="shared" si="240"/>
        <v/>
      </c>
      <c r="CF121" s="14" t="str">
        <f t="shared" si="241"/>
        <v/>
      </c>
      <c r="CG121" s="15"/>
      <c r="CH121" s="1"/>
      <c r="CI121" s="16"/>
      <c r="CJ121" s="54"/>
      <c r="CK121" s="13" t="str">
        <f t="shared" si="255"/>
        <v/>
      </c>
      <c r="CL121" s="13"/>
      <c r="CM121" s="13"/>
      <c r="CN121" s="13"/>
      <c r="CO121" s="13" t="str">
        <f t="shared" si="256"/>
        <v/>
      </c>
      <c r="CP121" s="13"/>
      <c r="CQ121" s="13"/>
      <c r="CR121" s="13"/>
      <c r="CS121" s="13" t="str">
        <f t="shared" si="242"/>
        <v/>
      </c>
      <c r="CT121" s="14" t="str">
        <f t="shared" si="251"/>
        <v/>
      </c>
      <c r="CU121" s="15"/>
      <c r="CV121" s="1"/>
      <c r="CW121" s="16"/>
      <c r="CX121" s="54"/>
      <c r="CY121" s="13" t="str">
        <f t="shared" si="257"/>
        <v/>
      </c>
      <c r="CZ121" s="13"/>
      <c r="DA121" s="13"/>
      <c r="DB121" s="13"/>
      <c r="DC121" s="13" t="str">
        <f t="shared" si="258"/>
        <v/>
      </c>
      <c r="DD121" s="13"/>
      <c r="DE121" s="13"/>
      <c r="DF121" s="13"/>
      <c r="DG121" s="13" t="str">
        <f t="shared" si="243"/>
        <v/>
      </c>
      <c r="DH121" s="14" t="str">
        <f t="shared" si="244"/>
        <v/>
      </c>
      <c r="DI121" s="15"/>
      <c r="DJ121" s="1"/>
      <c r="DK121" s="16"/>
      <c r="DL121" s="54"/>
      <c r="DM121" s="13" t="str">
        <f t="shared" si="259"/>
        <v/>
      </c>
      <c r="DN121" s="13"/>
      <c r="DO121" s="13"/>
      <c r="DP121" s="13"/>
      <c r="DQ121" s="13" t="str">
        <f t="shared" si="260"/>
        <v/>
      </c>
      <c r="DR121" s="13"/>
      <c r="DS121" s="13"/>
      <c r="DT121" s="13"/>
      <c r="DU121" s="13" t="str">
        <f t="shared" si="245"/>
        <v/>
      </c>
      <c r="DV121" s="14" t="str">
        <f t="shared" si="246"/>
        <v/>
      </c>
      <c r="DW121" s="15"/>
      <c r="DY121" s="16"/>
      <c r="DZ121" s="54"/>
      <c r="EA121" s="13" t="str">
        <f t="shared" si="261"/>
        <v/>
      </c>
      <c r="EB121" s="13"/>
      <c r="EC121" s="13"/>
      <c r="ED121" s="13"/>
      <c r="EE121" s="13" t="str">
        <f t="shared" si="262"/>
        <v/>
      </c>
      <c r="EF121" s="13"/>
      <c r="EG121" s="13"/>
      <c r="EH121" s="13"/>
      <c r="EI121" s="13" t="str">
        <f t="shared" si="247"/>
        <v/>
      </c>
      <c r="EJ121" s="14" t="str">
        <f t="shared" si="248"/>
        <v/>
      </c>
      <c r="EK121" s="15"/>
    </row>
    <row r="122" spans="1:141" ht="15" customHeight="1" x14ac:dyDescent="0.2">
      <c r="A122" s="16"/>
      <c r="B122" s="11"/>
      <c r="C122" s="13"/>
      <c r="D122" s="53" t="str">
        <f t="shared" si="265"/>
        <v/>
      </c>
      <c r="E122" s="13"/>
      <c r="F122" s="13" t="str">
        <f t="shared" si="266"/>
        <v/>
      </c>
      <c r="G122" s="13"/>
      <c r="H122" s="13" t="str">
        <f t="shared" si="267"/>
        <v/>
      </c>
      <c r="I122" s="17"/>
      <c r="J122" s="56" t="str">
        <f t="shared" si="268"/>
        <v/>
      </c>
      <c r="K122" s="54" t="str">
        <f t="shared" si="269"/>
        <v/>
      </c>
      <c r="L122" s="13" t="str">
        <f t="shared" si="270"/>
        <v/>
      </c>
      <c r="M122" s="14" t="str">
        <f t="shared" si="271"/>
        <v/>
      </c>
      <c r="N122" s="15"/>
      <c r="O122" s="2"/>
      <c r="P122" s="16"/>
      <c r="Q122" s="13"/>
      <c r="R122" s="53" t="str">
        <f t="shared" si="272"/>
        <v/>
      </c>
      <c r="S122" s="13"/>
      <c r="T122" s="13" t="str">
        <f t="shared" si="273"/>
        <v/>
      </c>
      <c r="U122" s="13"/>
      <c r="V122" s="13" t="str">
        <f t="shared" si="274"/>
        <v/>
      </c>
      <c r="W122" s="17"/>
      <c r="X122" s="56" t="str">
        <f t="shared" si="275"/>
        <v/>
      </c>
      <c r="Y122" s="54" t="str">
        <f t="shared" si="276"/>
        <v/>
      </c>
      <c r="Z122" s="13" t="str">
        <f t="shared" si="277"/>
        <v/>
      </c>
      <c r="AA122" s="14" t="str">
        <f t="shared" si="278"/>
        <v/>
      </c>
      <c r="AB122" s="15"/>
      <c r="AC122" s="15"/>
      <c r="AD122" s="16"/>
      <c r="AE122" s="13"/>
      <c r="AF122" s="53" t="str">
        <f t="shared" si="279"/>
        <v/>
      </c>
      <c r="AG122" s="13"/>
      <c r="AH122" s="13" t="str">
        <f t="shared" si="280"/>
        <v/>
      </c>
      <c r="AI122" s="13"/>
      <c r="AJ122" s="13" t="str">
        <f t="shared" si="281"/>
        <v/>
      </c>
      <c r="AK122" s="17"/>
      <c r="AL122" s="56" t="str">
        <f t="shared" si="263"/>
        <v/>
      </c>
      <c r="AM122" s="54" t="str">
        <f t="shared" si="264"/>
        <v/>
      </c>
      <c r="AN122" s="13" t="str">
        <f t="shared" si="282"/>
        <v/>
      </c>
      <c r="AO122" s="14" t="str">
        <f t="shared" si="283"/>
        <v/>
      </c>
      <c r="AP122" s="15"/>
      <c r="AQ122" s="113"/>
      <c r="AR122" s="16"/>
      <c r="AS122" s="13"/>
      <c r="AT122" s="53" t="str">
        <f t="shared" si="284"/>
        <v/>
      </c>
      <c r="AU122" s="13"/>
      <c r="AV122" s="13" t="str">
        <f t="shared" si="285"/>
        <v/>
      </c>
      <c r="AW122" s="13"/>
      <c r="AX122" s="13" t="str">
        <f t="shared" si="286"/>
        <v/>
      </c>
      <c r="AY122" s="17"/>
      <c r="AZ122" s="56" t="str">
        <f t="shared" si="252"/>
        <v/>
      </c>
      <c r="BA122" s="54" t="str">
        <f t="shared" si="236"/>
        <v/>
      </c>
      <c r="BB122" s="13" t="str">
        <f t="shared" si="287"/>
        <v/>
      </c>
      <c r="BC122" s="14" t="str">
        <f t="shared" si="288"/>
        <v/>
      </c>
      <c r="BD122" s="15"/>
      <c r="BE122" s="2"/>
      <c r="BF122" s="16"/>
      <c r="BG122" s="7"/>
      <c r="BH122" s="13"/>
      <c r="BI122" s="53" t="str">
        <f t="shared" si="289"/>
        <v/>
      </c>
      <c r="BJ122" s="13"/>
      <c r="BK122" s="13" t="str">
        <f t="shared" si="290"/>
        <v/>
      </c>
      <c r="BL122" s="13"/>
      <c r="BM122" s="13" t="str">
        <f t="shared" si="291"/>
        <v/>
      </c>
      <c r="BN122" s="17"/>
      <c r="BO122" s="56" t="str">
        <f t="shared" si="250"/>
        <v/>
      </c>
      <c r="BP122" s="54" t="str">
        <f t="shared" si="238"/>
        <v/>
      </c>
      <c r="BQ122" s="13" t="str">
        <f t="shared" si="292"/>
        <v/>
      </c>
      <c r="BR122" s="14" t="str">
        <f t="shared" si="293"/>
        <v/>
      </c>
      <c r="BS122" s="15"/>
      <c r="BT122" s="113"/>
      <c r="BU122" s="16"/>
      <c r="BV122" s="54"/>
      <c r="BW122" s="13" t="str">
        <f t="shared" si="253"/>
        <v/>
      </c>
      <c r="BX122" s="13"/>
      <c r="BY122" s="13"/>
      <c r="BZ122" s="13"/>
      <c r="CA122" s="13" t="str">
        <f t="shared" si="254"/>
        <v/>
      </c>
      <c r="CB122" s="13"/>
      <c r="CC122" s="13"/>
      <c r="CD122" s="13"/>
      <c r="CE122" s="13" t="str">
        <f t="shared" si="240"/>
        <v/>
      </c>
      <c r="CF122" s="14" t="str">
        <f t="shared" si="241"/>
        <v/>
      </c>
      <c r="CG122" s="15"/>
      <c r="CH122" s="1"/>
      <c r="CI122" s="16"/>
      <c r="CJ122" s="54"/>
      <c r="CK122" s="13" t="str">
        <f t="shared" si="255"/>
        <v/>
      </c>
      <c r="CL122" s="13"/>
      <c r="CM122" s="13"/>
      <c r="CN122" s="13"/>
      <c r="CO122" s="13" t="str">
        <f t="shared" si="256"/>
        <v/>
      </c>
      <c r="CP122" s="13"/>
      <c r="CQ122" s="13"/>
      <c r="CR122" s="13"/>
      <c r="CS122" s="13" t="str">
        <f t="shared" si="242"/>
        <v/>
      </c>
      <c r="CT122" s="14" t="str">
        <f t="shared" si="251"/>
        <v/>
      </c>
      <c r="CU122" s="15"/>
      <c r="CV122" s="1"/>
      <c r="CW122" s="16"/>
      <c r="CX122" s="54"/>
      <c r="CY122" s="13" t="str">
        <f t="shared" si="257"/>
        <v/>
      </c>
      <c r="CZ122" s="13"/>
      <c r="DA122" s="13"/>
      <c r="DB122" s="13"/>
      <c r="DC122" s="13" t="str">
        <f t="shared" si="258"/>
        <v/>
      </c>
      <c r="DD122" s="13"/>
      <c r="DE122" s="13"/>
      <c r="DF122" s="13"/>
      <c r="DG122" s="13" t="str">
        <f t="shared" si="243"/>
        <v/>
      </c>
      <c r="DH122" s="14" t="str">
        <f t="shared" si="244"/>
        <v/>
      </c>
      <c r="DI122" s="15"/>
      <c r="DJ122" s="1"/>
      <c r="DK122" s="16"/>
      <c r="DL122" s="54"/>
      <c r="DM122" s="13" t="str">
        <f t="shared" si="259"/>
        <v/>
      </c>
      <c r="DN122" s="13"/>
      <c r="DO122" s="13"/>
      <c r="DP122" s="13"/>
      <c r="DQ122" s="13" t="str">
        <f t="shared" si="260"/>
        <v/>
      </c>
      <c r="DR122" s="13"/>
      <c r="DS122" s="13"/>
      <c r="DT122" s="13"/>
      <c r="DU122" s="13" t="str">
        <f t="shared" si="245"/>
        <v/>
      </c>
      <c r="DV122" s="14" t="str">
        <f t="shared" si="246"/>
        <v/>
      </c>
      <c r="DW122" s="15"/>
      <c r="DY122" s="16"/>
      <c r="DZ122" s="54"/>
      <c r="EA122" s="13" t="str">
        <f t="shared" si="261"/>
        <v/>
      </c>
      <c r="EB122" s="13"/>
      <c r="EC122" s="13"/>
      <c r="ED122" s="13"/>
      <c r="EE122" s="13" t="str">
        <f t="shared" si="262"/>
        <v/>
      </c>
      <c r="EF122" s="13"/>
      <c r="EG122" s="13"/>
      <c r="EH122" s="13"/>
      <c r="EI122" s="13" t="str">
        <f t="shared" si="247"/>
        <v/>
      </c>
      <c r="EJ122" s="14" t="str">
        <f t="shared" si="248"/>
        <v/>
      </c>
      <c r="EK122" s="15"/>
    </row>
    <row r="123" spans="1:141" ht="15" customHeight="1" x14ac:dyDescent="0.2">
      <c r="A123" s="16"/>
      <c r="B123" s="11"/>
      <c r="C123" s="13"/>
      <c r="D123" s="63" t="str">
        <f t="shared" si="265"/>
        <v/>
      </c>
      <c r="E123" s="13"/>
      <c r="F123" s="13" t="str">
        <f t="shared" si="266"/>
        <v/>
      </c>
      <c r="G123" s="13"/>
      <c r="H123" s="13" t="str">
        <f t="shared" si="267"/>
        <v/>
      </c>
      <c r="I123" s="17"/>
      <c r="J123" s="56" t="str">
        <f t="shared" si="268"/>
        <v/>
      </c>
      <c r="K123" s="13" t="str">
        <f t="shared" si="269"/>
        <v/>
      </c>
      <c r="L123" s="13" t="str">
        <f t="shared" si="270"/>
        <v/>
      </c>
      <c r="M123" s="14" t="str">
        <f t="shared" si="271"/>
        <v/>
      </c>
      <c r="N123" s="15"/>
      <c r="O123" s="2"/>
      <c r="P123" s="16"/>
      <c r="Q123" s="13"/>
      <c r="R123" s="63" t="str">
        <f t="shared" si="272"/>
        <v/>
      </c>
      <c r="S123" s="13"/>
      <c r="T123" s="13" t="str">
        <f t="shared" si="273"/>
        <v/>
      </c>
      <c r="U123" s="13"/>
      <c r="V123" s="13" t="str">
        <f t="shared" si="274"/>
        <v/>
      </c>
      <c r="W123" s="17"/>
      <c r="X123" s="56" t="str">
        <f t="shared" si="275"/>
        <v/>
      </c>
      <c r="Y123" s="13" t="str">
        <f t="shared" si="276"/>
        <v/>
      </c>
      <c r="Z123" s="13" t="str">
        <f t="shared" si="277"/>
        <v/>
      </c>
      <c r="AA123" s="14" t="str">
        <f t="shared" si="278"/>
        <v/>
      </c>
      <c r="AB123" s="15"/>
      <c r="AC123" s="15"/>
      <c r="AD123" s="16"/>
      <c r="AE123" s="13"/>
      <c r="AF123" s="63" t="str">
        <f t="shared" si="279"/>
        <v/>
      </c>
      <c r="AG123" s="13"/>
      <c r="AH123" s="13" t="str">
        <f t="shared" si="280"/>
        <v/>
      </c>
      <c r="AI123" s="13"/>
      <c r="AJ123" s="13" t="str">
        <f t="shared" si="281"/>
        <v/>
      </c>
      <c r="AK123" s="17"/>
      <c r="AL123" s="56" t="str">
        <f t="shared" si="263"/>
        <v/>
      </c>
      <c r="AM123" s="13" t="str">
        <f t="shared" si="264"/>
        <v/>
      </c>
      <c r="AN123" s="13" t="str">
        <f t="shared" si="282"/>
        <v/>
      </c>
      <c r="AO123" s="14" t="str">
        <f t="shared" si="283"/>
        <v/>
      </c>
      <c r="AP123" s="15"/>
      <c r="AQ123" s="113"/>
      <c r="AR123" s="16"/>
      <c r="AS123" s="13"/>
      <c r="AT123" s="63" t="str">
        <f t="shared" si="284"/>
        <v/>
      </c>
      <c r="AU123" s="13"/>
      <c r="AV123" s="13" t="str">
        <f t="shared" si="285"/>
        <v/>
      </c>
      <c r="AW123" s="13"/>
      <c r="AX123" s="13" t="str">
        <f t="shared" si="286"/>
        <v/>
      </c>
      <c r="AY123" s="17"/>
      <c r="AZ123" s="56" t="str">
        <f t="shared" si="252"/>
        <v/>
      </c>
      <c r="BA123" s="13" t="str">
        <f t="shared" si="236"/>
        <v/>
      </c>
      <c r="BB123" s="13" t="str">
        <f t="shared" si="287"/>
        <v/>
      </c>
      <c r="BC123" s="14" t="str">
        <f t="shared" si="288"/>
        <v/>
      </c>
      <c r="BD123" s="15"/>
      <c r="BE123" s="2"/>
      <c r="BF123" s="16"/>
      <c r="BG123" s="7"/>
      <c r="BH123" s="13"/>
      <c r="BI123" s="63" t="str">
        <f t="shared" si="289"/>
        <v/>
      </c>
      <c r="BJ123" s="13"/>
      <c r="BK123" s="13" t="str">
        <f t="shared" si="290"/>
        <v/>
      </c>
      <c r="BL123" s="13"/>
      <c r="BM123" s="13" t="str">
        <f t="shared" si="291"/>
        <v/>
      </c>
      <c r="BN123" s="17"/>
      <c r="BO123" s="56" t="str">
        <f t="shared" si="250"/>
        <v/>
      </c>
      <c r="BP123" s="13" t="str">
        <f t="shared" si="238"/>
        <v/>
      </c>
      <c r="BQ123" s="13" t="str">
        <f t="shared" si="292"/>
        <v/>
      </c>
      <c r="BR123" s="14" t="str">
        <f t="shared" si="293"/>
        <v/>
      </c>
      <c r="BS123" s="15"/>
      <c r="BT123" s="113"/>
      <c r="BU123" s="16"/>
      <c r="BV123" s="54"/>
      <c r="BW123" s="13" t="str">
        <f t="shared" si="253"/>
        <v/>
      </c>
      <c r="BX123" s="13"/>
      <c r="BY123" s="13"/>
      <c r="BZ123" s="13"/>
      <c r="CA123" s="13" t="str">
        <f t="shared" si="254"/>
        <v/>
      </c>
      <c r="CB123" s="13"/>
      <c r="CC123" s="13"/>
      <c r="CD123" s="13"/>
      <c r="CE123" s="13" t="str">
        <f t="shared" si="240"/>
        <v/>
      </c>
      <c r="CF123" s="14" t="str">
        <f t="shared" si="241"/>
        <v/>
      </c>
      <c r="CG123" s="15"/>
      <c r="CH123" s="1"/>
      <c r="CI123" s="16"/>
      <c r="CJ123" s="54"/>
      <c r="CK123" s="13" t="str">
        <f t="shared" si="255"/>
        <v/>
      </c>
      <c r="CL123" s="13"/>
      <c r="CM123" s="13"/>
      <c r="CN123" s="13"/>
      <c r="CO123" s="13" t="str">
        <f t="shared" si="256"/>
        <v/>
      </c>
      <c r="CP123" s="13"/>
      <c r="CQ123" s="13"/>
      <c r="CR123" s="13"/>
      <c r="CS123" s="13" t="str">
        <f t="shared" si="242"/>
        <v/>
      </c>
      <c r="CT123" s="14" t="str">
        <f t="shared" si="251"/>
        <v/>
      </c>
      <c r="CU123" s="15"/>
      <c r="CV123" s="1"/>
      <c r="CW123" s="16"/>
      <c r="CX123" s="54"/>
      <c r="CY123" s="13" t="str">
        <f t="shared" si="257"/>
        <v/>
      </c>
      <c r="CZ123" s="13"/>
      <c r="DA123" s="13"/>
      <c r="DB123" s="13"/>
      <c r="DC123" s="13" t="str">
        <f t="shared" si="258"/>
        <v/>
      </c>
      <c r="DD123" s="13"/>
      <c r="DE123" s="13"/>
      <c r="DF123" s="13"/>
      <c r="DG123" s="13" t="str">
        <f t="shared" si="243"/>
        <v/>
      </c>
      <c r="DH123" s="14" t="str">
        <f t="shared" si="244"/>
        <v/>
      </c>
      <c r="DI123" s="15"/>
      <c r="DJ123" s="1"/>
      <c r="DK123" s="16"/>
      <c r="DL123" s="54"/>
      <c r="DM123" s="13" t="str">
        <f t="shared" si="259"/>
        <v/>
      </c>
      <c r="DN123" s="13"/>
      <c r="DO123" s="13"/>
      <c r="DP123" s="13"/>
      <c r="DQ123" s="13" t="str">
        <f t="shared" si="260"/>
        <v/>
      </c>
      <c r="DR123" s="13"/>
      <c r="DS123" s="13"/>
      <c r="DT123" s="13"/>
      <c r="DU123" s="13" t="str">
        <f t="shared" si="245"/>
        <v/>
      </c>
      <c r="DV123" s="14" t="str">
        <f t="shared" si="246"/>
        <v/>
      </c>
      <c r="DW123" s="15"/>
      <c r="DY123" s="16"/>
      <c r="DZ123" s="54"/>
      <c r="EA123" s="13" t="str">
        <f t="shared" si="261"/>
        <v/>
      </c>
      <c r="EB123" s="13"/>
      <c r="EC123" s="13"/>
      <c r="ED123" s="13"/>
      <c r="EE123" s="13" t="str">
        <f t="shared" si="262"/>
        <v/>
      </c>
      <c r="EF123" s="13"/>
      <c r="EG123" s="13"/>
      <c r="EH123" s="13"/>
      <c r="EI123" s="13" t="str">
        <f t="shared" si="247"/>
        <v/>
      </c>
      <c r="EJ123" s="14" t="str">
        <f t="shared" si="248"/>
        <v/>
      </c>
      <c r="EK123" s="15"/>
    </row>
    <row r="124" spans="1:141" ht="15" customHeight="1" thickBot="1" x14ac:dyDescent="0.25">
      <c r="A124" s="26"/>
      <c r="B124" s="46"/>
      <c r="C124" s="27"/>
      <c r="D124" s="61" t="str">
        <f t="shared" si="265"/>
        <v/>
      </c>
      <c r="E124" s="62"/>
      <c r="F124" s="27" t="str">
        <f t="shared" si="266"/>
        <v/>
      </c>
      <c r="G124" s="27"/>
      <c r="H124" s="27" t="str">
        <f t="shared" si="267"/>
        <v/>
      </c>
      <c r="I124" s="47"/>
      <c r="J124" s="57" t="str">
        <f t="shared" si="268"/>
        <v/>
      </c>
      <c r="K124" s="62" t="str">
        <f t="shared" si="269"/>
        <v/>
      </c>
      <c r="L124" s="27" t="str">
        <f t="shared" si="270"/>
        <v/>
      </c>
      <c r="M124" s="28" t="str">
        <f t="shared" si="271"/>
        <v/>
      </c>
      <c r="N124" s="15"/>
      <c r="O124" s="2"/>
      <c r="P124" s="26"/>
      <c r="Q124" s="27"/>
      <c r="R124" s="61" t="str">
        <f t="shared" si="272"/>
        <v/>
      </c>
      <c r="S124" s="62"/>
      <c r="T124" s="27" t="str">
        <f t="shared" si="273"/>
        <v/>
      </c>
      <c r="U124" s="27"/>
      <c r="V124" s="27" t="str">
        <f t="shared" si="274"/>
        <v/>
      </c>
      <c r="W124" s="47"/>
      <c r="X124" s="57" t="str">
        <f t="shared" si="275"/>
        <v/>
      </c>
      <c r="Y124" s="62" t="str">
        <f t="shared" si="276"/>
        <v/>
      </c>
      <c r="Z124" s="27" t="str">
        <f t="shared" si="277"/>
        <v/>
      </c>
      <c r="AA124" s="28" t="str">
        <f t="shared" si="278"/>
        <v/>
      </c>
      <c r="AB124" s="15"/>
      <c r="AC124" s="15"/>
      <c r="AD124" s="26"/>
      <c r="AE124" s="27"/>
      <c r="AF124" s="61" t="str">
        <f t="shared" si="279"/>
        <v/>
      </c>
      <c r="AG124" s="62"/>
      <c r="AH124" s="27" t="str">
        <f t="shared" si="280"/>
        <v/>
      </c>
      <c r="AI124" s="27"/>
      <c r="AJ124" s="27" t="str">
        <f t="shared" si="281"/>
        <v/>
      </c>
      <c r="AK124" s="47"/>
      <c r="AL124" s="57" t="str">
        <f t="shared" si="263"/>
        <v/>
      </c>
      <c r="AM124" s="62" t="str">
        <f t="shared" si="264"/>
        <v/>
      </c>
      <c r="AN124" s="27" t="str">
        <f t="shared" si="282"/>
        <v/>
      </c>
      <c r="AO124" s="28" t="str">
        <f t="shared" si="283"/>
        <v/>
      </c>
      <c r="AP124" s="15"/>
      <c r="AQ124" s="113"/>
      <c r="AR124" s="26"/>
      <c r="AS124" s="27"/>
      <c r="AT124" s="61" t="str">
        <f t="shared" si="284"/>
        <v/>
      </c>
      <c r="AU124" s="62"/>
      <c r="AV124" s="27" t="str">
        <f t="shared" si="285"/>
        <v/>
      </c>
      <c r="AW124" s="27"/>
      <c r="AX124" s="27" t="str">
        <f t="shared" si="286"/>
        <v/>
      </c>
      <c r="AY124" s="47"/>
      <c r="AZ124" s="57" t="str">
        <f t="shared" si="252"/>
        <v/>
      </c>
      <c r="BA124" s="62" t="str">
        <f t="shared" si="236"/>
        <v/>
      </c>
      <c r="BB124" s="27" t="str">
        <f t="shared" si="287"/>
        <v/>
      </c>
      <c r="BC124" s="28" t="str">
        <f t="shared" si="288"/>
        <v/>
      </c>
      <c r="BD124" s="15"/>
      <c r="BE124" s="2"/>
      <c r="BF124" s="26"/>
      <c r="BG124" s="241"/>
      <c r="BH124" s="27"/>
      <c r="BI124" s="61" t="str">
        <f t="shared" si="289"/>
        <v/>
      </c>
      <c r="BJ124" s="62"/>
      <c r="BK124" s="27" t="str">
        <f t="shared" si="290"/>
        <v/>
      </c>
      <c r="BL124" s="27"/>
      <c r="BM124" s="27" t="str">
        <f t="shared" si="291"/>
        <v/>
      </c>
      <c r="BN124" s="47"/>
      <c r="BO124" s="57" t="str">
        <f t="shared" si="250"/>
        <v/>
      </c>
      <c r="BP124" s="62" t="str">
        <f t="shared" si="238"/>
        <v/>
      </c>
      <c r="BQ124" s="27" t="str">
        <f t="shared" si="292"/>
        <v/>
      </c>
      <c r="BR124" s="28" t="str">
        <f t="shared" si="293"/>
        <v/>
      </c>
      <c r="BS124" s="15"/>
      <c r="BT124" s="113"/>
      <c r="BU124" s="16"/>
      <c r="BV124" s="54"/>
      <c r="BW124" s="13" t="str">
        <f t="shared" si="253"/>
        <v/>
      </c>
      <c r="BX124" s="13"/>
      <c r="BY124" s="13"/>
      <c r="BZ124" s="13"/>
      <c r="CA124" s="13" t="str">
        <f t="shared" si="254"/>
        <v/>
      </c>
      <c r="CB124" s="13"/>
      <c r="CC124" s="13"/>
      <c r="CD124" s="13"/>
      <c r="CE124" s="13" t="str">
        <f t="shared" si="240"/>
        <v/>
      </c>
      <c r="CF124" s="14" t="str">
        <f t="shared" si="241"/>
        <v/>
      </c>
      <c r="CG124" s="15"/>
      <c r="CH124" s="1"/>
      <c r="CI124" s="16"/>
      <c r="CJ124" s="54"/>
      <c r="CK124" s="13" t="str">
        <f t="shared" si="255"/>
        <v/>
      </c>
      <c r="CL124" s="13"/>
      <c r="CM124" s="13"/>
      <c r="CN124" s="13"/>
      <c r="CO124" s="13" t="str">
        <f t="shared" si="256"/>
        <v/>
      </c>
      <c r="CP124" s="13"/>
      <c r="CQ124" s="13"/>
      <c r="CR124" s="13"/>
      <c r="CS124" s="13" t="str">
        <f t="shared" si="242"/>
        <v/>
      </c>
      <c r="CT124" s="14" t="str">
        <f t="shared" si="251"/>
        <v/>
      </c>
      <c r="CU124" s="15"/>
      <c r="CV124" s="1"/>
      <c r="CW124" s="16"/>
      <c r="CX124" s="54"/>
      <c r="CY124" s="13" t="str">
        <f t="shared" si="257"/>
        <v/>
      </c>
      <c r="CZ124" s="13"/>
      <c r="DA124" s="13"/>
      <c r="DB124" s="13"/>
      <c r="DC124" s="13" t="str">
        <f t="shared" si="258"/>
        <v/>
      </c>
      <c r="DD124" s="13"/>
      <c r="DE124" s="13"/>
      <c r="DF124" s="13"/>
      <c r="DG124" s="13" t="str">
        <f t="shared" si="243"/>
        <v/>
      </c>
      <c r="DH124" s="14" t="str">
        <f t="shared" si="244"/>
        <v/>
      </c>
      <c r="DI124" s="15"/>
      <c r="DJ124" s="1"/>
      <c r="DK124" s="16"/>
      <c r="DL124" s="54"/>
      <c r="DM124" s="13" t="str">
        <f t="shared" si="259"/>
        <v/>
      </c>
      <c r="DN124" s="13"/>
      <c r="DO124" s="13"/>
      <c r="DP124" s="13"/>
      <c r="DQ124" s="13" t="str">
        <f t="shared" si="260"/>
        <v/>
      </c>
      <c r="DR124" s="13"/>
      <c r="DS124" s="13"/>
      <c r="DT124" s="13"/>
      <c r="DU124" s="13" t="str">
        <f t="shared" si="245"/>
        <v/>
      </c>
      <c r="DV124" s="14" t="str">
        <f t="shared" si="246"/>
        <v/>
      </c>
      <c r="DW124" s="15"/>
      <c r="DY124" s="16"/>
      <c r="DZ124" s="54"/>
      <c r="EA124" s="13" t="str">
        <f t="shared" si="261"/>
        <v/>
      </c>
      <c r="EB124" s="13"/>
      <c r="EC124" s="13"/>
      <c r="ED124" s="13"/>
      <c r="EE124" s="13" t="str">
        <f t="shared" si="262"/>
        <v/>
      </c>
      <c r="EF124" s="13"/>
      <c r="EG124" s="13"/>
      <c r="EH124" s="13"/>
      <c r="EI124" s="13" t="str">
        <f t="shared" si="247"/>
        <v/>
      </c>
      <c r="EJ124" s="14" t="str">
        <f t="shared" si="248"/>
        <v/>
      </c>
      <c r="EK124" s="15"/>
    </row>
    <row r="125" spans="1:141" ht="15" customHeight="1" thickTop="1" x14ac:dyDescent="0.2">
      <c r="A125" s="79"/>
      <c r="B125" s="74" t="str">
        <f>IF(A125="","",SUM(D125:D128)+SUM(R125:R128)+SUM(AF125:AF128)+SUM(AT125:AT128)+SUM(BW89,CK89,CY89,DM89))</f>
        <v/>
      </c>
      <c r="C125" s="53"/>
      <c r="D125" s="53" t="str">
        <f t="shared" si="265"/>
        <v/>
      </c>
      <c r="E125" s="53"/>
      <c r="F125" s="31" t="str">
        <f t="shared" si="266"/>
        <v/>
      </c>
      <c r="G125" s="53"/>
      <c r="H125" s="53" t="str">
        <f t="shared" si="267"/>
        <v/>
      </c>
      <c r="I125" s="53"/>
      <c r="J125" s="75" t="str">
        <f t="shared" si="268"/>
        <v/>
      </c>
      <c r="K125" s="76" t="str">
        <f t="shared" si="269"/>
        <v/>
      </c>
      <c r="L125" s="31" t="str">
        <f t="shared" si="270"/>
        <v/>
      </c>
      <c r="M125" s="32" t="str">
        <f t="shared" si="271"/>
        <v/>
      </c>
      <c r="N125" s="15"/>
      <c r="O125" s="2"/>
      <c r="P125" s="79" t="str">
        <f>IF(A125="","",A125)</f>
        <v/>
      </c>
      <c r="Q125" s="53"/>
      <c r="R125" s="53" t="str">
        <f t="shared" si="272"/>
        <v/>
      </c>
      <c r="S125" s="53"/>
      <c r="T125" s="31" t="str">
        <f t="shared" si="273"/>
        <v/>
      </c>
      <c r="U125" s="53"/>
      <c r="V125" s="53" t="str">
        <f t="shared" si="274"/>
        <v/>
      </c>
      <c r="W125" s="53"/>
      <c r="X125" s="75" t="str">
        <f t="shared" si="275"/>
        <v/>
      </c>
      <c r="Y125" s="76" t="str">
        <f t="shared" si="276"/>
        <v/>
      </c>
      <c r="Z125" s="31" t="str">
        <f t="shared" si="277"/>
        <v/>
      </c>
      <c r="AA125" s="32" t="str">
        <f t="shared" si="278"/>
        <v/>
      </c>
      <c r="AB125" s="15"/>
      <c r="AD125" s="79" t="str">
        <f>IF($A125="","",$A125)</f>
        <v/>
      </c>
      <c r="AE125" s="53"/>
      <c r="AF125" s="53" t="str">
        <f t="shared" si="279"/>
        <v/>
      </c>
      <c r="AG125" s="53"/>
      <c r="AH125" s="31" t="str">
        <f t="shared" si="280"/>
        <v/>
      </c>
      <c r="AI125" s="53"/>
      <c r="AJ125" s="53" t="str">
        <f t="shared" si="281"/>
        <v/>
      </c>
      <c r="AK125" s="53"/>
      <c r="AL125" s="75" t="str">
        <f t="shared" si="263"/>
        <v/>
      </c>
      <c r="AM125" s="76" t="str">
        <f t="shared" si="264"/>
        <v/>
      </c>
      <c r="AN125" s="31" t="str">
        <f t="shared" si="282"/>
        <v/>
      </c>
      <c r="AO125" s="32" t="str">
        <f t="shared" si="283"/>
        <v/>
      </c>
      <c r="AP125" s="15"/>
      <c r="AQ125" s="115"/>
      <c r="AR125" s="79" t="str">
        <f>IF($A125="","",$A125)</f>
        <v/>
      </c>
      <c r="AS125" s="53"/>
      <c r="AT125" s="53" t="str">
        <f t="shared" si="284"/>
        <v/>
      </c>
      <c r="AU125" s="53"/>
      <c r="AV125" s="31" t="str">
        <f t="shared" si="285"/>
        <v/>
      </c>
      <c r="AW125" s="53"/>
      <c r="AX125" s="53" t="str">
        <f t="shared" si="286"/>
        <v/>
      </c>
      <c r="AY125" s="53"/>
      <c r="AZ125" s="75" t="str">
        <f t="shared" si="252"/>
        <v/>
      </c>
      <c r="BA125" s="76" t="str">
        <f t="shared" si="236"/>
        <v/>
      </c>
      <c r="BB125" s="31" t="str">
        <f t="shared" si="287"/>
        <v/>
      </c>
      <c r="BC125" s="32" t="str">
        <f t="shared" si="288"/>
        <v/>
      </c>
      <c r="BD125" s="15"/>
      <c r="BE125" s="2"/>
      <c r="BF125" s="79" t="str">
        <f>IF(DW125="","",DW125)</f>
        <v/>
      </c>
      <c r="BG125" s="240"/>
      <c r="BH125" s="53"/>
      <c r="BI125" s="53" t="str">
        <f t="shared" si="289"/>
        <v/>
      </c>
      <c r="BJ125" s="53"/>
      <c r="BK125" s="31" t="str">
        <f t="shared" si="290"/>
        <v/>
      </c>
      <c r="BL125" s="53"/>
      <c r="BM125" s="53" t="str">
        <f t="shared" si="291"/>
        <v/>
      </c>
      <c r="BN125" s="53"/>
      <c r="BO125" s="75" t="str">
        <f t="shared" si="250"/>
        <v/>
      </c>
      <c r="BP125" s="76" t="str">
        <f t="shared" si="238"/>
        <v/>
      </c>
      <c r="BQ125" s="31" t="str">
        <f t="shared" si="292"/>
        <v/>
      </c>
      <c r="BR125" s="32" t="str">
        <f t="shared" si="293"/>
        <v/>
      </c>
      <c r="BS125" s="15"/>
      <c r="BT125" s="114"/>
      <c r="BU125" s="16"/>
      <c r="BV125" s="54"/>
      <c r="BW125" s="13"/>
      <c r="BX125" s="13"/>
      <c r="BY125" s="13"/>
      <c r="BZ125" s="13"/>
      <c r="CA125" s="13"/>
      <c r="CB125" s="13"/>
      <c r="CC125" s="13"/>
      <c r="CD125" s="13"/>
      <c r="CE125" s="13"/>
      <c r="CF125" s="14"/>
      <c r="CG125" s="15"/>
      <c r="CH125" s="1"/>
      <c r="CI125" s="16"/>
      <c r="CJ125" s="54"/>
      <c r="CK125" s="13"/>
      <c r="CL125" s="13"/>
      <c r="CM125" s="13"/>
      <c r="CN125" s="13"/>
      <c r="CO125" s="13"/>
      <c r="CP125" s="13"/>
      <c r="CQ125" s="13"/>
      <c r="CR125" s="13"/>
      <c r="CS125" s="13"/>
      <c r="CT125" s="14"/>
      <c r="CU125" s="15"/>
      <c r="CV125" s="1"/>
      <c r="CW125" s="16"/>
      <c r="CX125" s="54"/>
      <c r="CY125" s="13"/>
      <c r="CZ125" s="13"/>
      <c r="DA125" s="13"/>
      <c r="DB125" s="13"/>
      <c r="DC125" s="13"/>
      <c r="DD125" s="13"/>
      <c r="DE125" s="13"/>
      <c r="DF125" s="13"/>
      <c r="DG125" s="13"/>
      <c r="DH125" s="14"/>
      <c r="DI125" s="15"/>
      <c r="DJ125" s="1"/>
      <c r="DK125" s="16"/>
      <c r="DL125" s="54"/>
      <c r="DM125" s="13"/>
      <c r="DN125" s="13"/>
      <c r="DO125" s="13"/>
      <c r="DP125" s="13"/>
      <c r="DQ125" s="13"/>
      <c r="DR125" s="13"/>
      <c r="DS125" s="13"/>
      <c r="DT125" s="13"/>
      <c r="DU125" s="13"/>
      <c r="DV125" s="14"/>
      <c r="DW125" s="15"/>
      <c r="DY125" s="16"/>
      <c r="DZ125" s="54"/>
      <c r="EA125" s="13"/>
      <c r="EB125" s="13"/>
      <c r="EC125" s="13"/>
      <c r="ED125" s="13"/>
      <c r="EE125" s="13"/>
      <c r="EF125" s="13"/>
      <c r="EG125" s="13"/>
      <c r="EH125" s="13"/>
      <c r="EI125" s="13"/>
      <c r="EJ125" s="14"/>
      <c r="EK125" s="15"/>
    </row>
    <row r="126" spans="1:141" ht="15" customHeight="1" x14ac:dyDescent="0.2">
      <c r="A126" s="16"/>
      <c r="B126" s="11"/>
      <c r="C126" s="13"/>
      <c r="D126" s="13" t="str">
        <f t="shared" si="265"/>
        <v/>
      </c>
      <c r="E126" s="13"/>
      <c r="F126" s="13" t="str">
        <f t="shared" si="266"/>
        <v/>
      </c>
      <c r="G126" s="13"/>
      <c r="H126" s="50" t="str">
        <f t="shared" si="267"/>
        <v/>
      </c>
      <c r="I126" s="13"/>
      <c r="J126" s="56" t="str">
        <f t="shared" si="268"/>
        <v/>
      </c>
      <c r="K126" s="54" t="str">
        <f t="shared" si="269"/>
        <v/>
      </c>
      <c r="L126" s="13" t="str">
        <f t="shared" si="270"/>
        <v/>
      </c>
      <c r="M126" s="14" t="str">
        <f t="shared" si="271"/>
        <v/>
      </c>
      <c r="N126" s="15"/>
      <c r="O126" s="2"/>
      <c r="P126" s="16"/>
      <c r="Q126" s="13"/>
      <c r="R126" s="13" t="str">
        <f t="shared" si="272"/>
        <v/>
      </c>
      <c r="S126" s="13"/>
      <c r="T126" s="13" t="str">
        <f t="shared" si="273"/>
        <v/>
      </c>
      <c r="U126" s="13"/>
      <c r="V126" s="50" t="str">
        <f t="shared" si="274"/>
        <v/>
      </c>
      <c r="W126" s="13"/>
      <c r="X126" s="56" t="str">
        <f t="shared" si="275"/>
        <v/>
      </c>
      <c r="Y126" s="54" t="str">
        <f t="shared" si="276"/>
        <v/>
      </c>
      <c r="Z126" s="13" t="str">
        <f t="shared" si="277"/>
        <v/>
      </c>
      <c r="AA126" s="14" t="str">
        <f t="shared" si="278"/>
        <v/>
      </c>
      <c r="AB126" s="15"/>
      <c r="AD126" s="16"/>
      <c r="AE126" s="13"/>
      <c r="AF126" s="13" t="str">
        <f t="shared" si="279"/>
        <v/>
      </c>
      <c r="AG126" s="13"/>
      <c r="AH126" s="13" t="str">
        <f t="shared" si="280"/>
        <v/>
      </c>
      <c r="AI126" s="13"/>
      <c r="AJ126" s="50" t="str">
        <f t="shared" si="281"/>
        <v/>
      </c>
      <c r="AK126" s="13"/>
      <c r="AL126" s="56" t="str">
        <f t="shared" si="263"/>
        <v/>
      </c>
      <c r="AM126" s="54" t="str">
        <f t="shared" si="264"/>
        <v/>
      </c>
      <c r="AN126" s="13" t="str">
        <f t="shared" si="282"/>
        <v/>
      </c>
      <c r="AO126" s="14" t="str">
        <f t="shared" si="283"/>
        <v/>
      </c>
      <c r="AP126" s="15"/>
      <c r="AQ126" s="115"/>
      <c r="AR126" s="16"/>
      <c r="AS126" s="13"/>
      <c r="AT126" s="13" t="str">
        <f t="shared" si="284"/>
        <v/>
      </c>
      <c r="AU126" s="13"/>
      <c r="AV126" s="13" t="str">
        <f t="shared" si="285"/>
        <v/>
      </c>
      <c r="AW126" s="13"/>
      <c r="AX126" s="50" t="str">
        <f t="shared" si="286"/>
        <v/>
      </c>
      <c r="AY126" s="13"/>
      <c r="AZ126" s="56" t="str">
        <f t="shared" si="252"/>
        <v/>
      </c>
      <c r="BA126" s="54" t="str">
        <f t="shared" si="236"/>
        <v/>
      </c>
      <c r="BB126" s="13" t="str">
        <f t="shared" si="287"/>
        <v/>
      </c>
      <c r="BC126" s="14" t="str">
        <f t="shared" si="288"/>
        <v/>
      </c>
      <c r="BD126" s="15"/>
      <c r="BE126" s="2"/>
      <c r="BF126" s="16"/>
      <c r="BG126" s="7"/>
      <c r="BH126" s="13"/>
      <c r="BI126" s="13" t="str">
        <f t="shared" si="289"/>
        <v/>
      </c>
      <c r="BJ126" s="13"/>
      <c r="BK126" s="13" t="str">
        <f t="shared" si="290"/>
        <v/>
      </c>
      <c r="BL126" s="13"/>
      <c r="BM126" s="50" t="str">
        <f t="shared" si="291"/>
        <v/>
      </c>
      <c r="BN126" s="13"/>
      <c r="BO126" s="56" t="str">
        <f t="shared" si="250"/>
        <v/>
      </c>
      <c r="BP126" s="54" t="str">
        <f t="shared" si="238"/>
        <v/>
      </c>
      <c r="BQ126" s="13" t="str">
        <f t="shared" si="292"/>
        <v/>
      </c>
      <c r="BR126" s="14" t="str">
        <f t="shared" si="293"/>
        <v/>
      </c>
      <c r="BS126" s="15"/>
      <c r="BT126" s="114"/>
      <c r="BU126" s="16"/>
      <c r="BV126" s="54"/>
      <c r="BW126" s="13" t="str">
        <f>IF(BV126="","",BV126-#REF!)</f>
        <v/>
      </c>
      <c r="BX126" s="13"/>
      <c r="BY126" s="13"/>
      <c r="BZ126" s="13"/>
      <c r="CA126" s="13" t="str">
        <f>IF(BZ126="","",#REF!+#REF!-BZ126)</f>
        <v/>
      </c>
      <c r="CB126" s="13"/>
      <c r="CC126" s="13"/>
      <c r="CD126" s="13"/>
      <c r="CE126" s="13" t="str">
        <f>IF(CD126="","",CA126*CD126)</f>
        <v/>
      </c>
      <c r="CF126" s="14" t="str">
        <f>IF(CE126="","",CE126/(BW126*100))</f>
        <v/>
      </c>
      <c r="CG126" s="15"/>
      <c r="CH126" s="1"/>
      <c r="CI126" s="16"/>
      <c r="CJ126" s="54"/>
      <c r="CK126" s="13" t="str">
        <f>IF(CJ126="","",CJ126-#REF!)</f>
        <v/>
      </c>
      <c r="CL126" s="13"/>
      <c r="CM126" s="13"/>
      <c r="CN126" s="13"/>
      <c r="CO126" s="13" t="str">
        <f>IF(CN126="","",#REF!+#REF!-CN126)</f>
        <v/>
      </c>
      <c r="CP126" s="13"/>
      <c r="CQ126" s="13"/>
      <c r="CR126" s="13"/>
      <c r="CS126" s="13" t="str">
        <f>IF(CR126="","",CO126*CR126)</f>
        <v/>
      </c>
      <c r="CT126" s="14" t="str">
        <f>IF(CS126="","",CS126/(CK126*100))</f>
        <v/>
      </c>
      <c r="CU126" s="15"/>
      <c r="CV126" s="1"/>
      <c r="CW126" s="16"/>
      <c r="CX126" s="54"/>
      <c r="CY126" s="13" t="str">
        <f>IF(CX126="","",CX126-#REF!)</f>
        <v/>
      </c>
      <c r="CZ126" s="13"/>
      <c r="DA126" s="13"/>
      <c r="DB126" s="13"/>
      <c r="DC126" s="13" t="str">
        <f>IF(DB126="","",#REF!+#REF!-DB126)</f>
        <v/>
      </c>
      <c r="DD126" s="13"/>
      <c r="DE126" s="13"/>
      <c r="DF126" s="13"/>
      <c r="DG126" s="13" t="str">
        <f>IF(DF126="","",DC126*DF126)</f>
        <v/>
      </c>
      <c r="DH126" s="14" t="str">
        <f>IF(DG126="","",DG126/(CY126*100))</f>
        <v/>
      </c>
      <c r="DI126" s="15"/>
      <c r="DJ126" s="1"/>
      <c r="DK126" s="16"/>
      <c r="DL126" s="54"/>
      <c r="DM126" s="13" t="str">
        <f>IF(DL126="","",DL126-#REF!)</f>
        <v/>
      </c>
      <c r="DN126" s="13"/>
      <c r="DO126" s="13"/>
      <c r="DP126" s="13"/>
      <c r="DQ126" s="13" t="str">
        <f>IF(DP126="","",#REF!+#REF!-DP126)</f>
        <v/>
      </c>
      <c r="DR126" s="13"/>
      <c r="DS126" s="13"/>
      <c r="DT126" s="13"/>
      <c r="DU126" s="13" t="str">
        <f>IF(DT126="","",DQ126*DT126)</f>
        <v/>
      </c>
      <c r="DV126" s="14" t="str">
        <f>IF(DU126="","",DU126/(DM126*100))</f>
        <v/>
      </c>
      <c r="DW126" s="15"/>
      <c r="DY126" s="16"/>
      <c r="DZ126" s="54"/>
      <c r="EA126" s="13" t="str">
        <f>IF(DZ126="","",DZ126-#REF!)</f>
        <v/>
      </c>
      <c r="EB126" s="13"/>
      <c r="EC126" s="13"/>
      <c r="ED126" s="13"/>
      <c r="EE126" s="13" t="str">
        <f>IF(ED126="","",#REF!+#REF!-ED126)</f>
        <v/>
      </c>
      <c r="EF126" s="13"/>
      <c r="EG126" s="13"/>
      <c r="EH126" s="13"/>
      <c r="EI126" s="13" t="str">
        <f>IF(EH126="","",EE126*EH126)</f>
        <v/>
      </c>
      <c r="EJ126" s="14" t="str">
        <f>IF(EI126="","",EI126/(EA126*100))</f>
        <v/>
      </c>
      <c r="EK126" s="15"/>
    </row>
    <row r="127" spans="1:141" ht="15" customHeight="1" x14ac:dyDescent="0.2">
      <c r="A127" s="16"/>
      <c r="B127" s="11"/>
      <c r="C127" s="13"/>
      <c r="D127" s="13" t="str">
        <f t="shared" si="265"/>
        <v/>
      </c>
      <c r="E127" s="13"/>
      <c r="F127" s="13" t="str">
        <f t="shared" si="266"/>
        <v/>
      </c>
      <c r="G127" s="13"/>
      <c r="H127" s="13" t="str">
        <f t="shared" si="267"/>
        <v/>
      </c>
      <c r="I127" s="13"/>
      <c r="J127" s="56" t="str">
        <f t="shared" si="268"/>
        <v/>
      </c>
      <c r="K127" s="13" t="str">
        <f t="shared" si="269"/>
        <v/>
      </c>
      <c r="L127" s="13" t="str">
        <f t="shared" si="270"/>
        <v/>
      </c>
      <c r="M127" s="14" t="str">
        <f t="shared" si="271"/>
        <v/>
      </c>
      <c r="N127" s="15"/>
      <c r="O127" s="2"/>
      <c r="P127" s="16"/>
      <c r="Q127" s="13"/>
      <c r="R127" s="13" t="str">
        <f t="shared" si="272"/>
        <v/>
      </c>
      <c r="S127" s="13"/>
      <c r="T127" s="13" t="str">
        <f t="shared" si="273"/>
        <v/>
      </c>
      <c r="U127" s="13"/>
      <c r="V127" s="13" t="str">
        <f t="shared" si="274"/>
        <v/>
      </c>
      <c r="W127" s="13"/>
      <c r="X127" s="56" t="str">
        <f t="shared" si="275"/>
        <v/>
      </c>
      <c r="Y127" s="13" t="str">
        <f t="shared" si="276"/>
        <v/>
      </c>
      <c r="Z127" s="13" t="str">
        <f t="shared" si="277"/>
        <v/>
      </c>
      <c r="AA127" s="14" t="str">
        <f t="shared" si="278"/>
        <v/>
      </c>
      <c r="AB127" s="15"/>
      <c r="AD127" s="16"/>
      <c r="AE127" s="13"/>
      <c r="AF127" s="13" t="str">
        <f t="shared" si="279"/>
        <v/>
      </c>
      <c r="AG127" s="13"/>
      <c r="AH127" s="13" t="str">
        <f t="shared" si="280"/>
        <v/>
      </c>
      <c r="AI127" s="13"/>
      <c r="AJ127" s="13" t="str">
        <f t="shared" si="281"/>
        <v/>
      </c>
      <c r="AK127" s="13"/>
      <c r="AL127" s="56" t="str">
        <f t="shared" si="263"/>
        <v/>
      </c>
      <c r="AM127" s="13" t="str">
        <f t="shared" si="264"/>
        <v/>
      </c>
      <c r="AN127" s="13" t="str">
        <f t="shared" si="282"/>
        <v/>
      </c>
      <c r="AO127" s="14" t="str">
        <f t="shared" si="283"/>
        <v/>
      </c>
      <c r="AP127" s="15"/>
      <c r="AQ127" s="115"/>
      <c r="AR127" s="16"/>
      <c r="AS127" s="13"/>
      <c r="AT127" s="13" t="str">
        <f t="shared" si="284"/>
        <v/>
      </c>
      <c r="AU127" s="13"/>
      <c r="AV127" s="13" t="str">
        <f t="shared" si="285"/>
        <v/>
      </c>
      <c r="AW127" s="13"/>
      <c r="AX127" s="13" t="str">
        <f t="shared" si="286"/>
        <v/>
      </c>
      <c r="AY127" s="13"/>
      <c r="AZ127" s="56" t="str">
        <f t="shared" si="252"/>
        <v/>
      </c>
      <c r="BA127" s="13" t="str">
        <f t="shared" si="236"/>
        <v/>
      </c>
      <c r="BB127" s="13" t="str">
        <f t="shared" si="287"/>
        <v/>
      </c>
      <c r="BC127" s="14" t="str">
        <f t="shared" si="288"/>
        <v/>
      </c>
      <c r="BD127" s="15"/>
      <c r="BE127" s="2"/>
      <c r="BF127" s="16"/>
      <c r="BG127" s="7"/>
      <c r="BH127" s="13"/>
      <c r="BI127" s="13" t="str">
        <f t="shared" si="289"/>
        <v/>
      </c>
      <c r="BJ127" s="13"/>
      <c r="BK127" s="13" t="str">
        <f t="shared" si="290"/>
        <v/>
      </c>
      <c r="BL127" s="13"/>
      <c r="BM127" s="13" t="str">
        <f t="shared" si="291"/>
        <v/>
      </c>
      <c r="BN127" s="13"/>
      <c r="BO127" s="56" t="str">
        <f t="shared" si="250"/>
        <v/>
      </c>
      <c r="BP127" s="13" t="str">
        <f t="shared" si="238"/>
        <v/>
      </c>
      <c r="BQ127" s="13" t="str">
        <f t="shared" si="292"/>
        <v/>
      </c>
      <c r="BR127" s="14" t="str">
        <f t="shared" si="293"/>
        <v/>
      </c>
      <c r="BS127" s="15"/>
      <c r="BU127" s="16"/>
      <c r="BV127" s="54"/>
      <c r="BW127" s="13" t="str">
        <f>IF(BV127="","",BV127-BV126)</f>
        <v/>
      </c>
      <c r="BX127" s="13"/>
      <c r="BY127" s="13"/>
      <c r="BZ127" s="13"/>
      <c r="CA127" s="13" t="str">
        <f>IF(BZ127="","",BZ126+CB126-BZ127)</f>
        <v/>
      </c>
      <c r="CB127" s="13"/>
      <c r="CC127" s="13"/>
      <c r="CD127" s="13"/>
      <c r="CE127" s="13" t="str">
        <f>IF(CD127="","",CA127*CD127)</f>
        <v/>
      </c>
      <c r="CF127" s="14" t="str">
        <f>IF(CE127="","",CE127/(BW127*100))</f>
        <v/>
      </c>
      <c r="CG127" s="15"/>
      <c r="CH127" s="1"/>
      <c r="CI127" s="16"/>
      <c r="CJ127" s="54"/>
      <c r="CK127" s="13" t="str">
        <f>IF(CJ127="","",CJ127-CJ126)</f>
        <v/>
      </c>
      <c r="CL127" s="13"/>
      <c r="CM127" s="13"/>
      <c r="CN127" s="13"/>
      <c r="CO127" s="13" t="str">
        <f>IF(CN127="","",CN126+CP126-CN127)</f>
        <v/>
      </c>
      <c r="CP127" s="13"/>
      <c r="CQ127" s="13"/>
      <c r="CR127" s="13"/>
      <c r="CS127" s="13" t="str">
        <f>IF(CR127="","",CO127*CR127)</f>
        <v/>
      </c>
      <c r="CT127" s="14" t="str">
        <f>IF(CS127="","",CS127/(CK127*100))</f>
        <v/>
      </c>
      <c r="CU127" s="15"/>
      <c r="CV127" s="1"/>
      <c r="CW127" s="16"/>
      <c r="CX127" s="54"/>
      <c r="CY127" s="13" t="str">
        <f>IF(CX127="","",CX127-CX126)</f>
        <v/>
      </c>
      <c r="CZ127" s="13"/>
      <c r="DA127" s="13"/>
      <c r="DB127" s="13"/>
      <c r="DC127" s="13" t="str">
        <f>IF(DB127="","",DB126+DD126-DB127)</f>
        <v/>
      </c>
      <c r="DD127" s="13"/>
      <c r="DE127" s="13"/>
      <c r="DF127" s="13"/>
      <c r="DG127" s="13" t="str">
        <f>IF(DF127="","",DC127*DF127)</f>
        <v/>
      </c>
      <c r="DH127" s="14" t="str">
        <f>IF(DG127="","",DG127/(CY127*100))</f>
        <v/>
      </c>
      <c r="DI127" s="15"/>
      <c r="DJ127" s="1"/>
      <c r="DK127" s="16"/>
      <c r="DL127" s="54"/>
      <c r="DM127" s="13" t="str">
        <f>IF(DL127="","",DL127-DL126)</f>
        <v/>
      </c>
      <c r="DN127" s="13"/>
      <c r="DO127" s="13"/>
      <c r="DP127" s="13"/>
      <c r="DQ127" s="13" t="str">
        <f>IF(DP127="","",DP126+DR126-DP127)</f>
        <v/>
      </c>
      <c r="DR127" s="13"/>
      <c r="DS127" s="13"/>
      <c r="DT127" s="13"/>
      <c r="DU127" s="13" t="str">
        <f>IF(DT127="","",DQ127*DT127)</f>
        <v/>
      </c>
      <c r="DV127" s="14" t="str">
        <f>IF(DU127="","",DU127/(DM127*100))</f>
        <v/>
      </c>
      <c r="DW127" s="15"/>
      <c r="DY127" s="16"/>
      <c r="DZ127" s="54"/>
      <c r="EA127" s="13" t="str">
        <f>IF(DZ127="","",DZ127-DZ126)</f>
        <v/>
      </c>
      <c r="EB127" s="13"/>
      <c r="EC127" s="13"/>
      <c r="ED127" s="13"/>
      <c r="EE127" s="13" t="str">
        <f>IF(ED127="","",ED126+EF126-ED127)</f>
        <v/>
      </c>
      <c r="EF127" s="13"/>
      <c r="EG127" s="13"/>
      <c r="EH127" s="13"/>
      <c r="EI127" s="13" t="str">
        <f>IF(EH127="","",EE127*EH127)</f>
        <v/>
      </c>
      <c r="EJ127" s="14" t="str">
        <f>IF(EI127="","",EI127/(EA127*100))</f>
        <v/>
      </c>
      <c r="EK127" s="15"/>
    </row>
    <row r="128" spans="1:141" ht="15" customHeight="1" thickBot="1" x14ac:dyDescent="0.25">
      <c r="A128" s="26"/>
      <c r="B128" s="46"/>
      <c r="C128" s="27"/>
      <c r="D128" s="27" t="str">
        <f t="shared" si="265"/>
        <v/>
      </c>
      <c r="E128" s="27"/>
      <c r="F128" s="27" t="str">
        <f t="shared" si="266"/>
        <v/>
      </c>
      <c r="G128" s="27"/>
      <c r="H128" s="27" t="str">
        <f t="shared" si="267"/>
        <v/>
      </c>
      <c r="I128" s="27"/>
      <c r="J128" s="57" t="str">
        <f t="shared" si="268"/>
        <v/>
      </c>
      <c r="K128" s="62" t="str">
        <f t="shared" si="269"/>
        <v/>
      </c>
      <c r="L128" s="27" t="str">
        <f t="shared" si="270"/>
        <v/>
      </c>
      <c r="M128" s="28" t="str">
        <f t="shared" si="271"/>
        <v/>
      </c>
      <c r="N128" s="15"/>
      <c r="O128" s="2"/>
      <c r="P128" s="26"/>
      <c r="Q128" s="27"/>
      <c r="R128" s="27" t="str">
        <f t="shared" si="272"/>
        <v/>
      </c>
      <c r="S128" s="27"/>
      <c r="T128" s="27" t="str">
        <f t="shared" si="273"/>
        <v/>
      </c>
      <c r="U128" s="27"/>
      <c r="V128" s="27" t="str">
        <f t="shared" si="274"/>
        <v/>
      </c>
      <c r="W128" s="27"/>
      <c r="X128" s="57" t="str">
        <f t="shared" si="275"/>
        <v/>
      </c>
      <c r="Y128" s="62" t="str">
        <f t="shared" si="276"/>
        <v/>
      </c>
      <c r="Z128" s="27" t="str">
        <f t="shared" si="277"/>
        <v/>
      </c>
      <c r="AA128" s="28" t="str">
        <f t="shared" si="278"/>
        <v/>
      </c>
      <c r="AB128" s="15"/>
      <c r="AD128" s="26"/>
      <c r="AE128" s="27"/>
      <c r="AF128" s="27" t="str">
        <f t="shared" si="279"/>
        <v/>
      </c>
      <c r="AG128" s="27"/>
      <c r="AH128" s="27" t="str">
        <f t="shared" si="280"/>
        <v/>
      </c>
      <c r="AI128" s="27"/>
      <c r="AJ128" s="27" t="str">
        <f t="shared" si="281"/>
        <v/>
      </c>
      <c r="AK128" s="27"/>
      <c r="AL128" s="57" t="str">
        <f t="shared" si="263"/>
        <v/>
      </c>
      <c r="AM128" s="62" t="str">
        <f t="shared" si="264"/>
        <v/>
      </c>
      <c r="AN128" s="27" t="str">
        <f t="shared" si="282"/>
        <v/>
      </c>
      <c r="AO128" s="28" t="str">
        <f t="shared" si="283"/>
        <v/>
      </c>
      <c r="AP128" s="15"/>
      <c r="AQ128" s="115"/>
      <c r="AR128" s="26"/>
      <c r="AS128" s="27"/>
      <c r="AT128" s="27" t="str">
        <f t="shared" si="284"/>
        <v/>
      </c>
      <c r="AU128" s="27"/>
      <c r="AV128" s="27" t="str">
        <f t="shared" si="285"/>
        <v/>
      </c>
      <c r="AW128" s="27"/>
      <c r="AX128" s="27" t="str">
        <f t="shared" si="286"/>
        <v/>
      </c>
      <c r="AY128" s="27"/>
      <c r="AZ128" s="57" t="str">
        <f t="shared" si="252"/>
        <v/>
      </c>
      <c r="BA128" s="62" t="str">
        <f t="shared" si="236"/>
        <v/>
      </c>
      <c r="BB128" s="27" t="str">
        <f t="shared" si="287"/>
        <v/>
      </c>
      <c r="BC128" s="28" t="str">
        <f t="shared" si="288"/>
        <v/>
      </c>
      <c r="BD128" s="15"/>
      <c r="BE128" s="2"/>
      <c r="BF128" s="26"/>
      <c r="BG128" s="241"/>
      <c r="BH128" s="27"/>
      <c r="BI128" s="27" t="str">
        <f t="shared" si="289"/>
        <v/>
      </c>
      <c r="BJ128" s="27"/>
      <c r="BK128" s="27" t="str">
        <f t="shared" si="290"/>
        <v/>
      </c>
      <c r="BL128" s="27"/>
      <c r="BM128" s="27" t="str">
        <f t="shared" si="291"/>
        <v/>
      </c>
      <c r="BN128" s="27"/>
      <c r="BO128" s="57" t="str">
        <f t="shared" si="250"/>
        <v/>
      </c>
      <c r="BP128" s="62" t="str">
        <f t="shared" si="238"/>
        <v/>
      </c>
      <c r="BQ128" s="27" t="str">
        <f t="shared" si="292"/>
        <v/>
      </c>
      <c r="BR128" s="28" t="str">
        <f t="shared" si="293"/>
        <v/>
      </c>
      <c r="BS128" s="15"/>
      <c r="BU128" s="16"/>
      <c r="BV128" s="54"/>
      <c r="BW128" s="13" t="str">
        <f>IF(BV128="","",BV128-BV127)</f>
        <v/>
      </c>
      <c r="BX128" s="13"/>
      <c r="BY128" s="13"/>
      <c r="BZ128" s="13"/>
      <c r="CA128" s="13" t="str">
        <f>IF(BZ128="","",BZ127+CB127-BZ128)</f>
        <v/>
      </c>
      <c r="CB128" s="13"/>
      <c r="CC128" s="13"/>
      <c r="CD128" s="13"/>
      <c r="CE128" s="13" t="str">
        <f>IF(CD128="","",CA128*CD128)</f>
        <v/>
      </c>
      <c r="CF128" s="14" t="str">
        <f>IF(CE128="","",CE128/(BW128*100))</f>
        <v/>
      </c>
      <c r="CG128" s="15"/>
      <c r="CH128" s="1"/>
      <c r="CI128" s="16"/>
      <c r="CJ128" s="54"/>
      <c r="CK128" s="13" t="str">
        <f>IF(CJ128="","",CJ128-CJ127)</f>
        <v/>
      </c>
      <c r="CL128" s="13"/>
      <c r="CM128" s="13"/>
      <c r="CN128" s="13"/>
      <c r="CO128" s="13" t="str">
        <f>IF(CN128="","",CN127+CP127-CN128)</f>
        <v/>
      </c>
      <c r="CP128" s="13"/>
      <c r="CQ128" s="13"/>
      <c r="CR128" s="13"/>
      <c r="CS128" s="13" t="str">
        <f>IF(CR128="","",CO128*CR128)</f>
        <v/>
      </c>
      <c r="CT128" s="14" t="str">
        <f>IF(CS128="","",CS128/(CK128*100))</f>
        <v/>
      </c>
      <c r="CU128" s="15"/>
      <c r="CV128" s="1"/>
      <c r="CW128" s="16"/>
      <c r="CX128" s="54"/>
      <c r="CY128" s="13" t="str">
        <f>IF(CX128="","",CX128-CX127)</f>
        <v/>
      </c>
      <c r="CZ128" s="13"/>
      <c r="DA128" s="13"/>
      <c r="DB128" s="13"/>
      <c r="DC128" s="13" t="str">
        <f>IF(DB128="","",DB127+DD127-DB128)</f>
        <v/>
      </c>
      <c r="DD128" s="13"/>
      <c r="DE128" s="13"/>
      <c r="DF128" s="13"/>
      <c r="DG128" s="13" t="str">
        <f>IF(DF128="","",DC128*DF128)</f>
        <v/>
      </c>
      <c r="DH128" s="14" t="str">
        <f>IF(DG128="","",DG128/(CY128*100))</f>
        <v/>
      </c>
      <c r="DI128" s="15"/>
      <c r="DJ128" s="1"/>
      <c r="DK128" s="16"/>
      <c r="DL128" s="54"/>
      <c r="DM128" s="13" t="str">
        <f>IF(DL128="","",DL128-DL127)</f>
        <v/>
      </c>
      <c r="DN128" s="13"/>
      <c r="DO128" s="13"/>
      <c r="DP128" s="13"/>
      <c r="DQ128" s="13" t="str">
        <f>IF(DP128="","",DP127+DR127-DP128)</f>
        <v/>
      </c>
      <c r="DR128" s="13"/>
      <c r="DS128" s="13"/>
      <c r="DT128" s="13"/>
      <c r="DU128" s="13" t="str">
        <f>IF(DT128="","",DQ128*DT128)</f>
        <v/>
      </c>
      <c r="DV128" s="14" t="str">
        <f>IF(DU128="","",DU128/(DM128*100))</f>
        <v/>
      </c>
      <c r="DW128" s="15"/>
      <c r="DY128" s="16"/>
      <c r="DZ128" s="54"/>
      <c r="EA128" s="13" t="str">
        <f>IF(DZ128="","",DZ128-DZ127)</f>
        <v/>
      </c>
      <c r="EB128" s="13"/>
      <c r="EC128" s="13"/>
      <c r="ED128" s="13"/>
      <c r="EE128" s="13" t="str">
        <f>IF(ED128="","",ED127+EF127-ED128)</f>
        <v/>
      </c>
      <c r="EF128" s="13"/>
      <c r="EG128" s="13"/>
      <c r="EH128" s="13"/>
      <c r="EI128" s="13" t="str">
        <f>IF(EH128="","",EE128*EH128)</f>
        <v/>
      </c>
      <c r="EJ128" s="14" t="str">
        <f>IF(EI128="","",EI128/(EA128*100))</f>
        <v/>
      </c>
      <c r="EK128" s="15"/>
    </row>
    <row r="129" spans="1:141" ht="15" customHeight="1" thickTop="1" x14ac:dyDescent="0.2">
      <c r="A129" s="79"/>
      <c r="B129" s="74" t="str">
        <f>IF(A129="","",SUM(D129:D132)+SUM(R129:R132)+SUM(AF129:AF132)+SUM(AT129:AT132)+SUM(BW90,CK90,CY90,DM90))</f>
        <v/>
      </c>
      <c r="C129" s="53"/>
      <c r="D129" s="53" t="str">
        <f t="shared" si="265"/>
        <v/>
      </c>
      <c r="E129" s="53"/>
      <c r="F129" s="31" t="str">
        <f t="shared" si="266"/>
        <v/>
      </c>
      <c r="G129" s="53"/>
      <c r="H129" s="53" t="str">
        <f t="shared" si="267"/>
        <v/>
      </c>
      <c r="I129" s="53"/>
      <c r="J129" s="75" t="str">
        <f t="shared" si="268"/>
        <v/>
      </c>
      <c r="K129" s="76" t="str">
        <f t="shared" si="269"/>
        <v/>
      </c>
      <c r="L129" s="31" t="str">
        <f t="shared" si="270"/>
        <v/>
      </c>
      <c r="M129" s="32" t="str">
        <f t="shared" si="271"/>
        <v/>
      </c>
      <c r="N129" s="15"/>
      <c r="O129" s="2"/>
      <c r="P129" s="79" t="str">
        <f>IF(A129="","",A129)</f>
        <v/>
      </c>
      <c r="Q129" s="53"/>
      <c r="R129" s="53" t="str">
        <f t="shared" si="272"/>
        <v/>
      </c>
      <c r="S129" s="53"/>
      <c r="T129" s="31" t="str">
        <f t="shared" si="273"/>
        <v/>
      </c>
      <c r="U129" s="53"/>
      <c r="V129" s="53" t="str">
        <f t="shared" si="274"/>
        <v/>
      </c>
      <c r="W129" s="53"/>
      <c r="X129" s="75" t="str">
        <f t="shared" si="275"/>
        <v/>
      </c>
      <c r="Y129" s="76" t="str">
        <f t="shared" si="276"/>
        <v/>
      </c>
      <c r="Z129" s="31" t="str">
        <f t="shared" si="277"/>
        <v/>
      </c>
      <c r="AA129" s="32" t="str">
        <f t="shared" si="278"/>
        <v/>
      </c>
      <c r="AB129" s="15"/>
      <c r="AD129" s="79" t="str">
        <f>IF($A129="","",$A129)</f>
        <v/>
      </c>
      <c r="AE129" s="53"/>
      <c r="AF129" s="53" t="str">
        <f t="shared" si="279"/>
        <v/>
      </c>
      <c r="AG129" s="53"/>
      <c r="AH129" s="31" t="str">
        <f t="shared" si="280"/>
        <v/>
      </c>
      <c r="AI129" s="53"/>
      <c r="AJ129" s="53" t="str">
        <f t="shared" si="281"/>
        <v/>
      </c>
      <c r="AK129" s="53"/>
      <c r="AL129" s="75" t="str">
        <f t="shared" si="263"/>
        <v/>
      </c>
      <c r="AM129" s="76" t="str">
        <f t="shared" si="264"/>
        <v/>
      </c>
      <c r="AN129" s="31" t="str">
        <f t="shared" si="282"/>
        <v/>
      </c>
      <c r="AO129" s="32" t="str">
        <f t="shared" si="283"/>
        <v/>
      </c>
      <c r="AP129" s="15"/>
      <c r="AQ129" s="2"/>
      <c r="AR129" s="79" t="str">
        <f>IF($A129="","",$A129)</f>
        <v/>
      </c>
      <c r="AS129" s="53"/>
      <c r="AT129" s="53" t="str">
        <f t="shared" si="284"/>
        <v/>
      </c>
      <c r="AU129" s="53"/>
      <c r="AV129" s="31" t="str">
        <f t="shared" si="285"/>
        <v/>
      </c>
      <c r="AW129" s="53"/>
      <c r="AX129" s="53" t="str">
        <f t="shared" si="286"/>
        <v/>
      </c>
      <c r="AY129" s="53"/>
      <c r="AZ129" s="75" t="str">
        <f t="shared" si="252"/>
        <v/>
      </c>
      <c r="BA129" s="76" t="str">
        <f t="shared" si="236"/>
        <v/>
      </c>
      <c r="BB129" s="31" t="str">
        <f t="shared" si="287"/>
        <v/>
      </c>
      <c r="BC129" s="32" t="str">
        <f t="shared" si="288"/>
        <v/>
      </c>
      <c r="BD129" s="15"/>
      <c r="BE129" s="2"/>
      <c r="BF129" s="79" t="str">
        <f>IF(DW129="","",DW129)</f>
        <v/>
      </c>
      <c r="BG129" s="240"/>
      <c r="BH129" s="53"/>
      <c r="BI129" s="53" t="str">
        <f t="shared" si="289"/>
        <v/>
      </c>
      <c r="BJ129" s="53"/>
      <c r="BK129" s="31" t="str">
        <f t="shared" si="290"/>
        <v/>
      </c>
      <c r="BL129" s="53"/>
      <c r="BM129" s="53" t="str">
        <f t="shared" si="291"/>
        <v/>
      </c>
      <c r="BN129" s="53"/>
      <c r="BO129" s="75" t="str">
        <f t="shared" si="250"/>
        <v/>
      </c>
      <c r="BP129" s="76" t="str">
        <f t="shared" si="238"/>
        <v/>
      </c>
      <c r="BQ129" s="31" t="str">
        <f t="shared" si="292"/>
        <v/>
      </c>
      <c r="BR129" s="32" t="str">
        <f t="shared" si="293"/>
        <v/>
      </c>
      <c r="BS129" s="15"/>
      <c r="BU129" s="16"/>
      <c r="BV129" s="54"/>
      <c r="BW129" s="13"/>
      <c r="BX129" s="13"/>
      <c r="BY129" s="13"/>
      <c r="BZ129" s="13"/>
      <c r="CA129" s="13" t="str">
        <f>IF(BZ129="","",BZ128+CB128-BZ129)</f>
        <v/>
      </c>
      <c r="CB129" s="13"/>
      <c r="CC129" s="13"/>
      <c r="CD129" s="13"/>
      <c r="CE129" s="13" t="str">
        <f>IF(CD129="","",CA129*CD129)</f>
        <v/>
      </c>
      <c r="CF129" s="14" t="str">
        <f>IF(CE129="","",CE129/(BW129*100))</f>
        <v/>
      </c>
      <c r="CG129" s="15"/>
      <c r="CH129" s="1"/>
      <c r="CI129" s="16"/>
      <c r="CJ129" s="54"/>
      <c r="CK129" s="13"/>
      <c r="CL129" s="13"/>
      <c r="CM129" s="13"/>
      <c r="CN129" s="13"/>
      <c r="CO129" s="13" t="str">
        <f>IF(CN129="","",CN128+CP128-CN129)</f>
        <v/>
      </c>
      <c r="CP129" s="13"/>
      <c r="CQ129" s="13"/>
      <c r="CR129" s="13"/>
      <c r="CS129" s="13" t="str">
        <f>IF(CR129="","",CO129*CR129)</f>
        <v/>
      </c>
      <c r="CT129" s="14" t="str">
        <f>IF(CS129="","",CS129/(CK129*100))</f>
        <v/>
      </c>
      <c r="CU129" s="15"/>
      <c r="CV129" s="1"/>
      <c r="CW129" s="16"/>
      <c r="CX129" s="54"/>
      <c r="CY129" s="13"/>
      <c r="CZ129" s="13"/>
      <c r="DA129" s="13"/>
      <c r="DB129" s="13"/>
      <c r="DC129" s="13" t="str">
        <f>IF(DB129="","",DB128+DD128-DB129)</f>
        <v/>
      </c>
      <c r="DD129" s="13"/>
      <c r="DE129" s="13"/>
      <c r="DF129" s="13"/>
      <c r="DG129" s="13" t="str">
        <f>IF(DF129="","",DC129*DF129)</f>
        <v/>
      </c>
      <c r="DH129" s="14" t="str">
        <f>IF(DG129="","",DG129/(CY129*100))</f>
        <v/>
      </c>
      <c r="DI129" s="15"/>
      <c r="DJ129" s="1"/>
      <c r="DK129" s="16"/>
      <c r="DL129" s="54"/>
      <c r="DM129" s="13"/>
      <c r="DN129" s="13"/>
      <c r="DO129" s="13"/>
      <c r="DP129" s="13"/>
      <c r="DQ129" s="13" t="str">
        <f>IF(DP129="","",DP128+DR128-DP129)</f>
        <v/>
      </c>
      <c r="DR129" s="13"/>
      <c r="DS129" s="13"/>
      <c r="DT129" s="13"/>
      <c r="DU129" s="13" t="str">
        <f>IF(DT129="","",DQ129*DT129)</f>
        <v/>
      </c>
      <c r="DV129" s="14" t="str">
        <f>IF(DU129="","",DU129/(DM129*100))</f>
        <v/>
      </c>
      <c r="DW129" s="15"/>
      <c r="DY129" s="16"/>
      <c r="DZ129" s="54"/>
      <c r="EA129" s="13"/>
      <c r="EB129" s="13"/>
      <c r="EC129" s="13"/>
      <c r="ED129" s="13"/>
      <c r="EE129" s="13" t="str">
        <f>IF(ED129="","",ED128+EF128-ED129)</f>
        <v/>
      </c>
      <c r="EF129" s="13"/>
      <c r="EG129" s="13"/>
      <c r="EH129" s="13"/>
      <c r="EI129" s="13" t="str">
        <f>IF(EH129="","",EE129*EH129)</f>
        <v/>
      </c>
      <c r="EJ129" s="14" t="str">
        <f>IF(EI129="","",EI129/(EA129*100))</f>
        <v/>
      </c>
      <c r="EK129" s="15"/>
    </row>
    <row r="130" spans="1:141" ht="15" customHeight="1" x14ac:dyDescent="0.2">
      <c r="A130" s="79"/>
      <c r="B130" s="74"/>
      <c r="C130" s="53"/>
      <c r="D130" s="13" t="str">
        <f t="shared" si="265"/>
        <v/>
      </c>
      <c r="E130" s="53"/>
      <c r="F130" s="13" t="str">
        <f t="shared" si="266"/>
        <v/>
      </c>
      <c r="G130" s="53"/>
      <c r="H130" s="50" t="str">
        <f t="shared" si="267"/>
        <v/>
      </c>
      <c r="I130" s="53"/>
      <c r="J130" s="56" t="str">
        <f t="shared" si="268"/>
        <v/>
      </c>
      <c r="K130" s="54" t="str">
        <f t="shared" si="269"/>
        <v/>
      </c>
      <c r="L130" s="13" t="str">
        <f t="shared" si="270"/>
        <v/>
      </c>
      <c r="M130" s="14" t="str">
        <f t="shared" si="271"/>
        <v/>
      </c>
      <c r="N130" s="15"/>
      <c r="O130" s="2"/>
      <c r="P130" s="79"/>
      <c r="Q130" s="53"/>
      <c r="R130" s="13" t="str">
        <f t="shared" si="272"/>
        <v/>
      </c>
      <c r="S130" s="53"/>
      <c r="T130" s="13" t="str">
        <f t="shared" si="273"/>
        <v/>
      </c>
      <c r="U130" s="53"/>
      <c r="V130" s="50" t="str">
        <f t="shared" si="274"/>
        <v/>
      </c>
      <c r="W130" s="53"/>
      <c r="X130" s="56" t="str">
        <f t="shared" si="275"/>
        <v/>
      </c>
      <c r="Y130" s="54" t="str">
        <f t="shared" si="276"/>
        <v/>
      </c>
      <c r="Z130" s="13" t="str">
        <f t="shared" si="277"/>
        <v/>
      </c>
      <c r="AA130" s="14" t="str">
        <f t="shared" si="278"/>
        <v/>
      </c>
      <c r="AB130" s="15"/>
      <c r="AD130" s="79"/>
      <c r="AE130" s="53"/>
      <c r="AF130" s="13" t="str">
        <f t="shared" si="279"/>
        <v/>
      </c>
      <c r="AG130" s="53"/>
      <c r="AH130" s="13" t="str">
        <f t="shared" si="280"/>
        <v/>
      </c>
      <c r="AI130" s="53"/>
      <c r="AJ130" s="50" t="str">
        <f t="shared" si="281"/>
        <v/>
      </c>
      <c r="AK130" s="53"/>
      <c r="AL130" s="56" t="str">
        <f t="shared" si="263"/>
        <v/>
      </c>
      <c r="AM130" s="54" t="str">
        <f t="shared" si="264"/>
        <v/>
      </c>
      <c r="AN130" s="13" t="str">
        <f t="shared" si="282"/>
        <v/>
      </c>
      <c r="AO130" s="14" t="str">
        <f t="shared" si="283"/>
        <v/>
      </c>
      <c r="AP130" s="15"/>
      <c r="AQ130" s="2"/>
      <c r="AR130" s="79"/>
      <c r="AS130" s="53"/>
      <c r="AT130" s="13" t="str">
        <f t="shared" si="284"/>
        <v/>
      </c>
      <c r="AU130" s="53"/>
      <c r="AV130" s="13" t="str">
        <f t="shared" si="285"/>
        <v/>
      </c>
      <c r="AW130" s="53"/>
      <c r="AX130" s="50" t="str">
        <f t="shared" si="286"/>
        <v/>
      </c>
      <c r="AY130" s="53"/>
      <c r="AZ130" s="56" t="str">
        <f t="shared" si="252"/>
        <v/>
      </c>
      <c r="BA130" s="54" t="str">
        <f t="shared" si="236"/>
        <v/>
      </c>
      <c r="BB130" s="13" t="str">
        <f t="shared" si="287"/>
        <v/>
      </c>
      <c r="BC130" s="14" t="str">
        <f t="shared" si="288"/>
        <v/>
      </c>
      <c r="BD130" s="15"/>
      <c r="BE130" s="2"/>
      <c r="BF130" s="79"/>
      <c r="BG130" s="240"/>
      <c r="BH130" s="53"/>
      <c r="BI130" s="13" t="str">
        <f t="shared" si="289"/>
        <v/>
      </c>
      <c r="BJ130" s="53"/>
      <c r="BK130" s="13" t="str">
        <f t="shared" si="290"/>
        <v/>
      </c>
      <c r="BL130" s="53"/>
      <c r="BM130" s="50" t="str">
        <f t="shared" si="291"/>
        <v/>
      </c>
      <c r="BN130" s="53"/>
      <c r="BO130" s="56" t="str">
        <f t="shared" si="250"/>
        <v/>
      </c>
      <c r="BP130" s="54" t="str">
        <f t="shared" si="238"/>
        <v/>
      </c>
      <c r="BQ130" s="13" t="str">
        <f t="shared" si="292"/>
        <v/>
      </c>
      <c r="BR130" s="14" t="str">
        <f t="shared" si="293"/>
        <v/>
      </c>
      <c r="BS130" s="15"/>
      <c r="BU130" s="16"/>
      <c r="BV130" s="54"/>
      <c r="BW130" s="13"/>
      <c r="BX130" s="13"/>
      <c r="BY130" s="13"/>
      <c r="BZ130" s="13"/>
      <c r="CA130" s="13"/>
      <c r="CB130" s="13"/>
      <c r="CC130" s="13"/>
      <c r="CD130" s="13"/>
      <c r="CE130" s="13"/>
      <c r="CF130" s="14"/>
      <c r="CG130" s="15"/>
      <c r="CH130" s="1"/>
      <c r="CI130" s="16"/>
      <c r="CJ130" s="54"/>
      <c r="CK130" s="13"/>
      <c r="CL130" s="13"/>
      <c r="CM130" s="13"/>
      <c r="CN130" s="13"/>
      <c r="CO130" s="13"/>
      <c r="CP130" s="13"/>
      <c r="CQ130" s="13"/>
      <c r="CR130" s="13"/>
      <c r="CS130" s="13"/>
      <c r="CT130" s="14"/>
      <c r="CU130" s="15"/>
      <c r="CV130" s="1"/>
      <c r="CW130" s="16"/>
      <c r="CX130" s="54"/>
      <c r="CY130" s="13"/>
      <c r="CZ130" s="13"/>
      <c r="DA130" s="13"/>
      <c r="DB130" s="13"/>
      <c r="DC130" s="13"/>
      <c r="DD130" s="13"/>
      <c r="DE130" s="13"/>
      <c r="DF130" s="13"/>
      <c r="DG130" s="13"/>
      <c r="DH130" s="14"/>
      <c r="DI130" s="15"/>
      <c r="DJ130" s="1"/>
      <c r="DK130" s="16"/>
      <c r="DL130" s="54"/>
      <c r="DM130" s="13"/>
      <c r="DN130" s="13"/>
      <c r="DO130" s="13"/>
      <c r="DP130" s="13"/>
      <c r="DQ130" s="13"/>
      <c r="DR130" s="13"/>
      <c r="DS130" s="13"/>
      <c r="DT130" s="13"/>
      <c r="DU130" s="13"/>
      <c r="DV130" s="14"/>
      <c r="DW130" s="15"/>
      <c r="DY130" s="16"/>
      <c r="DZ130" s="54"/>
      <c r="EA130" s="13"/>
      <c r="EB130" s="13"/>
      <c r="EC130" s="13"/>
      <c r="ED130" s="13"/>
      <c r="EE130" s="13"/>
      <c r="EF130" s="13"/>
      <c r="EG130" s="13"/>
      <c r="EH130" s="13"/>
      <c r="EI130" s="13"/>
      <c r="EJ130" s="14"/>
      <c r="EK130" s="15"/>
    </row>
    <row r="131" spans="1:141" ht="15" customHeight="1" x14ac:dyDescent="0.2">
      <c r="A131" s="79"/>
      <c r="B131" s="74"/>
      <c r="C131" s="53"/>
      <c r="D131" s="13" t="str">
        <f t="shared" si="265"/>
        <v/>
      </c>
      <c r="E131" s="53"/>
      <c r="F131" s="13" t="str">
        <f t="shared" si="266"/>
        <v/>
      </c>
      <c r="G131" s="53"/>
      <c r="H131" s="13" t="str">
        <f t="shared" si="267"/>
        <v/>
      </c>
      <c r="I131" s="53"/>
      <c r="J131" s="56" t="str">
        <f t="shared" si="268"/>
        <v/>
      </c>
      <c r="K131" s="13" t="str">
        <f t="shared" si="269"/>
        <v/>
      </c>
      <c r="L131" s="13" t="str">
        <f t="shared" si="270"/>
        <v/>
      </c>
      <c r="M131" s="14" t="str">
        <f t="shared" si="271"/>
        <v/>
      </c>
      <c r="N131" s="15"/>
      <c r="O131" s="2"/>
      <c r="P131" s="79"/>
      <c r="Q131" s="53"/>
      <c r="R131" s="13" t="str">
        <f t="shared" si="272"/>
        <v/>
      </c>
      <c r="S131" s="53"/>
      <c r="T131" s="13" t="str">
        <f t="shared" si="273"/>
        <v/>
      </c>
      <c r="U131" s="53"/>
      <c r="V131" s="13" t="str">
        <f t="shared" si="274"/>
        <v/>
      </c>
      <c r="W131" s="53"/>
      <c r="X131" s="56" t="str">
        <f t="shared" si="275"/>
        <v/>
      </c>
      <c r="Y131" s="13" t="str">
        <f t="shared" si="276"/>
        <v/>
      </c>
      <c r="Z131" s="13" t="str">
        <f t="shared" si="277"/>
        <v/>
      </c>
      <c r="AA131" s="14" t="str">
        <f t="shared" si="278"/>
        <v/>
      </c>
      <c r="AB131" s="15"/>
      <c r="AD131" s="79"/>
      <c r="AE131" s="53"/>
      <c r="AF131" s="13" t="str">
        <f t="shared" si="279"/>
        <v/>
      </c>
      <c r="AG131" s="53"/>
      <c r="AH131" s="13" t="str">
        <f t="shared" si="280"/>
        <v/>
      </c>
      <c r="AI131" s="53"/>
      <c r="AJ131" s="13" t="str">
        <f t="shared" si="281"/>
        <v/>
      </c>
      <c r="AK131" s="53"/>
      <c r="AL131" s="56" t="str">
        <f t="shared" si="263"/>
        <v/>
      </c>
      <c r="AM131" s="13" t="str">
        <f t="shared" si="264"/>
        <v/>
      </c>
      <c r="AN131" s="13" t="str">
        <f t="shared" si="282"/>
        <v/>
      </c>
      <c r="AO131" s="14" t="str">
        <f t="shared" si="283"/>
        <v/>
      </c>
      <c r="AP131" s="15"/>
      <c r="AQ131" s="2"/>
      <c r="AR131" s="79"/>
      <c r="AS131" s="53"/>
      <c r="AT131" s="13" t="str">
        <f t="shared" si="284"/>
        <v/>
      </c>
      <c r="AU131" s="53"/>
      <c r="AV131" s="13" t="str">
        <f t="shared" si="285"/>
        <v/>
      </c>
      <c r="AW131" s="53"/>
      <c r="AX131" s="13" t="str">
        <f t="shared" si="286"/>
        <v/>
      </c>
      <c r="AY131" s="53"/>
      <c r="AZ131" s="56" t="str">
        <f t="shared" si="252"/>
        <v/>
      </c>
      <c r="BA131" s="13" t="str">
        <f t="shared" si="236"/>
        <v/>
      </c>
      <c r="BB131" s="13" t="str">
        <f t="shared" si="287"/>
        <v/>
      </c>
      <c r="BC131" s="14" t="str">
        <f t="shared" si="288"/>
        <v/>
      </c>
      <c r="BD131" s="15"/>
      <c r="BE131" s="2"/>
      <c r="BF131" s="79"/>
      <c r="BG131" s="240"/>
      <c r="BH131" s="53"/>
      <c r="BI131" s="13" t="str">
        <f t="shared" si="289"/>
        <v/>
      </c>
      <c r="BJ131" s="53"/>
      <c r="BK131" s="13" t="str">
        <f t="shared" si="290"/>
        <v/>
      </c>
      <c r="BL131" s="53"/>
      <c r="BM131" s="13" t="str">
        <f t="shared" si="291"/>
        <v/>
      </c>
      <c r="BN131" s="53"/>
      <c r="BO131" s="56" t="str">
        <f t="shared" si="250"/>
        <v/>
      </c>
      <c r="BP131" s="13" t="str">
        <f t="shared" si="238"/>
        <v/>
      </c>
      <c r="BQ131" s="13" t="str">
        <f t="shared" si="292"/>
        <v/>
      </c>
      <c r="BR131" s="14" t="str">
        <f t="shared" si="293"/>
        <v/>
      </c>
      <c r="BS131" s="15"/>
      <c r="BU131" s="16"/>
      <c r="BV131" s="54"/>
      <c r="BW131" s="13"/>
      <c r="BX131" s="13"/>
      <c r="BY131" s="13"/>
      <c r="BZ131" s="13"/>
      <c r="CA131" s="13"/>
      <c r="CB131" s="13"/>
      <c r="CC131" s="13"/>
      <c r="CD131" s="13"/>
      <c r="CE131" s="13"/>
      <c r="CF131" s="14"/>
      <c r="CG131" s="15"/>
      <c r="CH131" s="1"/>
      <c r="CI131" s="16"/>
      <c r="CJ131" s="54"/>
      <c r="CK131" s="13"/>
      <c r="CL131" s="13"/>
      <c r="CM131" s="13"/>
      <c r="CN131" s="13"/>
      <c r="CO131" s="13"/>
      <c r="CP131" s="13"/>
      <c r="CQ131" s="13"/>
      <c r="CR131" s="13"/>
      <c r="CS131" s="13"/>
      <c r="CT131" s="14"/>
      <c r="CU131" s="15"/>
      <c r="CV131" s="1"/>
      <c r="CW131" s="16"/>
      <c r="CX131" s="54"/>
      <c r="CY131" s="13"/>
      <c r="CZ131" s="13"/>
      <c r="DA131" s="13"/>
      <c r="DB131" s="13"/>
      <c r="DC131" s="13"/>
      <c r="DD131" s="13"/>
      <c r="DE131" s="13"/>
      <c r="DF131" s="13"/>
      <c r="DG131" s="13"/>
      <c r="DH131" s="14"/>
      <c r="DI131" s="15"/>
      <c r="DJ131" s="1"/>
      <c r="DK131" s="16"/>
      <c r="DL131" s="54"/>
      <c r="DM131" s="13"/>
      <c r="DN131" s="13"/>
      <c r="DO131" s="13"/>
      <c r="DP131" s="13"/>
      <c r="DQ131" s="13"/>
      <c r="DR131" s="13"/>
      <c r="DS131" s="13"/>
      <c r="DT131" s="13"/>
      <c r="DU131" s="13"/>
      <c r="DV131" s="14"/>
      <c r="DW131" s="15"/>
      <c r="DY131" s="16"/>
      <c r="DZ131" s="54"/>
      <c r="EA131" s="13"/>
      <c r="EB131" s="13"/>
      <c r="EC131" s="13"/>
      <c r="ED131" s="13"/>
      <c r="EE131" s="13"/>
      <c r="EF131" s="13"/>
      <c r="EG131" s="13"/>
      <c r="EH131" s="13"/>
      <c r="EI131" s="13"/>
      <c r="EJ131" s="14"/>
      <c r="EK131" s="15"/>
    </row>
    <row r="132" spans="1:141" ht="15" customHeight="1" thickBot="1" x14ac:dyDescent="0.25">
      <c r="A132" s="160"/>
      <c r="B132" s="161"/>
      <c r="C132" s="162"/>
      <c r="D132" s="163" t="str">
        <f t="shared" si="265"/>
        <v/>
      </c>
      <c r="E132" s="162"/>
      <c r="F132" s="163" t="str">
        <f t="shared" si="266"/>
        <v/>
      </c>
      <c r="G132" s="162"/>
      <c r="H132" s="163" t="str">
        <f t="shared" si="267"/>
        <v/>
      </c>
      <c r="I132" s="162"/>
      <c r="J132" s="164" t="str">
        <f t="shared" si="268"/>
        <v/>
      </c>
      <c r="K132" s="165" t="str">
        <f t="shared" si="269"/>
        <v/>
      </c>
      <c r="L132" s="163" t="str">
        <f t="shared" si="270"/>
        <v/>
      </c>
      <c r="M132" s="166" t="str">
        <f t="shared" si="271"/>
        <v/>
      </c>
      <c r="N132" s="167"/>
      <c r="O132" s="168"/>
      <c r="P132" s="160"/>
      <c r="Q132" s="162"/>
      <c r="R132" s="163" t="str">
        <f t="shared" si="272"/>
        <v/>
      </c>
      <c r="S132" s="162"/>
      <c r="T132" s="163" t="str">
        <f t="shared" si="273"/>
        <v/>
      </c>
      <c r="U132" s="162"/>
      <c r="V132" s="163" t="str">
        <f t="shared" si="274"/>
        <v/>
      </c>
      <c r="W132" s="162"/>
      <c r="X132" s="164" t="str">
        <f t="shared" si="275"/>
        <v/>
      </c>
      <c r="Y132" s="165" t="str">
        <f t="shared" si="276"/>
        <v/>
      </c>
      <c r="Z132" s="163" t="str">
        <f t="shared" si="277"/>
        <v/>
      </c>
      <c r="AA132" s="166" t="str">
        <f t="shared" si="278"/>
        <v/>
      </c>
      <c r="AB132" s="167"/>
      <c r="AC132" s="169"/>
      <c r="AD132" s="160"/>
      <c r="AE132" s="162"/>
      <c r="AF132" s="163" t="str">
        <f t="shared" si="279"/>
        <v/>
      </c>
      <c r="AG132" s="162"/>
      <c r="AH132" s="163" t="str">
        <f t="shared" si="280"/>
        <v/>
      </c>
      <c r="AI132" s="162"/>
      <c r="AJ132" s="163" t="str">
        <f t="shared" si="281"/>
        <v/>
      </c>
      <c r="AK132" s="162"/>
      <c r="AL132" s="164" t="str">
        <f t="shared" si="263"/>
        <v/>
      </c>
      <c r="AM132" s="165" t="str">
        <f t="shared" si="264"/>
        <v/>
      </c>
      <c r="AN132" s="163" t="str">
        <f t="shared" si="282"/>
        <v/>
      </c>
      <c r="AO132" s="166" t="str">
        <f t="shared" si="283"/>
        <v/>
      </c>
      <c r="AP132" s="167"/>
      <c r="AQ132" s="168"/>
      <c r="AR132" s="160"/>
      <c r="AS132" s="162"/>
      <c r="AT132" s="163" t="str">
        <f t="shared" si="284"/>
        <v/>
      </c>
      <c r="AU132" s="162"/>
      <c r="AV132" s="163" t="str">
        <f t="shared" si="285"/>
        <v/>
      </c>
      <c r="AW132" s="162"/>
      <c r="AX132" s="163" t="str">
        <f t="shared" si="286"/>
        <v/>
      </c>
      <c r="AY132" s="162"/>
      <c r="AZ132" s="164" t="str">
        <f t="shared" si="252"/>
        <v/>
      </c>
      <c r="BA132" s="165" t="str">
        <f t="shared" si="236"/>
        <v/>
      </c>
      <c r="BB132" s="163" t="str">
        <f t="shared" si="287"/>
        <v/>
      </c>
      <c r="BC132" s="166" t="str">
        <f t="shared" si="288"/>
        <v/>
      </c>
      <c r="BD132" s="167"/>
      <c r="BE132" s="168"/>
      <c r="BF132" s="160"/>
      <c r="BG132" s="244"/>
      <c r="BH132" s="162"/>
      <c r="BI132" s="163" t="str">
        <f t="shared" si="289"/>
        <v/>
      </c>
      <c r="BJ132" s="162"/>
      <c r="BK132" s="163" t="str">
        <f t="shared" si="290"/>
        <v/>
      </c>
      <c r="BL132" s="162"/>
      <c r="BM132" s="163" t="str">
        <f t="shared" si="291"/>
        <v/>
      </c>
      <c r="BN132" s="162"/>
      <c r="BO132" s="164" t="str">
        <f t="shared" si="250"/>
        <v/>
      </c>
      <c r="BP132" s="165" t="str">
        <f t="shared" si="238"/>
        <v/>
      </c>
      <c r="BQ132" s="163" t="str">
        <f t="shared" si="292"/>
        <v/>
      </c>
      <c r="BR132" s="166" t="str">
        <f t="shared" si="293"/>
        <v/>
      </c>
      <c r="BS132" s="167"/>
      <c r="BT132" s="169"/>
      <c r="BU132" s="170"/>
      <c r="BV132" s="165"/>
      <c r="BW132" s="163"/>
      <c r="BX132" s="163"/>
      <c r="BY132" s="163"/>
      <c r="BZ132" s="163"/>
      <c r="CA132" s="163"/>
      <c r="CB132" s="163"/>
      <c r="CC132" s="163"/>
      <c r="CD132" s="163"/>
      <c r="CE132" s="163"/>
      <c r="CF132" s="166"/>
      <c r="CG132" s="167"/>
      <c r="CH132" s="171"/>
      <c r="CI132" s="170"/>
      <c r="CJ132" s="165"/>
      <c r="CK132" s="163"/>
      <c r="CL132" s="163"/>
      <c r="CM132" s="163"/>
      <c r="CN132" s="163"/>
      <c r="CO132" s="163"/>
      <c r="CP132" s="163"/>
      <c r="CQ132" s="163"/>
      <c r="CR132" s="163"/>
      <c r="CS132" s="163"/>
      <c r="CT132" s="166"/>
      <c r="CU132" s="167"/>
      <c r="CV132" s="171"/>
      <c r="CW132" s="170"/>
      <c r="CX132" s="165"/>
      <c r="CY132" s="163"/>
      <c r="CZ132" s="163"/>
      <c r="DA132" s="163"/>
      <c r="DB132" s="163"/>
      <c r="DC132" s="163"/>
      <c r="DD132" s="163"/>
      <c r="DE132" s="163"/>
      <c r="DF132" s="163"/>
      <c r="DG132" s="163"/>
      <c r="DH132" s="166"/>
      <c r="DI132" s="167"/>
      <c r="DJ132" s="171"/>
      <c r="DK132" s="170"/>
      <c r="DL132" s="165"/>
      <c r="DM132" s="163"/>
      <c r="DN132" s="163"/>
      <c r="DO132" s="163"/>
      <c r="DP132" s="163"/>
      <c r="DQ132" s="163"/>
      <c r="DR132" s="163"/>
      <c r="DS132" s="163"/>
      <c r="DT132" s="163"/>
      <c r="DU132" s="163"/>
      <c r="DV132" s="166"/>
      <c r="DW132" s="167"/>
      <c r="DY132" s="170"/>
      <c r="DZ132" s="165"/>
      <c r="EA132" s="163"/>
      <c r="EB132" s="163"/>
      <c r="EC132" s="163"/>
      <c r="ED132" s="163"/>
      <c r="EE132" s="163"/>
      <c r="EF132" s="163"/>
      <c r="EG132" s="163"/>
      <c r="EH132" s="163"/>
      <c r="EI132" s="163"/>
      <c r="EJ132" s="166"/>
      <c r="EK132" s="167"/>
    </row>
    <row r="133" spans="1:141" ht="15" customHeight="1" thickTop="1" x14ac:dyDescent="0.2">
      <c r="A133" s="59">
        <v>30</v>
      </c>
      <c r="B133" s="74"/>
      <c r="C133" s="172" t="s">
        <v>19</v>
      </c>
      <c r="D133" s="53">
        <f>SUM(D77:D129)*100</f>
        <v>243700</v>
      </c>
      <c r="E133" s="53"/>
      <c r="F133" s="53"/>
      <c r="G133" s="172"/>
      <c r="H133" s="53"/>
      <c r="I133" s="53"/>
      <c r="J133" s="280" t="s">
        <v>21</v>
      </c>
      <c r="K133" s="280"/>
      <c r="L133" s="53">
        <f>SUM(L77:L129)</f>
        <v>63436</v>
      </c>
      <c r="M133" s="53"/>
      <c r="N133" s="84"/>
      <c r="O133" s="2"/>
      <c r="P133" s="79"/>
      <c r="Q133" s="172" t="s">
        <v>19</v>
      </c>
      <c r="R133" s="53">
        <f>SUM(R77:R129)*100</f>
        <v>429200</v>
      </c>
      <c r="S133" s="53"/>
      <c r="T133" s="53"/>
      <c r="U133" s="172"/>
      <c r="V133" s="53"/>
      <c r="W133" s="53"/>
      <c r="X133" s="280" t="s">
        <v>21</v>
      </c>
      <c r="Y133" s="280"/>
      <c r="Z133" s="53">
        <f>SUM(Z77:Z129)</f>
        <v>72700</v>
      </c>
      <c r="AA133" s="53"/>
      <c r="AB133" s="84"/>
      <c r="AD133" s="79"/>
      <c r="AE133" s="172" t="s">
        <v>19</v>
      </c>
      <c r="AF133" s="53">
        <f>SUM(AF77:AF129)*100</f>
        <v>336400</v>
      </c>
      <c r="AG133" s="53"/>
      <c r="AH133" s="53"/>
      <c r="AI133" s="172"/>
      <c r="AJ133" s="53"/>
      <c r="AK133" s="53"/>
      <c r="AL133" s="280" t="s">
        <v>21</v>
      </c>
      <c r="AM133" s="280"/>
      <c r="AN133" s="53">
        <f>SUM(AN77:AN129)</f>
        <v>80914</v>
      </c>
      <c r="AO133" s="53"/>
      <c r="AP133" s="84"/>
      <c r="AQ133" s="2"/>
      <c r="AR133" s="79"/>
      <c r="AS133" s="172" t="s">
        <v>19</v>
      </c>
      <c r="AT133" s="53">
        <f>SUM(AT77:AT129)*100</f>
        <v>433200</v>
      </c>
      <c r="AU133" s="53"/>
      <c r="AV133" s="53"/>
      <c r="AW133" s="172"/>
      <c r="AX133" s="53"/>
      <c r="AY133" s="53"/>
      <c r="AZ133" s="280" t="s">
        <v>21</v>
      </c>
      <c r="BA133" s="280"/>
      <c r="BB133" s="53">
        <f>SUM(BB77:BB129)</f>
        <v>79800</v>
      </c>
      <c r="BC133" s="53"/>
      <c r="BD133" s="84"/>
      <c r="BE133" s="2"/>
      <c r="BF133" s="79"/>
      <c r="BG133" s="240"/>
      <c r="BH133" s="172" t="s">
        <v>19</v>
      </c>
      <c r="BI133" s="53">
        <f>SUM(BI77:BI129)*100</f>
        <v>374400</v>
      </c>
      <c r="BJ133" s="53"/>
      <c r="BK133" s="53"/>
      <c r="BL133" s="172"/>
      <c r="BM133" s="53"/>
      <c r="BN133" s="53"/>
      <c r="BO133" s="280" t="s">
        <v>21</v>
      </c>
      <c r="BP133" s="280"/>
      <c r="BQ133" s="53">
        <f>SUM(BQ77:BQ129)</f>
        <v>78000</v>
      </c>
      <c r="BR133" s="53"/>
      <c r="BS133" s="84"/>
      <c r="BU133" s="79"/>
      <c r="BV133" s="175" t="s">
        <v>19</v>
      </c>
      <c r="BW133" s="53">
        <f>SUM(BW77:BW129)*100</f>
        <v>107500</v>
      </c>
      <c r="BX133" s="53"/>
      <c r="BY133" s="53"/>
      <c r="BZ133" s="172"/>
      <c r="CA133" s="53"/>
      <c r="CB133" s="53"/>
      <c r="CC133" s="53"/>
      <c r="CD133" s="53"/>
      <c r="CE133" s="53"/>
      <c r="CF133" s="53"/>
      <c r="CG133" s="84"/>
      <c r="CH133" s="1"/>
      <c r="CI133" s="79"/>
      <c r="CJ133" s="175" t="s">
        <v>19</v>
      </c>
      <c r="CK133" s="53">
        <f>SUM(CK77:CK129)*100</f>
        <v>527700</v>
      </c>
      <c r="CL133" s="53"/>
      <c r="CM133" s="53"/>
      <c r="CN133" s="172"/>
      <c r="CO133" s="53"/>
      <c r="CP133" s="53"/>
      <c r="CQ133" s="53"/>
      <c r="CR133" s="53"/>
      <c r="CS133" s="53"/>
      <c r="CT133" s="53"/>
      <c r="CU133" s="84"/>
      <c r="CV133" s="1"/>
      <c r="CW133" s="79"/>
      <c r="CX133" s="175" t="s">
        <v>19</v>
      </c>
      <c r="CY133" s="53">
        <f>SUM(CY77:CY129)*100</f>
        <v>156400</v>
      </c>
      <c r="CZ133" s="53"/>
      <c r="DA133" s="53"/>
      <c r="DB133" s="172"/>
      <c r="DC133" s="53"/>
      <c r="DD133" s="53"/>
      <c r="DE133" s="53"/>
      <c r="DF133" s="53"/>
      <c r="DG133" s="53"/>
      <c r="DH133" s="53"/>
      <c r="DI133" s="84"/>
      <c r="DJ133" s="1"/>
      <c r="DK133" s="79"/>
      <c r="DL133" s="175" t="s">
        <v>19</v>
      </c>
      <c r="DM133" s="53">
        <f>SUM(DM77:DM129)*100</f>
        <v>105800</v>
      </c>
      <c r="DN133" s="53"/>
      <c r="DO133" s="53"/>
      <c r="DP133" s="172"/>
      <c r="DQ133" s="53"/>
      <c r="DR133" s="53"/>
      <c r="DS133" s="53"/>
      <c r="DT133" s="53"/>
      <c r="DU133" s="53"/>
      <c r="DV133" s="53"/>
      <c r="DW133" s="84"/>
      <c r="DY133" s="79"/>
      <c r="DZ133" s="175" t="s">
        <v>19</v>
      </c>
      <c r="EA133" s="53">
        <f>SUM(EA77:EA129)*100</f>
        <v>96100</v>
      </c>
      <c r="EB133" s="53"/>
      <c r="EC133" s="53"/>
      <c r="ED133" s="172"/>
      <c r="EE133" s="53"/>
      <c r="EF133" s="53"/>
      <c r="EG133" s="53"/>
      <c r="EH133" s="53"/>
      <c r="EI133" s="53"/>
      <c r="EJ133" s="53"/>
      <c r="EK133" s="84"/>
    </row>
    <row r="134" spans="1:141" ht="15" customHeight="1" x14ac:dyDescent="0.2">
      <c r="A134" s="94">
        <f>DATEDIF(A$187,A$109,"d")</f>
        <v>30</v>
      </c>
      <c r="B134">
        <f>SUMIF(B76:B129,"&gt;=0")</f>
        <v>28011</v>
      </c>
      <c r="C134" s="5" t="s">
        <v>22</v>
      </c>
      <c r="D134" s="13">
        <f>D133/A134</f>
        <v>8123.333333333333</v>
      </c>
      <c r="E134" s="13">
        <f>D134*A133</f>
        <v>243700</v>
      </c>
      <c r="F134" s="13"/>
      <c r="G134" s="5"/>
      <c r="H134" s="13"/>
      <c r="I134" s="13"/>
      <c r="J134" s="271" t="s">
        <v>23</v>
      </c>
      <c r="K134" s="271"/>
      <c r="L134" s="13"/>
      <c r="M134" s="36">
        <f>L133/D133</f>
        <v>0.26030365203118588</v>
      </c>
      <c r="N134" s="15"/>
      <c r="O134" s="2"/>
      <c r="P134" s="33"/>
      <c r="Q134" s="5" t="s">
        <v>22</v>
      </c>
      <c r="R134" s="13">
        <f>R133/A134</f>
        <v>14306.666666666666</v>
      </c>
      <c r="S134" s="13">
        <f>R134*A133</f>
        <v>429200</v>
      </c>
      <c r="T134" s="13"/>
      <c r="U134" s="5"/>
      <c r="V134" s="13"/>
      <c r="W134" s="13"/>
      <c r="X134" s="271" t="s">
        <v>23</v>
      </c>
      <c r="Y134" s="271"/>
      <c r="Z134" s="13"/>
      <c r="AA134" s="36">
        <f>Z133/R133</f>
        <v>0.16938490214352284</v>
      </c>
      <c r="AB134" s="15"/>
      <c r="AD134" s="51"/>
      <c r="AE134" s="5" t="s">
        <v>22</v>
      </c>
      <c r="AF134" s="13">
        <f>AF133/A134</f>
        <v>11213.333333333334</v>
      </c>
      <c r="AG134" s="13">
        <f>AF134*A133</f>
        <v>336400</v>
      </c>
      <c r="AH134" s="13"/>
      <c r="AI134" s="5"/>
      <c r="AJ134" s="13"/>
      <c r="AK134" s="13"/>
      <c r="AL134" s="271" t="s">
        <v>23</v>
      </c>
      <c r="AM134" s="271"/>
      <c r="AN134" s="13"/>
      <c r="AO134" s="36">
        <f>AN133/AF133</f>
        <v>0.24052913198573128</v>
      </c>
      <c r="AP134" s="15"/>
      <c r="AQ134" s="2"/>
      <c r="AR134" s="33"/>
      <c r="AS134" s="5" t="s">
        <v>22</v>
      </c>
      <c r="AT134" s="13">
        <f>AT133/A134</f>
        <v>14440</v>
      </c>
      <c r="AU134" s="13">
        <f>AT134*A133</f>
        <v>433200</v>
      </c>
      <c r="AV134" s="13"/>
      <c r="AW134" s="5"/>
      <c r="AX134" s="13"/>
      <c r="AY134" s="13"/>
      <c r="AZ134" s="271" t="s">
        <v>23</v>
      </c>
      <c r="BA134" s="271"/>
      <c r="BB134" s="13"/>
      <c r="BC134" s="36">
        <f>BB133/AT133</f>
        <v>0.18421052631578946</v>
      </c>
      <c r="BD134" s="15"/>
      <c r="BE134" s="2"/>
      <c r="BF134" s="33"/>
      <c r="BG134" s="8"/>
      <c r="BH134" s="5" t="s">
        <v>22</v>
      </c>
      <c r="BI134" s="13">
        <f>BI133/A134</f>
        <v>12480</v>
      </c>
      <c r="BJ134" s="13">
        <f>BI134*A133</f>
        <v>374400</v>
      </c>
      <c r="BK134" s="13"/>
      <c r="BL134" s="5"/>
      <c r="BM134" s="13"/>
      <c r="BN134" s="13"/>
      <c r="BO134" s="271" t="s">
        <v>23</v>
      </c>
      <c r="BP134" s="271"/>
      <c r="BQ134" s="13"/>
      <c r="BR134" s="36">
        <f>BQ133/BI133</f>
        <v>0.20833333333333334</v>
      </c>
      <c r="BS134" s="15"/>
      <c r="BU134" s="16"/>
      <c r="BV134" s="69" t="s">
        <v>22</v>
      </c>
      <c r="BW134" s="13">
        <f>BW133/A134</f>
        <v>3583.3333333333335</v>
      </c>
      <c r="BX134" s="13">
        <f>BW134*A133</f>
        <v>107500</v>
      </c>
      <c r="BY134" s="13"/>
      <c r="BZ134" s="5"/>
      <c r="CA134" s="13"/>
      <c r="CB134" s="13"/>
      <c r="CC134" s="13"/>
      <c r="CD134" s="13"/>
      <c r="CE134" s="13"/>
      <c r="CF134" s="13"/>
      <c r="CG134" s="15"/>
      <c r="CH134" s="1"/>
      <c r="CI134" s="16"/>
      <c r="CJ134" s="69" t="s">
        <v>22</v>
      </c>
      <c r="CK134" s="13">
        <f>CK133/A134</f>
        <v>17590</v>
      </c>
      <c r="CL134" s="13">
        <f>CK134*A133</f>
        <v>527700</v>
      </c>
      <c r="CM134" s="13"/>
      <c r="CN134" s="5"/>
      <c r="CO134" s="13"/>
      <c r="CP134" s="13"/>
      <c r="CQ134" s="13"/>
      <c r="CR134" s="13"/>
      <c r="CS134" s="13"/>
      <c r="CT134" s="13"/>
      <c r="CU134" s="15"/>
      <c r="CV134" s="1"/>
      <c r="CW134" s="16"/>
      <c r="CX134" s="69" t="s">
        <v>22</v>
      </c>
      <c r="CY134" s="13">
        <f>CY133/A134</f>
        <v>5213.333333333333</v>
      </c>
      <c r="CZ134" s="13">
        <f>CY134*A133</f>
        <v>156400</v>
      </c>
      <c r="DA134" s="13"/>
      <c r="DB134" s="5"/>
      <c r="DC134" s="13"/>
      <c r="DD134" s="13"/>
      <c r="DE134" s="13"/>
      <c r="DF134" s="13"/>
      <c r="DG134" s="13"/>
      <c r="DH134" s="13"/>
      <c r="DI134" s="15"/>
      <c r="DJ134" s="1"/>
      <c r="DK134" s="16"/>
      <c r="DL134" s="69" t="s">
        <v>22</v>
      </c>
      <c r="DM134" s="13">
        <f>DM133/A134</f>
        <v>3526.6666666666665</v>
      </c>
      <c r="DN134" s="13">
        <f>DM134*A133</f>
        <v>105800</v>
      </c>
      <c r="DO134" s="13"/>
      <c r="DP134" s="5"/>
      <c r="DQ134" s="13"/>
      <c r="DR134" s="13"/>
      <c r="DS134" s="13"/>
      <c r="DT134" s="13"/>
      <c r="DU134" s="13"/>
      <c r="DV134" s="13"/>
      <c r="DW134" s="15"/>
      <c r="DY134" s="16"/>
      <c r="DZ134" s="69" t="s">
        <v>22</v>
      </c>
      <c r="EA134" s="13">
        <f>EA133/A134</f>
        <v>3203.3333333333335</v>
      </c>
      <c r="EB134" s="13">
        <f>EA134*A133</f>
        <v>96100</v>
      </c>
      <c r="EC134" s="13"/>
      <c r="ED134" s="5"/>
      <c r="EE134" s="13"/>
      <c r="EF134" s="13"/>
      <c r="EG134" s="13"/>
      <c r="EH134" s="13"/>
      <c r="EI134" s="13"/>
      <c r="EJ134" s="13"/>
      <c r="EK134" s="15"/>
    </row>
    <row r="135" spans="1:141" ht="15" customHeight="1" x14ac:dyDescent="0.2">
      <c r="A135" s="44" t="s">
        <v>22</v>
      </c>
      <c r="B135" s="81">
        <f>B134/A134</f>
        <v>933.7</v>
      </c>
      <c r="C135" s="69" t="s">
        <v>25</v>
      </c>
      <c r="D135" s="13">
        <f>D133*0.6</f>
        <v>146220</v>
      </c>
      <c r="E135" s="13"/>
      <c r="F135" s="13"/>
      <c r="G135" s="5"/>
      <c r="H135" s="13"/>
      <c r="I135" s="13"/>
      <c r="J135" s="271" t="s">
        <v>26</v>
      </c>
      <c r="K135" s="271"/>
      <c r="L135" s="13">
        <f>D135-L133</f>
        <v>82784</v>
      </c>
      <c r="M135" s="36">
        <f>L135/D133</f>
        <v>0.33969634796881409</v>
      </c>
      <c r="N135" s="15"/>
      <c r="O135" s="2"/>
      <c r="P135" s="16"/>
      <c r="Q135" s="69" t="s">
        <v>25</v>
      </c>
      <c r="R135" s="13">
        <f>R133*0.6</f>
        <v>257520</v>
      </c>
      <c r="S135" s="13"/>
      <c r="T135" s="13"/>
      <c r="U135" s="5"/>
      <c r="V135" s="13"/>
      <c r="W135" s="13"/>
      <c r="X135" s="271" t="s">
        <v>26</v>
      </c>
      <c r="Y135" s="271"/>
      <c r="Z135" s="13">
        <f>R135-Z133</f>
        <v>184820</v>
      </c>
      <c r="AA135" s="36">
        <f>Z135/R133</f>
        <v>0.43061509785647717</v>
      </c>
      <c r="AB135" s="15"/>
      <c r="AD135" s="16"/>
      <c r="AE135" s="69" t="s">
        <v>25</v>
      </c>
      <c r="AF135" s="13">
        <f>AF133*0.6</f>
        <v>201840</v>
      </c>
      <c r="AG135" s="13"/>
      <c r="AH135" s="13"/>
      <c r="AI135" s="5"/>
      <c r="AJ135" s="13"/>
      <c r="AK135" s="13"/>
      <c r="AL135" s="271" t="s">
        <v>26</v>
      </c>
      <c r="AM135" s="271"/>
      <c r="AN135" s="13">
        <f>AF135-AN133</f>
        <v>120926</v>
      </c>
      <c r="AO135" s="36">
        <f>AN135/AF133</f>
        <v>0.35947086801426875</v>
      </c>
      <c r="AP135" s="15"/>
      <c r="AQ135" s="2"/>
      <c r="AR135" s="16"/>
      <c r="AS135" s="69" t="s">
        <v>25</v>
      </c>
      <c r="AT135" s="13">
        <f>AT133*0.6</f>
        <v>259920</v>
      </c>
      <c r="AU135" s="13"/>
      <c r="AV135" s="13"/>
      <c r="AW135" s="5"/>
      <c r="AX135" s="13"/>
      <c r="AY135" s="13"/>
      <c r="AZ135" s="271" t="s">
        <v>26</v>
      </c>
      <c r="BA135" s="271"/>
      <c r="BB135" s="13">
        <f>AT135-BB133</f>
        <v>180120</v>
      </c>
      <c r="BC135" s="36">
        <f>BB135/AT133</f>
        <v>0.41578947368421054</v>
      </c>
      <c r="BD135" s="15"/>
      <c r="BE135" s="2"/>
      <c r="BF135" s="16"/>
      <c r="BG135" s="235"/>
      <c r="BH135" s="69" t="s">
        <v>25</v>
      </c>
      <c r="BI135" s="13">
        <f>BI133*0.6</f>
        <v>224640</v>
      </c>
      <c r="BJ135" s="13"/>
      <c r="BK135" s="13"/>
      <c r="BL135" s="5"/>
      <c r="BM135" s="13"/>
      <c r="BN135" s="13"/>
      <c r="BO135" s="271" t="s">
        <v>26</v>
      </c>
      <c r="BP135" s="271"/>
      <c r="BQ135" s="13">
        <f>BI135-BQ133</f>
        <v>146640</v>
      </c>
      <c r="BR135" s="36">
        <f>BQ135/BI133</f>
        <v>0.39166666666666666</v>
      </c>
      <c r="BS135" s="15"/>
      <c r="BU135" s="16"/>
      <c r="BV135" s="69" t="s">
        <v>25</v>
      </c>
      <c r="BW135" s="13">
        <f>BW133*0.6</f>
        <v>64500</v>
      </c>
      <c r="BX135" s="13"/>
      <c r="BY135" s="13"/>
      <c r="BZ135" s="5" t="s">
        <v>24</v>
      </c>
      <c r="CA135" s="13">
        <f>SUM(CE77:CE129)</f>
        <v>57970</v>
      </c>
      <c r="CB135" s="36">
        <f>CA135/BW133</f>
        <v>0.53925581395348843</v>
      </c>
      <c r="CC135" s="36"/>
      <c r="CD135" s="13"/>
      <c r="CE135" s="13"/>
      <c r="CF135" s="13"/>
      <c r="CG135" s="15"/>
      <c r="CH135" s="1"/>
      <c r="CI135" s="16"/>
      <c r="CJ135" s="69" t="s">
        <v>25</v>
      </c>
      <c r="CK135" s="13">
        <f>CK133*0.6</f>
        <v>316620</v>
      </c>
      <c r="CL135" s="13"/>
      <c r="CM135" s="13"/>
      <c r="CN135" s="5" t="s">
        <v>24</v>
      </c>
      <c r="CO135" s="13">
        <f>SUM(CS77:CS129)</f>
        <v>100500</v>
      </c>
      <c r="CP135" s="36">
        <f>CO135/CK133</f>
        <v>0.19044911881750995</v>
      </c>
      <c r="CQ135" s="36"/>
      <c r="CR135" s="13"/>
      <c r="CS135" s="13"/>
      <c r="CT135" s="13"/>
      <c r="CU135" s="15"/>
      <c r="CV135" s="1"/>
      <c r="CW135" s="16"/>
      <c r="CX135" s="69" t="s">
        <v>25</v>
      </c>
      <c r="CY135" s="13">
        <f>CY133*0.6</f>
        <v>93840</v>
      </c>
      <c r="CZ135" s="13"/>
      <c r="DA135" s="13"/>
      <c r="DB135" s="5" t="s">
        <v>24</v>
      </c>
      <c r="DC135" s="13">
        <f>SUM(DG77:DG129)</f>
        <v>46640</v>
      </c>
      <c r="DD135" s="36">
        <f>DC135/CY133</f>
        <v>0.29820971867007673</v>
      </c>
      <c r="DE135" s="36"/>
      <c r="DF135" s="13"/>
      <c r="DG135" s="13"/>
      <c r="DH135" s="13"/>
      <c r="DI135" s="15"/>
      <c r="DJ135" s="1"/>
      <c r="DK135" s="16"/>
      <c r="DL135" s="69" t="s">
        <v>25</v>
      </c>
      <c r="DM135" s="13">
        <f>DM133*0.6</f>
        <v>63480</v>
      </c>
      <c r="DN135" s="13"/>
      <c r="DO135" s="13"/>
      <c r="DP135" s="5" t="s">
        <v>24</v>
      </c>
      <c r="DQ135" s="13">
        <f>SUM(DU77:DU129)</f>
        <v>24278</v>
      </c>
      <c r="DR135" s="36">
        <f>DQ135/DM133</f>
        <v>0.22947069943289225</v>
      </c>
      <c r="DS135" s="36"/>
      <c r="DT135" s="13"/>
      <c r="DU135" s="13"/>
      <c r="DV135" s="13"/>
      <c r="DW135" s="15"/>
      <c r="DY135" s="16"/>
      <c r="DZ135" s="69" t="s">
        <v>25</v>
      </c>
      <c r="EA135" s="13">
        <f>EA133*0.6</f>
        <v>57660</v>
      </c>
      <c r="EB135" s="13"/>
      <c r="EC135" s="13"/>
      <c r="ED135" s="5" t="s">
        <v>24</v>
      </c>
      <c r="EE135" s="13">
        <f>SUM(EI77:EI129)</f>
        <v>57950</v>
      </c>
      <c r="EF135" s="36">
        <f>EE135/EA133</f>
        <v>0.60301768990634752</v>
      </c>
      <c r="EG135" s="36"/>
      <c r="EH135" s="13"/>
      <c r="EI135" s="13"/>
      <c r="EJ135" s="13"/>
      <c r="EK135" s="15"/>
    </row>
    <row r="136" spans="1:141" ht="15" customHeight="1" x14ac:dyDescent="0.2">
      <c r="A136" s="79"/>
      <c r="B136" s="74"/>
      <c r="C136" s="5" t="s">
        <v>27</v>
      </c>
      <c r="D136" s="13">
        <f>D207</f>
        <v>288900</v>
      </c>
      <c r="E136" s="13"/>
      <c r="F136" s="13"/>
      <c r="G136" s="5"/>
      <c r="H136" s="13"/>
      <c r="I136" s="24"/>
      <c r="J136" s="272" t="s">
        <v>29</v>
      </c>
      <c r="K136" s="272"/>
      <c r="L136" s="53">
        <f>(G109+I109)*K109+(G110+I110)*K110+(G111+I111)*K111+(G112+I112)*K112</f>
        <v>95068</v>
      </c>
      <c r="M136" s="14"/>
      <c r="N136" s="15"/>
      <c r="O136" s="2"/>
      <c r="P136" s="79"/>
      <c r="Q136" s="5" t="s">
        <v>27</v>
      </c>
      <c r="R136" s="13">
        <f>R207</f>
        <v>558900</v>
      </c>
      <c r="S136" s="13"/>
      <c r="T136" s="13"/>
      <c r="U136" s="5"/>
      <c r="V136" s="13"/>
      <c r="W136" s="24"/>
      <c r="X136" s="272" t="s">
        <v>29</v>
      </c>
      <c r="Y136" s="272"/>
      <c r="Z136" s="53">
        <f>(U109+W109)*Y109+(U110+W110)*Y110+(U111+W111)*Y111+(U112+W112)*Y112</f>
        <v>69600</v>
      </c>
      <c r="AA136" s="14"/>
      <c r="AB136" s="15"/>
      <c r="AD136" s="79"/>
      <c r="AE136" s="5" t="s">
        <v>27</v>
      </c>
      <c r="AF136" s="13">
        <f>AF207</f>
        <v>187200</v>
      </c>
      <c r="AG136" s="13"/>
      <c r="AH136" s="13"/>
      <c r="AI136" s="5"/>
      <c r="AJ136" s="13"/>
      <c r="AK136" s="24"/>
      <c r="AL136" s="272" t="s">
        <v>29</v>
      </c>
      <c r="AM136" s="272"/>
      <c r="AN136" s="53">
        <f>(AI109+AK109)*AM109+(AI110+AK110)*AM110+(AI111+AK111)*AM111+(AI112+AK112)*AM112</f>
        <v>46890</v>
      </c>
      <c r="AO136" s="14"/>
      <c r="AP136" s="15"/>
      <c r="AQ136" s="2"/>
      <c r="AR136" s="79"/>
      <c r="AS136" s="5" t="s">
        <v>27</v>
      </c>
      <c r="AT136" s="13">
        <f>AT207</f>
        <v>379200</v>
      </c>
      <c r="AU136" s="13"/>
      <c r="AV136" s="13"/>
      <c r="AW136" s="5"/>
      <c r="AX136" s="13"/>
      <c r="AY136" s="24"/>
      <c r="AZ136" s="272" t="s">
        <v>29</v>
      </c>
      <c r="BA136" s="272"/>
      <c r="BB136" s="53">
        <f>(AW109+AY109)*BA109+(AW110+AY110)*BA110+(AW111+AY111)*BA111+(AW112+AY112)*BA112</f>
        <v>81650</v>
      </c>
      <c r="BC136" s="14"/>
      <c r="BD136" s="15"/>
      <c r="BE136" s="2"/>
      <c r="BF136" s="79"/>
      <c r="BG136" s="240"/>
      <c r="BH136" s="5" t="s">
        <v>27</v>
      </c>
      <c r="BI136" s="13">
        <f>BI207</f>
        <v>629100</v>
      </c>
      <c r="BJ136" s="13"/>
      <c r="BK136" s="13"/>
      <c r="BL136" s="5"/>
      <c r="BM136" s="13"/>
      <c r="BN136" s="24"/>
      <c r="BO136" s="272" t="s">
        <v>29</v>
      </c>
      <c r="BP136" s="272"/>
      <c r="BQ136" s="53">
        <f>(BL109+BN109)*BP109+(BL110+BN110)*BP110+(BL111+BN111)*BP111+(BL112+BN112)*BP112</f>
        <v>18000</v>
      </c>
      <c r="BR136" s="14"/>
      <c r="BS136" s="15"/>
      <c r="BU136" s="16"/>
      <c r="BV136" s="69" t="s">
        <v>27</v>
      </c>
      <c r="BW136" s="13">
        <f>BW207</f>
        <v>163400</v>
      </c>
      <c r="BX136" s="13"/>
      <c r="BY136" s="13"/>
      <c r="BZ136" s="5" t="s">
        <v>26</v>
      </c>
      <c r="CA136" s="13">
        <f>BW135-CA135</f>
        <v>6530</v>
      </c>
      <c r="CB136" s="36">
        <f>CA136/BW133</f>
        <v>6.0744186046511627E-2</v>
      </c>
      <c r="CC136" s="36"/>
      <c r="CD136" s="14"/>
      <c r="CE136" s="14"/>
      <c r="CF136" s="14"/>
      <c r="CG136" s="15"/>
      <c r="CH136" s="1"/>
      <c r="CI136" s="16"/>
      <c r="CJ136" s="69" t="s">
        <v>27</v>
      </c>
      <c r="CK136" s="13">
        <f>CK207</f>
        <v>631700</v>
      </c>
      <c r="CL136" s="13"/>
      <c r="CM136" s="13"/>
      <c r="CN136" s="5" t="s">
        <v>26</v>
      </c>
      <c r="CO136" s="13">
        <f>CK135-CO135</f>
        <v>216120</v>
      </c>
      <c r="CP136" s="36">
        <f>CO136/CK133</f>
        <v>0.40955088118249006</v>
      </c>
      <c r="CQ136" s="36"/>
      <c r="CR136" s="14"/>
      <c r="CS136" s="14"/>
      <c r="CT136" s="14"/>
      <c r="CU136" s="15"/>
      <c r="CV136" s="1"/>
      <c r="CW136" s="16"/>
      <c r="CX136" s="69" t="s">
        <v>27</v>
      </c>
      <c r="CY136" s="13">
        <f>CY207</f>
        <v>157700</v>
      </c>
      <c r="CZ136" s="13"/>
      <c r="DA136" s="13"/>
      <c r="DB136" s="5" t="s">
        <v>26</v>
      </c>
      <c r="DC136" s="13">
        <f>CY135-DC135</f>
        <v>47200</v>
      </c>
      <c r="DD136" s="36">
        <f>DC136/CY133</f>
        <v>0.30179028132992325</v>
      </c>
      <c r="DE136" s="36"/>
      <c r="DF136" s="14"/>
      <c r="DG136" s="14"/>
      <c r="DH136" s="14"/>
      <c r="DI136" s="15"/>
      <c r="DJ136" s="1"/>
      <c r="DK136" s="16"/>
      <c r="DL136" s="69" t="s">
        <v>27</v>
      </c>
      <c r="DM136" s="13">
        <f>DM207</f>
        <v>60100</v>
      </c>
      <c r="DN136" s="13"/>
      <c r="DO136" s="13"/>
      <c r="DP136" s="5" t="s">
        <v>26</v>
      </c>
      <c r="DQ136" s="13">
        <f>DM135-DQ135</f>
        <v>39202</v>
      </c>
      <c r="DR136" s="36">
        <f>DQ136/DM133</f>
        <v>0.37052930056710776</v>
      </c>
      <c r="DS136" s="36"/>
      <c r="DT136" s="14"/>
      <c r="DU136" s="14"/>
      <c r="DV136" s="14"/>
      <c r="DW136" s="15"/>
      <c r="DY136" s="16"/>
      <c r="DZ136" s="69" t="s">
        <v>27</v>
      </c>
      <c r="EA136" s="13">
        <f>EA207</f>
        <v>97400</v>
      </c>
      <c r="EB136" s="13"/>
      <c r="EC136" s="13"/>
      <c r="ED136" s="5" t="s">
        <v>26</v>
      </c>
      <c r="EE136" s="13">
        <f>EA135-EE135</f>
        <v>-290</v>
      </c>
      <c r="EF136" s="36">
        <f>EE136/EA133</f>
        <v>-3.0176899063475548E-3</v>
      </c>
      <c r="EG136" s="36"/>
      <c r="EH136" s="14"/>
      <c r="EI136" s="14"/>
      <c r="EJ136" s="14"/>
      <c r="EK136" s="15"/>
    </row>
    <row r="137" spans="1:141" ht="15" customHeight="1" x14ac:dyDescent="0.2">
      <c r="A137" s="273" t="s">
        <v>57</v>
      </c>
      <c r="B137" s="274"/>
      <c r="C137" s="273" t="s">
        <v>62</v>
      </c>
      <c r="D137" s="274"/>
      <c r="E137" s="273" t="s">
        <v>63</v>
      </c>
      <c r="F137" s="275"/>
      <c r="G137" s="5"/>
      <c r="H137" s="13"/>
      <c r="I137" s="24"/>
      <c r="J137" s="99"/>
      <c r="K137" s="102"/>
      <c r="L137" s="53"/>
      <c r="M137" s="14"/>
      <c r="N137" s="15"/>
      <c r="O137" s="2"/>
      <c r="P137" s="85"/>
      <c r="Q137" s="69"/>
      <c r="R137" s="13"/>
      <c r="S137" s="13"/>
      <c r="T137" s="13"/>
      <c r="U137" s="5"/>
      <c r="V137" s="13"/>
      <c r="W137" s="24"/>
      <c r="X137" s="99"/>
      <c r="Y137" s="102"/>
      <c r="Z137" s="53"/>
      <c r="AA137" s="14"/>
      <c r="AB137" s="15"/>
      <c r="AD137" s="85"/>
      <c r="AE137" s="69"/>
      <c r="AF137" s="13"/>
      <c r="AG137" s="13"/>
      <c r="AH137" s="13"/>
      <c r="AI137" s="5"/>
      <c r="AJ137" s="13"/>
      <c r="AK137" s="24"/>
      <c r="AL137" s="99"/>
      <c r="AM137" s="102"/>
      <c r="AN137" s="53"/>
      <c r="AO137" s="14"/>
      <c r="AP137" s="15"/>
      <c r="AQ137" s="2"/>
      <c r="AR137" s="85"/>
      <c r="AS137" s="69"/>
      <c r="AT137" s="13"/>
      <c r="AU137" s="13"/>
      <c r="AV137" s="13"/>
      <c r="AW137" s="5"/>
      <c r="AX137" s="13"/>
      <c r="AY137" s="24"/>
      <c r="AZ137" s="118"/>
      <c r="BA137" s="102"/>
      <c r="BB137" s="53"/>
      <c r="BC137" s="14"/>
      <c r="BD137" s="15"/>
      <c r="BE137" s="2"/>
      <c r="BF137" s="85"/>
      <c r="BG137" s="245"/>
      <c r="BH137" s="69"/>
      <c r="BI137" s="13"/>
      <c r="BJ137" s="13"/>
      <c r="BK137" s="13"/>
      <c r="BL137" s="5"/>
      <c r="BM137" s="13"/>
      <c r="BN137" s="24"/>
      <c r="BO137" s="99"/>
      <c r="BP137" s="102"/>
      <c r="BQ137" s="53"/>
      <c r="BR137" s="14"/>
      <c r="BS137" s="15"/>
      <c r="BU137" s="16"/>
      <c r="BV137" s="54"/>
      <c r="BW137" s="13"/>
      <c r="BX137" s="13"/>
      <c r="BY137" s="13"/>
      <c r="BZ137" s="263" t="s">
        <v>29</v>
      </c>
      <c r="CA137" s="264"/>
      <c r="CB137" s="13">
        <f>(BZ85+CB85)*CD85</f>
        <v>72930</v>
      </c>
      <c r="CC137" s="13"/>
      <c r="CD137" s="14"/>
      <c r="CE137" s="14"/>
      <c r="CF137" s="14"/>
      <c r="CG137" s="15"/>
      <c r="CH137" s="1"/>
      <c r="CI137" s="16"/>
      <c r="CJ137" s="54"/>
      <c r="CK137" s="13"/>
      <c r="CL137" s="13"/>
      <c r="CM137" s="13"/>
      <c r="CN137" s="263" t="s">
        <v>29</v>
      </c>
      <c r="CO137" s="264"/>
      <c r="CP137" s="13">
        <f>(CN85+CP85)*CR85</f>
        <v>76500</v>
      </c>
      <c r="CQ137" s="13"/>
      <c r="CR137" s="14"/>
      <c r="CS137" s="14"/>
      <c r="CT137" s="14"/>
      <c r="CU137" s="15"/>
      <c r="CV137" s="1"/>
      <c r="CW137" s="16"/>
      <c r="CX137" s="54"/>
      <c r="CY137" s="13"/>
      <c r="CZ137" s="13"/>
      <c r="DA137" s="13"/>
      <c r="DB137" s="263" t="s">
        <v>29</v>
      </c>
      <c r="DC137" s="264"/>
      <c r="DD137" s="13">
        <f>(DB85+DD85)*DF85</f>
        <v>73040</v>
      </c>
      <c r="DE137" s="13"/>
      <c r="DF137" s="14"/>
      <c r="DG137" s="14"/>
      <c r="DH137" s="14"/>
      <c r="DI137" s="15"/>
      <c r="DJ137" s="1"/>
      <c r="DK137" s="16"/>
      <c r="DL137" s="54"/>
      <c r="DM137" s="13"/>
      <c r="DN137" s="13"/>
      <c r="DO137" s="13"/>
      <c r="DP137" s="263" t="s">
        <v>29</v>
      </c>
      <c r="DQ137" s="264"/>
      <c r="DR137" s="13">
        <f>(DP85+DR85)*DT85</f>
        <v>32318</v>
      </c>
      <c r="DS137" s="13"/>
      <c r="DT137" s="14"/>
      <c r="DU137" s="14"/>
      <c r="DV137" s="14"/>
      <c r="DW137" s="15"/>
      <c r="DY137" s="16"/>
      <c r="DZ137" s="54"/>
      <c r="EA137" s="13"/>
      <c r="EB137" s="13"/>
      <c r="EC137" s="13"/>
      <c r="ED137" s="263" t="s">
        <v>29</v>
      </c>
      <c r="EE137" s="264"/>
      <c r="EF137" s="13">
        <f>(ED85+EF85)*EH85</f>
        <v>104500</v>
      </c>
      <c r="EG137" s="13"/>
      <c r="EH137" s="14"/>
      <c r="EI137" s="14"/>
      <c r="EJ137" s="14"/>
      <c r="EK137" s="15"/>
    </row>
    <row r="138" spans="1:141" ht="15" customHeight="1" x14ac:dyDescent="0.2">
      <c r="A138" s="265">
        <f>B135*A133*100</f>
        <v>2801100</v>
      </c>
      <c r="B138" s="266"/>
      <c r="C138" s="267">
        <f>L133+Z133+AN133+BB133+BQ133+CO135+DC135+DQ135+EE135</f>
        <v>604218</v>
      </c>
      <c r="D138" s="268"/>
      <c r="E138" s="267">
        <f>L136+Z136+AN136+BB136+CB137+CP137+DD137+DR137</f>
        <v>547996</v>
      </c>
      <c r="F138" s="268"/>
      <c r="G138" s="5"/>
      <c r="H138" s="13"/>
      <c r="I138" s="24"/>
      <c r="J138" s="99"/>
      <c r="K138" s="102"/>
      <c r="L138" s="53"/>
      <c r="M138" s="14"/>
      <c r="N138" s="15"/>
      <c r="O138" s="2"/>
      <c r="P138" s="85"/>
      <c r="Q138" s="69"/>
      <c r="R138" s="13"/>
      <c r="S138" s="13"/>
      <c r="T138" s="13"/>
      <c r="U138" s="5"/>
      <c r="V138" s="13"/>
      <c r="W138" s="24"/>
      <c r="X138" s="99"/>
      <c r="Y138" s="102"/>
      <c r="Z138" s="53"/>
      <c r="AA138" s="14"/>
      <c r="AB138" s="15"/>
      <c r="AD138" s="85"/>
      <c r="AE138" s="69"/>
      <c r="AF138" s="13"/>
      <c r="AG138" s="13"/>
      <c r="AH138" s="13"/>
      <c r="AI138" s="5"/>
      <c r="AJ138" s="13"/>
      <c r="AK138" s="24"/>
      <c r="AL138" s="99"/>
      <c r="AM138" s="102"/>
      <c r="AN138" s="53"/>
      <c r="AO138" s="14"/>
      <c r="AP138" s="15"/>
      <c r="AQ138" s="2"/>
      <c r="AR138" s="85"/>
      <c r="AS138" s="69"/>
      <c r="AT138" s="13"/>
      <c r="AU138" s="13"/>
      <c r="AV138" s="13"/>
      <c r="AW138" s="5"/>
      <c r="AX138" s="13"/>
      <c r="AY138" s="24"/>
      <c r="AZ138" s="118"/>
      <c r="BA138" s="102"/>
      <c r="BB138" s="53"/>
      <c r="BC138" s="14"/>
      <c r="BD138" s="15"/>
      <c r="BE138" s="2"/>
      <c r="BF138" s="85"/>
      <c r="BG138" s="245"/>
      <c r="BH138" s="69"/>
      <c r="BI138" s="13"/>
      <c r="BJ138" s="13"/>
      <c r="BK138" s="13"/>
      <c r="BL138" s="5"/>
      <c r="BM138" s="13"/>
      <c r="BN138" s="24"/>
      <c r="BO138" s="99"/>
      <c r="BP138" s="102"/>
      <c r="BQ138" s="53"/>
      <c r="BR138" s="14"/>
      <c r="BS138" s="15"/>
      <c r="BU138" s="16"/>
      <c r="BV138" s="54"/>
      <c r="BW138" s="13"/>
      <c r="BX138" s="13"/>
      <c r="BY138" s="13"/>
      <c r="BZ138" s="5"/>
      <c r="CA138" s="13"/>
      <c r="CB138" s="13"/>
      <c r="CC138" s="13"/>
      <c r="CD138" s="14"/>
      <c r="CE138" s="14"/>
      <c r="CF138" s="14"/>
      <c r="CG138" s="15"/>
      <c r="CH138" s="1"/>
      <c r="CI138" s="16"/>
      <c r="CJ138" s="54"/>
      <c r="CK138" s="13"/>
      <c r="CL138" s="13"/>
      <c r="CM138" s="13"/>
      <c r="CN138" s="5"/>
      <c r="CO138" s="13"/>
      <c r="CP138" s="13"/>
      <c r="CQ138" s="13"/>
      <c r="CR138" s="14"/>
      <c r="CS138" s="14"/>
      <c r="CT138" s="14"/>
      <c r="CU138" s="15"/>
      <c r="CV138" s="1"/>
      <c r="CW138" s="16"/>
      <c r="CX138" s="54"/>
      <c r="CY138" s="13"/>
      <c r="CZ138" s="13"/>
      <c r="DA138" s="13"/>
      <c r="DB138" s="5"/>
      <c r="DC138" s="13"/>
      <c r="DD138" s="13"/>
      <c r="DE138" s="13"/>
      <c r="DF138" s="14"/>
      <c r="DG138" s="14"/>
      <c r="DH138" s="14"/>
      <c r="DI138" s="15"/>
      <c r="DJ138" s="1"/>
      <c r="DK138" s="16"/>
      <c r="DL138" s="54"/>
      <c r="DM138" s="13"/>
      <c r="DN138" s="13"/>
      <c r="DO138" s="13"/>
      <c r="DP138" s="5"/>
      <c r="DQ138" s="13"/>
      <c r="DR138" s="13"/>
      <c r="DS138" s="13"/>
      <c r="DT138" s="14"/>
      <c r="DU138" s="14"/>
      <c r="DV138" s="14"/>
      <c r="DW138" s="15"/>
      <c r="DY138" s="16"/>
      <c r="DZ138" s="54"/>
      <c r="EA138" s="13"/>
      <c r="EB138" s="13"/>
      <c r="EC138" s="13"/>
      <c r="ED138" s="5"/>
      <c r="EE138" s="13"/>
      <c r="EF138" s="13"/>
      <c r="EG138" s="13"/>
      <c r="EH138" s="14"/>
      <c r="EI138" s="14"/>
      <c r="EJ138" s="14"/>
      <c r="EK138" s="15"/>
    </row>
    <row r="139" spans="1:141" ht="15" customHeight="1" x14ac:dyDescent="0.2">
      <c r="A139" s="281">
        <v>164000</v>
      </c>
      <c r="B139" s="282"/>
      <c r="C139" s="98"/>
      <c r="D139" s="106">
        <f>C138/A138</f>
        <v>0.21570740066402486</v>
      </c>
      <c r="E139" s="104"/>
      <c r="F139" s="96"/>
      <c r="G139" s="5"/>
      <c r="H139" s="13"/>
      <c r="I139" s="24"/>
      <c r="J139" s="99"/>
      <c r="K139" s="102"/>
      <c r="L139" s="53"/>
      <c r="M139" s="14"/>
      <c r="N139" s="15"/>
      <c r="O139" s="2"/>
      <c r="P139" s="85"/>
      <c r="Q139" s="69"/>
      <c r="R139" s="13"/>
      <c r="S139" s="13"/>
      <c r="T139" s="13"/>
      <c r="U139" s="5"/>
      <c r="V139" s="13"/>
      <c r="W139" s="24"/>
      <c r="X139" s="99"/>
      <c r="Y139" s="102"/>
      <c r="Z139" s="53"/>
      <c r="AA139" s="14"/>
      <c r="AB139" s="15"/>
      <c r="AD139" s="85"/>
      <c r="AE139" s="69"/>
      <c r="AF139" s="13"/>
      <c r="AG139" s="13"/>
      <c r="AH139" s="13"/>
      <c r="AI139" s="5"/>
      <c r="AJ139" s="13"/>
      <c r="AK139" s="24"/>
      <c r="AL139" s="99"/>
      <c r="AM139" s="102"/>
      <c r="AN139" s="53"/>
      <c r="AO139" s="14"/>
      <c r="AP139" s="15"/>
      <c r="AQ139" s="2"/>
      <c r="AR139" s="85"/>
      <c r="AS139" s="69"/>
      <c r="AT139" s="13"/>
      <c r="AU139" s="13"/>
      <c r="AV139" s="13"/>
      <c r="AW139" s="5"/>
      <c r="AX139" s="13"/>
      <c r="AY139" s="24"/>
      <c r="AZ139" s="118"/>
      <c r="BA139" s="102"/>
      <c r="BB139" s="53"/>
      <c r="BC139" s="14"/>
      <c r="BD139" s="15"/>
      <c r="BE139" s="2"/>
      <c r="BF139" s="85"/>
      <c r="BG139" s="245"/>
      <c r="BH139" s="69"/>
      <c r="BI139" s="13"/>
      <c r="BJ139" s="13"/>
      <c r="BK139" s="13"/>
      <c r="BL139" s="5"/>
      <c r="BM139" s="13"/>
      <c r="BN139" s="24"/>
      <c r="BO139" s="99"/>
      <c r="BP139" s="102"/>
      <c r="BQ139" s="53"/>
      <c r="BR139" s="14"/>
      <c r="BS139" s="15"/>
      <c r="BU139" s="16"/>
      <c r="BV139" s="54"/>
      <c r="BW139" s="13"/>
      <c r="BX139" s="13"/>
      <c r="BY139" s="13"/>
      <c r="BZ139" s="5"/>
      <c r="CA139" s="13"/>
      <c r="CB139" s="36"/>
      <c r="CC139" s="36"/>
      <c r="CD139" s="13"/>
      <c r="CE139" s="13"/>
      <c r="CF139" s="13"/>
      <c r="CG139" s="15"/>
      <c r="CH139" s="1"/>
      <c r="CI139" s="16"/>
      <c r="CJ139" s="54"/>
      <c r="CK139" s="13"/>
      <c r="CL139" s="13"/>
      <c r="CM139" s="13"/>
      <c r="CN139" s="5"/>
      <c r="CO139" s="13"/>
      <c r="CP139" s="36"/>
      <c r="CQ139" s="36"/>
      <c r="CR139" s="13"/>
      <c r="CS139" s="13"/>
      <c r="CT139" s="13"/>
      <c r="CU139" s="15"/>
      <c r="CV139" s="1"/>
      <c r="CW139" s="16"/>
      <c r="CX139" s="54"/>
      <c r="CY139" s="13"/>
      <c r="CZ139" s="13"/>
      <c r="DA139" s="13"/>
      <c r="DB139" s="5"/>
      <c r="DC139" s="13"/>
      <c r="DD139" s="36"/>
      <c r="DE139" s="36"/>
      <c r="DF139" s="13"/>
      <c r="DG139" s="13"/>
      <c r="DH139" s="13"/>
      <c r="DI139" s="15"/>
      <c r="DJ139" s="1"/>
      <c r="DK139" s="16"/>
      <c r="DL139" s="54"/>
      <c r="DM139" s="13"/>
      <c r="DN139" s="13"/>
      <c r="DO139" s="13"/>
      <c r="DP139" s="5"/>
      <c r="DQ139" s="13"/>
      <c r="DR139" s="36"/>
      <c r="DS139" s="36"/>
      <c r="DT139" s="13"/>
      <c r="DU139" s="13"/>
      <c r="DV139" s="13"/>
      <c r="DW139" s="15"/>
      <c r="DY139" s="16"/>
      <c r="DZ139" s="54"/>
      <c r="EA139" s="13"/>
      <c r="EB139" s="13"/>
      <c r="EC139" s="13"/>
      <c r="ED139" s="5"/>
      <c r="EE139" s="13"/>
      <c r="EF139" s="36"/>
      <c r="EG139" s="36"/>
      <c r="EH139" s="13"/>
      <c r="EI139" s="13"/>
      <c r="EJ139" s="13"/>
      <c r="EK139" s="15"/>
    </row>
    <row r="140" spans="1:141" ht="15" customHeight="1" x14ac:dyDescent="0.2">
      <c r="A140" s="153"/>
      <c r="B140" s="154"/>
      <c r="C140" s="98"/>
      <c r="D140" s="96"/>
      <c r="E140" s="5"/>
      <c r="F140" s="13"/>
      <c r="G140" s="5"/>
      <c r="H140" s="13"/>
      <c r="I140" s="13"/>
      <c r="J140" s="68"/>
      <c r="K140" s="82"/>
      <c r="L140" s="14"/>
      <c r="M140" s="14"/>
      <c r="N140" s="15"/>
      <c r="O140" s="2"/>
      <c r="P140" s="86"/>
      <c r="Q140" s="54"/>
      <c r="R140" s="13"/>
      <c r="S140" s="5"/>
      <c r="T140" s="13"/>
      <c r="U140" s="5"/>
      <c r="V140" s="13"/>
      <c r="W140" s="13"/>
      <c r="X140" s="52"/>
      <c r="Y140" s="82"/>
      <c r="Z140" s="14"/>
      <c r="AA140" s="14"/>
      <c r="AB140" s="15"/>
      <c r="AD140" s="86"/>
      <c r="AE140" s="54"/>
      <c r="AF140" s="13"/>
      <c r="AG140" s="5"/>
      <c r="AH140" s="13"/>
      <c r="AI140" s="5"/>
      <c r="AJ140" s="13"/>
      <c r="AK140" s="13"/>
      <c r="AL140" s="68"/>
      <c r="AM140" s="82"/>
      <c r="AN140" s="14"/>
      <c r="AO140" s="14"/>
      <c r="AP140" s="15"/>
      <c r="AQ140" s="2"/>
      <c r="AR140" s="86"/>
      <c r="AS140" s="54"/>
      <c r="AT140" s="13"/>
      <c r="AU140" s="5"/>
      <c r="AV140" s="13"/>
      <c r="AW140" s="5"/>
      <c r="AX140" s="13"/>
      <c r="AY140" s="13"/>
      <c r="AZ140" s="68"/>
      <c r="BA140" s="82"/>
      <c r="BB140" s="14"/>
      <c r="BC140" s="14"/>
      <c r="BD140" s="15"/>
      <c r="BE140" s="2"/>
      <c r="BF140" s="86"/>
      <c r="BG140" s="246"/>
      <c r="BH140" s="54"/>
      <c r="BI140" s="13"/>
      <c r="BJ140" s="5"/>
      <c r="BK140" s="13"/>
      <c r="BL140" s="5"/>
      <c r="BM140" s="13"/>
      <c r="BN140" s="13"/>
      <c r="BO140" s="52"/>
      <c r="BP140" s="82"/>
      <c r="BQ140" s="14"/>
      <c r="BR140" s="14"/>
      <c r="BS140" s="15"/>
      <c r="BU140" s="16"/>
      <c r="BV140" s="13"/>
      <c r="BW140" s="13"/>
      <c r="BX140" s="13"/>
      <c r="BY140" s="13"/>
      <c r="BZ140" s="5"/>
      <c r="CA140" s="13"/>
      <c r="CB140" s="36"/>
      <c r="CC140" s="36"/>
      <c r="CD140" s="13"/>
      <c r="CE140" s="13"/>
      <c r="CF140" s="13"/>
      <c r="CG140" s="15"/>
      <c r="CH140" s="1"/>
      <c r="CI140" s="16"/>
      <c r="CJ140" s="13"/>
      <c r="CK140" s="13"/>
      <c r="CL140" s="13"/>
      <c r="CM140" s="13"/>
      <c r="CN140" s="5"/>
      <c r="CO140" s="13"/>
      <c r="CP140" s="36"/>
      <c r="CQ140" s="36"/>
      <c r="CR140" s="13"/>
      <c r="CS140" s="13"/>
      <c r="CT140" s="13"/>
      <c r="CU140" s="15"/>
      <c r="CV140" s="1"/>
      <c r="CW140" s="16"/>
      <c r="CX140" s="13"/>
      <c r="CY140" s="13"/>
      <c r="CZ140" s="13"/>
      <c r="DA140" s="13"/>
      <c r="DB140" s="5"/>
      <c r="DC140" s="13"/>
      <c r="DD140" s="36"/>
      <c r="DE140" s="36"/>
      <c r="DF140" s="13"/>
      <c r="DG140" s="13"/>
      <c r="DH140" s="13"/>
      <c r="DI140" s="15"/>
      <c r="DJ140" s="1"/>
      <c r="DK140" s="16"/>
      <c r="DL140" s="13"/>
      <c r="DM140" s="13"/>
      <c r="DN140" s="13"/>
      <c r="DO140" s="13"/>
      <c r="DP140" s="5"/>
      <c r="DQ140" s="13"/>
      <c r="DR140" s="36"/>
      <c r="DS140" s="36"/>
      <c r="DT140" s="13"/>
      <c r="DU140" s="13"/>
      <c r="DV140" s="13"/>
      <c r="DW140" s="15"/>
      <c r="DY140" s="16"/>
      <c r="DZ140" s="13"/>
      <c r="EA140" s="13"/>
      <c r="EB140" s="13"/>
      <c r="EC140" s="13"/>
      <c r="ED140" s="5"/>
      <c r="EE140" s="13"/>
      <c r="EF140" s="36"/>
      <c r="EG140" s="36"/>
      <c r="EH140" s="13"/>
      <c r="EI140" s="13"/>
      <c r="EJ140" s="13"/>
      <c r="EK140" s="15"/>
    </row>
    <row r="141" spans="1:141" ht="15" customHeight="1" x14ac:dyDescent="0.2">
      <c r="A141" s="258" t="s">
        <v>28</v>
      </c>
      <c r="B141" s="260"/>
      <c r="C141" s="259"/>
      <c r="D141" s="38">
        <f>SUM(D77,D81,D85,D89,D93,D97,D101,D105,D109,D113,D117,D121,D125)*100</f>
        <v>76800</v>
      </c>
      <c r="E141" s="54"/>
      <c r="F141" s="13"/>
      <c r="G141" s="5">
        <f>D141/H141</f>
        <v>2194.2857142857142</v>
      </c>
      <c r="H141" s="38">
        <f>SUM(H77,H81,H85,H89,H93,H97,H102,H105,H109,H113,H117,H121,H125)</f>
        <v>35</v>
      </c>
      <c r="I141" s="13"/>
      <c r="J141" s="75" t="str">
        <f t="shared" ref="J141:K144" si="294">J77</f>
        <v>ジャグラーボタン</v>
      </c>
      <c r="K141" s="76">
        <f t="shared" si="294"/>
        <v>748</v>
      </c>
      <c r="L141" s="38">
        <f>SUM(L77,L81,L85,L89,L93,L97,L102,L105,L109,L113,L117,L121,L125)</f>
        <v>25234</v>
      </c>
      <c r="M141" s="36">
        <f>L141/D141</f>
        <v>0.32856770833333332</v>
      </c>
      <c r="N141" s="15"/>
      <c r="O141" s="2"/>
      <c r="P141" s="258" t="s">
        <v>28</v>
      </c>
      <c r="Q141" s="259"/>
      <c r="R141" s="38">
        <f>SUM(R77,R81,R85,R89,R93,R97,R102,R105,R109,R113,R117,R121,R125)*100</f>
        <v>100900</v>
      </c>
      <c r="S141" s="54"/>
      <c r="T141" s="13"/>
      <c r="U141" s="5">
        <f>R141/V141</f>
        <v>5045</v>
      </c>
      <c r="V141" s="38">
        <f>SUM(V77,V81,V85,V89,V93,V97,V102,V105,V109,V113,V117,V121,V125)</f>
        <v>20</v>
      </c>
      <c r="W141" s="13"/>
      <c r="X141" s="78" t="str">
        <f t="shared" ref="X141:Y144" si="295">X77</f>
        <v>キティボアバンスクリップ</v>
      </c>
      <c r="Y141" s="76">
        <f t="shared" si="295"/>
        <v>1100</v>
      </c>
      <c r="Z141" s="38">
        <f>SUM(Z77,Z81,Z85,Z89,Z93,Z97,Z102,Z105,Z109,Z113,Z117,Z121,Z125)</f>
        <v>21500</v>
      </c>
      <c r="AA141" s="36">
        <f>Z141/R141</f>
        <v>0.21308225966303271</v>
      </c>
      <c r="AB141" s="15"/>
      <c r="AC141" s="23"/>
      <c r="AD141" s="258" t="s">
        <v>28</v>
      </c>
      <c r="AE141" s="259"/>
      <c r="AF141" s="38">
        <f>SUM(AF77,AF81,AF85,AF89,AF93,AF97,AF101,AF105,AF109,AF113,AF117,AF121,AF125)*100</f>
        <v>45300</v>
      </c>
      <c r="AG141" s="54"/>
      <c r="AH141" s="13"/>
      <c r="AI141" s="5">
        <f>AF141/AJ141</f>
        <v>2664.705882352941</v>
      </c>
      <c r="AJ141" s="38">
        <f>SUM(AJ77,AJ81,AJ85,AJ89,AJ93,AJ97,AJ102,AJ105,AJ109,AJ113,AJ117,AJ121,AJ125)</f>
        <v>17</v>
      </c>
      <c r="AK141" s="13"/>
      <c r="AL141" s="75" t="str">
        <f t="shared" ref="AL141:AM144" si="296">AL77</f>
        <v>着物キティ</v>
      </c>
      <c r="AM141" s="76">
        <f t="shared" si="296"/>
        <v>1100</v>
      </c>
      <c r="AN141" s="38">
        <f>SUM(AN77,AN81,AN85,AN89,AN93,AN97,AN102,AN105,AN109,AN113,AN117,AN121,AN125)</f>
        <v>6240</v>
      </c>
      <c r="AO141" s="36">
        <f>AN141/AF141</f>
        <v>0.13774834437086092</v>
      </c>
      <c r="AP141" s="15"/>
      <c r="AQ141" s="2"/>
      <c r="AR141" s="258" t="s">
        <v>28</v>
      </c>
      <c r="AS141" s="259"/>
      <c r="AT141" s="38">
        <f>SUM(AT77,AT81,AT85,AT89,AT93,AT97,AT102,AT105,AT109,AT113,AT117,AT121,AT125)*100</f>
        <v>86700</v>
      </c>
      <c r="AU141" s="54"/>
      <c r="AV141" s="13"/>
      <c r="AW141" s="5">
        <f>AT141/AX141</f>
        <v>2627.2727272727275</v>
      </c>
      <c r="AX141" s="38">
        <f>SUM(AX77,AX81,AX85,AX89,AX93,AX97,AX101,AX105,AX109,AX113,AX117,AX121,AX125)</f>
        <v>33</v>
      </c>
      <c r="AY141" s="13"/>
      <c r="AZ141" s="75" t="str">
        <f t="shared" ref="AZ141:BA144" si="297">AZ77</f>
        <v>ゲーム機イヤホン</v>
      </c>
      <c r="BA141" s="76">
        <f t="shared" si="297"/>
        <v>1100</v>
      </c>
      <c r="BB141" s="38">
        <f>SUM(BB77,BB81,BB85,BB89,BB93,BB97,BB102,BB105,BB109,BB113,BB117,BB121,BB125)</f>
        <v>33000</v>
      </c>
      <c r="BC141" s="36">
        <f>BB141/AT141</f>
        <v>0.38062283737024222</v>
      </c>
      <c r="BD141" s="15"/>
      <c r="BE141" s="2"/>
      <c r="BF141" s="258" t="s">
        <v>28</v>
      </c>
      <c r="BG141" s="261"/>
      <c r="BH141" s="259"/>
      <c r="BI141" s="38">
        <f>SUM(BI77,BI81,BI85,BI89,BI93,BI97,BI102,BI105,BI109,BI113,BI117,BI121,BI125)*100</f>
        <v>78200</v>
      </c>
      <c r="BJ141" s="54"/>
      <c r="BK141" s="13"/>
      <c r="BL141" s="5">
        <f>BI141/BM141</f>
        <v>6516.666666666667</v>
      </c>
      <c r="BM141" s="38">
        <f>SUM(BM77,BM81,BM85,BM89,BM93,BM97,BM102,BM105,BM109,BM113,BM117,BM121,BM125)</f>
        <v>12</v>
      </c>
      <c r="BN141" s="13"/>
      <c r="BO141" s="78" t="str">
        <f t="shared" ref="BO141:BP144" si="298">BO77</f>
        <v>プチドロディズニー</v>
      </c>
      <c r="BP141" s="76">
        <f t="shared" si="298"/>
        <v>1500</v>
      </c>
      <c r="BQ141" s="38">
        <f>SUM(BQ77,BQ81,BQ85,BQ89,BQ93,BQ97,BQ102,BQ105,BQ109,BQ113,BQ117,BQ121,BQ125)</f>
        <v>18000</v>
      </c>
      <c r="BR141" s="36">
        <f>BQ141/BI141</f>
        <v>0.23017902813299232</v>
      </c>
      <c r="BS141" s="15"/>
      <c r="BU141" s="16"/>
      <c r="BV141" s="270"/>
      <c r="BW141" s="270"/>
      <c r="BX141" s="10"/>
      <c r="BY141" s="13"/>
      <c r="BZ141" s="5"/>
      <c r="CA141" s="13"/>
      <c r="CB141" s="36"/>
      <c r="CC141" s="36"/>
      <c r="CD141" s="13"/>
      <c r="CE141" s="13"/>
      <c r="CF141" s="13"/>
      <c r="CG141" s="15"/>
      <c r="CH141" s="1"/>
      <c r="CI141" s="16"/>
      <c r="CJ141" s="270"/>
      <c r="CK141" s="270"/>
      <c r="CL141" s="10"/>
      <c r="CM141" s="13"/>
      <c r="CN141" s="5"/>
      <c r="CO141" s="13"/>
      <c r="CP141" s="36"/>
      <c r="CQ141" s="36"/>
      <c r="CR141" s="13"/>
      <c r="CS141" s="13"/>
      <c r="CT141" s="13"/>
      <c r="CU141" s="15"/>
      <c r="CV141" s="1"/>
      <c r="CW141" s="16"/>
      <c r="CX141" s="270"/>
      <c r="CY141" s="270"/>
      <c r="CZ141" s="10"/>
      <c r="DA141" s="13"/>
      <c r="DB141" s="5"/>
      <c r="DC141" s="13"/>
      <c r="DD141" s="36"/>
      <c r="DE141" s="36"/>
      <c r="DF141" s="13"/>
      <c r="DG141" s="13"/>
      <c r="DH141" s="13"/>
      <c r="DI141" s="15"/>
      <c r="DJ141" s="1"/>
      <c r="DK141" s="16"/>
      <c r="DL141" s="270"/>
      <c r="DM141" s="270"/>
      <c r="DN141" s="10"/>
      <c r="DO141" s="13"/>
      <c r="DP141" s="5"/>
      <c r="DQ141" s="13"/>
      <c r="DR141" s="36"/>
      <c r="DS141" s="36"/>
      <c r="DT141" s="13"/>
      <c r="DU141" s="13"/>
      <c r="DV141" s="13"/>
      <c r="DW141" s="15"/>
      <c r="DY141" s="16"/>
      <c r="DZ141" s="270"/>
      <c r="EA141" s="270"/>
      <c r="EB141" s="10"/>
      <c r="EC141" s="13"/>
      <c r="ED141" s="5"/>
      <c r="EE141" s="13"/>
      <c r="EF141" s="36"/>
      <c r="EG141" s="36"/>
      <c r="EH141" s="13"/>
      <c r="EI141" s="13"/>
      <c r="EJ141" s="13"/>
      <c r="EK141" s="15"/>
    </row>
    <row r="142" spans="1:141" x14ac:dyDescent="0.2">
      <c r="A142" s="258" t="s">
        <v>28</v>
      </c>
      <c r="B142" s="260"/>
      <c r="C142" s="259"/>
      <c r="D142" s="38">
        <f>SUM(D78,D82,D86,D90,D94,D98,D102,D106,D110,D114,D118,D122,D126)*100</f>
        <v>55000</v>
      </c>
      <c r="E142" s="54"/>
      <c r="F142" s="13"/>
      <c r="G142" s="5">
        <f>D142/H142</f>
        <v>1617.6470588235295</v>
      </c>
      <c r="H142" s="38">
        <f>SUM(H78,H82,H86,H90,H94,H98,H101,H106,H110,H114,H118,H122,H126)</f>
        <v>34</v>
      </c>
      <c r="I142" s="13"/>
      <c r="J142" s="75" t="str">
        <f t="shared" si="294"/>
        <v>電ブル</v>
      </c>
      <c r="K142" s="76">
        <f t="shared" si="294"/>
        <v>275</v>
      </c>
      <c r="L142" s="38">
        <f>SUM(L78,L82,L86,L90,L94,L98,L101,L106,L110,L114,L118,L122,L126)</f>
        <v>13134</v>
      </c>
      <c r="M142" s="36">
        <f>L142/D142</f>
        <v>0.23880000000000001</v>
      </c>
      <c r="N142" s="15"/>
      <c r="O142" s="2"/>
      <c r="P142" s="258" t="s">
        <v>28</v>
      </c>
      <c r="Q142" s="259"/>
      <c r="R142" s="38">
        <f>SUM(R78,R82,R86,R90,R94,R98,R101,R106,R110,R114,R118,R122,R126)*100</f>
        <v>109600</v>
      </c>
      <c r="S142" s="54"/>
      <c r="T142" s="13"/>
      <c r="U142" s="5">
        <f>R142/V142</f>
        <v>4059.2592592592591</v>
      </c>
      <c r="V142" s="38">
        <f>SUM(V78,V82,V86,V90,V94,V98,V101,V106,V110,V114,V118,V122,V126)</f>
        <v>27</v>
      </c>
      <c r="W142" s="13"/>
      <c r="X142" s="78" t="str">
        <f t="shared" si="295"/>
        <v>たまごっちブロックシール</v>
      </c>
      <c r="Y142" s="76">
        <f t="shared" si="295"/>
        <v>600</v>
      </c>
      <c r="Z142" s="38">
        <f>SUM(Z78,Z82,Z86,Z90,Z94,Z98,Z101,Z106,Z110,Z114,Z118,Z122,Z126)</f>
        <v>17200</v>
      </c>
      <c r="AA142" s="36">
        <f>Z142/R142</f>
        <v>0.15693430656934307</v>
      </c>
      <c r="AB142" s="15"/>
      <c r="AC142" s="1"/>
      <c r="AD142" s="258" t="s">
        <v>28</v>
      </c>
      <c r="AE142" s="259"/>
      <c r="AF142" s="38">
        <f>SUM(AF78,AF82,AF86,AF90,AF94,AF98,AF102,AF106,AF110,AF114,AF118,AF122,AF126)*100</f>
        <v>83100</v>
      </c>
      <c r="AG142" s="54"/>
      <c r="AH142" s="13"/>
      <c r="AI142" s="5">
        <f>AF142/AJ142</f>
        <v>5540</v>
      </c>
      <c r="AJ142" s="38">
        <f>SUM(AJ78,AJ82,AJ86,AJ90,AJ94,AJ98,AJ101,AJ106,AJ110,AJ114,AJ118,AJ122,AJ126)</f>
        <v>15</v>
      </c>
      <c r="AK142" s="13"/>
      <c r="AL142" s="75" t="str">
        <f t="shared" si="296"/>
        <v>サンリオハンディファン</v>
      </c>
      <c r="AM142" s="76">
        <f t="shared" si="296"/>
        <v>1100</v>
      </c>
      <c r="AN142" s="38">
        <f>SUM(AN78,AN82,AN86,AN90,AN94,AN98,AN101,AN106,AN110,AN114,AN118,AN122,AN126)</f>
        <v>16500</v>
      </c>
      <c r="AO142" s="36">
        <f>AN142/AF142</f>
        <v>0.19855595667870035</v>
      </c>
      <c r="AP142" s="15"/>
      <c r="AQ142" s="2"/>
      <c r="AR142" s="258" t="s">
        <v>28</v>
      </c>
      <c r="AS142" s="259"/>
      <c r="AT142" s="38">
        <f>SUM(AT78,AT82,AT86,AT90,AT94,AT98,AT101,AT106,AT110,AT114,AT118,AT122,AT126)*100</f>
        <v>134800</v>
      </c>
      <c r="AU142" s="54"/>
      <c r="AV142" s="13"/>
      <c r="AW142" s="5">
        <f>AT142/AX142</f>
        <v>6740</v>
      </c>
      <c r="AX142" s="38">
        <f>SUM(AX78,AX82,AX86,AX90,AX94,AX98,AX102,AX106,AX110,AX114,AX118,AX122,AX126)</f>
        <v>20</v>
      </c>
      <c r="AY142" s="13"/>
      <c r="AZ142" s="75" t="str">
        <f t="shared" si="297"/>
        <v>液晶ミニカメラ</v>
      </c>
      <c r="BA142" s="76">
        <f t="shared" si="297"/>
        <v>1100</v>
      </c>
      <c r="BB142" s="38">
        <f>SUM(BB78,BB82,BB86,BB90,BB94,BB98,BB101,BB106,BB110,BB114,BB118,BB122,BB126)</f>
        <v>25300</v>
      </c>
      <c r="BC142" s="36">
        <f>BB142/AT142</f>
        <v>0.18768545994065283</v>
      </c>
      <c r="BD142" s="15"/>
      <c r="BE142" s="2"/>
      <c r="BF142" s="258" t="s">
        <v>28</v>
      </c>
      <c r="BG142" s="261"/>
      <c r="BH142" s="259"/>
      <c r="BI142" s="38">
        <f>SUM(BI78,BI82,BI86,BI90,BI94,BI98,BI101,BI106,BI110,BI114,BI118,BI122,BI126)*100</f>
        <v>127900</v>
      </c>
      <c r="BJ142" s="54"/>
      <c r="BK142" s="13"/>
      <c r="BL142" s="5">
        <f>BI142/BM142</f>
        <v>9135.7142857142862</v>
      </c>
      <c r="BM142" s="38">
        <f>SUM(BM78,BM82,BM86,BM90,BM94,BM98,BM101,BM106,BM110,BM114,BM118,BM122,BM126)</f>
        <v>14</v>
      </c>
      <c r="BN142" s="13"/>
      <c r="BO142" s="78" t="str">
        <f t="shared" si="298"/>
        <v>ボンボンドロップシール</v>
      </c>
      <c r="BP142" s="76">
        <f t="shared" si="298"/>
        <v>1500</v>
      </c>
      <c r="BQ142" s="38">
        <f>SUM(BQ78,BQ82,BQ86,BQ90,BQ94,BQ98,BQ101,BQ106,BQ110,BQ114,BQ118,BQ122,BQ126)</f>
        <v>21000</v>
      </c>
      <c r="BR142" s="36">
        <f>BQ142/BI142</f>
        <v>0.16419077404222049</v>
      </c>
      <c r="BS142" s="15"/>
      <c r="BU142" s="16"/>
      <c r="BV142" s="270"/>
      <c r="BW142" s="270"/>
      <c r="BX142" s="13"/>
      <c r="BY142" s="13"/>
      <c r="BZ142" s="5"/>
      <c r="CA142" s="13"/>
      <c r="CB142" s="36"/>
      <c r="CC142" s="36"/>
      <c r="CD142" s="14"/>
      <c r="CE142" s="14"/>
      <c r="CF142" s="14"/>
      <c r="CG142" s="15"/>
      <c r="CH142" s="1"/>
      <c r="CI142" s="16"/>
      <c r="CJ142" s="270"/>
      <c r="CK142" s="270"/>
      <c r="CL142" s="13"/>
      <c r="CM142" s="13"/>
      <c r="CN142" s="5"/>
      <c r="CO142" s="13"/>
      <c r="CP142" s="36"/>
      <c r="CQ142" s="36"/>
      <c r="CR142" s="14"/>
      <c r="CS142" s="14"/>
      <c r="CT142" s="14"/>
      <c r="CU142" s="15"/>
      <c r="CV142" s="1"/>
      <c r="CW142" s="16"/>
      <c r="CX142" s="270"/>
      <c r="CY142" s="270"/>
      <c r="CZ142" s="13"/>
      <c r="DA142" s="13"/>
      <c r="DB142" s="5"/>
      <c r="DC142" s="13"/>
      <c r="DD142" s="36"/>
      <c r="DE142" s="36"/>
      <c r="DF142" s="14"/>
      <c r="DG142" s="14"/>
      <c r="DH142" s="14"/>
      <c r="DI142" s="15"/>
      <c r="DJ142" s="1"/>
      <c r="DK142" s="16"/>
      <c r="DL142" s="270"/>
      <c r="DM142" s="270"/>
      <c r="DN142" s="13"/>
      <c r="DO142" s="13"/>
      <c r="DP142" s="5"/>
      <c r="DQ142" s="13"/>
      <c r="DR142" s="36"/>
      <c r="DS142" s="36"/>
      <c r="DT142" s="14"/>
      <c r="DU142" s="14"/>
      <c r="DV142" s="14"/>
      <c r="DW142" s="15"/>
      <c r="DY142" s="16"/>
      <c r="DZ142" s="270"/>
      <c r="EA142" s="270"/>
      <c r="EB142" s="13"/>
      <c r="EC142" s="13"/>
      <c r="ED142" s="5"/>
      <c r="EE142" s="13"/>
      <c r="EF142" s="36"/>
      <c r="EG142" s="36"/>
      <c r="EH142" s="14"/>
      <c r="EI142" s="14"/>
      <c r="EJ142" s="14"/>
      <c r="EK142" s="15"/>
    </row>
    <row r="143" spans="1:141" x14ac:dyDescent="0.2">
      <c r="A143" s="258" t="s">
        <v>28</v>
      </c>
      <c r="B143" s="260"/>
      <c r="C143" s="259"/>
      <c r="D143" s="38">
        <f>SUM(D79,D83,D87,D91,D95,D99,D103,D107,D111,D115,D119,D123,D127)*100</f>
        <v>46300</v>
      </c>
      <c r="E143" s="54"/>
      <c r="F143" s="13"/>
      <c r="G143" s="5">
        <f>D143/H143</f>
        <v>370.4</v>
      </c>
      <c r="H143" s="38">
        <f>SUM(H79,H83,H87,H92,H95,H99,H103,H107,H111,H115,H119,H123,H127)</f>
        <v>125</v>
      </c>
      <c r="I143" s="13"/>
      <c r="J143" s="75" t="str">
        <f t="shared" si="294"/>
        <v>ブレスレット</v>
      </c>
      <c r="K143" s="76">
        <f t="shared" si="294"/>
        <v>100</v>
      </c>
      <c r="L143" s="38">
        <f>SUM(L79,L83,L87,L92,L95,L99,L103,L107,L111,L115,L119,L123,L127)</f>
        <v>13916</v>
      </c>
      <c r="M143" s="36">
        <f>L143/D143</f>
        <v>0.30056155507559396</v>
      </c>
      <c r="N143" s="15"/>
      <c r="O143" s="2"/>
      <c r="P143" s="258" t="s">
        <v>28</v>
      </c>
      <c r="Q143" s="259"/>
      <c r="R143" s="38">
        <f>SUM(R79,R83,R87,R91,R95,R99,R103,R107,R111,R115,R119,R123,R127)*100</f>
        <v>94100</v>
      </c>
      <c r="S143" s="54"/>
      <c r="T143" s="13"/>
      <c r="U143" s="5">
        <f>R143/V143</f>
        <v>4277.272727272727</v>
      </c>
      <c r="V143" s="38">
        <f>SUM(V79,V83,V87,V92,V95,V99,V103,V107,V111,V115,V119,V123,V127)</f>
        <v>22</v>
      </c>
      <c r="W143" s="13"/>
      <c r="X143" s="78" t="str">
        <f t="shared" si="295"/>
        <v>たまごっちミニクリップ</v>
      </c>
      <c r="Y143" s="76">
        <f t="shared" si="295"/>
        <v>1100</v>
      </c>
      <c r="Z143" s="38">
        <f>SUM(Z79,Z83,Z87,Z92,Z95,Z99,Z103,Z107,Z111,Z115,Z119,Z123,Z127)</f>
        <v>16100</v>
      </c>
      <c r="AA143" s="36">
        <f>Z143/R143</f>
        <v>0.17109458023379384</v>
      </c>
      <c r="AB143" s="15"/>
      <c r="AC143" s="1"/>
      <c r="AD143" s="258" t="s">
        <v>28</v>
      </c>
      <c r="AE143" s="259"/>
      <c r="AF143" s="38">
        <f>SUM(AF79,AF83,AF87,AF91,AF95,AF99,AF103,AF107,AF111,AF115,AF119,AF123,AF127)*100</f>
        <v>137800</v>
      </c>
      <c r="AG143" s="54"/>
      <c r="AH143" s="13"/>
      <c r="AI143" s="5">
        <f>AF143/AJ143</f>
        <v>612.44444444444446</v>
      </c>
      <c r="AJ143" s="38">
        <f>SUM(AJ79,AJ83,AJ87,AJ92,AJ95,AJ99,AJ103,AJ107,AJ111,AJ115,AJ119,AJ123,AJ127)</f>
        <v>225</v>
      </c>
      <c r="AK143" s="13"/>
      <c r="AL143" s="75" t="str">
        <f t="shared" si="296"/>
        <v>ふわもちスクイーズ</v>
      </c>
      <c r="AM143" s="76">
        <f t="shared" si="296"/>
        <v>99</v>
      </c>
      <c r="AN143" s="38">
        <f>SUM(AN79,AN83,AN87,AN92,AN95,AN99,AN103,AN107,AN111,AN115,AN119,AN123,AN127)</f>
        <v>54454</v>
      </c>
      <c r="AO143" s="36">
        <f>AN143/AF143</f>
        <v>0.39516690856313497</v>
      </c>
      <c r="AP143" s="15"/>
      <c r="AQ143" s="2"/>
      <c r="AR143" s="258" t="s">
        <v>28</v>
      </c>
      <c r="AS143" s="259"/>
      <c r="AT143" s="38">
        <f>SUM(AT79,AT83,AT87,AT91,AT95,AT99,AT103,AT107,AT111,AT115,AT119,AT123,AT127)*100</f>
        <v>105700</v>
      </c>
      <c r="AU143" s="54"/>
      <c r="AV143" s="13"/>
      <c r="AW143" s="5">
        <f>AT143/AX143</f>
        <v>10570</v>
      </c>
      <c r="AX143" s="38">
        <f>SUM(AX79,AX83,AX87,AX91,AX95,AX99,AX103,AX107,AX111,AX115,AX119,AX123,AX127)</f>
        <v>10</v>
      </c>
      <c r="AY143" s="13"/>
      <c r="AZ143" s="75" t="str">
        <f t="shared" si="297"/>
        <v>たまごっちマスコット</v>
      </c>
      <c r="BA143" s="76">
        <f t="shared" si="297"/>
        <v>1430</v>
      </c>
      <c r="BB143" s="38">
        <f>SUM(BB79,BB83,BB87,BB92,BB95,BB99,BB103,BB107,BB111,BB115,BB119,BB123,BB127)</f>
        <v>13270</v>
      </c>
      <c r="BC143" s="36">
        <f>BB143/AT143</f>
        <v>0.12554399243140965</v>
      </c>
      <c r="BD143" s="15"/>
      <c r="BE143" s="2"/>
      <c r="BF143" s="258" t="s">
        <v>28</v>
      </c>
      <c r="BG143" s="261"/>
      <c r="BH143" s="259"/>
      <c r="BI143" s="38">
        <f>SUM(BI79,BI83,BI87,BI91,BI95,BI99,BI103,BI107,BI111,BI115,BI119,BI123,BI127)*100</f>
        <v>89400</v>
      </c>
      <c r="BJ143" s="54"/>
      <c r="BK143" s="13"/>
      <c r="BL143" s="5">
        <f>BI143/BM143</f>
        <v>6876.9230769230771</v>
      </c>
      <c r="BM143" s="38">
        <f>SUM(BM79,BM83,BM87,BM92,BM95,BM99,BM103,BM107,BM111,BM115,BM119,BM123,BM127)</f>
        <v>13</v>
      </c>
      <c r="BN143" s="13"/>
      <c r="BO143" s="78" t="str">
        <f t="shared" si="298"/>
        <v>うるちゅるサンリオ</v>
      </c>
      <c r="BP143" s="76">
        <f t="shared" si="298"/>
        <v>1500</v>
      </c>
      <c r="BQ143" s="38">
        <f>SUM(BQ79,BQ83,BQ87,BQ92,BQ95,BQ99,BQ103,BQ107,BQ111,BQ115,BQ119,BQ123,BQ127)</f>
        <v>19500</v>
      </c>
      <c r="BR143" s="36">
        <f>BQ143/BI143</f>
        <v>0.21812080536912751</v>
      </c>
      <c r="BS143" s="15"/>
      <c r="BU143" s="16"/>
      <c r="BV143" s="270"/>
      <c r="BW143" s="270"/>
      <c r="BX143" s="36"/>
      <c r="BY143" s="13"/>
      <c r="BZ143" s="5"/>
      <c r="CA143" s="13"/>
      <c r="CB143" s="36"/>
      <c r="CC143" s="36"/>
      <c r="CD143" s="14"/>
      <c r="CE143" s="14"/>
      <c r="CF143" s="14"/>
      <c r="CG143" s="15"/>
      <c r="CH143" s="1"/>
      <c r="CI143" s="16"/>
      <c r="CJ143" s="270"/>
      <c r="CK143" s="270"/>
      <c r="CL143" s="36"/>
      <c r="CM143" s="13"/>
      <c r="CN143" s="5"/>
      <c r="CO143" s="13"/>
      <c r="CP143" s="36"/>
      <c r="CQ143" s="36"/>
      <c r="CR143" s="14"/>
      <c r="CS143" s="14"/>
      <c r="CT143" s="14"/>
      <c r="CU143" s="15"/>
      <c r="CV143" s="1"/>
      <c r="CW143" s="16"/>
      <c r="CX143" s="270"/>
      <c r="CY143" s="270"/>
      <c r="CZ143" s="36"/>
      <c r="DA143" s="13"/>
      <c r="DB143" s="5"/>
      <c r="DC143" s="13"/>
      <c r="DD143" s="36"/>
      <c r="DE143" s="36"/>
      <c r="DF143" s="14"/>
      <c r="DG143" s="14"/>
      <c r="DH143" s="14"/>
      <c r="DI143" s="15"/>
      <c r="DJ143" s="1"/>
      <c r="DK143" s="16"/>
      <c r="DL143" s="270"/>
      <c r="DM143" s="270"/>
      <c r="DN143" s="36"/>
      <c r="DO143" s="13"/>
      <c r="DP143" s="5"/>
      <c r="DQ143" s="13"/>
      <c r="DR143" s="36"/>
      <c r="DS143" s="36"/>
      <c r="DT143" s="14"/>
      <c r="DU143" s="14"/>
      <c r="DV143" s="14"/>
      <c r="DW143" s="15"/>
      <c r="DY143" s="16"/>
      <c r="DZ143" s="270"/>
      <c r="EA143" s="270"/>
      <c r="EB143" s="36"/>
      <c r="EC143" s="13"/>
      <c r="ED143" s="5"/>
      <c r="EE143" s="13"/>
      <c r="EF143" s="36"/>
      <c r="EG143" s="36"/>
      <c r="EH143" s="14"/>
      <c r="EI143" s="14"/>
      <c r="EJ143" s="14"/>
      <c r="EK143" s="15"/>
    </row>
    <row r="144" spans="1:141" x14ac:dyDescent="0.2">
      <c r="A144" s="258" t="s">
        <v>28</v>
      </c>
      <c r="B144" s="260"/>
      <c r="C144" s="259"/>
      <c r="D144" s="38">
        <f>SUM(D80,D84,D88,D92,D96,D100,D104,D108,D112,D116,D120,D124,D128)*100</f>
        <v>65600</v>
      </c>
      <c r="E144" s="54"/>
      <c r="F144" s="13"/>
      <c r="G144" s="5">
        <f>D144/H144</f>
        <v>1822.2222222222222</v>
      </c>
      <c r="H144" s="38">
        <f>SUM(H80,H84,H88,H91,H96,H100,H104,H108,H112,H116,H120,H124,H128)</f>
        <v>36</v>
      </c>
      <c r="I144" s="13"/>
      <c r="J144" s="75" t="str">
        <f t="shared" si="294"/>
        <v>モンチチフルーツマスコット</v>
      </c>
      <c r="K144" s="76">
        <f t="shared" si="294"/>
        <v>572</v>
      </c>
      <c r="L144" s="38">
        <f>SUM(L80,L84,L88,L91,L96,L100,L104,L108,L112,L116,L120,L124,L128)</f>
        <v>11152</v>
      </c>
      <c r="M144" s="36">
        <f>L144/D144</f>
        <v>0.17</v>
      </c>
      <c r="N144" s="15"/>
      <c r="O144" s="2"/>
      <c r="P144" s="258" t="s">
        <v>28</v>
      </c>
      <c r="Q144" s="259"/>
      <c r="R144" s="38">
        <f>SUM(R80,R84,R88,R92,R96,R100,R104,R108,R112,R116,R120,R124,R128)*100</f>
        <v>124600</v>
      </c>
      <c r="S144" s="54"/>
      <c r="T144" s="13"/>
      <c r="U144" s="5">
        <f>R144/V144</f>
        <v>1465.8823529411766</v>
      </c>
      <c r="V144" s="38">
        <f>SUM(V80,V84,V88,V91,V96,V100,V104,V108,V112,V116,V120,V124,V128)</f>
        <v>85</v>
      </c>
      <c r="W144" s="13"/>
      <c r="X144" s="78" t="str">
        <f t="shared" si="295"/>
        <v>ボンボンドロップ</v>
      </c>
      <c r="Y144" s="76">
        <f t="shared" si="295"/>
        <v>200</v>
      </c>
      <c r="Z144" s="38">
        <f>SUM(Z80,Z84,Z88,Z91,Z96,Z100,Z104,Z108,Z112,Z116,Z120,Z124,Z128)</f>
        <v>17900</v>
      </c>
      <c r="AA144" s="36">
        <f>Z144/R144</f>
        <v>0.14365971107544143</v>
      </c>
      <c r="AB144" s="15"/>
      <c r="AC144" s="1"/>
      <c r="AD144" s="258" t="s">
        <v>28</v>
      </c>
      <c r="AE144" s="259"/>
      <c r="AF144" s="38">
        <f>SUM(AF80,AF84,AF88,AF92,AF96,AF100,AF104,AF108,AF112,AF116,AF120,AF124,AF128)*100</f>
        <v>70200</v>
      </c>
      <c r="AG144" s="54"/>
      <c r="AH144" s="13"/>
      <c r="AI144" s="5">
        <f>AF144/AJ144</f>
        <v>7020</v>
      </c>
      <c r="AJ144" s="38">
        <f>SUM(AJ80,AJ84,AJ88,AJ91,AJ96,AJ100,AJ104,AJ108,AJ112,AJ116,AJ120,AJ124,AJ128)</f>
        <v>10</v>
      </c>
      <c r="AK144" s="13"/>
      <c r="AL144" s="75" t="str">
        <f t="shared" si="296"/>
        <v>キティキラキラマルチケース</v>
      </c>
      <c r="AM144" s="76">
        <f t="shared" si="296"/>
        <v>400</v>
      </c>
      <c r="AN144" s="38">
        <f>SUM(AN80,AN84,AN88,AN91,AN96,AN100,AN104,AN108,AN112,AN116,AN120,AN124,AN128)</f>
        <v>3720</v>
      </c>
      <c r="AO144" s="36">
        <f>AN144/AF144</f>
        <v>5.2991452991452991E-2</v>
      </c>
      <c r="AP144" s="15"/>
      <c r="AQ144" s="2"/>
      <c r="AR144" s="258" t="s">
        <v>28</v>
      </c>
      <c r="AS144" s="259"/>
      <c r="AT144" s="38">
        <f>SUM(AT80,AT84,AT88,AT92,AT96,AT100,AT104,AT108,AT112,AT116,AT120,AT124,AT128)*100</f>
        <v>106000</v>
      </c>
      <c r="AU144" s="54"/>
      <c r="AV144" s="13"/>
      <c r="AW144" s="5">
        <f>AT144/AX144</f>
        <v>5888.8888888888887</v>
      </c>
      <c r="AX144" s="38">
        <f>SUM(AX80,AX84,AX88,AX92,AX96,AX100,AX104,AX108,AX112,AX116,AX120,AX124,AX128)</f>
        <v>18</v>
      </c>
      <c r="AY144" s="13"/>
      <c r="AZ144" s="75" t="str">
        <f t="shared" si="297"/>
        <v>バタースクイーズ</v>
      </c>
      <c r="BA144" s="76">
        <f t="shared" si="297"/>
        <v>400</v>
      </c>
      <c r="BB144" s="38">
        <f>SUM(BB80,BB84,BB88,BB91,BB96,BB100,BB104,BB108,BB112,BB116,BB120,BB124,BB128)</f>
        <v>8230</v>
      </c>
      <c r="BC144" s="36">
        <f>BB144/AT144</f>
        <v>7.7641509433962266E-2</v>
      </c>
      <c r="BD144" s="15"/>
      <c r="BE144" s="2"/>
      <c r="BF144" s="258" t="s">
        <v>28</v>
      </c>
      <c r="BG144" s="261"/>
      <c r="BH144" s="259"/>
      <c r="BI144" s="38">
        <f>SUM(BI80,BI84,BI88,BI92,BI96,BI100,BI104,BI108,BI112,BI116,BI120,BI124,BI128)*100</f>
        <v>78900</v>
      </c>
      <c r="BJ144" s="54"/>
      <c r="BK144" s="13"/>
      <c r="BL144" s="5">
        <f>BI144/BM144</f>
        <v>6069.2307692307695</v>
      </c>
      <c r="BM144" s="38">
        <f>SUM(BM80,BM84,BM88,BM91,BM96,BM100,BM104,BM108,BM112,BM116,BM120,BM124,BM128)</f>
        <v>13</v>
      </c>
      <c r="BN144" s="13"/>
      <c r="BO144" s="78" t="str">
        <f t="shared" si="298"/>
        <v>ボンボンドロップシール</v>
      </c>
      <c r="BP144" s="76">
        <f t="shared" si="298"/>
        <v>1500</v>
      </c>
      <c r="BQ144" s="38">
        <f>SUM(BQ80,BQ84,BQ88,BQ91,BQ96,BQ100,BQ104,BQ108,BQ112,BQ116,BQ120,BQ124,BQ128)</f>
        <v>19500</v>
      </c>
      <c r="BR144" s="36">
        <f>BQ144/BI144</f>
        <v>0.24714828897338403</v>
      </c>
      <c r="BS144" s="15"/>
      <c r="BU144" s="40"/>
      <c r="BV144" s="3"/>
      <c r="BW144" s="2"/>
      <c r="BX144" s="41"/>
      <c r="BY144" s="1"/>
      <c r="BZ144" s="3"/>
      <c r="CA144" s="1"/>
      <c r="CB144" s="23"/>
      <c r="CC144" s="23"/>
      <c r="CD144" s="23"/>
      <c r="CE144" s="23"/>
      <c r="CF144" s="23"/>
      <c r="CG144" s="18"/>
      <c r="CH144" s="1"/>
      <c r="CI144" s="40"/>
      <c r="CJ144" s="3"/>
      <c r="CK144" s="2"/>
      <c r="CL144" s="41"/>
      <c r="CM144" s="1"/>
      <c r="CN144" s="3"/>
      <c r="CO144" s="1"/>
      <c r="CP144" s="23"/>
      <c r="CQ144" s="23"/>
      <c r="CR144" s="23"/>
      <c r="CS144" s="23"/>
      <c r="CT144" s="23"/>
      <c r="CU144" s="18"/>
      <c r="CV144" s="1"/>
      <c r="CW144" s="40"/>
      <c r="CX144" s="3"/>
      <c r="CY144" s="2"/>
      <c r="CZ144" s="41"/>
      <c r="DA144" s="1"/>
      <c r="DB144" s="3"/>
      <c r="DC144" s="1"/>
      <c r="DD144" s="23"/>
      <c r="DE144" s="23"/>
      <c r="DF144" s="23"/>
      <c r="DG144" s="23"/>
      <c r="DH144" s="23"/>
      <c r="DI144" s="18"/>
      <c r="DJ144" s="1"/>
      <c r="DK144" s="40"/>
      <c r="DL144" s="3"/>
      <c r="DM144" s="2"/>
      <c r="DN144" s="41"/>
      <c r="DO144" s="1"/>
      <c r="DP144" s="3"/>
      <c r="DQ144" s="1"/>
      <c r="DR144" s="23"/>
      <c r="DS144" s="23"/>
      <c r="DT144" s="23"/>
      <c r="DU144" s="23"/>
      <c r="DV144" s="23"/>
      <c r="DW144" s="18"/>
    </row>
    <row r="145" spans="1:142" x14ac:dyDescent="0.2">
      <c r="A145" s="16"/>
      <c r="B145" s="11"/>
      <c r="C145" s="5" t="s">
        <v>19</v>
      </c>
      <c r="D145" s="13">
        <f>SUM(D141:D144)</f>
        <v>243700</v>
      </c>
      <c r="E145" s="13"/>
      <c r="F145" s="13"/>
      <c r="G145" s="13"/>
      <c r="H145" s="13">
        <f>SUM(H141:H144)</f>
        <v>230</v>
      </c>
      <c r="I145" s="13"/>
      <c r="J145" s="262" t="s">
        <v>31</v>
      </c>
      <c r="K145" s="259"/>
      <c r="L145" s="53">
        <f>SUM(L141:L144)</f>
        <v>63436</v>
      </c>
      <c r="M145" s="83">
        <f>L145/D145</f>
        <v>0.26030365203118588</v>
      </c>
      <c r="N145" s="84"/>
      <c r="O145" s="2"/>
      <c r="P145" s="16"/>
      <c r="Q145" s="5" t="s">
        <v>19</v>
      </c>
      <c r="R145" s="13">
        <f>SUM(R141:R144)</f>
        <v>429200</v>
      </c>
      <c r="S145" s="54"/>
      <c r="T145" s="13"/>
      <c r="U145" s="13"/>
      <c r="V145" s="13">
        <f>SUM(V141:V144)</f>
        <v>154</v>
      </c>
      <c r="W145" s="13"/>
      <c r="X145" s="262" t="s">
        <v>31</v>
      </c>
      <c r="Y145" s="259"/>
      <c r="Z145" s="53">
        <f>SUM(Z141:Z144)</f>
        <v>72700</v>
      </c>
      <c r="AA145" s="83">
        <f>Z145/R145</f>
        <v>0.16938490214352284</v>
      </c>
      <c r="AB145" s="84"/>
      <c r="AC145" s="1"/>
      <c r="AD145" s="16"/>
      <c r="AE145" s="5" t="s">
        <v>19</v>
      </c>
      <c r="AF145" s="13">
        <f>SUM(AF141:AF144)</f>
        <v>336400</v>
      </c>
      <c r="AG145" s="54"/>
      <c r="AH145" s="13"/>
      <c r="AI145" s="13"/>
      <c r="AJ145" s="13">
        <f>SUM(AJ141:AJ144)</f>
        <v>267</v>
      </c>
      <c r="AK145" s="13"/>
      <c r="AL145" s="262" t="s">
        <v>31</v>
      </c>
      <c r="AM145" s="259"/>
      <c r="AN145" s="53">
        <f>SUM(AN141:AN144)</f>
        <v>80914</v>
      </c>
      <c r="AO145" s="83">
        <f>AN145/AF145</f>
        <v>0.24052913198573128</v>
      </c>
      <c r="AP145" s="84"/>
      <c r="AQ145" s="2"/>
      <c r="AR145" s="16"/>
      <c r="AS145" s="5" t="s">
        <v>19</v>
      </c>
      <c r="AT145" s="13">
        <f>SUM(AT141:AT144)</f>
        <v>433200</v>
      </c>
      <c r="AU145" s="54"/>
      <c r="AV145" s="13"/>
      <c r="AW145" s="13"/>
      <c r="AX145" s="13">
        <f>SUM(AX141:AX144)</f>
        <v>81</v>
      </c>
      <c r="AY145" s="13"/>
      <c r="AZ145" s="262" t="s">
        <v>31</v>
      </c>
      <c r="BA145" s="259"/>
      <c r="BB145" s="53">
        <f>SUM(BB141:BB144)</f>
        <v>79800</v>
      </c>
      <c r="BC145" s="83">
        <f>BB145/AT145</f>
        <v>0.18421052631578946</v>
      </c>
      <c r="BD145" s="84"/>
      <c r="BE145" s="2"/>
      <c r="BF145" s="16"/>
      <c r="BG145" s="7"/>
      <c r="BH145" s="5" t="s">
        <v>19</v>
      </c>
      <c r="BI145" s="13">
        <f>SUM(BI141:BI144)</f>
        <v>374400</v>
      </c>
      <c r="BJ145" s="54"/>
      <c r="BK145" s="13"/>
      <c r="BL145" s="13"/>
      <c r="BM145" s="13">
        <f>SUM(BM141:BM144)</f>
        <v>52</v>
      </c>
      <c r="BN145" s="13"/>
      <c r="BO145" s="262" t="s">
        <v>31</v>
      </c>
      <c r="BP145" s="259"/>
      <c r="BQ145" s="53">
        <f>SUM(BQ141:BQ144)</f>
        <v>78000</v>
      </c>
      <c r="BR145" s="83">
        <f>BQ145/BI145</f>
        <v>0.20833333333333334</v>
      </c>
      <c r="BS145" s="84"/>
      <c r="BU145" s="42"/>
      <c r="BV145" s="256"/>
      <c r="BW145" s="256"/>
      <c r="BX145" s="41"/>
      <c r="BY145" s="1"/>
      <c r="BZ145" s="3"/>
      <c r="CA145" s="1"/>
      <c r="CB145" s="23"/>
      <c r="CC145" s="23"/>
      <c r="CD145" s="23"/>
      <c r="CE145" s="23"/>
      <c r="CF145" s="23"/>
      <c r="CG145" s="18"/>
      <c r="CH145" s="1"/>
      <c r="CI145" s="42"/>
      <c r="CJ145" s="256"/>
      <c r="CK145" s="256"/>
      <c r="CL145" s="41"/>
      <c r="CM145" s="1"/>
      <c r="CN145" s="3"/>
      <c r="CO145" s="1"/>
      <c r="CP145" s="23"/>
      <c r="CQ145" s="23"/>
      <c r="CR145" s="23"/>
      <c r="CS145" s="23"/>
      <c r="CT145" s="23"/>
      <c r="CU145" s="18"/>
      <c r="CV145" s="1"/>
      <c r="CW145" s="42"/>
      <c r="CX145" s="256"/>
      <c r="CY145" s="256"/>
      <c r="CZ145" s="41"/>
      <c r="DA145" s="1"/>
      <c r="DB145" s="3"/>
      <c r="DC145" s="1"/>
      <c r="DD145" s="23"/>
      <c r="DE145" s="23"/>
      <c r="DF145" s="23"/>
      <c r="DG145" s="23"/>
      <c r="DH145" s="23"/>
      <c r="DI145" s="18"/>
      <c r="DJ145" s="1"/>
      <c r="DK145" s="42"/>
      <c r="DL145" s="256"/>
      <c r="DM145" s="256"/>
      <c r="DN145" s="41"/>
      <c r="DO145" s="1"/>
      <c r="DP145" s="3"/>
      <c r="DQ145" s="1"/>
      <c r="DR145" s="23"/>
      <c r="DS145" s="23"/>
      <c r="DT145" s="23"/>
      <c r="DU145" s="23"/>
      <c r="DV145" s="23"/>
      <c r="DW145" s="18"/>
    </row>
    <row r="146" spans="1:142" x14ac:dyDescent="0.2">
      <c r="A146" s="85"/>
      <c r="B146" s="101"/>
      <c r="C146" s="35"/>
      <c r="D146" s="54"/>
      <c r="E146" s="24"/>
      <c r="F146" s="54"/>
      <c r="G146" s="5"/>
      <c r="H146" s="13"/>
      <c r="I146" s="24"/>
      <c r="J146" s="99"/>
      <c r="K146" s="100"/>
      <c r="L146" s="76"/>
      <c r="M146" s="14"/>
      <c r="N146" s="15"/>
      <c r="O146" s="2"/>
      <c r="P146" s="79"/>
      <c r="Q146" s="5"/>
      <c r="R146" s="13"/>
      <c r="S146" s="13"/>
      <c r="T146" s="13"/>
      <c r="U146" s="5"/>
      <c r="V146" s="13"/>
      <c r="W146" s="24"/>
      <c r="X146" s="99"/>
      <c r="Y146" s="100"/>
      <c r="Z146" s="76"/>
      <c r="AA146" s="14"/>
      <c r="AB146" s="15"/>
      <c r="AD146" s="79"/>
      <c r="AE146" s="5"/>
      <c r="AF146" s="13"/>
      <c r="AG146" s="13"/>
      <c r="AH146" s="13"/>
      <c r="AI146" s="5"/>
      <c r="AJ146" s="13"/>
      <c r="AK146" s="24"/>
      <c r="AL146" s="99"/>
      <c r="AM146" s="100"/>
      <c r="AN146" s="76"/>
      <c r="AO146" s="14"/>
      <c r="AP146" s="15"/>
      <c r="AQ146" s="2"/>
      <c r="AR146" s="79"/>
      <c r="AS146" s="5"/>
      <c r="AT146" s="13"/>
      <c r="AU146" s="13"/>
      <c r="AV146" s="13"/>
      <c r="AW146" s="5"/>
      <c r="AX146" s="13"/>
      <c r="AY146" s="24"/>
      <c r="AZ146" s="118"/>
      <c r="BA146" s="100"/>
      <c r="BB146" s="76"/>
      <c r="BC146" s="14"/>
      <c r="BD146" s="15"/>
      <c r="BE146" s="2"/>
      <c r="BF146" s="79"/>
      <c r="BG146" s="240"/>
      <c r="BH146" s="5"/>
      <c r="BI146" s="13"/>
      <c r="BJ146" s="13"/>
      <c r="BK146" s="13"/>
      <c r="BL146" s="5"/>
      <c r="BM146" s="13"/>
      <c r="BN146" s="24"/>
      <c r="BO146" s="99"/>
      <c r="BP146" s="100"/>
      <c r="BQ146" s="76"/>
      <c r="BR146" s="14"/>
      <c r="BS146" s="15"/>
      <c r="BU146" s="42"/>
      <c r="BV146" s="3"/>
      <c r="BX146" s="41"/>
      <c r="BY146" s="1"/>
      <c r="BZ146" s="3"/>
      <c r="CA146" s="1"/>
      <c r="CB146" s="23"/>
      <c r="CC146" s="23"/>
      <c r="CD146" s="23"/>
      <c r="CE146" s="23"/>
      <c r="CF146" s="23"/>
      <c r="CG146" s="18"/>
      <c r="CH146" s="1"/>
      <c r="CI146" s="42"/>
      <c r="CJ146" s="3"/>
      <c r="CL146" s="41"/>
      <c r="CM146" s="1"/>
      <c r="CN146" s="3"/>
      <c r="CO146" s="1"/>
      <c r="CP146" s="23"/>
      <c r="CQ146" s="23"/>
      <c r="CR146" s="23"/>
      <c r="CS146" s="23"/>
      <c r="CT146" s="23"/>
      <c r="CU146" s="18"/>
      <c r="CV146" s="1"/>
      <c r="CW146" s="42"/>
      <c r="CX146" s="3"/>
      <c r="CZ146" s="41"/>
      <c r="DA146" s="1"/>
      <c r="DB146" s="3"/>
      <c r="DC146" s="1"/>
      <c r="DD146" s="23"/>
      <c r="DE146" s="23"/>
      <c r="DF146" s="23"/>
      <c r="DG146" s="23"/>
      <c r="DH146" s="23"/>
      <c r="DI146" s="18"/>
      <c r="DJ146" s="1"/>
      <c r="DK146" s="42"/>
      <c r="DL146" s="3"/>
      <c r="DN146" s="41"/>
      <c r="DO146" s="1"/>
      <c r="DP146" s="3"/>
      <c r="DQ146" s="1"/>
      <c r="DR146" s="23"/>
      <c r="DS146" s="23"/>
      <c r="DT146" s="23"/>
      <c r="DU146" s="23"/>
      <c r="DV146" s="23"/>
      <c r="DW146" s="18"/>
    </row>
    <row r="147" spans="1:142" x14ac:dyDescent="0.2">
      <c r="A147" s="257"/>
      <c r="B147" s="257"/>
      <c r="C147" s="257"/>
      <c r="D147" s="257"/>
      <c r="E147" s="257"/>
      <c r="F147" s="257"/>
      <c r="BU147" s="40"/>
      <c r="BV147" s="256"/>
      <c r="BW147" s="256"/>
      <c r="BX147" s="41"/>
      <c r="BY147" s="1"/>
      <c r="BZ147" s="3"/>
      <c r="CA147" s="1"/>
      <c r="CB147" s="23"/>
      <c r="CC147" s="23"/>
      <c r="CD147" s="23"/>
      <c r="CE147" s="23"/>
      <c r="CF147" s="23"/>
      <c r="CG147" s="18"/>
      <c r="CH147" s="1"/>
      <c r="CI147" s="40"/>
      <c r="CJ147" s="256"/>
      <c r="CK147" s="256"/>
      <c r="CL147" s="41"/>
      <c r="CM147" s="1"/>
      <c r="CN147" s="3"/>
      <c r="CO147" s="1"/>
      <c r="CP147" s="23"/>
      <c r="CQ147" s="23"/>
      <c r="CR147" s="23"/>
      <c r="CS147" s="23"/>
      <c r="CT147" s="23"/>
      <c r="CU147" s="18"/>
      <c r="CV147" s="1"/>
      <c r="CW147" s="40"/>
      <c r="CX147" s="256"/>
      <c r="CY147" s="256"/>
      <c r="CZ147" s="41"/>
      <c r="DA147" s="1"/>
      <c r="DB147" s="3"/>
      <c r="DC147" s="1"/>
      <c r="DD147" s="23"/>
      <c r="DE147" s="23"/>
      <c r="DF147" s="23"/>
      <c r="DG147" s="23"/>
      <c r="DH147" s="23"/>
      <c r="DI147" s="18"/>
      <c r="DJ147" s="1"/>
      <c r="DK147" s="40"/>
      <c r="DL147" s="256"/>
      <c r="DM147" s="256"/>
      <c r="DN147" s="41"/>
      <c r="DO147" s="1"/>
      <c r="DP147" s="3"/>
      <c r="DQ147" s="1"/>
      <c r="DR147" s="23"/>
      <c r="DS147" s="23"/>
      <c r="DT147" s="23"/>
      <c r="DU147" s="23"/>
      <c r="DV147" s="23"/>
      <c r="DW147" s="18"/>
    </row>
    <row r="148" spans="1:142" ht="15" customHeight="1" x14ac:dyDescent="0.2">
      <c r="A148" s="257"/>
      <c r="B148" s="257"/>
      <c r="J148"/>
      <c r="BU148" s="40"/>
      <c r="BV148" s="3"/>
      <c r="BX148" s="41"/>
      <c r="BY148" s="1"/>
      <c r="BZ148" s="3"/>
      <c r="CA148" s="1"/>
      <c r="CB148" s="23"/>
      <c r="CC148" s="23"/>
      <c r="CD148" s="23"/>
      <c r="CE148" s="23"/>
      <c r="CF148" s="23"/>
      <c r="CG148" s="18"/>
      <c r="CH148" s="1"/>
      <c r="CI148" s="40"/>
      <c r="CJ148" s="3"/>
      <c r="CL148" s="41"/>
      <c r="CM148" s="1"/>
      <c r="CN148" s="3"/>
      <c r="CO148" s="1"/>
      <c r="CP148" s="23"/>
      <c r="CQ148" s="23"/>
      <c r="CR148" s="23"/>
      <c r="CS148" s="23"/>
      <c r="CT148" s="23"/>
      <c r="CU148" s="18"/>
      <c r="CV148" s="1"/>
      <c r="CW148" s="40"/>
      <c r="CX148" s="3"/>
      <c r="CZ148" s="41"/>
      <c r="DA148" s="1"/>
      <c r="DB148" s="3"/>
      <c r="DC148" s="1"/>
      <c r="DD148" s="23"/>
      <c r="DE148" s="23"/>
      <c r="DF148" s="23"/>
      <c r="DG148" s="23"/>
      <c r="DH148" s="23"/>
      <c r="DI148" s="18"/>
      <c r="DJ148" s="1"/>
      <c r="DK148" s="40"/>
      <c r="DL148" s="3"/>
      <c r="DN148" s="41"/>
      <c r="DO148" s="1"/>
      <c r="DP148" s="3"/>
      <c r="DQ148" s="1"/>
      <c r="DR148" s="23"/>
      <c r="DS148" s="23"/>
      <c r="DT148" s="23"/>
      <c r="DU148" s="23"/>
      <c r="DV148" s="23"/>
      <c r="DW148" s="18"/>
    </row>
    <row r="149" spans="1:142" x14ac:dyDescent="0.2">
      <c r="A149" s="276" t="s">
        <v>42</v>
      </c>
      <c r="B149" s="276"/>
      <c r="C149" s="276"/>
      <c r="D149" s="276"/>
      <c r="E149" s="70" t="s">
        <v>56</v>
      </c>
      <c r="F149" s="70"/>
      <c r="G149" s="70"/>
      <c r="H149" s="70"/>
      <c r="I149" s="70"/>
      <c r="J149" s="71"/>
      <c r="K149" s="70"/>
      <c r="L149" s="70"/>
      <c r="M149" s="70"/>
      <c r="N149" s="72"/>
      <c r="O149" s="2"/>
      <c r="P149" s="276" t="s">
        <v>43</v>
      </c>
      <c r="Q149" s="276"/>
      <c r="R149" s="276"/>
      <c r="S149" s="70" t="s">
        <v>55</v>
      </c>
      <c r="T149" s="70"/>
      <c r="U149" s="70"/>
      <c r="V149" s="70"/>
      <c r="W149" s="70"/>
      <c r="X149" s="73"/>
      <c r="Y149" s="70"/>
      <c r="Z149" s="70"/>
      <c r="AA149" s="70"/>
      <c r="AB149" s="72"/>
      <c r="AC149" s="1"/>
      <c r="AD149" s="276" t="s">
        <v>54</v>
      </c>
      <c r="AE149" s="276"/>
      <c r="AF149" s="276"/>
      <c r="AG149" s="70" t="s">
        <v>52</v>
      </c>
      <c r="AH149" s="70"/>
      <c r="AI149" s="70"/>
      <c r="AJ149" s="70"/>
      <c r="AK149" s="70"/>
      <c r="AL149" s="71"/>
      <c r="AM149" s="70"/>
      <c r="AN149" s="70"/>
      <c r="AO149" s="70"/>
      <c r="AP149" s="72"/>
      <c r="AQ149" s="2"/>
      <c r="AR149" s="276" t="s">
        <v>54</v>
      </c>
      <c r="AS149" s="276"/>
      <c r="AT149" s="276"/>
      <c r="AU149" s="70" t="s">
        <v>53</v>
      </c>
      <c r="AV149" s="70"/>
      <c r="AW149" s="70"/>
      <c r="AX149" s="70"/>
      <c r="AY149" s="70"/>
      <c r="AZ149" s="71"/>
      <c r="BA149" s="70"/>
      <c r="BB149" s="70"/>
      <c r="BC149" s="70"/>
      <c r="BD149" s="72"/>
      <c r="BE149" s="2"/>
      <c r="BF149" s="276" t="s">
        <v>43</v>
      </c>
      <c r="BG149" s="279"/>
      <c r="BH149" s="276"/>
      <c r="BI149" s="276"/>
      <c r="BJ149" s="276" t="s">
        <v>481</v>
      </c>
      <c r="BK149" s="276"/>
      <c r="BL149" s="276"/>
      <c r="BM149" s="70"/>
      <c r="BN149" s="70"/>
      <c r="BO149" s="73"/>
      <c r="BP149" s="70"/>
      <c r="BQ149" s="70"/>
      <c r="BR149" s="70"/>
      <c r="BS149" s="72"/>
      <c r="BU149" s="124"/>
      <c r="BV149" s="277" t="s">
        <v>137</v>
      </c>
      <c r="BW149" s="278"/>
      <c r="BX149" s="278"/>
      <c r="BY149" s="278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4"/>
      <c r="CJ149" s="277" t="s">
        <v>138</v>
      </c>
      <c r="CK149" s="278"/>
      <c r="CL149" s="278"/>
      <c r="CM149" s="278"/>
      <c r="CN149" s="125"/>
      <c r="CO149" s="125"/>
      <c r="CP149" s="125"/>
      <c r="CQ149" s="125"/>
      <c r="CR149" s="125"/>
      <c r="CS149" s="125"/>
      <c r="CT149" s="125"/>
      <c r="CU149" s="125"/>
      <c r="CV149" s="125"/>
      <c r="CW149" s="124"/>
      <c r="CX149" s="277" t="s">
        <v>139</v>
      </c>
      <c r="CY149" s="278"/>
      <c r="CZ149" s="278"/>
      <c r="DA149" s="278"/>
      <c r="DB149" s="125"/>
      <c r="DC149" s="125"/>
      <c r="DD149" s="125"/>
      <c r="DE149" s="125"/>
      <c r="DF149" s="125"/>
      <c r="DG149" s="125"/>
      <c r="DH149" s="125"/>
      <c r="DI149" s="125"/>
      <c r="DJ149" s="125"/>
      <c r="DK149" s="124"/>
      <c r="DL149" s="277" t="s">
        <v>140</v>
      </c>
      <c r="DM149" s="278"/>
      <c r="DN149" s="278"/>
      <c r="DO149" s="278"/>
      <c r="DP149" s="125"/>
      <c r="DQ149" s="125"/>
      <c r="DR149" s="125"/>
      <c r="DS149" s="125"/>
      <c r="DT149" s="125"/>
      <c r="DU149" s="125"/>
      <c r="DV149" s="125"/>
      <c r="DW149" s="125"/>
      <c r="DY149" s="124"/>
      <c r="DZ149" s="277" t="s">
        <v>465</v>
      </c>
      <c r="EA149" s="278"/>
      <c r="EB149" s="278"/>
      <c r="EC149" s="278"/>
      <c r="ED149" s="125"/>
      <c r="EE149" s="125"/>
      <c r="EF149" s="125"/>
      <c r="EG149" s="125"/>
      <c r="EH149" s="125"/>
      <c r="EI149" s="125"/>
      <c r="EJ149" s="125"/>
      <c r="EK149" s="125"/>
    </row>
    <row r="150" spans="1:142" x14ac:dyDescent="0.2">
      <c r="A150" s="7" t="s">
        <v>1</v>
      </c>
      <c r="B150" s="4" t="s">
        <v>19</v>
      </c>
      <c r="C150" s="5" t="s">
        <v>2</v>
      </c>
      <c r="D150" s="5" t="s">
        <v>3</v>
      </c>
      <c r="E150" s="6" t="s">
        <v>4</v>
      </c>
      <c r="F150" s="5" t="s">
        <v>3</v>
      </c>
      <c r="G150" s="5" t="s">
        <v>5</v>
      </c>
      <c r="H150" s="5" t="s">
        <v>6</v>
      </c>
      <c r="I150" s="5" t="s">
        <v>7</v>
      </c>
      <c r="J150" s="55" t="s">
        <v>12</v>
      </c>
      <c r="K150" s="5" t="s">
        <v>8</v>
      </c>
      <c r="L150" s="5" t="s">
        <v>6</v>
      </c>
      <c r="M150" s="5" t="s">
        <v>13</v>
      </c>
      <c r="N150" s="5" t="s">
        <v>11</v>
      </c>
      <c r="O150" s="2"/>
      <c r="P150" s="7" t="s">
        <v>1</v>
      </c>
      <c r="Q150" s="5" t="s">
        <v>2</v>
      </c>
      <c r="R150" s="5" t="s">
        <v>3</v>
      </c>
      <c r="S150" s="6" t="s">
        <v>4</v>
      </c>
      <c r="T150" s="5" t="s">
        <v>3</v>
      </c>
      <c r="U150" s="5" t="s">
        <v>5</v>
      </c>
      <c r="V150" s="5" t="s">
        <v>6</v>
      </c>
      <c r="W150" s="5" t="s">
        <v>7</v>
      </c>
      <c r="X150" s="6" t="s">
        <v>12</v>
      </c>
      <c r="Y150" s="5" t="s">
        <v>8</v>
      </c>
      <c r="Z150" s="5" t="s">
        <v>6</v>
      </c>
      <c r="AA150" s="5" t="s">
        <v>13</v>
      </c>
      <c r="AB150" s="5" t="s">
        <v>11</v>
      </c>
      <c r="AC150" s="3"/>
      <c r="AD150" s="7" t="s">
        <v>1</v>
      </c>
      <c r="AE150" s="5" t="s">
        <v>2</v>
      </c>
      <c r="AF150" s="5" t="s">
        <v>3</v>
      </c>
      <c r="AG150" s="6" t="s">
        <v>4</v>
      </c>
      <c r="AH150" s="5" t="s">
        <v>3</v>
      </c>
      <c r="AI150" s="5" t="s">
        <v>5</v>
      </c>
      <c r="AJ150" s="5" t="s">
        <v>6</v>
      </c>
      <c r="AK150" s="5" t="s">
        <v>7</v>
      </c>
      <c r="AL150" s="55" t="s">
        <v>12</v>
      </c>
      <c r="AM150" s="5" t="s">
        <v>8</v>
      </c>
      <c r="AN150" s="5" t="s">
        <v>6</v>
      </c>
      <c r="AO150" s="5" t="s">
        <v>13</v>
      </c>
      <c r="AP150" s="5" t="s">
        <v>11</v>
      </c>
      <c r="AQ150" s="2"/>
      <c r="AR150" s="7" t="s">
        <v>1</v>
      </c>
      <c r="AS150" s="5" t="s">
        <v>2</v>
      </c>
      <c r="AT150" s="5" t="s">
        <v>3</v>
      </c>
      <c r="AU150" s="6" t="s">
        <v>4</v>
      </c>
      <c r="AV150" s="5" t="s">
        <v>3</v>
      </c>
      <c r="AW150" s="5" t="s">
        <v>5</v>
      </c>
      <c r="AX150" s="5" t="s">
        <v>6</v>
      </c>
      <c r="AY150" s="5" t="s">
        <v>7</v>
      </c>
      <c r="AZ150" s="55" t="s">
        <v>12</v>
      </c>
      <c r="BA150" s="5" t="s">
        <v>8</v>
      </c>
      <c r="BB150" s="5" t="s">
        <v>6</v>
      </c>
      <c r="BC150" s="5" t="s">
        <v>13</v>
      </c>
      <c r="BD150" s="5" t="s">
        <v>11</v>
      </c>
      <c r="BE150" s="2"/>
      <c r="BF150" s="236" t="s">
        <v>1</v>
      </c>
      <c r="BG150" s="237"/>
      <c r="BH150" s="69" t="s">
        <v>2</v>
      </c>
      <c r="BI150" s="5" t="s">
        <v>3</v>
      </c>
      <c r="BJ150" s="6" t="s">
        <v>4</v>
      </c>
      <c r="BK150" s="5" t="s">
        <v>3</v>
      </c>
      <c r="BL150" s="5" t="s">
        <v>5</v>
      </c>
      <c r="BM150" s="5" t="s">
        <v>6</v>
      </c>
      <c r="BN150" s="5" t="s">
        <v>7</v>
      </c>
      <c r="BO150" s="6" t="s">
        <v>12</v>
      </c>
      <c r="BP150" s="5" t="s">
        <v>8</v>
      </c>
      <c r="BQ150" s="5" t="s">
        <v>6</v>
      </c>
      <c r="BR150" s="5" t="s">
        <v>13</v>
      </c>
      <c r="BS150" s="5" t="s">
        <v>11</v>
      </c>
      <c r="BU150" s="8" t="s">
        <v>1</v>
      </c>
      <c r="BV150" s="5" t="s">
        <v>2</v>
      </c>
      <c r="BW150" s="5" t="s">
        <v>3</v>
      </c>
      <c r="BX150" s="6" t="s">
        <v>4</v>
      </c>
      <c r="BY150" s="5" t="s">
        <v>3</v>
      </c>
      <c r="BZ150" s="5" t="s">
        <v>5</v>
      </c>
      <c r="CA150" s="5" t="s">
        <v>6</v>
      </c>
      <c r="CB150" s="5" t="s">
        <v>7</v>
      </c>
      <c r="CC150" s="229" t="s">
        <v>12</v>
      </c>
      <c r="CD150" s="5" t="s">
        <v>8</v>
      </c>
      <c r="CE150" s="5" t="s">
        <v>9</v>
      </c>
      <c r="CF150" s="5" t="s">
        <v>10</v>
      </c>
      <c r="CG150" s="5" t="s">
        <v>11</v>
      </c>
      <c r="CH150" s="63"/>
      <c r="CI150" s="8" t="s">
        <v>1</v>
      </c>
      <c r="CJ150" s="5" t="s">
        <v>2</v>
      </c>
      <c r="CK150" s="5" t="s">
        <v>3</v>
      </c>
      <c r="CL150" s="6" t="s">
        <v>4</v>
      </c>
      <c r="CM150" s="5" t="s">
        <v>3</v>
      </c>
      <c r="CN150" s="5" t="s">
        <v>5</v>
      </c>
      <c r="CO150" s="5" t="s">
        <v>6</v>
      </c>
      <c r="CP150" s="5" t="s">
        <v>7</v>
      </c>
      <c r="CQ150" s="229" t="s">
        <v>12</v>
      </c>
      <c r="CR150" s="5" t="s">
        <v>8</v>
      </c>
      <c r="CS150" s="5" t="s">
        <v>9</v>
      </c>
      <c r="CT150" s="5" t="s">
        <v>10</v>
      </c>
      <c r="CU150" s="5" t="s">
        <v>11</v>
      </c>
      <c r="CV150" s="1"/>
      <c r="CW150" s="8" t="s">
        <v>1</v>
      </c>
      <c r="CX150" s="5" t="s">
        <v>2</v>
      </c>
      <c r="CY150" s="5" t="s">
        <v>3</v>
      </c>
      <c r="CZ150" s="6" t="s">
        <v>4</v>
      </c>
      <c r="DA150" s="5" t="s">
        <v>3</v>
      </c>
      <c r="DB150" s="5" t="s">
        <v>5</v>
      </c>
      <c r="DC150" s="5" t="s">
        <v>6</v>
      </c>
      <c r="DD150" s="5" t="s">
        <v>7</v>
      </c>
      <c r="DE150" s="229" t="s">
        <v>12</v>
      </c>
      <c r="DF150" s="5" t="s">
        <v>8</v>
      </c>
      <c r="DG150" s="5" t="s">
        <v>9</v>
      </c>
      <c r="DH150" s="5" t="s">
        <v>10</v>
      </c>
      <c r="DI150" s="5" t="s">
        <v>11</v>
      </c>
      <c r="DJ150" s="63"/>
      <c r="DK150" s="8" t="s">
        <v>1</v>
      </c>
      <c r="DL150" s="5" t="s">
        <v>2</v>
      </c>
      <c r="DM150" s="5" t="s">
        <v>3</v>
      </c>
      <c r="DN150" s="6" t="s">
        <v>4</v>
      </c>
      <c r="DO150" s="5" t="s">
        <v>3</v>
      </c>
      <c r="DP150" s="5" t="s">
        <v>5</v>
      </c>
      <c r="DQ150" s="5" t="s">
        <v>6</v>
      </c>
      <c r="DR150" s="5" t="s">
        <v>7</v>
      </c>
      <c r="DS150" s="229" t="s">
        <v>12</v>
      </c>
      <c r="DT150" s="5" t="s">
        <v>8</v>
      </c>
      <c r="DU150" s="5" t="s">
        <v>9</v>
      </c>
      <c r="DV150" s="5" t="s">
        <v>10</v>
      </c>
      <c r="DW150" s="5" t="s">
        <v>11</v>
      </c>
      <c r="DY150" s="8" t="s">
        <v>1</v>
      </c>
      <c r="DZ150" s="5" t="s">
        <v>2</v>
      </c>
      <c r="EA150" s="5" t="s">
        <v>3</v>
      </c>
      <c r="EB150" s="6" t="s">
        <v>4</v>
      </c>
      <c r="EC150" s="5" t="s">
        <v>3</v>
      </c>
      <c r="ED150" s="5" t="s">
        <v>5</v>
      </c>
      <c r="EE150" s="5" t="s">
        <v>6</v>
      </c>
      <c r="EF150" s="5" t="s">
        <v>7</v>
      </c>
      <c r="EG150" s="229" t="s">
        <v>12</v>
      </c>
      <c r="EH150" s="5" t="s">
        <v>8</v>
      </c>
      <c r="EI150" s="5" t="s">
        <v>9</v>
      </c>
      <c r="EJ150" s="5" t="s">
        <v>10</v>
      </c>
      <c r="EK150" s="5" t="s">
        <v>11</v>
      </c>
    </row>
    <row r="151" spans="1:142" x14ac:dyDescent="0.2">
      <c r="A151" s="16">
        <v>46094</v>
      </c>
      <c r="B151" s="74">
        <v>3316</v>
      </c>
      <c r="C151" s="53">
        <v>6914</v>
      </c>
      <c r="D151" s="53">
        <v>144</v>
      </c>
      <c r="E151" s="53">
        <v>377</v>
      </c>
      <c r="F151" s="53">
        <v>1</v>
      </c>
      <c r="G151" s="53">
        <v>12</v>
      </c>
      <c r="H151" s="53">
        <v>1</v>
      </c>
      <c r="I151" s="53">
        <v>9</v>
      </c>
      <c r="J151" s="75" t="s">
        <v>411</v>
      </c>
      <c r="K151" s="76">
        <v>748</v>
      </c>
      <c r="L151" s="53">
        <v>748</v>
      </c>
      <c r="M151" s="77">
        <v>5.1944444444444446E-2</v>
      </c>
      <c r="N151" s="15"/>
      <c r="O151" s="2"/>
      <c r="P151" s="16">
        <v>46094</v>
      </c>
      <c r="Q151" s="53">
        <v>7643</v>
      </c>
      <c r="R151" s="53">
        <v>106</v>
      </c>
      <c r="S151" s="53">
        <v>245</v>
      </c>
      <c r="T151" s="53">
        <v>2</v>
      </c>
      <c r="U151" s="53">
        <v>7</v>
      </c>
      <c r="V151" s="53">
        <v>3</v>
      </c>
      <c r="W151" s="53">
        <v>4</v>
      </c>
      <c r="X151" s="75" t="s">
        <v>412</v>
      </c>
      <c r="Y151" s="76">
        <v>1100</v>
      </c>
      <c r="Z151" s="53">
        <v>3300</v>
      </c>
      <c r="AA151" s="77">
        <v>0.31132075471698112</v>
      </c>
      <c r="AB151" s="15"/>
      <c r="AC151" s="1"/>
      <c r="AD151" s="16">
        <v>46094</v>
      </c>
      <c r="AE151" s="53">
        <v>11335</v>
      </c>
      <c r="AF151" s="53">
        <v>46</v>
      </c>
      <c r="AG151" s="53">
        <v>254</v>
      </c>
      <c r="AH151" s="53">
        <v>0</v>
      </c>
      <c r="AI151" s="53">
        <v>29</v>
      </c>
      <c r="AJ151" s="53">
        <v>1</v>
      </c>
      <c r="AK151" s="53">
        <v>0</v>
      </c>
      <c r="AL151" s="75" t="s">
        <v>384</v>
      </c>
      <c r="AM151" s="76">
        <v>545</v>
      </c>
      <c r="AN151" s="53">
        <v>545</v>
      </c>
      <c r="AO151" s="77">
        <v>0.11847826086956521</v>
      </c>
      <c r="AP151" s="15"/>
      <c r="AQ151" s="2"/>
      <c r="AR151" s="16">
        <v>46094</v>
      </c>
      <c r="AS151" s="53">
        <v>12226</v>
      </c>
      <c r="AT151" s="53">
        <v>77</v>
      </c>
      <c r="AU151" s="53">
        <v>385</v>
      </c>
      <c r="AV151" s="53">
        <v>2</v>
      </c>
      <c r="AW151" s="53">
        <v>11</v>
      </c>
      <c r="AX151" s="53">
        <v>1</v>
      </c>
      <c r="AY151" s="53">
        <v>1</v>
      </c>
      <c r="AZ151" s="75" t="s">
        <v>503</v>
      </c>
      <c r="BA151" s="76">
        <v>1100</v>
      </c>
      <c r="BB151" s="53">
        <v>1100</v>
      </c>
      <c r="BC151" s="77">
        <v>0.14285714285714285</v>
      </c>
      <c r="BD151" s="15"/>
      <c r="BE151" s="2"/>
      <c r="BF151" s="86">
        <v>46094</v>
      </c>
      <c r="BG151" s="239" t="s">
        <v>589</v>
      </c>
      <c r="BH151" s="76">
        <v>1080</v>
      </c>
      <c r="BI151" s="53">
        <v>179</v>
      </c>
      <c r="BJ151" s="53">
        <v>9</v>
      </c>
      <c r="BK151" s="53">
        <v>3</v>
      </c>
      <c r="BL151" s="53">
        <v>0</v>
      </c>
      <c r="BM151" s="53">
        <v>3</v>
      </c>
      <c r="BN151" s="53">
        <v>3</v>
      </c>
      <c r="BO151" s="75" t="s">
        <v>504</v>
      </c>
      <c r="BP151" s="76">
        <v>1500</v>
      </c>
      <c r="BQ151" s="53">
        <v>4500</v>
      </c>
      <c r="BR151" s="77">
        <v>0.25139664804469275</v>
      </c>
      <c r="BS151" s="15"/>
      <c r="BU151" s="16">
        <v>46094</v>
      </c>
      <c r="BV151" s="76">
        <v>16619</v>
      </c>
      <c r="BW151" s="53">
        <v>208</v>
      </c>
      <c r="BX151" s="53">
        <v>403</v>
      </c>
      <c r="BY151" s="53">
        <v>20</v>
      </c>
      <c r="BZ151" s="53">
        <v>46</v>
      </c>
      <c r="CA151" s="53">
        <v>20</v>
      </c>
      <c r="CB151" s="53">
        <v>15</v>
      </c>
      <c r="CC151" s="230" t="s">
        <v>514</v>
      </c>
      <c r="CD151" s="53">
        <v>935</v>
      </c>
      <c r="CE151" s="13">
        <v>13760</v>
      </c>
      <c r="CF151" s="14">
        <v>0.66153846153846152</v>
      </c>
      <c r="CG151" s="91" t="s">
        <v>514</v>
      </c>
      <c r="CH151" s="1"/>
      <c r="CI151" s="16">
        <v>46094</v>
      </c>
      <c r="CJ151" s="76">
        <v>35775</v>
      </c>
      <c r="CK151" s="53">
        <v>647</v>
      </c>
      <c r="CL151" s="53">
        <v>473</v>
      </c>
      <c r="CM151" s="53">
        <v>7</v>
      </c>
      <c r="CN151" s="53">
        <v>28</v>
      </c>
      <c r="CO151" s="53">
        <v>9</v>
      </c>
      <c r="CP151" s="53">
        <v>6</v>
      </c>
      <c r="CQ151" s="230" t="s">
        <v>548</v>
      </c>
      <c r="CR151" s="13">
        <v>1500</v>
      </c>
      <c r="CS151" s="13">
        <v>13500</v>
      </c>
      <c r="CT151" s="14">
        <v>0.20865533230293662</v>
      </c>
      <c r="CU151" s="67" t="s">
        <v>549</v>
      </c>
      <c r="CV151" s="1"/>
      <c r="CW151" s="16">
        <v>46094</v>
      </c>
      <c r="CX151" s="76">
        <v>14582</v>
      </c>
      <c r="CY151" s="53">
        <v>228</v>
      </c>
      <c r="CZ151" s="53">
        <v>276</v>
      </c>
      <c r="DA151" s="53">
        <v>3</v>
      </c>
      <c r="DB151" s="53">
        <v>58</v>
      </c>
      <c r="DC151" s="53">
        <v>3</v>
      </c>
      <c r="DD151" s="53">
        <v>14</v>
      </c>
      <c r="DE151" s="230" t="s">
        <v>334</v>
      </c>
      <c r="DF151" s="53">
        <v>880</v>
      </c>
      <c r="DG151" s="13">
        <v>2640</v>
      </c>
      <c r="DH151" s="14">
        <v>0.11578947368421053</v>
      </c>
      <c r="DI151" s="134" t="s">
        <v>550</v>
      </c>
      <c r="DJ151" s="1"/>
      <c r="DK151" s="16">
        <v>46094</v>
      </c>
      <c r="DL151" s="76">
        <v>10803</v>
      </c>
      <c r="DM151" s="53">
        <v>157</v>
      </c>
      <c r="DN151" s="53">
        <v>308</v>
      </c>
      <c r="DO151" s="53">
        <v>3</v>
      </c>
      <c r="DP151" s="53">
        <v>13</v>
      </c>
      <c r="DQ151" s="53">
        <v>5</v>
      </c>
      <c r="DR151" s="53">
        <v>6</v>
      </c>
      <c r="DS151" s="230" t="s">
        <v>551</v>
      </c>
      <c r="DT151" s="13">
        <v>1100</v>
      </c>
      <c r="DU151" s="13">
        <v>5500</v>
      </c>
      <c r="DV151" s="14">
        <v>0.3503184713375796</v>
      </c>
      <c r="DW151" s="22" t="s">
        <v>513</v>
      </c>
      <c r="DY151" s="16">
        <v>46094</v>
      </c>
      <c r="DZ151" s="76">
        <v>993</v>
      </c>
      <c r="EA151" s="53">
        <v>78</v>
      </c>
      <c r="EB151" s="53">
        <v>70</v>
      </c>
      <c r="EC151" s="53">
        <v>7</v>
      </c>
      <c r="ED151" s="53">
        <v>65</v>
      </c>
      <c r="EE151" s="53">
        <v>7</v>
      </c>
      <c r="EF151" s="53">
        <v>20</v>
      </c>
      <c r="EG151" s="230" t="s">
        <v>553</v>
      </c>
      <c r="EH151" s="13">
        <v>950</v>
      </c>
      <c r="EI151" s="13">
        <v>6650</v>
      </c>
      <c r="EJ151" s="14">
        <v>0.85256410256410253</v>
      </c>
      <c r="EK151" s="22"/>
    </row>
    <row r="152" spans="1:142" x14ac:dyDescent="0.2">
      <c r="A152" s="16"/>
      <c r="B152" s="11"/>
      <c r="C152" s="13">
        <v>6480</v>
      </c>
      <c r="D152" s="13">
        <v>48</v>
      </c>
      <c r="E152" s="13">
        <v>406</v>
      </c>
      <c r="F152" s="13">
        <v>4</v>
      </c>
      <c r="G152" s="13">
        <v>43</v>
      </c>
      <c r="H152" s="13">
        <v>4</v>
      </c>
      <c r="I152" s="13">
        <v>0</v>
      </c>
      <c r="J152" s="56" t="s">
        <v>393</v>
      </c>
      <c r="K152" s="54">
        <v>275</v>
      </c>
      <c r="L152" s="13">
        <v>1100</v>
      </c>
      <c r="M152" s="14">
        <v>0.22916666666666666</v>
      </c>
      <c r="N152" s="15" t="s">
        <v>386</v>
      </c>
      <c r="O152" s="2"/>
      <c r="P152" s="16"/>
      <c r="Q152" s="13">
        <v>290</v>
      </c>
      <c r="R152" s="87">
        <v>31</v>
      </c>
      <c r="S152" s="13">
        <v>153</v>
      </c>
      <c r="T152" s="13">
        <v>0</v>
      </c>
      <c r="U152" s="13">
        <v>12</v>
      </c>
      <c r="V152" s="89">
        <v>3</v>
      </c>
      <c r="W152" s="13">
        <v>0</v>
      </c>
      <c r="X152" s="75" t="s">
        <v>156</v>
      </c>
      <c r="Y152" s="53">
        <v>1100</v>
      </c>
      <c r="Z152" s="13">
        <v>3300</v>
      </c>
      <c r="AA152" s="14">
        <v>1.064516129032258</v>
      </c>
      <c r="AB152" s="15"/>
      <c r="AC152" s="1"/>
      <c r="AD152" s="16"/>
      <c r="AE152" s="13">
        <v>11095</v>
      </c>
      <c r="AF152" s="87">
        <v>68</v>
      </c>
      <c r="AG152" s="13">
        <v>233</v>
      </c>
      <c r="AH152" s="13">
        <v>1</v>
      </c>
      <c r="AI152" s="13">
        <v>11</v>
      </c>
      <c r="AJ152" s="13">
        <v>1</v>
      </c>
      <c r="AK152" s="13">
        <v>0</v>
      </c>
      <c r="AL152" s="56" t="s">
        <v>469</v>
      </c>
      <c r="AM152" s="54">
        <v>760</v>
      </c>
      <c r="AN152" s="13">
        <v>0</v>
      </c>
      <c r="AO152" s="14">
        <v>0</v>
      </c>
      <c r="AP152" s="15"/>
      <c r="AQ152" s="2"/>
      <c r="AR152" s="16"/>
      <c r="AS152" s="13">
        <v>8894</v>
      </c>
      <c r="AT152" s="13">
        <v>66</v>
      </c>
      <c r="AU152" s="13">
        <v>444</v>
      </c>
      <c r="AV152" s="13">
        <v>1</v>
      </c>
      <c r="AW152" s="13">
        <v>11</v>
      </c>
      <c r="AX152" s="13">
        <v>1</v>
      </c>
      <c r="AY152" s="13">
        <v>0</v>
      </c>
      <c r="AZ152" s="56" t="s">
        <v>488</v>
      </c>
      <c r="BA152" s="54">
        <v>1100</v>
      </c>
      <c r="BB152" s="13">
        <v>1100</v>
      </c>
      <c r="BC152" s="14">
        <v>0.16666666666666666</v>
      </c>
      <c r="BD152" s="15" t="s">
        <v>506</v>
      </c>
      <c r="BE152" s="2"/>
      <c r="BF152" s="86"/>
      <c r="BG152" s="239" t="s">
        <v>590</v>
      </c>
      <c r="BH152" s="54">
        <v>775</v>
      </c>
      <c r="BI152" s="179">
        <v>346</v>
      </c>
      <c r="BJ152" s="13">
        <v>5</v>
      </c>
      <c r="BK152" s="13">
        <v>3</v>
      </c>
      <c r="BL152" s="13">
        <v>0</v>
      </c>
      <c r="BM152" s="13">
        <v>3</v>
      </c>
      <c r="BN152" s="13">
        <v>3</v>
      </c>
      <c r="BO152" s="75" t="s">
        <v>504</v>
      </c>
      <c r="BP152" s="53">
        <v>1500</v>
      </c>
      <c r="BQ152" s="13">
        <v>3000</v>
      </c>
      <c r="BR152" s="14">
        <v>8.6705202312138727E-2</v>
      </c>
      <c r="BS152" s="15"/>
      <c r="BU152" s="79">
        <f>IF($A155="","",$A155)</f>
        <v>46097</v>
      </c>
      <c r="BV152" s="17">
        <v>16816</v>
      </c>
      <c r="BW152" s="13">
        <f t="shared" ref="BW152:BW164" si="299">IF(BV152="","",BV152-BV151)</f>
        <v>197</v>
      </c>
      <c r="BX152" s="13">
        <v>417</v>
      </c>
      <c r="BY152" s="13">
        <f t="shared" ref="BY152:BY164" si="300">IF(BX152="","",BX152-BX151)</f>
        <v>14</v>
      </c>
      <c r="BZ152" s="13">
        <v>46</v>
      </c>
      <c r="CA152" s="13">
        <f t="shared" ref="CA152:CA164" si="301">IF(BZ152="","",BZ151+CB151-BZ152)</f>
        <v>15</v>
      </c>
      <c r="CB152" s="13">
        <v>8</v>
      </c>
      <c r="CC152" s="231" t="str">
        <f t="shared" ref="CC152:CC160" si="302">IF(BV152="","",CC151)</f>
        <v>サミュエルうさぎ</v>
      </c>
      <c r="CD152" s="53">
        <f t="shared" ref="CD152:CD164" si="303">IF(BV152="","",CD151)</f>
        <v>935</v>
      </c>
      <c r="CE152" s="13">
        <f t="shared" ref="CE152:CE164" si="304">IF(CD152="","",CA152*CD152)</f>
        <v>14025</v>
      </c>
      <c r="CF152" s="14">
        <f t="shared" ref="CF152:CF163" si="305">IF(CE152="","",CE152/(BW152*100))</f>
        <v>0.71192893401015234</v>
      </c>
      <c r="CG152" s="15"/>
      <c r="CH152" s="1"/>
      <c r="CI152" s="79">
        <f>IF($A155="","",$A155)</f>
        <v>46097</v>
      </c>
      <c r="CJ152" s="17">
        <v>36667</v>
      </c>
      <c r="CK152" s="13">
        <f t="shared" ref="CK152:CK164" si="306">IF(CJ152="","",CJ152-CJ151)</f>
        <v>892</v>
      </c>
      <c r="CL152" s="13">
        <v>480</v>
      </c>
      <c r="CM152" s="13">
        <f t="shared" ref="CM152:CM164" si="307">IF(CL152="","",CL152-CL151)</f>
        <v>7</v>
      </c>
      <c r="CN152" s="13">
        <v>28</v>
      </c>
      <c r="CO152" s="13">
        <f t="shared" ref="CO152:CO164" si="308">IF(CN152="","",CN151+CP151-CN152)</f>
        <v>6</v>
      </c>
      <c r="CP152" s="13">
        <v>4</v>
      </c>
      <c r="CQ152" s="231" t="str">
        <f t="shared" ref="CQ152:CQ160" si="309">IF(CJ152="","",CQ151)</f>
        <v>ボンボンドロップシール</v>
      </c>
      <c r="CR152" s="53">
        <f t="shared" ref="CR152:CR164" si="310">IF(CJ152="","",CR151)</f>
        <v>1500</v>
      </c>
      <c r="CS152" s="13">
        <f t="shared" ref="CS152:CS164" si="311">IF(CR152="","",CO152*CR152)</f>
        <v>9000</v>
      </c>
      <c r="CT152" s="14">
        <f t="shared" ref="CT152:CT163" si="312">IF(CS152="","",CS152/(CK152*100))</f>
        <v>0.10089686098654709</v>
      </c>
      <c r="CU152" s="15"/>
      <c r="CV152" s="1"/>
      <c r="CW152" s="79">
        <f>IF($A155="","",$A155)</f>
        <v>46097</v>
      </c>
      <c r="CX152" s="17">
        <v>14794</v>
      </c>
      <c r="CY152" s="13">
        <f t="shared" ref="CY152:CY164" si="313">IF(CX152="","",CX152-CX151)</f>
        <v>212</v>
      </c>
      <c r="CZ152" s="13">
        <v>285</v>
      </c>
      <c r="DA152" s="13">
        <f t="shared" ref="DA152:DA164" si="314">IF(CZ152="","",CZ152-CZ151)</f>
        <v>9</v>
      </c>
      <c r="DB152" s="13">
        <v>62</v>
      </c>
      <c r="DC152" s="13">
        <f t="shared" ref="DC152:DC164" si="315">IF(DB152="","",DB151+DD151-DB152)</f>
        <v>10</v>
      </c>
      <c r="DD152" s="13">
        <v>5</v>
      </c>
      <c r="DE152" s="231" t="str">
        <f t="shared" ref="DE152:DE160" si="316">IF(CX152="","",DE151)</f>
        <v>サンリオマスコットポーチ</v>
      </c>
      <c r="DF152" s="53">
        <f t="shared" ref="DF152:DF164" si="317">IF(CX152="","",DF151)</f>
        <v>880</v>
      </c>
      <c r="DG152" s="13">
        <f t="shared" ref="DG152:DG164" si="318">IF(DF152="","",DC152*DF152)</f>
        <v>8800</v>
      </c>
      <c r="DH152" s="14">
        <f t="shared" ref="DH152:DH163" si="319">IF(DG152="","",DG152/(CY152*100))</f>
        <v>0.41509433962264153</v>
      </c>
      <c r="DI152" s="15"/>
      <c r="DJ152" s="1"/>
      <c r="DK152" s="79">
        <f>IF($A155="","",$A155)</f>
        <v>46097</v>
      </c>
      <c r="DL152" s="17">
        <v>10894</v>
      </c>
      <c r="DM152" s="13">
        <f t="shared" ref="DM152:DM164" si="320">IF(DL152="","",DL152-DL151)</f>
        <v>91</v>
      </c>
      <c r="DN152" s="13">
        <v>312</v>
      </c>
      <c r="DO152" s="13">
        <f t="shared" ref="DO152:DO164" si="321">IF(DN152="","",DN152-DN151)</f>
        <v>4</v>
      </c>
      <c r="DP152" s="13">
        <v>15</v>
      </c>
      <c r="DQ152" s="13">
        <f t="shared" ref="DQ152:DQ164" si="322">IF(DP152="","",DP151+DR151-DP152)</f>
        <v>4</v>
      </c>
      <c r="DR152" s="13">
        <v>3</v>
      </c>
      <c r="DS152" s="231" t="str">
        <f>IF(DL152="","",DS151)</f>
        <v>サンリオボアポーチ</v>
      </c>
      <c r="DT152" s="53">
        <f t="shared" ref="DT152:DT164" si="323">IF(DL152="","",DT151)</f>
        <v>1100</v>
      </c>
      <c r="DU152" s="13">
        <f t="shared" ref="DU152:DU164" si="324">IF(DT152="","",DQ152*DT152)</f>
        <v>4400</v>
      </c>
      <c r="DV152" s="14">
        <f t="shared" ref="DV152:DV163" si="325">IF(DU152="","",DU152/(DM152*100))</f>
        <v>0.48351648351648352</v>
      </c>
      <c r="DW152" s="15" t="s">
        <v>511</v>
      </c>
      <c r="DY152" s="79">
        <f>IF($A155="","",$A155)</f>
        <v>46097</v>
      </c>
      <c r="DZ152" s="17">
        <v>1201</v>
      </c>
      <c r="EA152" s="13">
        <f t="shared" ref="EA152:EA164" si="326">IF(DZ152="","",DZ152-DZ151)</f>
        <v>208</v>
      </c>
      <c r="EB152" s="13">
        <v>87</v>
      </c>
      <c r="EC152" s="13">
        <f t="shared" ref="EC152:EC164" si="327">IF(EB152="","",EB152-EB151)</f>
        <v>17</v>
      </c>
      <c r="ED152" s="13">
        <v>66</v>
      </c>
      <c r="EE152" s="13">
        <f t="shared" ref="EE152:EE164" si="328">IF(ED152="","",ED151+EF151-ED152)</f>
        <v>19</v>
      </c>
      <c r="EF152" s="13">
        <v>12</v>
      </c>
      <c r="EG152" s="231" t="str">
        <f t="shared" ref="EG152:EG160" si="329">IF(DZ152="","",EG151)</f>
        <v>サンリオアニマルポーチ</v>
      </c>
      <c r="EH152" s="53">
        <f t="shared" ref="EH152:EH164" si="330">IF(DZ152="","",EH151)</f>
        <v>950</v>
      </c>
      <c r="EI152" s="13">
        <f t="shared" ref="EI152:EI164" si="331">IF(EH152="","",EE152*EH152)</f>
        <v>18050</v>
      </c>
      <c r="EJ152" s="14">
        <f t="shared" ref="EJ152:EJ163" si="332">IF(EI152="","",EI152/(EA152*100))</f>
        <v>0.86778846153846156</v>
      </c>
      <c r="EK152" s="15"/>
    </row>
    <row r="153" spans="1:142" x14ac:dyDescent="0.2">
      <c r="A153" s="16"/>
      <c r="B153" s="11"/>
      <c r="C153" s="13">
        <v>12535</v>
      </c>
      <c r="D153" s="87">
        <v>42</v>
      </c>
      <c r="E153" s="13">
        <v>648</v>
      </c>
      <c r="F153" s="13">
        <v>0</v>
      </c>
      <c r="G153" s="13">
        <v>22</v>
      </c>
      <c r="H153" s="13">
        <v>1</v>
      </c>
      <c r="I153" s="13">
        <v>4</v>
      </c>
      <c r="J153" s="56" t="s">
        <v>423</v>
      </c>
      <c r="K153" s="54">
        <v>1100</v>
      </c>
      <c r="L153" s="13">
        <v>1100</v>
      </c>
      <c r="M153" s="14">
        <v>0.26190476190476192</v>
      </c>
      <c r="N153" s="15"/>
      <c r="O153" s="2"/>
      <c r="P153" s="16"/>
      <c r="Q153" s="13">
        <v>8682</v>
      </c>
      <c r="R153" s="87">
        <v>211</v>
      </c>
      <c r="S153" s="13">
        <v>190</v>
      </c>
      <c r="T153" s="13">
        <v>11</v>
      </c>
      <c r="U153" s="13">
        <v>9</v>
      </c>
      <c r="V153" s="13">
        <v>11</v>
      </c>
      <c r="W153" s="13">
        <v>7</v>
      </c>
      <c r="X153" s="56" t="s">
        <v>499</v>
      </c>
      <c r="Y153" s="54">
        <v>1100</v>
      </c>
      <c r="Z153" s="13">
        <v>12100</v>
      </c>
      <c r="AA153" s="14">
        <v>0.57345971563981046</v>
      </c>
      <c r="AB153" s="15" t="s">
        <v>507</v>
      </c>
      <c r="AC153" s="1"/>
      <c r="AD153" s="16"/>
      <c r="AE153" s="13">
        <v>13263</v>
      </c>
      <c r="AF153" s="13">
        <v>29</v>
      </c>
      <c r="AG153" s="13">
        <v>360</v>
      </c>
      <c r="AH153" s="13">
        <v>1</v>
      </c>
      <c r="AI153" s="13">
        <v>14</v>
      </c>
      <c r="AJ153" s="13">
        <v>0</v>
      </c>
      <c r="AK153" s="13">
        <v>0</v>
      </c>
      <c r="AL153" s="56" t="s">
        <v>375</v>
      </c>
      <c r="AM153" s="54">
        <v>682</v>
      </c>
      <c r="AN153" s="13">
        <v>0</v>
      </c>
      <c r="AO153" s="14">
        <v>0</v>
      </c>
      <c r="AP153" s="15" t="s">
        <v>501</v>
      </c>
      <c r="AQ153" s="2"/>
      <c r="AR153" s="16"/>
      <c r="AS153" s="13">
        <v>16676</v>
      </c>
      <c r="AT153" s="13">
        <v>159</v>
      </c>
      <c r="AU153" s="13">
        <v>549</v>
      </c>
      <c r="AV153" s="13">
        <v>2</v>
      </c>
      <c r="AW153" s="13">
        <v>14</v>
      </c>
      <c r="AX153" s="13">
        <v>2</v>
      </c>
      <c r="AY153" s="13">
        <v>5</v>
      </c>
      <c r="AZ153" s="56" t="s">
        <v>477</v>
      </c>
      <c r="BA153" s="54">
        <v>1430</v>
      </c>
      <c r="BB153" s="13">
        <v>2200</v>
      </c>
      <c r="BC153" s="14">
        <v>0.13836477987421383</v>
      </c>
      <c r="BD153" s="15" t="s">
        <v>505</v>
      </c>
      <c r="BE153" s="2"/>
      <c r="BF153" s="86"/>
      <c r="BG153" s="239" t="s">
        <v>591</v>
      </c>
      <c r="BH153" s="54">
        <v>1440</v>
      </c>
      <c r="BI153" s="179">
        <v>150</v>
      </c>
      <c r="BJ153" s="13">
        <v>12</v>
      </c>
      <c r="BK153" s="13">
        <v>3</v>
      </c>
      <c r="BL153" s="13">
        <v>0</v>
      </c>
      <c r="BM153" s="13">
        <v>3</v>
      </c>
      <c r="BN153" s="13">
        <v>3</v>
      </c>
      <c r="BO153" s="56" t="s">
        <v>482</v>
      </c>
      <c r="BP153" s="54">
        <v>1500</v>
      </c>
      <c r="BQ153" s="13">
        <v>4500</v>
      </c>
      <c r="BR153" s="14">
        <v>0.3</v>
      </c>
      <c r="BS153" s="39"/>
      <c r="BU153" s="226" t="str">
        <f>IF($A159="","",$A159)</f>
        <v>3/20/金</v>
      </c>
      <c r="BV153" s="17">
        <v>16909</v>
      </c>
      <c r="BW153" s="13">
        <f t="shared" si="299"/>
        <v>93</v>
      </c>
      <c r="BX153" s="13">
        <v>427</v>
      </c>
      <c r="BY153" s="13">
        <f t="shared" si="300"/>
        <v>10</v>
      </c>
      <c r="BZ153" s="13">
        <v>44</v>
      </c>
      <c r="CA153" s="13">
        <f t="shared" si="301"/>
        <v>10</v>
      </c>
      <c r="CB153" s="13">
        <v>20</v>
      </c>
      <c r="CC153" s="231" t="str">
        <f t="shared" si="302"/>
        <v>サミュエルうさぎ</v>
      </c>
      <c r="CD153" s="53">
        <f t="shared" si="303"/>
        <v>935</v>
      </c>
      <c r="CE153" s="13">
        <f t="shared" si="304"/>
        <v>9350</v>
      </c>
      <c r="CF153" s="14">
        <f t="shared" si="305"/>
        <v>1.0053763440860215</v>
      </c>
      <c r="CG153" s="15"/>
      <c r="CH153" s="1"/>
      <c r="CI153" s="226" t="str">
        <f>IF($A159="","",$A159)</f>
        <v>3/20/金</v>
      </c>
      <c r="CJ153" s="17">
        <v>37363</v>
      </c>
      <c r="CK153" s="13">
        <f t="shared" si="306"/>
        <v>696</v>
      </c>
      <c r="CL153" s="13">
        <v>484</v>
      </c>
      <c r="CM153" s="13">
        <f t="shared" si="307"/>
        <v>4</v>
      </c>
      <c r="CN153" s="13">
        <v>27</v>
      </c>
      <c r="CO153" s="13">
        <f t="shared" si="308"/>
        <v>5</v>
      </c>
      <c r="CP153" s="13">
        <v>7</v>
      </c>
      <c r="CQ153" s="231" t="str">
        <f t="shared" si="309"/>
        <v>ボンボンドロップシール</v>
      </c>
      <c r="CR153" s="53">
        <f t="shared" si="310"/>
        <v>1500</v>
      </c>
      <c r="CS153" s="13">
        <f t="shared" si="311"/>
        <v>7500</v>
      </c>
      <c r="CT153" s="14">
        <f t="shared" si="312"/>
        <v>0.10775862068965517</v>
      </c>
      <c r="CU153" s="15"/>
      <c r="CV153" s="1"/>
      <c r="CW153" s="226" t="str">
        <f>IF($A159="","",$A159)</f>
        <v>3/20/金</v>
      </c>
      <c r="CX153" s="17">
        <v>14929</v>
      </c>
      <c r="CY153" s="13">
        <f t="shared" si="313"/>
        <v>135</v>
      </c>
      <c r="CZ153" s="13">
        <v>291</v>
      </c>
      <c r="DA153" s="13">
        <f t="shared" si="314"/>
        <v>6</v>
      </c>
      <c r="DB153" s="13">
        <v>61</v>
      </c>
      <c r="DC153" s="13">
        <f t="shared" si="315"/>
        <v>6</v>
      </c>
      <c r="DD153" s="13">
        <v>6</v>
      </c>
      <c r="DE153" s="231" t="str">
        <f t="shared" si="316"/>
        <v>サンリオマスコットポーチ</v>
      </c>
      <c r="DF153" s="53">
        <f t="shared" si="317"/>
        <v>880</v>
      </c>
      <c r="DG153" s="13">
        <f t="shared" si="318"/>
        <v>5280</v>
      </c>
      <c r="DH153" s="14">
        <f t="shared" si="319"/>
        <v>0.39111111111111113</v>
      </c>
      <c r="DI153" s="15"/>
      <c r="DJ153" s="1"/>
      <c r="DK153" s="226" t="str">
        <f>IF($A159="","",$A159)</f>
        <v>3/20/金</v>
      </c>
      <c r="DL153" s="17">
        <v>10929</v>
      </c>
      <c r="DM153" s="87">
        <f t="shared" si="320"/>
        <v>35</v>
      </c>
      <c r="DN153" s="13">
        <v>312</v>
      </c>
      <c r="DO153" s="13">
        <f t="shared" si="321"/>
        <v>0</v>
      </c>
      <c r="DP153" s="13">
        <v>18</v>
      </c>
      <c r="DQ153" s="13">
        <f t="shared" si="322"/>
        <v>0</v>
      </c>
      <c r="DR153" s="13">
        <v>1</v>
      </c>
      <c r="DS153" s="231" t="str">
        <f>IF(DL153="","",DS152)</f>
        <v>サンリオボアポーチ</v>
      </c>
      <c r="DT153" s="53">
        <f t="shared" si="323"/>
        <v>1100</v>
      </c>
      <c r="DU153" s="13">
        <f t="shared" si="324"/>
        <v>0</v>
      </c>
      <c r="DV153" s="14">
        <f t="shared" si="325"/>
        <v>0</v>
      </c>
      <c r="DW153" s="15"/>
      <c r="DY153" s="226" t="str">
        <f>IF($A159="","",$A159)</f>
        <v>3/20/金</v>
      </c>
      <c r="DZ153" s="17">
        <v>1296</v>
      </c>
      <c r="EA153" s="13">
        <f t="shared" si="326"/>
        <v>95</v>
      </c>
      <c r="EB153" s="13">
        <v>95</v>
      </c>
      <c r="EC153" s="13">
        <f t="shared" si="327"/>
        <v>8</v>
      </c>
      <c r="ED153" s="13">
        <v>70</v>
      </c>
      <c r="EE153" s="13">
        <f t="shared" si="328"/>
        <v>8</v>
      </c>
      <c r="EF153" s="13">
        <v>7</v>
      </c>
      <c r="EG153" s="231" t="str">
        <f t="shared" si="329"/>
        <v>サンリオアニマルポーチ</v>
      </c>
      <c r="EH153" s="53">
        <f t="shared" si="330"/>
        <v>950</v>
      </c>
      <c r="EI153" s="13">
        <f t="shared" si="331"/>
        <v>7600</v>
      </c>
      <c r="EJ153" s="14">
        <f t="shared" si="332"/>
        <v>0.8</v>
      </c>
      <c r="EK153" s="15"/>
    </row>
    <row r="154" spans="1:142" ht="15" customHeight="1" thickBot="1" x14ac:dyDescent="0.25">
      <c r="A154" s="26"/>
      <c r="B154" s="46"/>
      <c r="C154" s="27">
        <v>8266</v>
      </c>
      <c r="D154" s="27">
        <v>78</v>
      </c>
      <c r="E154" s="27">
        <v>498</v>
      </c>
      <c r="F154" s="27">
        <v>2</v>
      </c>
      <c r="G154" s="27">
        <v>10</v>
      </c>
      <c r="H154" s="27">
        <v>2</v>
      </c>
      <c r="I154" s="27">
        <v>0</v>
      </c>
      <c r="J154" s="57" t="s">
        <v>493</v>
      </c>
      <c r="K154" s="27">
        <v>330</v>
      </c>
      <c r="L154" s="27">
        <v>0</v>
      </c>
      <c r="M154" s="28">
        <v>0</v>
      </c>
      <c r="N154" s="15"/>
      <c r="O154" s="2"/>
      <c r="P154" s="26"/>
      <c r="Q154" s="27">
        <v>12701</v>
      </c>
      <c r="R154" s="27">
        <v>100</v>
      </c>
      <c r="S154" s="27">
        <v>476</v>
      </c>
      <c r="T154" s="27">
        <v>15</v>
      </c>
      <c r="U154" s="27">
        <v>22</v>
      </c>
      <c r="V154" s="27">
        <v>16</v>
      </c>
      <c r="W154" s="27">
        <v>18</v>
      </c>
      <c r="X154" s="57" t="s">
        <v>449</v>
      </c>
      <c r="Y154" s="27">
        <v>200</v>
      </c>
      <c r="Z154" s="27">
        <v>3200</v>
      </c>
      <c r="AA154" s="28">
        <v>0.32</v>
      </c>
      <c r="AB154" s="142"/>
      <c r="AC154" s="63"/>
      <c r="AD154" s="145"/>
      <c r="AE154" s="27">
        <v>13026</v>
      </c>
      <c r="AF154" s="88">
        <v>34</v>
      </c>
      <c r="AG154" s="27">
        <v>322</v>
      </c>
      <c r="AH154" s="27">
        <v>1</v>
      </c>
      <c r="AI154" s="27">
        <v>13</v>
      </c>
      <c r="AJ154" s="27">
        <v>1</v>
      </c>
      <c r="AK154" s="27">
        <v>2</v>
      </c>
      <c r="AL154" s="108" t="s">
        <v>353</v>
      </c>
      <c r="AM154" s="27">
        <v>605</v>
      </c>
      <c r="AN154" s="27">
        <v>605</v>
      </c>
      <c r="AO154" s="28">
        <v>0.17794117647058824</v>
      </c>
      <c r="AP154" s="15" t="s">
        <v>502</v>
      </c>
      <c r="AQ154" s="2"/>
      <c r="AR154" s="26"/>
      <c r="AS154" s="27">
        <v>16249</v>
      </c>
      <c r="AT154" s="27">
        <v>33</v>
      </c>
      <c r="AU154" s="27">
        <v>472</v>
      </c>
      <c r="AV154" s="27">
        <v>2</v>
      </c>
      <c r="AW154" s="27">
        <v>12</v>
      </c>
      <c r="AX154" s="27">
        <v>3</v>
      </c>
      <c r="AY154" s="27">
        <v>4</v>
      </c>
      <c r="AZ154" s="57" t="s">
        <v>468</v>
      </c>
      <c r="BA154" s="27">
        <v>800</v>
      </c>
      <c r="BB154" s="27">
        <v>2400</v>
      </c>
      <c r="BC154" s="28">
        <v>0.72727272727272729</v>
      </c>
      <c r="BD154" s="15" t="s">
        <v>500</v>
      </c>
      <c r="BE154" s="2"/>
      <c r="BF154" s="26"/>
      <c r="BG154" s="238" t="s">
        <v>592</v>
      </c>
      <c r="BH154" s="27">
        <v>906</v>
      </c>
      <c r="BI154" s="138">
        <v>51</v>
      </c>
      <c r="BJ154" s="27">
        <v>6</v>
      </c>
      <c r="BK154" s="27">
        <v>0</v>
      </c>
      <c r="BL154" s="27">
        <v>2</v>
      </c>
      <c r="BM154" s="27">
        <v>1</v>
      </c>
      <c r="BN154" s="27">
        <v>1</v>
      </c>
      <c r="BO154" s="57" t="s">
        <v>482</v>
      </c>
      <c r="BP154" s="27">
        <v>1500</v>
      </c>
      <c r="BQ154" s="27">
        <v>1500</v>
      </c>
      <c r="BR154" s="184">
        <v>0.29411764705882354</v>
      </c>
      <c r="BS154" s="183"/>
      <c r="BU154" s="79">
        <f>IF($A163="","",$A163)</f>
        <v>46102</v>
      </c>
      <c r="BV154" s="17">
        <v>17045</v>
      </c>
      <c r="BW154" s="13">
        <f t="shared" si="299"/>
        <v>136</v>
      </c>
      <c r="BX154" s="13">
        <v>439</v>
      </c>
      <c r="BY154" s="13">
        <f t="shared" si="300"/>
        <v>12</v>
      </c>
      <c r="BZ154" s="13">
        <v>52</v>
      </c>
      <c r="CA154" s="13">
        <f t="shared" si="301"/>
        <v>12</v>
      </c>
      <c r="CB154" s="13">
        <v>0</v>
      </c>
      <c r="CC154" s="231" t="str">
        <f t="shared" si="302"/>
        <v>サミュエルうさぎ</v>
      </c>
      <c r="CD154" s="53">
        <f t="shared" si="303"/>
        <v>935</v>
      </c>
      <c r="CE154" s="13">
        <f t="shared" si="304"/>
        <v>11220</v>
      </c>
      <c r="CF154" s="14">
        <f t="shared" si="305"/>
        <v>0.82499999999999996</v>
      </c>
      <c r="CG154" s="209" t="s">
        <v>386</v>
      </c>
      <c r="CH154" s="1"/>
      <c r="CI154" s="79">
        <f>IF($A163="","",$A163)</f>
        <v>46102</v>
      </c>
      <c r="CJ154" s="17">
        <v>37857</v>
      </c>
      <c r="CK154" s="13">
        <f t="shared" si="306"/>
        <v>494</v>
      </c>
      <c r="CL154" s="13">
        <v>487</v>
      </c>
      <c r="CM154" s="13">
        <f t="shared" si="307"/>
        <v>3</v>
      </c>
      <c r="CN154" s="13">
        <v>28</v>
      </c>
      <c r="CO154" s="13">
        <f t="shared" si="308"/>
        <v>6</v>
      </c>
      <c r="CP154" s="13">
        <v>2</v>
      </c>
      <c r="CQ154" s="231" t="str">
        <f t="shared" si="309"/>
        <v>ボンボンドロップシール</v>
      </c>
      <c r="CR154" s="53">
        <f t="shared" si="310"/>
        <v>1500</v>
      </c>
      <c r="CS154" s="13">
        <f t="shared" si="311"/>
        <v>9000</v>
      </c>
      <c r="CT154" s="14">
        <f t="shared" si="312"/>
        <v>0.18218623481781376</v>
      </c>
      <c r="CU154" s="15"/>
      <c r="CV154" s="1"/>
      <c r="CW154" s="79">
        <f>IF($A163="","",$A163)</f>
        <v>46102</v>
      </c>
      <c r="CX154" s="17">
        <v>15055</v>
      </c>
      <c r="CY154" s="13">
        <f t="shared" si="313"/>
        <v>126</v>
      </c>
      <c r="CZ154" s="13">
        <v>297</v>
      </c>
      <c r="DA154" s="13">
        <f t="shared" si="314"/>
        <v>6</v>
      </c>
      <c r="DB154" s="13">
        <v>58</v>
      </c>
      <c r="DC154" s="13">
        <f t="shared" si="315"/>
        <v>9</v>
      </c>
      <c r="DD154" s="13">
        <v>0</v>
      </c>
      <c r="DE154" s="231" t="str">
        <f t="shared" si="316"/>
        <v>サンリオマスコットポーチ</v>
      </c>
      <c r="DF154" s="53">
        <f t="shared" si="317"/>
        <v>880</v>
      </c>
      <c r="DG154" s="13">
        <f t="shared" si="318"/>
        <v>7920</v>
      </c>
      <c r="DH154" s="14">
        <f t="shared" si="319"/>
        <v>0.62857142857142856</v>
      </c>
      <c r="DI154" s="209" t="s">
        <v>386</v>
      </c>
      <c r="DJ154" s="1"/>
      <c r="DK154" s="79">
        <f>IF($A163="","",$A163)</f>
        <v>46102</v>
      </c>
      <c r="DL154" s="17">
        <v>10946</v>
      </c>
      <c r="DM154" s="87">
        <f t="shared" si="320"/>
        <v>17</v>
      </c>
      <c r="DN154" s="13">
        <v>314</v>
      </c>
      <c r="DO154" s="13">
        <f t="shared" si="321"/>
        <v>2</v>
      </c>
      <c r="DP154" s="13">
        <v>17</v>
      </c>
      <c r="DQ154" s="13">
        <f t="shared" si="322"/>
        <v>2</v>
      </c>
      <c r="DR154" s="13">
        <v>9</v>
      </c>
      <c r="DS154" s="231" t="str">
        <f>IF(DL154="","",DS153)</f>
        <v>サンリオボアポーチ</v>
      </c>
      <c r="DT154" s="53">
        <f t="shared" si="323"/>
        <v>1100</v>
      </c>
      <c r="DU154" s="13">
        <f t="shared" si="324"/>
        <v>2200</v>
      </c>
      <c r="DV154" s="14">
        <f t="shared" si="325"/>
        <v>1.2941176470588236</v>
      </c>
      <c r="DW154" s="15" t="s">
        <v>532</v>
      </c>
      <c r="DY154" s="79">
        <f>IF($A163="","",$A163)</f>
        <v>46102</v>
      </c>
      <c r="DZ154" s="17">
        <v>1358</v>
      </c>
      <c r="EA154" s="13">
        <f t="shared" si="326"/>
        <v>62</v>
      </c>
      <c r="EB154" s="13">
        <v>100</v>
      </c>
      <c r="EC154" s="13">
        <f t="shared" si="327"/>
        <v>5</v>
      </c>
      <c r="ED154" s="13">
        <v>70</v>
      </c>
      <c r="EE154" s="13">
        <f t="shared" si="328"/>
        <v>7</v>
      </c>
      <c r="EF154" s="13">
        <v>0</v>
      </c>
      <c r="EG154" s="231" t="str">
        <f t="shared" si="329"/>
        <v>サンリオアニマルポーチ</v>
      </c>
      <c r="EH154" s="53">
        <f t="shared" si="330"/>
        <v>950</v>
      </c>
      <c r="EI154" s="13">
        <f t="shared" si="331"/>
        <v>6650</v>
      </c>
      <c r="EJ154" s="14">
        <f t="shared" si="332"/>
        <v>1.0725806451612903</v>
      </c>
      <c r="EK154" s="209" t="s">
        <v>386</v>
      </c>
      <c r="EL154" s="174"/>
    </row>
    <row r="155" spans="1:142" ht="15.75" thickTop="1" x14ac:dyDescent="0.2">
      <c r="A155" s="79">
        <v>46097</v>
      </c>
      <c r="B155" s="74">
        <f>IF(A155="","",SUM(D155:D158)+SUM(R155:R158)+SUM(AF155:AF158)+SUM(AT155:AT158)+SUM(BW152,CK152,CY152,DM152,EA152)+SUM(BI155:BI158))</f>
        <v>4000</v>
      </c>
      <c r="C155" s="53">
        <v>6986</v>
      </c>
      <c r="D155" s="53">
        <f t="shared" ref="D155:D166" si="333">IF(C155="","",C155-C151)</f>
        <v>72</v>
      </c>
      <c r="E155" s="53">
        <v>380</v>
      </c>
      <c r="F155" s="31">
        <f t="shared" ref="F155:F166" si="334">IF(E155="","",E155-E151)</f>
        <v>3</v>
      </c>
      <c r="G155" s="53">
        <v>18</v>
      </c>
      <c r="H155" s="53">
        <f t="shared" ref="H155:H166" si="335">IF(G155="","",G151+I151-G155)</f>
        <v>3</v>
      </c>
      <c r="I155" s="80">
        <v>0</v>
      </c>
      <c r="J155" s="75" t="str">
        <f t="shared" ref="J155:J166" si="336">IF(C155="","",J151)</f>
        <v>ジャグラーボタン</v>
      </c>
      <c r="K155" s="76">
        <f t="shared" ref="K155:K165" si="337">IF(D155="","",K151)</f>
        <v>748</v>
      </c>
      <c r="L155" s="31">
        <f t="shared" ref="L155:L166" si="338">IF(G155="","",H155*K155)</f>
        <v>2244</v>
      </c>
      <c r="M155" s="32">
        <f t="shared" ref="M155:M166" si="339">IF(H155="","",L155/(D155*100))</f>
        <v>0.31166666666666665</v>
      </c>
      <c r="N155" s="15"/>
      <c r="O155" s="2"/>
      <c r="P155" s="79">
        <f>IF(A155="","",A155)</f>
        <v>46097</v>
      </c>
      <c r="Q155" s="53">
        <v>7757</v>
      </c>
      <c r="R155" s="53">
        <f t="shared" ref="R155:R166" si="340">IF(Q155="","",Q155-Q151)</f>
        <v>114</v>
      </c>
      <c r="S155" s="53">
        <v>247</v>
      </c>
      <c r="T155" s="31">
        <f t="shared" ref="T155:T166" si="341">IF(S155="","",S155-S151)</f>
        <v>2</v>
      </c>
      <c r="U155" s="53">
        <v>9</v>
      </c>
      <c r="V155" s="53">
        <f t="shared" ref="V155:V166" si="342">IF(U155="","",U151+W151-U155)</f>
        <v>2</v>
      </c>
      <c r="W155" s="80">
        <v>3</v>
      </c>
      <c r="X155" s="75" t="str">
        <f t="shared" ref="X155:X166" si="343">IF(Q155="","",X151)</f>
        <v>キティボアバンスクリップ</v>
      </c>
      <c r="Y155" s="76">
        <f t="shared" ref="Y155:Y166" si="344">IF(R155="","",Y151)</f>
        <v>1100</v>
      </c>
      <c r="Z155" s="31">
        <f t="shared" ref="Z155:Z166" si="345">IF(U155="","",V155*Y155)</f>
        <v>2200</v>
      </c>
      <c r="AA155" s="32">
        <f t="shared" ref="AA155:AA166" si="346">IF(V155="","",Z155/(R155*100))</f>
        <v>0.19298245614035087</v>
      </c>
      <c r="AB155" s="15"/>
      <c r="AC155" s="15"/>
      <c r="AD155" s="79">
        <f>IF($A155="","",$A155)</f>
        <v>46097</v>
      </c>
      <c r="AE155" s="53">
        <v>11427</v>
      </c>
      <c r="AF155" s="53">
        <f t="shared" ref="AF155:AF166" si="347">IF(AE155="","",AE155-AE151)</f>
        <v>92</v>
      </c>
      <c r="AG155" s="53">
        <v>256</v>
      </c>
      <c r="AH155" s="31">
        <f t="shared" ref="AH155:AH166" si="348">IF(AG155="","",AG155-AG151)</f>
        <v>2</v>
      </c>
      <c r="AI155" s="53">
        <v>26</v>
      </c>
      <c r="AJ155" s="53">
        <f t="shared" ref="AJ155:AJ166" si="349">IF(AI155="","",AI151+AK151-AI155)</f>
        <v>3</v>
      </c>
      <c r="AK155" s="80">
        <v>4</v>
      </c>
      <c r="AL155" s="75" t="str">
        <f t="shared" ref="AL155:AL165" si="350">IF(AE155="","",AL151)</f>
        <v>サンリオ型押しケース</v>
      </c>
      <c r="AM155" s="76">
        <f t="shared" ref="AM155:AM165" si="351">IF(AF155="","",AM151)</f>
        <v>545</v>
      </c>
      <c r="AN155" s="31">
        <f t="shared" ref="AN155:AN166" si="352">IF(AI155="","",AJ155*AM155)</f>
        <v>1635</v>
      </c>
      <c r="AO155" s="32">
        <f t="shared" ref="AO155:AO166" si="353">IF(AJ155="","",AN155/(AF155*100))</f>
        <v>0.17771739130434783</v>
      </c>
      <c r="AP155" s="15"/>
      <c r="AQ155" s="113"/>
      <c r="AR155" s="79">
        <f>IF($A155="","",$A155)</f>
        <v>46097</v>
      </c>
      <c r="AS155" s="53">
        <v>12283</v>
      </c>
      <c r="AT155" s="127">
        <f t="shared" ref="AT155:AT166" si="354">IF(AS155="","",AS155-AS151)</f>
        <v>57</v>
      </c>
      <c r="AU155" s="53">
        <v>386</v>
      </c>
      <c r="AV155" s="31">
        <f t="shared" ref="AV155:AV166" si="355">IF(AU155="","",AU155-AU151)</f>
        <v>1</v>
      </c>
      <c r="AW155" s="53">
        <v>11</v>
      </c>
      <c r="AX155" s="53">
        <f t="shared" ref="AX155:AX166" si="356">IF(AW155="","",AW151+AY151-AW155)</f>
        <v>1</v>
      </c>
      <c r="AY155" s="80">
        <v>0</v>
      </c>
      <c r="AZ155" s="75" t="str">
        <f t="shared" ref="AZ155:AZ166" si="357">IF(AS155="","",AZ151)</f>
        <v>サンリオデニムポーチ</v>
      </c>
      <c r="BA155" s="76">
        <f t="shared" ref="BA155:BA166" si="358">IF(AT155="","",BA151)</f>
        <v>1100</v>
      </c>
      <c r="BB155" s="31">
        <f t="shared" ref="BB155:BB166" si="359">IF(AW155="","",AX155*BA155)</f>
        <v>1100</v>
      </c>
      <c r="BC155" s="32">
        <f t="shared" ref="BC155:BC166" si="360">IF(AX155="","",BB155/(AT155*100))</f>
        <v>0.19298245614035087</v>
      </c>
      <c r="BD155" s="15" t="s">
        <v>510</v>
      </c>
      <c r="BE155" s="2"/>
      <c r="BF155" s="79">
        <f>IF(A155="","",A155)</f>
        <v>46097</v>
      </c>
      <c r="BG155" s="240" t="s">
        <v>589</v>
      </c>
      <c r="BH155" s="53">
        <v>1215</v>
      </c>
      <c r="BI155" s="180">
        <f t="shared" ref="BI155:BI206" si="361">IF(BH155="","",BH155-BH151)</f>
        <v>135</v>
      </c>
      <c r="BJ155" s="53">
        <v>11</v>
      </c>
      <c r="BK155" s="31">
        <f t="shared" ref="BK155:BK206" si="362">IF(BJ155="","",BJ155-BJ151)</f>
        <v>2</v>
      </c>
      <c r="BL155" s="53">
        <v>1</v>
      </c>
      <c r="BM155" s="53">
        <f t="shared" ref="BM155:BM174" si="363">IF(BL155="","",BL151+BN151-BL155)</f>
        <v>2</v>
      </c>
      <c r="BN155" s="80">
        <v>2</v>
      </c>
      <c r="BO155" s="75" t="str">
        <f t="shared" ref="BO155:BO173" si="364">IF(BH155="","",BO151)</f>
        <v>ノンキャラシール</v>
      </c>
      <c r="BP155" s="76">
        <f t="shared" ref="BP155:BP178" si="365">IF(BI155="","",BP151)</f>
        <v>1500</v>
      </c>
      <c r="BQ155" s="31">
        <f t="shared" ref="BQ155:BQ206" si="366">IF(BL155="","",BM155*BP155)</f>
        <v>3000</v>
      </c>
      <c r="BR155" s="32">
        <f t="shared" ref="BR155:BR206" si="367">IF(BM155="","",BQ155/(BI155*100))</f>
        <v>0.22222222222222221</v>
      </c>
      <c r="BS155" s="84"/>
      <c r="BU155" s="79">
        <f>IF($A167="","",$A167)</f>
        <v>46104</v>
      </c>
      <c r="BV155" s="17">
        <v>17113</v>
      </c>
      <c r="BW155" s="13">
        <f t="shared" si="299"/>
        <v>68</v>
      </c>
      <c r="BX155" s="13">
        <v>445</v>
      </c>
      <c r="BY155" s="13">
        <f t="shared" si="300"/>
        <v>6</v>
      </c>
      <c r="BZ155" s="13">
        <v>45</v>
      </c>
      <c r="CA155" s="13">
        <f t="shared" si="301"/>
        <v>7</v>
      </c>
      <c r="CB155" s="13">
        <v>16</v>
      </c>
      <c r="CC155" s="231" t="str">
        <f t="shared" si="302"/>
        <v>サミュエルうさぎ</v>
      </c>
      <c r="CD155" s="53">
        <f t="shared" si="303"/>
        <v>935</v>
      </c>
      <c r="CE155" s="13">
        <f t="shared" si="304"/>
        <v>6545</v>
      </c>
      <c r="CF155" s="14">
        <f t="shared" si="305"/>
        <v>0.96250000000000002</v>
      </c>
      <c r="CG155" s="15"/>
      <c r="CH155" s="1"/>
      <c r="CI155" s="79">
        <f>IF($A167="","",$A167)</f>
        <v>46104</v>
      </c>
      <c r="CJ155" s="17">
        <v>38109</v>
      </c>
      <c r="CK155" s="13">
        <f t="shared" si="306"/>
        <v>252</v>
      </c>
      <c r="CL155" s="13">
        <v>489</v>
      </c>
      <c r="CM155" s="13">
        <f t="shared" si="307"/>
        <v>2</v>
      </c>
      <c r="CN155" s="13">
        <v>30</v>
      </c>
      <c r="CO155" s="13">
        <f t="shared" si="308"/>
        <v>0</v>
      </c>
      <c r="CP155" s="13">
        <v>0</v>
      </c>
      <c r="CQ155" s="231" t="str">
        <f t="shared" si="309"/>
        <v>ボンボンドロップシール</v>
      </c>
      <c r="CR155" s="53">
        <f t="shared" si="310"/>
        <v>1500</v>
      </c>
      <c r="CS155" s="13">
        <f t="shared" si="311"/>
        <v>0</v>
      </c>
      <c r="CT155" s="14">
        <f t="shared" si="312"/>
        <v>0</v>
      </c>
      <c r="CU155" s="15"/>
      <c r="CV155" s="1"/>
      <c r="CW155" s="79">
        <f>IF($A167="","",$A167)</f>
        <v>46104</v>
      </c>
      <c r="CX155" s="17">
        <v>15142</v>
      </c>
      <c r="CY155" s="13">
        <f t="shared" si="313"/>
        <v>87</v>
      </c>
      <c r="CZ155" s="13">
        <v>299</v>
      </c>
      <c r="DA155" s="13">
        <f t="shared" si="314"/>
        <v>2</v>
      </c>
      <c r="DB155" s="13">
        <v>56</v>
      </c>
      <c r="DC155" s="13">
        <f t="shared" si="315"/>
        <v>2</v>
      </c>
      <c r="DD155" s="13">
        <v>10</v>
      </c>
      <c r="DE155" s="231" t="str">
        <f t="shared" si="316"/>
        <v>サンリオマスコットポーチ</v>
      </c>
      <c r="DF155" s="53">
        <f t="shared" si="317"/>
        <v>880</v>
      </c>
      <c r="DG155" s="13">
        <f t="shared" si="318"/>
        <v>1760</v>
      </c>
      <c r="DH155" s="14">
        <f t="shared" si="319"/>
        <v>0.20229885057471264</v>
      </c>
      <c r="DI155" s="15"/>
      <c r="DJ155" s="1"/>
      <c r="DK155" s="79">
        <f>IF($A167="","",$A167)</f>
        <v>46104</v>
      </c>
      <c r="DL155" s="17">
        <v>10986</v>
      </c>
      <c r="DM155" s="87">
        <f t="shared" si="320"/>
        <v>40</v>
      </c>
      <c r="DN155" s="13">
        <v>316</v>
      </c>
      <c r="DO155" s="13">
        <f t="shared" si="321"/>
        <v>2</v>
      </c>
      <c r="DP155" s="13">
        <v>24</v>
      </c>
      <c r="DQ155" s="13">
        <f t="shared" si="322"/>
        <v>2</v>
      </c>
      <c r="DR155" s="13">
        <v>0</v>
      </c>
      <c r="DS155" s="230" t="s">
        <v>552</v>
      </c>
      <c r="DT155" s="53">
        <v>1091</v>
      </c>
      <c r="DU155" s="13">
        <f t="shared" si="324"/>
        <v>2182</v>
      </c>
      <c r="DV155" s="14">
        <f t="shared" si="325"/>
        <v>0.54549999999999998</v>
      </c>
      <c r="DW155" s="15" t="s">
        <v>537</v>
      </c>
      <c r="DY155" s="79">
        <f>IF($A167="","",$A167)</f>
        <v>46104</v>
      </c>
      <c r="DZ155" s="17">
        <v>1400</v>
      </c>
      <c r="EA155" s="13">
        <f t="shared" si="326"/>
        <v>42</v>
      </c>
      <c r="EB155" s="13">
        <v>104</v>
      </c>
      <c r="EC155" s="13">
        <f t="shared" si="327"/>
        <v>4</v>
      </c>
      <c r="ED155" s="13">
        <v>66</v>
      </c>
      <c r="EE155" s="13">
        <f t="shared" si="328"/>
        <v>4</v>
      </c>
      <c r="EF155" s="13">
        <v>14</v>
      </c>
      <c r="EG155" s="231" t="str">
        <f t="shared" si="329"/>
        <v>サンリオアニマルポーチ</v>
      </c>
      <c r="EH155" s="53">
        <f t="shared" si="330"/>
        <v>950</v>
      </c>
      <c r="EI155" s="13">
        <f t="shared" si="331"/>
        <v>3800</v>
      </c>
      <c r="EJ155" s="14">
        <f t="shared" si="332"/>
        <v>0.90476190476190477</v>
      </c>
      <c r="EK155" s="15"/>
    </row>
    <row r="156" spans="1:142" x14ac:dyDescent="0.2">
      <c r="A156" s="16"/>
      <c r="B156" s="11"/>
      <c r="C156" s="13">
        <v>6595</v>
      </c>
      <c r="D156" s="13">
        <f>IF(C156="","",C156-C152)</f>
        <v>115</v>
      </c>
      <c r="E156" s="13">
        <v>410</v>
      </c>
      <c r="F156" s="13">
        <f t="shared" si="334"/>
        <v>4</v>
      </c>
      <c r="G156" s="13">
        <v>39</v>
      </c>
      <c r="H156" s="13">
        <f t="shared" si="335"/>
        <v>4</v>
      </c>
      <c r="I156" s="17">
        <v>0</v>
      </c>
      <c r="J156" s="56" t="str">
        <f t="shared" si="336"/>
        <v>電ブル</v>
      </c>
      <c r="K156" s="54">
        <f t="shared" si="337"/>
        <v>275</v>
      </c>
      <c r="L156" s="13">
        <f t="shared" si="338"/>
        <v>1100</v>
      </c>
      <c r="M156" s="14">
        <f t="shared" si="339"/>
        <v>9.5652173913043481E-2</v>
      </c>
      <c r="N156" s="15"/>
      <c r="O156" s="2"/>
      <c r="P156" s="16"/>
      <c r="Q156" s="13">
        <v>349</v>
      </c>
      <c r="R156" s="87">
        <f t="shared" si="340"/>
        <v>59</v>
      </c>
      <c r="S156" s="13">
        <v>153</v>
      </c>
      <c r="T156" s="13">
        <f t="shared" si="341"/>
        <v>0</v>
      </c>
      <c r="U156" s="13">
        <v>11</v>
      </c>
      <c r="V156" s="89">
        <f t="shared" si="342"/>
        <v>1</v>
      </c>
      <c r="W156" s="17">
        <v>2</v>
      </c>
      <c r="X156" s="56" t="str">
        <f t="shared" si="343"/>
        <v>ギャルキティマスコット</v>
      </c>
      <c r="Y156" s="54">
        <f t="shared" si="344"/>
        <v>1100</v>
      </c>
      <c r="Z156" s="13">
        <f t="shared" si="345"/>
        <v>1100</v>
      </c>
      <c r="AA156" s="14">
        <f t="shared" si="346"/>
        <v>0.1864406779661017</v>
      </c>
      <c r="AB156" s="15"/>
      <c r="AC156" s="15"/>
      <c r="AD156" s="16"/>
      <c r="AE156" s="13">
        <v>11203</v>
      </c>
      <c r="AF156" s="13">
        <f t="shared" si="347"/>
        <v>108</v>
      </c>
      <c r="AG156" s="13">
        <v>235</v>
      </c>
      <c r="AH156" s="13">
        <f t="shared" si="348"/>
        <v>2</v>
      </c>
      <c r="AI156" s="13">
        <v>9</v>
      </c>
      <c r="AJ156" s="13">
        <f t="shared" si="349"/>
        <v>2</v>
      </c>
      <c r="AK156" s="17">
        <v>5</v>
      </c>
      <c r="AL156" s="56" t="str">
        <f t="shared" si="350"/>
        <v>キティししっぽ付きポーチ</v>
      </c>
      <c r="AM156" s="54">
        <f t="shared" si="351"/>
        <v>760</v>
      </c>
      <c r="AN156" s="13">
        <f t="shared" si="352"/>
        <v>1520</v>
      </c>
      <c r="AO156" s="14">
        <f t="shared" si="353"/>
        <v>0.14074074074074075</v>
      </c>
      <c r="AP156" s="15"/>
      <c r="AQ156" s="113"/>
      <c r="AR156" s="16"/>
      <c r="AS156" s="13">
        <v>8929</v>
      </c>
      <c r="AT156" s="87">
        <f t="shared" si="354"/>
        <v>35</v>
      </c>
      <c r="AU156" s="13">
        <v>450</v>
      </c>
      <c r="AV156" s="13">
        <f t="shared" si="355"/>
        <v>6</v>
      </c>
      <c r="AW156" s="13">
        <v>5</v>
      </c>
      <c r="AX156" s="13">
        <f t="shared" si="356"/>
        <v>6</v>
      </c>
      <c r="AY156" s="17">
        <v>7</v>
      </c>
      <c r="AZ156" s="56" t="str">
        <f t="shared" si="357"/>
        <v>キティダブルミラー</v>
      </c>
      <c r="BA156" s="54">
        <f t="shared" si="358"/>
        <v>1100</v>
      </c>
      <c r="BB156" s="13">
        <f t="shared" si="359"/>
        <v>6600</v>
      </c>
      <c r="BC156" s="14">
        <f t="shared" si="360"/>
        <v>1.8857142857142857</v>
      </c>
      <c r="BD156" s="15" t="s">
        <v>512</v>
      </c>
      <c r="BE156" s="2"/>
      <c r="BF156" s="16"/>
      <c r="BG156" s="7" t="s">
        <v>590</v>
      </c>
      <c r="BH156" s="13">
        <v>1142</v>
      </c>
      <c r="BI156" s="180">
        <f t="shared" si="361"/>
        <v>367</v>
      </c>
      <c r="BJ156" s="13">
        <v>8</v>
      </c>
      <c r="BK156" s="13">
        <f t="shared" si="362"/>
        <v>3</v>
      </c>
      <c r="BL156" s="13">
        <v>0</v>
      </c>
      <c r="BM156" s="13">
        <f t="shared" si="363"/>
        <v>3</v>
      </c>
      <c r="BN156" s="17">
        <v>3</v>
      </c>
      <c r="BO156" s="56" t="s">
        <v>482</v>
      </c>
      <c r="BP156" s="54">
        <f t="shared" si="365"/>
        <v>1500</v>
      </c>
      <c r="BQ156" s="13">
        <f t="shared" si="366"/>
        <v>4500</v>
      </c>
      <c r="BR156" s="14">
        <f t="shared" si="367"/>
        <v>0.1226158038147139</v>
      </c>
      <c r="BS156" s="15"/>
      <c r="BU156" s="79">
        <f>IF($A171="","",$A171)</f>
        <v>46108</v>
      </c>
      <c r="BV156" s="17">
        <v>17393</v>
      </c>
      <c r="BW156" s="13">
        <f t="shared" si="299"/>
        <v>280</v>
      </c>
      <c r="BX156" s="13">
        <v>461</v>
      </c>
      <c r="BY156" s="13">
        <f t="shared" si="300"/>
        <v>16</v>
      </c>
      <c r="BZ156" s="13">
        <v>44</v>
      </c>
      <c r="CA156" s="13">
        <f t="shared" si="301"/>
        <v>17</v>
      </c>
      <c r="CB156" s="13">
        <v>15</v>
      </c>
      <c r="CC156" s="231" t="str">
        <f t="shared" si="302"/>
        <v>サミュエルうさぎ</v>
      </c>
      <c r="CD156" s="53">
        <f t="shared" si="303"/>
        <v>935</v>
      </c>
      <c r="CE156" s="13">
        <f t="shared" si="304"/>
        <v>15895</v>
      </c>
      <c r="CF156" s="14">
        <f t="shared" si="305"/>
        <v>0.56767857142857148</v>
      </c>
      <c r="CG156" s="15"/>
      <c r="CH156" s="1"/>
      <c r="CI156" s="79">
        <f>IF($A171="","",$A171)</f>
        <v>46108</v>
      </c>
      <c r="CJ156" s="17">
        <v>38857</v>
      </c>
      <c r="CK156" s="13">
        <f t="shared" si="306"/>
        <v>748</v>
      </c>
      <c r="CL156" s="13">
        <v>495</v>
      </c>
      <c r="CM156" s="13">
        <f t="shared" si="307"/>
        <v>6</v>
      </c>
      <c r="CN156" s="13">
        <v>23</v>
      </c>
      <c r="CO156" s="13">
        <f t="shared" si="308"/>
        <v>7</v>
      </c>
      <c r="CP156" s="13">
        <v>16</v>
      </c>
      <c r="CQ156" s="231" t="str">
        <f t="shared" si="309"/>
        <v>ボンボンドロップシール</v>
      </c>
      <c r="CR156" s="53">
        <f t="shared" si="310"/>
        <v>1500</v>
      </c>
      <c r="CS156" s="13">
        <f t="shared" si="311"/>
        <v>10500</v>
      </c>
      <c r="CT156" s="14">
        <f t="shared" si="312"/>
        <v>0.14037433155080214</v>
      </c>
      <c r="CU156" s="15" t="s">
        <v>560</v>
      </c>
      <c r="CV156" s="1"/>
      <c r="CW156" s="79">
        <f>IF($A171="","",$A171)</f>
        <v>46108</v>
      </c>
      <c r="CX156" s="17">
        <v>15414</v>
      </c>
      <c r="CY156" s="13">
        <f t="shared" si="313"/>
        <v>272</v>
      </c>
      <c r="CZ156" s="13">
        <v>306</v>
      </c>
      <c r="DA156" s="13">
        <f t="shared" si="314"/>
        <v>7</v>
      </c>
      <c r="DB156" s="13">
        <v>58</v>
      </c>
      <c r="DC156" s="13">
        <f t="shared" si="315"/>
        <v>8</v>
      </c>
      <c r="DD156" s="13">
        <v>10</v>
      </c>
      <c r="DE156" s="231" t="str">
        <f t="shared" si="316"/>
        <v>サンリオマスコットポーチ</v>
      </c>
      <c r="DF156" s="53">
        <f t="shared" si="317"/>
        <v>880</v>
      </c>
      <c r="DG156" s="13">
        <f t="shared" si="318"/>
        <v>7040</v>
      </c>
      <c r="DH156" s="14">
        <f t="shared" si="319"/>
        <v>0.25882352941176473</v>
      </c>
      <c r="DI156" s="15"/>
      <c r="DJ156" s="1"/>
      <c r="DK156" s="79">
        <f>IF($A171="","",$A171)</f>
        <v>46108</v>
      </c>
      <c r="DL156" s="17">
        <v>11076</v>
      </c>
      <c r="DM156" s="13">
        <f t="shared" si="320"/>
        <v>90</v>
      </c>
      <c r="DN156" s="13">
        <v>320</v>
      </c>
      <c r="DO156" s="13">
        <f t="shared" si="321"/>
        <v>4</v>
      </c>
      <c r="DP156" s="13">
        <v>20</v>
      </c>
      <c r="DQ156" s="13">
        <f t="shared" si="322"/>
        <v>4</v>
      </c>
      <c r="DR156" s="13">
        <v>0</v>
      </c>
      <c r="DS156" s="231" t="str">
        <f>IF(DL156="","",DS155)</f>
        <v>ミニプリンター</v>
      </c>
      <c r="DT156" s="53">
        <f t="shared" si="323"/>
        <v>1091</v>
      </c>
      <c r="DU156" s="13">
        <f t="shared" si="324"/>
        <v>4364</v>
      </c>
      <c r="DV156" s="14">
        <f t="shared" si="325"/>
        <v>0.48488888888888887</v>
      </c>
      <c r="DW156" s="15" t="s">
        <v>547</v>
      </c>
      <c r="DY156" s="79">
        <f>IF($A171="","",$A171)</f>
        <v>46108</v>
      </c>
      <c r="DZ156" s="17">
        <v>1500</v>
      </c>
      <c r="EA156" s="13">
        <f t="shared" si="326"/>
        <v>100</v>
      </c>
      <c r="EB156" s="13">
        <v>109</v>
      </c>
      <c r="EC156" s="13">
        <f t="shared" si="327"/>
        <v>5</v>
      </c>
      <c r="ED156" s="13">
        <v>74</v>
      </c>
      <c r="EE156" s="13">
        <f t="shared" si="328"/>
        <v>6</v>
      </c>
      <c r="EF156" s="13">
        <v>20</v>
      </c>
      <c r="EG156" s="231" t="str">
        <f t="shared" si="329"/>
        <v>サンリオアニマルポーチ</v>
      </c>
      <c r="EH156" s="53">
        <f t="shared" si="330"/>
        <v>950</v>
      </c>
      <c r="EI156" s="13">
        <f t="shared" si="331"/>
        <v>5700</v>
      </c>
      <c r="EJ156" s="14">
        <f t="shared" si="332"/>
        <v>0.56999999999999995</v>
      </c>
      <c r="EK156" s="15"/>
    </row>
    <row r="157" spans="1:142" x14ac:dyDescent="0.2">
      <c r="A157" s="16"/>
      <c r="B157" s="11"/>
      <c r="C157" s="34">
        <v>12599</v>
      </c>
      <c r="D157" s="13">
        <f t="shared" si="333"/>
        <v>64</v>
      </c>
      <c r="E157" s="34">
        <v>651</v>
      </c>
      <c r="F157" s="13">
        <f t="shared" si="334"/>
        <v>3</v>
      </c>
      <c r="G157" s="34">
        <v>25</v>
      </c>
      <c r="H157" s="13">
        <f t="shared" si="335"/>
        <v>1</v>
      </c>
      <c r="I157" s="49">
        <v>263</v>
      </c>
      <c r="J157" s="56" t="str">
        <f t="shared" si="336"/>
        <v>ゲーム機イヤホン</v>
      </c>
      <c r="K157" s="13">
        <f t="shared" si="337"/>
        <v>1100</v>
      </c>
      <c r="L157" s="13">
        <f t="shared" si="338"/>
        <v>1100</v>
      </c>
      <c r="M157" s="14">
        <f t="shared" si="339"/>
        <v>0.171875</v>
      </c>
      <c r="N157" s="15" t="s">
        <v>518</v>
      </c>
      <c r="O157" s="2"/>
      <c r="P157" s="16"/>
      <c r="Q157" s="34">
        <v>8945</v>
      </c>
      <c r="R157" s="13">
        <f t="shared" si="340"/>
        <v>263</v>
      </c>
      <c r="S157" s="34">
        <v>192</v>
      </c>
      <c r="T157" s="13">
        <f t="shared" si="341"/>
        <v>2</v>
      </c>
      <c r="U157" s="34">
        <v>14</v>
      </c>
      <c r="V157" s="13">
        <f t="shared" si="342"/>
        <v>2</v>
      </c>
      <c r="W157" s="49">
        <v>6</v>
      </c>
      <c r="X157" s="56" t="str">
        <f t="shared" si="343"/>
        <v>たまごっちミニクリップ</v>
      </c>
      <c r="Y157" s="13">
        <f t="shared" si="344"/>
        <v>1100</v>
      </c>
      <c r="Z157" s="13">
        <f t="shared" si="345"/>
        <v>2200</v>
      </c>
      <c r="AA157" s="14">
        <f t="shared" si="346"/>
        <v>8.3650190114068435E-2</v>
      </c>
      <c r="AB157" s="15" t="s">
        <v>509</v>
      </c>
      <c r="AC157" s="15"/>
      <c r="AD157" s="16"/>
      <c r="AE157" s="34">
        <v>13336</v>
      </c>
      <c r="AF157" s="13">
        <f t="shared" si="347"/>
        <v>73</v>
      </c>
      <c r="AG157" s="34">
        <v>362</v>
      </c>
      <c r="AH157" s="13">
        <f t="shared" si="348"/>
        <v>2</v>
      </c>
      <c r="AI157" s="34">
        <v>12</v>
      </c>
      <c r="AJ157" s="13">
        <f t="shared" si="349"/>
        <v>2</v>
      </c>
      <c r="AK157" s="49">
        <v>1</v>
      </c>
      <c r="AL157" s="56" t="str">
        <f t="shared" si="350"/>
        <v>ゲームアーク</v>
      </c>
      <c r="AM157" s="13">
        <f t="shared" si="351"/>
        <v>682</v>
      </c>
      <c r="AN157" s="13">
        <f t="shared" si="352"/>
        <v>1364</v>
      </c>
      <c r="AO157" s="14">
        <f t="shared" si="353"/>
        <v>0.18684931506849314</v>
      </c>
      <c r="AP157" s="15"/>
      <c r="AQ157" s="113"/>
      <c r="AR157" s="16"/>
      <c r="AS157" s="34">
        <v>16819</v>
      </c>
      <c r="AT157" s="13">
        <f t="shared" si="354"/>
        <v>143</v>
      </c>
      <c r="AU157" s="34">
        <v>551</v>
      </c>
      <c r="AV157" s="13">
        <f t="shared" si="355"/>
        <v>2</v>
      </c>
      <c r="AW157" s="34">
        <v>16</v>
      </c>
      <c r="AX157" s="13">
        <f t="shared" si="356"/>
        <v>3</v>
      </c>
      <c r="AY157" s="49">
        <v>5</v>
      </c>
      <c r="AZ157" s="56" t="str">
        <f t="shared" si="357"/>
        <v>たまごっちマスコット</v>
      </c>
      <c r="BA157" s="13">
        <f>IF(AT157="","",BA153)</f>
        <v>1430</v>
      </c>
      <c r="BB157" s="13">
        <f t="shared" si="359"/>
        <v>4290</v>
      </c>
      <c r="BC157" s="14">
        <f t="shared" si="360"/>
        <v>0.3</v>
      </c>
      <c r="BD157" s="15"/>
      <c r="BE157" s="2"/>
      <c r="BF157" s="16"/>
      <c r="BG157" s="7" t="s">
        <v>591</v>
      </c>
      <c r="BH157" s="13">
        <v>1481</v>
      </c>
      <c r="BI157" s="128">
        <f t="shared" si="361"/>
        <v>41</v>
      </c>
      <c r="BJ157" s="13">
        <v>15</v>
      </c>
      <c r="BK157" s="13">
        <f t="shared" si="362"/>
        <v>3</v>
      </c>
      <c r="BL157" s="13">
        <v>0</v>
      </c>
      <c r="BM157" s="13">
        <f t="shared" si="363"/>
        <v>3</v>
      </c>
      <c r="BN157" s="49">
        <v>3</v>
      </c>
      <c r="BO157" s="56" t="s">
        <v>504</v>
      </c>
      <c r="BP157" s="13">
        <f t="shared" si="365"/>
        <v>1500</v>
      </c>
      <c r="BQ157" s="13">
        <f t="shared" si="366"/>
        <v>4500</v>
      </c>
      <c r="BR157" s="14">
        <f t="shared" si="367"/>
        <v>1.0975609756097562</v>
      </c>
      <c r="BS157" s="15"/>
      <c r="BU157" s="79">
        <f>IF($A175="","",$A175)</f>
        <v>46111</v>
      </c>
      <c r="BV157" s="17">
        <v>17696</v>
      </c>
      <c r="BW157" s="13">
        <f t="shared" si="299"/>
        <v>303</v>
      </c>
      <c r="BX157" s="13">
        <v>478</v>
      </c>
      <c r="BY157" s="13">
        <f t="shared" si="300"/>
        <v>17</v>
      </c>
      <c r="BZ157" s="13">
        <v>42</v>
      </c>
      <c r="CA157" s="13">
        <f t="shared" si="301"/>
        <v>17</v>
      </c>
      <c r="CB157" s="13">
        <v>11</v>
      </c>
      <c r="CC157" s="231" t="str">
        <f t="shared" si="302"/>
        <v>サミュエルうさぎ</v>
      </c>
      <c r="CD157" s="53">
        <f t="shared" si="303"/>
        <v>935</v>
      </c>
      <c r="CE157" s="13">
        <f t="shared" si="304"/>
        <v>15895</v>
      </c>
      <c r="CF157" s="14">
        <f t="shared" si="305"/>
        <v>0.52458745874587454</v>
      </c>
      <c r="CG157" s="15" t="s">
        <v>555</v>
      </c>
      <c r="CH157" s="1"/>
      <c r="CI157" s="79">
        <f>IF($A175="","",$A175)</f>
        <v>46111</v>
      </c>
      <c r="CJ157" s="17">
        <v>39869</v>
      </c>
      <c r="CK157" s="13">
        <f t="shared" si="306"/>
        <v>1012</v>
      </c>
      <c r="CL157" s="13">
        <v>506</v>
      </c>
      <c r="CM157" s="13">
        <f t="shared" si="307"/>
        <v>11</v>
      </c>
      <c r="CN157" s="13">
        <v>26</v>
      </c>
      <c r="CO157" s="13">
        <f t="shared" si="308"/>
        <v>13</v>
      </c>
      <c r="CP157" s="13">
        <v>16</v>
      </c>
      <c r="CQ157" s="231" t="str">
        <f t="shared" si="309"/>
        <v>ボンボンドロップシール</v>
      </c>
      <c r="CR157" s="53">
        <f t="shared" si="310"/>
        <v>1500</v>
      </c>
      <c r="CS157" s="13">
        <f t="shared" si="311"/>
        <v>19500</v>
      </c>
      <c r="CT157" s="14">
        <f t="shared" si="312"/>
        <v>0.19268774703557312</v>
      </c>
      <c r="CU157" s="15" t="s">
        <v>561</v>
      </c>
      <c r="CV157" s="1"/>
      <c r="CW157" s="79">
        <f>IF($A175="","",$A175)</f>
        <v>46111</v>
      </c>
      <c r="CX157" s="17">
        <v>15501</v>
      </c>
      <c r="CY157" s="13">
        <f t="shared" si="313"/>
        <v>87</v>
      </c>
      <c r="CZ157" s="13">
        <v>308</v>
      </c>
      <c r="DA157" s="13">
        <f t="shared" si="314"/>
        <v>2</v>
      </c>
      <c r="DB157" s="13">
        <v>66</v>
      </c>
      <c r="DC157" s="13">
        <f t="shared" si="315"/>
        <v>2</v>
      </c>
      <c r="DD157" s="13">
        <v>6</v>
      </c>
      <c r="DE157" s="231" t="str">
        <f t="shared" si="316"/>
        <v>サンリオマスコットポーチ</v>
      </c>
      <c r="DF157" s="53">
        <f t="shared" si="317"/>
        <v>880</v>
      </c>
      <c r="DG157" s="13">
        <f t="shared" si="318"/>
        <v>1760</v>
      </c>
      <c r="DH157" s="14">
        <f t="shared" si="319"/>
        <v>0.20229885057471264</v>
      </c>
      <c r="DI157" s="15"/>
      <c r="DJ157" s="1"/>
      <c r="DK157" s="79">
        <f>IF($A175="","",$A175)</f>
        <v>46111</v>
      </c>
      <c r="DL157" s="17">
        <v>11147</v>
      </c>
      <c r="DM157" s="13">
        <f t="shared" si="320"/>
        <v>71</v>
      </c>
      <c r="DN157" s="13">
        <v>325</v>
      </c>
      <c r="DO157" s="13">
        <f t="shared" si="321"/>
        <v>5</v>
      </c>
      <c r="DP157" s="13">
        <v>16</v>
      </c>
      <c r="DQ157" s="13">
        <f t="shared" si="322"/>
        <v>4</v>
      </c>
      <c r="DR157" s="13">
        <v>4</v>
      </c>
      <c r="DS157" s="231" t="str">
        <f>IF(DL157="","",DS156)</f>
        <v>ミニプリンター</v>
      </c>
      <c r="DT157" s="53">
        <f t="shared" si="323"/>
        <v>1091</v>
      </c>
      <c r="DU157" s="13">
        <f t="shared" si="324"/>
        <v>4364</v>
      </c>
      <c r="DV157" s="14">
        <f t="shared" si="325"/>
        <v>0.61464788732394371</v>
      </c>
      <c r="DW157" s="15" t="s">
        <v>556</v>
      </c>
      <c r="DY157" s="79">
        <f>IF($A175="","",$A175)</f>
        <v>46111</v>
      </c>
      <c r="DZ157" s="17">
        <v>1622</v>
      </c>
      <c r="EA157" s="13">
        <f t="shared" si="326"/>
        <v>122</v>
      </c>
      <c r="EB157" s="13">
        <v>117</v>
      </c>
      <c r="EC157" s="13">
        <f t="shared" si="327"/>
        <v>8</v>
      </c>
      <c r="ED157" s="13">
        <v>84</v>
      </c>
      <c r="EE157" s="13">
        <f t="shared" si="328"/>
        <v>10</v>
      </c>
      <c r="EF157" s="13">
        <v>0</v>
      </c>
      <c r="EG157" s="231" t="str">
        <f t="shared" si="329"/>
        <v>サンリオアニマルポーチ</v>
      </c>
      <c r="EH157" s="53">
        <f t="shared" si="330"/>
        <v>950</v>
      </c>
      <c r="EI157" s="13">
        <f t="shared" si="331"/>
        <v>9500</v>
      </c>
      <c r="EJ157" s="14">
        <f t="shared" si="332"/>
        <v>0.77868852459016391</v>
      </c>
      <c r="EK157" s="209" t="s">
        <v>386</v>
      </c>
    </row>
    <row r="158" spans="1:142" ht="15" customHeight="1" thickBot="1" x14ac:dyDescent="0.25">
      <c r="A158" s="26"/>
      <c r="B158" s="46"/>
      <c r="C158" s="27">
        <v>8350</v>
      </c>
      <c r="D158" s="27">
        <f t="shared" si="333"/>
        <v>84</v>
      </c>
      <c r="E158" s="27">
        <v>502</v>
      </c>
      <c r="F158" s="27">
        <f t="shared" si="334"/>
        <v>4</v>
      </c>
      <c r="G158" s="27">
        <v>6</v>
      </c>
      <c r="H158" s="27">
        <f t="shared" si="335"/>
        <v>4</v>
      </c>
      <c r="I158" s="47">
        <v>6</v>
      </c>
      <c r="J158" s="57" t="str">
        <f t="shared" si="336"/>
        <v>シール帳</v>
      </c>
      <c r="K158" s="62">
        <f t="shared" si="337"/>
        <v>330</v>
      </c>
      <c r="L158" s="27">
        <f t="shared" si="338"/>
        <v>1320</v>
      </c>
      <c r="M158" s="28">
        <f t="shared" si="339"/>
        <v>0.15714285714285714</v>
      </c>
      <c r="N158" s="15"/>
      <c r="O158" s="2"/>
      <c r="P158" s="26"/>
      <c r="Q158" s="27">
        <v>12928</v>
      </c>
      <c r="R158" s="27">
        <f t="shared" si="340"/>
        <v>227</v>
      </c>
      <c r="S158" s="27">
        <v>492</v>
      </c>
      <c r="T158" s="27">
        <f t="shared" si="341"/>
        <v>16</v>
      </c>
      <c r="U158" s="27">
        <v>23</v>
      </c>
      <c r="V158" s="27">
        <f t="shared" si="342"/>
        <v>17</v>
      </c>
      <c r="W158" s="47">
        <v>17</v>
      </c>
      <c r="X158" s="57" t="str">
        <f t="shared" si="343"/>
        <v>ボンボンドロップ</v>
      </c>
      <c r="Y158" s="62">
        <f t="shared" si="344"/>
        <v>200</v>
      </c>
      <c r="Z158" s="27">
        <f t="shared" si="345"/>
        <v>3400</v>
      </c>
      <c r="AA158" s="28">
        <f t="shared" si="346"/>
        <v>0.14977973568281938</v>
      </c>
      <c r="AB158" s="15"/>
      <c r="AC158" s="15"/>
      <c r="AD158" s="26"/>
      <c r="AE158" s="27">
        <v>13108</v>
      </c>
      <c r="AF158" s="27">
        <f t="shared" si="347"/>
        <v>82</v>
      </c>
      <c r="AG158" s="27">
        <v>323</v>
      </c>
      <c r="AH158" s="27">
        <f t="shared" si="348"/>
        <v>1</v>
      </c>
      <c r="AI158" s="27">
        <v>14</v>
      </c>
      <c r="AJ158" s="27">
        <f t="shared" si="349"/>
        <v>1</v>
      </c>
      <c r="AK158" s="47">
        <v>0</v>
      </c>
      <c r="AL158" s="57" t="str">
        <f t="shared" si="350"/>
        <v>モンチッチマスコット2</v>
      </c>
      <c r="AM158" s="62">
        <f t="shared" si="351"/>
        <v>605</v>
      </c>
      <c r="AN158" s="27">
        <f t="shared" si="352"/>
        <v>605</v>
      </c>
      <c r="AO158" s="28">
        <f t="shared" si="353"/>
        <v>7.3780487804878045E-2</v>
      </c>
      <c r="AP158" s="15" t="s">
        <v>508</v>
      </c>
      <c r="AQ158" s="113"/>
      <c r="AR158" s="26"/>
      <c r="AS158" s="27">
        <v>16297</v>
      </c>
      <c r="AT158" s="88">
        <f t="shared" si="354"/>
        <v>48</v>
      </c>
      <c r="AU158" s="27">
        <v>472</v>
      </c>
      <c r="AV158" s="27">
        <f t="shared" si="355"/>
        <v>0</v>
      </c>
      <c r="AW158" s="27">
        <v>15</v>
      </c>
      <c r="AX158" s="27">
        <f t="shared" si="356"/>
        <v>1</v>
      </c>
      <c r="AY158" s="47">
        <v>-3</v>
      </c>
      <c r="AZ158" s="57" t="str">
        <f t="shared" si="357"/>
        <v>ヤヤマスコット</v>
      </c>
      <c r="BA158" s="62">
        <f t="shared" si="358"/>
        <v>800</v>
      </c>
      <c r="BB158" s="27">
        <f t="shared" si="359"/>
        <v>800</v>
      </c>
      <c r="BC158" s="28">
        <f t="shared" si="360"/>
        <v>0.16666666666666666</v>
      </c>
      <c r="BD158" s="15" t="s">
        <v>515</v>
      </c>
      <c r="BE158" s="2"/>
      <c r="BF158" s="26"/>
      <c r="BG158" s="241" t="s">
        <v>592</v>
      </c>
      <c r="BH158" s="27">
        <v>1127</v>
      </c>
      <c r="BI158" s="182">
        <f t="shared" si="361"/>
        <v>221</v>
      </c>
      <c r="BJ158" s="62">
        <v>10</v>
      </c>
      <c r="BK158" s="27">
        <f t="shared" si="362"/>
        <v>4</v>
      </c>
      <c r="BL158" s="27">
        <v>0</v>
      </c>
      <c r="BM158" s="27">
        <f t="shared" si="363"/>
        <v>3</v>
      </c>
      <c r="BN158" s="47">
        <v>3</v>
      </c>
      <c r="BO158" s="57" t="str">
        <f t="shared" si="364"/>
        <v>ボンボンドロップシール</v>
      </c>
      <c r="BP158" s="62">
        <f t="shared" si="365"/>
        <v>1500</v>
      </c>
      <c r="BQ158" s="27">
        <f t="shared" si="366"/>
        <v>4500</v>
      </c>
      <c r="BR158" s="28">
        <f t="shared" si="367"/>
        <v>0.20361990950226244</v>
      </c>
      <c r="BS158" s="15"/>
      <c r="BU158" s="79">
        <f>IF($A179="","",$A179)</f>
        <v>46115</v>
      </c>
      <c r="BV158" s="17">
        <v>17860</v>
      </c>
      <c r="BW158" s="13">
        <f t="shared" si="299"/>
        <v>164</v>
      </c>
      <c r="BX158" s="13">
        <v>483</v>
      </c>
      <c r="BY158" s="13">
        <f t="shared" si="300"/>
        <v>5</v>
      </c>
      <c r="BZ158" s="13">
        <v>46</v>
      </c>
      <c r="CA158" s="13">
        <f t="shared" si="301"/>
        <v>7</v>
      </c>
      <c r="CB158" s="13">
        <v>0</v>
      </c>
      <c r="CC158" s="231" t="str">
        <f t="shared" si="302"/>
        <v>サミュエルうさぎ</v>
      </c>
      <c r="CD158" s="53">
        <f t="shared" si="303"/>
        <v>935</v>
      </c>
      <c r="CE158" s="13">
        <f t="shared" si="304"/>
        <v>6545</v>
      </c>
      <c r="CF158" s="14">
        <f t="shared" si="305"/>
        <v>0.39908536585365856</v>
      </c>
      <c r="CG158" s="209" t="s">
        <v>386</v>
      </c>
      <c r="CH158" s="1"/>
      <c r="CI158" s="79">
        <f>IF($A179="","",$A179)</f>
        <v>46115</v>
      </c>
      <c r="CJ158" s="17">
        <v>40626</v>
      </c>
      <c r="CK158" s="13">
        <f t="shared" si="306"/>
        <v>757</v>
      </c>
      <c r="CL158" s="13">
        <v>513</v>
      </c>
      <c r="CM158" s="13">
        <f t="shared" si="307"/>
        <v>7</v>
      </c>
      <c r="CN158" s="13">
        <v>32</v>
      </c>
      <c r="CO158" s="13">
        <f t="shared" si="308"/>
        <v>10</v>
      </c>
      <c r="CP158" s="13">
        <v>4</v>
      </c>
      <c r="CQ158" s="231" t="str">
        <f t="shared" si="309"/>
        <v>ボンボンドロップシール</v>
      </c>
      <c r="CR158" s="53">
        <f t="shared" si="310"/>
        <v>1500</v>
      </c>
      <c r="CS158" s="13">
        <f t="shared" si="311"/>
        <v>15000</v>
      </c>
      <c r="CT158" s="14">
        <f t="shared" si="312"/>
        <v>0.19815059445178335</v>
      </c>
      <c r="CU158" s="15"/>
      <c r="CV158" s="1"/>
      <c r="CW158" s="79">
        <f>IF($A179="","",$A179)</f>
        <v>46115</v>
      </c>
      <c r="CX158" s="17">
        <v>15636</v>
      </c>
      <c r="CY158" s="13">
        <f t="shared" si="313"/>
        <v>135</v>
      </c>
      <c r="CZ158" s="13">
        <v>312</v>
      </c>
      <c r="DA158" s="13">
        <f t="shared" si="314"/>
        <v>4</v>
      </c>
      <c r="DB158" s="13">
        <v>66</v>
      </c>
      <c r="DC158" s="13">
        <f t="shared" si="315"/>
        <v>6</v>
      </c>
      <c r="DD158" s="13">
        <v>4</v>
      </c>
      <c r="DE158" s="231" t="str">
        <f t="shared" si="316"/>
        <v>サンリオマスコットポーチ</v>
      </c>
      <c r="DF158" s="53">
        <f t="shared" si="317"/>
        <v>880</v>
      </c>
      <c r="DG158" s="13">
        <f t="shared" si="318"/>
        <v>5280</v>
      </c>
      <c r="DH158" s="14">
        <f t="shared" si="319"/>
        <v>0.39111111111111113</v>
      </c>
      <c r="DI158" s="15"/>
      <c r="DJ158" s="1"/>
      <c r="DK158" s="79">
        <f>IF($A179="","",$A179)</f>
        <v>46115</v>
      </c>
      <c r="DL158" s="17">
        <v>11183</v>
      </c>
      <c r="DM158" s="87">
        <f t="shared" si="320"/>
        <v>36</v>
      </c>
      <c r="DN158" s="13">
        <v>325</v>
      </c>
      <c r="DO158" s="13">
        <f t="shared" si="321"/>
        <v>0</v>
      </c>
      <c r="DP158" s="13">
        <v>20</v>
      </c>
      <c r="DQ158" s="13">
        <f t="shared" si="322"/>
        <v>0</v>
      </c>
      <c r="DR158" s="13">
        <v>10</v>
      </c>
      <c r="DS158" s="231" t="str">
        <f>IF(DL158="","",DS157)</f>
        <v>ミニプリンター</v>
      </c>
      <c r="DT158" s="53">
        <f t="shared" si="323"/>
        <v>1091</v>
      </c>
      <c r="DU158" s="13">
        <f t="shared" si="324"/>
        <v>0</v>
      </c>
      <c r="DV158" s="14">
        <f t="shared" si="325"/>
        <v>0</v>
      </c>
      <c r="DW158" s="15"/>
      <c r="DY158" s="79">
        <f>IF($A179="","",$A179)</f>
        <v>46115</v>
      </c>
      <c r="DZ158" s="17">
        <v>1709</v>
      </c>
      <c r="EA158" s="13">
        <f t="shared" si="326"/>
        <v>87</v>
      </c>
      <c r="EB158" s="13">
        <v>125</v>
      </c>
      <c r="EC158" s="13">
        <f t="shared" si="327"/>
        <v>8</v>
      </c>
      <c r="ED158" s="13">
        <v>76</v>
      </c>
      <c r="EE158" s="13">
        <f t="shared" si="328"/>
        <v>8</v>
      </c>
      <c r="EF158" s="13">
        <v>14</v>
      </c>
      <c r="EG158" s="231" t="str">
        <f t="shared" si="329"/>
        <v>サンリオアニマルポーチ</v>
      </c>
      <c r="EH158" s="53">
        <f t="shared" si="330"/>
        <v>950</v>
      </c>
      <c r="EI158" s="13">
        <f t="shared" si="331"/>
        <v>7600</v>
      </c>
      <c r="EJ158" s="14">
        <f t="shared" si="332"/>
        <v>0.87356321839080464</v>
      </c>
      <c r="EK158" s="15" t="s">
        <v>565</v>
      </c>
    </row>
    <row r="159" spans="1:142" ht="15" customHeight="1" thickTop="1" x14ac:dyDescent="0.2">
      <c r="A159" s="192" t="s">
        <v>523</v>
      </c>
      <c r="B159" s="74">
        <f>IF(A159="","",SUM(D159:D162)+SUM(R159:R162)+SUM(AF159:AF162)+SUM(AT159:AT162)+SUM(BW153,CK153,CY153,DM153,EA153)+SUM(BI159:BI162))</f>
        <v>2833</v>
      </c>
      <c r="C159" s="190">
        <v>7143</v>
      </c>
      <c r="D159" s="189">
        <v>157</v>
      </c>
      <c r="E159" s="189">
        <v>381</v>
      </c>
      <c r="F159" s="191">
        <v>1</v>
      </c>
      <c r="G159" s="189">
        <v>17</v>
      </c>
      <c r="H159" s="189">
        <v>1</v>
      </c>
      <c r="I159" s="192">
        <v>0</v>
      </c>
      <c r="J159" s="193" t="s">
        <v>411</v>
      </c>
      <c r="K159" s="194">
        <v>748</v>
      </c>
      <c r="L159" s="191">
        <v>748</v>
      </c>
      <c r="M159" s="195">
        <v>0.05</v>
      </c>
      <c r="N159" s="196"/>
      <c r="O159" s="197"/>
      <c r="P159" s="192" t="s">
        <v>523</v>
      </c>
      <c r="Q159" s="190">
        <v>7830</v>
      </c>
      <c r="R159" s="189">
        <v>73</v>
      </c>
      <c r="S159" s="189">
        <v>247</v>
      </c>
      <c r="T159" s="191">
        <v>0</v>
      </c>
      <c r="U159" s="189">
        <v>12</v>
      </c>
      <c r="V159" s="189">
        <v>0</v>
      </c>
      <c r="W159" s="192">
        <v>0</v>
      </c>
      <c r="X159" s="193" t="s">
        <v>412</v>
      </c>
      <c r="Y159" s="198">
        <v>1100</v>
      </c>
      <c r="Z159" s="191">
        <v>0</v>
      </c>
      <c r="AA159" s="195">
        <v>0</v>
      </c>
      <c r="AB159" s="196"/>
      <c r="AC159" s="199"/>
      <c r="AD159" s="227" t="s">
        <v>523</v>
      </c>
      <c r="AE159" s="190">
        <v>11445</v>
      </c>
      <c r="AF159" s="223">
        <v>18</v>
      </c>
      <c r="AG159" s="189">
        <v>258</v>
      </c>
      <c r="AH159" s="191">
        <v>2</v>
      </c>
      <c r="AI159" s="189">
        <v>28</v>
      </c>
      <c r="AJ159" s="189">
        <v>2</v>
      </c>
      <c r="AK159" s="192">
        <v>0</v>
      </c>
      <c r="AL159" s="193" t="s">
        <v>384</v>
      </c>
      <c r="AM159" s="194">
        <v>545</v>
      </c>
      <c r="AN159" s="200">
        <v>1090</v>
      </c>
      <c r="AO159" s="195">
        <v>0.61</v>
      </c>
      <c r="AP159" s="196"/>
      <c r="AQ159" s="201"/>
      <c r="AR159" s="192" t="s">
        <v>523</v>
      </c>
      <c r="AS159" s="190">
        <v>12307</v>
      </c>
      <c r="AT159" s="223">
        <v>24</v>
      </c>
      <c r="AU159" s="189">
        <v>386</v>
      </c>
      <c r="AV159" s="191">
        <v>0</v>
      </c>
      <c r="AW159" s="189">
        <v>11</v>
      </c>
      <c r="AX159" s="189">
        <v>0</v>
      </c>
      <c r="AY159" s="192">
        <v>0</v>
      </c>
      <c r="AZ159" s="193" t="s">
        <v>503</v>
      </c>
      <c r="BA159" s="198">
        <v>1100</v>
      </c>
      <c r="BB159" s="191">
        <v>0</v>
      </c>
      <c r="BC159" s="195">
        <v>0</v>
      </c>
      <c r="BD159" s="206" t="s">
        <v>521</v>
      </c>
      <c r="BE159" s="197"/>
      <c r="BF159" s="192" t="s">
        <v>523</v>
      </c>
      <c r="BG159" s="239" t="s">
        <v>589</v>
      </c>
      <c r="BH159" s="190">
        <v>1266</v>
      </c>
      <c r="BI159" s="202">
        <v>51</v>
      </c>
      <c r="BJ159" s="189">
        <v>12</v>
      </c>
      <c r="BK159" s="191">
        <v>1</v>
      </c>
      <c r="BL159" s="189">
        <v>2</v>
      </c>
      <c r="BM159" s="189">
        <v>1</v>
      </c>
      <c r="BN159" s="189">
        <v>1</v>
      </c>
      <c r="BO159" s="193" t="s">
        <v>517</v>
      </c>
      <c r="BP159" s="198">
        <v>1500</v>
      </c>
      <c r="BQ159" s="200">
        <v>1500</v>
      </c>
      <c r="BR159" s="195">
        <v>0.28999999999999998</v>
      </c>
      <c r="BS159" s="206" t="s">
        <v>524</v>
      </c>
      <c r="BU159" s="79">
        <f>IF($A183="","",$A183)</f>
        <v>46118</v>
      </c>
      <c r="BV159" s="17">
        <v>17974</v>
      </c>
      <c r="BW159" s="13">
        <f t="shared" si="299"/>
        <v>114</v>
      </c>
      <c r="BX159" s="13">
        <v>491</v>
      </c>
      <c r="BY159" s="13">
        <f t="shared" si="300"/>
        <v>8</v>
      </c>
      <c r="BZ159" s="13">
        <v>38</v>
      </c>
      <c r="CA159" s="13">
        <f t="shared" si="301"/>
        <v>8</v>
      </c>
      <c r="CB159" s="13">
        <v>20</v>
      </c>
      <c r="CC159" s="231" t="str">
        <f t="shared" si="302"/>
        <v>サミュエルうさぎ</v>
      </c>
      <c r="CD159" s="53">
        <f t="shared" si="303"/>
        <v>935</v>
      </c>
      <c r="CE159" s="13">
        <f t="shared" si="304"/>
        <v>7480</v>
      </c>
      <c r="CF159" s="14">
        <f t="shared" si="305"/>
        <v>0.65614035087719302</v>
      </c>
      <c r="CG159" s="43" t="s">
        <v>572</v>
      </c>
      <c r="CH159" s="1"/>
      <c r="CI159" s="79">
        <f>IF($A183="","",$A183)</f>
        <v>46118</v>
      </c>
      <c r="CJ159" s="17">
        <v>41164</v>
      </c>
      <c r="CK159" s="13">
        <f t="shared" si="306"/>
        <v>538</v>
      </c>
      <c r="CL159" s="13">
        <v>518</v>
      </c>
      <c r="CM159" s="13">
        <f t="shared" si="307"/>
        <v>5</v>
      </c>
      <c r="CN159" s="13">
        <v>31</v>
      </c>
      <c r="CO159" s="13">
        <f t="shared" si="308"/>
        <v>5</v>
      </c>
      <c r="CP159" s="13">
        <v>5</v>
      </c>
      <c r="CQ159" s="231" t="str">
        <f t="shared" si="309"/>
        <v>ボンボンドロップシール</v>
      </c>
      <c r="CR159" s="53">
        <f t="shared" si="310"/>
        <v>1500</v>
      </c>
      <c r="CS159" s="13">
        <f t="shared" si="311"/>
        <v>7500</v>
      </c>
      <c r="CT159" s="14">
        <f t="shared" si="312"/>
        <v>0.13940520446096655</v>
      </c>
      <c r="CU159" s="43"/>
      <c r="CV159" s="1"/>
      <c r="CW159" s="79">
        <f>IF($A183="","",$A183)</f>
        <v>46118</v>
      </c>
      <c r="CX159" s="17">
        <v>15855</v>
      </c>
      <c r="CY159" s="13">
        <f t="shared" si="313"/>
        <v>219</v>
      </c>
      <c r="CZ159" s="13">
        <v>317</v>
      </c>
      <c r="DA159" s="13">
        <f t="shared" si="314"/>
        <v>5</v>
      </c>
      <c r="DB159" s="13">
        <v>64</v>
      </c>
      <c r="DC159" s="13">
        <f t="shared" si="315"/>
        <v>6</v>
      </c>
      <c r="DD159" s="13">
        <v>0</v>
      </c>
      <c r="DE159" s="231" t="str">
        <f t="shared" si="316"/>
        <v>サンリオマスコットポーチ</v>
      </c>
      <c r="DF159" s="53">
        <f t="shared" si="317"/>
        <v>880</v>
      </c>
      <c r="DG159" s="13">
        <f t="shared" si="318"/>
        <v>5280</v>
      </c>
      <c r="DH159" s="14">
        <f t="shared" si="319"/>
        <v>0.24109589041095891</v>
      </c>
      <c r="DI159" s="43"/>
      <c r="DJ159" s="1"/>
      <c r="DK159" s="79">
        <f>IF($A183="","",$A183)</f>
        <v>46118</v>
      </c>
      <c r="DL159" s="17">
        <v>11239</v>
      </c>
      <c r="DM159" s="87">
        <f t="shared" si="320"/>
        <v>56</v>
      </c>
      <c r="DN159" s="13">
        <v>326</v>
      </c>
      <c r="DO159" s="13">
        <f t="shared" si="321"/>
        <v>1</v>
      </c>
      <c r="DP159" s="13">
        <v>29</v>
      </c>
      <c r="DQ159" s="13">
        <f t="shared" si="322"/>
        <v>1</v>
      </c>
      <c r="DR159" s="13">
        <v>0</v>
      </c>
      <c r="DS159" s="231" t="str">
        <f>IF(DL159="","",DS158)</f>
        <v>ミニプリンター</v>
      </c>
      <c r="DT159" s="53">
        <f t="shared" si="323"/>
        <v>1091</v>
      </c>
      <c r="DU159" s="13">
        <f t="shared" si="324"/>
        <v>1091</v>
      </c>
      <c r="DV159" s="14">
        <f t="shared" si="325"/>
        <v>0.19482142857142856</v>
      </c>
      <c r="DW159" s="43"/>
      <c r="DY159" s="79">
        <f>IF($A183="","",$A183)</f>
        <v>46118</v>
      </c>
      <c r="DZ159" s="17">
        <v>1816</v>
      </c>
      <c r="EA159" s="13">
        <f t="shared" si="326"/>
        <v>107</v>
      </c>
      <c r="EB159" s="13">
        <v>133</v>
      </c>
      <c r="EC159" s="13">
        <f t="shared" si="327"/>
        <v>8</v>
      </c>
      <c r="ED159" s="13">
        <v>80</v>
      </c>
      <c r="EE159" s="13">
        <f t="shared" si="328"/>
        <v>10</v>
      </c>
      <c r="EF159" s="13">
        <v>12</v>
      </c>
      <c r="EG159" s="231" t="str">
        <f t="shared" si="329"/>
        <v>サンリオアニマルポーチ</v>
      </c>
      <c r="EH159" s="53">
        <f t="shared" si="330"/>
        <v>950</v>
      </c>
      <c r="EI159" s="13">
        <f t="shared" si="331"/>
        <v>9500</v>
      </c>
      <c r="EJ159" s="14">
        <f t="shared" si="332"/>
        <v>0.88785046728971961</v>
      </c>
      <c r="EK159" s="43"/>
    </row>
    <row r="160" spans="1:142" x14ac:dyDescent="0.2">
      <c r="A160" s="203"/>
      <c r="B160" s="203"/>
      <c r="C160" s="204">
        <v>6693</v>
      </c>
      <c r="D160" s="203">
        <v>98</v>
      </c>
      <c r="E160" s="203">
        <v>413</v>
      </c>
      <c r="F160" s="203">
        <v>3</v>
      </c>
      <c r="G160" s="203">
        <v>36</v>
      </c>
      <c r="H160" s="203">
        <v>3</v>
      </c>
      <c r="I160" s="205">
        <v>0</v>
      </c>
      <c r="J160" s="206" t="s">
        <v>393</v>
      </c>
      <c r="K160" s="207">
        <v>275</v>
      </c>
      <c r="L160" s="203">
        <v>825</v>
      </c>
      <c r="M160" s="208">
        <v>0.08</v>
      </c>
      <c r="N160" s="209" t="s">
        <v>386</v>
      </c>
      <c r="O160" s="197"/>
      <c r="P160" s="203"/>
      <c r="Q160" s="207">
        <v>384</v>
      </c>
      <c r="R160" s="224">
        <v>35</v>
      </c>
      <c r="S160" s="203">
        <v>153</v>
      </c>
      <c r="T160" s="203">
        <v>0</v>
      </c>
      <c r="U160" s="203">
        <v>11</v>
      </c>
      <c r="V160" s="249">
        <v>2</v>
      </c>
      <c r="W160" s="205">
        <v>-4</v>
      </c>
      <c r="X160" s="206" t="s">
        <v>156</v>
      </c>
      <c r="Y160" s="204">
        <v>1100</v>
      </c>
      <c r="Z160" s="210">
        <v>2200</v>
      </c>
      <c r="AA160" s="208">
        <v>0.63</v>
      </c>
      <c r="AB160" s="196" t="s">
        <v>525</v>
      </c>
      <c r="AC160" s="199"/>
      <c r="AD160" s="207"/>
      <c r="AE160" s="204">
        <v>11242</v>
      </c>
      <c r="AF160" s="224">
        <v>39</v>
      </c>
      <c r="AG160" s="203">
        <v>236</v>
      </c>
      <c r="AH160" s="203">
        <v>1</v>
      </c>
      <c r="AI160" s="203">
        <v>13</v>
      </c>
      <c r="AJ160" s="203">
        <v>1</v>
      </c>
      <c r="AK160" s="205">
        <v>0</v>
      </c>
      <c r="AL160" s="206" t="s">
        <v>469</v>
      </c>
      <c r="AM160" s="207">
        <v>760</v>
      </c>
      <c r="AN160" s="203">
        <v>760</v>
      </c>
      <c r="AO160" s="208">
        <v>0.19</v>
      </c>
      <c r="AP160" s="196"/>
      <c r="AQ160" s="201"/>
      <c r="AR160" s="203"/>
      <c r="AS160" s="204">
        <v>8978</v>
      </c>
      <c r="AT160" s="203">
        <v>49</v>
      </c>
      <c r="AU160" s="203">
        <v>450</v>
      </c>
      <c r="AV160" s="203">
        <v>0</v>
      </c>
      <c r="AW160" s="203">
        <v>12</v>
      </c>
      <c r="AX160" s="203">
        <v>0</v>
      </c>
      <c r="AY160" s="205">
        <v>6</v>
      </c>
      <c r="AZ160" s="206" t="s">
        <v>522</v>
      </c>
      <c r="BA160" s="204">
        <v>1100</v>
      </c>
      <c r="BB160" s="203">
        <v>0</v>
      </c>
      <c r="BC160" s="208">
        <v>0</v>
      </c>
      <c r="BD160" s="196" t="s">
        <v>220</v>
      </c>
      <c r="BE160" s="197"/>
      <c r="BF160" s="203"/>
      <c r="BG160" s="239" t="s">
        <v>590</v>
      </c>
      <c r="BH160" s="210">
        <v>1515</v>
      </c>
      <c r="BI160" s="211">
        <v>373</v>
      </c>
      <c r="BJ160" s="203">
        <v>9</v>
      </c>
      <c r="BK160" s="203">
        <v>1</v>
      </c>
      <c r="BL160" s="203">
        <v>2</v>
      </c>
      <c r="BM160" s="203">
        <v>1</v>
      </c>
      <c r="BN160" s="203">
        <v>1</v>
      </c>
      <c r="BO160" s="206" t="s">
        <v>482</v>
      </c>
      <c r="BP160" s="204">
        <v>1500</v>
      </c>
      <c r="BQ160" s="210">
        <v>1500</v>
      </c>
      <c r="BR160" s="208">
        <v>0.04</v>
      </c>
      <c r="BS160" s="206"/>
      <c r="BU160" s="79">
        <f>IF($A187="","",$A187)</f>
        <v>46121</v>
      </c>
      <c r="BV160" s="17">
        <v>18045</v>
      </c>
      <c r="BW160" s="13">
        <f t="shared" si="299"/>
        <v>71</v>
      </c>
      <c r="BX160" s="13">
        <v>493</v>
      </c>
      <c r="BY160" s="13">
        <f t="shared" si="300"/>
        <v>2</v>
      </c>
      <c r="BZ160" s="13">
        <v>56</v>
      </c>
      <c r="CA160" s="13">
        <f t="shared" si="301"/>
        <v>2</v>
      </c>
      <c r="CB160" s="13">
        <v>4</v>
      </c>
      <c r="CC160" s="231" t="str">
        <f t="shared" si="302"/>
        <v>サミュエルうさぎ</v>
      </c>
      <c r="CD160" s="53">
        <f t="shared" si="303"/>
        <v>935</v>
      </c>
      <c r="CE160" s="13">
        <f t="shared" si="304"/>
        <v>1870</v>
      </c>
      <c r="CF160" s="14">
        <f t="shared" si="305"/>
        <v>0.26338028169014083</v>
      </c>
      <c r="CG160" s="43" t="s">
        <v>580</v>
      </c>
      <c r="CH160" s="1"/>
      <c r="CI160" s="79">
        <f>IF($A187="","",$A187)</f>
        <v>46121</v>
      </c>
      <c r="CJ160" s="17">
        <v>41445</v>
      </c>
      <c r="CK160" s="13">
        <f t="shared" si="306"/>
        <v>281</v>
      </c>
      <c r="CL160" s="13">
        <v>518</v>
      </c>
      <c r="CM160" s="13">
        <f t="shared" si="307"/>
        <v>0</v>
      </c>
      <c r="CN160" s="13">
        <v>36</v>
      </c>
      <c r="CO160" s="13">
        <f t="shared" si="308"/>
        <v>0</v>
      </c>
      <c r="CP160" s="13">
        <v>4</v>
      </c>
      <c r="CQ160" s="231" t="str">
        <f t="shared" si="309"/>
        <v>ボンボンドロップシール</v>
      </c>
      <c r="CR160" s="53">
        <f t="shared" si="310"/>
        <v>1500</v>
      </c>
      <c r="CS160" s="13">
        <f t="shared" si="311"/>
        <v>0</v>
      </c>
      <c r="CT160" s="14">
        <f t="shared" si="312"/>
        <v>0</v>
      </c>
      <c r="CU160" s="43"/>
      <c r="CV160" s="1"/>
      <c r="CW160" s="79">
        <f>IF($A187="","",$A187)</f>
        <v>46121</v>
      </c>
      <c r="CX160" s="17">
        <v>15931</v>
      </c>
      <c r="CY160" s="13">
        <f t="shared" si="313"/>
        <v>76</v>
      </c>
      <c r="CZ160" s="13">
        <v>319</v>
      </c>
      <c r="DA160" s="13">
        <f t="shared" si="314"/>
        <v>2</v>
      </c>
      <c r="DB160" s="13">
        <v>62</v>
      </c>
      <c r="DC160" s="13">
        <f t="shared" si="315"/>
        <v>2</v>
      </c>
      <c r="DD160" s="13">
        <v>7</v>
      </c>
      <c r="DE160" s="231" t="str">
        <f t="shared" si="316"/>
        <v>サンリオマスコットポーチ</v>
      </c>
      <c r="DF160" s="53">
        <f t="shared" si="317"/>
        <v>880</v>
      </c>
      <c r="DG160" s="13">
        <f t="shared" si="318"/>
        <v>1760</v>
      </c>
      <c r="DH160" s="14">
        <f t="shared" si="319"/>
        <v>0.23157894736842105</v>
      </c>
      <c r="DI160" s="43"/>
      <c r="DJ160" s="1"/>
      <c r="DK160" s="79">
        <f>IF($A187="","",$A187)</f>
        <v>46121</v>
      </c>
      <c r="DL160" s="17">
        <v>11247</v>
      </c>
      <c r="DM160" s="13">
        <f t="shared" si="320"/>
        <v>8</v>
      </c>
      <c r="DN160" s="13">
        <v>326</v>
      </c>
      <c r="DO160" s="13">
        <f t="shared" si="321"/>
        <v>0</v>
      </c>
      <c r="DP160" s="13">
        <v>29</v>
      </c>
      <c r="DQ160" s="13">
        <f t="shared" si="322"/>
        <v>0</v>
      </c>
      <c r="DR160" s="13">
        <v>0</v>
      </c>
      <c r="DS160" s="231" t="str">
        <f>IF(DL160="","",DS159)</f>
        <v>ミニプリンター</v>
      </c>
      <c r="DT160" s="53">
        <f t="shared" si="323"/>
        <v>1091</v>
      </c>
      <c r="DU160" s="13">
        <f t="shared" si="324"/>
        <v>0</v>
      </c>
      <c r="DV160" s="14">
        <f t="shared" si="325"/>
        <v>0</v>
      </c>
      <c r="DW160" s="234" t="s">
        <v>585</v>
      </c>
      <c r="DY160" s="79">
        <f>IF($A187="","",$A187)</f>
        <v>46121</v>
      </c>
      <c r="DZ160" s="17">
        <v>1889</v>
      </c>
      <c r="EA160" s="13">
        <f t="shared" si="326"/>
        <v>73</v>
      </c>
      <c r="EB160" s="13">
        <v>142</v>
      </c>
      <c r="EC160" s="13">
        <f t="shared" si="327"/>
        <v>9</v>
      </c>
      <c r="ED160" s="13">
        <v>82</v>
      </c>
      <c r="EE160" s="13">
        <f t="shared" si="328"/>
        <v>10</v>
      </c>
      <c r="EF160" s="13">
        <v>0</v>
      </c>
      <c r="EG160" s="231" t="str">
        <f t="shared" si="329"/>
        <v>サンリオアニマルポーチ</v>
      </c>
      <c r="EH160" s="53">
        <f t="shared" si="330"/>
        <v>950</v>
      </c>
      <c r="EI160" s="13">
        <f t="shared" si="331"/>
        <v>9500</v>
      </c>
      <c r="EJ160" s="14">
        <f t="shared" si="332"/>
        <v>1.3013698630136987</v>
      </c>
      <c r="EK160" s="43"/>
    </row>
    <row r="161" spans="1:141" x14ac:dyDescent="0.2">
      <c r="A161" s="203"/>
      <c r="B161" s="203"/>
      <c r="C161" s="212">
        <v>12625</v>
      </c>
      <c r="D161" s="224">
        <v>26</v>
      </c>
      <c r="E161" s="213">
        <v>655</v>
      </c>
      <c r="F161" s="203">
        <v>4</v>
      </c>
      <c r="G161" s="203">
        <v>280</v>
      </c>
      <c r="H161" s="203">
        <v>8</v>
      </c>
      <c r="I161" s="214">
        <v>0</v>
      </c>
      <c r="J161" s="206" t="s">
        <v>519</v>
      </c>
      <c r="K161" s="203">
        <v>100</v>
      </c>
      <c r="L161" s="203">
        <v>800</v>
      </c>
      <c r="M161" s="208">
        <v>0.31</v>
      </c>
      <c r="N161" s="196" t="s">
        <v>520</v>
      </c>
      <c r="O161" s="197"/>
      <c r="P161" s="203"/>
      <c r="Q161" s="212">
        <v>9059</v>
      </c>
      <c r="R161" s="203">
        <v>114</v>
      </c>
      <c r="S161" s="213">
        <v>195</v>
      </c>
      <c r="T161" s="203">
        <v>3</v>
      </c>
      <c r="U161" s="203">
        <v>17</v>
      </c>
      <c r="V161" s="203">
        <v>3</v>
      </c>
      <c r="W161" s="214">
        <v>6</v>
      </c>
      <c r="X161" s="206" t="s">
        <v>499</v>
      </c>
      <c r="Y161" s="210">
        <v>1100</v>
      </c>
      <c r="Z161" s="210">
        <v>3300</v>
      </c>
      <c r="AA161" s="208">
        <v>0.28999999999999998</v>
      </c>
      <c r="AB161" s="196"/>
      <c r="AC161" s="199"/>
      <c r="AD161" s="207"/>
      <c r="AE161" s="212">
        <v>13391</v>
      </c>
      <c r="AF161" s="203">
        <v>55</v>
      </c>
      <c r="AG161" s="213">
        <v>363</v>
      </c>
      <c r="AH161" s="203">
        <v>1</v>
      </c>
      <c r="AI161" s="203">
        <v>12</v>
      </c>
      <c r="AJ161" s="203">
        <v>1</v>
      </c>
      <c r="AK161" s="214">
        <v>-2</v>
      </c>
      <c r="AL161" s="206" t="s">
        <v>375</v>
      </c>
      <c r="AM161" s="203">
        <v>682</v>
      </c>
      <c r="AN161" s="203">
        <v>682</v>
      </c>
      <c r="AO161" s="208">
        <v>0.12</v>
      </c>
      <c r="AP161" s="196"/>
      <c r="AQ161" s="201"/>
      <c r="AR161" s="203"/>
      <c r="AS161" s="212">
        <v>16974</v>
      </c>
      <c r="AT161" s="203">
        <v>155</v>
      </c>
      <c r="AU161" s="213">
        <v>556</v>
      </c>
      <c r="AV161" s="203">
        <v>5</v>
      </c>
      <c r="AW161" s="203">
        <v>16</v>
      </c>
      <c r="AX161" s="203">
        <v>5</v>
      </c>
      <c r="AY161" s="214">
        <v>6</v>
      </c>
      <c r="AZ161" s="206" t="s">
        <v>477</v>
      </c>
      <c r="BA161" s="54">
        <f>IF(AT161="","",BA157)</f>
        <v>1430</v>
      </c>
      <c r="BB161" s="210">
        <v>5500</v>
      </c>
      <c r="BC161" s="208">
        <v>0.35</v>
      </c>
      <c r="BD161" s="196"/>
      <c r="BE161" s="197"/>
      <c r="BF161" s="203"/>
      <c r="BG161" s="239" t="s">
        <v>591</v>
      </c>
      <c r="BH161" s="210">
        <v>1498</v>
      </c>
      <c r="BI161" s="224">
        <v>17</v>
      </c>
      <c r="BJ161" s="203">
        <v>15</v>
      </c>
      <c r="BK161" s="203">
        <v>0</v>
      </c>
      <c r="BL161" s="203">
        <v>3</v>
      </c>
      <c r="BM161" s="203">
        <v>0</v>
      </c>
      <c r="BN161" s="203">
        <v>0</v>
      </c>
      <c r="BO161" s="206" t="s">
        <v>516</v>
      </c>
      <c r="BP161" s="203">
        <v>700</v>
      </c>
      <c r="BQ161" s="203">
        <v>0</v>
      </c>
      <c r="BR161" s="208">
        <v>0</v>
      </c>
      <c r="BS161" s="206" t="s">
        <v>524</v>
      </c>
      <c r="BU161" s="79"/>
      <c r="BV161" s="17"/>
      <c r="BW161" s="13"/>
      <c r="BX161" s="13"/>
      <c r="BY161" s="13"/>
      <c r="BZ161" s="13"/>
      <c r="CA161" s="13"/>
      <c r="CB161" s="13"/>
      <c r="CC161" s="231"/>
      <c r="CD161" s="53"/>
      <c r="CE161" s="13"/>
      <c r="CF161" s="14"/>
      <c r="CG161" s="43"/>
      <c r="CH161" s="1"/>
      <c r="CI161" s="79"/>
      <c r="CJ161" s="17"/>
      <c r="CK161" s="13"/>
      <c r="CL161" s="13"/>
      <c r="CM161" s="13"/>
      <c r="CN161" s="13"/>
      <c r="CO161" s="13"/>
      <c r="CP161" s="13"/>
      <c r="CQ161" s="231"/>
      <c r="CR161" s="53"/>
      <c r="CS161" s="13"/>
      <c r="CT161" s="14"/>
      <c r="CU161" s="43"/>
      <c r="CV161" s="1"/>
      <c r="CW161" s="79"/>
      <c r="CX161" s="17"/>
      <c r="CY161" s="13"/>
      <c r="CZ161" s="13"/>
      <c r="DA161" s="13"/>
      <c r="DB161" s="13"/>
      <c r="DC161" s="13"/>
      <c r="DD161" s="13"/>
      <c r="DE161" s="231"/>
      <c r="DF161" s="53"/>
      <c r="DG161" s="13"/>
      <c r="DH161" s="14"/>
      <c r="DI161" s="43"/>
      <c r="DJ161" s="1"/>
      <c r="DK161" s="79"/>
      <c r="DL161" s="17"/>
      <c r="DM161" s="13"/>
      <c r="DN161" s="13"/>
      <c r="DO161" s="13"/>
      <c r="DP161" s="13"/>
      <c r="DQ161" s="13"/>
      <c r="DR161" s="13"/>
      <c r="DS161" s="231"/>
      <c r="DT161" s="53"/>
      <c r="DU161" s="13"/>
      <c r="DV161" s="14"/>
      <c r="DW161" s="43"/>
      <c r="DY161" s="79"/>
      <c r="DZ161" s="17"/>
      <c r="EA161" s="13"/>
      <c r="EB161" s="13"/>
      <c r="EC161" s="13"/>
      <c r="ED161" s="13"/>
      <c r="EE161" s="13"/>
      <c r="EF161" s="13"/>
      <c r="EG161" s="231"/>
      <c r="EH161" s="53"/>
      <c r="EI161" s="13"/>
      <c r="EJ161" s="14"/>
      <c r="EK161" s="43"/>
    </row>
    <row r="162" spans="1:141" ht="15" customHeight="1" thickBot="1" x14ac:dyDescent="0.25">
      <c r="A162" s="215"/>
      <c r="B162" s="215"/>
      <c r="C162" s="216">
        <v>8384</v>
      </c>
      <c r="D162" s="225">
        <v>34</v>
      </c>
      <c r="E162" s="215">
        <v>502</v>
      </c>
      <c r="F162" s="215">
        <v>0</v>
      </c>
      <c r="G162" s="215">
        <v>12</v>
      </c>
      <c r="H162" s="215">
        <v>0</v>
      </c>
      <c r="I162" s="217">
        <v>0</v>
      </c>
      <c r="J162" s="218" t="s">
        <v>493</v>
      </c>
      <c r="K162" s="219">
        <v>330</v>
      </c>
      <c r="L162" s="215">
        <v>0</v>
      </c>
      <c r="M162" s="220">
        <v>0</v>
      </c>
      <c r="N162" s="196" t="s">
        <v>312</v>
      </c>
      <c r="O162" s="197"/>
      <c r="P162" s="215"/>
      <c r="Q162" s="216">
        <v>13088</v>
      </c>
      <c r="R162" s="215">
        <v>160</v>
      </c>
      <c r="S162" s="215">
        <v>509</v>
      </c>
      <c r="T162" s="215">
        <v>17</v>
      </c>
      <c r="U162" s="215">
        <v>21</v>
      </c>
      <c r="V162" s="215">
        <v>19</v>
      </c>
      <c r="W162" s="217">
        <v>20</v>
      </c>
      <c r="X162" s="218" t="s">
        <v>449</v>
      </c>
      <c r="Y162" s="219">
        <v>200</v>
      </c>
      <c r="Z162" s="216">
        <v>3800</v>
      </c>
      <c r="AA162" s="220">
        <v>0.24</v>
      </c>
      <c r="AB162" s="196"/>
      <c r="AC162" s="199"/>
      <c r="AD162" s="219"/>
      <c r="AE162" s="216">
        <v>13148</v>
      </c>
      <c r="AF162" s="225">
        <v>40</v>
      </c>
      <c r="AG162" s="215">
        <v>324</v>
      </c>
      <c r="AH162" s="215">
        <v>1</v>
      </c>
      <c r="AI162" s="215">
        <v>13</v>
      </c>
      <c r="AJ162" s="215">
        <v>1</v>
      </c>
      <c r="AK162" s="217">
        <v>-1</v>
      </c>
      <c r="AL162" s="218" t="s">
        <v>353</v>
      </c>
      <c r="AM162" s="219">
        <v>605</v>
      </c>
      <c r="AN162" s="215">
        <v>605</v>
      </c>
      <c r="AO162" s="220">
        <v>0.15</v>
      </c>
      <c r="AP162" s="206" t="s">
        <v>526</v>
      </c>
      <c r="AQ162" s="201"/>
      <c r="AR162" s="215"/>
      <c r="AS162" s="216">
        <v>16376</v>
      </c>
      <c r="AT162" s="215">
        <v>79</v>
      </c>
      <c r="AU162" s="215">
        <v>479</v>
      </c>
      <c r="AV162" s="215">
        <v>7</v>
      </c>
      <c r="AW162" s="215">
        <v>3</v>
      </c>
      <c r="AX162" s="215">
        <v>9</v>
      </c>
      <c r="AY162" s="217">
        <v>13</v>
      </c>
      <c r="AZ162" s="218" t="s">
        <v>527</v>
      </c>
      <c r="BA162" s="219">
        <v>400</v>
      </c>
      <c r="BB162" s="216">
        <v>3600</v>
      </c>
      <c r="BC162" s="220">
        <v>0.46</v>
      </c>
      <c r="BD162" s="196" t="s">
        <v>345</v>
      </c>
      <c r="BE162" s="197"/>
      <c r="BF162" s="215"/>
      <c r="BG162" s="238" t="s">
        <v>592</v>
      </c>
      <c r="BH162" s="216">
        <v>1309</v>
      </c>
      <c r="BI162" s="221">
        <v>182</v>
      </c>
      <c r="BJ162" s="215">
        <v>11</v>
      </c>
      <c r="BK162" s="215">
        <v>1</v>
      </c>
      <c r="BL162" s="215">
        <v>2</v>
      </c>
      <c r="BM162" s="215">
        <v>1</v>
      </c>
      <c r="BN162" s="215">
        <v>1</v>
      </c>
      <c r="BO162" s="218" t="s">
        <v>482</v>
      </c>
      <c r="BP162" s="222">
        <v>1500</v>
      </c>
      <c r="BQ162" s="216">
        <v>1500</v>
      </c>
      <c r="BR162" s="220">
        <v>0.08</v>
      </c>
      <c r="BS162" s="196"/>
      <c r="BU162" s="79" t="str">
        <f>IF($A195="","",$A195)</f>
        <v/>
      </c>
      <c r="BV162" s="17"/>
      <c r="BW162" s="13" t="str">
        <f t="shared" si="299"/>
        <v/>
      </c>
      <c r="BX162" s="13"/>
      <c r="BY162" s="13" t="str">
        <f t="shared" si="300"/>
        <v/>
      </c>
      <c r="BZ162" s="13"/>
      <c r="CA162" s="13" t="str">
        <f t="shared" si="301"/>
        <v/>
      </c>
      <c r="CB162" s="13"/>
      <c r="CC162" s="231" t="str">
        <f t="shared" ref="CC162:CC174" si="368">IF(BV162="","",CC161)</f>
        <v/>
      </c>
      <c r="CD162" s="53" t="str">
        <f t="shared" si="303"/>
        <v/>
      </c>
      <c r="CE162" s="13" t="str">
        <f t="shared" si="304"/>
        <v/>
      </c>
      <c r="CF162" s="14" t="str">
        <f t="shared" si="305"/>
        <v/>
      </c>
      <c r="CG162" s="15"/>
      <c r="CH162" s="1"/>
      <c r="CI162" s="79" t="str">
        <f>IF($A195="","",$A195)</f>
        <v/>
      </c>
      <c r="CJ162" s="17"/>
      <c r="CK162" s="13" t="str">
        <f t="shared" si="306"/>
        <v/>
      </c>
      <c r="CL162" s="13"/>
      <c r="CM162" s="13" t="str">
        <f t="shared" si="307"/>
        <v/>
      </c>
      <c r="CN162" s="13"/>
      <c r="CO162" s="13" t="str">
        <f t="shared" si="308"/>
        <v/>
      </c>
      <c r="CP162" s="13"/>
      <c r="CQ162" s="231" t="str">
        <f t="shared" ref="CQ162:CQ174" si="369">IF(CJ162="","",CQ161)</f>
        <v/>
      </c>
      <c r="CR162" s="53" t="str">
        <f t="shared" si="310"/>
        <v/>
      </c>
      <c r="CS162" s="13" t="str">
        <f t="shared" si="311"/>
        <v/>
      </c>
      <c r="CT162" s="14" t="str">
        <f t="shared" si="312"/>
        <v/>
      </c>
      <c r="CU162" s="15"/>
      <c r="CV162" s="1"/>
      <c r="CW162" s="79" t="str">
        <f>IF($A195="","",$A195)</f>
        <v/>
      </c>
      <c r="CX162" s="17"/>
      <c r="CY162" s="13" t="str">
        <f t="shared" si="313"/>
        <v/>
      </c>
      <c r="CZ162" s="13"/>
      <c r="DA162" s="13" t="str">
        <f t="shared" si="314"/>
        <v/>
      </c>
      <c r="DB162" s="13"/>
      <c r="DC162" s="13" t="str">
        <f t="shared" si="315"/>
        <v/>
      </c>
      <c r="DD162" s="13"/>
      <c r="DE162" s="231" t="str">
        <f t="shared" ref="DE162:DE174" si="370">IF(CX162="","",DE161)</f>
        <v/>
      </c>
      <c r="DF162" s="53" t="str">
        <f t="shared" si="317"/>
        <v/>
      </c>
      <c r="DG162" s="13" t="str">
        <f t="shared" si="318"/>
        <v/>
      </c>
      <c r="DH162" s="14" t="str">
        <f t="shared" si="319"/>
        <v/>
      </c>
      <c r="DI162" s="15"/>
      <c r="DJ162" s="1"/>
      <c r="DK162" s="79" t="str">
        <f>IF($A195="","",$A195)</f>
        <v/>
      </c>
      <c r="DL162" s="17"/>
      <c r="DM162" s="13" t="str">
        <f t="shared" si="320"/>
        <v/>
      </c>
      <c r="DN162" s="13"/>
      <c r="DO162" s="13" t="str">
        <f t="shared" si="321"/>
        <v/>
      </c>
      <c r="DP162" s="13"/>
      <c r="DQ162" s="13" t="str">
        <f t="shared" si="322"/>
        <v/>
      </c>
      <c r="DR162" s="13"/>
      <c r="DS162" s="231" t="str">
        <f t="shared" ref="DS162:DS174" si="371">IF(DL162="","",DS161)</f>
        <v/>
      </c>
      <c r="DT162" s="53" t="str">
        <f t="shared" si="323"/>
        <v/>
      </c>
      <c r="DU162" s="13" t="str">
        <f t="shared" si="324"/>
        <v/>
      </c>
      <c r="DV162" s="14" t="str">
        <f t="shared" si="325"/>
        <v/>
      </c>
      <c r="DW162" s="15"/>
      <c r="DY162" s="79" t="str">
        <f>IF($A195="","",$A195)</f>
        <v/>
      </c>
      <c r="DZ162" s="17"/>
      <c r="EA162" s="13" t="str">
        <f t="shared" si="326"/>
        <v/>
      </c>
      <c r="EB162" s="13"/>
      <c r="EC162" s="13" t="str">
        <f t="shared" si="327"/>
        <v/>
      </c>
      <c r="ED162" s="13"/>
      <c r="EE162" s="13" t="str">
        <f t="shared" si="328"/>
        <v/>
      </c>
      <c r="EF162" s="13"/>
      <c r="EG162" s="231" t="str">
        <f t="shared" ref="EG162:EG174" si="372">IF(DZ162="","",EG161)</f>
        <v/>
      </c>
      <c r="EH162" s="53" t="str">
        <f t="shared" si="330"/>
        <v/>
      </c>
      <c r="EI162" s="13" t="str">
        <f t="shared" si="331"/>
        <v/>
      </c>
      <c r="EJ162" s="14" t="str">
        <f t="shared" si="332"/>
        <v/>
      </c>
      <c r="EK162" s="15"/>
    </row>
    <row r="163" spans="1:141" ht="15" customHeight="1" thickTop="1" x14ac:dyDescent="0.2">
      <c r="A163" s="79">
        <v>46102</v>
      </c>
      <c r="B163" s="74">
        <f>IF(A163="","",SUM(D163:D166)+SUM(R163:R166)+SUM(AF163:AF166)+SUM(AT163:AT166)+SUM(BW154,CK154,CY154,DM154,EA154)+SUM(BI163:BI166))</f>
        <v>2638</v>
      </c>
      <c r="C163" s="13">
        <v>7181</v>
      </c>
      <c r="D163" s="53">
        <f t="shared" si="333"/>
        <v>38</v>
      </c>
      <c r="E163" s="13">
        <v>382</v>
      </c>
      <c r="F163" s="31">
        <f t="shared" si="334"/>
        <v>1</v>
      </c>
      <c r="G163" s="13">
        <v>16</v>
      </c>
      <c r="H163" s="53">
        <f t="shared" si="335"/>
        <v>1</v>
      </c>
      <c r="I163" s="192">
        <v>0</v>
      </c>
      <c r="J163" s="75" t="str">
        <f t="shared" si="336"/>
        <v>ジャグラーボタン</v>
      </c>
      <c r="K163" s="76">
        <f t="shared" si="337"/>
        <v>748</v>
      </c>
      <c r="L163" s="31">
        <f t="shared" si="338"/>
        <v>748</v>
      </c>
      <c r="M163" s="32">
        <f t="shared" si="339"/>
        <v>0.1968421052631579</v>
      </c>
      <c r="N163" s="15"/>
      <c r="O163" s="2"/>
      <c r="P163" s="79">
        <f>IF(A163="","",A163)</f>
        <v>46102</v>
      </c>
      <c r="Q163" s="13">
        <v>7892</v>
      </c>
      <c r="R163" s="53">
        <f t="shared" si="340"/>
        <v>62</v>
      </c>
      <c r="S163" s="13">
        <v>249</v>
      </c>
      <c r="T163" s="31">
        <f t="shared" si="341"/>
        <v>2</v>
      </c>
      <c r="U163" s="13">
        <v>10</v>
      </c>
      <c r="V163" s="53">
        <f t="shared" si="342"/>
        <v>2</v>
      </c>
      <c r="W163" s="192">
        <v>2</v>
      </c>
      <c r="X163" s="75" t="str">
        <f t="shared" si="343"/>
        <v>キティボアバンスクリップ</v>
      </c>
      <c r="Y163" s="76">
        <f t="shared" si="344"/>
        <v>1100</v>
      </c>
      <c r="Z163" s="31">
        <f t="shared" si="345"/>
        <v>2200</v>
      </c>
      <c r="AA163" s="32">
        <f t="shared" si="346"/>
        <v>0.35483870967741937</v>
      </c>
      <c r="AB163" s="15"/>
      <c r="AC163" s="113"/>
      <c r="AD163" s="146">
        <f>IF($A163="","",$A163)</f>
        <v>46102</v>
      </c>
      <c r="AE163" s="13">
        <v>11463</v>
      </c>
      <c r="AF163" s="53">
        <f t="shared" si="347"/>
        <v>18</v>
      </c>
      <c r="AG163" s="13">
        <v>261</v>
      </c>
      <c r="AH163" s="31">
        <f t="shared" si="348"/>
        <v>3</v>
      </c>
      <c r="AI163" s="13">
        <v>25</v>
      </c>
      <c r="AJ163" s="53">
        <f t="shared" si="349"/>
        <v>3</v>
      </c>
      <c r="AK163" s="192">
        <v>0</v>
      </c>
      <c r="AL163" s="75" t="str">
        <f t="shared" si="350"/>
        <v>サンリオ型押しケース</v>
      </c>
      <c r="AM163" s="76">
        <f t="shared" si="351"/>
        <v>545</v>
      </c>
      <c r="AN163" s="31">
        <f t="shared" si="352"/>
        <v>1635</v>
      </c>
      <c r="AO163" s="32">
        <f t="shared" si="353"/>
        <v>0.90833333333333333</v>
      </c>
      <c r="AP163" s="15"/>
      <c r="AQ163" s="15"/>
      <c r="AR163" s="79">
        <f>IF($A163="","",$A163)</f>
        <v>46102</v>
      </c>
      <c r="AS163" s="13">
        <v>12323</v>
      </c>
      <c r="AT163" s="53">
        <f t="shared" si="354"/>
        <v>16</v>
      </c>
      <c r="AU163" s="13">
        <v>386</v>
      </c>
      <c r="AV163" s="31">
        <f t="shared" si="355"/>
        <v>0</v>
      </c>
      <c r="AW163" s="13">
        <v>11</v>
      </c>
      <c r="AX163" s="53">
        <f t="shared" si="356"/>
        <v>0</v>
      </c>
      <c r="AY163" s="192">
        <v>0</v>
      </c>
      <c r="AZ163" s="75" t="str">
        <f t="shared" si="357"/>
        <v>サンリオデニムポーチ</v>
      </c>
      <c r="BA163" s="76">
        <f t="shared" si="358"/>
        <v>1100</v>
      </c>
      <c r="BB163" s="31">
        <f t="shared" si="359"/>
        <v>0</v>
      </c>
      <c r="BC163" s="32">
        <f t="shared" si="360"/>
        <v>0</v>
      </c>
      <c r="BD163" s="15"/>
      <c r="BE163" s="2"/>
      <c r="BF163" s="79">
        <f>IF(A163="","",A163)</f>
        <v>46102</v>
      </c>
      <c r="BG163" s="240" t="s">
        <v>589</v>
      </c>
      <c r="BH163" s="53">
        <v>1435</v>
      </c>
      <c r="BI163" s="180">
        <f t="shared" si="361"/>
        <v>169</v>
      </c>
      <c r="BJ163" s="53">
        <v>12</v>
      </c>
      <c r="BK163" s="31">
        <f t="shared" si="362"/>
        <v>0</v>
      </c>
      <c r="BL163" s="53">
        <v>3</v>
      </c>
      <c r="BM163" s="53">
        <f t="shared" si="363"/>
        <v>0</v>
      </c>
      <c r="BN163" s="80">
        <v>0</v>
      </c>
      <c r="BO163" s="75" t="s">
        <v>524</v>
      </c>
      <c r="BP163" s="76">
        <v>700</v>
      </c>
      <c r="BQ163" s="31">
        <f t="shared" si="366"/>
        <v>0</v>
      </c>
      <c r="BR163" s="32">
        <f t="shared" si="367"/>
        <v>0</v>
      </c>
      <c r="BS163" s="15"/>
      <c r="BU163" s="79" t="str">
        <f>IF($A199="","",$A199)</f>
        <v/>
      </c>
      <c r="BV163" s="17"/>
      <c r="BW163" s="13" t="str">
        <f t="shared" si="299"/>
        <v/>
      </c>
      <c r="BX163" s="13"/>
      <c r="BY163" s="13" t="str">
        <f t="shared" si="300"/>
        <v/>
      </c>
      <c r="BZ163" s="13"/>
      <c r="CA163" s="13" t="str">
        <f t="shared" si="301"/>
        <v/>
      </c>
      <c r="CB163" s="13"/>
      <c r="CC163" s="231" t="str">
        <f t="shared" si="368"/>
        <v/>
      </c>
      <c r="CD163" s="53" t="str">
        <f t="shared" si="303"/>
        <v/>
      </c>
      <c r="CE163" s="13" t="str">
        <f t="shared" si="304"/>
        <v/>
      </c>
      <c r="CF163" s="14" t="str">
        <f t="shared" si="305"/>
        <v/>
      </c>
      <c r="CG163" s="15"/>
      <c r="CH163" s="1"/>
      <c r="CI163" s="79" t="str">
        <f>IF($A199="","",$A199)</f>
        <v/>
      </c>
      <c r="CJ163" s="17"/>
      <c r="CK163" s="13" t="str">
        <f t="shared" si="306"/>
        <v/>
      </c>
      <c r="CL163" s="13"/>
      <c r="CM163" s="13" t="str">
        <f t="shared" si="307"/>
        <v/>
      </c>
      <c r="CN163" s="13"/>
      <c r="CO163" s="13" t="str">
        <f t="shared" si="308"/>
        <v/>
      </c>
      <c r="CP163" s="13"/>
      <c r="CQ163" s="231" t="str">
        <f t="shared" si="369"/>
        <v/>
      </c>
      <c r="CR163" s="53" t="str">
        <f t="shared" si="310"/>
        <v/>
      </c>
      <c r="CS163" s="13" t="str">
        <f t="shared" si="311"/>
        <v/>
      </c>
      <c r="CT163" s="14" t="str">
        <f t="shared" si="312"/>
        <v/>
      </c>
      <c r="CU163" s="15"/>
      <c r="CV163" s="1"/>
      <c r="CW163" s="79" t="str">
        <f>IF($A199="","",$A199)</f>
        <v/>
      </c>
      <c r="CX163" s="17"/>
      <c r="CY163" s="13" t="str">
        <f t="shared" si="313"/>
        <v/>
      </c>
      <c r="CZ163" s="13"/>
      <c r="DA163" s="13" t="str">
        <f t="shared" si="314"/>
        <v/>
      </c>
      <c r="DB163" s="13"/>
      <c r="DC163" s="13" t="str">
        <f t="shared" si="315"/>
        <v/>
      </c>
      <c r="DD163" s="13"/>
      <c r="DE163" s="231" t="str">
        <f t="shared" si="370"/>
        <v/>
      </c>
      <c r="DF163" s="53" t="str">
        <f t="shared" si="317"/>
        <v/>
      </c>
      <c r="DG163" s="13" t="str">
        <f t="shared" si="318"/>
        <v/>
      </c>
      <c r="DH163" s="14" t="str">
        <f t="shared" si="319"/>
        <v/>
      </c>
      <c r="DI163" s="15"/>
      <c r="DJ163" s="1"/>
      <c r="DK163" s="79" t="str">
        <f>IF($A199="","",$A199)</f>
        <v/>
      </c>
      <c r="DL163" s="17"/>
      <c r="DM163" s="13" t="str">
        <f t="shared" si="320"/>
        <v/>
      </c>
      <c r="DN163" s="13"/>
      <c r="DO163" s="13" t="str">
        <f t="shared" si="321"/>
        <v/>
      </c>
      <c r="DP163" s="13"/>
      <c r="DQ163" s="13" t="str">
        <f t="shared" si="322"/>
        <v/>
      </c>
      <c r="DR163" s="13"/>
      <c r="DS163" s="231" t="str">
        <f t="shared" si="371"/>
        <v/>
      </c>
      <c r="DT163" s="53" t="str">
        <f t="shared" si="323"/>
        <v/>
      </c>
      <c r="DU163" s="13" t="str">
        <f t="shared" si="324"/>
        <v/>
      </c>
      <c r="DV163" s="14" t="str">
        <f t="shared" si="325"/>
        <v/>
      </c>
      <c r="DW163" s="15"/>
      <c r="DY163" s="79" t="str">
        <f>IF($A199="","",$A199)</f>
        <v/>
      </c>
      <c r="DZ163" s="17"/>
      <c r="EA163" s="13" t="str">
        <f t="shared" si="326"/>
        <v/>
      </c>
      <c r="EB163" s="13"/>
      <c r="EC163" s="13" t="str">
        <f t="shared" si="327"/>
        <v/>
      </c>
      <c r="ED163" s="13"/>
      <c r="EE163" s="13" t="str">
        <f t="shared" si="328"/>
        <v/>
      </c>
      <c r="EF163" s="13"/>
      <c r="EG163" s="231" t="str">
        <f t="shared" si="372"/>
        <v/>
      </c>
      <c r="EH163" s="53" t="str">
        <f t="shared" si="330"/>
        <v/>
      </c>
      <c r="EI163" s="13" t="str">
        <f t="shared" si="331"/>
        <v/>
      </c>
      <c r="EJ163" s="14" t="str">
        <f t="shared" si="332"/>
        <v/>
      </c>
      <c r="EK163" s="15"/>
    </row>
    <row r="164" spans="1:141" x14ac:dyDescent="0.2">
      <c r="A164" s="16"/>
      <c r="B164" s="228" t="s">
        <v>534</v>
      </c>
      <c r="C164" s="53">
        <v>6722</v>
      </c>
      <c r="D164" s="13">
        <f t="shared" si="333"/>
        <v>29</v>
      </c>
      <c r="E164" s="53">
        <v>415</v>
      </c>
      <c r="F164" s="13">
        <f t="shared" si="334"/>
        <v>2</v>
      </c>
      <c r="G164" s="13">
        <v>34</v>
      </c>
      <c r="H164" s="13">
        <f t="shared" si="335"/>
        <v>2</v>
      </c>
      <c r="I164" s="205">
        <v>0</v>
      </c>
      <c r="J164" s="56" t="str">
        <f t="shared" si="336"/>
        <v>電ブル</v>
      </c>
      <c r="K164" s="54">
        <f t="shared" si="337"/>
        <v>275</v>
      </c>
      <c r="L164" s="13">
        <f t="shared" si="338"/>
        <v>550</v>
      </c>
      <c r="M164" s="14">
        <f t="shared" si="339"/>
        <v>0.18965517241379309</v>
      </c>
      <c r="N164" s="209" t="s">
        <v>386</v>
      </c>
      <c r="O164" s="2"/>
      <c r="P164" s="16"/>
      <c r="Q164" s="53">
        <v>607</v>
      </c>
      <c r="R164" s="13">
        <f t="shared" si="340"/>
        <v>223</v>
      </c>
      <c r="S164" s="53">
        <v>153</v>
      </c>
      <c r="T164" s="13">
        <f t="shared" si="341"/>
        <v>0</v>
      </c>
      <c r="U164" s="13">
        <v>2</v>
      </c>
      <c r="V164" s="89">
        <f t="shared" si="342"/>
        <v>5</v>
      </c>
      <c r="W164" s="205">
        <v>5</v>
      </c>
      <c r="X164" s="56" t="s">
        <v>577</v>
      </c>
      <c r="Y164" s="54">
        <v>600</v>
      </c>
      <c r="Z164" s="13">
        <f t="shared" si="345"/>
        <v>3000</v>
      </c>
      <c r="AA164" s="14">
        <f t="shared" si="346"/>
        <v>0.13452914798206278</v>
      </c>
      <c r="AB164" s="15"/>
      <c r="AC164" s="113"/>
      <c r="AD164" s="147"/>
      <c r="AE164" s="53">
        <v>11253</v>
      </c>
      <c r="AF164" s="13">
        <f t="shared" si="347"/>
        <v>11</v>
      </c>
      <c r="AG164" s="53">
        <v>236</v>
      </c>
      <c r="AH164" s="13">
        <f t="shared" si="348"/>
        <v>0</v>
      </c>
      <c r="AI164" s="13">
        <v>13</v>
      </c>
      <c r="AJ164" s="13">
        <f t="shared" si="349"/>
        <v>0</v>
      </c>
      <c r="AK164" s="205">
        <v>0</v>
      </c>
      <c r="AL164" s="56" t="str">
        <f t="shared" si="350"/>
        <v>キティししっぽ付きポーチ</v>
      </c>
      <c r="AM164" s="54">
        <f t="shared" si="351"/>
        <v>760</v>
      </c>
      <c r="AN164" s="13">
        <f t="shared" si="352"/>
        <v>0</v>
      </c>
      <c r="AO164" s="14">
        <f t="shared" si="353"/>
        <v>0</v>
      </c>
      <c r="AP164" s="15"/>
      <c r="AQ164" s="15"/>
      <c r="AR164" s="16"/>
      <c r="AS164" s="53">
        <v>9007</v>
      </c>
      <c r="AT164" s="13">
        <f t="shared" si="354"/>
        <v>29</v>
      </c>
      <c r="AU164" s="53">
        <v>453</v>
      </c>
      <c r="AV164" s="13">
        <f t="shared" si="355"/>
        <v>3</v>
      </c>
      <c r="AW164" s="13">
        <v>15</v>
      </c>
      <c r="AX164" s="13">
        <f t="shared" si="356"/>
        <v>3</v>
      </c>
      <c r="AY164" s="205">
        <v>0</v>
      </c>
      <c r="AZ164" s="56" t="str">
        <f t="shared" si="357"/>
        <v>液晶ミニカメラ</v>
      </c>
      <c r="BA164" s="54">
        <f t="shared" si="358"/>
        <v>1100</v>
      </c>
      <c r="BB164" s="13">
        <f t="shared" si="359"/>
        <v>3300</v>
      </c>
      <c r="BC164" s="14">
        <f t="shared" si="360"/>
        <v>1.1379310344827587</v>
      </c>
      <c r="BD164" s="15" t="s">
        <v>531</v>
      </c>
      <c r="BE164" s="2"/>
      <c r="BF164" s="16"/>
      <c r="BG164" s="7" t="s">
        <v>590</v>
      </c>
      <c r="BH164" s="13">
        <v>1822</v>
      </c>
      <c r="BI164" s="180">
        <f t="shared" si="361"/>
        <v>307</v>
      </c>
      <c r="BJ164" s="13">
        <v>11</v>
      </c>
      <c r="BK164" s="13">
        <f t="shared" si="362"/>
        <v>2</v>
      </c>
      <c r="BL164" s="13">
        <v>1</v>
      </c>
      <c r="BM164" s="13">
        <f t="shared" si="363"/>
        <v>2</v>
      </c>
      <c r="BN164" s="17">
        <v>2</v>
      </c>
      <c r="BO164" s="56" t="str">
        <f t="shared" si="364"/>
        <v>ボンボンドロップシール</v>
      </c>
      <c r="BP164" s="54">
        <f t="shared" si="365"/>
        <v>1500</v>
      </c>
      <c r="BQ164" s="13">
        <f t="shared" si="366"/>
        <v>3000</v>
      </c>
      <c r="BR164" s="14">
        <f t="shared" si="367"/>
        <v>9.7719869706840393E-2</v>
      </c>
      <c r="BS164" s="15"/>
      <c r="BU164" s="79" t="str">
        <f>IF($A203="","",$A203)</f>
        <v/>
      </c>
      <c r="BV164" s="13"/>
      <c r="BW164" s="13" t="str">
        <f t="shared" si="299"/>
        <v/>
      </c>
      <c r="BX164" s="13"/>
      <c r="BY164" s="13" t="str">
        <f t="shared" si="300"/>
        <v/>
      </c>
      <c r="BZ164" s="13"/>
      <c r="CA164" s="13" t="str">
        <f t="shared" si="301"/>
        <v/>
      </c>
      <c r="CB164" s="13"/>
      <c r="CC164" s="231" t="str">
        <f t="shared" si="368"/>
        <v/>
      </c>
      <c r="CD164" s="53" t="str">
        <f t="shared" si="303"/>
        <v/>
      </c>
      <c r="CE164" s="13" t="str">
        <f t="shared" si="304"/>
        <v/>
      </c>
      <c r="CF164" s="14" t="str">
        <f>IF(CE164="","",CE164/(BV164*100))</f>
        <v/>
      </c>
      <c r="CG164" s="67"/>
      <c r="CH164" s="1"/>
      <c r="CI164" s="79" t="str">
        <f>IF($A203="","",$A203)</f>
        <v/>
      </c>
      <c r="CJ164" s="13"/>
      <c r="CK164" s="13" t="str">
        <f t="shared" si="306"/>
        <v/>
      </c>
      <c r="CL164" s="13"/>
      <c r="CM164" s="13" t="str">
        <f t="shared" si="307"/>
        <v/>
      </c>
      <c r="CN164" s="13"/>
      <c r="CO164" s="13" t="str">
        <f t="shared" si="308"/>
        <v/>
      </c>
      <c r="CP164" s="13"/>
      <c r="CQ164" s="231" t="str">
        <f t="shared" si="369"/>
        <v/>
      </c>
      <c r="CR164" s="53" t="str">
        <f t="shared" si="310"/>
        <v/>
      </c>
      <c r="CS164" s="13" t="str">
        <f t="shared" si="311"/>
        <v/>
      </c>
      <c r="CT164" s="14" t="str">
        <f>IF(CS164="","",CS164/(CJ164*100))</f>
        <v/>
      </c>
      <c r="CU164" s="67"/>
      <c r="CV164" s="1"/>
      <c r="CW164" s="79" t="str">
        <f>IF($A203="","",$A203)</f>
        <v/>
      </c>
      <c r="CX164" s="13"/>
      <c r="CY164" s="13" t="str">
        <f t="shared" si="313"/>
        <v/>
      </c>
      <c r="CZ164" s="13"/>
      <c r="DA164" s="13" t="str">
        <f t="shared" si="314"/>
        <v/>
      </c>
      <c r="DB164" s="13"/>
      <c r="DC164" s="13" t="str">
        <f t="shared" si="315"/>
        <v/>
      </c>
      <c r="DD164" s="13"/>
      <c r="DE164" s="231" t="str">
        <f t="shared" si="370"/>
        <v/>
      </c>
      <c r="DF164" s="53" t="str">
        <f t="shared" si="317"/>
        <v/>
      </c>
      <c r="DG164" s="13" t="str">
        <f t="shared" si="318"/>
        <v/>
      </c>
      <c r="DH164" s="14" t="str">
        <f>IF(DG164="","",DG164/(CX164*100))</f>
        <v/>
      </c>
      <c r="DI164" s="67"/>
      <c r="DJ164" s="1"/>
      <c r="DK164" s="79" t="str">
        <f>IF($A203="","",$A203)</f>
        <v/>
      </c>
      <c r="DL164" s="13"/>
      <c r="DM164" s="13" t="str">
        <f t="shared" si="320"/>
        <v/>
      </c>
      <c r="DN164" s="13"/>
      <c r="DO164" s="13" t="str">
        <f t="shared" si="321"/>
        <v/>
      </c>
      <c r="DP164" s="13"/>
      <c r="DQ164" s="13" t="str">
        <f t="shared" si="322"/>
        <v/>
      </c>
      <c r="DR164" s="13"/>
      <c r="DS164" s="231" t="str">
        <f t="shared" si="371"/>
        <v/>
      </c>
      <c r="DT164" s="53" t="str">
        <f t="shared" si="323"/>
        <v/>
      </c>
      <c r="DU164" s="13" t="str">
        <f t="shared" si="324"/>
        <v/>
      </c>
      <c r="DV164" s="14" t="str">
        <f>IF(DU164="","",DU164/(DL164*100))</f>
        <v/>
      </c>
      <c r="DW164" s="67"/>
      <c r="DY164" s="79" t="str">
        <f>IF($A203="","",$A203)</f>
        <v/>
      </c>
      <c r="DZ164" s="13"/>
      <c r="EA164" s="13" t="str">
        <f t="shared" si="326"/>
        <v/>
      </c>
      <c r="EB164" s="13"/>
      <c r="EC164" s="13" t="str">
        <f t="shared" si="327"/>
        <v/>
      </c>
      <c r="ED164" s="13"/>
      <c r="EE164" s="13" t="str">
        <f t="shared" si="328"/>
        <v/>
      </c>
      <c r="EF164" s="13"/>
      <c r="EG164" s="231" t="str">
        <f t="shared" si="372"/>
        <v/>
      </c>
      <c r="EH164" s="53" t="str">
        <f t="shared" si="330"/>
        <v/>
      </c>
      <c r="EI164" s="13" t="str">
        <f t="shared" si="331"/>
        <v/>
      </c>
      <c r="EJ164" s="14" t="str">
        <f>IF(EI164="","",EI164/(DZ164*100))</f>
        <v/>
      </c>
      <c r="EK164" s="67"/>
    </row>
    <row r="165" spans="1:141" x14ac:dyDescent="0.2">
      <c r="A165" s="33"/>
      <c r="B165" s="48"/>
      <c r="C165" s="13">
        <v>12655</v>
      </c>
      <c r="D165" s="13">
        <f t="shared" si="333"/>
        <v>30</v>
      </c>
      <c r="E165" s="13">
        <v>665</v>
      </c>
      <c r="F165" s="13">
        <f t="shared" si="334"/>
        <v>10</v>
      </c>
      <c r="G165" s="13">
        <v>260</v>
      </c>
      <c r="H165" s="13">
        <f t="shared" si="335"/>
        <v>20</v>
      </c>
      <c r="I165" s="214">
        <v>10</v>
      </c>
      <c r="J165" s="56" t="str">
        <f t="shared" si="336"/>
        <v>ブレスレット</v>
      </c>
      <c r="K165" s="13">
        <f t="shared" si="337"/>
        <v>100</v>
      </c>
      <c r="L165" s="13">
        <f t="shared" si="338"/>
        <v>2000</v>
      </c>
      <c r="M165" s="14">
        <f t="shared" si="339"/>
        <v>0.66666666666666663</v>
      </c>
      <c r="N165" s="15" t="s">
        <v>528</v>
      </c>
      <c r="O165" s="2"/>
      <c r="P165" s="33"/>
      <c r="Q165" s="13">
        <v>9149</v>
      </c>
      <c r="R165" s="13">
        <f t="shared" si="340"/>
        <v>90</v>
      </c>
      <c r="S165" s="13">
        <v>197</v>
      </c>
      <c r="T165" s="13">
        <f t="shared" si="341"/>
        <v>2</v>
      </c>
      <c r="U165" s="13">
        <v>21</v>
      </c>
      <c r="V165" s="13">
        <f t="shared" si="342"/>
        <v>2</v>
      </c>
      <c r="W165" s="214">
        <v>0</v>
      </c>
      <c r="X165" s="56" t="str">
        <f t="shared" si="343"/>
        <v>たまごっちミニクリップ</v>
      </c>
      <c r="Y165" s="13">
        <f t="shared" si="344"/>
        <v>1100</v>
      </c>
      <c r="Z165" s="13">
        <f t="shared" si="345"/>
        <v>2200</v>
      </c>
      <c r="AA165" s="14">
        <f t="shared" si="346"/>
        <v>0.24444444444444444</v>
      </c>
      <c r="AB165" s="15"/>
      <c r="AC165" s="84"/>
      <c r="AD165" s="33"/>
      <c r="AE165" s="13">
        <v>13422</v>
      </c>
      <c r="AF165" s="13">
        <f t="shared" si="347"/>
        <v>31</v>
      </c>
      <c r="AG165" s="13">
        <v>364</v>
      </c>
      <c r="AH165" s="13">
        <f t="shared" si="348"/>
        <v>1</v>
      </c>
      <c r="AI165" s="13">
        <v>8</v>
      </c>
      <c r="AJ165" s="13">
        <f t="shared" si="349"/>
        <v>2</v>
      </c>
      <c r="AK165" s="214">
        <v>0</v>
      </c>
      <c r="AL165" s="56" t="str">
        <f t="shared" si="350"/>
        <v>ゲームアーク</v>
      </c>
      <c r="AM165" s="13">
        <f t="shared" si="351"/>
        <v>682</v>
      </c>
      <c r="AN165" s="13">
        <f t="shared" si="352"/>
        <v>1364</v>
      </c>
      <c r="AO165" s="14">
        <f t="shared" si="353"/>
        <v>0.44</v>
      </c>
      <c r="AP165" s="15"/>
      <c r="AQ165" s="15"/>
      <c r="AR165" s="33"/>
      <c r="AS165" s="13">
        <v>17018</v>
      </c>
      <c r="AT165" s="13">
        <f t="shared" si="354"/>
        <v>44</v>
      </c>
      <c r="AU165" s="13">
        <v>556</v>
      </c>
      <c r="AV165" s="13">
        <f t="shared" si="355"/>
        <v>0</v>
      </c>
      <c r="AW165" s="13">
        <v>22</v>
      </c>
      <c r="AX165" s="13">
        <f t="shared" si="356"/>
        <v>0</v>
      </c>
      <c r="AY165" s="214">
        <v>0</v>
      </c>
      <c r="AZ165" s="56" t="str">
        <f t="shared" si="357"/>
        <v>たまごっちマスコット</v>
      </c>
      <c r="BA165" s="13">
        <f t="shared" si="358"/>
        <v>1430</v>
      </c>
      <c r="BB165" s="13">
        <f t="shared" si="359"/>
        <v>0</v>
      </c>
      <c r="BC165" s="14">
        <f t="shared" si="360"/>
        <v>0</v>
      </c>
      <c r="BD165" s="15"/>
      <c r="BE165" s="2"/>
      <c r="BF165" s="33"/>
      <c r="BG165" s="7" t="s">
        <v>591</v>
      </c>
      <c r="BH165" s="34">
        <v>1677</v>
      </c>
      <c r="BI165" s="180">
        <f t="shared" si="361"/>
        <v>179</v>
      </c>
      <c r="BJ165" s="34">
        <v>16</v>
      </c>
      <c r="BK165" s="13">
        <f t="shared" si="362"/>
        <v>1</v>
      </c>
      <c r="BL165" s="34">
        <v>2</v>
      </c>
      <c r="BM165" s="13">
        <f t="shared" si="363"/>
        <v>1</v>
      </c>
      <c r="BN165" s="49">
        <v>0</v>
      </c>
      <c r="BO165" s="56" t="s">
        <v>524</v>
      </c>
      <c r="BP165" s="13">
        <f t="shared" si="365"/>
        <v>700</v>
      </c>
      <c r="BQ165" s="13">
        <f t="shared" si="366"/>
        <v>700</v>
      </c>
      <c r="BR165" s="14">
        <f t="shared" si="367"/>
        <v>3.9106145251396648E-2</v>
      </c>
      <c r="BS165" s="15"/>
      <c r="BU165" s="79"/>
      <c r="BV165" s="13"/>
      <c r="BW165" s="13"/>
      <c r="BX165" s="13"/>
      <c r="BY165" s="13"/>
      <c r="BZ165" s="13"/>
      <c r="CA165" s="13"/>
      <c r="CB165" s="13"/>
      <c r="CC165" s="231" t="str">
        <f t="shared" si="368"/>
        <v/>
      </c>
      <c r="CD165" s="53"/>
      <c r="CE165" s="13"/>
      <c r="CF165" s="14" t="str">
        <f>IF(CE165="","",CE165/(BV165*100))</f>
        <v/>
      </c>
      <c r="CG165" s="67"/>
      <c r="CH165" s="1"/>
      <c r="CI165" s="79"/>
      <c r="CJ165" s="13"/>
      <c r="CK165" s="13"/>
      <c r="CL165" s="13"/>
      <c r="CM165" s="13"/>
      <c r="CN165" s="13"/>
      <c r="CO165" s="13"/>
      <c r="CP165" s="13"/>
      <c r="CQ165" s="231" t="str">
        <f t="shared" si="369"/>
        <v/>
      </c>
      <c r="CR165" s="53"/>
      <c r="CS165" s="13"/>
      <c r="CT165" s="14" t="str">
        <f>IF(CS165="","",CS165/(CJ165*100))</f>
        <v/>
      </c>
      <c r="CU165" s="67"/>
      <c r="CV165" s="1"/>
      <c r="CW165" s="79"/>
      <c r="CX165" s="13"/>
      <c r="CY165" s="13"/>
      <c r="CZ165" s="13"/>
      <c r="DA165" s="13"/>
      <c r="DB165" s="13"/>
      <c r="DC165" s="13"/>
      <c r="DD165" s="13"/>
      <c r="DE165" s="231" t="str">
        <f t="shared" si="370"/>
        <v/>
      </c>
      <c r="DF165" s="53"/>
      <c r="DG165" s="13"/>
      <c r="DH165" s="14" t="str">
        <f>IF(DG165="","",DG165/(CX165*100))</f>
        <v/>
      </c>
      <c r="DI165" s="67"/>
      <c r="DJ165" s="1"/>
      <c r="DK165" s="79"/>
      <c r="DL165" s="13"/>
      <c r="DM165" s="13"/>
      <c r="DN165" s="13"/>
      <c r="DO165" s="13"/>
      <c r="DP165" s="13"/>
      <c r="DQ165" s="13"/>
      <c r="DR165" s="13"/>
      <c r="DS165" s="231" t="str">
        <f t="shared" si="371"/>
        <v/>
      </c>
      <c r="DT165" s="53"/>
      <c r="DU165" s="13"/>
      <c r="DV165" s="14" t="str">
        <f>IF(DU165="","",DU165/(DL165*100))</f>
        <v/>
      </c>
      <c r="DW165" s="67"/>
      <c r="DY165" s="79"/>
      <c r="DZ165" s="13"/>
      <c r="EA165" s="13"/>
      <c r="EB165" s="13"/>
      <c r="EC165" s="13"/>
      <c r="ED165" s="13"/>
      <c r="EE165" s="13"/>
      <c r="EF165" s="13"/>
      <c r="EG165" s="231" t="str">
        <f t="shared" si="372"/>
        <v/>
      </c>
      <c r="EH165" s="53"/>
      <c r="EI165" s="13"/>
      <c r="EJ165" s="14" t="str">
        <f>IF(EI165="","",EI165/(DZ165*100))</f>
        <v/>
      </c>
      <c r="EK165" s="67"/>
    </row>
    <row r="166" spans="1:141" ht="15" customHeight="1" thickBot="1" x14ac:dyDescent="0.25">
      <c r="A166" s="26"/>
      <c r="B166" s="46"/>
      <c r="C166" s="27">
        <v>8421</v>
      </c>
      <c r="D166" s="27">
        <f t="shared" si="333"/>
        <v>37</v>
      </c>
      <c r="E166" s="27">
        <v>503</v>
      </c>
      <c r="F166" s="27">
        <f t="shared" si="334"/>
        <v>1</v>
      </c>
      <c r="G166" s="27">
        <v>9</v>
      </c>
      <c r="H166" s="27">
        <f t="shared" si="335"/>
        <v>3</v>
      </c>
      <c r="I166" s="217">
        <v>0</v>
      </c>
      <c r="J166" s="57" t="str">
        <f t="shared" si="336"/>
        <v>シール帳</v>
      </c>
      <c r="K166" s="62">
        <f>IF(D166="","",K162)</f>
        <v>330</v>
      </c>
      <c r="L166" s="27">
        <f t="shared" si="338"/>
        <v>990</v>
      </c>
      <c r="M166" s="28">
        <f t="shared" si="339"/>
        <v>0.26756756756756755</v>
      </c>
      <c r="N166" s="209" t="s">
        <v>386</v>
      </c>
      <c r="O166" s="2"/>
      <c r="P166" s="26"/>
      <c r="Q166" s="27">
        <v>13280</v>
      </c>
      <c r="R166" s="27">
        <f t="shared" si="340"/>
        <v>192</v>
      </c>
      <c r="S166" s="27">
        <v>527</v>
      </c>
      <c r="T166" s="27">
        <f t="shared" si="341"/>
        <v>18</v>
      </c>
      <c r="U166" s="27">
        <v>25</v>
      </c>
      <c r="V166" s="27">
        <f t="shared" si="342"/>
        <v>16</v>
      </c>
      <c r="W166" s="217">
        <v>0</v>
      </c>
      <c r="X166" s="57" t="str">
        <f t="shared" si="343"/>
        <v>ボンボンドロップ</v>
      </c>
      <c r="Y166" s="62">
        <f t="shared" si="344"/>
        <v>200</v>
      </c>
      <c r="Z166" s="27">
        <f t="shared" si="345"/>
        <v>3200</v>
      </c>
      <c r="AA166" s="28">
        <f t="shared" si="346"/>
        <v>0.16666666666666666</v>
      </c>
      <c r="AB166" s="15"/>
      <c r="AC166" s="15"/>
      <c r="AD166" s="26"/>
      <c r="AE166" s="27">
        <v>13166</v>
      </c>
      <c r="AF166" s="27">
        <f t="shared" si="347"/>
        <v>18</v>
      </c>
      <c r="AG166" s="27">
        <v>326</v>
      </c>
      <c r="AH166" s="27">
        <f t="shared" si="348"/>
        <v>2</v>
      </c>
      <c r="AI166" s="27">
        <v>10</v>
      </c>
      <c r="AJ166" s="27">
        <f t="shared" si="349"/>
        <v>2</v>
      </c>
      <c r="AK166" s="217">
        <v>5</v>
      </c>
      <c r="AL166" s="57" t="s">
        <v>530</v>
      </c>
      <c r="AM166" s="62">
        <v>260</v>
      </c>
      <c r="AN166" s="27">
        <f t="shared" si="352"/>
        <v>520</v>
      </c>
      <c r="AO166" s="28">
        <f t="shared" si="353"/>
        <v>0.28888888888888886</v>
      </c>
      <c r="AP166" s="15"/>
      <c r="AQ166" s="15"/>
      <c r="AR166" s="26"/>
      <c r="AS166" s="27">
        <v>16483</v>
      </c>
      <c r="AT166" s="27">
        <f t="shared" si="354"/>
        <v>107</v>
      </c>
      <c r="AU166" s="27">
        <v>483</v>
      </c>
      <c r="AV166" s="27">
        <f t="shared" si="355"/>
        <v>4</v>
      </c>
      <c r="AW166" s="27">
        <v>11</v>
      </c>
      <c r="AX166" s="27">
        <f t="shared" si="356"/>
        <v>5</v>
      </c>
      <c r="AY166" s="217">
        <v>6</v>
      </c>
      <c r="AZ166" s="57" t="str">
        <f t="shared" si="357"/>
        <v>バタースクイーズ</v>
      </c>
      <c r="BA166" s="62">
        <f t="shared" si="358"/>
        <v>400</v>
      </c>
      <c r="BB166" s="27">
        <f t="shared" si="359"/>
        <v>2000</v>
      </c>
      <c r="BC166" s="28">
        <f t="shared" si="360"/>
        <v>0.18691588785046728</v>
      </c>
      <c r="BD166" s="15"/>
      <c r="BE166" s="2"/>
      <c r="BF166" s="26"/>
      <c r="BG166" s="241" t="s">
        <v>592</v>
      </c>
      <c r="BH166" s="27">
        <v>1482</v>
      </c>
      <c r="BI166" s="182">
        <f t="shared" si="361"/>
        <v>173</v>
      </c>
      <c r="BJ166" s="27">
        <v>13</v>
      </c>
      <c r="BK166" s="27">
        <f t="shared" si="362"/>
        <v>2</v>
      </c>
      <c r="BL166" s="27">
        <v>1</v>
      </c>
      <c r="BM166" s="27">
        <f t="shared" si="363"/>
        <v>2</v>
      </c>
      <c r="BN166" s="47">
        <v>2</v>
      </c>
      <c r="BO166" s="57" t="str">
        <f t="shared" si="364"/>
        <v>ボンボンドロップシール</v>
      </c>
      <c r="BP166" s="62">
        <f t="shared" si="365"/>
        <v>1500</v>
      </c>
      <c r="BQ166" s="27">
        <f t="shared" si="366"/>
        <v>3000</v>
      </c>
      <c r="BR166" s="28">
        <f t="shared" si="367"/>
        <v>0.17341040462427745</v>
      </c>
      <c r="BS166" s="15" t="s">
        <v>533</v>
      </c>
      <c r="BU166" s="79"/>
      <c r="BV166" s="13"/>
      <c r="BW166" s="13" t="str">
        <f>IF(BV166="","",BV166-BV167)</f>
        <v/>
      </c>
      <c r="BX166" s="13"/>
      <c r="BY166" s="13" t="str">
        <f>IF(BX166="","",BX166-BX167)</f>
        <v/>
      </c>
      <c r="BZ166" s="13"/>
      <c r="CA166" s="13" t="str">
        <f>IF(BZ166="","",BZ167+CB167-BZ166)</f>
        <v/>
      </c>
      <c r="CB166" s="13"/>
      <c r="CC166" s="231" t="str">
        <f t="shared" si="368"/>
        <v/>
      </c>
      <c r="CD166" s="53" t="str">
        <f>IF(BV166="","",CD167)</f>
        <v/>
      </c>
      <c r="CE166" s="13" t="str">
        <f t="shared" ref="CE166:CE198" si="373">IF(CD166="","",CA166*CD166)</f>
        <v/>
      </c>
      <c r="CF166" s="14" t="str">
        <f t="shared" ref="CF166:CF198" si="374">IF(CE166="","",CE166/(BW166*100))</f>
        <v/>
      </c>
      <c r="CG166" s="67"/>
      <c r="CH166" s="1"/>
      <c r="CI166" s="79"/>
      <c r="CJ166" s="13"/>
      <c r="CK166" s="13" t="str">
        <f>IF(CJ166="","",CJ166-CJ167)</f>
        <v/>
      </c>
      <c r="CL166" s="13"/>
      <c r="CM166" s="13" t="str">
        <f>IF(CL166="","",CL166-CL167)</f>
        <v/>
      </c>
      <c r="CN166" s="13"/>
      <c r="CO166" s="13" t="str">
        <f>IF(CN166="","",CN167+CP167-CN166)</f>
        <v/>
      </c>
      <c r="CP166" s="13"/>
      <c r="CQ166" s="231" t="str">
        <f t="shared" si="369"/>
        <v/>
      </c>
      <c r="CR166" s="53" t="str">
        <f>IF(CJ166="","",CR167)</f>
        <v/>
      </c>
      <c r="CS166" s="13" t="str">
        <f t="shared" ref="CS166:CS198" si="375">IF(CR166="","",CO166*CR166)</f>
        <v/>
      </c>
      <c r="CT166" s="14" t="str">
        <f>IF(CS166="","",CS166/(CK166*100))</f>
        <v/>
      </c>
      <c r="CU166" s="15"/>
      <c r="CV166" s="1"/>
      <c r="CW166" s="79"/>
      <c r="CX166" s="13"/>
      <c r="CY166" s="13" t="str">
        <f>IF(CX166="","",CX166-CX167)</f>
        <v/>
      </c>
      <c r="CZ166" s="13"/>
      <c r="DA166" s="13" t="str">
        <f>IF(CZ166="","",CZ166-CZ167)</f>
        <v/>
      </c>
      <c r="DB166" s="13"/>
      <c r="DC166" s="13" t="str">
        <f>IF(DB166="","",DB167+DD167-DB166)</f>
        <v/>
      </c>
      <c r="DD166" s="13"/>
      <c r="DE166" s="231" t="str">
        <f t="shared" si="370"/>
        <v/>
      </c>
      <c r="DF166" s="53" t="str">
        <f>IF(CX166="","",DF167)</f>
        <v/>
      </c>
      <c r="DG166" s="13" t="str">
        <f t="shared" ref="DG166:DG198" si="376">IF(DF166="","",DC166*DF166)</f>
        <v/>
      </c>
      <c r="DH166" s="14" t="str">
        <f t="shared" ref="DH166:DH198" si="377">IF(DG166="","",DG166/(CY166*100))</f>
        <v/>
      </c>
      <c r="DI166" s="15"/>
      <c r="DJ166" s="1"/>
      <c r="DK166" s="79"/>
      <c r="DL166" s="13"/>
      <c r="DM166" s="13" t="str">
        <f>IF(DL166="","",DL166-DL167)</f>
        <v/>
      </c>
      <c r="DN166" s="13"/>
      <c r="DO166" s="13" t="str">
        <f>IF(DN166="","",DN166-DN167)</f>
        <v/>
      </c>
      <c r="DP166" s="13"/>
      <c r="DQ166" s="13" t="str">
        <f>IF(DP166="","",DP167+DR167-DP166)</f>
        <v/>
      </c>
      <c r="DR166" s="13"/>
      <c r="DS166" s="231" t="str">
        <f t="shared" si="371"/>
        <v/>
      </c>
      <c r="DT166" s="53" t="str">
        <f>IF(DL166="","",DT167)</f>
        <v/>
      </c>
      <c r="DU166" s="13" t="str">
        <f t="shared" ref="DU166:DU198" si="378">IF(DT166="","",DQ166*DT166)</f>
        <v/>
      </c>
      <c r="DV166" s="14" t="str">
        <f t="shared" ref="DV166:DV198" si="379">IF(DU166="","",DU166/(DM166*100))</f>
        <v/>
      </c>
      <c r="DW166" s="15"/>
      <c r="DY166" s="79"/>
      <c r="DZ166" s="13"/>
      <c r="EA166" s="13" t="str">
        <f>IF(DZ166="","",DZ166-DZ167)</f>
        <v/>
      </c>
      <c r="EB166" s="13"/>
      <c r="EC166" s="13" t="str">
        <f>IF(EB166="","",EB166-EB167)</f>
        <v/>
      </c>
      <c r="ED166" s="13"/>
      <c r="EE166" s="13" t="str">
        <f>IF(ED166="","",ED167+EF167-ED166)</f>
        <v/>
      </c>
      <c r="EF166" s="13"/>
      <c r="EG166" s="231" t="str">
        <f t="shared" si="372"/>
        <v/>
      </c>
      <c r="EH166" s="53" t="str">
        <f>IF(DZ166="","",EH167)</f>
        <v/>
      </c>
      <c r="EI166" s="13" t="str">
        <f t="shared" ref="EI166:EI198" si="380">IF(EH166="","",EE166*EH166)</f>
        <v/>
      </c>
      <c r="EJ166" s="14" t="str">
        <f t="shared" ref="EJ166:EJ198" si="381">IF(EI166="","",EI166/(EA166*100))</f>
        <v/>
      </c>
      <c r="EK166" s="15"/>
    </row>
    <row r="167" spans="1:141" ht="15" customHeight="1" thickTop="1" x14ac:dyDescent="0.2">
      <c r="A167" s="79">
        <v>46104</v>
      </c>
      <c r="B167" s="74">
        <f>IF(A167="","",SUM(D167:D170)+SUM(R167:R170)+SUM(AF167:AF170)+SUM(AT167:AT170)+SUM(BW155,CK155,CY155,DM155,EA155)+SUM(BI167:BI170))</f>
        <v>1723</v>
      </c>
      <c r="C167" s="53">
        <v>7229</v>
      </c>
      <c r="D167" s="53">
        <f t="shared" ref="D167:D206" si="382">IF(C167="","",C167-C163)</f>
        <v>48</v>
      </c>
      <c r="E167" s="53">
        <v>383</v>
      </c>
      <c r="F167" s="31">
        <f t="shared" ref="F167:F206" si="383">IF(E167="","",E167-E163)</f>
        <v>1</v>
      </c>
      <c r="G167" s="53">
        <v>15</v>
      </c>
      <c r="H167" s="53">
        <f t="shared" ref="H167:H206" si="384">IF(G167="","",G163+I163-G167)</f>
        <v>1</v>
      </c>
      <c r="I167" s="192">
        <v>0</v>
      </c>
      <c r="J167" s="75" t="str">
        <f t="shared" ref="J167:J185" si="385">IF(C167="","",J163)</f>
        <v>ジャグラーボタン</v>
      </c>
      <c r="K167" s="76">
        <f t="shared" ref="K167:K185" si="386">IF(D167="","",K163)</f>
        <v>748</v>
      </c>
      <c r="L167" s="31">
        <f t="shared" ref="L167:L206" si="387">IF(G167="","",H167*K167)</f>
        <v>748</v>
      </c>
      <c r="M167" s="32">
        <f t="shared" ref="M167:M206" si="388">IF(H167="","",L167/(D167*100))</f>
        <v>0.15583333333333332</v>
      </c>
      <c r="N167" s="15"/>
      <c r="O167" s="2"/>
      <c r="P167" s="79">
        <f>IF($A167="","",$A167)</f>
        <v>46104</v>
      </c>
      <c r="Q167" s="53">
        <v>8001</v>
      </c>
      <c r="R167" s="53">
        <f t="shared" ref="R167:R190" si="389">IF(Q167="","",Q167-Q163)</f>
        <v>109</v>
      </c>
      <c r="S167" s="53">
        <v>251</v>
      </c>
      <c r="T167" s="31">
        <f t="shared" ref="T167:T206" si="390">IF(S167="","",S167-S163)</f>
        <v>2</v>
      </c>
      <c r="U167" s="53">
        <v>11</v>
      </c>
      <c r="V167" s="53">
        <f t="shared" ref="V167:V206" si="391">IF(U167="","",U163+W163-U167)</f>
        <v>1</v>
      </c>
      <c r="W167" s="192">
        <v>2</v>
      </c>
      <c r="X167" s="75" t="str">
        <f t="shared" ref="X167:X190" si="392">IF(Q167="","",X163)</f>
        <v>キティボアバンスクリップ</v>
      </c>
      <c r="Y167" s="76">
        <f t="shared" ref="Y167:Y185" si="393">IF(R167="","",Y163)</f>
        <v>1100</v>
      </c>
      <c r="Z167" s="31">
        <f t="shared" ref="Z167:Z206" si="394">IF(U167="","",V167*Y167)</f>
        <v>1100</v>
      </c>
      <c r="AA167" s="32">
        <f t="shared" ref="AA167:AA206" si="395">IF(V167="","",Z167/(R167*100))</f>
        <v>0.10091743119266056</v>
      </c>
      <c r="AB167" s="15"/>
      <c r="AC167" s="15"/>
      <c r="AD167" s="79">
        <f>IF($A167="","",$A167)</f>
        <v>46104</v>
      </c>
      <c r="AE167" s="53">
        <v>11483</v>
      </c>
      <c r="AF167" s="53">
        <f t="shared" ref="AF167:AF206" si="396">IF(AE167="","",AE167-AE163)</f>
        <v>20</v>
      </c>
      <c r="AG167" s="53">
        <v>263</v>
      </c>
      <c r="AH167" s="31">
        <f t="shared" ref="AH167:AH206" si="397">IF(AG167="","",AG167-AG163)</f>
        <v>2</v>
      </c>
      <c r="AI167" s="53">
        <v>25</v>
      </c>
      <c r="AJ167" s="53">
        <f t="shared" ref="AJ167:AJ206" si="398">IF(AI167="","",AI163+AK163-AI167)</f>
        <v>0</v>
      </c>
      <c r="AK167" s="192">
        <v>0</v>
      </c>
      <c r="AL167" s="75" t="str">
        <f t="shared" ref="AL167:AL206" si="399">IF(AE167="","",AL163)</f>
        <v>サンリオ型押しケース</v>
      </c>
      <c r="AM167" s="76">
        <f t="shared" ref="AM167:AM206" si="400">IF(AF167="","",AM163)</f>
        <v>545</v>
      </c>
      <c r="AN167" s="31">
        <f t="shared" ref="AN167:AN206" si="401">IF(AI167="","",AJ167*AM167)</f>
        <v>0</v>
      </c>
      <c r="AO167" s="32">
        <f t="shared" ref="AO167:AO206" si="402">IF(AJ167="","",AN167/(AF167*100))</f>
        <v>0</v>
      </c>
      <c r="AP167" s="15"/>
      <c r="AQ167" s="15"/>
      <c r="AR167" s="79">
        <f>IF($A167="","",$A167)</f>
        <v>46104</v>
      </c>
      <c r="AS167" s="53">
        <v>12365</v>
      </c>
      <c r="AT167" s="53">
        <f t="shared" ref="AT167:AT206" si="403">IF(AS167="","",AS167-AS163)</f>
        <v>42</v>
      </c>
      <c r="AU167" s="53">
        <v>387</v>
      </c>
      <c r="AV167" s="31">
        <f t="shared" ref="AV167:AV206" si="404">IF(AU167="","",AU167-AU163)</f>
        <v>1</v>
      </c>
      <c r="AW167" s="53">
        <v>10</v>
      </c>
      <c r="AX167" s="53">
        <f t="shared" ref="AX167:AX206" si="405">IF(AW167="","",AW163+AY163-AW167)</f>
        <v>1</v>
      </c>
      <c r="AY167" s="80">
        <v>0</v>
      </c>
      <c r="AZ167" s="75" t="str">
        <f t="shared" ref="AZ167:AZ190" si="406">IF(AS167="","",AZ163)</f>
        <v>サンリオデニムポーチ</v>
      </c>
      <c r="BA167" s="76">
        <f t="shared" ref="BA167:BA185" si="407">IF(AT167="","",BA163)</f>
        <v>1100</v>
      </c>
      <c r="BB167" s="31">
        <f t="shared" ref="BB167:BB206" si="408">IF(AW167="","",AX167*BA167)</f>
        <v>1100</v>
      </c>
      <c r="BC167" s="32">
        <f t="shared" ref="BC167:BC206" si="409">IF(AX167="","",BB167/(AT167*100))</f>
        <v>0.26190476190476192</v>
      </c>
      <c r="BD167" s="15" t="s">
        <v>458</v>
      </c>
      <c r="BE167" s="2"/>
      <c r="BF167" s="79">
        <f>IF($A167="","",$A167)</f>
        <v>46104</v>
      </c>
      <c r="BG167" s="239" t="s">
        <v>589</v>
      </c>
      <c r="BH167" s="53">
        <v>1501</v>
      </c>
      <c r="BI167" s="53">
        <f t="shared" si="361"/>
        <v>66</v>
      </c>
      <c r="BJ167" s="53">
        <v>14</v>
      </c>
      <c r="BK167" s="31">
        <f t="shared" si="362"/>
        <v>2</v>
      </c>
      <c r="BL167" s="53">
        <v>1</v>
      </c>
      <c r="BM167" s="53">
        <f t="shared" si="363"/>
        <v>2</v>
      </c>
      <c r="BN167" s="80">
        <v>2</v>
      </c>
      <c r="BO167" s="75" t="str">
        <f t="shared" si="364"/>
        <v>うるちゅるサンリオ</v>
      </c>
      <c r="BP167" s="76">
        <f t="shared" si="365"/>
        <v>700</v>
      </c>
      <c r="BQ167" s="31">
        <f t="shared" si="366"/>
        <v>1400</v>
      </c>
      <c r="BR167" s="32">
        <f t="shared" si="367"/>
        <v>0.21212121212121213</v>
      </c>
      <c r="BS167" s="15" t="s">
        <v>539</v>
      </c>
      <c r="BU167" s="79"/>
      <c r="BV167" s="13"/>
      <c r="BW167" s="13" t="str">
        <f>IF(BV167="","",BV167-BV164)</f>
        <v/>
      </c>
      <c r="BX167" s="13"/>
      <c r="BY167" s="13" t="str">
        <f>IF(BX167="","",BX167-BX164)</f>
        <v/>
      </c>
      <c r="BZ167" s="13"/>
      <c r="CA167" s="13" t="str">
        <f>IF(BZ167="","",BZ164+CB164-BZ167)</f>
        <v/>
      </c>
      <c r="CB167" s="13"/>
      <c r="CC167" s="231" t="str">
        <f t="shared" si="368"/>
        <v/>
      </c>
      <c r="CD167" s="53" t="str">
        <f>IF(BV167="","",CD164)</f>
        <v/>
      </c>
      <c r="CE167" s="13" t="str">
        <f t="shared" si="373"/>
        <v/>
      </c>
      <c r="CF167" s="14" t="str">
        <f t="shared" si="374"/>
        <v/>
      </c>
      <c r="CG167" s="67"/>
      <c r="CH167" s="1"/>
      <c r="CI167" s="79"/>
      <c r="CJ167" s="13"/>
      <c r="CK167" s="13" t="str">
        <f>IF(CJ167="","",CJ167-CJ164)</f>
        <v/>
      </c>
      <c r="CL167" s="13"/>
      <c r="CM167" s="13" t="str">
        <f>IF(CL167="","",CL167-CL164)</f>
        <v/>
      </c>
      <c r="CN167" s="13"/>
      <c r="CO167" s="13" t="str">
        <f>IF(CN167="","",CN164+CP164-CN167)</f>
        <v/>
      </c>
      <c r="CP167" s="13"/>
      <c r="CQ167" s="231" t="str">
        <f t="shared" si="369"/>
        <v/>
      </c>
      <c r="CR167" s="53" t="str">
        <f>IF(CJ167="","",CR164)</f>
        <v/>
      </c>
      <c r="CS167" s="13" t="str">
        <f t="shared" si="375"/>
        <v/>
      </c>
      <c r="CT167" s="14" t="str">
        <f>IF(CS167="","",CS167/(CK167*100))</f>
        <v/>
      </c>
      <c r="CU167" s="15"/>
      <c r="CV167" s="1"/>
      <c r="CW167" s="79"/>
      <c r="CX167" s="13"/>
      <c r="CY167" s="13" t="str">
        <f>IF(CX167="","",CX167-CX164)</f>
        <v/>
      </c>
      <c r="CZ167" s="13"/>
      <c r="DA167" s="13" t="str">
        <f>IF(CZ167="","",CZ167-CZ164)</f>
        <v/>
      </c>
      <c r="DB167" s="13"/>
      <c r="DC167" s="13" t="str">
        <f>IF(DB167="","",DB164+DD164-DB167)</f>
        <v/>
      </c>
      <c r="DD167" s="13"/>
      <c r="DE167" s="231" t="str">
        <f t="shared" si="370"/>
        <v/>
      </c>
      <c r="DF167" s="53" t="str">
        <f>IF(CX167="","",DF164)</f>
        <v/>
      </c>
      <c r="DG167" s="13" t="str">
        <f t="shared" si="376"/>
        <v/>
      </c>
      <c r="DH167" s="14" t="str">
        <f t="shared" si="377"/>
        <v/>
      </c>
      <c r="DI167" s="15"/>
      <c r="DJ167" s="1"/>
      <c r="DK167" s="79"/>
      <c r="DL167" s="13"/>
      <c r="DM167" s="13" t="str">
        <f>IF(DL167="","",DL167-DL164)</f>
        <v/>
      </c>
      <c r="DN167" s="13"/>
      <c r="DO167" s="13" t="str">
        <f>IF(DN167="","",DN167-DN164)</f>
        <v/>
      </c>
      <c r="DP167" s="13"/>
      <c r="DQ167" s="13" t="str">
        <f>IF(DP167="","",DP164+DR164-DP167)</f>
        <v/>
      </c>
      <c r="DR167" s="13"/>
      <c r="DS167" s="231" t="str">
        <f t="shared" si="371"/>
        <v/>
      </c>
      <c r="DT167" s="53" t="str">
        <f>IF(DL167="","",DT164)</f>
        <v/>
      </c>
      <c r="DU167" s="13" t="str">
        <f t="shared" si="378"/>
        <v/>
      </c>
      <c r="DV167" s="14" t="str">
        <f t="shared" si="379"/>
        <v/>
      </c>
      <c r="DW167" s="15"/>
      <c r="DY167" s="79"/>
      <c r="DZ167" s="13"/>
      <c r="EA167" s="13" t="str">
        <f>IF(DZ167="","",DZ167-DZ164)</f>
        <v/>
      </c>
      <c r="EB167" s="13"/>
      <c r="EC167" s="13" t="str">
        <f>IF(EB167="","",EB167-EB164)</f>
        <v/>
      </c>
      <c r="ED167" s="13"/>
      <c r="EE167" s="13" t="str">
        <f>IF(ED167="","",ED164+EF164-ED167)</f>
        <v/>
      </c>
      <c r="EF167" s="13"/>
      <c r="EG167" s="231" t="str">
        <f t="shared" si="372"/>
        <v/>
      </c>
      <c r="EH167" s="53" t="str">
        <f>IF(DZ167="","",EH164)</f>
        <v/>
      </c>
      <c r="EI167" s="13" t="str">
        <f t="shared" si="380"/>
        <v/>
      </c>
      <c r="EJ167" s="14" t="str">
        <f t="shared" si="381"/>
        <v/>
      </c>
      <c r="EK167" s="15"/>
    </row>
    <row r="168" spans="1:141" x14ac:dyDescent="0.2">
      <c r="A168" s="136"/>
      <c r="B168" s="11"/>
      <c r="C168" s="13">
        <v>6754</v>
      </c>
      <c r="D168" s="13">
        <f t="shared" si="382"/>
        <v>32</v>
      </c>
      <c r="E168" s="13">
        <v>416</v>
      </c>
      <c r="F168" s="13">
        <f t="shared" si="383"/>
        <v>1</v>
      </c>
      <c r="G168" s="13">
        <v>33</v>
      </c>
      <c r="H168" s="13">
        <f t="shared" si="384"/>
        <v>1</v>
      </c>
      <c r="I168" s="205">
        <v>0</v>
      </c>
      <c r="J168" s="56" t="str">
        <f t="shared" si="385"/>
        <v>電ブル</v>
      </c>
      <c r="K168" s="54">
        <f t="shared" si="386"/>
        <v>275</v>
      </c>
      <c r="L168" s="13">
        <f t="shared" si="387"/>
        <v>275</v>
      </c>
      <c r="M168" s="14">
        <f t="shared" si="388"/>
        <v>8.59375E-2</v>
      </c>
      <c r="N168" s="15"/>
      <c r="O168" s="2"/>
      <c r="P168" s="79"/>
      <c r="Q168" s="13">
        <v>703</v>
      </c>
      <c r="R168" s="13">
        <f t="shared" si="389"/>
        <v>96</v>
      </c>
      <c r="S168" s="13">
        <v>153</v>
      </c>
      <c r="T168" s="13">
        <f t="shared" si="390"/>
        <v>0</v>
      </c>
      <c r="U168" s="13">
        <v>5</v>
      </c>
      <c r="V168" s="89">
        <f t="shared" si="391"/>
        <v>2</v>
      </c>
      <c r="W168" s="205">
        <v>4</v>
      </c>
      <c r="X168" s="56" t="str">
        <f t="shared" si="392"/>
        <v>たまごっちブロックシール</v>
      </c>
      <c r="Y168" s="54">
        <f t="shared" si="393"/>
        <v>600</v>
      </c>
      <c r="Z168" s="13">
        <f t="shared" si="394"/>
        <v>1200</v>
      </c>
      <c r="AA168" s="14">
        <f t="shared" si="395"/>
        <v>0.125</v>
      </c>
      <c r="AB168" s="15"/>
      <c r="AC168" s="15"/>
      <c r="AD168" s="79"/>
      <c r="AE168" s="13">
        <v>11297</v>
      </c>
      <c r="AF168" s="13">
        <f t="shared" si="396"/>
        <v>44</v>
      </c>
      <c r="AG168" s="13">
        <v>237</v>
      </c>
      <c r="AH168" s="13">
        <f t="shared" si="397"/>
        <v>1</v>
      </c>
      <c r="AI168" s="13">
        <v>12</v>
      </c>
      <c r="AJ168" s="13">
        <f t="shared" si="398"/>
        <v>1</v>
      </c>
      <c r="AK168" s="205">
        <v>0</v>
      </c>
      <c r="AL168" s="56" t="str">
        <f t="shared" si="399"/>
        <v>キティししっぽ付きポーチ</v>
      </c>
      <c r="AM168" s="54">
        <f t="shared" si="400"/>
        <v>760</v>
      </c>
      <c r="AN168" s="13">
        <f t="shared" si="401"/>
        <v>760</v>
      </c>
      <c r="AO168" s="14">
        <f t="shared" si="402"/>
        <v>0.17272727272727273</v>
      </c>
      <c r="AP168" s="15"/>
      <c r="AQ168" s="15"/>
      <c r="AR168" s="79"/>
      <c r="AS168" s="13">
        <v>9082</v>
      </c>
      <c r="AT168" s="13">
        <f t="shared" si="403"/>
        <v>75</v>
      </c>
      <c r="AU168" s="13">
        <v>456</v>
      </c>
      <c r="AV168" s="13">
        <f t="shared" si="404"/>
        <v>3</v>
      </c>
      <c r="AW168" s="13">
        <v>12</v>
      </c>
      <c r="AX168" s="13">
        <f t="shared" si="405"/>
        <v>3</v>
      </c>
      <c r="AY168" s="17">
        <v>0</v>
      </c>
      <c r="AZ168" s="56" t="str">
        <f t="shared" si="406"/>
        <v>液晶ミニカメラ</v>
      </c>
      <c r="BA168" s="54">
        <f t="shared" si="407"/>
        <v>1100</v>
      </c>
      <c r="BB168" s="13">
        <f t="shared" si="408"/>
        <v>3300</v>
      </c>
      <c r="BC168" s="14">
        <f t="shared" si="409"/>
        <v>0.44</v>
      </c>
      <c r="BD168" s="15" t="s">
        <v>536</v>
      </c>
      <c r="BE168" s="2"/>
      <c r="BF168" s="79"/>
      <c r="BG168" s="239" t="s">
        <v>590</v>
      </c>
      <c r="BH168" s="13">
        <v>1961</v>
      </c>
      <c r="BI168" s="13">
        <f t="shared" si="361"/>
        <v>139</v>
      </c>
      <c r="BJ168" s="13">
        <v>12</v>
      </c>
      <c r="BK168" s="13">
        <f t="shared" si="362"/>
        <v>1</v>
      </c>
      <c r="BL168" s="13">
        <v>2</v>
      </c>
      <c r="BM168" s="13">
        <f t="shared" si="363"/>
        <v>1</v>
      </c>
      <c r="BN168" s="17">
        <v>0</v>
      </c>
      <c r="BO168" s="56" t="str">
        <f t="shared" si="364"/>
        <v>ボンボンドロップシール</v>
      </c>
      <c r="BP168" s="54">
        <f t="shared" si="365"/>
        <v>1500</v>
      </c>
      <c r="BQ168" s="13">
        <f t="shared" si="366"/>
        <v>1500</v>
      </c>
      <c r="BR168" s="14">
        <f t="shared" si="367"/>
        <v>0.1079136690647482</v>
      </c>
      <c r="BS168" s="15"/>
      <c r="BU168" s="79"/>
      <c r="BV168" s="13"/>
      <c r="BW168" s="13" t="str">
        <f>IF(BV168="","",BV168-BV166)</f>
        <v/>
      </c>
      <c r="BX168" s="13"/>
      <c r="BY168" s="13" t="str">
        <f>IF(BX168="","",BX168-BX166)</f>
        <v/>
      </c>
      <c r="BZ168" s="13"/>
      <c r="CA168" s="13" t="str">
        <f>IF(BZ168="","",BZ166+CB166-BZ168)</f>
        <v/>
      </c>
      <c r="CB168" s="13"/>
      <c r="CC168" s="231" t="str">
        <f t="shared" si="368"/>
        <v/>
      </c>
      <c r="CD168" s="53" t="str">
        <f>IF(BV168="","",CD166)</f>
        <v/>
      </c>
      <c r="CE168" s="13" t="str">
        <f t="shared" si="373"/>
        <v/>
      </c>
      <c r="CF168" s="14" t="str">
        <f t="shared" si="374"/>
        <v/>
      </c>
      <c r="CG168" s="15"/>
      <c r="CH168" s="1"/>
      <c r="CI168" s="79"/>
      <c r="CJ168" s="13"/>
      <c r="CK168" s="13" t="str">
        <f>IF(CJ168="","",CJ168-CJ166)</f>
        <v/>
      </c>
      <c r="CL168" s="13"/>
      <c r="CM168" s="13" t="str">
        <f>IF(CL168="","",CL168-CL166)</f>
        <v/>
      </c>
      <c r="CN168" s="13"/>
      <c r="CO168" s="13" t="str">
        <f>IF(CN168="","",CN166+CP166-CN168)</f>
        <v/>
      </c>
      <c r="CP168" s="13"/>
      <c r="CQ168" s="231" t="str">
        <f t="shared" si="369"/>
        <v/>
      </c>
      <c r="CR168" s="53" t="str">
        <f>IF(CJ168="","",CR166)</f>
        <v/>
      </c>
      <c r="CS168" s="13" t="str">
        <f t="shared" si="375"/>
        <v/>
      </c>
      <c r="CT168" s="14" t="str">
        <f>IF(CS168="","",CS168/(CK168*100))</f>
        <v/>
      </c>
      <c r="CU168" s="15"/>
      <c r="CV168" s="1"/>
      <c r="CW168" s="79"/>
      <c r="CX168" s="13"/>
      <c r="CY168" s="13" t="str">
        <f>IF(CX168="","",CX168-CX166)</f>
        <v/>
      </c>
      <c r="CZ168" s="13"/>
      <c r="DA168" s="13" t="str">
        <f>IF(CZ168="","",CZ168-CZ166)</f>
        <v/>
      </c>
      <c r="DB168" s="13"/>
      <c r="DC168" s="13" t="str">
        <f>IF(DB168="","",DB166+DD166-DB168)</f>
        <v/>
      </c>
      <c r="DD168" s="13"/>
      <c r="DE168" s="231" t="str">
        <f t="shared" si="370"/>
        <v/>
      </c>
      <c r="DF168" s="53" t="str">
        <f>IF(CX168="","",DF166)</f>
        <v/>
      </c>
      <c r="DG168" s="13" t="str">
        <f t="shared" si="376"/>
        <v/>
      </c>
      <c r="DH168" s="14" t="str">
        <f t="shared" si="377"/>
        <v/>
      </c>
      <c r="DI168" s="15"/>
      <c r="DJ168" s="1"/>
      <c r="DK168" s="79"/>
      <c r="DL168" s="13"/>
      <c r="DM168" s="13" t="str">
        <f>IF(DL168="","",DL168-DL166)</f>
        <v/>
      </c>
      <c r="DN168" s="13"/>
      <c r="DO168" s="13" t="str">
        <f>IF(DN168="","",DN168-DN166)</f>
        <v/>
      </c>
      <c r="DP168" s="13"/>
      <c r="DQ168" s="13" t="str">
        <f>IF(DP168="","",DP166+DR166-DP168)</f>
        <v/>
      </c>
      <c r="DR168" s="13"/>
      <c r="DS168" s="231" t="str">
        <f t="shared" si="371"/>
        <v/>
      </c>
      <c r="DT168" s="53" t="str">
        <f>IF(DL168="","",DT166)</f>
        <v/>
      </c>
      <c r="DU168" s="13" t="str">
        <f t="shared" si="378"/>
        <v/>
      </c>
      <c r="DV168" s="14" t="str">
        <f t="shared" si="379"/>
        <v/>
      </c>
      <c r="DW168" s="15"/>
      <c r="DY168" s="79"/>
      <c r="DZ168" s="13"/>
      <c r="EA168" s="13" t="str">
        <f>IF(DZ168="","",DZ168-DZ166)</f>
        <v/>
      </c>
      <c r="EB168" s="13"/>
      <c r="EC168" s="13" t="str">
        <f>IF(EB168="","",EB168-EB166)</f>
        <v/>
      </c>
      <c r="ED168" s="13"/>
      <c r="EE168" s="13" t="str">
        <f>IF(ED168="","",ED166+EF166-ED168)</f>
        <v/>
      </c>
      <c r="EF168" s="13"/>
      <c r="EG168" s="231" t="str">
        <f t="shared" si="372"/>
        <v/>
      </c>
      <c r="EH168" s="53" t="str">
        <f>IF(DZ168="","",EH166)</f>
        <v/>
      </c>
      <c r="EI168" s="13" t="str">
        <f t="shared" si="380"/>
        <v/>
      </c>
      <c r="EJ168" s="14" t="str">
        <f t="shared" si="381"/>
        <v/>
      </c>
      <c r="EK168" s="15"/>
    </row>
    <row r="169" spans="1:141" ht="15" customHeight="1" x14ac:dyDescent="0.2">
      <c r="A169" s="79"/>
      <c r="B169" s="11"/>
      <c r="C169" s="34">
        <v>12678</v>
      </c>
      <c r="D169" s="13">
        <f t="shared" si="382"/>
        <v>23</v>
      </c>
      <c r="E169" s="34">
        <v>668</v>
      </c>
      <c r="F169" s="13">
        <f t="shared" si="383"/>
        <v>3</v>
      </c>
      <c r="G169" s="34">
        <v>255</v>
      </c>
      <c r="H169" s="13">
        <f t="shared" si="384"/>
        <v>15</v>
      </c>
      <c r="I169" s="214">
        <v>0</v>
      </c>
      <c r="J169" s="56" t="str">
        <f t="shared" si="385"/>
        <v>ブレスレット</v>
      </c>
      <c r="K169" s="13">
        <f t="shared" si="386"/>
        <v>100</v>
      </c>
      <c r="L169" s="13">
        <f t="shared" si="387"/>
        <v>1500</v>
      </c>
      <c r="M169" s="14">
        <f t="shared" si="388"/>
        <v>0.65217391304347827</v>
      </c>
      <c r="N169" s="15"/>
      <c r="O169" s="2"/>
      <c r="P169" s="79"/>
      <c r="Q169" s="34">
        <v>9196</v>
      </c>
      <c r="R169" s="13">
        <f t="shared" si="389"/>
        <v>47</v>
      </c>
      <c r="S169" s="34">
        <v>198</v>
      </c>
      <c r="T169" s="13">
        <f t="shared" si="390"/>
        <v>1</v>
      </c>
      <c r="U169" s="34">
        <v>20</v>
      </c>
      <c r="V169" s="13">
        <f t="shared" si="391"/>
        <v>1</v>
      </c>
      <c r="W169" s="214">
        <v>4</v>
      </c>
      <c r="X169" s="56" t="str">
        <f t="shared" si="392"/>
        <v>たまごっちミニクリップ</v>
      </c>
      <c r="Y169" s="13">
        <f t="shared" si="393"/>
        <v>1100</v>
      </c>
      <c r="Z169" s="13">
        <f t="shared" si="394"/>
        <v>1100</v>
      </c>
      <c r="AA169" s="14">
        <f t="shared" si="395"/>
        <v>0.23404255319148937</v>
      </c>
      <c r="AB169" s="15" t="s">
        <v>540</v>
      </c>
      <c r="AC169" s="15"/>
      <c r="AD169" s="79"/>
      <c r="AE169" s="34">
        <v>13466</v>
      </c>
      <c r="AF169" s="13">
        <f t="shared" si="396"/>
        <v>44</v>
      </c>
      <c r="AG169" s="34">
        <v>365</v>
      </c>
      <c r="AH169" s="13">
        <f t="shared" si="397"/>
        <v>1</v>
      </c>
      <c r="AI169" s="34">
        <v>7</v>
      </c>
      <c r="AJ169" s="13">
        <f t="shared" si="398"/>
        <v>1</v>
      </c>
      <c r="AK169" s="214">
        <v>0</v>
      </c>
      <c r="AL169" s="56" t="str">
        <f t="shared" si="399"/>
        <v>ゲームアーク</v>
      </c>
      <c r="AM169" s="13">
        <f t="shared" si="400"/>
        <v>682</v>
      </c>
      <c r="AN169" s="13">
        <f t="shared" si="401"/>
        <v>682</v>
      </c>
      <c r="AO169" s="14">
        <f t="shared" si="402"/>
        <v>0.155</v>
      </c>
      <c r="AP169" s="15"/>
      <c r="AQ169" s="15"/>
      <c r="AR169" s="79"/>
      <c r="AS169" s="34">
        <v>17109</v>
      </c>
      <c r="AT169" s="13">
        <f t="shared" si="403"/>
        <v>91</v>
      </c>
      <c r="AU169" s="34">
        <v>557</v>
      </c>
      <c r="AV169" s="13">
        <f t="shared" si="404"/>
        <v>1</v>
      </c>
      <c r="AW169" s="34">
        <v>20</v>
      </c>
      <c r="AX169" s="13">
        <f t="shared" si="405"/>
        <v>2</v>
      </c>
      <c r="AY169" s="49">
        <v>4</v>
      </c>
      <c r="AZ169" s="56" t="str">
        <f t="shared" si="406"/>
        <v>たまごっちマスコット</v>
      </c>
      <c r="BA169" s="13">
        <f t="shared" si="407"/>
        <v>1430</v>
      </c>
      <c r="BB169" s="13">
        <f t="shared" si="408"/>
        <v>2860</v>
      </c>
      <c r="BC169" s="14">
        <f t="shared" si="409"/>
        <v>0.31428571428571428</v>
      </c>
      <c r="BD169" s="15"/>
      <c r="BE169" s="2"/>
      <c r="BF169" s="79"/>
      <c r="BG169" s="239" t="s">
        <v>591</v>
      </c>
      <c r="BH169" s="34">
        <v>1713</v>
      </c>
      <c r="BI169" s="13">
        <f t="shared" si="361"/>
        <v>36</v>
      </c>
      <c r="BJ169" s="34">
        <v>16</v>
      </c>
      <c r="BK169" s="13">
        <f t="shared" si="362"/>
        <v>0</v>
      </c>
      <c r="BL169" s="34">
        <v>2</v>
      </c>
      <c r="BM169" s="13">
        <f t="shared" si="363"/>
        <v>0</v>
      </c>
      <c r="BN169" s="49">
        <v>1</v>
      </c>
      <c r="BO169" s="56" t="str">
        <f t="shared" si="364"/>
        <v>うるちゅるサンリオ</v>
      </c>
      <c r="BP169" s="13">
        <f t="shared" si="365"/>
        <v>700</v>
      </c>
      <c r="BQ169" s="13">
        <f t="shared" si="366"/>
        <v>0</v>
      </c>
      <c r="BR169" s="14">
        <f t="shared" si="367"/>
        <v>0</v>
      </c>
      <c r="BS169" s="15"/>
      <c r="BU169" s="79"/>
      <c r="BV169" s="13"/>
      <c r="BW169" s="13" t="str">
        <f>IF(BV169="","",BV169-#REF!)</f>
        <v/>
      </c>
      <c r="BX169" s="13"/>
      <c r="BY169" s="13" t="str">
        <f>IF(BX169="","",BX169-#REF!)</f>
        <v/>
      </c>
      <c r="BZ169" s="13"/>
      <c r="CA169" s="13" t="str">
        <f>IF(BZ169="","",#REF!+#REF!-BZ169)</f>
        <v/>
      </c>
      <c r="CB169" s="13"/>
      <c r="CC169" s="231" t="str">
        <f t="shared" si="368"/>
        <v/>
      </c>
      <c r="CD169" s="53" t="str">
        <f>IF(BV169="","",#REF!)</f>
        <v/>
      </c>
      <c r="CE169" s="13" t="str">
        <f t="shared" si="373"/>
        <v/>
      </c>
      <c r="CF169" s="14" t="str">
        <f t="shared" si="374"/>
        <v/>
      </c>
      <c r="CG169" s="15"/>
      <c r="CH169" s="1"/>
      <c r="CI169" s="79"/>
      <c r="CJ169" s="13"/>
      <c r="CK169" s="13" t="str">
        <f>IF(CJ169="","",CJ169-#REF!)</f>
        <v/>
      </c>
      <c r="CL169" s="13"/>
      <c r="CM169" s="13" t="str">
        <f>IF(CL169="","",CL169-#REF!)</f>
        <v/>
      </c>
      <c r="CN169" s="13"/>
      <c r="CO169" s="13" t="str">
        <f>IF(CN169="","",#REF!+#REF!-CN169)</f>
        <v/>
      </c>
      <c r="CP169" s="13"/>
      <c r="CQ169" s="231" t="str">
        <f t="shared" si="369"/>
        <v/>
      </c>
      <c r="CR169" s="53" t="str">
        <f>IF(CJ169="","",#REF!)</f>
        <v/>
      </c>
      <c r="CS169" s="13" t="str">
        <f t="shared" si="375"/>
        <v/>
      </c>
      <c r="CT169" s="14" t="str">
        <f>IF(CS169="","",CS169/(CK169*100))</f>
        <v/>
      </c>
      <c r="CU169" s="15"/>
      <c r="CV169" s="1"/>
      <c r="CW169" s="79"/>
      <c r="CX169" s="13"/>
      <c r="CY169" s="13" t="str">
        <f>IF(CX169="","",CX169-#REF!)</f>
        <v/>
      </c>
      <c r="CZ169" s="13"/>
      <c r="DA169" s="13" t="str">
        <f>IF(CZ169="","",CZ169-#REF!)</f>
        <v/>
      </c>
      <c r="DB169" s="13"/>
      <c r="DC169" s="13" t="str">
        <f>IF(DB169="","",#REF!+#REF!-DB169)</f>
        <v/>
      </c>
      <c r="DD169" s="13"/>
      <c r="DE169" s="231" t="str">
        <f t="shared" si="370"/>
        <v/>
      </c>
      <c r="DF169" s="53" t="str">
        <f>IF(CX169="","",#REF!)</f>
        <v/>
      </c>
      <c r="DG169" s="13" t="str">
        <f t="shared" si="376"/>
        <v/>
      </c>
      <c r="DH169" s="14" t="str">
        <f t="shared" si="377"/>
        <v/>
      </c>
      <c r="DI169" s="15"/>
      <c r="DJ169" s="1"/>
      <c r="DK169" s="79"/>
      <c r="DL169" s="13"/>
      <c r="DM169" s="13" t="str">
        <f>IF(DL169="","",DL169-#REF!)</f>
        <v/>
      </c>
      <c r="DN169" s="13"/>
      <c r="DO169" s="13" t="str">
        <f>IF(DN169="","",DN169-#REF!)</f>
        <v/>
      </c>
      <c r="DP169" s="13"/>
      <c r="DQ169" s="13" t="str">
        <f>IF(DP169="","",#REF!+#REF!-DP169)</f>
        <v/>
      </c>
      <c r="DR169" s="13"/>
      <c r="DS169" s="231" t="str">
        <f t="shared" si="371"/>
        <v/>
      </c>
      <c r="DT169" s="53" t="str">
        <f>IF(DL169="","",#REF!)</f>
        <v/>
      </c>
      <c r="DU169" s="13" t="str">
        <f t="shared" si="378"/>
        <v/>
      </c>
      <c r="DV169" s="14" t="str">
        <f t="shared" si="379"/>
        <v/>
      </c>
      <c r="DW169" s="15"/>
      <c r="DY169" s="79"/>
      <c r="DZ169" s="13"/>
      <c r="EA169" s="13" t="str">
        <f>IF(DZ169="","",DZ169-#REF!)</f>
        <v/>
      </c>
      <c r="EB169" s="13"/>
      <c r="EC169" s="13" t="str">
        <f>IF(EB169="","",EB169-#REF!)</f>
        <v/>
      </c>
      <c r="ED169" s="13"/>
      <c r="EE169" s="13" t="str">
        <f>IF(ED169="","",#REF!+#REF!-ED169)</f>
        <v/>
      </c>
      <c r="EF169" s="13"/>
      <c r="EG169" s="231" t="str">
        <f t="shared" si="372"/>
        <v/>
      </c>
      <c r="EH169" s="53" t="str">
        <f>IF(DZ169="","",#REF!)</f>
        <v/>
      </c>
      <c r="EI169" s="13" t="str">
        <f t="shared" si="380"/>
        <v/>
      </c>
      <c r="EJ169" s="14" t="str">
        <f t="shared" si="381"/>
        <v/>
      </c>
      <c r="EK169" s="15"/>
    </row>
    <row r="170" spans="1:141" ht="13.5" customHeight="1" thickBot="1" x14ac:dyDescent="0.25">
      <c r="A170" s="26"/>
      <c r="B170" s="46"/>
      <c r="C170" s="27">
        <v>8441</v>
      </c>
      <c r="D170" s="27">
        <f t="shared" si="382"/>
        <v>20</v>
      </c>
      <c r="E170" s="27">
        <v>505</v>
      </c>
      <c r="F170" s="27">
        <f t="shared" si="383"/>
        <v>2</v>
      </c>
      <c r="G170" s="27">
        <v>7</v>
      </c>
      <c r="H170" s="27">
        <f t="shared" si="384"/>
        <v>2</v>
      </c>
      <c r="I170" s="217">
        <v>2</v>
      </c>
      <c r="J170" s="57" t="str">
        <f t="shared" si="385"/>
        <v>シール帳</v>
      </c>
      <c r="K170" s="62">
        <f t="shared" si="386"/>
        <v>330</v>
      </c>
      <c r="L170" s="27">
        <f t="shared" si="387"/>
        <v>660</v>
      </c>
      <c r="M170" s="28">
        <f t="shared" si="388"/>
        <v>0.33</v>
      </c>
      <c r="N170" s="15"/>
      <c r="O170" s="2"/>
      <c r="P170" s="26"/>
      <c r="Q170" s="27">
        <v>13338</v>
      </c>
      <c r="R170" s="27">
        <f t="shared" si="389"/>
        <v>58</v>
      </c>
      <c r="S170" s="27">
        <v>529</v>
      </c>
      <c r="T170" s="27">
        <f t="shared" si="390"/>
        <v>2</v>
      </c>
      <c r="U170" s="27">
        <v>24</v>
      </c>
      <c r="V170" s="27">
        <f t="shared" si="391"/>
        <v>1</v>
      </c>
      <c r="W170" s="217">
        <v>16</v>
      </c>
      <c r="X170" s="57" t="str">
        <f t="shared" si="392"/>
        <v>ボンボンドロップ</v>
      </c>
      <c r="Y170" s="62">
        <f t="shared" si="393"/>
        <v>200</v>
      </c>
      <c r="Z170" s="27">
        <f t="shared" si="394"/>
        <v>200</v>
      </c>
      <c r="AA170" s="28">
        <f t="shared" si="395"/>
        <v>3.4482758620689655E-2</v>
      </c>
      <c r="AB170" s="15"/>
      <c r="AC170" s="15"/>
      <c r="AD170" s="26"/>
      <c r="AE170" s="27">
        <v>13177</v>
      </c>
      <c r="AF170" s="27">
        <f t="shared" si="396"/>
        <v>11</v>
      </c>
      <c r="AG170" s="27">
        <v>327</v>
      </c>
      <c r="AH170" s="27">
        <f t="shared" si="397"/>
        <v>1</v>
      </c>
      <c r="AI170" s="27">
        <v>15</v>
      </c>
      <c r="AJ170" s="27">
        <f t="shared" si="398"/>
        <v>0</v>
      </c>
      <c r="AK170" s="217">
        <v>0</v>
      </c>
      <c r="AL170" s="57" t="str">
        <f t="shared" si="399"/>
        <v>忍者グミ</v>
      </c>
      <c r="AM170" s="62">
        <f t="shared" si="400"/>
        <v>260</v>
      </c>
      <c r="AN170" s="27">
        <f t="shared" si="401"/>
        <v>0</v>
      </c>
      <c r="AO170" s="28">
        <f t="shared" si="402"/>
        <v>0</v>
      </c>
      <c r="AP170" s="15" t="s">
        <v>535</v>
      </c>
      <c r="AQ170" s="15"/>
      <c r="AR170" s="26"/>
      <c r="AS170" s="27">
        <v>16668</v>
      </c>
      <c r="AT170" s="27">
        <f t="shared" si="403"/>
        <v>185</v>
      </c>
      <c r="AU170" s="27">
        <v>487</v>
      </c>
      <c r="AV170" s="27">
        <f t="shared" si="404"/>
        <v>4</v>
      </c>
      <c r="AW170" s="27">
        <v>15</v>
      </c>
      <c r="AX170" s="27">
        <f t="shared" si="405"/>
        <v>2</v>
      </c>
      <c r="AY170" s="47">
        <v>6</v>
      </c>
      <c r="AZ170" s="57" t="str">
        <f t="shared" si="406"/>
        <v>バタースクイーズ</v>
      </c>
      <c r="BA170" s="62">
        <f t="shared" si="407"/>
        <v>400</v>
      </c>
      <c r="BB170" s="27">
        <f t="shared" si="408"/>
        <v>800</v>
      </c>
      <c r="BC170" s="28">
        <f t="shared" si="409"/>
        <v>4.3243243243243246E-2</v>
      </c>
      <c r="BD170" s="15"/>
      <c r="BE170" s="2"/>
      <c r="BF170" s="26"/>
      <c r="BG170" s="238" t="s">
        <v>592</v>
      </c>
      <c r="BH170" s="27">
        <v>1530</v>
      </c>
      <c r="BI170" s="27">
        <f t="shared" si="361"/>
        <v>48</v>
      </c>
      <c r="BJ170" s="27">
        <v>16</v>
      </c>
      <c r="BK170" s="27">
        <f t="shared" si="362"/>
        <v>3</v>
      </c>
      <c r="BL170" s="27">
        <v>0</v>
      </c>
      <c r="BM170" s="27">
        <f t="shared" si="363"/>
        <v>3</v>
      </c>
      <c r="BN170" s="47">
        <v>3</v>
      </c>
      <c r="BO170" s="57" t="str">
        <f t="shared" si="364"/>
        <v>ボンボンドロップシール</v>
      </c>
      <c r="BP170" s="62">
        <f t="shared" si="365"/>
        <v>1500</v>
      </c>
      <c r="BQ170" s="27">
        <f t="shared" si="366"/>
        <v>4500</v>
      </c>
      <c r="BR170" s="28">
        <f t="shared" si="367"/>
        <v>0.9375</v>
      </c>
      <c r="BS170" s="15" t="s">
        <v>538</v>
      </c>
      <c r="BU170" s="79"/>
      <c r="BV170" s="13"/>
      <c r="BW170" s="13" t="str">
        <f>IF(BV170="","",BV170-BV169)</f>
        <v/>
      </c>
      <c r="BX170" s="13"/>
      <c r="BY170" s="13" t="str">
        <f>IF(BX170="","",BX170-BX169)</f>
        <v/>
      </c>
      <c r="BZ170" s="13"/>
      <c r="CA170" s="13" t="str">
        <f>IF(BZ170="","",BZ169+CB169-BZ170)</f>
        <v/>
      </c>
      <c r="CB170" s="13"/>
      <c r="CC170" s="231" t="str">
        <f t="shared" si="368"/>
        <v/>
      </c>
      <c r="CD170" s="53" t="str">
        <f>IF(BV170="","",CD169)</f>
        <v/>
      </c>
      <c r="CE170" s="13" t="str">
        <f t="shared" si="373"/>
        <v/>
      </c>
      <c r="CF170" s="14" t="str">
        <f t="shared" si="374"/>
        <v/>
      </c>
      <c r="CG170" s="15"/>
      <c r="CH170" s="1"/>
      <c r="CI170" s="79"/>
      <c r="CJ170" s="13"/>
      <c r="CK170" s="13" t="str">
        <f>IF(CJ170="","",CJ170-CJ169)</f>
        <v/>
      </c>
      <c r="CL170" s="13"/>
      <c r="CM170" s="13" t="str">
        <f>IF(CL170="","",CL170-CL169)</f>
        <v/>
      </c>
      <c r="CN170" s="13"/>
      <c r="CO170" s="13" t="str">
        <f>IF(CN170="","",CN169+CP169-CN170)</f>
        <v/>
      </c>
      <c r="CP170" s="13"/>
      <c r="CQ170" s="231" t="str">
        <f t="shared" si="369"/>
        <v/>
      </c>
      <c r="CR170" s="53" t="str">
        <f>IF(CJ170="","",CR169)</f>
        <v/>
      </c>
      <c r="CS170" s="13" t="str">
        <f t="shared" si="375"/>
        <v/>
      </c>
      <c r="CT170" s="14" t="str">
        <f>IF(CS170="","",CS170/(CJ170*100))</f>
        <v/>
      </c>
      <c r="CU170" s="15"/>
      <c r="CV170" s="1"/>
      <c r="CW170" s="79"/>
      <c r="CX170" s="13"/>
      <c r="CY170" s="13" t="str">
        <f>IF(CX170="","",CX170-CX169)</f>
        <v/>
      </c>
      <c r="CZ170" s="13"/>
      <c r="DA170" s="13" t="str">
        <f>IF(CZ170="","",CZ170-CZ169)</f>
        <v/>
      </c>
      <c r="DB170" s="13"/>
      <c r="DC170" s="13" t="str">
        <f>IF(DB170="","",DB169+DD169-DB170)</f>
        <v/>
      </c>
      <c r="DD170" s="13"/>
      <c r="DE170" s="231" t="str">
        <f t="shared" si="370"/>
        <v/>
      </c>
      <c r="DF170" s="53" t="str">
        <f>IF(CX170="","",DF169)</f>
        <v/>
      </c>
      <c r="DG170" s="13" t="str">
        <f t="shared" si="376"/>
        <v/>
      </c>
      <c r="DH170" s="14" t="str">
        <f t="shared" si="377"/>
        <v/>
      </c>
      <c r="DI170" s="15"/>
      <c r="DJ170" s="1"/>
      <c r="DK170" s="79"/>
      <c r="DL170" s="13"/>
      <c r="DM170" s="13" t="str">
        <f>IF(DL170="","",DL170-DL169)</f>
        <v/>
      </c>
      <c r="DN170" s="13"/>
      <c r="DO170" s="13" t="str">
        <f>IF(DN170="","",DN170-DN169)</f>
        <v/>
      </c>
      <c r="DP170" s="13"/>
      <c r="DQ170" s="13" t="str">
        <f>IF(DP170="","",DP169+DR169-DP170)</f>
        <v/>
      </c>
      <c r="DR170" s="13"/>
      <c r="DS170" s="231" t="str">
        <f t="shared" si="371"/>
        <v/>
      </c>
      <c r="DT170" s="53" t="str">
        <f>IF(DL170="","",DT169)</f>
        <v/>
      </c>
      <c r="DU170" s="13" t="str">
        <f t="shared" si="378"/>
        <v/>
      </c>
      <c r="DV170" s="14" t="str">
        <f t="shared" si="379"/>
        <v/>
      </c>
      <c r="DW170" s="15"/>
      <c r="DY170" s="79"/>
      <c r="DZ170" s="13"/>
      <c r="EA170" s="13" t="str">
        <f>IF(DZ170="","",DZ170-DZ169)</f>
        <v/>
      </c>
      <c r="EB170" s="13"/>
      <c r="EC170" s="13" t="str">
        <f>IF(EB170="","",EB170-EB169)</f>
        <v/>
      </c>
      <c r="ED170" s="13"/>
      <c r="EE170" s="13" t="str">
        <f>IF(ED170="","",ED169+EF169-ED170)</f>
        <v/>
      </c>
      <c r="EF170" s="13"/>
      <c r="EG170" s="231" t="str">
        <f t="shared" si="372"/>
        <v/>
      </c>
      <c r="EH170" s="53" t="str">
        <f>IF(DZ170="","",EH169)</f>
        <v/>
      </c>
      <c r="EI170" s="13" t="str">
        <f t="shared" si="380"/>
        <v/>
      </c>
      <c r="EJ170" s="14" t="str">
        <f t="shared" si="381"/>
        <v/>
      </c>
      <c r="EK170" s="15"/>
    </row>
    <row r="171" spans="1:141" ht="15" customHeight="1" thickTop="1" x14ac:dyDescent="0.2">
      <c r="A171" s="79">
        <v>46108</v>
      </c>
      <c r="B171" s="151">
        <f>IF(A171="","",SUM(D171:D174)+SUM(R171:R174)+SUM(BI171:BI174)+SUM(AF171:AF174)+SUM(AT171:AT174)+SUM(BW156,CK156,CY156,DM156,EA156))</f>
        <v>4225</v>
      </c>
      <c r="C171" s="53">
        <v>7322</v>
      </c>
      <c r="D171" s="53">
        <f t="shared" si="382"/>
        <v>93</v>
      </c>
      <c r="E171" s="53">
        <v>384</v>
      </c>
      <c r="F171" s="31">
        <f t="shared" si="383"/>
        <v>1</v>
      </c>
      <c r="G171" s="53">
        <v>14</v>
      </c>
      <c r="H171" s="53">
        <f t="shared" si="384"/>
        <v>1</v>
      </c>
      <c r="I171" s="192">
        <v>0</v>
      </c>
      <c r="J171" s="75" t="str">
        <f t="shared" si="385"/>
        <v>ジャグラーボタン</v>
      </c>
      <c r="K171" s="76">
        <f t="shared" si="386"/>
        <v>748</v>
      </c>
      <c r="L171" s="31">
        <f t="shared" si="387"/>
        <v>748</v>
      </c>
      <c r="M171" s="32">
        <f t="shared" si="388"/>
        <v>8.0430107526881719E-2</v>
      </c>
      <c r="N171" s="209" t="s">
        <v>386</v>
      </c>
      <c r="O171" s="2"/>
      <c r="P171" s="79">
        <f>IF($A171="","",$A171)</f>
        <v>46108</v>
      </c>
      <c r="Q171" s="53">
        <v>8142</v>
      </c>
      <c r="R171" s="53">
        <f t="shared" si="389"/>
        <v>141</v>
      </c>
      <c r="S171" s="53">
        <v>251</v>
      </c>
      <c r="T171" s="31">
        <f t="shared" si="390"/>
        <v>0</v>
      </c>
      <c r="U171" s="53">
        <v>12</v>
      </c>
      <c r="V171" s="53">
        <f t="shared" si="391"/>
        <v>1</v>
      </c>
      <c r="W171" s="80">
        <v>0</v>
      </c>
      <c r="X171" s="75" t="str">
        <f t="shared" si="392"/>
        <v>キティボアバンスクリップ</v>
      </c>
      <c r="Y171" s="76">
        <f t="shared" si="393"/>
        <v>1100</v>
      </c>
      <c r="Z171" s="31">
        <f t="shared" si="394"/>
        <v>1100</v>
      </c>
      <c r="AA171" s="32">
        <f t="shared" si="395"/>
        <v>7.8014184397163122E-2</v>
      </c>
      <c r="AB171" s="15"/>
      <c r="AC171" s="15"/>
      <c r="AD171" s="79">
        <f>IF($A171="","",$A171)</f>
        <v>46108</v>
      </c>
      <c r="AE171" s="53">
        <v>11546</v>
      </c>
      <c r="AF171" s="53">
        <f t="shared" si="396"/>
        <v>63</v>
      </c>
      <c r="AG171" s="53">
        <v>264</v>
      </c>
      <c r="AH171" s="31">
        <f t="shared" si="397"/>
        <v>1</v>
      </c>
      <c r="AI171" s="53">
        <v>23</v>
      </c>
      <c r="AJ171" s="53">
        <f t="shared" si="398"/>
        <v>2</v>
      </c>
      <c r="AK171" s="80">
        <v>0</v>
      </c>
      <c r="AL171" s="135" t="str">
        <f t="shared" si="399"/>
        <v>サンリオ型押しケース</v>
      </c>
      <c r="AM171" s="76">
        <f t="shared" si="400"/>
        <v>545</v>
      </c>
      <c r="AN171" s="31">
        <f t="shared" si="401"/>
        <v>1090</v>
      </c>
      <c r="AO171" s="32">
        <f t="shared" si="402"/>
        <v>0.17301587301587301</v>
      </c>
      <c r="AP171" s="15"/>
      <c r="AQ171" s="15"/>
      <c r="AR171" s="79">
        <f>IF($A171="","",$A171)</f>
        <v>46108</v>
      </c>
      <c r="AS171" s="53">
        <v>12417</v>
      </c>
      <c r="AT171" s="53">
        <f t="shared" si="403"/>
        <v>52</v>
      </c>
      <c r="AU171" s="53">
        <v>389</v>
      </c>
      <c r="AV171" s="31">
        <f t="shared" si="404"/>
        <v>2</v>
      </c>
      <c r="AW171" s="53">
        <v>8</v>
      </c>
      <c r="AX171" s="53">
        <f t="shared" si="405"/>
        <v>2</v>
      </c>
      <c r="AY171" s="80">
        <v>5</v>
      </c>
      <c r="AZ171" s="135" t="str">
        <f t="shared" si="406"/>
        <v>サンリオデニムポーチ</v>
      </c>
      <c r="BA171" s="76">
        <f t="shared" si="407"/>
        <v>1100</v>
      </c>
      <c r="BB171" s="31">
        <f t="shared" si="408"/>
        <v>2200</v>
      </c>
      <c r="BC171" s="32">
        <f t="shared" si="409"/>
        <v>0.42307692307692307</v>
      </c>
      <c r="BD171" s="15"/>
      <c r="BE171" s="2"/>
      <c r="BF171" s="79">
        <f>IF($A171="","",$A171)</f>
        <v>46108</v>
      </c>
      <c r="BG171" s="240" t="s">
        <v>589</v>
      </c>
      <c r="BH171" s="53">
        <v>1816</v>
      </c>
      <c r="BI171" s="53">
        <f t="shared" si="361"/>
        <v>315</v>
      </c>
      <c r="BJ171" s="53">
        <v>17</v>
      </c>
      <c r="BK171" s="31">
        <f t="shared" si="362"/>
        <v>3</v>
      </c>
      <c r="BL171" s="53">
        <v>0</v>
      </c>
      <c r="BM171" s="53">
        <f t="shared" si="363"/>
        <v>3</v>
      </c>
      <c r="BN171" s="80">
        <v>3</v>
      </c>
      <c r="BO171" s="75" t="str">
        <f t="shared" si="364"/>
        <v>うるちゅるサンリオ</v>
      </c>
      <c r="BP171" s="76">
        <f t="shared" si="365"/>
        <v>700</v>
      </c>
      <c r="BQ171" s="31">
        <f t="shared" ref="BQ171:BQ178" si="410">IF(BL171="","",BM171*BP171)</f>
        <v>2100</v>
      </c>
      <c r="BR171" s="32">
        <f t="shared" ref="BR171:BR178" si="411">IF(BM171="","",BQ171/(BI171*100))</f>
        <v>6.6666666666666666E-2</v>
      </c>
      <c r="BS171" s="15" t="s">
        <v>544</v>
      </c>
      <c r="BU171" s="79"/>
      <c r="BV171" s="13"/>
      <c r="BW171" s="13" t="str">
        <f>IF(BV171="","",BV171-BV170)</f>
        <v/>
      </c>
      <c r="BX171" s="13"/>
      <c r="BY171" s="13" t="str">
        <f>IF(BX171="","",BX171-BX170)</f>
        <v/>
      </c>
      <c r="BZ171" s="13"/>
      <c r="CA171" s="13" t="str">
        <f>IF(BZ171="","",BZ170+CB170-BZ171)</f>
        <v/>
      </c>
      <c r="CB171" s="13"/>
      <c r="CC171" s="231" t="str">
        <f t="shared" si="368"/>
        <v/>
      </c>
      <c r="CD171" s="53" t="str">
        <f>IF(BV171="","",CD170)</f>
        <v/>
      </c>
      <c r="CE171" s="13" t="str">
        <f t="shared" si="373"/>
        <v/>
      </c>
      <c r="CF171" s="14" t="str">
        <f t="shared" si="374"/>
        <v/>
      </c>
      <c r="CG171" s="15"/>
      <c r="CH171" s="1"/>
      <c r="CI171" s="79"/>
      <c r="CJ171" s="13"/>
      <c r="CK171" s="13" t="str">
        <f>IF(CJ171="","",CJ171-CJ170)</f>
        <v/>
      </c>
      <c r="CL171" s="13"/>
      <c r="CM171" s="13" t="str">
        <f>IF(CL171="","",CL171-CL170)</f>
        <v/>
      </c>
      <c r="CN171" s="13"/>
      <c r="CO171" s="13" t="str">
        <f>IF(CN171="","",CN170+CP170-CN171)</f>
        <v/>
      </c>
      <c r="CP171" s="13"/>
      <c r="CQ171" s="231" t="str">
        <f t="shared" si="369"/>
        <v/>
      </c>
      <c r="CR171" s="53" t="str">
        <f>IF(CJ171="","",CR170)</f>
        <v/>
      </c>
      <c r="CS171" s="13" t="str">
        <f t="shared" si="375"/>
        <v/>
      </c>
      <c r="CT171" s="14" t="str">
        <f>IF(CS171="","",CS171/(CJ171*100))</f>
        <v/>
      </c>
      <c r="CU171" s="15"/>
      <c r="CV171" s="1"/>
      <c r="CW171" s="79"/>
      <c r="CX171" s="13"/>
      <c r="CY171" s="13" t="str">
        <f>IF(CX171="","",CX171-CX170)</f>
        <v/>
      </c>
      <c r="CZ171" s="13"/>
      <c r="DA171" s="13" t="str">
        <f>IF(CZ171="","",CZ171-CZ170)</f>
        <v/>
      </c>
      <c r="DB171" s="13"/>
      <c r="DC171" s="13" t="str">
        <f>IF(DB171="","",DB170+DD170-DB171)</f>
        <v/>
      </c>
      <c r="DD171" s="13"/>
      <c r="DE171" s="231" t="str">
        <f t="shared" si="370"/>
        <v/>
      </c>
      <c r="DF171" s="53" t="str">
        <f>IF(CX171="","",DF170)</f>
        <v/>
      </c>
      <c r="DG171" s="13" t="str">
        <f t="shared" si="376"/>
        <v/>
      </c>
      <c r="DH171" s="14" t="str">
        <f t="shared" si="377"/>
        <v/>
      </c>
      <c r="DI171" s="15"/>
      <c r="DJ171" s="1"/>
      <c r="DK171" s="79"/>
      <c r="DL171" s="13"/>
      <c r="DM171" s="13" t="str">
        <f>IF(DL171="","",DL171-DL170)</f>
        <v/>
      </c>
      <c r="DN171" s="13"/>
      <c r="DO171" s="13" t="str">
        <f>IF(DN171="","",DN171-DN170)</f>
        <v/>
      </c>
      <c r="DP171" s="13"/>
      <c r="DQ171" s="13" t="str">
        <f>IF(DP171="","",DP170+DR170-DP171)</f>
        <v/>
      </c>
      <c r="DR171" s="13"/>
      <c r="DS171" s="231" t="str">
        <f t="shared" si="371"/>
        <v/>
      </c>
      <c r="DT171" s="53" t="str">
        <f>IF(DL171="","",DT170)</f>
        <v/>
      </c>
      <c r="DU171" s="13" t="str">
        <f t="shared" si="378"/>
        <v/>
      </c>
      <c r="DV171" s="14" t="str">
        <f t="shared" si="379"/>
        <v/>
      </c>
      <c r="DW171" s="15"/>
      <c r="DY171" s="79"/>
      <c r="DZ171" s="13"/>
      <c r="EA171" s="13" t="str">
        <f>IF(DZ171="","",DZ171-DZ170)</f>
        <v/>
      </c>
      <c r="EB171" s="13"/>
      <c r="EC171" s="13" t="str">
        <f>IF(EB171="","",EB171-EB170)</f>
        <v/>
      </c>
      <c r="ED171" s="13"/>
      <c r="EE171" s="13" t="str">
        <f>IF(ED171="","",ED170+EF170-ED171)</f>
        <v/>
      </c>
      <c r="EF171" s="13"/>
      <c r="EG171" s="231" t="str">
        <f t="shared" si="372"/>
        <v/>
      </c>
      <c r="EH171" s="53" t="str">
        <f>IF(DZ171="","",EH170)</f>
        <v/>
      </c>
      <c r="EI171" s="13" t="str">
        <f t="shared" si="380"/>
        <v/>
      </c>
      <c r="EJ171" s="14" t="str">
        <f t="shared" si="381"/>
        <v/>
      </c>
      <c r="EK171" s="15"/>
    </row>
    <row r="172" spans="1:141" ht="15" customHeight="1" x14ac:dyDescent="0.2">
      <c r="A172" s="150"/>
      <c r="B172" s="152"/>
      <c r="C172" s="54">
        <v>7056</v>
      </c>
      <c r="D172" s="13">
        <f t="shared" si="382"/>
        <v>302</v>
      </c>
      <c r="E172" s="13">
        <v>420</v>
      </c>
      <c r="F172" s="13">
        <f t="shared" si="383"/>
        <v>4</v>
      </c>
      <c r="G172" s="13">
        <v>19</v>
      </c>
      <c r="H172" s="13">
        <f t="shared" si="384"/>
        <v>14</v>
      </c>
      <c r="I172" s="205">
        <v>20</v>
      </c>
      <c r="J172" s="56" t="str">
        <f t="shared" si="385"/>
        <v>電ブル</v>
      </c>
      <c r="K172" s="54">
        <f t="shared" si="386"/>
        <v>275</v>
      </c>
      <c r="L172" s="13">
        <f t="shared" si="387"/>
        <v>3850</v>
      </c>
      <c r="M172" s="14">
        <f t="shared" si="388"/>
        <v>0.12748344370860928</v>
      </c>
      <c r="N172" s="15"/>
      <c r="O172" s="2"/>
      <c r="P172" s="16"/>
      <c r="Q172" s="54">
        <v>850</v>
      </c>
      <c r="R172" s="13">
        <f t="shared" si="389"/>
        <v>147</v>
      </c>
      <c r="S172" s="13">
        <v>153</v>
      </c>
      <c r="T172" s="13">
        <f t="shared" si="390"/>
        <v>0</v>
      </c>
      <c r="U172" s="13">
        <v>5</v>
      </c>
      <c r="V172" s="89">
        <f t="shared" si="391"/>
        <v>4</v>
      </c>
      <c r="W172" s="17">
        <v>6</v>
      </c>
      <c r="X172" s="56" t="str">
        <f t="shared" si="392"/>
        <v>たまごっちブロックシール</v>
      </c>
      <c r="Y172" s="54">
        <f t="shared" si="393"/>
        <v>600</v>
      </c>
      <c r="Z172" s="13">
        <f t="shared" si="394"/>
        <v>2400</v>
      </c>
      <c r="AA172" s="14">
        <f t="shared" si="395"/>
        <v>0.16326530612244897</v>
      </c>
      <c r="AB172" s="185" t="s">
        <v>529</v>
      </c>
      <c r="AC172" s="15"/>
      <c r="AD172" s="16"/>
      <c r="AE172" s="54">
        <v>11401</v>
      </c>
      <c r="AF172" s="13">
        <f t="shared" si="396"/>
        <v>104</v>
      </c>
      <c r="AG172" s="13">
        <v>238</v>
      </c>
      <c r="AH172" s="13">
        <f t="shared" si="397"/>
        <v>1</v>
      </c>
      <c r="AI172" s="13">
        <v>11</v>
      </c>
      <c r="AJ172" s="13">
        <f t="shared" si="398"/>
        <v>1</v>
      </c>
      <c r="AK172" s="17">
        <v>0</v>
      </c>
      <c r="AL172" s="56" t="str">
        <f t="shared" si="399"/>
        <v>キティししっぽ付きポーチ</v>
      </c>
      <c r="AM172" s="54">
        <f t="shared" si="400"/>
        <v>760</v>
      </c>
      <c r="AN172" s="13">
        <f t="shared" si="401"/>
        <v>760</v>
      </c>
      <c r="AO172" s="14">
        <f t="shared" si="402"/>
        <v>7.3076923076923081E-2</v>
      </c>
      <c r="AP172" s="15"/>
      <c r="AQ172" s="15"/>
      <c r="AR172" s="16"/>
      <c r="AS172" s="54">
        <v>9178</v>
      </c>
      <c r="AT172" s="13">
        <f t="shared" si="403"/>
        <v>96</v>
      </c>
      <c r="AU172" s="13">
        <v>459</v>
      </c>
      <c r="AV172" s="13">
        <f t="shared" si="404"/>
        <v>3</v>
      </c>
      <c r="AW172" s="13">
        <v>11</v>
      </c>
      <c r="AX172" s="13">
        <f t="shared" si="405"/>
        <v>1</v>
      </c>
      <c r="AY172" s="17">
        <v>0</v>
      </c>
      <c r="AZ172" s="56" t="str">
        <f t="shared" si="406"/>
        <v>液晶ミニカメラ</v>
      </c>
      <c r="BA172" s="54">
        <f t="shared" si="407"/>
        <v>1100</v>
      </c>
      <c r="BB172" s="13">
        <f t="shared" si="408"/>
        <v>1100</v>
      </c>
      <c r="BC172" s="14">
        <f t="shared" si="409"/>
        <v>0.11458333333333333</v>
      </c>
      <c r="BD172" s="15"/>
      <c r="BE172" s="2"/>
      <c r="BF172" s="16"/>
      <c r="BG172" s="7" t="s">
        <v>590</v>
      </c>
      <c r="BH172" s="54">
        <v>2189</v>
      </c>
      <c r="BI172" s="13">
        <f t="shared" si="361"/>
        <v>228</v>
      </c>
      <c r="BJ172" s="13">
        <v>14</v>
      </c>
      <c r="BK172" s="13">
        <f t="shared" si="362"/>
        <v>2</v>
      </c>
      <c r="BL172" s="13">
        <v>0</v>
      </c>
      <c r="BM172" s="13">
        <f t="shared" si="363"/>
        <v>2</v>
      </c>
      <c r="BN172" s="17">
        <v>3</v>
      </c>
      <c r="BO172" s="56" t="str">
        <f t="shared" si="364"/>
        <v>ボンボンドロップシール</v>
      </c>
      <c r="BP172" s="54">
        <f t="shared" si="365"/>
        <v>1500</v>
      </c>
      <c r="BQ172" s="13">
        <f t="shared" si="410"/>
        <v>3000</v>
      </c>
      <c r="BR172" s="14">
        <f t="shared" si="411"/>
        <v>0.13157894736842105</v>
      </c>
      <c r="BS172" s="15" t="s">
        <v>546</v>
      </c>
      <c r="BU172" s="16"/>
      <c r="BV172" s="54"/>
      <c r="BW172" s="13" t="str">
        <f>IF(BV172="","",BV172-BV171)</f>
        <v/>
      </c>
      <c r="BX172" s="13"/>
      <c r="BY172" s="13" t="str">
        <f>IF(BX172="","",BX172-BX171)</f>
        <v/>
      </c>
      <c r="BZ172" s="13"/>
      <c r="CA172" s="13" t="str">
        <f>IF(BZ172="","",BZ171+CB171-BZ172)</f>
        <v/>
      </c>
      <c r="CB172" s="13"/>
      <c r="CC172" s="232" t="str">
        <f t="shared" si="368"/>
        <v/>
      </c>
      <c r="CD172" s="13"/>
      <c r="CE172" s="13" t="str">
        <f t="shared" si="373"/>
        <v/>
      </c>
      <c r="CF172" s="14" t="str">
        <f t="shared" si="374"/>
        <v/>
      </c>
      <c r="CG172" s="15"/>
      <c r="CH172" s="1"/>
      <c r="CI172" s="16"/>
      <c r="CJ172" s="54"/>
      <c r="CK172" s="13" t="str">
        <f>IF(CJ172="","",CJ172-CJ171)</f>
        <v/>
      </c>
      <c r="CL172" s="13"/>
      <c r="CM172" s="13" t="str">
        <f>IF(CL172="","",CL172-CL171)</f>
        <v/>
      </c>
      <c r="CN172" s="13"/>
      <c r="CO172" s="13" t="str">
        <f>IF(CN172="","",CN171+CP171-CN172)</f>
        <v/>
      </c>
      <c r="CP172" s="13"/>
      <c r="CQ172" s="232" t="str">
        <f t="shared" si="369"/>
        <v/>
      </c>
      <c r="CR172" s="13"/>
      <c r="CS172" s="13" t="str">
        <f t="shared" si="375"/>
        <v/>
      </c>
      <c r="CT172" s="14" t="str">
        <f t="shared" ref="CT172:CT198" si="412">IF(CS172="","",CS172/(CK172*100))</f>
        <v/>
      </c>
      <c r="CU172" s="15"/>
      <c r="CV172" s="1"/>
      <c r="CW172" s="16"/>
      <c r="CX172" s="54"/>
      <c r="CY172" s="13" t="str">
        <f>IF(CX172="","",CX172-CX171)</f>
        <v/>
      </c>
      <c r="CZ172" s="13"/>
      <c r="DA172" s="13" t="str">
        <f>IF(CZ172="","",CZ172-CZ171)</f>
        <v/>
      </c>
      <c r="DB172" s="13"/>
      <c r="DC172" s="13" t="str">
        <f>IF(DB172="","",DB171+DD171-DB172)</f>
        <v/>
      </c>
      <c r="DD172" s="13"/>
      <c r="DE172" s="232" t="str">
        <f t="shared" si="370"/>
        <v/>
      </c>
      <c r="DF172" s="13"/>
      <c r="DG172" s="13" t="str">
        <f t="shared" si="376"/>
        <v/>
      </c>
      <c r="DH172" s="14" t="str">
        <f t="shared" si="377"/>
        <v/>
      </c>
      <c r="DI172" s="15"/>
      <c r="DJ172" s="1"/>
      <c r="DK172" s="16"/>
      <c r="DL172" s="54"/>
      <c r="DM172" s="13" t="str">
        <f>IF(DL172="","",DL172-DL171)</f>
        <v/>
      </c>
      <c r="DN172" s="13"/>
      <c r="DO172" s="13" t="str">
        <f>IF(DN172="","",DN172-DN171)</f>
        <v/>
      </c>
      <c r="DP172" s="13"/>
      <c r="DQ172" s="13" t="str">
        <f>IF(DP172="","",DP171+DR171-DP172)</f>
        <v/>
      </c>
      <c r="DR172" s="13"/>
      <c r="DS172" s="232" t="str">
        <f t="shared" si="371"/>
        <v/>
      </c>
      <c r="DT172" s="13"/>
      <c r="DU172" s="13" t="str">
        <f t="shared" si="378"/>
        <v/>
      </c>
      <c r="DV172" s="14" t="str">
        <f t="shared" si="379"/>
        <v/>
      </c>
      <c r="DW172" s="15"/>
      <c r="DY172" s="16"/>
      <c r="DZ172" s="54"/>
      <c r="EA172" s="13" t="str">
        <f>IF(DZ172="","",DZ172-DZ171)</f>
        <v/>
      </c>
      <c r="EB172" s="13"/>
      <c r="EC172" s="13" t="str">
        <f>IF(EB172="","",EB172-EB171)</f>
        <v/>
      </c>
      <c r="ED172" s="13"/>
      <c r="EE172" s="13" t="str">
        <f>IF(ED172="","",ED171+EF171-ED172)</f>
        <v/>
      </c>
      <c r="EF172" s="13"/>
      <c r="EG172" s="232" t="str">
        <f t="shared" si="372"/>
        <v/>
      </c>
      <c r="EH172" s="13"/>
      <c r="EI172" s="13" t="str">
        <f t="shared" si="380"/>
        <v/>
      </c>
      <c r="EJ172" s="14" t="str">
        <f t="shared" si="381"/>
        <v/>
      </c>
      <c r="EK172" s="15"/>
    </row>
    <row r="173" spans="1:141" ht="15" customHeight="1" x14ac:dyDescent="0.2">
      <c r="A173" s="16"/>
      <c r="B173" s="74"/>
      <c r="C173" s="34">
        <v>12751</v>
      </c>
      <c r="D173" s="13">
        <f t="shared" si="382"/>
        <v>73</v>
      </c>
      <c r="E173" s="34">
        <v>683</v>
      </c>
      <c r="F173" s="13">
        <f t="shared" si="383"/>
        <v>15</v>
      </c>
      <c r="G173" s="13">
        <v>240</v>
      </c>
      <c r="H173" s="13">
        <f t="shared" si="384"/>
        <v>15</v>
      </c>
      <c r="I173" s="214">
        <v>100</v>
      </c>
      <c r="J173" s="56" t="str">
        <f t="shared" si="385"/>
        <v>ブレスレット</v>
      </c>
      <c r="K173" s="13">
        <f t="shared" si="386"/>
        <v>100</v>
      </c>
      <c r="L173" s="13">
        <f t="shared" si="387"/>
        <v>1500</v>
      </c>
      <c r="M173" s="14">
        <f t="shared" si="388"/>
        <v>0.20547945205479451</v>
      </c>
      <c r="N173" s="15"/>
      <c r="O173" s="2"/>
      <c r="P173" s="16"/>
      <c r="Q173" s="34">
        <v>9421</v>
      </c>
      <c r="R173" s="13">
        <f t="shared" si="389"/>
        <v>225</v>
      </c>
      <c r="S173" s="34">
        <v>200</v>
      </c>
      <c r="T173" s="13">
        <f t="shared" si="390"/>
        <v>2</v>
      </c>
      <c r="U173" s="13">
        <v>21</v>
      </c>
      <c r="V173" s="13">
        <f t="shared" si="391"/>
        <v>3</v>
      </c>
      <c r="W173" s="49">
        <v>14</v>
      </c>
      <c r="X173" s="56" t="str">
        <f t="shared" si="392"/>
        <v>たまごっちミニクリップ</v>
      </c>
      <c r="Y173" s="13">
        <f t="shared" si="393"/>
        <v>1100</v>
      </c>
      <c r="Z173" s="13">
        <f t="shared" si="394"/>
        <v>3300</v>
      </c>
      <c r="AA173" s="14">
        <f t="shared" si="395"/>
        <v>0.14666666666666667</v>
      </c>
      <c r="AB173" s="15"/>
      <c r="AC173" s="15"/>
      <c r="AD173" s="16"/>
      <c r="AE173" s="34">
        <v>13510</v>
      </c>
      <c r="AF173" s="87">
        <f t="shared" si="396"/>
        <v>44</v>
      </c>
      <c r="AG173" s="34">
        <v>366</v>
      </c>
      <c r="AH173" s="13">
        <f t="shared" si="397"/>
        <v>1</v>
      </c>
      <c r="AI173" s="13">
        <v>6</v>
      </c>
      <c r="AJ173" s="13">
        <f t="shared" si="398"/>
        <v>1</v>
      </c>
      <c r="AK173" s="49">
        <v>0</v>
      </c>
      <c r="AL173" s="56" t="str">
        <f t="shared" si="399"/>
        <v>ゲームアーク</v>
      </c>
      <c r="AM173" s="13">
        <f t="shared" si="400"/>
        <v>682</v>
      </c>
      <c r="AN173" s="13">
        <f t="shared" si="401"/>
        <v>682</v>
      </c>
      <c r="AO173" s="14">
        <f t="shared" si="402"/>
        <v>0.155</v>
      </c>
      <c r="AP173" s="15" t="s">
        <v>543</v>
      </c>
      <c r="AQ173" s="15"/>
      <c r="AR173" s="16"/>
      <c r="AS173" s="34">
        <v>17227</v>
      </c>
      <c r="AT173" s="13">
        <f t="shared" si="403"/>
        <v>118</v>
      </c>
      <c r="AU173" s="34">
        <v>560</v>
      </c>
      <c r="AV173" s="13">
        <f t="shared" si="404"/>
        <v>3</v>
      </c>
      <c r="AW173" s="13">
        <v>20</v>
      </c>
      <c r="AX173" s="87">
        <f t="shared" si="405"/>
        <v>4</v>
      </c>
      <c r="AY173" s="49">
        <v>4</v>
      </c>
      <c r="AZ173" s="56" t="str">
        <f t="shared" si="406"/>
        <v>たまごっちマスコット</v>
      </c>
      <c r="BA173" s="13">
        <f t="shared" si="407"/>
        <v>1430</v>
      </c>
      <c r="BB173" s="13">
        <f t="shared" si="408"/>
        <v>5720</v>
      </c>
      <c r="BC173" s="123">
        <f t="shared" si="409"/>
        <v>0.48474576271186443</v>
      </c>
      <c r="BD173" s="15" t="s">
        <v>542</v>
      </c>
      <c r="BE173" s="2"/>
      <c r="BF173" s="16"/>
      <c r="BG173" s="7" t="s">
        <v>591</v>
      </c>
      <c r="BH173" s="34">
        <v>1857</v>
      </c>
      <c r="BI173" s="13">
        <f t="shared" si="361"/>
        <v>144</v>
      </c>
      <c r="BJ173" s="34">
        <v>18</v>
      </c>
      <c r="BK173" s="13">
        <f t="shared" si="362"/>
        <v>2</v>
      </c>
      <c r="BL173" s="13">
        <v>1</v>
      </c>
      <c r="BM173" s="13">
        <f t="shared" si="363"/>
        <v>2</v>
      </c>
      <c r="BN173" s="49">
        <v>2</v>
      </c>
      <c r="BO173" s="56" t="str">
        <f t="shared" si="364"/>
        <v>うるちゅるサンリオ</v>
      </c>
      <c r="BP173" s="13">
        <f t="shared" si="365"/>
        <v>700</v>
      </c>
      <c r="BQ173" s="13">
        <f t="shared" si="410"/>
        <v>1400</v>
      </c>
      <c r="BR173" s="14">
        <f t="shared" si="411"/>
        <v>9.7222222222222224E-2</v>
      </c>
      <c r="BS173" s="15" t="s">
        <v>544</v>
      </c>
      <c r="BU173" s="16"/>
      <c r="BV173" s="54"/>
      <c r="BW173" s="13" t="str">
        <f>IF(BV173="","",BV173-BV172)</f>
        <v/>
      </c>
      <c r="BX173" s="13"/>
      <c r="BY173" s="13" t="str">
        <f>IF(BX173="","",BX173-BX172)</f>
        <v/>
      </c>
      <c r="BZ173" s="13"/>
      <c r="CA173" s="13" t="str">
        <f>IF(BZ173="","",BZ172+CB172-BZ173)</f>
        <v/>
      </c>
      <c r="CB173" s="13"/>
      <c r="CC173" s="232" t="str">
        <f t="shared" si="368"/>
        <v/>
      </c>
      <c r="CD173" s="13"/>
      <c r="CE173" s="13" t="str">
        <f t="shared" si="373"/>
        <v/>
      </c>
      <c r="CF173" s="14" t="str">
        <f t="shared" si="374"/>
        <v/>
      </c>
      <c r="CG173" s="15"/>
      <c r="CH173" s="1"/>
      <c r="CI173" s="16"/>
      <c r="CJ173" s="54"/>
      <c r="CK173" s="13" t="str">
        <f>IF(CJ173="","",CJ173-CJ172)</f>
        <v/>
      </c>
      <c r="CL173" s="13"/>
      <c r="CM173" s="13" t="str">
        <f>IF(CL173="","",CL173-CL172)</f>
        <v/>
      </c>
      <c r="CN173" s="13"/>
      <c r="CO173" s="13" t="str">
        <f>IF(CN173="","",CN172+CP172-CN173)</f>
        <v/>
      </c>
      <c r="CP173" s="13"/>
      <c r="CQ173" s="232" t="str">
        <f t="shared" si="369"/>
        <v/>
      </c>
      <c r="CR173" s="13"/>
      <c r="CS173" s="13" t="str">
        <f t="shared" si="375"/>
        <v/>
      </c>
      <c r="CT173" s="14" t="str">
        <f t="shared" si="412"/>
        <v/>
      </c>
      <c r="CU173" s="15"/>
      <c r="CV173" s="1"/>
      <c r="CW173" s="16"/>
      <c r="CX173" s="54"/>
      <c r="CY173" s="13" t="str">
        <f>IF(CX173="","",CX173-CX172)</f>
        <v/>
      </c>
      <c r="CZ173" s="13"/>
      <c r="DA173" s="13" t="str">
        <f>IF(CZ173="","",CZ173-CZ172)</f>
        <v/>
      </c>
      <c r="DB173" s="13"/>
      <c r="DC173" s="13" t="str">
        <f>IF(DB173="","",DB172+DD172-DB173)</f>
        <v/>
      </c>
      <c r="DD173" s="13"/>
      <c r="DE173" s="232" t="str">
        <f t="shared" si="370"/>
        <v/>
      </c>
      <c r="DF173" s="13"/>
      <c r="DG173" s="13" t="str">
        <f t="shared" si="376"/>
        <v/>
      </c>
      <c r="DH173" s="14" t="str">
        <f t="shared" si="377"/>
        <v/>
      </c>
      <c r="DI173" s="15"/>
      <c r="DJ173" s="1"/>
      <c r="DK173" s="16"/>
      <c r="DL173" s="54"/>
      <c r="DM173" s="13" t="str">
        <f>IF(DL173="","",DL173-DL172)</f>
        <v/>
      </c>
      <c r="DN173" s="13"/>
      <c r="DO173" s="13" t="str">
        <f>IF(DN173="","",DN173-DN172)</f>
        <v/>
      </c>
      <c r="DP173" s="13"/>
      <c r="DQ173" s="13" t="str">
        <f>IF(DP173="","",DP172+DR172-DP173)</f>
        <v/>
      </c>
      <c r="DR173" s="13"/>
      <c r="DS173" s="232" t="str">
        <f t="shared" si="371"/>
        <v/>
      </c>
      <c r="DT173" s="13"/>
      <c r="DU173" s="13" t="str">
        <f t="shared" si="378"/>
        <v/>
      </c>
      <c r="DV173" s="14" t="str">
        <f t="shared" si="379"/>
        <v/>
      </c>
      <c r="DW173" s="15"/>
      <c r="DY173" s="16"/>
      <c r="DZ173" s="54"/>
      <c r="EA173" s="13" t="str">
        <f>IF(DZ173="","",DZ173-DZ172)</f>
        <v/>
      </c>
      <c r="EB173" s="13"/>
      <c r="EC173" s="13" t="str">
        <f>IF(EB173="","",EB173-EB172)</f>
        <v/>
      </c>
      <c r="ED173" s="13"/>
      <c r="EE173" s="13" t="str">
        <f>IF(ED173="","",ED172+EF172-ED173)</f>
        <v/>
      </c>
      <c r="EF173" s="13"/>
      <c r="EG173" s="232" t="str">
        <f t="shared" si="372"/>
        <v/>
      </c>
      <c r="EH173" s="13"/>
      <c r="EI173" s="13" t="str">
        <f t="shared" si="380"/>
        <v/>
      </c>
      <c r="EJ173" s="14" t="str">
        <f t="shared" si="381"/>
        <v/>
      </c>
      <c r="EK173" s="15"/>
    </row>
    <row r="174" spans="1:141" ht="15" customHeight="1" thickBot="1" x14ac:dyDescent="0.25">
      <c r="A174" s="26"/>
      <c r="B174" s="46"/>
      <c r="C174" s="27">
        <v>8472</v>
      </c>
      <c r="D174" s="88">
        <f t="shared" si="382"/>
        <v>31</v>
      </c>
      <c r="E174" s="27">
        <v>507</v>
      </c>
      <c r="F174" s="27">
        <f t="shared" si="383"/>
        <v>2</v>
      </c>
      <c r="G174" s="27">
        <v>7</v>
      </c>
      <c r="H174" s="27">
        <f t="shared" si="384"/>
        <v>2</v>
      </c>
      <c r="I174" s="217">
        <v>0</v>
      </c>
      <c r="J174" s="108" t="str">
        <f t="shared" si="385"/>
        <v>シール帳</v>
      </c>
      <c r="K174" s="62">
        <f t="shared" si="386"/>
        <v>330</v>
      </c>
      <c r="L174" s="27">
        <f t="shared" si="387"/>
        <v>660</v>
      </c>
      <c r="M174" s="28">
        <f t="shared" si="388"/>
        <v>0.2129032258064516</v>
      </c>
      <c r="N174" s="15"/>
      <c r="O174" s="2"/>
      <c r="P174" s="26"/>
      <c r="Q174" s="27">
        <v>13523</v>
      </c>
      <c r="R174" s="27">
        <f t="shared" si="389"/>
        <v>185</v>
      </c>
      <c r="S174" s="27">
        <v>547</v>
      </c>
      <c r="T174" s="27">
        <f t="shared" si="390"/>
        <v>18</v>
      </c>
      <c r="U174" s="27">
        <v>22</v>
      </c>
      <c r="V174" s="27">
        <f t="shared" si="391"/>
        <v>18</v>
      </c>
      <c r="W174" s="47">
        <v>20</v>
      </c>
      <c r="X174" s="57" t="str">
        <f t="shared" si="392"/>
        <v>ボンボンドロップ</v>
      </c>
      <c r="Y174" s="62">
        <f t="shared" si="393"/>
        <v>200</v>
      </c>
      <c r="Z174" s="27">
        <f t="shared" si="394"/>
        <v>3600</v>
      </c>
      <c r="AA174" s="28">
        <f t="shared" si="395"/>
        <v>0.19459459459459461</v>
      </c>
      <c r="AB174" s="15"/>
      <c r="AC174" s="15"/>
      <c r="AD174" s="26"/>
      <c r="AE174" s="27">
        <v>13197</v>
      </c>
      <c r="AF174" s="88">
        <f t="shared" si="396"/>
        <v>20</v>
      </c>
      <c r="AG174" s="27">
        <v>332</v>
      </c>
      <c r="AH174" s="27">
        <f t="shared" si="397"/>
        <v>5</v>
      </c>
      <c r="AI174" s="27">
        <v>9</v>
      </c>
      <c r="AJ174" s="27">
        <f t="shared" si="398"/>
        <v>6</v>
      </c>
      <c r="AK174" s="47">
        <v>6</v>
      </c>
      <c r="AL174" s="57" t="str">
        <f t="shared" si="399"/>
        <v>忍者グミ</v>
      </c>
      <c r="AM174" s="62">
        <f t="shared" si="400"/>
        <v>260</v>
      </c>
      <c r="AN174" s="27">
        <f t="shared" si="401"/>
        <v>1560</v>
      </c>
      <c r="AO174" s="28">
        <f t="shared" si="402"/>
        <v>0.78</v>
      </c>
      <c r="AP174" s="15" t="s">
        <v>541</v>
      </c>
      <c r="AQ174" s="15"/>
      <c r="AR174" s="26"/>
      <c r="AS174" s="27">
        <v>16973</v>
      </c>
      <c r="AT174" s="27">
        <f t="shared" si="403"/>
        <v>305</v>
      </c>
      <c r="AU174" s="27">
        <v>490</v>
      </c>
      <c r="AV174" s="27">
        <f t="shared" si="404"/>
        <v>3</v>
      </c>
      <c r="AW174" s="27">
        <v>17</v>
      </c>
      <c r="AX174" s="27">
        <f t="shared" si="405"/>
        <v>4</v>
      </c>
      <c r="AY174" s="47">
        <v>4</v>
      </c>
      <c r="AZ174" s="57" t="str">
        <f t="shared" si="406"/>
        <v>バタースクイーズ</v>
      </c>
      <c r="BA174" s="62">
        <f t="shared" si="407"/>
        <v>400</v>
      </c>
      <c r="BB174" s="27">
        <f t="shared" si="408"/>
        <v>1600</v>
      </c>
      <c r="BC174" s="28">
        <f t="shared" si="409"/>
        <v>5.2459016393442623E-2</v>
      </c>
      <c r="BD174" s="15"/>
      <c r="BE174" s="2"/>
      <c r="BF174" s="26"/>
      <c r="BG174" s="241" t="s">
        <v>592</v>
      </c>
      <c r="BH174" s="27">
        <v>1579</v>
      </c>
      <c r="BI174" s="88">
        <f t="shared" si="361"/>
        <v>49</v>
      </c>
      <c r="BJ174" s="27">
        <v>17</v>
      </c>
      <c r="BK174" s="27">
        <f t="shared" si="362"/>
        <v>1</v>
      </c>
      <c r="BL174" s="27">
        <v>2</v>
      </c>
      <c r="BM174" s="27">
        <f t="shared" si="363"/>
        <v>1</v>
      </c>
      <c r="BN174" s="47">
        <v>1</v>
      </c>
      <c r="BO174" s="57" t="str">
        <f>IF(BH174="","",BO170)</f>
        <v>ボンボンドロップシール</v>
      </c>
      <c r="BP174" s="62">
        <f t="shared" si="365"/>
        <v>1500</v>
      </c>
      <c r="BQ174" s="27">
        <f t="shared" si="410"/>
        <v>1500</v>
      </c>
      <c r="BR174" s="28">
        <f t="shared" si="411"/>
        <v>0.30612244897959184</v>
      </c>
      <c r="BS174" s="15" t="s">
        <v>545</v>
      </c>
      <c r="BU174" s="16"/>
      <c r="BV174" s="54"/>
      <c r="BW174" s="13" t="str">
        <f>IF(BV174="","",BV174-BV173)</f>
        <v/>
      </c>
      <c r="BX174" s="13"/>
      <c r="BY174" s="13"/>
      <c r="BZ174" s="13"/>
      <c r="CA174" s="13" t="str">
        <f>IF(BZ174="","",BZ173+CB173-BZ174)</f>
        <v/>
      </c>
      <c r="CB174" s="13"/>
      <c r="CC174" s="232" t="str">
        <f t="shared" si="368"/>
        <v/>
      </c>
      <c r="CD174" s="13"/>
      <c r="CE174" s="13" t="str">
        <f t="shared" si="373"/>
        <v/>
      </c>
      <c r="CF174" s="14" t="str">
        <f t="shared" si="374"/>
        <v/>
      </c>
      <c r="CG174" s="15"/>
      <c r="CH174" s="1"/>
      <c r="CI174" s="16"/>
      <c r="CJ174" s="54"/>
      <c r="CK174" s="13" t="str">
        <f>IF(CJ174="","",CJ174-CJ173)</f>
        <v/>
      </c>
      <c r="CL174" s="13"/>
      <c r="CM174" s="13"/>
      <c r="CN174" s="13"/>
      <c r="CO174" s="13" t="str">
        <f>IF(CN174="","",CN173+CP173-CN174)</f>
        <v/>
      </c>
      <c r="CP174" s="13"/>
      <c r="CQ174" s="232" t="str">
        <f t="shared" si="369"/>
        <v/>
      </c>
      <c r="CR174" s="13"/>
      <c r="CS174" s="13" t="str">
        <f t="shared" si="375"/>
        <v/>
      </c>
      <c r="CT174" s="14" t="str">
        <f t="shared" si="412"/>
        <v/>
      </c>
      <c r="CU174" s="15"/>
      <c r="CV174" s="1"/>
      <c r="CW174" s="16"/>
      <c r="CX174" s="54"/>
      <c r="CY174" s="13" t="str">
        <f>IF(CX174="","",CX174-CX173)</f>
        <v/>
      </c>
      <c r="CZ174" s="13"/>
      <c r="DA174" s="13"/>
      <c r="DB174" s="13"/>
      <c r="DC174" s="13" t="str">
        <f>IF(DB174="","",DB173+DD173-DB174)</f>
        <v/>
      </c>
      <c r="DD174" s="13"/>
      <c r="DE174" s="232" t="str">
        <f t="shared" si="370"/>
        <v/>
      </c>
      <c r="DF174" s="13"/>
      <c r="DG174" s="13" t="str">
        <f t="shared" si="376"/>
        <v/>
      </c>
      <c r="DH174" s="14" t="str">
        <f t="shared" si="377"/>
        <v/>
      </c>
      <c r="DI174" s="15"/>
      <c r="DJ174" s="1"/>
      <c r="DK174" s="16"/>
      <c r="DL174" s="54"/>
      <c r="DM174" s="13" t="str">
        <f>IF(DL174="","",DL174-DL173)</f>
        <v/>
      </c>
      <c r="DN174" s="13"/>
      <c r="DO174" s="13"/>
      <c r="DP174" s="13"/>
      <c r="DQ174" s="13" t="str">
        <f>IF(DP174="","",DP173+DR173-DP174)</f>
        <v/>
      </c>
      <c r="DR174" s="13"/>
      <c r="DS174" s="232" t="str">
        <f t="shared" si="371"/>
        <v/>
      </c>
      <c r="DT174" s="13"/>
      <c r="DU174" s="13" t="str">
        <f t="shared" si="378"/>
        <v/>
      </c>
      <c r="DV174" s="14" t="str">
        <f t="shared" si="379"/>
        <v/>
      </c>
      <c r="DW174" s="15"/>
      <c r="DY174" s="16"/>
      <c r="DZ174" s="54"/>
      <c r="EA174" s="13" t="str">
        <f>IF(DZ174="","",DZ174-DZ173)</f>
        <v/>
      </c>
      <c r="EB174" s="13"/>
      <c r="EC174" s="13"/>
      <c r="ED174" s="13"/>
      <c r="EE174" s="13" t="str">
        <f>IF(ED174="","",ED173+EF173-ED174)</f>
        <v/>
      </c>
      <c r="EF174" s="13"/>
      <c r="EG174" s="232" t="str">
        <f t="shared" si="372"/>
        <v/>
      </c>
      <c r="EH174" s="13"/>
      <c r="EI174" s="13" t="str">
        <f t="shared" si="380"/>
        <v/>
      </c>
      <c r="EJ174" s="14" t="str">
        <f t="shared" si="381"/>
        <v/>
      </c>
      <c r="EK174" s="15"/>
    </row>
    <row r="175" spans="1:141" ht="15" customHeight="1" thickTop="1" x14ac:dyDescent="0.2">
      <c r="A175" s="79">
        <v>46111</v>
      </c>
      <c r="B175" s="74">
        <f>IF(A175="","",SUM(D175:D178)+SUM(R175:R178)+SUM(BI175:BI178)+SUM(AF175:AF178)+SUM(AT175:AT178)+SUM(BW157,CK157,CY157,DM157))</f>
        <v>4041</v>
      </c>
      <c r="C175" s="13">
        <v>7381</v>
      </c>
      <c r="D175" s="53">
        <f t="shared" si="382"/>
        <v>59</v>
      </c>
      <c r="E175" s="13">
        <v>385</v>
      </c>
      <c r="F175" s="31">
        <f t="shared" si="383"/>
        <v>1</v>
      </c>
      <c r="G175" s="13">
        <v>13</v>
      </c>
      <c r="H175" s="53">
        <f t="shared" si="384"/>
        <v>1</v>
      </c>
      <c r="I175" s="17">
        <v>8</v>
      </c>
      <c r="J175" s="75" t="str">
        <f t="shared" si="385"/>
        <v>ジャグラーボタン</v>
      </c>
      <c r="K175" s="76">
        <f t="shared" si="386"/>
        <v>748</v>
      </c>
      <c r="L175" s="31">
        <f t="shared" si="387"/>
        <v>748</v>
      </c>
      <c r="M175" s="32">
        <f t="shared" si="388"/>
        <v>0.12677966101694915</v>
      </c>
      <c r="N175" s="15"/>
      <c r="O175" s="2"/>
      <c r="P175" s="79">
        <f>IF($A175="","",$A175)</f>
        <v>46111</v>
      </c>
      <c r="Q175" s="13">
        <v>8269</v>
      </c>
      <c r="R175" s="53">
        <f t="shared" si="389"/>
        <v>127</v>
      </c>
      <c r="S175" s="13">
        <v>253</v>
      </c>
      <c r="T175" s="31">
        <f t="shared" si="390"/>
        <v>2</v>
      </c>
      <c r="U175" s="13">
        <v>9</v>
      </c>
      <c r="V175" s="53">
        <f t="shared" si="391"/>
        <v>3</v>
      </c>
      <c r="W175" s="17">
        <v>4</v>
      </c>
      <c r="X175" s="75" t="str">
        <f t="shared" si="392"/>
        <v>キティボアバンスクリップ</v>
      </c>
      <c r="Y175" s="76">
        <f t="shared" si="393"/>
        <v>1100</v>
      </c>
      <c r="Z175" s="31">
        <f t="shared" si="394"/>
        <v>3300</v>
      </c>
      <c r="AA175" s="32">
        <f t="shared" si="395"/>
        <v>0.25984251968503935</v>
      </c>
      <c r="AB175" s="15"/>
      <c r="AC175" s="15"/>
      <c r="AD175" s="79">
        <f>IF($A175="","",$A175)</f>
        <v>46111</v>
      </c>
      <c r="AE175" s="13">
        <v>11569</v>
      </c>
      <c r="AF175" s="127">
        <f t="shared" si="396"/>
        <v>23</v>
      </c>
      <c r="AG175" s="13">
        <v>268</v>
      </c>
      <c r="AH175" s="31">
        <f t="shared" si="397"/>
        <v>4</v>
      </c>
      <c r="AI175" s="13">
        <v>19</v>
      </c>
      <c r="AJ175" s="53">
        <f t="shared" si="398"/>
        <v>4</v>
      </c>
      <c r="AK175" s="192">
        <v>-11</v>
      </c>
      <c r="AL175" s="75" t="str">
        <f t="shared" si="399"/>
        <v>サンリオ型押しケース</v>
      </c>
      <c r="AM175" s="76">
        <f t="shared" si="400"/>
        <v>545</v>
      </c>
      <c r="AN175" s="31">
        <f t="shared" si="401"/>
        <v>2180</v>
      </c>
      <c r="AO175" s="32">
        <f t="shared" si="402"/>
        <v>0.94782608695652171</v>
      </c>
      <c r="AP175" s="15" t="s">
        <v>558</v>
      </c>
      <c r="AQ175" s="15"/>
      <c r="AR175" s="79">
        <f>IF($A175="","",$A175)</f>
        <v>46111</v>
      </c>
      <c r="AS175" s="13">
        <v>12468</v>
      </c>
      <c r="AT175" s="53">
        <f t="shared" si="403"/>
        <v>51</v>
      </c>
      <c r="AU175" s="13">
        <v>390</v>
      </c>
      <c r="AV175" s="31">
        <f t="shared" si="404"/>
        <v>1</v>
      </c>
      <c r="AW175" s="13">
        <v>12</v>
      </c>
      <c r="AX175" s="53">
        <f t="shared" si="405"/>
        <v>1</v>
      </c>
      <c r="AY175" s="17">
        <v>0</v>
      </c>
      <c r="AZ175" s="135" t="str">
        <f t="shared" si="406"/>
        <v>サンリオデニムポーチ</v>
      </c>
      <c r="BA175" s="76">
        <f t="shared" si="407"/>
        <v>1100</v>
      </c>
      <c r="BB175" s="31">
        <f t="shared" si="408"/>
        <v>1100</v>
      </c>
      <c r="BC175" s="32">
        <f t="shared" si="409"/>
        <v>0.21568627450980393</v>
      </c>
      <c r="BD175" s="15" t="s">
        <v>559</v>
      </c>
      <c r="BE175" s="2"/>
      <c r="BF175" s="79">
        <f>IF($A175="","",$A175)</f>
        <v>46111</v>
      </c>
      <c r="BG175" s="239" t="s">
        <v>589</v>
      </c>
      <c r="BH175" s="13">
        <v>1963</v>
      </c>
      <c r="BI175" s="53">
        <f t="shared" si="361"/>
        <v>147</v>
      </c>
      <c r="BJ175" s="13">
        <v>20</v>
      </c>
      <c r="BK175" s="31">
        <f t="shared" si="362"/>
        <v>3</v>
      </c>
      <c r="BL175" s="13">
        <v>0</v>
      </c>
      <c r="BM175" s="53">
        <f t="shared" ref="BM175:BM206" si="413">IF(BL175="","",BL171+BN171-BL175)</f>
        <v>3</v>
      </c>
      <c r="BN175" s="17">
        <v>3</v>
      </c>
      <c r="BO175" s="75" t="s">
        <v>544</v>
      </c>
      <c r="BP175" s="76">
        <f t="shared" si="365"/>
        <v>700</v>
      </c>
      <c r="BQ175" s="31">
        <f t="shared" si="410"/>
        <v>2100</v>
      </c>
      <c r="BR175" s="32">
        <f t="shared" si="411"/>
        <v>0.14285714285714285</v>
      </c>
      <c r="BS175" s="15"/>
      <c r="BU175" s="16"/>
      <c r="BV175" s="13"/>
      <c r="BW175" s="13" t="str">
        <f>IF(BV175="","",BV175-BV176)</f>
        <v/>
      </c>
      <c r="BX175" s="13"/>
      <c r="BY175" s="13" t="str">
        <f>IF(BX175="","",BX175-BX176)</f>
        <v/>
      </c>
      <c r="BZ175" s="13"/>
      <c r="CA175" s="13" t="str">
        <f>IF(BZ175="","",BZ176+CB176-BZ175)</f>
        <v/>
      </c>
      <c r="CB175" s="13"/>
      <c r="CC175" s="13"/>
      <c r="CD175" s="13"/>
      <c r="CE175" s="13" t="str">
        <f t="shared" si="373"/>
        <v/>
      </c>
      <c r="CF175" s="14" t="str">
        <f t="shared" si="374"/>
        <v/>
      </c>
      <c r="CG175" s="15"/>
      <c r="CH175" s="1"/>
      <c r="CI175" s="16"/>
      <c r="CJ175" s="13"/>
      <c r="CK175" s="13" t="str">
        <f>IF(CJ175="","",CJ175-CJ176)</f>
        <v/>
      </c>
      <c r="CL175" s="13"/>
      <c r="CM175" s="13" t="str">
        <f>IF(CL175="","",CL175-CL176)</f>
        <v/>
      </c>
      <c r="CN175" s="13"/>
      <c r="CO175" s="13" t="str">
        <f>IF(CN175="","",CN176+CP176-CN175)</f>
        <v/>
      </c>
      <c r="CP175" s="13"/>
      <c r="CQ175" s="13"/>
      <c r="CR175" s="13"/>
      <c r="CS175" s="13" t="str">
        <f t="shared" si="375"/>
        <v/>
      </c>
      <c r="CT175" s="14" t="str">
        <f t="shared" si="412"/>
        <v/>
      </c>
      <c r="CU175" s="15"/>
      <c r="CV175" s="1"/>
      <c r="CW175" s="16"/>
      <c r="CX175" s="13"/>
      <c r="CY175" s="13" t="str">
        <f>IF(CX175="","",CX175-CX176)</f>
        <v/>
      </c>
      <c r="CZ175" s="13"/>
      <c r="DA175" s="13" t="str">
        <f>IF(CZ175="","",CZ175-CZ176)</f>
        <v/>
      </c>
      <c r="DB175" s="13"/>
      <c r="DC175" s="13" t="str">
        <f>IF(DB175="","",DB176+DD176-DB175)</f>
        <v/>
      </c>
      <c r="DD175" s="13"/>
      <c r="DE175" s="13"/>
      <c r="DF175" s="13"/>
      <c r="DG175" s="13" t="str">
        <f t="shared" si="376"/>
        <v/>
      </c>
      <c r="DH175" s="14" t="str">
        <f t="shared" si="377"/>
        <v/>
      </c>
      <c r="DI175" s="15"/>
      <c r="DJ175" s="1"/>
      <c r="DK175" s="16"/>
      <c r="DL175" s="13"/>
      <c r="DM175" s="13" t="str">
        <f>IF(DL175="","",DL175-DL176)</f>
        <v/>
      </c>
      <c r="DN175" s="13"/>
      <c r="DO175" s="13" t="str">
        <f>IF(DN175="","",DN175-DN176)</f>
        <v/>
      </c>
      <c r="DP175" s="13"/>
      <c r="DQ175" s="13" t="str">
        <f>IF(DP175="","",DP176+DR176-DP175)</f>
        <v/>
      </c>
      <c r="DR175" s="13"/>
      <c r="DS175" s="13"/>
      <c r="DT175" s="13"/>
      <c r="DU175" s="13" t="str">
        <f t="shared" si="378"/>
        <v/>
      </c>
      <c r="DV175" s="14" t="str">
        <f t="shared" si="379"/>
        <v/>
      </c>
      <c r="DW175" s="15"/>
      <c r="DY175" s="16"/>
      <c r="DZ175" s="13"/>
      <c r="EA175" s="13" t="str">
        <f>IF(DZ175="","",DZ175-DZ176)</f>
        <v/>
      </c>
      <c r="EB175" s="13"/>
      <c r="EC175" s="13" t="str">
        <f>IF(EB175="","",EB175-EB176)</f>
        <v/>
      </c>
      <c r="ED175" s="13"/>
      <c r="EE175" s="13" t="str">
        <f>IF(ED175="","",ED176+EF176-ED175)</f>
        <v/>
      </c>
      <c r="EF175" s="13"/>
      <c r="EG175" s="13"/>
      <c r="EH175" s="13"/>
      <c r="EI175" s="13" t="str">
        <f t="shared" si="380"/>
        <v/>
      </c>
      <c r="EJ175" s="14" t="str">
        <f t="shared" si="381"/>
        <v/>
      </c>
      <c r="EK175" s="15"/>
    </row>
    <row r="176" spans="1:141" ht="15" customHeight="1" x14ac:dyDescent="0.2">
      <c r="A176" s="79"/>
      <c r="B176" s="11"/>
      <c r="C176" s="53">
        <v>7125</v>
      </c>
      <c r="D176" s="13">
        <f t="shared" si="382"/>
        <v>69</v>
      </c>
      <c r="E176" s="53">
        <v>423</v>
      </c>
      <c r="F176" s="13">
        <f t="shared" si="383"/>
        <v>3</v>
      </c>
      <c r="G176" s="13">
        <v>35</v>
      </c>
      <c r="H176" s="13">
        <f t="shared" si="384"/>
        <v>4</v>
      </c>
      <c r="I176" s="17">
        <v>0</v>
      </c>
      <c r="J176" s="56" t="str">
        <f t="shared" si="385"/>
        <v>電ブル</v>
      </c>
      <c r="K176" s="54">
        <f t="shared" si="386"/>
        <v>275</v>
      </c>
      <c r="L176" s="13">
        <f t="shared" si="387"/>
        <v>1100</v>
      </c>
      <c r="M176" s="14">
        <f t="shared" si="388"/>
        <v>0.15942028985507245</v>
      </c>
      <c r="N176" s="15"/>
      <c r="O176" s="2"/>
      <c r="P176" s="79" t="str">
        <f>IF(A176="","",A176)</f>
        <v/>
      </c>
      <c r="Q176" s="53">
        <v>1128</v>
      </c>
      <c r="R176" s="13">
        <f t="shared" si="389"/>
        <v>278</v>
      </c>
      <c r="S176" s="53">
        <v>156</v>
      </c>
      <c r="T176" s="13">
        <f t="shared" si="390"/>
        <v>3</v>
      </c>
      <c r="U176" s="13">
        <v>4</v>
      </c>
      <c r="V176" s="89">
        <f t="shared" si="391"/>
        <v>7</v>
      </c>
      <c r="W176" s="17">
        <v>8</v>
      </c>
      <c r="X176" s="56" t="str">
        <f t="shared" si="392"/>
        <v>たまごっちブロックシール</v>
      </c>
      <c r="Y176" s="54">
        <f t="shared" si="393"/>
        <v>600</v>
      </c>
      <c r="Z176" s="13">
        <f t="shared" si="394"/>
        <v>4200</v>
      </c>
      <c r="AA176" s="14">
        <f t="shared" si="395"/>
        <v>0.15107913669064749</v>
      </c>
      <c r="AB176" s="15"/>
      <c r="AC176" s="15"/>
      <c r="AD176" s="79" t="str">
        <f>IF(O176="","",O176)</f>
        <v/>
      </c>
      <c r="AE176" s="53">
        <v>11481</v>
      </c>
      <c r="AF176" s="13">
        <f t="shared" si="396"/>
        <v>80</v>
      </c>
      <c r="AG176" s="53">
        <v>240</v>
      </c>
      <c r="AH176" s="13">
        <f t="shared" si="397"/>
        <v>2</v>
      </c>
      <c r="AI176" s="13">
        <v>9</v>
      </c>
      <c r="AJ176" s="13">
        <f t="shared" si="398"/>
        <v>2</v>
      </c>
      <c r="AK176" s="205">
        <v>0</v>
      </c>
      <c r="AL176" s="56" t="str">
        <f t="shared" si="399"/>
        <v>キティししっぽ付きポーチ</v>
      </c>
      <c r="AM176" s="54">
        <f t="shared" si="400"/>
        <v>760</v>
      </c>
      <c r="AN176" s="13">
        <f t="shared" si="401"/>
        <v>1520</v>
      </c>
      <c r="AO176" s="14">
        <f t="shared" si="402"/>
        <v>0.19</v>
      </c>
      <c r="AP176" s="15"/>
      <c r="AQ176" s="15"/>
      <c r="AR176" s="79" t="str">
        <f>IF(AC176="","",AC176)</f>
        <v/>
      </c>
      <c r="AS176" s="53">
        <v>9278</v>
      </c>
      <c r="AT176" s="13">
        <f t="shared" si="403"/>
        <v>100</v>
      </c>
      <c r="AU176" s="53">
        <v>462</v>
      </c>
      <c r="AV176" s="13">
        <f t="shared" si="404"/>
        <v>3</v>
      </c>
      <c r="AW176" s="13">
        <v>9</v>
      </c>
      <c r="AX176" s="13">
        <f t="shared" si="405"/>
        <v>2</v>
      </c>
      <c r="AY176" s="17">
        <v>0</v>
      </c>
      <c r="AZ176" s="56" t="str">
        <f t="shared" si="406"/>
        <v>液晶ミニカメラ</v>
      </c>
      <c r="BA176" s="54">
        <f t="shared" si="407"/>
        <v>1100</v>
      </c>
      <c r="BB176" s="13">
        <f t="shared" si="408"/>
        <v>2200</v>
      </c>
      <c r="BC176" s="14">
        <f t="shared" si="409"/>
        <v>0.22</v>
      </c>
      <c r="BD176" s="15"/>
      <c r="BE176" s="2"/>
      <c r="BF176" s="79" t="str">
        <f>IF(DW176="","",DW176)</f>
        <v/>
      </c>
      <c r="BG176" s="239" t="s">
        <v>590</v>
      </c>
      <c r="BH176" s="53">
        <v>2580</v>
      </c>
      <c r="BI176" s="13">
        <f t="shared" si="361"/>
        <v>391</v>
      </c>
      <c r="BJ176" s="53">
        <v>16</v>
      </c>
      <c r="BK176" s="13">
        <f t="shared" si="362"/>
        <v>2</v>
      </c>
      <c r="BL176" s="13">
        <v>1</v>
      </c>
      <c r="BM176" s="13">
        <f t="shared" si="413"/>
        <v>2</v>
      </c>
      <c r="BN176" s="17">
        <v>2</v>
      </c>
      <c r="BO176" s="56" t="s">
        <v>546</v>
      </c>
      <c r="BP176" s="54">
        <f t="shared" si="365"/>
        <v>1500</v>
      </c>
      <c r="BQ176" s="13">
        <f t="shared" si="410"/>
        <v>3000</v>
      </c>
      <c r="BR176" s="14">
        <f t="shared" si="411"/>
        <v>7.6726342710997444E-2</v>
      </c>
      <c r="BS176" s="15" t="s">
        <v>544</v>
      </c>
      <c r="BU176" s="16"/>
      <c r="BV176" s="13"/>
      <c r="BW176" s="13" t="str">
        <f>IF(BV176="","",BV176-BV174)</f>
        <v/>
      </c>
      <c r="BX176" s="13"/>
      <c r="BY176" s="13" t="str">
        <f>IF(BX176="","",BX176-BX174)</f>
        <v/>
      </c>
      <c r="BZ176" s="13"/>
      <c r="CA176" s="13" t="str">
        <f>IF(BZ176="","",BZ174+CB174-BZ176)</f>
        <v/>
      </c>
      <c r="CB176" s="13"/>
      <c r="CC176" s="13"/>
      <c r="CD176" s="13"/>
      <c r="CE176" s="13" t="str">
        <f t="shared" si="373"/>
        <v/>
      </c>
      <c r="CF176" s="14" t="str">
        <f t="shared" si="374"/>
        <v/>
      </c>
      <c r="CG176" s="15"/>
      <c r="CH176" s="1"/>
      <c r="CI176" s="16"/>
      <c r="CJ176" s="13"/>
      <c r="CK176" s="13" t="str">
        <f>IF(CJ176="","",CJ176-CJ174)</f>
        <v/>
      </c>
      <c r="CL176" s="13"/>
      <c r="CM176" s="13" t="str">
        <f>IF(CL176="","",CL176-CL174)</f>
        <v/>
      </c>
      <c r="CN176" s="13"/>
      <c r="CO176" s="13" t="str">
        <f>IF(CN176="","",CN174+CP174-CN176)</f>
        <v/>
      </c>
      <c r="CP176" s="13"/>
      <c r="CQ176" s="13"/>
      <c r="CR176" s="13"/>
      <c r="CS176" s="13" t="str">
        <f t="shared" si="375"/>
        <v/>
      </c>
      <c r="CT176" s="14" t="str">
        <f t="shared" si="412"/>
        <v/>
      </c>
      <c r="CU176" s="15"/>
      <c r="CV176" s="1"/>
      <c r="CW176" s="16"/>
      <c r="CX176" s="13"/>
      <c r="CY176" s="13" t="str">
        <f>IF(CX176="","",CX176-CX174)</f>
        <v/>
      </c>
      <c r="CZ176" s="13"/>
      <c r="DA176" s="13" t="str">
        <f>IF(CZ176="","",CZ176-CZ174)</f>
        <v/>
      </c>
      <c r="DB176" s="13"/>
      <c r="DC176" s="13" t="str">
        <f>IF(DB176="","",DB174+DD174-DB176)</f>
        <v/>
      </c>
      <c r="DD176" s="13"/>
      <c r="DE176" s="13"/>
      <c r="DF176" s="13"/>
      <c r="DG176" s="13" t="str">
        <f t="shared" si="376"/>
        <v/>
      </c>
      <c r="DH176" s="14" t="str">
        <f t="shared" si="377"/>
        <v/>
      </c>
      <c r="DI176" s="15"/>
      <c r="DJ176" s="1"/>
      <c r="DK176" s="16"/>
      <c r="DL176" s="13"/>
      <c r="DM176" s="13" t="str">
        <f>IF(DL176="","",DL176-DL174)</f>
        <v/>
      </c>
      <c r="DN176" s="13"/>
      <c r="DO176" s="13" t="str">
        <f>IF(DN176="","",DN176-DN174)</f>
        <v/>
      </c>
      <c r="DP176" s="13"/>
      <c r="DQ176" s="13" t="str">
        <f>IF(DP176="","",DP174+DR174-DP176)</f>
        <v/>
      </c>
      <c r="DR176" s="13"/>
      <c r="DS176" s="13"/>
      <c r="DT176" s="13"/>
      <c r="DU176" s="13" t="str">
        <f t="shared" si="378"/>
        <v/>
      </c>
      <c r="DV176" s="14" t="str">
        <f t="shared" si="379"/>
        <v/>
      </c>
      <c r="DW176" s="15"/>
      <c r="DY176" s="16"/>
      <c r="DZ176" s="13"/>
      <c r="EA176" s="13" t="str">
        <f>IF(DZ176="","",DZ176-DZ174)</f>
        <v/>
      </c>
      <c r="EB176" s="13"/>
      <c r="EC176" s="13" t="str">
        <f>IF(EB176="","",EB176-EB174)</f>
        <v/>
      </c>
      <c r="ED176" s="13"/>
      <c r="EE176" s="13" t="str">
        <f>IF(ED176="","",ED174+EF174-ED176)</f>
        <v/>
      </c>
      <c r="EF176" s="13"/>
      <c r="EG176" s="13"/>
      <c r="EH176" s="13"/>
      <c r="EI176" s="13" t="str">
        <f t="shared" si="380"/>
        <v/>
      </c>
      <c r="EJ176" s="14" t="str">
        <f t="shared" si="381"/>
        <v/>
      </c>
      <c r="EK176" s="15"/>
    </row>
    <row r="177" spans="1:141" ht="15" customHeight="1" x14ac:dyDescent="0.2">
      <c r="A177" s="16"/>
      <c r="B177" s="11"/>
      <c r="C177" s="13">
        <v>12826</v>
      </c>
      <c r="D177" s="13">
        <f t="shared" si="382"/>
        <v>75</v>
      </c>
      <c r="E177" s="13">
        <v>700</v>
      </c>
      <c r="F177" s="13">
        <f t="shared" si="383"/>
        <v>17</v>
      </c>
      <c r="G177" s="13">
        <v>320</v>
      </c>
      <c r="H177" s="13">
        <f t="shared" si="384"/>
        <v>20</v>
      </c>
      <c r="I177" s="17">
        <v>0</v>
      </c>
      <c r="J177" s="56" t="str">
        <f t="shared" si="385"/>
        <v>ブレスレット</v>
      </c>
      <c r="K177" s="13">
        <f t="shared" si="386"/>
        <v>100</v>
      </c>
      <c r="L177" s="13">
        <f t="shared" si="387"/>
        <v>2000</v>
      </c>
      <c r="M177" s="14">
        <f t="shared" si="388"/>
        <v>0.26666666666666666</v>
      </c>
      <c r="N177" s="15" t="s">
        <v>554</v>
      </c>
      <c r="O177" s="2"/>
      <c r="P177" s="16"/>
      <c r="Q177" s="13">
        <v>9583</v>
      </c>
      <c r="R177" s="13">
        <f t="shared" si="389"/>
        <v>162</v>
      </c>
      <c r="S177" s="13">
        <v>201</v>
      </c>
      <c r="T177" s="13">
        <f t="shared" si="390"/>
        <v>1</v>
      </c>
      <c r="U177" s="13">
        <v>34</v>
      </c>
      <c r="V177" s="13">
        <f t="shared" si="391"/>
        <v>1</v>
      </c>
      <c r="W177" s="17">
        <v>0</v>
      </c>
      <c r="X177" s="56" t="str">
        <f t="shared" si="392"/>
        <v>たまごっちミニクリップ</v>
      </c>
      <c r="Y177" s="13">
        <f t="shared" si="393"/>
        <v>1100</v>
      </c>
      <c r="Z177" s="13">
        <f t="shared" si="394"/>
        <v>1100</v>
      </c>
      <c r="AA177" s="14">
        <f t="shared" si="395"/>
        <v>6.7901234567901231E-2</v>
      </c>
      <c r="AB177" s="15"/>
      <c r="AC177" s="15"/>
      <c r="AD177" s="16"/>
      <c r="AE177" s="13">
        <v>13564</v>
      </c>
      <c r="AF177" s="13">
        <f t="shared" si="396"/>
        <v>54</v>
      </c>
      <c r="AG177" s="13">
        <v>366</v>
      </c>
      <c r="AH177" s="13">
        <f t="shared" si="397"/>
        <v>0</v>
      </c>
      <c r="AI177" s="13">
        <v>4</v>
      </c>
      <c r="AJ177" s="13">
        <f t="shared" si="398"/>
        <v>2</v>
      </c>
      <c r="AK177" s="214">
        <v>0</v>
      </c>
      <c r="AL177" s="111" t="str">
        <f t="shared" si="399"/>
        <v>ゲームアーク</v>
      </c>
      <c r="AM177" s="13">
        <f t="shared" si="400"/>
        <v>682</v>
      </c>
      <c r="AN177" s="13">
        <f t="shared" si="401"/>
        <v>1364</v>
      </c>
      <c r="AO177" s="14">
        <f t="shared" si="402"/>
        <v>0.25259259259259259</v>
      </c>
      <c r="AP177" s="157" t="s">
        <v>563</v>
      </c>
      <c r="AQ177" s="15"/>
      <c r="AR177" s="16"/>
      <c r="AS177" s="13">
        <v>17379</v>
      </c>
      <c r="AT177" s="13">
        <f t="shared" si="403"/>
        <v>152</v>
      </c>
      <c r="AU177" s="13">
        <v>562</v>
      </c>
      <c r="AV177" s="13">
        <f t="shared" si="404"/>
        <v>2</v>
      </c>
      <c r="AW177" s="13">
        <v>22</v>
      </c>
      <c r="AX177" s="13">
        <f t="shared" si="405"/>
        <v>2</v>
      </c>
      <c r="AY177" s="17">
        <v>0</v>
      </c>
      <c r="AZ177" s="56" t="str">
        <f t="shared" si="406"/>
        <v>たまごっちマスコット</v>
      </c>
      <c r="BA177" s="13">
        <f t="shared" si="407"/>
        <v>1430</v>
      </c>
      <c r="BB177" s="13">
        <f t="shared" si="408"/>
        <v>2860</v>
      </c>
      <c r="BC177" s="14">
        <f t="shared" si="409"/>
        <v>0.18815789473684211</v>
      </c>
      <c r="BD177" s="15"/>
      <c r="BE177" s="2"/>
      <c r="BF177" s="16"/>
      <c r="BG177" s="239" t="s">
        <v>591</v>
      </c>
      <c r="BH177" s="13">
        <v>2012</v>
      </c>
      <c r="BI177" s="13">
        <f t="shared" si="361"/>
        <v>155</v>
      </c>
      <c r="BJ177" s="13">
        <v>19</v>
      </c>
      <c r="BK177" s="13">
        <f t="shared" si="362"/>
        <v>1</v>
      </c>
      <c r="BL177" s="13">
        <v>2</v>
      </c>
      <c r="BM177" s="13">
        <f t="shared" si="413"/>
        <v>1</v>
      </c>
      <c r="BN177" s="17">
        <v>1</v>
      </c>
      <c r="BO177" s="56" t="s">
        <v>544</v>
      </c>
      <c r="BP177" s="13">
        <f t="shared" si="365"/>
        <v>700</v>
      </c>
      <c r="BQ177" s="13">
        <f t="shared" si="410"/>
        <v>700</v>
      </c>
      <c r="BR177" s="14">
        <f t="shared" si="411"/>
        <v>4.5161290322580643E-2</v>
      </c>
      <c r="BS177" s="15"/>
      <c r="BU177" s="16"/>
      <c r="BV177" s="54"/>
      <c r="BW177" s="13" t="str">
        <f>IF(BV177="","",BV177-BV175)</f>
        <v/>
      </c>
      <c r="BX177" s="13"/>
      <c r="BY177" s="13"/>
      <c r="BZ177" s="13"/>
      <c r="CA177" s="13" t="str">
        <f>IF(BZ177="","",BZ175+CB175-BZ177)</f>
        <v/>
      </c>
      <c r="CB177" s="13"/>
      <c r="CC177" s="13"/>
      <c r="CD177" s="13"/>
      <c r="CE177" s="13" t="str">
        <f t="shared" si="373"/>
        <v/>
      </c>
      <c r="CF177" s="14" t="str">
        <f t="shared" si="374"/>
        <v/>
      </c>
      <c r="CG177" s="15"/>
      <c r="CH177" s="1"/>
      <c r="CI177" s="16"/>
      <c r="CJ177" s="54"/>
      <c r="CK177" s="13" t="str">
        <f>IF(CJ177="","",CJ177-CJ175)</f>
        <v/>
      </c>
      <c r="CL177" s="13"/>
      <c r="CM177" s="13"/>
      <c r="CN177" s="13"/>
      <c r="CO177" s="13" t="str">
        <f>IF(CN177="","",CN175+CP175-CN177)</f>
        <v/>
      </c>
      <c r="CP177" s="13"/>
      <c r="CQ177" s="13"/>
      <c r="CR177" s="13"/>
      <c r="CS177" s="13" t="str">
        <f t="shared" si="375"/>
        <v/>
      </c>
      <c r="CT177" s="14" t="str">
        <f t="shared" si="412"/>
        <v/>
      </c>
      <c r="CU177" s="15"/>
      <c r="CV177" s="1"/>
      <c r="CW177" s="16"/>
      <c r="CX177" s="54"/>
      <c r="CY177" s="13" t="str">
        <f>IF(CX177="","",CX177-CX175)</f>
        <v/>
      </c>
      <c r="CZ177" s="13"/>
      <c r="DA177" s="13"/>
      <c r="DB177" s="13"/>
      <c r="DC177" s="13" t="str">
        <f>IF(DB177="","",DB175+DD175-DB177)</f>
        <v/>
      </c>
      <c r="DD177" s="13"/>
      <c r="DE177" s="13"/>
      <c r="DF177" s="13"/>
      <c r="DG177" s="13" t="str">
        <f t="shared" si="376"/>
        <v/>
      </c>
      <c r="DH177" s="14" t="str">
        <f t="shared" si="377"/>
        <v/>
      </c>
      <c r="DI177" s="15"/>
      <c r="DJ177" s="1"/>
      <c r="DK177" s="16"/>
      <c r="DL177" s="54"/>
      <c r="DM177" s="13" t="str">
        <f>IF(DL177="","",DL177-DL175)</f>
        <v/>
      </c>
      <c r="DN177" s="13"/>
      <c r="DO177" s="13"/>
      <c r="DP177" s="13"/>
      <c r="DQ177" s="13" t="str">
        <f>IF(DP177="","",DP175+DR175-DP177)</f>
        <v/>
      </c>
      <c r="DR177" s="13"/>
      <c r="DS177" s="13"/>
      <c r="DT177" s="13"/>
      <c r="DU177" s="13" t="str">
        <f t="shared" si="378"/>
        <v/>
      </c>
      <c r="DV177" s="14" t="str">
        <f t="shared" si="379"/>
        <v/>
      </c>
      <c r="DW177" s="15"/>
      <c r="DY177" s="16"/>
      <c r="DZ177" s="54"/>
      <c r="EA177" s="13" t="str">
        <f>IF(DZ177="","",DZ177-DZ175)</f>
        <v/>
      </c>
      <c r="EB177" s="13"/>
      <c r="EC177" s="13"/>
      <c r="ED177" s="13"/>
      <c r="EE177" s="13" t="str">
        <f>IF(ED177="","",ED175+EF175-ED177)</f>
        <v/>
      </c>
      <c r="EF177" s="13"/>
      <c r="EG177" s="13"/>
      <c r="EH177" s="13"/>
      <c r="EI177" s="13" t="str">
        <f t="shared" si="380"/>
        <v/>
      </c>
      <c r="EJ177" s="14" t="str">
        <f t="shared" si="381"/>
        <v/>
      </c>
      <c r="EK177" s="15"/>
    </row>
    <row r="178" spans="1:141" ht="15" customHeight="1" thickBot="1" x14ac:dyDescent="0.25">
      <c r="A178" s="26"/>
      <c r="B178" s="46"/>
      <c r="C178" s="27">
        <v>8519</v>
      </c>
      <c r="D178" s="27">
        <f t="shared" si="382"/>
        <v>47</v>
      </c>
      <c r="E178" s="27">
        <v>508</v>
      </c>
      <c r="F178" s="27">
        <f t="shared" si="383"/>
        <v>1</v>
      </c>
      <c r="G178" s="27">
        <v>4</v>
      </c>
      <c r="H178" s="27">
        <f t="shared" si="384"/>
        <v>3</v>
      </c>
      <c r="I178" s="47">
        <v>5</v>
      </c>
      <c r="J178" s="57" t="str">
        <f t="shared" si="385"/>
        <v>シール帳</v>
      </c>
      <c r="K178" s="62">
        <f t="shared" si="386"/>
        <v>330</v>
      </c>
      <c r="L178" s="27">
        <f t="shared" si="387"/>
        <v>990</v>
      </c>
      <c r="M178" s="28">
        <f t="shared" si="388"/>
        <v>0.21063829787234042</v>
      </c>
      <c r="N178" s="15" t="s">
        <v>557</v>
      </c>
      <c r="O178" s="2"/>
      <c r="P178" s="26"/>
      <c r="Q178" s="27">
        <v>13645</v>
      </c>
      <c r="R178" s="27">
        <f t="shared" si="389"/>
        <v>122</v>
      </c>
      <c r="S178" s="27">
        <v>559</v>
      </c>
      <c r="T178" s="27">
        <f t="shared" si="390"/>
        <v>12</v>
      </c>
      <c r="U178" s="27">
        <v>28</v>
      </c>
      <c r="V178" s="27">
        <f t="shared" si="391"/>
        <v>14</v>
      </c>
      <c r="W178" s="47">
        <v>10</v>
      </c>
      <c r="X178" s="57" t="str">
        <f t="shared" si="392"/>
        <v>ボンボンドロップ</v>
      </c>
      <c r="Y178" s="62">
        <f t="shared" si="393"/>
        <v>200</v>
      </c>
      <c r="Z178" s="27">
        <f t="shared" si="394"/>
        <v>2800</v>
      </c>
      <c r="AA178" s="28">
        <f t="shared" si="395"/>
        <v>0.22950819672131148</v>
      </c>
      <c r="AB178" s="15"/>
      <c r="AC178" s="15"/>
      <c r="AD178" s="26"/>
      <c r="AE178" s="27">
        <v>13232</v>
      </c>
      <c r="AF178" s="27">
        <f t="shared" si="396"/>
        <v>35</v>
      </c>
      <c r="AG178" s="27">
        <v>335</v>
      </c>
      <c r="AH178" s="27">
        <f t="shared" si="397"/>
        <v>3</v>
      </c>
      <c r="AI178" s="27">
        <v>12</v>
      </c>
      <c r="AJ178" s="27">
        <f t="shared" si="398"/>
        <v>3</v>
      </c>
      <c r="AK178" s="217">
        <v>0</v>
      </c>
      <c r="AL178" s="108" t="str">
        <f t="shared" si="399"/>
        <v>忍者グミ</v>
      </c>
      <c r="AM178" s="62">
        <f t="shared" si="400"/>
        <v>260</v>
      </c>
      <c r="AN178" s="27">
        <f t="shared" si="401"/>
        <v>780</v>
      </c>
      <c r="AO178" s="28">
        <f t="shared" si="402"/>
        <v>0.22285714285714286</v>
      </c>
      <c r="AP178" s="15"/>
      <c r="AQ178" s="15"/>
      <c r="AR178" s="26"/>
      <c r="AS178" s="27">
        <v>17234</v>
      </c>
      <c r="AT178" s="27">
        <f t="shared" si="403"/>
        <v>261</v>
      </c>
      <c r="AU178" s="27">
        <v>495</v>
      </c>
      <c r="AV178" s="27">
        <f t="shared" si="404"/>
        <v>5</v>
      </c>
      <c r="AW178" s="27">
        <v>16</v>
      </c>
      <c r="AX178" s="27">
        <f t="shared" si="405"/>
        <v>5</v>
      </c>
      <c r="AY178" s="47">
        <v>0</v>
      </c>
      <c r="AZ178" s="57" t="str">
        <f t="shared" si="406"/>
        <v>バタースクイーズ</v>
      </c>
      <c r="BA178" s="62">
        <f t="shared" si="407"/>
        <v>400</v>
      </c>
      <c r="BB178" s="27">
        <f t="shared" si="408"/>
        <v>2000</v>
      </c>
      <c r="BC178" s="28">
        <f t="shared" si="409"/>
        <v>7.662835249042145E-2</v>
      </c>
      <c r="BD178" s="15"/>
      <c r="BE178" s="2"/>
      <c r="BF178" s="26"/>
      <c r="BG178" s="238" t="s">
        <v>592</v>
      </c>
      <c r="BH178" s="27">
        <v>1759</v>
      </c>
      <c r="BI178" s="27">
        <f t="shared" si="361"/>
        <v>180</v>
      </c>
      <c r="BJ178" s="27">
        <v>18</v>
      </c>
      <c r="BK178" s="27">
        <f t="shared" si="362"/>
        <v>1</v>
      </c>
      <c r="BL178" s="27">
        <v>1</v>
      </c>
      <c r="BM178" s="27">
        <f t="shared" si="413"/>
        <v>2</v>
      </c>
      <c r="BN178" s="47">
        <v>1</v>
      </c>
      <c r="BO178" s="57" t="s">
        <v>545</v>
      </c>
      <c r="BP178" s="62">
        <f t="shared" si="365"/>
        <v>1500</v>
      </c>
      <c r="BQ178" s="27">
        <f t="shared" si="410"/>
        <v>3000</v>
      </c>
      <c r="BR178" s="28">
        <f t="shared" si="411"/>
        <v>0.16666666666666666</v>
      </c>
      <c r="BS178" s="15" t="s">
        <v>524</v>
      </c>
      <c r="BU178" s="16"/>
      <c r="BV178" s="54"/>
      <c r="BW178" s="13" t="str">
        <f t="shared" ref="BW178:BW198" si="414">IF(BV178="","",BV178-BV177)</f>
        <v/>
      </c>
      <c r="BX178" s="13"/>
      <c r="BY178" s="13"/>
      <c r="BZ178" s="13"/>
      <c r="CA178" s="13" t="str">
        <f t="shared" ref="CA178:CA198" si="415">IF(BZ178="","",BZ177+CB177-BZ178)</f>
        <v/>
      </c>
      <c r="CB178" s="13"/>
      <c r="CC178" s="13"/>
      <c r="CD178" s="13"/>
      <c r="CE178" s="13" t="str">
        <f t="shared" si="373"/>
        <v/>
      </c>
      <c r="CF178" s="14" t="str">
        <f t="shared" si="374"/>
        <v/>
      </c>
      <c r="CG178" s="15"/>
      <c r="CH178" s="1"/>
      <c r="CI178" s="16"/>
      <c r="CJ178" s="54"/>
      <c r="CK178" s="13" t="str">
        <f t="shared" ref="CK178:CK198" si="416">IF(CJ178="","",CJ178-CJ177)</f>
        <v/>
      </c>
      <c r="CL178" s="13"/>
      <c r="CM178" s="13"/>
      <c r="CN178" s="13"/>
      <c r="CO178" s="13" t="str">
        <f t="shared" ref="CO178:CO198" si="417">IF(CN178="","",CN177+CP177-CN178)</f>
        <v/>
      </c>
      <c r="CP178" s="13"/>
      <c r="CQ178" s="13"/>
      <c r="CR178" s="13"/>
      <c r="CS178" s="13" t="str">
        <f t="shared" si="375"/>
        <v/>
      </c>
      <c r="CT178" s="14" t="str">
        <f t="shared" si="412"/>
        <v/>
      </c>
      <c r="CU178" s="15"/>
      <c r="CV178" s="1"/>
      <c r="CW178" s="16"/>
      <c r="CX178" s="54"/>
      <c r="CY178" s="13" t="str">
        <f t="shared" ref="CY178:CY198" si="418">IF(CX178="","",CX178-CX177)</f>
        <v/>
      </c>
      <c r="CZ178" s="13"/>
      <c r="DA178" s="13"/>
      <c r="DB178" s="13"/>
      <c r="DC178" s="13" t="str">
        <f t="shared" ref="DC178:DC198" si="419">IF(DB178="","",DB177+DD177-DB178)</f>
        <v/>
      </c>
      <c r="DD178" s="13"/>
      <c r="DE178" s="13"/>
      <c r="DF178" s="13"/>
      <c r="DG178" s="13" t="str">
        <f t="shared" si="376"/>
        <v/>
      </c>
      <c r="DH178" s="14" t="str">
        <f t="shared" si="377"/>
        <v/>
      </c>
      <c r="DI178" s="15"/>
      <c r="DJ178" s="1"/>
      <c r="DK178" s="16"/>
      <c r="DL178" s="54"/>
      <c r="DM178" s="13" t="str">
        <f t="shared" ref="DM178:DM198" si="420">IF(DL178="","",DL178-DL177)</f>
        <v/>
      </c>
      <c r="DN178" s="13"/>
      <c r="DO178" s="13"/>
      <c r="DP178" s="13"/>
      <c r="DQ178" s="13" t="str">
        <f t="shared" ref="DQ178:DQ198" si="421">IF(DP178="","",DP177+DR177-DP178)</f>
        <v/>
      </c>
      <c r="DR178" s="13"/>
      <c r="DS178" s="13"/>
      <c r="DT178" s="13"/>
      <c r="DU178" s="13" t="str">
        <f t="shared" si="378"/>
        <v/>
      </c>
      <c r="DV178" s="14" t="str">
        <f t="shared" si="379"/>
        <v/>
      </c>
      <c r="DW178" s="15"/>
      <c r="DY178" s="16"/>
      <c r="DZ178" s="54"/>
      <c r="EA178" s="13" t="str">
        <f t="shared" ref="EA178:EA198" si="422">IF(DZ178="","",DZ178-DZ177)</f>
        <v/>
      </c>
      <c r="EB178" s="13"/>
      <c r="EC178" s="13"/>
      <c r="ED178" s="13"/>
      <c r="EE178" s="13" t="str">
        <f t="shared" ref="EE178:EE198" si="423">IF(ED178="","",ED177+EF177-ED178)</f>
        <v/>
      </c>
      <c r="EF178" s="13"/>
      <c r="EG178" s="13"/>
      <c r="EH178" s="13"/>
      <c r="EI178" s="13" t="str">
        <f t="shared" si="380"/>
        <v/>
      </c>
      <c r="EJ178" s="14" t="str">
        <f t="shared" si="381"/>
        <v/>
      </c>
      <c r="EK178" s="15"/>
    </row>
    <row r="179" spans="1:141" ht="15" customHeight="1" thickTop="1" x14ac:dyDescent="0.2">
      <c r="A179" s="79">
        <v>46115</v>
      </c>
      <c r="B179" s="74">
        <f>IF(A179="","",SUM(D179:D182)+SUM(R179:R182)+SUM(BI179:BI182)+SUM(AF179:AF182)+SUM(AT179:AT182)+SUM(BW158,CK158,CY158,DM158,EA158))</f>
        <v>3522</v>
      </c>
      <c r="C179" s="13">
        <v>7473</v>
      </c>
      <c r="D179" s="53">
        <f t="shared" si="382"/>
        <v>92</v>
      </c>
      <c r="E179" s="13">
        <v>385</v>
      </c>
      <c r="F179" s="31">
        <f t="shared" si="383"/>
        <v>0</v>
      </c>
      <c r="G179" s="13">
        <v>21</v>
      </c>
      <c r="H179" s="53">
        <f t="shared" si="384"/>
        <v>0</v>
      </c>
      <c r="I179" s="17">
        <v>0</v>
      </c>
      <c r="J179" s="75" t="str">
        <f t="shared" si="385"/>
        <v>ジャグラーボタン</v>
      </c>
      <c r="K179" s="76">
        <f t="shared" si="386"/>
        <v>748</v>
      </c>
      <c r="L179" s="31">
        <f t="shared" si="387"/>
        <v>0</v>
      </c>
      <c r="M179" s="32">
        <f t="shared" si="388"/>
        <v>0</v>
      </c>
      <c r="N179" s="15"/>
      <c r="O179" s="2"/>
      <c r="P179" s="79">
        <f>IF($A179="","",$A179)</f>
        <v>46115</v>
      </c>
      <c r="Q179" s="13">
        <v>8450</v>
      </c>
      <c r="R179" s="53">
        <f t="shared" si="389"/>
        <v>181</v>
      </c>
      <c r="S179" s="13">
        <v>256</v>
      </c>
      <c r="T179" s="31">
        <f t="shared" si="390"/>
        <v>3</v>
      </c>
      <c r="U179" s="13">
        <v>11</v>
      </c>
      <c r="V179" s="53">
        <f t="shared" si="391"/>
        <v>2</v>
      </c>
      <c r="W179" s="17">
        <v>2</v>
      </c>
      <c r="X179" s="75" t="str">
        <f t="shared" si="392"/>
        <v>キティボアバンスクリップ</v>
      </c>
      <c r="Y179" s="76">
        <f t="shared" si="393"/>
        <v>1100</v>
      </c>
      <c r="Z179" s="31">
        <f t="shared" si="394"/>
        <v>2200</v>
      </c>
      <c r="AA179" s="32">
        <f t="shared" si="395"/>
        <v>0.12154696132596685</v>
      </c>
      <c r="AB179" s="15"/>
      <c r="AC179" s="15"/>
      <c r="AD179" s="79">
        <f>IF($A179="","",$A179)</f>
        <v>46115</v>
      </c>
      <c r="AE179" s="13">
        <v>11635</v>
      </c>
      <c r="AF179" s="53">
        <f t="shared" si="396"/>
        <v>66</v>
      </c>
      <c r="AG179" s="13">
        <v>268</v>
      </c>
      <c r="AH179" s="31">
        <f t="shared" si="397"/>
        <v>0</v>
      </c>
      <c r="AI179" s="13">
        <v>8</v>
      </c>
      <c r="AJ179" s="53">
        <f t="shared" si="398"/>
        <v>0</v>
      </c>
      <c r="AK179" s="17">
        <v>0</v>
      </c>
      <c r="AL179" s="75" t="s">
        <v>564</v>
      </c>
      <c r="AM179" s="76">
        <v>1100</v>
      </c>
      <c r="AN179" s="31">
        <f t="shared" si="401"/>
        <v>0</v>
      </c>
      <c r="AO179" s="32">
        <f t="shared" si="402"/>
        <v>0</v>
      </c>
      <c r="AP179" s="15"/>
      <c r="AQ179" s="15"/>
      <c r="AR179" s="79">
        <f>IF($A179="","",$A179)</f>
        <v>46115</v>
      </c>
      <c r="AS179" s="13">
        <v>12522</v>
      </c>
      <c r="AT179" s="53">
        <f t="shared" si="403"/>
        <v>54</v>
      </c>
      <c r="AU179" s="13">
        <v>391</v>
      </c>
      <c r="AV179" s="31">
        <f t="shared" si="404"/>
        <v>1</v>
      </c>
      <c r="AW179" s="13">
        <v>11</v>
      </c>
      <c r="AX179" s="53">
        <f t="shared" si="405"/>
        <v>1</v>
      </c>
      <c r="AY179" s="17">
        <v>6</v>
      </c>
      <c r="AZ179" s="75" t="str">
        <f t="shared" si="406"/>
        <v>サンリオデニムポーチ</v>
      </c>
      <c r="BA179" s="76">
        <f t="shared" si="407"/>
        <v>1100</v>
      </c>
      <c r="BB179" s="31">
        <f t="shared" si="408"/>
        <v>1100</v>
      </c>
      <c r="BC179" s="32">
        <f t="shared" si="409"/>
        <v>0.20370370370370369</v>
      </c>
      <c r="BD179" s="15" t="s">
        <v>569</v>
      </c>
      <c r="BE179" s="2"/>
      <c r="BF179" s="79">
        <f>IF($A179="","",$A179)</f>
        <v>46115</v>
      </c>
      <c r="BG179" s="240" t="s">
        <v>589</v>
      </c>
      <c r="BH179" s="13">
        <v>2040</v>
      </c>
      <c r="BI179" s="53">
        <f t="shared" si="361"/>
        <v>77</v>
      </c>
      <c r="BJ179" s="13">
        <v>22</v>
      </c>
      <c r="BK179" s="31">
        <f t="shared" si="362"/>
        <v>2</v>
      </c>
      <c r="BL179" s="13">
        <v>1</v>
      </c>
      <c r="BM179" s="53">
        <f t="shared" si="413"/>
        <v>2</v>
      </c>
      <c r="BN179" s="17">
        <v>2</v>
      </c>
      <c r="BO179" s="75" t="str">
        <f t="shared" ref="BO179:BO181" si="424">IF(BH179="","",BO175)</f>
        <v>プチドロディズニー</v>
      </c>
      <c r="BP179" s="76">
        <v>1500</v>
      </c>
      <c r="BQ179" s="31">
        <f t="shared" si="366"/>
        <v>3000</v>
      </c>
      <c r="BR179" s="32">
        <f t="shared" si="367"/>
        <v>0.38961038961038963</v>
      </c>
      <c r="BS179" s="15"/>
      <c r="BU179" s="16"/>
      <c r="BV179" s="54"/>
      <c r="BW179" s="13" t="str">
        <f t="shared" si="414"/>
        <v/>
      </c>
      <c r="BX179" s="13"/>
      <c r="BY179" s="13"/>
      <c r="BZ179" s="13"/>
      <c r="CA179" s="13" t="str">
        <f t="shared" si="415"/>
        <v/>
      </c>
      <c r="CB179" s="13"/>
      <c r="CC179" s="13"/>
      <c r="CD179" s="13"/>
      <c r="CE179" s="13" t="str">
        <f t="shared" si="373"/>
        <v/>
      </c>
      <c r="CF179" s="14" t="str">
        <f t="shared" si="374"/>
        <v/>
      </c>
      <c r="CG179" s="15"/>
      <c r="CH179" s="1"/>
      <c r="CI179" s="16"/>
      <c r="CJ179" s="54"/>
      <c r="CK179" s="13" t="str">
        <f t="shared" si="416"/>
        <v/>
      </c>
      <c r="CL179" s="13"/>
      <c r="CM179" s="13"/>
      <c r="CN179" s="13"/>
      <c r="CO179" s="13" t="str">
        <f t="shared" si="417"/>
        <v/>
      </c>
      <c r="CP179" s="13"/>
      <c r="CQ179" s="13"/>
      <c r="CR179" s="13"/>
      <c r="CS179" s="13" t="str">
        <f t="shared" si="375"/>
        <v/>
      </c>
      <c r="CT179" s="14" t="str">
        <f t="shared" si="412"/>
        <v/>
      </c>
      <c r="CU179" s="15"/>
      <c r="CV179" s="1"/>
      <c r="CW179" s="16"/>
      <c r="CX179" s="54"/>
      <c r="CY179" s="13" t="str">
        <f t="shared" si="418"/>
        <v/>
      </c>
      <c r="CZ179" s="13"/>
      <c r="DA179" s="13"/>
      <c r="DB179" s="13"/>
      <c r="DC179" s="13" t="str">
        <f t="shared" si="419"/>
        <v/>
      </c>
      <c r="DD179" s="13"/>
      <c r="DE179" s="13"/>
      <c r="DF179" s="13"/>
      <c r="DG179" s="13" t="str">
        <f t="shared" si="376"/>
        <v/>
      </c>
      <c r="DH179" s="14" t="str">
        <f t="shared" si="377"/>
        <v/>
      </c>
      <c r="DI179" s="15"/>
      <c r="DJ179" s="1"/>
      <c r="DK179" s="16"/>
      <c r="DL179" s="54"/>
      <c r="DM179" s="13" t="str">
        <f t="shared" si="420"/>
        <v/>
      </c>
      <c r="DN179" s="13"/>
      <c r="DO179" s="13"/>
      <c r="DP179" s="13"/>
      <c r="DQ179" s="13" t="str">
        <f t="shared" si="421"/>
        <v/>
      </c>
      <c r="DR179" s="13"/>
      <c r="DS179" s="13"/>
      <c r="DT179" s="13"/>
      <c r="DU179" s="13" t="str">
        <f t="shared" si="378"/>
        <v/>
      </c>
      <c r="DV179" s="14" t="str">
        <f t="shared" si="379"/>
        <v/>
      </c>
      <c r="DW179" s="15"/>
      <c r="DY179" s="16"/>
      <c r="DZ179" s="54"/>
      <c r="EA179" s="13" t="str">
        <f t="shared" si="422"/>
        <v/>
      </c>
      <c r="EB179" s="13"/>
      <c r="EC179" s="13"/>
      <c r="ED179" s="13"/>
      <c r="EE179" s="13" t="str">
        <f t="shared" si="423"/>
        <v/>
      </c>
      <c r="EF179" s="13"/>
      <c r="EG179" s="13"/>
      <c r="EH179" s="13"/>
      <c r="EI179" s="13" t="str">
        <f t="shared" si="380"/>
        <v/>
      </c>
      <c r="EJ179" s="14" t="str">
        <f t="shared" si="381"/>
        <v/>
      </c>
      <c r="EK179" s="15"/>
    </row>
    <row r="180" spans="1:141" ht="15" customHeight="1" x14ac:dyDescent="0.2">
      <c r="A180" s="121"/>
      <c r="B180" s="74"/>
      <c r="C180" s="53">
        <v>7195</v>
      </c>
      <c r="D180" s="13">
        <f t="shared" si="382"/>
        <v>70</v>
      </c>
      <c r="E180" s="53">
        <v>425</v>
      </c>
      <c r="F180" s="13">
        <f t="shared" si="383"/>
        <v>2</v>
      </c>
      <c r="G180" s="13">
        <v>30</v>
      </c>
      <c r="H180" s="13">
        <f t="shared" si="384"/>
        <v>5</v>
      </c>
      <c r="I180" s="17">
        <v>0</v>
      </c>
      <c r="J180" s="56" t="str">
        <f t="shared" si="385"/>
        <v>電ブル</v>
      </c>
      <c r="K180" s="54">
        <f t="shared" si="386"/>
        <v>275</v>
      </c>
      <c r="L180" s="13">
        <f t="shared" si="387"/>
        <v>1375</v>
      </c>
      <c r="M180" s="14">
        <f t="shared" si="388"/>
        <v>0.19642857142857142</v>
      </c>
      <c r="N180" s="209" t="s">
        <v>386</v>
      </c>
      <c r="O180" s="2"/>
      <c r="P180" s="16"/>
      <c r="Q180" s="53">
        <v>1283</v>
      </c>
      <c r="R180" s="13">
        <f t="shared" si="389"/>
        <v>155</v>
      </c>
      <c r="S180" s="53">
        <v>158</v>
      </c>
      <c r="T180" s="13">
        <f t="shared" si="390"/>
        <v>2</v>
      </c>
      <c r="U180" s="13">
        <v>9</v>
      </c>
      <c r="V180" s="89">
        <f t="shared" si="391"/>
        <v>3</v>
      </c>
      <c r="W180" s="17">
        <v>6</v>
      </c>
      <c r="X180" s="56" t="str">
        <f t="shared" si="392"/>
        <v>たまごっちブロックシール</v>
      </c>
      <c r="Y180" s="54">
        <f t="shared" si="393"/>
        <v>600</v>
      </c>
      <c r="Z180" s="13">
        <f t="shared" si="394"/>
        <v>1800</v>
      </c>
      <c r="AA180" s="14">
        <f t="shared" si="395"/>
        <v>0.11612903225806452</v>
      </c>
      <c r="AB180" s="15"/>
      <c r="AC180" s="15"/>
      <c r="AD180" s="16"/>
      <c r="AE180" s="53">
        <v>11523</v>
      </c>
      <c r="AF180" s="13">
        <f t="shared" si="396"/>
        <v>42</v>
      </c>
      <c r="AG180" s="53">
        <v>241</v>
      </c>
      <c r="AH180" s="13">
        <f t="shared" si="397"/>
        <v>1</v>
      </c>
      <c r="AI180" s="13">
        <v>8</v>
      </c>
      <c r="AJ180" s="13">
        <f t="shared" si="398"/>
        <v>1</v>
      </c>
      <c r="AK180" s="17">
        <v>7</v>
      </c>
      <c r="AL180" s="56" t="str">
        <f t="shared" si="399"/>
        <v>キティししっぽ付きポーチ</v>
      </c>
      <c r="AM180" s="54">
        <f t="shared" si="400"/>
        <v>760</v>
      </c>
      <c r="AN180" s="13">
        <f t="shared" si="401"/>
        <v>760</v>
      </c>
      <c r="AO180" s="14">
        <f t="shared" si="402"/>
        <v>0.18095238095238095</v>
      </c>
      <c r="AP180" s="15"/>
      <c r="AQ180" s="15"/>
      <c r="AR180" s="16"/>
      <c r="AS180" s="53">
        <v>9360</v>
      </c>
      <c r="AT180" s="13">
        <f t="shared" si="403"/>
        <v>82</v>
      </c>
      <c r="AU180" s="53">
        <v>465</v>
      </c>
      <c r="AV180" s="13">
        <f t="shared" si="404"/>
        <v>3</v>
      </c>
      <c r="AW180" s="13">
        <v>7</v>
      </c>
      <c r="AX180" s="13">
        <f t="shared" si="405"/>
        <v>2</v>
      </c>
      <c r="AY180" s="17">
        <v>8</v>
      </c>
      <c r="AZ180" s="56" t="str">
        <f t="shared" si="406"/>
        <v>液晶ミニカメラ</v>
      </c>
      <c r="BA180" s="54">
        <f t="shared" si="407"/>
        <v>1100</v>
      </c>
      <c r="BB180" s="13">
        <f t="shared" si="408"/>
        <v>2200</v>
      </c>
      <c r="BC180" s="14">
        <f t="shared" si="409"/>
        <v>0.26829268292682928</v>
      </c>
      <c r="BD180" s="15"/>
      <c r="BE180" s="2"/>
      <c r="BF180" s="16"/>
      <c r="BG180" s="7" t="s">
        <v>590</v>
      </c>
      <c r="BH180" s="53">
        <v>2813</v>
      </c>
      <c r="BI180" s="13">
        <f t="shared" si="361"/>
        <v>233</v>
      </c>
      <c r="BJ180" s="53">
        <v>17</v>
      </c>
      <c r="BK180" s="13">
        <f t="shared" si="362"/>
        <v>1</v>
      </c>
      <c r="BL180" s="13">
        <v>2</v>
      </c>
      <c r="BM180" s="13">
        <f t="shared" si="413"/>
        <v>1</v>
      </c>
      <c r="BN180" s="17">
        <v>1</v>
      </c>
      <c r="BO180" s="56" t="s">
        <v>544</v>
      </c>
      <c r="BP180" s="54">
        <f t="shared" ref="BP180:BP206" si="425">IF(BI180="","",BP176)</f>
        <v>1500</v>
      </c>
      <c r="BQ180" s="13">
        <f t="shared" si="366"/>
        <v>1500</v>
      </c>
      <c r="BR180" s="14">
        <f t="shared" si="367"/>
        <v>6.4377682403433473E-2</v>
      </c>
      <c r="BS180" s="15" t="s">
        <v>545</v>
      </c>
      <c r="BU180" s="16"/>
      <c r="BV180" s="54"/>
      <c r="BW180" s="13" t="str">
        <f t="shared" si="414"/>
        <v/>
      </c>
      <c r="BX180" s="13"/>
      <c r="BY180" s="13"/>
      <c r="BZ180" s="13"/>
      <c r="CA180" s="13" t="str">
        <f t="shared" si="415"/>
        <v/>
      </c>
      <c r="CB180" s="13"/>
      <c r="CC180" s="13"/>
      <c r="CD180" s="13"/>
      <c r="CE180" s="13" t="str">
        <f t="shared" si="373"/>
        <v/>
      </c>
      <c r="CF180" s="14" t="str">
        <f t="shared" si="374"/>
        <v/>
      </c>
      <c r="CG180" s="15"/>
      <c r="CH180" s="1"/>
      <c r="CI180" s="16"/>
      <c r="CJ180" s="54"/>
      <c r="CK180" s="13" t="str">
        <f t="shared" si="416"/>
        <v/>
      </c>
      <c r="CL180" s="13"/>
      <c r="CM180" s="13"/>
      <c r="CN180" s="13"/>
      <c r="CO180" s="13" t="str">
        <f t="shared" si="417"/>
        <v/>
      </c>
      <c r="CP180" s="13"/>
      <c r="CQ180" s="13"/>
      <c r="CR180" s="13"/>
      <c r="CS180" s="13" t="str">
        <f t="shared" si="375"/>
        <v/>
      </c>
      <c r="CT180" s="14" t="str">
        <f t="shared" si="412"/>
        <v/>
      </c>
      <c r="CU180" s="15"/>
      <c r="CV180" s="1"/>
      <c r="CW180" s="16"/>
      <c r="CX180" s="54"/>
      <c r="CY180" s="13" t="str">
        <f t="shared" si="418"/>
        <v/>
      </c>
      <c r="CZ180" s="13"/>
      <c r="DA180" s="13"/>
      <c r="DB180" s="13"/>
      <c r="DC180" s="13" t="str">
        <f t="shared" si="419"/>
        <v/>
      </c>
      <c r="DD180" s="13"/>
      <c r="DE180" s="13"/>
      <c r="DF180" s="13"/>
      <c r="DG180" s="13" t="str">
        <f t="shared" si="376"/>
        <v/>
      </c>
      <c r="DH180" s="14" t="str">
        <f t="shared" si="377"/>
        <v/>
      </c>
      <c r="DI180" s="15"/>
      <c r="DJ180" s="1"/>
      <c r="DK180" s="16"/>
      <c r="DL180" s="54"/>
      <c r="DM180" s="13" t="str">
        <f t="shared" si="420"/>
        <v/>
      </c>
      <c r="DN180" s="13"/>
      <c r="DO180" s="13"/>
      <c r="DP180" s="13"/>
      <c r="DQ180" s="13" t="str">
        <f t="shared" si="421"/>
        <v/>
      </c>
      <c r="DR180" s="13"/>
      <c r="DS180" s="13"/>
      <c r="DT180" s="13"/>
      <c r="DU180" s="13" t="str">
        <f t="shared" si="378"/>
        <v/>
      </c>
      <c r="DV180" s="14" t="str">
        <f t="shared" si="379"/>
        <v/>
      </c>
      <c r="DW180" s="15"/>
      <c r="DY180" s="16"/>
      <c r="DZ180" s="54"/>
      <c r="EA180" s="13" t="str">
        <f t="shared" si="422"/>
        <v/>
      </c>
      <c r="EB180" s="13"/>
      <c r="EC180" s="13"/>
      <c r="ED180" s="13"/>
      <c r="EE180" s="13" t="str">
        <f t="shared" si="423"/>
        <v/>
      </c>
      <c r="EF180" s="13"/>
      <c r="EG180" s="13"/>
      <c r="EH180" s="13"/>
      <c r="EI180" s="13" t="str">
        <f t="shared" si="380"/>
        <v/>
      </c>
      <c r="EJ180" s="14" t="str">
        <f t="shared" si="381"/>
        <v/>
      </c>
      <c r="EK180" s="15"/>
    </row>
    <row r="181" spans="1:141" ht="17.25" customHeight="1" x14ac:dyDescent="0.2">
      <c r="A181" s="16"/>
      <c r="B181" s="11"/>
      <c r="C181" s="13">
        <v>12852</v>
      </c>
      <c r="D181" s="13">
        <f t="shared" si="382"/>
        <v>26</v>
      </c>
      <c r="E181" s="13">
        <v>707</v>
      </c>
      <c r="F181" s="13">
        <f t="shared" si="383"/>
        <v>7</v>
      </c>
      <c r="G181" s="13">
        <v>310</v>
      </c>
      <c r="H181" s="13">
        <f t="shared" si="384"/>
        <v>10</v>
      </c>
      <c r="I181" s="17">
        <v>0</v>
      </c>
      <c r="J181" s="111" t="str">
        <f t="shared" si="385"/>
        <v>ブレスレット</v>
      </c>
      <c r="K181" s="13">
        <f t="shared" si="386"/>
        <v>100</v>
      </c>
      <c r="L181" s="13">
        <f t="shared" si="387"/>
        <v>1000</v>
      </c>
      <c r="M181" s="14">
        <f t="shared" si="388"/>
        <v>0.38461538461538464</v>
      </c>
      <c r="N181" s="233" t="s">
        <v>570</v>
      </c>
      <c r="O181" s="2"/>
      <c r="P181" s="16"/>
      <c r="Q181" s="13">
        <v>9862</v>
      </c>
      <c r="R181" s="13">
        <f t="shared" si="389"/>
        <v>279</v>
      </c>
      <c r="S181" s="13">
        <v>206</v>
      </c>
      <c r="T181" s="13">
        <f t="shared" si="390"/>
        <v>5</v>
      </c>
      <c r="U181" s="13">
        <v>27</v>
      </c>
      <c r="V181" s="13">
        <f t="shared" si="391"/>
        <v>7</v>
      </c>
      <c r="W181" s="17">
        <v>0</v>
      </c>
      <c r="X181" s="56" t="str">
        <f t="shared" si="392"/>
        <v>たまごっちミニクリップ</v>
      </c>
      <c r="Y181" s="13">
        <f t="shared" si="393"/>
        <v>1100</v>
      </c>
      <c r="Z181" s="13">
        <f t="shared" si="394"/>
        <v>7700</v>
      </c>
      <c r="AA181" s="14">
        <f t="shared" si="395"/>
        <v>0.27598566308243727</v>
      </c>
      <c r="AB181" s="15"/>
      <c r="AC181" s="15"/>
      <c r="AD181" s="16"/>
      <c r="AE181" s="13">
        <v>13598</v>
      </c>
      <c r="AF181" s="13">
        <f t="shared" si="396"/>
        <v>34</v>
      </c>
      <c r="AG181" s="13">
        <v>370</v>
      </c>
      <c r="AH181" s="13">
        <f t="shared" si="397"/>
        <v>4</v>
      </c>
      <c r="AI181" s="13">
        <v>1</v>
      </c>
      <c r="AJ181" s="13">
        <f t="shared" si="398"/>
        <v>3</v>
      </c>
      <c r="AK181" s="17">
        <v>10</v>
      </c>
      <c r="AL181" s="111" t="str">
        <f t="shared" si="399"/>
        <v>ゲームアーク</v>
      </c>
      <c r="AM181" s="13">
        <f t="shared" si="400"/>
        <v>682</v>
      </c>
      <c r="AN181" s="13">
        <f t="shared" si="401"/>
        <v>2046</v>
      </c>
      <c r="AO181" s="14">
        <f t="shared" si="402"/>
        <v>0.60176470588235298</v>
      </c>
      <c r="AP181" s="15" t="s">
        <v>566</v>
      </c>
      <c r="AQ181" s="15"/>
      <c r="AR181" s="16"/>
      <c r="AS181" s="13">
        <v>17503</v>
      </c>
      <c r="AT181" s="13">
        <f t="shared" si="403"/>
        <v>124</v>
      </c>
      <c r="AU181" s="13">
        <v>564</v>
      </c>
      <c r="AV181" s="13">
        <f t="shared" si="404"/>
        <v>2</v>
      </c>
      <c r="AW181" s="13">
        <v>19</v>
      </c>
      <c r="AX181" s="13">
        <f t="shared" si="405"/>
        <v>3</v>
      </c>
      <c r="AY181" s="17">
        <v>4</v>
      </c>
      <c r="AZ181" s="56" t="str">
        <f t="shared" si="406"/>
        <v>たまごっちマスコット</v>
      </c>
      <c r="BA181" s="13">
        <f t="shared" si="407"/>
        <v>1430</v>
      </c>
      <c r="BB181" s="13">
        <f t="shared" si="408"/>
        <v>4290</v>
      </c>
      <c r="BC181" s="14">
        <f t="shared" si="409"/>
        <v>0.34596774193548385</v>
      </c>
      <c r="BD181" s="15"/>
      <c r="BE181" s="2"/>
      <c r="BF181" s="16"/>
      <c r="BG181" s="7" t="s">
        <v>591</v>
      </c>
      <c r="BH181" s="13">
        <v>2104</v>
      </c>
      <c r="BI181" s="13">
        <f t="shared" si="361"/>
        <v>92</v>
      </c>
      <c r="BJ181" s="13">
        <v>21</v>
      </c>
      <c r="BK181" s="13">
        <f t="shared" si="362"/>
        <v>2</v>
      </c>
      <c r="BL181" s="13">
        <v>0</v>
      </c>
      <c r="BM181" s="13">
        <f t="shared" si="413"/>
        <v>3</v>
      </c>
      <c r="BN181" s="17">
        <v>3</v>
      </c>
      <c r="BO181" s="56" t="str">
        <f t="shared" si="424"/>
        <v>プチドロディズニー</v>
      </c>
      <c r="BP181" s="13">
        <v>1500</v>
      </c>
      <c r="BQ181" s="13">
        <f t="shared" si="366"/>
        <v>4500</v>
      </c>
      <c r="BR181" s="14">
        <f t="shared" si="367"/>
        <v>0.4891304347826087</v>
      </c>
      <c r="BS181" s="15" t="s">
        <v>524</v>
      </c>
      <c r="BU181" s="16"/>
      <c r="BV181" s="54"/>
      <c r="BW181" s="13" t="str">
        <f t="shared" si="414"/>
        <v/>
      </c>
      <c r="BX181" s="13"/>
      <c r="BY181" s="13"/>
      <c r="BZ181" s="13"/>
      <c r="CA181" s="13" t="str">
        <f t="shared" si="415"/>
        <v/>
      </c>
      <c r="CB181" s="13"/>
      <c r="CC181" s="13"/>
      <c r="CD181" s="13"/>
      <c r="CE181" s="13" t="str">
        <f t="shared" si="373"/>
        <v/>
      </c>
      <c r="CF181" s="14" t="str">
        <f t="shared" si="374"/>
        <v/>
      </c>
      <c r="CG181" s="15"/>
      <c r="CH181" s="1"/>
      <c r="CI181" s="16"/>
      <c r="CJ181" s="54"/>
      <c r="CK181" s="13" t="str">
        <f t="shared" si="416"/>
        <v/>
      </c>
      <c r="CL181" s="13"/>
      <c r="CM181" s="13"/>
      <c r="CN181" s="13"/>
      <c r="CO181" s="13" t="str">
        <f t="shared" si="417"/>
        <v/>
      </c>
      <c r="CP181" s="13"/>
      <c r="CQ181" s="13"/>
      <c r="CR181" s="13"/>
      <c r="CS181" s="13" t="str">
        <f t="shared" si="375"/>
        <v/>
      </c>
      <c r="CT181" s="14" t="str">
        <f t="shared" si="412"/>
        <v/>
      </c>
      <c r="CU181" s="15"/>
      <c r="CV181" s="1"/>
      <c r="CW181" s="16"/>
      <c r="CX181" s="54"/>
      <c r="CY181" s="13" t="str">
        <f t="shared" si="418"/>
        <v/>
      </c>
      <c r="CZ181" s="13"/>
      <c r="DA181" s="13"/>
      <c r="DB181" s="13"/>
      <c r="DC181" s="13" t="str">
        <f t="shared" si="419"/>
        <v/>
      </c>
      <c r="DD181" s="13"/>
      <c r="DE181" s="13"/>
      <c r="DF181" s="13"/>
      <c r="DG181" s="13" t="str">
        <f t="shared" si="376"/>
        <v/>
      </c>
      <c r="DH181" s="14" t="str">
        <f t="shared" si="377"/>
        <v/>
      </c>
      <c r="DI181" s="15"/>
      <c r="DJ181" s="1"/>
      <c r="DK181" s="16"/>
      <c r="DL181" s="54"/>
      <c r="DM181" s="13" t="str">
        <f t="shared" si="420"/>
        <v/>
      </c>
      <c r="DN181" s="13"/>
      <c r="DO181" s="13"/>
      <c r="DP181" s="13"/>
      <c r="DQ181" s="13" t="str">
        <f t="shared" si="421"/>
        <v/>
      </c>
      <c r="DR181" s="13"/>
      <c r="DS181" s="13"/>
      <c r="DT181" s="13"/>
      <c r="DU181" s="13" t="str">
        <f t="shared" si="378"/>
        <v/>
      </c>
      <c r="DV181" s="14" t="str">
        <f t="shared" si="379"/>
        <v/>
      </c>
      <c r="DW181" s="15"/>
      <c r="DY181" s="16"/>
      <c r="DZ181" s="54"/>
      <c r="EA181" s="13" t="str">
        <f t="shared" si="422"/>
        <v/>
      </c>
      <c r="EB181" s="13"/>
      <c r="EC181" s="13"/>
      <c r="ED181" s="13"/>
      <c r="EE181" s="13" t="str">
        <f t="shared" si="423"/>
        <v/>
      </c>
      <c r="EF181" s="13"/>
      <c r="EG181" s="13"/>
      <c r="EH181" s="13"/>
      <c r="EI181" s="13" t="str">
        <f t="shared" si="380"/>
        <v/>
      </c>
      <c r="EJ181" s="14" t="str">
        <f t="shared" si="381"/>
        <v/>
      </c>
      <c r="EK181" s="15"/>
    </row>
    <row r="182" spans="1:141" ht="15" customHeight="1" thickBot="1" x14ac:dyDescent="0.25">
      <c r="A182" s="26"/>
      <c r="B182" s="46"/>
      <c r="C182" s="27">
        <v>8697</v>
      </c>
      <c r="D182" s="27">
        <f t="shared" si="382"/>
        <v>178</v>
      </c>
      <c r="E182" s="27">
        <v>514</v>
      </c>
      <c r="F182" s="27">
        <f t="shared" si="383"/>
        <v>6</v>
      </c>
      <c r="G182" s="27">
        <v>3</v>
      </c>
      <c r="H182" s="27">
        <f t="shared" si="384"/>
        <v>6</v>
      </c>
      <c r="I182" s="47">
        <v>9</v>
      </c>
      <c r="J182" s="57" t="s">
        <v>562</v>
      </c>
      <c r="K182" s="62">
        <v>572</v>
      </c>
      <c r="L182" s="27">
        <f t="shared" si="387"/>
        <v>3432</v>
      </c>
      <c r="M182" s="28">
        <f t="shared" si="388"/>
        <v>0.19280898876404495</v>
      </c>
      <c r="N182" s="15"/>
      <c r="O182" s="2"/>
      <c r="P182" s="26"/>
      <c r="Q182" s="27">
        <v>13871</v>
      </c>
      <c r="R182" s="27">
        <f t="shared" si="389"/>
        <v>226</v>
      </c>
      <c r="S182" s="27">
        <v>582</v>
      </c>
      <c r="T182" s="27">
        <f t="shared" si="390"/>
        <v>23</v>
      </c>
      <c r="U182" s="27">
        <v>14</v>
      </c>
      <c r="V182" s="27">
        <f t="shared" si="391"/>
        <v>24</v>
      </c>
      <c r="W182" s="47">
        <v>28</v>
      </c>
      <c r="X182" s="57" t="str">
        <f t="shared" si="392"/>
        <v>ボンボンドロップ</v>
      </c>
      <c r="Y182" s="62">
        <f t="shared" si="393"/>
        <v>200</v>
      </c>
      <c r="Z182" s="27">
        <f t="shared" si="394"/>
        <v>4800</v>
      </c>
      <c r="AA182" s="28">
        <f t="shared" si="395"/>
        <v>0.21238938053097345</v>
      </c>
      <c r="AB182" s="15"/>
      <c r="AC182" s="15"/>
      <c r="AD182" s="26"/>
      <c r="AE182" s="27">
        <v>13261</v>
      </c>
      <c r="AF182" s="27">
        <f t="shared" si="396"/>
        <v>29</v>
      </c>
      <c r="AG182" s="27">
        <v>339</v>
      </c>
      <c r="AH182" s="27">
        <f t="shared" si="397"/>
        <v>4</v>
      </c>
      <c r="AI182" s="27">
        <v>8</v>
      </c>
      <c r="AJ182" s="27">
        <f t="shared" si="398"/>
        <v>4</v>
      </c>
      <c r="AK182" s="47">
        <v>8</v>
      </c>
      <c r="AL182" s="108" t="str">
        <f t="shared" si="399"/>
        <v>忍者グミ</v>
      </c>
      <c r="AM182" s="62">
        <f t="shared" si="400"/>
        <v>260</v>
      </c>
      <c r="AN182" s="27">
        <f t="shared" si="401"/>
        <v>1040</v>
      </c>
      <c r="AO182" s="28">
        <f t="shared" si="402"/>
        <v>0.35862068965517241</v>
      </c>
      <c r="AP182" s="15" t="s">
        <v>567</v>
      </c>
      <c r="AQ182" s="15"/>
      <c r="AR182" s="26"/>
      <c r="AS182" s="27">
        <v>17411</v>
      </c>
      <c r="AT182" s="27">
        <f t="shared" si="403"/>
        <v>177</v>
      </c>
      <c r="AU182" s="27">
        <v>498</v>
      </c>
      <c r="AV182" s="27">
        <f t="shared" si="404"/>
        <v>3</v>
      </c>
      <c r="AW182" s="27">
        <v>13</v>
      </c>
      <c r="AX182" s="27">
        <f t="shared" si="405"/>
        <v>3</v>
      </c>
      <c r="AY182" s="47">
        <v>10</v>
      </c>
      <c r="AZ182" s="57" t="str">
        <f t="shared" si="406"/>
        <v>バタースクイーズ</v>
      </c>
      <c r="BA182" s="62">
        <f t="shared" si="407"/>
        <v>400</v>
      </c>
      <c r="BB182" s="27">
        <f t="shared" si="408"/>
        <v>1200</v>
      </c>
      <c r="BC182" s="28">
        <f t="shared" si="409"/>
        <v>6.7796610169491525E-2</v>
      </c>
      <c r="BD182" s="15"/>
      <c r="BE182" s="2"/>
      <c r="BF182" s="26"/>
      <c r="BG182" s="241" t="s">
        <v>592</v>
      </c>
      <c r="BH182" s="27">
        <v>1885</v>
      </c>
      <c r="BI182" s="27">
        <f t="shared" si="361"/>
        <v>126</v>
      </c>
      <c r="BJ182" s="27">
        <v>20</v>
      </c>
      <c r="BK182" s="27">
        <f t="shared" si="362"/>
        <v>2</v>
      </c>
      <c r="BL182" s="27">
        <v>0</v>
      </c>
      <c r="BM182" s="27">
        <f t="shared" si="413"/>
        <v>2</v>
      </c>
      <c r="BN182" s="47">
        <v>3</v>
      </c>
      <c r="BO182" s="57" t="s">
        <v>524</v>
      </c>
      <c r="BP182" s="62">
        <f t="shared" si="425"/>
        <v>1500</v>
      </c>
      <c r="BQ182" s="27">
        <f t="shared" si="366"/>
        <v>3000</v>
      </c>
      <c r="BR182" s="28">
        <f t="shared" si="367"/>
        <v>0.23809523809523808</v>
      </c>
      <c r="BS182" s="15" t="s">
        <v>568</v>
      </c>
      <c r="BU182" s="16"/>
      <c r="BV182" s="54"/>
      <c r="BW182" s="13" t="str">
        <f t="shared" si="414"/>
        <v/>
      </c>
      <c r="BX182" s="13"/>
      <c r="BY182" s="13"/>
      <c r="BZ182" s="13"/>
      <c r="CA182" s="13" t="str">
        <f t="shared" si="415"/>
        <v/>
      </c>
      <c r="CB182" s="13"/>
      <c r="CC182" s="13"/>
      <c r="CD182" s="13"/>
      <c r="CE182" s="13" t="str">
        <f t="shared" si="373"/>
        <v/>
      </c>
      <c r="CF182" s="14" t="str">
        <f t="shared" si="374"/>
        <v/>
      </c>
      <c r="CG182" s="15"/>
      <c r="CH182" s="1"/>
      <c r="CI182" s="16"/>
      <c r="CJ182" s="54"/>
      <c r="CK182" s="13" t="str">
        <f t="shared" si="416"/>
        <v/>
      </c>
      <c r="CL182" s="13"/>
      <c r="CM182" s="13"/>
      <c r="CN182" s="13"/>
      <c r="CO182" s="13" t="str">
        <f t="shared" si="417"/>
        <v/>
      </c>
      <c r="CP182" s="13"/>
      <c r="CQ182" s="13"/>
      <c r="CR182" s="13"/>
      <c r="CS182" s="13" t="str">
        <f t="shared" si="375"/>
        <v/>
      </c>
      <c r="CT182" s="14" t="str">
        <f t="shared" si="412"/>
        <v/>
      </c>
      <c r="CU182" s="15"/>
      <c r="CV182" s="1"/>
      <c r="CW182" s="16"/>
      <c r="CX182" s="54"/>
      <c r="CY182" s="13" t="str">
        <f t="shared" si="418"/>
        <v/>
      </c>
      <c r="CZ182" s="13"/>
      <c r="DA182" s="13"/>
      <c r="DB182" s="13"/>
      <c r="DC182" s="13" t="str">
        <f t="shared" si="419"/>
        <v/>
      </c>
      <c r="DD182" s="13"/>
      <c r="DE182" s="13"/>
      <c r="DF182" s="13"/>
      <c r="DG182" s="13" t="str">
        <f t="shared" si="376"/>
        <v/>
      </c>
      <c r="DH182" s="14" t="str">
        <f t="shared" si="377"/>
        <v/>
      </c>
      <c r="DI182" s="15"/>
      <c r="DJ182" s="1"/>
      <c r="DK182" s="16"/>
      <c r="DL182" s="54"/>
      <c r="DM182" s="13" t="str">
        <f t="shared" si="420"/>
        <v/>
      </c>
      <c r="DN182" s="13"/>
      <c r="DO182" s="13"/>
      <c r="DP182" s="13"/>
      <c r="DQ182" s="13" t="str">
        <f t="shared" si="421"/>
        <v/>
      </c>
      <c r="DR182" s="13"/>
      <c r="DS182" s="13"/>
      <c r="DT182" s="13"/>
      <c r="DU182" s="13" t="str">
        <f t="shared" si="378"/>
        <v/>
      </c>
      <c r="DV182" s="14" t="str">
        <f t="shared" si="379"/>
        <v/>
      </c>
      <c r="DW182" s="15"/>
      <c r="DY182" s="16"/>
      <c r="DZ182" s="54"/>
      <c r="EA182" s="13" t="str">
        <f t="shared" si="422"/>
        <v/>
      </c>
      <c r="EB182" s="13"/>
      <c r="EC182" s="13"/>
      <c r="ED182" s="13"/>
      <c r="EE182" s="13" t="str">
        <f t="shared" si="423"/>
        <v/>
      </c>
      <c r="EF182" s="13"/>
      <c r="EG182" s="13"/>
      <c r="EH182" s="13"/>
      <c r="EI182" s="13" t="str">
        <f t="shared" si="380"/>
        <v/>
      </c>
      <c r="EJ182" s="14" t="str">
        <f t="shared" si="381"/>
        <v/>
      </c>
      <c r="EK182" s="15"/>
    </row>
    <row r="183" spans="1:141" ht="15" customHeight="1" thickTop="1" x14ac:dyDescent="0.2">
      <c r="A183" s="79">
        <v>46118</v>
      </c>
      <c r="B183" s="74">
        <f>IF(A183="","",SUM(D183:D186)+SUM(R183:R186)+SUM(AF183:AF186)+SUM(AT183:AT186)+SUM(BW159,CK159,CY159,EA159,DM159)+SUM(BI183:BI186))</f>
        <v>3027</v>
      </c>
      <c r="C183" s="13">
        <v>7559</v>
      </c>
      <c r="D183" s="53">
        <f t="shared" si="382"/>
        <v>86</v>
      </c>
      <c r="E183" s="13">
        <v>385</v>
      </c>
      <c r="F183" s="31">
        <f t="shared" si="383"/>
        <v>0</v>
      </c>
      <c r="G183" s="13">
        <v>21</v>
      </c>
      <c r="H183" s="53">
        <f t="shared" si="384"/>
        <v>0</v>
      </c>
      <c r="I183" s="17">
        <v>0</v>
      </c>
      <c r="J183" s="75" t="str">
        <f t="shared" si="385"/>
        <v>ジャグラーボタン</v>
      </c>
      <c r="K183" s="76">
        <f t="shared" si="386"/>
        <v>748</v>
      </c>
      <c r="L183" s="31">
        <f t="shared" si="387"/>
        <v>0</v>
      </c>
      <c r="M183" s="32">
        <f t="shared" si="388"/>
        <v>0</v>
      </c>
      <c r="N183" s="15" t="s">
        <v>458</v>
      </c>
      <c r="O183" s="2"/>
      <c r="P183" s="79">
        <f>IF($A183="","",$A183)</f>
        <v>46118</v>
      </c>
      <c r="Q183" s="13">
        <v>8543</v>
      </c>
      <c r="R183" s="53">
        <f t="shared" si="389"/>
        <v>93</v>
      </c>
      <c r="S183" s="13">
        <v>258</v>
      </c>
      <c r="T183" s="31">
        <f t="shared" si="390"/>
        <v>2</v>
      </c>
      <c r="U183" s="13">
        <v>11</v>
      </c>
      <c r="V183" s="53">
        <f t="shared" si="391"/>
        <v>2</v>
      </c>
      <c r="W183" s="17">
        <v>2</v>
      </c>
      <c r="X183" s="75" t="str">
        <f t="shared" si="392"/>
        <v>キティボアバンスクリップ</v>
      </c>
      <c r="Y183" s="76">
        <f t="shared" si="393"/>
        <v>1100</v>
      </c>
      <c r="Z183" s="31">
        <f t="shared" si="394"/>
        <v>2200</v>
      </c>
      <c r="AA183" s="32">
        <f t="shared" si="395"/>
        <v>0.23655913978494625</v>
      </c>
      <c r="AB183" s="15"/>
      <c r="AC183" s="15"/>
      <c r="AD183" s="79">
        <f>IF($A183="","",$A183)</f>
        <v>46118</v>
      </c>
      <c r="AE183" s="13">
        <v>11657</v>
      </c>
      <c r="AF183" s="127">
        <f t="shared" si="396"/>
        <v>22</v>
      </c>
      <c r="AG183" s="13">
        <v>268</v>
      </c>
      <c r="AH183" s="31">
        <f t="shared" si="397"/>
        <v>0</v>
      </c>
      <c r="AI183" s="13">
        <v>8</v>
      </c>
      <c r="AJ183" s="53">
        <f t="shared" si="398"/>
        <v>0</v>
      </c>
      <c r="AK183" s="17">
        <v>0</v>
      </c>
      <c r="AL183" s="75" t="str">
        <f t="shared" si="399"/>
        <v>サンリオヘアオイル</v>
      </c>
      <c r="AM183" s="76">
        <f t="shared" si="400"/>
        <v>1100</v>
      </c>
      <c r="AN183" s="31">
        <f t="shared" si="401"/>
        <v>0</v>
      </c>
      <c r="AO183" s="32">
        <f t="shared" si="402"/>
        <v>0</v>
      </c>
      <c r="AP183" s="233" t="s">
        <v>574</v>
      </c>
      <c r="AQ183" s="15"/>
      <c r="AR183" s="79">
        <f>IF($A183="","",$A183)</f>
        <v>46118</v>
      </c>
      <c r="AS183" s="13">
        <v>12570</v>
      </c>
      <c r="AT183" s="127">
        <f t="shared" si="403"/>
        <v>48</v>
      </c>
      <c r="AU183" s="13">
        <v>392</v>
      </c>
      <c r="AV183" s="31">
        <f t="shared" si="404"/>
        <v>1</v>
      </c>
      <c r="AW183" s="13">
        <v>16</v>
      </c>
      <c r="AX183" s="53">
        <f t="shared" si="405"/>
        <v>1</v>
      </c>
      <c r="AY183" s="17">
        <v>12</v>
      </c>
      <c r="AZ183" s="75" t="s">
        <v>423</v>
      </c>
      <c r="BA183" s="76">
        <f t="shared" si="407"/>
        <v>1100</v>
      </c>
      <c r="BB183" s="31">
        <f t="shared" si="408"/>
        <v>1100</v>
      </c>
      <c r="BC183" s="32">
        <f t="shared" si="409"/>
        <v>0.22916666666666666</v>
      </c>
      <c r="BD183" s="15"/>
      <c r="BE183" s="2"/>
      <c r="BF183" s="79">
        <f>IF($A183="","",$A183)</f>
        <v>46118</v>
      </c>
      <c r="BG183" s="239" t="s">
        <v>589</v>
      </c>
      <c r="BH183" s="13">
        <v>2097</v>
      </c>
      <c r="BI183" s="53">
        <f t="shared" si="361"/>
        <v>57</v>
      </c>
      <c r="BJ183" s="13">
        <v>24</v>
      </c>
      <c r="BK183" s="31">
        <f t="shared" si="362"/>
        <v>2</v>
      </c>
      <c r="BL183" s="13">
        <v>1</v>
      </c>
      <c r="BM183" s="53">
        <f t="shared" si="413"/>
        <v>2</v>
      </c>
      <c r="BN183" s="80">
        <v>2</v>
      </c>
      <c r="BO183" s="75" t="str">
        <f t="shared" ref="BO183:BO190" si="426">IF(BH183="","",BO179)</f>
        <v>プチドロディズニー</v>
      </c>
      <c r="BP183" s="76">
        <f t="shared" ref="BP183:BP190" si="427">IF(BI183="","",BP179)</f>
        <v>1500</v>
      </c>
      <c r="BQ183" s="31">
        <f t="shared" ref="BQ183:BQ190" si="428">IF(BL183="","",BM183*BP183)</f>
        <v>3000</v>
      </c>
      <c r="BR183" s="32">
        <f t="shared" ref="BR183:BR190" si="429">IF(BM183="","",BQ183/(BI183*100))</f>
        <v>0.52631578947368418</v>
      </c>
      <c r="BS183" s="15"/>
      <c r="BU183" s="16"/>
      <c r="BV183" s="54"/>
      <c r="BW183" s="13" t="str">
        <f t="shared" si="414"/>
        <v/>
      </c>
      <c r="BX183" s="13"/>
      <c r="BY183" s="13"/>
      <c r="BZ183" s="13"/>
      <c r="CA183" s="13" t="str">
        <f t="shared" si="415"/>
        <v/>
      </c>
      <c r="CB183" s="13"/>
      <c r="CC183" s="13"/>
      <c r="CD183" s="13"/>
      <c r="CE183" s="13" t="str">
        <f t="shared" si="373"/>
        <v/>
      </c>
      <c r="CF183" s="14" t="str">
        <f t="shared" si="374"/>
        <v/>
      </c>
      <c r="CG183" s="15"/>
      <c r="CH183" s="1"/>
      <c r="CI183" s="16"/>
      <c r="CJ183" s="54"/>
      <c r="CK183" s="13" t="str">
        <f t="shared" si="416"/>
        <v/>
      </c>
      <c r="CL183" s="13"/>
      <c r="CM183" s="13"/>
      <c r="CN183" s="13"/>
      <c r="CO183" s="13" t="str">
        <f t="shared" si="417"/>
        <v/>
      </c>
      <c r="CP183" s="13"/>
      <c r="CQ183" s="13"/>
      <c r="CR183" s="13"/>
      <c r="CS183" s="13" t="str">
        <f t="shared" si="375"/>
        <v/>
      </c>
      <c r="CT183" s="14" t="str">
        <f t="shared" si="412"/>
        <v/>
      </c>
      <c r="CU183" s="15"/>
      <c r="CV183" s="1"/>
      <c r="CW183" s="16"/>
      <c r="CX183" s="54"/>
      <c r="CY183" s="13" t="str">
        <f t="shared" si="418"/>
        <v/>
      </c>
      <c r="CZ183" s="13"/>
      <c r="DA183" s="13"/>
      <c r="DB183" s="13"/>
      <c r="DC183" s="13" t="str">
        <f t="shared" si="419"/>
        <v/>
      </c>
      <c r="DD183" s="13"/>
      <c r="DE183" s="13"/>
      <c r="DF183" s="13"/>
      <c r="DG183" s="13" t="str">
        <f t="shared" si="376"/>
        <v/>
      </c>
      <c r="DH183" s="14" t="str">
        <f t="shared" si="377"/>
        <v/>
      </c>
      <c r="DI183" s="15"/>
      <c r="DJ183" s="1"/>
      <c r="DK183" s="16"/>
      <c r="DL183" s="54"/>
      <c r="DM183" s="13" t="str">
        <f t="shared" si="420"/>
        <v/>
      </c>
      <c r="DN183" s="13"/>
      <c r="DO183" s="13"/>
      <c r="DP183" s="13"/>
      <c r="DQ183" s="13" t="str">
        <f t="shared" si="421"/>
        <v/>
      </c>
      <c r="DR183" s="13"/>
      <c r="DS183" s="13"/>
      <c r="DT183" s="13"/>
      <c r="DU183" s="13" t="str">
        <f t="shared" si="378"/>
        <v/>
      </c>
      <c r="DV183" s="14" t="str">
        <f t="shared" si="379"/>
        <v/>
      </c>
      <c r="DW183" s="15"/>
      <c r="DY183" s="16"/>
      <c r="DZ183" s="54"/>
      <c r="EA183" s="13" t="str">
        <f t="shared" si="422"/>
        <v/>
      </c>
      <c r="EB183" s="13"/>
      <c r="EC183" s="13"/>
      <c r="ED183" s="13"/>
      <c r="EE183" s="13" t="str">
        <f t="shared" si="423"/>
        <v/>
      </c>
      <c r="EF183" s="13"/>
      <c r="EG183" s="13"/>
      <c r="EH183" s="13"/>
      <c r="EI183" s="13" t="str">
        <f t="shared" si="380"/>
        <v/>
      </c>
      <c r="EJ183" s="14" t="str">
        <f t="shared" si="381"/>
        <v/>
      </c>
      <c r="EK183" s="15"/>
    </row>
    <row r="184" spans="1:141" ht="15" customHeight="1" x14ac:dyDescent="0.2">
      <c r="A184" s="133"/>
      <c r="B184" s="11"/>
      <c r="C184" s="53">
        <v>7267</v>
      </c>
      <c r="D184" s="13">
        <f>IF(C184="","",C184-C180)</f>
        <v>72</v>
      </c>
      <c r="E184" s="53">
        <v>426</v>
      </c>
      <c r="F184" s="13">
        <f t="shared" si="383"/>
        <v>1</v>
      </c>
      <c r="G184" s="13">
        <v>25</v>
      </c>
      <c r="H184" s="13">
        <f t="shared" si="384"/>
        <v>5</v>
      </c>
      <c r="I184" s="17">
        <v>20</v>
      </c>
      <c r="J184" s="56" t="str">
        <f t="shared" si="385"/>
        <v>電ブル</v>
      </c>
      <c r="K184" s="54">
        <f t="shared" si="386"/>
        <v>275</v>
      </c>
      <c r="L184" s="13">
        <f t="shared" si="387"/>
        <v>1375</v>
      </c>
      <c r="M184" s="14">
        <f t="shared" si="388"/>
        <v>0.19097222222222221</v>
      </c>
      <c r="N184" s="15"/>
      <c r="O184" s="2"/>
      <c r="P184" s="16"/>
      <c r="Q184" s="53">
        <v>1460</v>
      </c>
      <c r="R184" s="13">
        <f t="shared" si="389"/>
        <v>177</v>
      </c>
      <c r="S184" s="53">
        <v>161</v>
      </c>
      <c r="T184" s="13">
        <f t="shared" si="390"/>
        <v>3</v>
      </c>
      <c r="U184" s="13">
        <v>10</v>
      </c>
      <c r="V184" s="89">
        <f t="shared" si="391"/>
        <v>5</v>
      </c>
      <c r="W184" s="17">
        <v>4</v>
      </c>
      <c r="X184" s="56" t="str">
        <f t="shared" si="392"/>
        <v>たまごっちブロックシール</v>
      </c>
      <c r="Y184" s="54">
        <f t="shared" si="393"/>
        <v>600</v>
      </c>
      <c r="Z184" s="13">
        <f t="shared" si="394"/>
        <v>3000</v>
      </c>
      <c r="AA184" s="14">
        <f t="shared" si="395"/>
        <v>0.16949152542372881</v>
      </c>
      <c r="AB184" s="15"/>
      <c r="AC184" s="15"/>
      <c r="AD184" s="16"/>
      <c r="AE184" s="53">
        <v>11561</v>
      </c>
      <c r="AF184" s="87">
        <f t="shared" si="396"/>
        <v>38</v>
      </c>
      <c r="AG184" s="53">
        <v>241</v>
      </c>
      <c r="AH184" s="13">
        <f t="shared" si="397"/>
        <v>0</v>
      </c>
      <c r="AI184" s="13">
        <v>14</v>
      </c>
      <c r="AJ184" s="13">
        <f t="shared" si="398"/>
        <v>1</v>
      </c>
      <c r="AK184" s="17">
        <v>0</v>
      </c>
      <c r="AL184" s="56" t="str">
        <f t="shared" si="399"/>
        <v>キティししっぽ付きポーチ</v>
      </c>
      <c r="AM184" s="54">
        <f t="shared" si="400"/>
        <v>760</v>
      </c>
      <c r="AN184" s="13">
        <f t="shared" si="401"/>
        <v>760</v>
      </c>
      <c r="AO184" s="14">
        <f t="shared" si="402"/>
        <v>0.2</v>
      </c>
      <c r="AP184" s="233" t="s">
        <v>575</v>
      </c>
      <c r="AQ184" s="15"/>
      <c r="AR184" s="16"/>
      <c r="AS184" s="53">
        <v>9439</v>
      </c>
      <c r="AT184" s="13">
        <f t="shared" si="403"/>
        <v>79</v>
      </c>
      <c r="AU184" s="53">
        <v>468</v>
      </c>
      <c r="AV184" s="13">
        <f t="shared" si="404"/>
        <v>3</v>
      </c>
      <c r="AW184" s="13">
        <v>14</v>
      </c>
      <c r="AX184" s="13">
        <f t="shared" si="405"/>
        <v>1</v>
      </c>
      <c r="AY184" s="17">
        <v>0</v>
      </c>
      <c r="AZ184" s="56" t="str">
        <f t="shared" si="406"/>
        <v>液晶ミニカメラ</v>
      </c>
      <c r="BA184" s="54">
        <f t="shared" si="407"/>
        <v>1100</v>
      </c>
      <c r="BB184" s="13">
        <f t="shared" si="408"/>
        <v>1100</v>
      </c>
      <c r="BC184" s="14">
        <f t="shared" si="409"/>
        <v>0.13924050632911392</v>
      </c>
      <c r="BD184" s="15"/>
      <c r="BE184" s="2"/>
      <c r="BF184" s="16"/>
      <c r="BG184" s="239" t="s">
        <v>590</v>
      </c>
      <c r="BH184" s="53">
        <v>2977</v>
      </c>
      <c r="BI184" s="13">
        <f t="shared" si="361"/>
        <v>164</v>
      </c>
      <c r="BJ184" s="53">
        <v>18</v>
      </c>
      <c r="BK184" s="13">
        <f t="shared" si="362"/>
        <v>1</v>
      </c>
      <c r="BL184" s="13">
        <v>2</v>
      </c>
      <c r="BM184" s="13">
        <f t="shared" si="413"/>
        <v>1</v>
      </c>
      <c r="BN184" s="17">
        <v>1</v>
      </c>
      <c r="BO184" s="56" t="s">
        <v>545</v>
      </c>
      <c r="BP184" s="54">
        <f t="shared" si="427"/>
        <v>1500</v>
      </c>
      <c r="BQ184" s="13">
        <f t="shared" si="428"/>
        <v>1500</v>
      </c>
      <c r="BR184" s="14">
        <f t="shared" si="429"/>
        <v>9.1463414634146339E-2</v>
      </c>
      <c r="BS184" s="15"/>
      <c r="BU184" s="16"/>
      <c r="BV184" s="54"/>
      <c r="BW184" s="13" t="str">
        <f t="shared" si="414"/>
        <v/>
      </c>
      <c r="BX184" s="13"/>
      <c r="BY184" s="13"/>
      <c r="BZ184" s="13"/>
      <c r="CA184" s="13" t="str">
        <f t="shared" si="415"/>
        <v/>
      </c>
      <c r="CB184" s="13"/>
      <c r="CC184" s="13"/>
      <c r="CD184" s="13"/>
      <c r="CE184" s="13" t="str">
        <f t="shared" si="373"/>
        <v/>
      </c>
      <c r="CF184" s="14" t="str">
        <f t="shared" si="374"/>
        <v/>
      </c>
      <c r="CG184" s="15"/>
      <c r="CH184" s="1"/>
      <c r="CI184" s="16"/>
      <c r="CJ184" s="54"/>
      <c r="CK184" s="13" t="str">
        <f t="shared" si="416"/>
        <v/>
      </c>
      <c r="CL184" s="13"/>
      <c r="CM184" s="13"/>
      <c r="CN184" s="13"/>
      <c r="CO184" s="13" t="str">
        <f t="shared" si="417"/>
        <v/>
      </c>
      <c r="CP184" s="13"/>
      <c r="CQ184" s="13"/>
      <c r="CR184" s="13"/>
      <c r="CS184" s="13" t="str">
        <f t="shared" si="375"/>
        <v/>
      </c>
      <c r="CT184" s="14" t="str">
        <f t="shared" si="412"/>
        <v/>
      </c>
      <c r="CU184" s="15"/>
      <c r="CV184" s="1"/>
      <c r="CW184" s="16"/>
      <c r="CX184" s="54"/>
      <c r="CY184" s="13" t="str">
        <f t="shared" si="418"/>
        <v/>
      </c>
      <c r="CZ184" s="13"/>
      <c r="DA184" s="13"/>
      <c r="DB184" s="13"/>
      <c r="DC184" s="13" t="str">
        <f t="shared" si="419"/>
        <v/>
      </c>
      <c r="DD184" s="13"/>
      <c r="DE184" s="13"/>
      <c r="DF184" s="13"/>
      <c r="DG184" s="13" t="str">
        <f t="shared" si="376"/>
        <v/>
      </c>
      <c r="DH184" s="14" t="str">
        <f t="shared" si="377"/>
        <v/>
      </c>
      <c r="DI184" s="15"/>
      <c r="DJ184" s="1"/>
      <c r="DK184" s="16"/>
      <c r="DL184" s="54"/>
      <c r="DM184" s="13" t="str">
        <f t="shared" si="420"/>
        <v/>
      </c>
      <c r="DN184" s="13"/>
      <c r="DO184" s="13"/>
      <c r="DP184" s="13"/>
      <c r="DQ184" s="13" t="str">
        <f t="shared" si="421"/>
        <v/>
      </c>
      <c r="DR184" s="13"/>
      <c r="DS184" s="13"/>
      <c r="DT184" s="13"/>
      <c r="DU184" s="13" t="str">
        <f t="shared" si="378"/>
        <v/>
      </c>
      <c r="DV184" s="14" t="str">
        <f t="shared" si="379"/>
        <v/>
      </c>
      <c r="DW184" s="15"/>
      <c r="DY184" s="16"/>
      <c r="DZ184" s="54"/>
      <c r="EA184" s="13" t="str">
        <f t="shared" si="422"/>
        <v/>
      </c>
      <c r="EB184" s="13"/>
      <c r="EC184" s="13"/>
      <c r="ED184" s="13"/>
      <c r="EE184" s="13" t="str">
        <f t="shared" si="423"/>
        <v/>
      </c>
      <c r="EF184" s="13"/>
      <c r="EG184" s="13"/>
      <c r="EH184" s="13"/>
      <c r="EI184" s="13" t="str">
        <f t="shared" si="380"/>
        <v/>
      </c>
      <c r="EJ184" s="14" t="str">
        <f t="shared" si="381"/>
        <v/>
      </c>
      <c r="EK184" s="15"/>
    </row>
    <row r="185" spans="1:141" ht="15" customHeight="1" x14ac:dyDescent="0.2">
      <c r="A185" s="133"/>
      <c r="B185" s="11"/>
      <c r="C185" s="13">
        <v>12884</v>
      </c>
      <c r="D185" s="87">
        <f t="shared" si="382"/>
        <v>32</v>
      </c>
      <c r="E185" s="13">
        <v>714</v>
      </c>
      <c r="F185" s="13">
        <f t="shared" si="383"/>
        <v>7</v>
      </c>
      <c r="G185" s="13">
        <v>300</v>
      </c>
      <c r="H185" s="13">
        <f t="shared" si="384"/>
        <v>10</v>
      </c>
      <c r="I185" s="17">
        <v>0</v>
      </c>
      <c r="J185" s="56" t="str">
        <f t="shared" si="385"/>
        <v>ブレスレット</v>
      </c>
      <c r="K185" s="13">
        <f t="shared" si="386"/>
        <v>100</v>
      </c>
      <c r="L185" s="13">
        <f t="shared" si="387"/>
        <v>1000</v>
      </c>
      <c r="M185" s="14">
        <f t="shared" si="388"/>
        <v>0.3125</v>
      </c>
      <c r="N185" s="15"/>
      <c r="O185" s="2"/>
      <c r="P185" s="16"/>
      <c r="Q185" s="13">
        <v>9977</v>
      </c>
      <c r="R185" s="13">
        <f t="shared" si="389"/>
        <v>115</v>
      </c>
      <c r="S185" s="13">
        <v>207</v>
      </c>
      <c r="T185" s="13">
        <f t="shared" si="390"/>
        <v>1</v>
      </c>
      <c r="U185" s="13">
        <v>25</v>
      </c>
      <c r="V185" s="13">
        <f t="shared" si="391"/>
        <v>2</v>
      </c>
      <c r="W185" s="17">
        <v>0</v>
      </c>
      <c r="X185" s="56" t="str">
        <f t="shared" si="392"/>
        <v>たまごっちミニクリップ</v>
      </c>
      <c r="Y185" s="13">
        <f t="shared" si="393"/>
        <v>1100</v>
      </c>
      <c r="Z185" s="13">
        <f t="shared" si="394"/>
        <v>2200</v>
      </c>
      <c r="AA185" s="14">
        <f t="shared" si="395"/>
        <v>0.19130434782608696</v>
      </c>
      <c r="AB185" s="15"/>
      <c r="AC185" s="15"/>
      <c r="AD185" s="16"/>
      <c r="AE185" s="13">
        <v>13623</v>
      </c>
      <c r="AF185" s="87">
        <f t="shared" si="396"/>
        <v>25</v>
      </c>
      <c r="AG185" s="13">
        <v>371</v>
      </c>
      <c r="AH185" s="13">
        <f t="shared" si="397"/>
        <v>1</v>
      </c>
      <c r="AI185" s="13">
        <v>10</v>
      </c>
      <c r="AJ185" s="13">
        <f t="shared" si="398"/>
        <v>1</v>
      </c>
      <c r="AK185" s="17">
        <v>140</v>
      </c>
      <c r="AL185" s="56" t="s">
        <v>503</v>
      </c>
      <c r="AM185" s="13">
        <v>1000</v>
      </c>
      <c r="AN185" s="13">
        <f t="shared" si="401"/>
        <v>1000</v>
      </c>
      <c r="AO185" s="14">
        <f t="shared" si="402"/>
        <v>0.4</v>
      </c>
      <c r="AP185" s="15" t="s">
        <v>573</v>
      </c>
      <c r="AQ185" s="15"/>
      <c r="AR185" s="16"/>
      <c r="AS185" s="13">
        <v>17577</v>
      </c>
      <c r="AT185" s="13">
        <f t="shared" si="403"/>
        <v>74</v>
      </c>
      <c r="AU185" s="13">
        <v>566</v>
      </c>
      <c r="AV185" s="13">
        <f t="shared" si="404"/>
        <v>2</v>
      </c>
      <c r="AW185" s="13">
        <v>21</v>
      </c>
      <c r="AX185" s="13">
        <f t="shared" si="405"/>
        <v>2</v>
      </c>
      <c r="AY185" s="17">
        <v>0</v>
      </c>
      <c r="AZ185" s="56" t="str">
        <f t="shared" si="406"/>
        <v>たまごっちマスコット</v>
      </c>
      <c r="BA185" s="13">
        <f t="shared" si="407"/>
        <v>1430</v>
      </c>
      <c r="BB185" s="13">
        <f t="shared" si="408"/>
        <v>2860</v>
      </c>
      <c r="BC185" s="14">
        <f t="shared" si="409"/>
        <v>0.38648648648648648</v>
      </c>
      <c r="BD185" s="15"/>
      <c r="BE185" s="2"/>
      <c r="BF185" s="16"/>
      <c r="BG185" s="239" t="s">
        <v>591</v>
      </c>
      <c r="BH185" s="13">
        <v>2363</v>
      </c>
      <c r="BI185" s="13">
        <f t="shared" si="361"/>
        <v>259</v>
      </c>
      <c r="BJ185" s="13">
        <v>22</v>
      </c>
      <c r="BK185" s="13">
        <f t="shared" si="362"/>
        <v>1</v>
      </c>
      <c r="BL185" s="13">
        <v>2</v>
      </c>
      <c r="BM185" s="13">
        <f t="shared" si="413"/>
        <v>1</v>
      </c>
      <c r="BN185" s="17">
        <v>1</v>
      </c>
      <c r="BO185" s="56" t="s">
        <v>524</v>
      </c>
      <c r="BP185" s="13">
        <f t="shared" si="427"/>
        <v>1500</v>
      </c>
      <c r="BQ185" s="13">
        <f t="shared" si="428"/>
        <v>1500</v>
      </c>
      <c r="BR185" s="14">
        <f t="shared" si="429"/>
        <v>5.7915057915057917E-2</v>
      </c>
      <c r="BS185" s="15"/>
      <c r="BU185" s="16"/>
      <c r="BV185" s="54"/>
      <c r="BW185" s="13" t="str">
        <f t="shared" si="414"/>
        <v/>
      </c>
      <c r="BX185" s="13"/>
      <c r="BY185" s="13"/>
      <c r="BZ185" s="13"/>
      <c r="CA185" s="13" t="str">
        <f t="shared" si="415"/>
        <v/>
      </c>
      <c r="CB185" s="13"/>
      <c r="CC185" s="13"/>
      <c r="CD185" s="13"/>
      <c r="CE185" s="13" t="str">
        <f t="shared" si="373"/>
        <v/>
      </c>
      <c r="CF185" s="14" t="str">
        <f t="shared" si="374"/>
        <v/>
      </c>
      <c r="CG185" s="15"/>
      <c r="CH185" s="1"/>
      <c r="CI185" s="16"/>
      <c r="CJ185" s="54"/>
      <c r="CK185" s="13" t="str">
        <f t="shared" si="416"/>
        <v/>
      </c>
      <c r="CL185" s="13"/>
      <c r="CM185" s="13"/>
      <c r="CN185" s="13"/>
      <c r="CO185" s="13" t="str">
        <f t="shared" si="417"/>
        <v/>
      </c>
      <c r="CP185" s="13"/>
      <c r="CQ185" s="13"/>
      <c r="CR185" s="13"/>
      <c r="CS185" s="13" t="str">
        <f t="shared" si="375"/>
        <v/>
      </c>
      <c r="CT185" s="14" t="str">
        <f t="shared" si="412"/>
        <v/>
      </c>
      <c r="CU185" s="15"/>
      <c r="CV185" s="1"/>
      <c r="CW185" s="16"/>
      <c r="CX185" s="54"/>
      <c r="CY185" s="13" t="str">
        <f t="shared" si="418"/>
        <v/>
      </c>
      <c r="CZ185" s="13"/>
      <c r="DA185" s="13"/>
      <c r="DB185" s="13"/>
      <c r="DC185" s="13" t="str">
        <f t="shared" si="419"/>
        <v/>
      </c>
      <c r="DD185" s="13"/>
      <c r="DE185" s="13"/>
      <c r="DF185" s="13"/>
      <c r="DG185" s="13" t="str">
        <f t="shared" si="376"/>
        <v/>
      </c>
      <c r="DH185" s="14" t="str">
        <f t="shared" si="377"/>
        <v/>
      </c>
      <c r="DI185" s="15"/>
      <c r="DJ185" s="1"/>
      <c r="DK185" s="16"/>
      <c r="DL185" s="54"/>
      <c r="DM185" s="13" t="str">
        <f t="shared" si="420"/>
        <v/>
      </c>
      <c r="DN185" s="13"/>
      <c r="DO185" s="13"/>
      <c r="DP185" s="13"/>
      <c r="DQ185" s="13" t="str">
        <f t="shared" si="421"/>
        <v/>
      </c>
      <c r="DR185" s="13"/>
      <c r="DS185" s="13"/>
      <c r="DT185" s="13"/>
      <c r="DU185" s="13" t="str">
        <f t="shared" si="378"/>
        <v/>
      </c>
      <c r="DV185" s="14" t="str">
        <f t="shared" si="379"/>
        <v/>
      </c>
      <c r="DW185" s="15"/>
      <c r="DY185" s="16"/>
      <c r="DZ185" s="54"/>
      <c r="EA185" s="13" t="str">
        <f t="shared" si="422"/>
        <v/>
      </c>
      <c r="EB185" s="13"/>
      <c r="EC185" s="13"/>
      <c r="ED185" s="13"/>
      <c r="EE185" s="13" t="str">
        <f t="shared" si="423"/>
        <v/>
      </c>
      <c r="EF185" s="13"/>
      <c r="EG185" s="13"/>
      <c r="EH185" s="13"/>
      <c r="EI185" s="13" t="str">
        <f t="shared" si="380"/>
        <v/>
      </c>
      <c r="EJ185" s="14" t="str">
        <f t="shared" si="381"/>
        <v/>
      </c>
      <c r="EK185" s="15"/>
    </row>
    <row r="186" spans="1:141" ht="15" customHeight="1" thickBot="1" x14ac:dyDescent="0.25">
      <c r="A186" s="26"/>
      <c r="B186" s="46"/>
      <c r="C186" s="27">
        <v>8760</v>
      </c>
      <c r="D186" s="27">
        <f t="shared" si="382"/>
        <v>63</v>
      </c>
      <c r="E186" s="27">
        <v>518</v>
      </c>
      <c r="F186" s="27">
        <f t="shared" si="383"/>
        <v>4</v>
      </c>
      <c r="G186" s="27">
        <v>8</v>
      </c>
      <c r="H186" s="27">
        <f t="shared" si="384"/>
        <v>4</v>
      </c>
      <c r="I186" s="47">
        <v>10</v>
      </c>
      <c r="J186" s="57" t="str">
        <f t="shared" ref="J186:J206" si="430">IF(C186="","",J182)</f>
        <v>モンチチフルーツマスコット</v>
      </c>
      <c r="K186" s="62">
        <v>572</v>
      </c>
      <c r="L186" s="27">
        <f t="shared" si="387"/>
        <v>2288</v>
      </c>
      <c r="M186" s="28">
        <f t="shared" si="388"/>
        <v>0.36317460317460315</v>
      </c>
      <c r="N186" s="15" t="s">
        <v>32</v>
      </c>
      <c r="O186" s="2"/>
      <c r="P186" s="26"/>
      <c r="Q186" s="27">
        <v>14011</v>
      </c>
      <c r="R186" s="27">
        <f t="shared" si="389"/>
        <v>140</v>
      </c>
      <c r="S186" s="27">
        <v>587</v>
      </c>
      <c r="T186" s="27">
        <f t="shared" si="390"/>
        <v>5</v>
      </c>
      <c r="U186" s="27">
        <v>36</v>
      </c>
      <c r="V186" s="27">
        <f t="shared" si="391"/>
        <v>6</v>
      </c>
      <c r="W186" s="47">
        <v>0</v>
      </c>
      <c r="X186" s="57" t="str">
        <f t="shared" si="392"/>
        <v>ボンボンドロップ</v>
      </c>
      <c r="Y186" s="62">
        <f>IF(R186="","",Y182)</f>
        <v>200</v>
      </c>
      <c r="Z186" s="27">
        <f t="shared" si="394"/>
        <v>1200</v>
      </c>
      <c r="AA186" s="28">
        <f t="shared" si="395"/>
        <v>8.5714285714285715E-2</v>
      </c>
      <c r="AB186" s="15"/>
      <c r="AC186" s="15"/>
      <c r="AD186" s="26"/>
      <c r="AE186" s="27">
        <v>13397</v>
      </c>
      <c r="AF186" s="27">
        <f t="shared" si="396"/>
        <v>136</v>
      </c>
      <c r="AG186" s="27">
        <v>350</v>
      </c>
      <c r="AH186" s="27">
        <f t="shared" si="397"/>
        <v>11</v>
      </c>
      <c r="AI186" s="27">
        <v>5</v>
      </c>
      <c r="AJ186" s="27">
        <f t="shared" si="398"/>
        <v>11</v>
      </c>
      <c r="AK186" s="47">
        <v>0</v>
      </c>
      <c r="AL186" s="57" t="s">
        <v>571</v>
      </c>
      <c r="AM186" s="62">
        <v>400</v>
      </c>
      <c r="AN186" s="27">
        <f t="shared" si="401"/>
        <v>4400</v>
      </c>
      <c r="AO186" s="28">
        <f t="shared" si="402"/>
        <v>0.3235294117647059</v>
      </c>
      <c r="AP186" s="15" t="s">
        <v>576</v>
      </c>
      <c r="AQ186" s="39"/>
      <c r="AR186" s="26"/>
      <c r="AS186" s="27">
        <v>17683</v>
      </c>
      <c r="AT186" s="27">
        <f t="shared" si="403"/>
        <v>272</v>
      </c>
      <c r="AU186" s="27">
        <v>501</v>
      </c>
      <c r="AV186" s="27">
        <f t="shared" si="404"/>
        <v>3</v>
      </c>
      <c r="AW186" s="27">
        <v>20</v>
      </c>
      <c r="AX186" s="27">
        <f t="shared" si="405"/>
        <v>3</v>
      </c>
      <c r="AY186" s="47">
        <v>0</v>
      </c>
      <c r="AZ186" s="57" t="str">
        <f t="shared" si="406"/>
        <v>バタースクイーズ</v>
      </c>
      <c r="BA186" s="62">
        <f>IF(AT186="","",BA182)</f>
        <v>400</v>
      </c>
      <c r="BB186" s="27">
        <f t="shared" si="408"/>
        <v>1200</v>
      </c>
      <c r="BC186" s="28">
        <f t="shared" si="409"/>
        <v>4.4117647058823532E-2</v>
      </c>
      <c r="BD186" s="15"/>
      <c r="BE186" s="2"/>
      <c r="BF186" s="26"/>
      <c r="BG186" s="238" t="s">
        <v>592</v>
      </c>
      <c r="BH186" s="27">
        <v>1926</v>
      </c>
      <c r="BI186" s="27">
        <f t="shared" si="361"/>
        <v>41</v>
      </c>
      <c r="BJ186" s="27">
        <v>23</v>
      </c>
      <c r="BK186" s="27">
        <f t="shared" si="362"/>
        <v>3</v>
      </c>
      <c r="BL186" s="27">
        <v>0</v>
      </c>
      <c r="BM186" s="27">
        <f t="shared" si="413"/>
        <v>3</v>
      </c>
      <c r="BN186" s="47">
        <v>2</v>
      </c>
      <c r="BO186" s="57" t="s">
        <v>568</v>
      </c>
      <c r="BP186" s="62">
        <f t="shared" si="427"/>
        <v>1500</v>
      </c>
      <c r="BQ186" s="27">
        <f t="shared" si="428"/>
        <v>4500</v>
      </c>
      <c r="BR186" s="28">
        <f t="shared" si="429"/>
        <v>1.0975609756097562</v>
      </c>
      <c r="BS186" s="15"/>
      <c r="BU186" s="16"/>
      <c r="BV186" s="54"/>
      <c r="BW186" s="13" t="str">
        <f t="shared" si="414"/>
        <v/>
      </c>
      <c r="BX186" s="13"/>
      <c r="BY186" s="13"/>
      <c r="BZ186" s="13"/>
      <c r="CA186" s="13" t="str">
        <f t="shared" si="415"/>
        <v/>
      </c>
      <c r="CB186" s="13"/>
      <c r="CC186" s="13"/>
      <c r="CD186" s="13"/>
      <c r="CE186" s="13" t="str">
        <f t="shared" si="373"/>
        <v/>
      </c>
      <c r="CF186" s="14" t="str">
        <f t="shared" si="374"/>
        <v/>
      </c>
      <c r="CG186" s="15"/>
      <c r="CH186" s="1"/>
      <c r="CI186" s="16"/>
      <c r="CJ186" s="54"/>
      <c r="CK186" s="13" t="str">
        <f t="shared" si="416"/>
        <v/>
      </c>
      <c r="CL186" s="13"/>
      <c r="CM186" s="13"/>
      <c r="CN186" s="13"/>
      <c r="CO186" s="13" t="str">
        <f t="shared" si="417"/>
        <v/>
      </c>
      <c r="CP186" s="13"/>
      <c r="CQ186" s="13"/>
      <c r="CR186" s="13"/>
      <c r="CS186" s="13" t="str">
        <f t="shared" si="375"/>
        <v/>
      </c>
      <c r="CT186" s="14" t="str">
        <f t="shared" si="412"/>
        <v/>
      </c>
      <c r="CU186" s="15"/>
      <c r="CV186" s="1"/>
      <c r="CW186" s="16"/>
      <c r="CX186" s="54"/>
      <c r="CY186" s="13" t="str">
        <f t="shared" si="418"/>
        <v/>
      </c>
      <c r="CZ186" s="13"/>
      <c r="DA186" s="13"/>
      <c r="DB186" s="13"/>
      <c r="DC186" s="13" t="str">
        <f t="shared" si="419"/>
        <v/>
      </c>
      <c r="DD186" s="13"/>
      <c r="DE186" s="13"/>
      <c r="DF186" s="13"/>
      <c r="DG186" s="13" t="str">
        <f t="shared" si="376"/>
        <v/>
      </c>
      <c r="DH186" s="14" t="str">
        <f t="shared" si="377"/>
        <v/>
      </c>
      <c r="DI186" s="15"/>
      <c r="DJ186" s="1"/>
      <c r="DK186" s="16"/>
      <c r="DL186" s="54"/>
      <c r="DM186" s="13" t="str">
        <f t="shared" si="420"/>
        <v/>
      </c>
      <c r="DN186" s="13"/>
      <c r="DO186" s="13"/>
      <c r="DP186" s="13"/>
      <c r="DQ186" s="13" t="str">
        <f t="shared" si="421"/>
        <v/>
      </c>
      <c r="DR186" s="13"/>
      <c r="DS186" s="13"/>
      <c r="DT186" s="13"/>
      <c r="DU186" s="13" t="str">
        <f t="shared" si="378"/>
        <v/>
      </c>
      <c r="DV186" s="14" t="str">
        <f t="shared" si="379"/>
        <v/>
      </c>
      <c r="DW186" s="15"/>
      <c r="DY186" s="16"/>
      <c r="DZ186" s="54"/>
      <c r="EA186" s="13" t="str">
        <f t="shared" si="422"/>
        <v/>
      </c>
      <c r="EB186" s="13"/>
      <c r="EC186" s="13"/>
      <c r="ED186" s="13"/>
      <c r="EE186" s="13" t="str">
        <f t="shared" si="423"/>
        <v/>
      </c>
      <c r="EF186" s="13"/>
      <c r="EG186" s="13"/>
      <c r="EH186" s="13"/>
      <c r="EI186" s="13" t="str">
        <f t="shared" si="380"/>
        <v/>
      </c>
      <c r="EJ186" s="14" t="str">
        <f t="shared" si="381"/>
        <v/>
      </c>
      <c r="EK186" s="15"/>
    </row>
    <row r="187" spans="1:141" ht="15" customHeight="1" thickTop="1" x14ac:dyDescent="0.2">
      <c r="A187" s="158">
        <v>46121</v>
      </c>
      <c r="B187" s="74">
        <f>IF(A187="","",SUM(D187:D190)+SUM(R187:R190)+SUM(AF187:AF190)+SUM(AT187:AT190)+SUM(BW160,CK160,CY160,DM160,EA160)+SUM(BI187:BI190))</f>
        <v>2089</v>
      </c>
      <c r="C187" s="53">
        <v>7596</v>
      </c>
      <c r="D187" s="53">
        <f t="shared" si="382"/>
        <v>37</v>
      </c>
      <c r="E187" s="53">
        <v>387</v>
      </c>
      <c r="F187" s="31">
        <f t="shared" si="383"/>
        <v>2</v>
      </c>
      <c r="G187" s="53">
        <v>19</v>
      </c>
      <c r="H187" s="53">
        <f t="shared" si="384"/>
        <v>2</v>
      </c>
      <c r="I187" s="80">
        <v>0</v>
      </c>
      <c r="J187" s="75" t="str">
        <f t="shared" si="430"/>
        <v>ジャグラーボタン</v>
      </c>
      <c r="K187" s="76">
        <f t="shared" ref="K187:K206" si="431">IF(D187="","",K183)</f>
        <v>748</v>
      </c>
      <c r="L187" s="31">
        <f t="shared" si="387"/>
        <v>1496</v>
      </c>
      <c r="M187" s="32">
        <f t="shared" si="388"/>
        <v>0.4043243243243243</v>
      </c>
      <c r="N187" s="15"/>
      <c r="O187" s="2"/>
      <c r="P187" s="79">
        <f>IF($A187="","",$A187)</f>
        <v>46121</v>
      </c>
      <c r="Q187" s="53">
        <v>8618</v>
      </c>
      <c r="R187" s="53">
        <f t="shared" si="389"/>
        <v>75</v>
      </c>
      <c r="S187" s="53">
        <v>260</v>
      </c>
      <c r="T187" s="31">
        <f t="shared" si="390"/>
        <v>2</v>
      </c>
      <c r="U187" s="53">
        <v>10</v>
      </c>
      <c r="V187" s="53">
        <f t="shared" si="391"/>
        <v>3</v>
      </c>
      <c r="W187" s="80">
        <v>2</v>
      </c>
      <c r="X187" s="75" t="str">
        <f t="shared" si="392"/>
        <v>キティボアバンスクリップ</v>
      </c>
      <c r="Y187" s="76">
        <f t="shared" ref="Y187:Y190" si="432">IF(R187="","",Y183)</f>
        <v>1100</v>
      </c>
      <c r="Z187" s="31">
        <f t="shared" si="394"/>
        <v>3300</v>
      </c>
      <c r="AA187" s="32">
        <f t="shared" si="395"/>
        <v>0.44</v>
      </c>
      <c r="AB187" s="15"/>
      <c r="AC187" s="15"/>
      <c r="AD187" s="79">
        <f>IF($A187="","",$A187)</f>
        <v>46121</v>
      </c>
      <c r="AE187" s="53">
        <v>11676</v>
      </c>
      <c r="AF187" s="53">
        <f t="shared" si="396"/>
        <v>19</v>
      </c>
      <c r="AG187" s="53">
        <v>268</v>
      </c>
      <c r="AH187" s="31">
        <f t="shared" si="397"/>
        <v>0</v>
      </c>
      <c r="AI187" s="53">
        <v>8</v>
      </c>
      <c r="AJ187" s="53">
        <f t="shared" si="398"/>
        <v>0</v>
      </c>
      <c r="AK187" s="80">
        <v>7</v>
      </c>
      <c r="AL187" s="75" t="str">
        <f t="shared" si="399"/>
        <v>サンリオヘアオイル</v>
      </c>
      <c r="AM187" s="76">
        <f t="shared" ref="AM187:AM190" si="433">IF(AF187="","",AM183)</f>
        <v>1100</v>
      </c>
      <c r="AN187" s="31">
        <f t="shared" si="401"/>
        <v>0</v>
      </c>
      <c r="AO187" s="32">
        <f t="shared" si="402"/>
        <v>0</v>
      </c>
      <c r="AP187" s="15" t="s">
        <v>582</v>
      </c>
      <c r="AQ187" s="113"/>
      <c r="AR187" s="79">
        <f>IF($A187="","",$A187)</f>
        <v>46121</v>
      </c>
      <c r="AS187" s="53">
        <v>12601</v>
      </c>
      <c r="AT187" s="53">
        <f t="shared" si="403"/>
        <v>31</v>
      </c>
      <c r="AU187" s="53">
        <v>392</v>
      </c>
      <c r="AV187" s="31">
        <f t="shared" si="404"/>
        <v>0</v>
      </c>
      <c r="AW187" s="53">
        <v>28</v>
      </c>
      <c r="AX187" s="53">
        <f t="shared" si="405"/>
        <v>0</v>
      </c>
      <c r="AY187" s="80">
        <v>0</v>
      </c>
      <c r="AZ187" s="75" t="str">
        <f t="shared" si="406"/>
        <v>ゲーム機イヤホン</v>
      </c>
      <c r="BA187" s="76">
        <f t="shared" ref="BA187:BA190" si="434">IF(AT187="","",BA183)</f>
        <v>1100</v>
      </c>
      <c r="BB187" s="31">
        <f t="shared" si="408"/>
        <v>0</v>
      </c>
      <c r="BC187" s="32">
        <f t="shared" si="409"/>
        <v>0</v>
      </c>
      <c r="BD187" s="15" t="s">
        <v>579</v>
      </c>
      <c r="BE187" s="2"/>
      <c r="BF187" s="79">
        <f>IF($A187="","",$A187)</f>
        <v>46121</v>
      </c>
      <c r="BG187" s="239" t="s">
        <v>589</v>
      </c>
      <c r="BH187" s="53">
        <v>2153</v>
      </c>
      <c r="BI187" s="53">
        <f t="shared" si="361"/>
        <v>56</v>
      </c>
      <c r="BJ187" s="53">
        <v>26</v>
      </c>
      <c r="BK187" s="31">
        <f t="shared" si="362"/>
        <v>2</v>
      </c>
      <c r="BL187" s="53">
        <v>0</v>
      </c>
      <c r="BM187" s="53">
        <f t="shared" si="413"/>
        <v>3</v>
      </c>
      <c r="BN187" s="80">
        <v>3</v>
      </c>
      <c r="BO187" s="75" t="str">
        <f t="shared" si="426"/>
        <v>プチドロディズニー</v>
      </c>
      <c r="BP187" s="76">
        <f t="shared" si="427"/>
        <v>1500</v>
      </c>
      <c r="BQ187" s="31">
        <f t="shared" si="428"/>
        <v>4500</v>
      </c>
      <c r="BR187" s="32">
        <f t="shared" si="429"/>
        <v>0.8035714285714286</v>
      </c>
      <c r="BS187" s="15"/>
      <c r="BU187" s="16"/>
      <c r="BV187" s="54"/>
      <c r="BW187" s="13" t="str">
        <f t="shared" si="414"/>
        <v/>
      </c>
      <c r="BX187" s="13"/>
      <c r="BY187" s="13"/>
      <c r="BZ187" s="13"/>
      <c r="CA187" s="13" t="str">
        <f t="shared" si="415"/>
        <v/>
      </c>
      <c r="CB187" s="13"/>
      <c r="CC187" s="13"/>
      <c r="CD187" s="13"/>
      <c r="CE187" s="13" t="str">
        <f t="shared" si="373"/>
        <v/>
      </c>
      <c r="CF187" s="14" t="str">
        <f t="shared" si="374"/>
        <v/>
      </c>
      <c r="CG187" s="15"/>
      <c r="CH187" s="1"/>
      <c r="CI187" s="16"/>
      <c r="CJ187" s="54"/>
      <c r="CK187" s="13" t="str">
        <f t="shared" si="416"/>
        <v/>
      </c>
      <c r="CL187" s="13"/>
      <c r="CM187" s="13"/>
      <c r="CN187" s="13"/>
      <c r="CO187" s="13" t="str">
        <f t="shared" si="417"/>
        <v/>
      </c>
      <c r="CP187" s="13"/>
      <c r="CQ187" s="13"/>
      <c r="CR187" s="13"/>
      <c r="CS187" s="13" t="str">
        <f t="shared" si="375"/>
        <v/>
      </c>
      <c r="CT187" s="14" t="str">
        <f t="shared" si="412"/>
        <v/>
      </c>
      <c r="CU187" s="15"/>
      <c r="CV187" s="1"/>
      <c r="CW187" s="16"/>
      <c r="CX187" s="54"/>
      <c r="CY187" s="13" t="str">
        <f t="shared" si="418"/>
        <v/>
      </c>
      <c r="CZ187" s="13"/>
      <c r="DA187" s="13"/>
      <c r="DB187" s="13"/>
      <c r="DC187" s="13" t="str">
        <f t="shared" si="419"/>
        <v/>
      </c>
      <c r="DD187" s="13"/>
      <c r="DE187" s="13"/>
      <c r="DF187" s="13"/>
      <c r="DG187" s="13" t="str">
        <f t="shared" si="376"/>
        <v/>
      </c>
      <c r="DH187" s="14" t="str">
        <f t="shared" si="377"/>
        <v/>
      </c>
      <c r="DI187" s="15"/>
      <c r="DJ187" s="1"/>
      <c r="DK187" s="16"/>
      <c r="DL187" s="54"/>
      <c r="DM187" s="13" t="str">
        <f t="shared" si="420"/>
        <v/>
      </c>
      <c r="DN187" s="13"/>
      <c r="DO187" s="13"/>
      <c r="DP187" s="13"/>
      <c r="DQ187" s="13" t="str">
        <f t="shared" si="421"/>
        <v/>
      </c>
      <c r="DR187" s="13"/>
      <c r="DS187" s="13"/>
      <c r="DT187" s="13"/>
      <c r="DU187" s="13" t="str">
        <f t="shared" si="378"/>
        <v/>
      </c>
      <c r="DV187" s="14" t="str">
        <f t="shared" si="379"/>
        <v/>
      </c>
      <c r="DW187" s="15"/>
      <c r="DY187" s="16"/>
      <c r="DZ187" s="54"/>
      <c r="EA187" s="13" t="str">
        <f t="shared" si="422"/>
        <v/>
      </c>
      <c r="EB187" s="13"/>
      <c r="EC187" s="13"/>
      <c r="ED187" s="13"/>
      <c r="EE187" s="13" t="str">
        <f t="shared" si="423"/>
        <v/>
      </c>
      <c r="EF187" s="13"/>
      <c r="EG187" s="13"/>
      <c r="EH187" s="13"/>
      <c r="EI187" s="13" t="str">
        <f t="shared" si="380"/>
        <v/>
      </c>
      <c r="EJ187" s="14" t="str">
        <f t="shared" si="381"/>
        <v/>
      </c>
      <c r="EK187" s="15"/>
    </row>
    <row r="188" spans="1:141" x14ac:dyDescent="0.2">
      <c r="A188" s="16"/>
      <c r="B188" s="11"/>
      <c r="C188" s="13">
        <v>7320</v>
      </c>
      <c r="D188" s="53">
        <f t="shared" si="382"/>
        <v>53</v>
      </c>
      <c r="E188" s="13">
        <v>430</v>
      </c>
      <c r="F188" s="13">
        <f t="shared" si="383"/>
        <v>4</v>
      </c>
      <c r="G188" s="13">
        <v>40</v>
      </c>
      <c r="H188" s="13">
        <f t="shared" si="384"/>
        <v>5</v>
      </c>
      <c r="I188" s="17">
        <v>0</v>
      </c>
      <c r="J188" s="56" t="str">
        <f t="shared" si="430"/>
        <v>電ブル</v>
      </c>
      <c r="K188" s="54">
        <f t="shared" si="431"/>
        <v>275</v>
      </c>
      <c r="L188" s="13">
        <f t="shared" si="387"/>
        <v>1375</v>
      </c>
      <c r="M188" s="14">
        <f t="shared" si="388"/>
        <v>0.25943396226415094</v>
      </c>
      <c r="N188" s="15"/>
      <c r="O188" s="2"/>
      <c r="P188" s="16"/>
      <c r="Q188" s="13">
        <v>1594</v>
      </c>
      <c r="R188" s="53">
        <f t="shared" si="389"/>
        <v>134</v>
      </c>
      <c r="S188" s="13">
        <v>163</v>
      </c>
      <c r="T188" s="13">
        <f t="shared" si="390"/>
        <v>2</v>
      </c>
      <c r="U188" s="13">
        <v>10</v>
      </c>
      <c r="V188" s="89">
        <f t="shared" si="391"/>
        <v>4</v>
      </c>
      <c r="W188" s="17">
        <v>7</v>
      </c>
      <c r="X188" s="56" t="str">
        <f t="shared" si="392"/>
        <v>たまごっちブロックシール</v>
      </c>
      <c r="Y188" s="54">
        <f t="shared" si="432"/>
        <v>600</v>
      </c>
      <c r="Z188" s="13">
        <f t="shared" si="394"/>
        <v>2400</v>
      </c>
      <c r="AA188" s="14">
        <f t="shared" si="395"/>
        <v>0.17910447761194029</v>
      </c>
      <c r="AB188" s="15"/>
      <c r="AC188" s="15"/>
      <c r="AD188" s="16"/>
      <c r="AE188" s="13">
        <v>11600</v>
      </c>
      <c r="AF188" s="53">
        <f t="shared" si="396"/>
        <v>39</v>
      </c>
      <c r="AG188" s="13">
        <v>242</v>
      </c>
      <c r="AH188" s="13">
        <f t="shared" si="397"/>
        <v>1</v>
      </c>
      <c r="AI188" s="13">
        <v>14</v>
      </c>
      <c r="AJ188" s="13">
        <f t="shared" si="398"/>
        <v>0</v>
      </c>
      <c r="AK188" s="17">
        <v>-2</v>
      </c>
      <c r="AL188" s="56" t="str">
        <f t="shared" si="399"/>
        <v>キティししっぽ付きポーチ</v>
      </c>
      <c r="AM188" s="54">
        <f t="shared" si="433"/>
        <v>760</v>
      </c>
      <c r="AN188" s="13">
        <f t="shared" si="401"/>
        <v>0</v>
      </c>
      <c r="AO188" s="14">
        <f t="shared" si="402"/>
        <v>0</v>
      </c>
      <c r="AP188" s="15" t="s">
        <v>581</v>
      </c>
      <c r="AQ188" s="113"/>
      <c r="AR188" s="16"/>
      <c r="AS188" s="13">
        <v>9473</v>
      </c>
      <c r="AT188" s="53">
        <f t="shared" si="403"/>
        <v>34</v>
      </c>
      <c r="AU188" s="13">
        <v>469</v>
      </c>
      <c r="AV188" s="13">
        <f t="shared" si="404"/>
        <v>1</v>
      </c>
      <c r="AW188" s="13">
        <v>13</v>
      </c>
      <c r="AX188" s="13">
        <f t="shared" si="405"/>
        <v>1</v>
      </c>
      <c r="AY188" s="17">
        <v>0</v>
      </c>
      <c r="AZ188" s="56" t="str">
        <f t="shared" si="406"/>
        <v>液晶ミニカメラ</v>
      </c>
      <c r="BA188" s="54">
        <f t="shared" si="434"/>
        <v>1100</v>
      </c>
      <c r="BB188" s="13">
        <f t="shared" si="408"/>
        <v>1100</v>
      </c>
      <c r="BC188" s="14">
        <f t="shared" si="409"/>
        <v>0.3235294117647059</v>
      </c>
      <c r="BD188" s="15"/>
      <c r="BE188" s="2"/>
      <c r="BF188" s="16"/>
      <c r="BG188" s="239" t="s">
        <v>590</v>
      </c>
      <c r="BH188" s="13">
        <v>3082</v>
      </c>
      <c r="BI188" s="53">
        <f t="shared" si="361"/>
        <v>105</v>
      </c>
      <c r="BJ188" s="13">
        <v>20</v>
      </c>
      <c r="BK188" s="13">
        <f t="shared" si="362"/>
        <v>2</v>
      </c>
      <c r="BL188" s="13">
        <v>1</v>
      </c>
      <c r="BM188" s="13">
        <f t="shared" si="413"/>
        <v>2</v>
      </c>
      <c r="BN188" s="17">
        <v>2</v>
      </c>
      <c r="BO188" s="56" t="str">
        <f t="shared" si="426"/>
        <v>ボンドロちいかわ</v>
      </c>
      <c r="BP188" s="54">
        <f t="shared" si="427"/>
        <v>1500</v>
      </c>
      <c r="BQ188" s="13">
        <f t="shared" si="428"/>
        <v>3000</v>
      </c>
      <c r="BR188" s="14">
        <f t="shared" si="429"/>
        <v>0.2857142857142857</v>
      </c>
      <c r="BS188" s="15"/>
      <c r="BT188" s="113"/>
      <c r="BU188" s="16"/>
      <c r="BV188" s="54"/>
      <c r="BW188" s="13" t="str">
        <f t="shared" si="414"/>
        <v/>
      </c>
      <c r="BX188" s="13"/>
      <c r="BY188" s="13"/>
      <c r="BZ188" s="13"/>
      <c r="CA188" s="13" t="str">
        <f t="shared" si="415"/>
        <v/>
      </c>
      <c r="CB188" s="13"/>
      <c r="CC188" s="13"/>
      <c r="CD188" s="13"/>
      <c r="CE188" s="13" t="str">
        <f t="shared" si="373"/>
        <v/>
      </c>
      <c r="CF188" s="14" t="str">
        <f t="shared" si="374"/>
        <v/>
      </c>
      <c r="CG188" s="15"/>
      <c r="CH188" s="1"/>
      <c r="CI188" s="16"/>
      <c r="CJ188" s="54"/>
      <c r="CK188" s="13" t="str">
        <f t="shared" si="416"/>
        <v/>
      </c>
      <c r="CL188" s="13"/>
      <c r="CM188" s="13"/>
      <c r="CN188" s="13"/>
      <c r="CO188" s="13" t="str">
        <f t="shared" si="417"/>
        <v/>
      </c>
      <c r="CP188" s="13"/>
      <c r="CQ188" s="13"/>
      <c r="CR188" s="13"/>
      <c r="CS188" s="13" t="str">
        <f t="shared" si="375"/>
        <v/>
      </c>
      <c r="CT188" s="14" t="str">
        <f t="shared" si="412"/>
        <v/>
      </c>
      <c r="CU188" s="15"/>
      <c r="CV188" s="1"/>
      <c r="CW188" s="16"/>
      <c r="CX188" s="54"/>
      <c r="CY188" s="13" t="str">
        <f t="shared" si="418"/>
        <v/>
      </c>
      <c r="CZ188" s="13"/>
      <c r="DA188" s="13"/>
      <c r="DB188" s="13"/>
      <c r="DC188" s="13" t="str">
        <f t="shared" si="419"/>
        <v/>
      </c>
      <c r="DD188" s="13"/>
      <c r="DE188" s="13"/>
      <c r="DF188" s="13"/>
      <c r="DG188" s="13" t="str">
        <f t="shared" si="376"/>
        <v/>
      </c>
      <c r="DH188" s="14" t="str">
        <f t="shared" si="377"/>
        <v/>
      </c>
      <c r="DI188" s="15"/>
      <c r="DJ188" s="1"/>
      <c r="DK188" s="16"/>
      <c r="DL188" s="54"/>
      <c r="DM188" s="13" t="str">
        <f t="shared" si="420"/>
        <v/>
      </c>
      <c r="DN188" s="13"/>
      <c r="DO188" s="13"/>
      <c r="DP188" s="13"/>
      <c r="DQ188" s="13" t="str">
        <f t="shared" si="421"/>
        <v/>
      </c>
      <c r="DR188" s="13"/>
      <c r="DS188" s="13"/>
      <c r="DT188" s="13"/>
      <c r="DU188" s="13" t="str">
        <f t="shared" si="378"/>
        <v/>
      </c>
      <c r="DV188" s="14" t="str">
        <f t="shared" si="379"/>
        <v/>
      </c>
      <c r="DW188" s="15"/>
      <c r="DY188" s="16"/>
      <c r="DZ188" s="54"/>
      <c r="EA188" s="13" t="str">
        <f t="shared" si="422"/>
        <v/>
      </c>
      <c r="EB188" s="13"/>
      <c r="EC188" s="13"/>
      <c r="ED188" s="13"/>
      <c r="EE188" s="13" t="str">
        <f t="shared" si="423"/>
        <v/>
      </c>
      <c r="EF188" s="13"/>
      <c r="EG188" s="13"/>
      <c r="EH188" s="13"/>
      <c r="EI188" s="13" t="str">
        <f t="shared" si="380"/>
        <v/>
      </c>
      <c r="EJ188" s="14" t="str">
        <f t="shared" si="381"/>
        <v/>
      </c>
      <c r="EK188" s="15"/>
    </row>
    <row r="189" spans="1:141" ht="15" customHeight="1" x14ac:dyDescent="0.2">
      <c r="A189" s="149"/>
      <c r="B189" s="11"/>
      <c r="C189" s="13">
        <v>12961</v>
      </c>
      <c r="D189" s="63">
        <f t="shared" si="382"/>
        <v>77</v>
      </c>
      <c r="E189" s="13">
        <v>725</v>
      </c>
      <c r="F189" s="13">
        <f t="shared" si="383"/>
        <v>11</v>
      </c>
      <c r="G189" s="34">
        <v>280</v>
      </c>
      <c r="H189" s="34">
        <f t="shared" si="384"/>
        <v>20</v>
      </c>
      <c r="I189" s="49">
        <v>0</v>
      </c>
      <c r="J189" s="56" t="str">
        <f t="shared" si="430"/>
        <v>ブレスレット</v>
      </c>
      <c r="K189" s="13">
        <f t="shared" si="431"/>
        <v>100</v>
      </c>
      <c r="L189" s="13">
        <f t="shared" si="387"/>
        <v>2000</v>
      </c>
      <c r="M189" s="14">
        <f t="shared" si="388"/>
        <v>0.25974025974025972</v>
      </c>
      <c r="N189" s="15"/>
      <c r="O189" s="2"/>
      <c r="P189" s="16"/>
      <c r="Q189" s="13">
        <v>10095</v>
      </c>
      <c r="R189" s="63">
        <f t="shared" si="389"/>
        <v>118</v>
      </c>
      <c r="S189" s="13">
        <v>210</v>
      </c>
      <c r="T189" s="13">
        <f t="shared" si="390"/>
        <v>3</v>
      </c>
      <c r="U189" s="34">
        <v>23</v>
      </c>
      <c r="V189" s="34">
        <f t="shared" si="391"/>
        <v>2</v>
      </c>
      <c r="W189" s="49">
        <v>3</v>
      </c>
      <c r="X189" s="56" t="str">
        <f t="shared" si="392"/>
        <v>たまごっちミニクリップ</v>
      </c>
      <c r="Y189" s="13">
        <f t="shared" si="432"/>
        <v>1100</v>
      </c>
      <c r="Z189" s="13">
        <f t="shared" si="394"/>
        <v>2200</v>
      </c>
      <c r="AA189" s="14">
        <f t="shared" si="395"/>
        <v>0.1864406779661017</v>
      </c>
      <c r="AB189" s="15"/>
      <c r="AC189" s="15"/>
      <c r="AD189" s="16"/>
      <c r="AE189" s="13">
        <v>13667</v>
      </c>
      <c r="AF189" s="63">
        <f t="shared" si="396"/>
        <v>44</v>
      </c>
      <c r="AG189" s="13">
        <v>375</v>
      </c>
      <c r="AH189" s="13">
        <f t="shared" si="397"/>
        <v>4</v>
      </c>
      <c r="AI189" s="34">
        <v>140</v>
      </c>
      <c r="AJ189" s="34">
        <f t="shared" si="398"/>
        <v>10</v>
      </c>
      <c r="AK189" s="49">
        <v>0</v>
      </c>
      <c r="AL189" s="56" t="s">
        <v>578</v>
      </c>
      <c r="AM189" s="13">
        <v>99</v>
      </c>
      <c r="AN189" s="13">
        <f t="shared" si="401"/>
        <v>990</v>
      </c>
      <c r="AO189" s="14">
        <f t="shared" si="402"/>
        <v>0.22500000000000001</v>
      </c>
      <c r="AP189" s="15" t="s">
        <v>583</v>
      </c>
      <c r="AQ189" s="113"/>
      <c r="AR189" s="16"/>
      <c r="AS189" s="13">
        <v>17648</v>
      </c>
      <c r="AT189" s="63">
        <f t="shared" si="403"/>
        <v>71</v>
      </c>
      <c r="AU189" s="13">
        <v>568</v>
      </c>
      <c r="AV189" s="13">
        <f t="shared" si="404"/>
        <v>2</v>
      </c>
      <c r="AW189" s="34">
        <v>19</v>
      </c>
      <c r="AX189" s="34">
        <f t="shared" si="405"/>
        <v>2</v>
      </c>
      <c r="AY189" s="49">
        <v>0</v>
      </c>
      <c r="AZ189" s="56" t="str">
        <f t="shared" si="406"/>
        <v>たまごっちマスコット</v>
      </c>
      <c r="BA189" s="13">
        <f t="shared" si="434"/>
        <v>1430</v>
      </c>
      <c r="BB189" s="13">
        <f t="shared" si="408"/>
        <v>2860</v>
      </c>
      <c r="BC189" s="14">
        <f t="shared" si="409"/>
        <v>0.40281690140845072</v>
      </c>
      <c r="BD189" s="15"/>
      <c r="BE189" s="2"/>
      <c r="BF189" s="16"/>
      <c r="BG189" s="239" t="s">
        <v>591</v>
      </c>
      <c r="BH189" s="13">
        <v>2564</v>
      </c>
      <c r="BI189" s="63">
        <f t="shared" si="361"/>
        <v>201</v>
      </c>
      <c r="BJ189" s="13">
        <v>23</v>
      </c>
      <c r="BK189" s="13">
        <f t="shared" si="362"/>
        <v>1</v>
      </c>
      <c r="BL189" s="34">
        <v>2</v>
      </c>
      <c r="BM189" s="34">
        <f t="shared" si="413"/>
        <v>1</v>
      </c>
      <c r="BN189" s="49">
        <v>1</v>
      </c>
      <c r="BO189" s="56" t="str">
        <f t="shared" si="426"/>
        <v>うるちゅるサンリオ</v>
      </c>
      <c r="BP189" s="13">
        <f t="shared" si="427"/>
        <v>1500</v>
      </c>
      <c r="BQ189" s="13">
        <f t="shared" si="428"/>
        <v>1500</v>
      </c>
      <c r="BR189" s="14">
        <f t="shared" si="429"/>
        <v>7.4626865671641784E-2</v>
      </c>
      <c r="BS189" s="15"/>
      <c r="BT189" s="113"/>
      <c r="BU189" s="16"/>
      <c r="BV189" s="54"/>
      <c r="BW189" s="13" t="str">
        <f t="shared" si="414"/>
        <v/>
      </c>
      <c r="BX189" s="13"/>
      <c r="BY189" s="13"/>
      <c r="BZ189" s="13"/>
      <c r="CA189" s="13" t="str">
        <f t="shared" si="415"/>
        <v/>
      </c>
      <c r="CB189" s="13"/>
      <c r="CC189" s="13"/>
      <c r="CD189" s="13"/>
      <c r="CE189" s="13" t="str">
        <f t="shared" si="373"/>
        <v/>
      </c>
      <c r="CF189" s="14" t="str">
        <f t="shared" si="374"/>
        <v/>
      </c>
      <c r="CG189" s="15"/>
      <c r="CH189" s="1"/>
      <c r="CI189" s="16"/>
      <c r="CJ189" s="54"/>
      <c r="CK189" s="13" t="str">
        <f t="shared" si="416"/>
        <v/>
      </c>
      <c r="CL189" s="13"/>
      <c r="CM189" s="13"/>
      <c r="CN189" s="13"/>
      <c r="CO189" s="13" t="str">
        <f t="shared" si="417"/>
        <v/>
      </c>
      <c r="CP189" s="13"/>
      <c r="CQ189" s="13"/>
      <c r="CR189" s="13"/>
      <c r="CS189" s="13" t="str">
        <f t="shared" si="375"/>
        <v/>
      </c>
      <c r="CT189" s="14" t="str">
        <f t="shared" si="412"/>
        <v/>
      </c>
      <c r="CU189" s="15"/>
      <c r="CV189" s="1"/>
      <c r="CW189" s="16"/>
      <c r="CX189" s="54"/>
      <c r="CY189" s="13" t="str">
        <f t="shared" si="418"/>
        <v/>
      </c>
      <c r="CZ189" s="13"/>
      <c r="DA189" s="13"/>
      <c r="DB189" s="13"/>
      <c r="DC189" s="13" t="str">
        <f t="shared" si="419"/>
        <v/>
      </c>
      <c r="DD189" s="13"/>
      <c r="DE189" s="13"/>
      <c r="DF189" s="13"/>
      <c r="DG189" s="13" t="str">
        <f t="shared" si="376"/>
        <v/>
      </c>
      <c r="DH189" s="14" t="str">
        <f t="shared" si="377"/>
        <v/>
      </c>
      <c r="DI189" s="15"/>
      <c r="DJ189" s="1"/>
      <c r="DK189" s="16"/>
      <c r="DL189" s="54"/>
      <c r="DM189" s="13" t="str">
        <f t="shared" si="420"/>
        <v/>
      </c>
      <c r="DN189" s="13"/>
      <c r="DO189" s="13"/>
      <c r="DP189" s="13"/>
      <c r="DQ189" s="13" t="str">
        <f t="shared" si="421"/>
        <v/>
      </c>
      <c r="DR189" s="13"/>
      <c r="DS189" s="13"/>
      <c r="DT189" s="13"/>
      <c r="DU189" s="13" t="str">
        <f t="shared" si="378"/>
        <v/>
      </c>
      <c r="DV189" s="14" t="str">
        <f t="shared" si="379"/>
        <v/>
      </c>
      <c r="DW189" s="15"/>
      <c r="DY189" s="16"/>
      <c r="DZ189" s="54"/>
      <c r="EA189" s="13" t="str">
        <f t="shared" si="422"/>
        <v/>
      </c>
      <c r="EB189" s="13"/>
      <c r="EC189" s="13"/>
      <c r="ED189" s="13"/>
      <c r="EE189" s="13" t="str">
        <f t="shared" si="423"/>
        <v/>
      </c>
      <c r="EF189" s="13"/>
      <c r="EG189" s="13"/>
      <c r="EH189" s="13"/>
      <c r="EI189" s="13" t="str">
        <f t="shared" si="380"/>
        <v/>
      </c>
      <c r="EJ189" s="14" t="str">
        <f t="shared" si="381"/>
        <v/>
      </c>
      <c r="EK189" s="15"/>
    </row>
    <row r="190" spans="1:141" ht="15" customHeight="1" thickBot="1" x14ac:dyDescent="0.25">
      <c r="A190" s="26"/>
      <c r="B190" s="46"/>
      <c r="C190" s="29">
        <v>8895</v>
      </c>
      <c r="D190" s="61">
        <f t="shared" si="382"/>
        <v>135</v>
      </c>
      <c r="E190" s="62">
        <v>522</v>
      </c>
      <c r="F190" s="29">
        <f t="shared" si="383"/>
        <v>4</v>
      </c>
      <c r="G190" s="64">
        <v>14</v>
      </c>
      <c r="H190" s="64">
        <f t="shared" si="384"/>
        <v>4</v>
      </c>
      <c r="I190" s="47">
        <v>4</v>
      </c>
      <c r="J190" s="57" t="str">
        <f t="shared" si="430"/>
        <v>モンチチフルーツマスコット</v>
      </c>
      <c r="K190" s="62">
        <f t="shared" si="431"/>
        <v>572</v>
      </c>
      <c r="L190" s="27">
        <f t="shared" si="387"/>
        <v>2288</v>
      </c>
      <c r="M190" s="28">
        <f t="shared" si="388"/>
        <v>0.16948148148148148</v>
      </c>
      <c r="N190" s="15"/>
      <c r="O190" s="2"/>
      <c r="P190" s="26"/>
      <c r="Q190" s="29">
        <v>14150</v>
      </c>
      <c r="R190" s="61">
        <f t="shared" si="389"/>
        <v>139</v>
      </c>
      <c r="S190" s="62">
        <v>593</v>
      </c>
      <c r="T190" s="29">
        <f t="shared" si="390"/>
        <v>6</v>
      </c>
      <c r="U190" s="64">
        <v>30</v>
      </c>
      <c r="V190" s="64">
        <f t="shared" si="391"/>
        <v>6</v>
      </c>
      <c r="W190" s="47">
        <v>12</v>
      </c>
      <c r="X190" s="57" t="str">
        <f t="shared" si="392"/>
        <v>ボンボンドロップ</v>
      </c>
      <c r="Y190" s="62">
        <f t="shared" si="432"/>
        <v>200</v>
      </c>
      <c r="Z190" s="27">
        <f t="shared" si="394"/>
        <v>1200</v>
      </c>
      <c r="AA190" s="28">
        <f t="shared" si="395"/>
        <v>8.6330935251798566E-2</v>
      </c>
      <c r="AB190" s="15"/>
      <c r="AC190" s="15"/>
      <c r="AD190" s="26"/>
      <c r="AE190" s="29">
        <v>13471</v>
      </c>
      <c r="AF190" s="61">
        <f t="shared" si="396"/>
        <v>74</v>
      </c>
      <c r="AG190" s="62">
        <v>354</v>
      </c>
      <c r="AH190" s="29">
        <f t="shared" si="397"/>
        <v>4</v>
      </c>
      <c r="AI190" s="64">
        <v>2</v>
      </c>
      <c r="AJ190" s="64">
        <f t="shared" si="398"/>
        <v>3</v>
      </c>
      <c r="AK190" s="47">
        <v>12</v>
      </c>
      <c r="AL190" s="57" t="str">
        <f t="shared" si="399"/>
        <v>フルーツスクイズ</v>
      </c>
      <c r="AM190" s="62">
        <f t="shared" si="433"/>
        <v>400</v>
      </c>
      <c r="AN190" s="27">
        <f t="shared" si="401"/>
        <v>1200</v>
      </c>
      <c r="AO190" s="28">
        <f t="shared" si="402"/>
        <v>0.16216216216216217</v>
      </c>
      <c r="AP190" s="15" t="s">
        <v>584</v>
      </c>
      <c r="AQ190" s="113"/>
      <c r="AR190" s="26"/>
      <c r="AS190" s="29">
        <v>17780</v>
      </c>
      <c r="AT190" s="61">
        <f t="shared" si="403"/>
        <v>97</v>
      </c>
      <c r="AU190" s="62">
        <v>502</v>
      </c>
      <c r="AV190" s="29">
        <f t="shared" si="404"/>
        <v>1</v>
      </c>
      <c r="AW190" s="64">
        <v>18</v>
      </c>
      <c r="AX190" s="64">
        <f t="shared" si="405"/>
        <v>2</v>
      </c>
      <c r="AY190" s="47">
        <v>2</v>
      </c>
      <c r="AZ190" s="57" t="str">
        <f t="shared" si="406"/>
        <v>バタースクイーズ</v>
      </c>
      <c r="BA190" s="62">
        <f t="shared" si="434"/>
        <v>400</v>
      </c>
      <c r="BB190" s="27">
        <f t="shared" si="408"/>
        <v>800</v>
      </c>
      <c r="BC190" s="28">
        <f t="shared" si="409"/>
        <v>8.247422680412371E-2</v>
      </c>
      <c r="BD190" s="15"/>
      <c r="BE190" s="2"/>
      <c r="BF190" s="26"/>
      <c r="BG190" s="238" t="s">
        <v>592</v>
      </c>
      <c r="BH190" s="29">
        <v>1967</v>
      </c>
      <c r="BI190" s="61">
        <f t="shared" si="361"/>
        <v>41</v>
      </c>
      <c r="BJ190" s="62">
        <v>23</v>
      </c>
      <c r="BK190" s="29">
        <f t="shared" si="362"/>
        <v>0</v>
      </c>
      <c r="BL190" s="64">
        <v>2</v>
      </c>
      <c r="BM190" s="64">
        <f t="shared" si="413"/>
        <v>0</v>
      </c>
      <c r="BN190" s="47">
        <v>0</v>
      </c>
      <c r="BO190" s="57" t="str">
        <f t="shared" si="426"/>
        <v>ボンドロディズニー</v>
      </c>
      <c r="BP190" s="62">
        <f t="shared" si="427"/>
        <v>1500</v>
      </c>
      <c r="BQ190" s="27">
        <f t="shared" si="428"/>
        <v>0</v>
      </c>
      <c r="BR190" s="28">
        <f t="shared" si="429"/>
        <v>0</v>
      </c>
      <c r="BS190" s="15"/>
      <c r="BT190" s="113"/>
      <c r="BU190" s="16"/>
      <c r="BV190" s="54"/>
      <c r="BW190" s="13" t="str">
        <f t="shared" si="414"/>
        <v/>
      </c>
      <c r="BX190" s="13"/>
      <c r="BY190" s="13"/>
      <c r="BZ190" s="13"/>
      <c r="CA190" s="13" t="str">
        <f t="shared" si="415"/>
        <v/>
      </c>
      <c r="CB190" s="13"/>
      <c r="CC190" s="13"/>
      <c r="CD190" s="13"/>
      <c r="CE190" s="13" t="str">
        <f t="shared" si="373"/>
        <v/>
      </c>
      <c r="CF190" s="14" t="str">
        <f t="shared" si="374"/>
        <v/>
      </c>
      <c r="CG190" s="15"/>
      <c r="CH190" s="1"/>
      <c r="CI190" s="16"/>
      <c r="CJ190" s="54"/>
      <c r="CK190" s="13" t="str">
        <f t="shared" si="416"/>
        <v/>
      </c>
      <c r="CL190" s="13"/>
      <c r="CM190" s="13"/>
      <c r="CN190" s="13"/>
      <c r="CO190" s="13" t="str">
        <f t="shared" si="417"/>
        <v/>
      </c>
      <c r="CP190" s="13"/>
      <c r="CQ190" s="13"/>
      <c r="CR190" s="13"/>
      <c r="CS190" s="13" t="str">
        <f t="shared" si="375"/>
        <v/>
      </c>
      <c r="CT190" s="14" t="str">
        <f t="shared" si="412"/>
        <v/>
      </c>
      <c r="CU190" s="15"/>
      <c r="CV190" s="1"/>
      <c r="CW190" s="16"/>
      <c r="CX190" s="54"/>
      <c r="CY190" s="13" t="str">
        <f t="shared" si="418"/>
        <v/>
      </c>
      <c r="CZ190" s="13"/>
      <c r="DA190" s="13"/>
      <c r="DB190" s="13"/>
      <c r="DC190" s="13" t="str">
        <f t="shared" si="419"/>
        <v/>
      </c>
      <c r="DD190" s="13"/>
      <c r="DE190" s="13"/>
      <c r="DF190" s="13"/>
      <c r="DG190" s="13" t="str">
        <f t="shared" si="376"/>
        <v/>
      </c>
      <c r="DH190" s="14" t="str">
        <f t="shared" si="377"/>
        <v/>
      </c>
      <c r="DI190" s="15"/>
      <c r="DJ190" s="1"/>
      <c r="DK190" s="16"/>
      <c r="DL190" s="54"/>
      <c r="DM190" s="13" t="str">
        <f t="shared" si="420"/>
        <v/>
      </c>
      <c r="DN190" s="13"/>
      <c r="DO190" s="13"/>
      <c r="DP190" s="13"/>
      <c r="DQ190" s="13" t="str">
        <f t="shared" si="421"/>
        <v/>
      </c>
      <c r="DR190" s="13"/>
      <c r="DS190" s="13"/>
      <c r="DT190" s="13"/>
      <c r="DU190" s="13" t="str">
        <f t="shared" si="378"/>
        <v/>
      </c>
      <c r="DV190" s="14" t="str">
        <f t="shared" si="379"/>
        <v/>
      </c>
      <c r="DW190" s="15"/>
      <c r="DY190" s="16"/>
      <c r="DZ190" s="54"/>
      <c r="EA190" s="13" t="str">
        <f t="shared" si="422"/>
        <v/>
      </c>
      <c r="EB190" s="13"/>
      <c r="EC190" s="13"/>
      <c r="ED190" s="13"/>
      <c r="EE190" s="13" t="str">
        <f t="shared" si="423"/>
        <v/>
      </c>
      <c r="EF190" s="13"/>
      <c r="EG190" s="13"/>
      <c r="EH190" s="13"/>
      <c r="EI190" s="13" t="str">
        <f t="shared" si="380"/>
        <v/>
      </c>
      <c r="EJ190" s="14" t="str">
        <f t="shared" si="381"/>
        <v/>
      </c>
      <c r="EK190" s="15"/>
    </row>
    <row r="191" spans="1:141" ht="15" customHeight="1" thickTop="1" x14ac:dyDescent="0.2">
      <c r="A191" s="79"/>
      <c r="B191" s="74"/>
      <c r="C191" s="53"/>
      <c r="D191" s="53"/>
      <c r="E191" s="53"/>
      <c r="F191" s="31"/>
      <c r="G191" s="53"/>
      <c r="H191" s="53"/>
      <c r="I191" s="192"/>
      <c r="J191" s="75"/>
      <c r="K191" s="76"/>
      <c r="L191" s="31"/>
      <c r="M191" s="32"/>
      <c r="N191" s="15"/>
      <c r="O191" s="2"/>
      <c r="P191" s="79"/>
      <c r="Q191" s="53"/>
      <c r="R191" s="53"/>
      <c r="S191" s="53"/>
      <c r="T191" s="31"/>
      <c r="U191" s="53"/>
      <c r="V191" s="53"/>
      <c r="W191" s="192"/>
      <c r="X191" s="75"/>
      <c r="Y191" s="76"/>
      <c r="Z191" s="31"/>
      <c r="AA191" s="32"/>
      <c r="AB191" s="15"/>
      <c r="AC191" s="15"/>
      <c r="AD191" s="79"/>
      <c r="AE191" s="53"/>
      <c r="AF191" s="53"/>
      <c r="AG191" s="53"/>
      <c r="AH191" s="31"/>
      <c r="AI191" s="53"/>
      <c r="AJ191" s="53"/>
      <c r="AK191" s="192"/>
      <c r="AL191" s="75"/>
      <c r="AM191" s="76"/>
      <c r="AN191" s="31"/>
      <c r="AO191" s="32"/>
      <c r="AP191" s="15"/>
      <c r="AQ191" s="113"/>
      <c r="AR191" s="79"/>
      <c r="AS191" s="53"/>
      <c r="AT191" s="53"/>
      <c r="AU191" s="53"/>
      <c r="AV191" s="31"/>
      <c r="AW191" s="53"/>
      <c r="AX191" s="53"/>
      <c r="AY191" s="192"/>
      <c r="AZ191" s="75"/>
      <c r="BA191" s="76"/>
      <c r="BB191" s="31"/>
      <c r="BC191" s="32"/>
      <c r="BD191" s="15"/>
      <c r="BE191" s="2"/>
      <c r="BF191" s="79"/>
      <c r="BG191" s="240"/>
      <c r="BH191" s="53"/>
      <c r="BI191" s="53"/>
      <c r="BJ191" s="53"/>
      <c r="BK191" s="31"/>
      <c r="BL191" s="53"/>
      <c r="BM191" s="53"/>
      <c r="BN191" s="80"/>
      <c r="BO191" s="75"/>
      <c r="BP191" s="76"/>
      <c r="BQ191" s="31"/>
      <c r="BR191" s="32"/>
      <c r="BS191" s="15"/>
      <c r="BT191" s="113"/>
      <c r="BU191" s="16"/>
      <c r="BV191" s="54"/>
      <c r="BW191" s="13" t="str">
        <f t="shared" si="414"/>
        <v/>
      </c>
      <c r="BX191" s="13"/>
      <c r="BY191" s="13"/>
      <c r="BZ191" s="13"/>
      <c r="CA191" s="13" t="str">
        <f t="shared" si="415"/>
        <v/>
      </c>
      <c r="CB191" s="13"/>
      <c r="CC191" s="13"/>
      <c r="CD191" s="13"/>
      <c r="CE191" s="13" t="str">
        <f t="shared" si="373"/>
        <v/>
      </c>
      <c r="CF191" s="14" t="str">
        <f t="shared" si="374"/>
        <v/>
      </c>
      <c r="CG191" s="15"/>
      <c r="CH191" s="1"/>
      <c r="CI191" s="16"/>
      <c r="CJ191" s="54"/>
      <c r="CK191" s="13" t="str">
        <f t="shared" si="416"/>
        <v/>
      </c>
      <c r="CL191" s="13"/>
      <c r="CM191" s="13"/>
      <c r="CN191" s="13"/>
      <c r="CO191" s="13" t="str">
        <f t="shared" si="417"/>
        <v/>
      </c>
      <c r="CP191" s="13"/>
      <c r="CQ191" s="13"/>
      <c r="CR191" s="13"/>
      <c r="CS191" s="13" t="str">
        <f t="shared" si="375"/>
        <v/>
      </c>
      <c r="CT191" s="14" t="str">
        <f t="shared" si="412"/>
        <v/>
      </c>
      <c r="CU191" s="15"/>
      <c r="CV191" s="1"/>
      <c r="CW191" s="16"/>
      <c r="CX191" s="54"/>
      <c r="CY191" s="13" t="str">
        <f t="shared" si="418"/>
        <v/>
      </c>
      <c r="CZ191" s="13"/>
      <c r="DA191" s="13"/>
      <c r="DB191" s="13"/>
      <c r="DC191" s="13" t="str">
        <f t="shared" si="419"/>
        <v/>
      </c>
      <c r="DD191" s="13"/>
      <c r="DE191" s="13"/>
      <c r="DF191" s="13"/>
      <c r="DG191" s="13" t="str">
        <f t="shared" si="376"/>
        <v/>
      </c>
      <c r="DH191" s="14" t="str">
        <f t="shared" si="377"/>
        <v/>
      </c>
      <c r="DI191" s="15"/>
      <c r="DJ191" s="1"/>
      <c r="DK191" s="16"/>
      <c r="DL191" s="54"/>
      <c r="DM191" s="13" t="str">
        <f t="shared" si="420"/>
        <v/>
      </c>
      <c r="DN191" s="13"/>
      <c r="DO191" s="13"/>
      <c r="DP191" s="13"/>
      <c r="DQ191" s="13" t="str">
        <f t="shared" si="421"/>
        <v/>
      </c>
      <c r="DR191" s="13"/>
      <c r="DS191" s="13"/>
      <c r="DT191" s="13"/>
      <c r="DU191" s="13" t="str">
        <f t="shared" si="378"/>
        <v/>
      </c>
      <c r="DV191" s="14" t="str">
        <f t="shared" si="379"/>
        <v/>
      </c>
      <c r="DW191" s="15"/>
      <c r="DY191" s="16"/>
      <c r="DZ191" s="54"/>
      <c r="EA191" s="13" t="str">
        <f t="shared" si="422"/>
        <v/>
      </c>
      <c r="EB191" s="13"/>
      <c r="EC191" s="13"/>
      <c r="ED191" s="13"/>
      <c r="EE191" s="13" t="str">
        <f t="shared" si="423"/>
        <v/>
      </c>
      <c r="EF191" s="13"/>
      <c r="EG191" s="13"/>
      <c r="EH191" s="13"/>
      <c r="EI191" s="13" t="str">
        <f t="shared" si="380"/>
        <v/>
      </c>
      <c r="EJ191" s="14" t="str">
        <f t="shared" si="381"/>
        <v/>
      </c>
      <c r="EK191" s="15"/>
    </row>
    <row r="192" spans="1:141" ht="15" customHeight="1" x14ac:dyDescent="0.2">
      <c r="A192" s="16"/>
      <c r="B192" s="11"/>
      <c r="C192" s="13"/>
      <c r="D192" s="53"/>
      <c r="E192" s="13"/>
      <c r="F192" s="13"/>
      <c r="G192" s="13"/>
      <c r="H192" s="13"/>
      <c r="I192" s="205"/>
      <c r="J192" s="56"/>
      <c r="K192" s="54"/>
      <c r="L192" s="13"/>
      <c r="M192" s="14"/>
      <c r="N192" s="15"/>
      <c r="O192" s="2"/>
      <c r="P192" s="16"/>
      <c r="Q192" s="13"/>
      <c r="R192" s="53"/>
      <c r="S192" s="13"/>
      <c r="T192" s="13"/>
      <c r="U192" s="13"/>
      <c r="V192" s="13"/>
      <c r="W192" s="205"/>
      <c r="X192" s="56"/>
      <c r="Y192" s="54"/>
      <c r="Z192" s="13"/>
      <c r="AA192" s="14"/>
      <c r="AB192" s="15"/>
      <c r="AC192" s="15"/>
      <c r="AD192" s="16"/>
      <c r="AE192" s="13"/>
      <c r="AF192" s="53"/>
      <c r="AG192" s="13"/>
      <c r="AH192" s="13"/>
      <c r="AI192" s="13"/>
      <c r="AJ192" s="13"/>
      <c r="AK192" s="205"/>
      <c r="AL192" s="56"/>
      <c r="AM192" s="54"/>
      <c r="AN192" s="13"/>
      <c r="AO192" s="14"/>
      <c r="AP192" s="15"/>
      <c r="AQ192" s="113"/>
      <c r="AR192" s="16"/>
      <c r="AS192" s="13"/>
      <c r="AT192" s="53"/>
      <c r="AU192" s="13"/>
      <c r="AV192" s="13"/>
      <c r="AW192" s="13"/>
      <c r="AX192" s="13"/>
      <c r="AY192" s="205"/>
      <c r="AZ192" s="56"/>
      <c r="BA192" s="54"/>
      <c r="BB192" s="13"/>
      <c r="BC192" s="14"/>
      <c r="BD192" s="15"/>
      <c r="BE192" s="2"/>
      <c r="BF192" s="16"/>
      <c r="BG192" s="7"/>
      <c r="BH192" s="13"/>
      <c r="BI192" s="53"/>
      <c r="BJ192" s="13"/>
      <c r="BK192" s="13"/>
      <c r="BL192" s="13"/>
      <c r="BM192" s="13"/>
      <c r="BN192" s="17"/>
      <c r="BO192" s="56"/>
      <c r="BP192" s="54"/>
      <c r="BQ192" s="13"/>
      <c r="BR192" s="14"/>
      <c r="BS192" s="15"/>
      <c r="BT192" s="113"/>
      <c r="BU192" s="16"/>
      <c r="BV192" s="54"/>
      <c r="BW192" s="13" t="str">
        <f t="shared" si="414"/>
        <v/>
      </c>
      <c r="BX192" s="13"/>
      <c r="BY192" s="13"/>
      <c r="BZ192" s="13"/>
      <c r="CA192" s="13" t="str">
        <f t="shared" si="415"/>
        <v/>
      </c>
      <c r="CB192" s="13"/>
      <c r="CC192" s="13"/>
      <c r="CD192" s="13"/>
      <c r="CE192" s="13" t="str">
        <f t="shared" si="373"/>
        <v/>
      </c>
      <c r="CF192" s="14" t="str">
        <f t="shared" si="374"/>
        <v/>
      </c>
      <c r="CG192" s="15"/>
      <c r="CH192" s="1"/>
      <c r="CI192" s="16"/>
      <c r="CJ192" s="54"/>
      <c r="CK192" s="13" t="str">
        <f t="shared" si="416"/>
        <v/>
      </c>
      <c r="CL192" s="13"/>
      <c r="CM192" s="13"/>
      <c r="CN192" s="13"/>
      <c r="CO192" s="13" t="str">
        <f t="shared" si="417"/>
        <v/>
      </c>
      <c r="CP192" s="13"/>
      <c r="CQ192" s="13"/>
      <c r="CR192" s="13"/>
      <c r="CS192" s="13" t="str">
        <f t="shared" si="375"/>
        <v/>
      </c>
      <c r="CT192" s="14" t="str">
        <f t="shared" si="412"/>
        <v/>
      </c>
      <c r="CU192" s="15"/>
      <c r="CV192" s="1"/>
      <c r="CW192" s="16"/>
      <c r="CX192" s="54"/>
      <c r="CY192" s="13" t="str">
        <f t="shared" si="418"/>
        <v/>
      </c>
      <c r="CZ192" s="13"/>
      <c r="DA192" s="13"/>
      <c r="DB192" s="13"/>
      <c r="DC192" s="13" t="str">
        <f t="shared" si="419"/>
        <v/>
      </c>
      <c r="DD192" s="13"/>
      <c r="DE192" s="13"/>
      <c r="DF192" s="13"/>
      <c r="DG192" s="13" t="str">
        <f t="shared" si="376"/>
        <v/>
      </c>
      <c r="DH192" s="14" t="str">
        <f t="shared" si="377"/>
        <v/>
      </c>
      <c r="DI192" s="15"/>
      <c r="DJ192" s="1"/>
      <c r="DK192" s="16"/>
      <c r="DL192" s="54"/>
      <c r="DM192" s="13" t="str">
        <f t="shared" si="420"/>
        <v/>
      </c>
      <c r="DN192" s="13"/>
      <c r="DO192" s="13"/>
      <c r="DP192" s="13"/>
      <c r="DQ192" s="13" t="str">
        <f t="shared" si="421"/>
        <v/>
      </c>
      <c r="DR192" s="13"/>
      <c r="DS192" s="13"/>
      <c r="DT192" s="13"/>
      <c r="DU192" s="13" t="str">
        <f t="shared" si="378"/>
        <v/>
      </c>
      <c r="DV192" s="14" t="str">
        <f t="shared" si="379"/>
        <v/>
      </c>
      <c r="DW192" s="15"/>
      <c r="DY192" s="16"/>
      <c r="DZ192" s="54"/>
      <c r="EA192" s="13" t="str">
        <f t="shared" si="422"/>
        <v/>
      </c>
      <c r="EB192" s="13"/>
      <c r="EC192" s="13"/>
      <c r="ED192" s="13"/>
      <c r="EE192" s="13" t="str">
        <f t="shared" si="423"/>
        <v/>
      </c>
      <c r="EF192" s="13"/>
      <c r="EG192" s="13"/>
      <c r="EH192" s="13"/>
      <c r="EI192" s="13" t="str">
        <f t="shared" si="380"/>
        <v/>
      </c>
      <c r="EJ192" s="14" t="str">
        <f t="shared" si="381"/>
        <v/>
      </c>
      <c r="EK192" s="15"/>
    </row>
    <row r="193" spans="1:141" ht="15" customHeight="1" x14ac:dyDescent="0.2">
      <c r="A193" s="16"/>
      <c r="B193" s="11"/>
      <c r="C193" s="13"/>
      <c r="D193" s="63"/>
      <c r="E193" s="13"/>
      <c r="F193" s="13"/>
      <c r="G193" s="13"/>
      <c r="H193" s="13"/>
      <c r="I193" s="214"/>
      <c r="J193" s="56"/>
      <c r="K193" s="13"/>
      <c r="L193" s="13"/>
      <c r="M193" s="14"/>
      <c r="N193" s="15"/>
      <c r="O193" s="2"/>
      <c r="P193" s="16"/>
      <c r="Q193" s="13"/>
      <c r="R193" s="63"/>
      <c r="S193" s="13"/>
      <c r="T193" s="13"/>
      <c r="U193" s="13"/>
      <c r="V193" s="13"/>
      <c r="W193" s="214"/>
      <c r="X193" s="56"/>
      <c r="Y193" s="13"/>
      <c r="Z193" s="13"/>
      <c r="AA193" s="14"/>
      <c r="AB193" s="15"/>
      <c r="AC193" s="15"/>
      <c r="AD193" s="16"/>
      <c r="AE193" s="13"/>
      <c r="AF193" s="63"/>
      <c r="AG193" s="13"/>
      <c r="AH193" s="13"/>
      <c r="AI193" s="13"/>
      <c r="AJ193" s="13"/>
      <c r="AK193" s="214"/>
      <c r="AL193" s="56"/>
      <c r="AM193" s="13"/>
      <c r="AN193" s="13"/>
      <c r="AO193" s="14"/>
      <c r="AP193" s="15"/>
      <c r="AQ193" s="113"/>
      <c r="AR193" s="16"/>
      <c r="AS193" s="13"/>
      <c r="AT193" s="63"/>
      <c r="AU193" s="13"/>
      <c r="AV193" s="13"/>
      <c r="AW193" s="34"/>
      <c r="AX193" s="13"/>
      <c r="AY193" s="214"/>
      <c r="AZ193" s="56"/>
      <c r="BA193" s="13"/>
      <c r="BB193" s="13"/>
      <c r="BC193" s="14"/>
      <c r="BD193" s="15"/>
      <c r="BE193" s="2"/>
      <c r="BF193" s="16"/>
      <c r="BG193" s="7"/>
      <c r="BH193" s="13"/>
      <c r="BI193" s="63"/>
      <c r="BJ193" s="13"/>
      <c r="BK193" s="13"/>
      <c r="BL193" s="34"/>
      <c r="BM193" s="13"/>
      <c r="BN193" s="17"/>
      <c r="BO193" s="56"/>
      <c r="BP193" s="13"/>
      <c r="BQ193" s="13"/>
      <c r="BR193" s="14"/>
      <c r="BS193" s="15"/>
      <c r="BT193" s="113"/>
      <c r="BU193" s="16"/>
      <c r="BV193" s="54"/>
      <c r="BW193" s="13" t="str">
        <f t="shared" si="414"/>
        <v/>
      </c>
      <c r="BX193" s="13"/>
      <c r="BY193" s="13"/>
      <c r="BZ193" s="13"/>
      <c r="CA193" s="13" t="str">
        <f t="shared" si="415"/>
        <v/>
      </c>
      <c r="CB193" s="13"/>
      <c r="CC193" s="13"/>
      <c r="CD193" s="13"/>
      <c r="CE193" s="13" t="str">
        <f t="shared" si="373"/>
        <v/>
      </c>
      <c r="CF193" s="14" t="str">
        <f t="shared" si="374"/>
        <v/>
      </c>
      <c r="CG193" s="15"/>
      <c r="CH193" s="1"/>
      <c r="CI193" s="16"/>
      <c r="CJ193" s="54"/>
      <c r="CK193" s="13" t="str">
        <f t="shared" si="416"/>
        <v/>
      </c>
      <c r="CL193" s="13"/>
      <c r="CM193" s="13"/>
      <c r="CN193" s="13"/>
      <c r="CO193" s="13" t="str">
        <f t="shared" si="417"/>
        <v/>
      </c>
      <c r="CP193" s="13"/>
      <c r="CQ193" s="13"/>
      <c r="CR193" s="13"/>
      <c r="CS193" s="13" t="str">
        <f t="shared" si="375"/>
        <v/>
      </c>
      <c r="CT193" s="14" t="str">
        <f t="shared" si="412"/>
        <v/>
      </c>
      <c r="CU193" s="15"/>
      <c r="CV193" s="1"/>
      <c r="CW193" s="16"/>
      <c r="CX193" s="54"/>
      <c r="CY193" s="13" t="str">
        <f t="shared" si="418"/>
        <v/>
      </c>
      <c r="CZ193" s="13"/>
      <c r="DA193" s="13"/>
      <c r="DB193" s="13"/>
      <c r="DC193" s="13" t="str">
        <f t="shared" si="419"/>
        <v/>
      </c>
      <c r="DD193" s="13"/>
      <c r="DE193" s="13"/>
      <c r="DF193" s="13"/>
      <c r="DG193" s="13" t="str">
        <f t="shared" si="376"/>
        <v/>
      </c>
      <c r="DH193" s="14" t="str">
        <f t="shared" si="377"/>
        <v/>
      </c>
      <c r="DI193" s="15"/>
      <c r="DJ193" s="1"/>
      <c r="DK193" s="16"/>
      <c r="DL193" s="54"/>
      <c r="DM193" s="13" t="str">
        <f t="shared" si="420"/>
        <v/>
      </c>
      <c r="DN193" s="13"/>
      <c r="DO193" s="13"/>
      <c r="DP193" s="13"/>
      <c r="DQ193" s="13" t="str">
        <f t="shared" si="421"/>
        <v/>
      </c>
      <c r="DR193" s="13"/>
      <c r="DS193" s="13"/>
      <c r="DT193" s="13"/>
      <c r="DU193" s="13" t="str">
        <f t="shared" si="378"/>
        <v/>
      </c>
      <c r="DV193" s="14" t="str">
        <f t="shared" si="379"/>
        <v/>
      </c>
      <c r="DW193" s="15"/>
      <c r="DY193" s="16"/>
      <c r="DZ193" s="54"/>
      <c r="EA193" s="13" t="str">
        <f t="shared" si="422"/>
        <v/>
      </c>
      <c r="EB193" s="13"/>
      <c r="EC193" s="13"/>
      <c r="ED193" s="13"/>
      <c r="EE193" s="13" t="str">
        <f t="shared" si="423"/>
        <v/>
      </c>
      <c r="EF193" s="13"/>
      <c r="EG193" s="13"/>
      <c r="EH193" s="13"/>
      <c r="EI193" s="13" t="str">
        <f t="shared" si="380"/>
        <v/>
      </c>
      <c r="EJ193" s="14" t="str">
        <f t="shared" si="381"/>
        <v/>
      </c>
      <c r="EK193" s="15"/>
    </row>
    <row r="194" spans="1:141" ht="15" customHeight="1" thickBot="1" x14ac:dyDescent="0.25">
      <c r="A194" s="26"/>
      <c r="B194" s="46"/>
      <c r="C194" s="29"/>
      <c r="D194" s="61"/>
      <c r="E194" s="62"/>
      <c r="F194" s="27"/>
      <c r="G194" s="27"/>
      <c r="H194" s="27"/>
      <c r="I194" s="217"/>
      <c r="J194" s="57"/>
      <c r="K194" s="62"/>
      <c r="L194" s="27"/>
      <c r="M194" s="28"/>
      <c r="N194" s="15"/>
      <c r="O194" s="2"/>
      <c r="P194" s="26"/>
      <c r="Q194" s="29"/>
      <c r="R194" s="61"/>
      <c r="S194" s="62"/>
      <c r="T194" s="27"/>
      <c r="U194" s="27"/>
      <c r="V194" s="27"/>
      <c r="W194" s="217"/>
      <c r="X194" s="57"/>
      <c r="Y194" s="62"/>
      <c r="Z194" s="27"/>
      <c r="AA194" s="28"/>
      <c r="AB194" s="15"/>
      <c r="AC194" s="15"/>
      <c r="AD194" s="26"/>
      <c r="AE194" s="29"/>
      <c r="AF194" s="61"/>
      <c r="AG194" s="62"/>
      <c r="AH194" s="27"/>
      <c r="AI194" s="27"/>
      <c r="AJ194" s="27"/>
      <c r="AK194" s="217"/>
      <c r="AL194" s="57"/>
      <c r="AM194" s="62"/>
      <c r="AN194" s="27"/>
      <c r="AO194" s="28"/>
      <c r="AP194" s="15"/>
      <c r="AQ194" s="113"/>
      <c r="AR194" s="26"/>
      <c r="AS194" s="29"/>
      <c r="AT194" s="61"/>
      <c r="AU194" s="62"/>
      <c r="AV194" s="27"/>
      <c r="AW194" s="64"/>
      <c r="AX194" s="27"/>
      <c r="AY194" s="217"/>
      <c r="AZ194" s="57"/>
      <c r="BA194" s="62"/>
      <c r="BB194" s="27"/>
      <c r="BC194" s="28"/>
      <c r="BD194" s="15"/>
      <c r="BE194" s="2"/>
      <c r="BF194" s="26"/>
      <c r="BG194" s="241"/>
      <c r="BH194" s="29"/>
      <c r="BI194" s="61"/>
      <c r="BJ194" s="62"/>
      <c r="BK194" s="27"/>
      <c r="BL194" s="64"/>
      <c r="BM194" s="27"/>
      <c r="BN194" s="107"/>
      <c r="BO194" s="57"/>
      <c r="BP194" s="62"/>
      <c r="BQ194" s="27"/>
      <c r="BR194" s="28"/>
      <c r="BS194" s="15"/>
      <c r="BT194" s="113"/>
      <c r="BU194" s="16"/>
      <c r="BV194" s="54"/>
      <c r="BW194" s="13" t="str">
        <f t="shared" si="414"/>
        <v/>
      </c>
      <c r="BX194" s="13"/>
      <c r="BY194" s="13"/>
      <c r="BZ194" s="13"/>
      <c r="CA194" s="13" t="str">
        <f t="shared" si="415"/>
        <v/>
      </c>
      <c r="CB194" s="13"/>
      <c r="CC194" s="13"/>
      <c r="CD194" s="13"/>
      <c r="CE194" s="13" t="str">
        <f t="shared" si="373"/>
        <v/>
      </c>
      <c r="CF194" s="14" t="str">
        <f t="shared" si="374"/>
        <v/>
      </c>
      <c r="CG194" s="15"/>
      <c r="CH194" s="1"/>
      <c r="CI194" s="16"/>
      <c r="CJ194" s="54"/>
      <c r="CK194" s="13" t="str">
        <f t="shared" si="416"/>
        <v/>
      </c>
      <c r="CL194" s="13"/>
      <c r="CM194" s="13"/>
      <c r="CN194" s="13"/>
      <c r="CO194" s="13" t="str">
        <f t="shared" si="417"/>
        <v/>
      </c>
      <c r="CP194" s="13"/>
      <c r="CQ194" s="13"/>
      <c r="CR194" s="13"/>
      <c r="CS194" s="13" t="str">
        <f t="shared" si="375"/>
        <v/>
      </c>
      <c r="CT194" s="14" t="str">
        <f t="shared" si="412"/>
        <v/>
      </c>
      <c r="CU194" s="15"/>
      <c r="CV194" s="1"/>
      <c r="CW194" s="16"/>
      <c r="CX194" s="54"/>
      <c r="CY194" s="13" t="str">
        <f t="shared" si="418"/>
        <v/>
      </c>
      <c r="CZ194" s="13"/>
      <c r="DA194" s="13"/>
      <c r="DB194" s="13"/>
      <c r="DC194" s="13" t="str">
        <f t="shared" si="419"/>
        <v/>
      </c>
      <c r="DD194" s="13"/>
      <c r="DE194" s="13"/>
      <c r="DF194" s="13"/>
      <c r="DG194" s="13" t="str">
        <f t="shared" si="376"/>
        <v/>
      </c>
      <c r="DH194" s="14" t="str">
        <f t="shared" si="377"/>
        <v/>
      </c>
      <c r="DI194" s="15"/>
      <c r="DJ194" s="1"/>
      <c r="DK194" s="16"/>
      <c r="DL194" s="54"/>
      <c r="DM194" s="13" t="str">
        <f t="shared" si="420"/>
        <v/>
      </c>
      <c r="DN194" s="13"/>
      <c r="DO194" s="13"/>
      <c r="DP194" s="13"/>
      <c r="DQ194" s="13" t="str">
        <f t="shared" si="421"/>
        <v/>
      </c>
      <c r="DR194" s="13"/>
      <c r="DS194" s="13"/>
      <c r="DT194" s="13"/>
      <c r="DU194" s="13" t="str">
        <f t="shared" si="378"/>
        <v/>
      </c>
      <c r="DV194" s="14" t="str">
        <f t="shared" si="379"/>
        <v/>
      </c>
      <c r="DW194" s="15"/>
      <c r="DY194" s="16"/>
      <c r="DZ194" s="54"/>
      <c r="EA194" s="13" t="str">
        <f t="shared" si="422"/>
        <v/>
      </c>
      <c r="EB194" s="13"/>
      <c r="EC194" s="13"/>
      <c r="ED194" s="13"/>
      <c r="EE194" s="13" t="str">
        <f t="shared" si="423"/>
        <v/>
      </c>
      <c r="EF194" s="13"/>
      <c r="EG194" s="13"/>
      <c r="EH194" s="13"/>
      <c r="EI194" s="13" t="str">
        <f t="shared" si="380"/>
        <v/>
      </c>
      <c r="EJ194" s="14" t="str">
        <f t="shared" si="381"/>
        <v/>
      </c>
      <c r="EK194" s="15"/>
    </row>
    <row r="195" spans="1:141" ht="15" customHeight="1" thickTop="1" x14ac:dyDescent="0.2">
      <c r="A195" s="79"/>
      <c r="B195" s="74" t="str">
        <f>IF(A195="","",SUM(D195:D198)+SUM(R195:R198)+SUM(AF195:AF198)+SUM(AT195:AT198)+SUM(BW162,CK162,CY162,DM162))</f>
        <v/>
      </c>
      <c r="C195" s="53"/>
      <c r="D195" s="53" t="str">
        <f t="shared" si="382"/>
        <v/>
      </c>
      <c r="E195" s="53"/>
      <c r="F195" s="31" t="str">
        <f t="shared" si="383"/>
        <v/>
      </c>
      <c r="G195" s="53"/>
      <c r="H195" s="53" t="str">
        <f t="shared" si="384"/>
        <v/>
      </c>
      <c r="I195" s="17"/>
      <c r="J195" s="75" t="str">
        <f t="shared" si="430"/>
        <v/>
      </c>
      <c r="K195" s="76" t="str">
        <f t="shared" si="431"/>
        <v/>
      </c>
      <c r="L195" s="31" t="str">
        <f t="shared" si="387"/>
        <v/>
      </c>
      <c r="M195" s="32" t="str">
        <f t="shared" si="388"/>
        <v/>
      </c>
      <c r="N195" s="15"/>
      <c r="O195" s="2"/>
      <c r="P195" s="79" t="str">
        <f>IF(A195="","",A195)</f>
        <v/>
      </c>
      <c r="Q195" s="53"/>
      <c r="R195" s="53" t="str">
        <f t="shared" ref="R195:R206" si="435">IF(Q195="","",Q195-Q191)</f>
        <v/>
      </c>
      <c r="S195" s="53"/>
      <c r="T195" s="31" t="str">
        <f t="shared" si="390"/>
        <v/>
      </c>
      <c r="U195" s="53"/>
      <c r="V195" s="53" t="str">
        <f t="shared" si="391"/>
        <v/>
      </c>
      <c r="W195" s="17"/>
      <c r="X195" s="75" t="str">
        <f t="shared" ref="X195:X206" si="436">IF(Q195="","",X191)</f>
        <v/>
      </c>
      <c r="Y195" s="76" t="str">
        <f t="shared" ref="Y195:Y206" si="437">IF(R195="","",Y191)</f>
        <v/>
      </c>
      <c r="Z195" s="31" t="str">
        <f t="shared" si="394"/>
        <v/>
      </c>
      <c r="AA195" s="32" t="str">
        <f t="shared" si="395"/>
        <v/>
      </c>
      <c r="AB195" s="15"/>
      <c r="AC195" s="15"/>
      <c r="AD195" s="79" t="str">
        <f>IF($A195="","",$A195)</f>
        <v/>
      </c>
      <c r="AE195" s="53"/>
      <c r="AF195" s="53" t="str">
        <f t="shared" si="396"/>
        <v/>
      </c>
      <c r="AG195" s="53"/>
      <c r="AH195" s="31" t="str">
        <f t="shared" si="397"/>
        <v/>
      </c>
      <c r="AI195" s="53"/>
      <c r="AJ195" s="53" t="str">
        <f t="shared" si="398"/>
        <v/>
      </c>
      <c r="AK195" s="17"/>
      <c r="AL195" s="75" t="str">
        <f t="shared" si="399"/>
        <v/>
      </c>
      <c r="AM195" s="76" t="str">
        <f t="shared" si="400"/>
        <v/>
      </c>
      <c r="AN195" s="31" t="str">
        <f t="shared" si="401"/>
        <v/>
      </c>
      <c r="AO195" s="32" t="str">
        <f t="shared" si="402"/>
        <v/>
      </c>
      <c r="AP195" s="15"/>
      <c r="AQ195" s="113"/>
      <c r="AR195" s="79" t="str">
        <f>IF($A195="","",$A195)</f>
        <v/>
      </c>
      <c r="AS195" s="53"/>
      <c r="AT195" s="53" t="str">
        <f t="shared" si="403"/>
        <v/>
      </c>
      <c r="AU195" s="53"/>
      <c r="AV195" s="31" t="str">
        <f t="shared" si="404"/>
        <v/>
      </c>
      <c r="AW195" s="53"/>
      <c r="AX195" s="53" t="str">
        <f t="shared" si="405"/>
        <v/>
      </c>
      <c r="AY195" s="17"/>
      <c r="AZ195" s="75" t="str">
        <f t="shared" ref="AZ195:AZ206" si="438">IF(AS195="","",AZ191)</f>
        <v/>
      </c>
      <c r="BA195" s="76" t="str">
        <f t="shared" ref="BA195:BA206" si="439">IF(AT195="","",BA191)</f>
        <v/>
      </c>
      <c r="BB195" s="31" t="str">
        <f t="shared" si="408"/>
        <v/>
      </c>
      <c r="BC195" s="32" t="str">
        <f t="shared" si="409"/>
        <v/>
      </c>
      <c r="BD195" s="15"/>
      <c r="BE195" s="2"/>
      <c r="BF195" s="79" t="str">
        <f>IF(DW195="","",DW195)</f>
        <v/>
      </c>
      <c r="BG195" s="240"/>
      <c r="BH195" s="53"/>
      <c r="BI195" s="53" t="str">
        <f t="shared" si="361"/>
        <v/>
      </c>
      <c r="BJ195" s="53"/>
      <c r="BK195" s="31" t="str">
        <f t="shared" si="362"/>
        <v/>
      </c>
      <c r="BL195" s="53"/>
      <c r="BM195" s="53" t="str">
        <f t="shared" si="413"/>
        <v/>
      </c>
      <c r="BN195" s="17"/>
      <c r="BO195" s="75" t="str">
        <f t="shared" ref="BO195:BO206" si="440">IF(BH195="","",BO191)</f>
        <v/>
      </c>
      <c r="BP195" s="76" t="str">
        <f t="shared" si="425"/>
        <v/>
      </c>
      <c r="BQ195" s="31" t="str">
        <f t="shared" si="366"/>
        <v/>
      </c>
      <c r="BR195" s="32" t="str">
        <f t="shared" si="367"/>
        <v/>
      </c>
      <c r="BS195" s="15"/>
      <c r="BT195" s="113"/>
      <c r="BU195" s="16"/>
      <c r="BV195" s="54"/>
      <c r="BW195" s="13" t="str">
        <f t="shared" si="414"/>
        <v/>
      </c>
      <c r="BX195" s="13"/>
      <c r="BY195" s="13"/>
      <c r="BZ195" s="13"/>
      <c r="CA195" s="13" t="str">
        <f t="shared" si="415"/>
        <v/>
      </c>
      <c r="CB195" s="13"/>
      <c r="CC195" s="13"/>
      <c r="CD195" s="13"/>
      <c r="CE195" s="13" t="str">
        <f t="shared" si="373"/>
        <v/>
      </c>
      <c r="CF195" s="14" t="str">
        <f t="shared" si="374"/>
        <v/>
      </c>
      <c r="CG195" s="15"/>
      <c r="CH195" s="1"/>
      <c r="CI195" s="16"/>
      <c r="CJ195" s="54"/>
      <c r="CK195" s="13" t="str">
        <f t="shared" si="416"/>
        <v/>
      </c>
      <c r="CL195" s="13"/>
      <c r="CM195" s="13"/>
      <c r="CN195" s="13"/>
      <c r="CO195" s="13" t="str">
        <f t="shared" si="417"/>
        <v/>
      </c>
      <c r="CP195" s="13"/>
      <c r="CQ195" s="13"/>
      <c r="CR195" s="13"/>
      <c r="CS195" s="13" t="str">
        <f t="shared" si="375"/>
        <v/>
      </c>
      <c r="CT195" s="14" t="str">
        <f t="shared" si="412"/>
        <v/>
      </c>
      <c r="CU195" s="15"/>
      <c r="CV195" s="1"/>
      <c r="CW195" s="16"/>
      <c r="CX195" s="54"/>
      <c r="CY195" s="13" t="str">
        <f t="shared" si="418"/>
        <v/>
      </c>
      <c r="CZ195" s="13"/>
      <c r="DA195" s="13"/>
      <c r="DB195" s="13"/>
      <c r="DC195" s="13" t="str">
        <f t="shared" si="419"/>
        <v/>
      </c>
      <c r="DD195" s="13"/>
      <c r="DE195" s="13"/>
      <c r="DF195" s="13"/>
      <c r="DG195" s="13" t="str">
        <f t="shared" si="376"/>
        <v/>
      </c>
      <c r="DH195" s="14" t="str">
        <f t="shared" si="377"/>
        <v/>
      </c>
      <c r="DI195" s="15"/>
      <c r="DJ195" s="1"/>
      <c r="DK195" s="16"/>
      <c r="DL195" s="54"/>
      <c r="DM195" s="13" t="str">
        <f t="shared" si="420"/>
        <v/>
      </c>
      <c r="DN195" s="13"/>
      <c r="DO195" s="13"/>
      <c r="DP195" s="13"/>
      <c r="DQ195" s="13" t="str">
        <f t="shared" si="421"/>
        <v/>
      </c>
      <c r="DR195" s="13"/>
      <c r="DS195" s="13"/>
      <c r="DT195" s="13"/>
      <c r="DU195" s="13" t="str">
        <f t="shared" si="378"/>
        <v/>
      </c>
      <c r="DV195" s="14" t="str">
        <f t="shared" si="379"/>
        <v/>
      </c>
      <c r="DW195" s="15"/>
      <c r="DY195" s="16"/>
      <c r="DZ195" s="54"/>
      <c r="EA195" s="13" t="str">
        <f t="shared" si="422"/>
        <v/>
      </c>
      <c r="EB195" s="13"/>
      <c r="EC195" s="13"/>
      <c r="ED195" s="13"/>
      <c r="EE195" s="13" t="str">
        <f t="shared" si="423"/>
        <v/>
      </c>
      <c r="EF195" s="13"/>
      <c r="EG195" s="13"/>
      <c r="EH195" s="13"/>
      <c r="EI195" s="13" t="str">
        <f t="shared" si="380"/>
        <v/>
      </c>
      <c r="EJ195" s="14" t="str">
        <f t="shared" si="381"/>
        <v/>
      </c>
      <c r="EK195" s="15"/>
    </row>
    <row r="196" spans="1:141" ht="15" customHeight="1" x14ac:dyDescent="0.2">
      <c r="A196" s="16"/>
      <c r="B196" s="11"/>
      <c r="C196" s="13"/>
      <c r="D196" s="53" t="str">
        <f t="shared" si="382"/>
        <v/>
      </c>
      <c r="E196" s="13"/>
      <c r="F196" s="13" t="str">
        <f t="shared" si="383"/>
        <v/>
      </c>
      <c r="G196" s="13"/>
      <c r="H196" s="13" t="str">
        <f t="shared" si="384"/>
        <v/>
      </c>
      <c r="I196" s="17"/>
      <c r="J196" s="56" t="str">
        <f t="shared" si="430"/>
        <v/>
      </c>
      <c r="K196" s="54" t="str">
        <f t="shared" si="431"/>
        <v/>
      </c>
      <c r="L196" s="13" t="str">
        <f t="shared" si="387"/>
        <v/>
      </c>
      <c r="M196" s="14" t="str">
        <f t="shared" si="388"/>
        <v/>
      </c>
      <c r="N196" s="15"/>
      <c r="O196" s="2"/>
      <c r="P196" s="16"/>
      <c r="Q196" s="13"/>
      <c r="R196" s="53" t="str">
        <f t="shared" si="435"/>
        <v/>
      </c>
      <c r="S196" s="13"/>
      <c r="T196" s="13" t="str">
        <f t="shared" si="390"/>
        <v/>
      </c>
      <c r="U196" s="13"/>
      <c r="V196" s="13" t="str">
        <f t="shared" si="391"/>
        <v/>
      </c>
      <c r="W196" s="17"/>
      <c r="X196" s="56" t="str">
        <f t="shared" si="436"/>
        <v/>
      </c>
      <c r="Y196" s="54" t="str">
        <f t="shared" si="437"/>
        <v/>
      </c>
      <c r="Z196" s="13" t="str">
        <f t="shared" si="394"/>
        <v/>
      </c>
      <c r="AA196" s="14" t="str">
        <f t="shared" si="395"/>
        <v/>
      </c>
      <c r="AB196" s="15"/>
      <c r="AC196" s="15"/>
      <c r="AD196" s="16"/>
      <c r="AE196" s="13"/>
      <c r="AF196" s="53" t="str">
        <f t="shared" si="396"/>
        <v/>
      </c>
      <c r="AG196" s="13"/>
      <c r="AH196" s="13" t="str">
        <f t="shared" si="397"/>
        <v/>
      </c>
      <c r="AI196" s="13"/>
      <c r="AJ196" s="13" t="str">
        <f t="shared" si="398"/>
        <v/>
      </c>
      <c r="AK196" s="17"/>
      <c r="AL196" s="56" t="str">
        <f t="shared" si="399"/>
        <v/>
      </c>
      <c r="AM196" s="54" t="str">
        <f t="shared" si="400"/>
        <v/>
      </c>
      <c r="AN196" s="13" t="str">
        <f t="shared" si="401"/>
        <v/>
      </c>
      <c r="AO196" s="14" t="str">
        <f t="shared" si="402"/>
        <v/>
      </c>
      <c r="AP196" s="15"/>
      <c r="AQ196" s="113"/>
      <c r="AR196" s="16"/>
      <c r="AS196" s="13"/>
      <c r="AT196" s="53" t="str">
        <f t="shared" si="403"/>
        <v/>
      </c>
      <c r="AU196" s="13"/>
      <c r="AV196" s="13" t="str">
        <f t="shared" si="404"/>
        <v/>
      </c>
      <c r="AW196" s="13"/>
      <c r="AX196" s="13" t="str">
        <f t="shared" si="405"/>
        <v/>
      </c>
      <c r="AY196" s="17"/>
      <c r="AZ196" s="56" t="str">
        <f t="shared" si="438"/>
        <v/>
      </c>
      <c r="BA196" s="54" t="str">
        <f t="shared" si="439"/>
        <v/>
      </c>
      <c r="BB196" s="13" t="str">
        <f t="shared" si="408"/>
        <v/>
      </c>
      <c r="BC196" s="14" t="str">
        <f t="shared" si="409"/>
        <v/>
      </c>
      <c r="BD196" s="15"/>
      <c r="BE196" s="2"/>
      <c r="BF196" s="16"/>
      <c r="BG196" s="7"/>
      <c r="BH196" s="13"/>
      <c r="BI196" s="53" t="str">
        <f t="shared" si="361"/>
        <v/>
      </c>
      <c r="BJ196" s="13"/>
      <c r="BK196" s="13" t="str">
        <f t="shared" si="362"/>
        <v/>
      </c>
      <c r="BL196" s="13"/>
      <c r="BM196" s="13" t="str">
        <f t="shared" si="413"/>
        <v/>
      </c>
      <c r="BN196" s="17"/>
      <c r="BO196" s="56" t="str">
        <f t="shared" si="440"/>
        <v/>
      </c>
      <c r="BP196" s="54" t="str">
        <f t="shared" si="425"/>
        <v/>
      </c>
      <c r="BQ196" s="13" t="str">
        <f t="shared" si="366"/>
        <v/>
      </c>
      <c r="BR196" s="14" t="str">
        <f t="shared" si="367"/>
        <v/>
      </c>
      <c r="BS196" s="15"/>
      <c r="BT196" s="113"/>
      <c r="BU196" s="16"/>
      <c r="BV196" s="54"/>
      <c r="BW196" s="13" t="str">
        <f t="shared" si="414"/>
        <v/>
      </c>
      <c r="BX196" s="13"/>
      <c r="BY196" s="13"/>
      <c r="BZ196" s="13"/>
      <c r="CA196" s="13" t="str">
        <f t="shared" si="415"/>
        <v/>
      </c>
      <c r="CB196" s="13"/>
      <c r="CC196" s="13"/>
      <c r="CD196" s="13"/>
      <c r="CE196" s="13" t="str">
        <f t="shared" si="373"/>
        <v/>
      </c>
      <c r="CF196" s="14" t="str">
        <f t="shared" si="374"/>
        <v/>
      </c>
      <c r="CG196" s="15"/>
      <c r="CH196" s="1"/>
      <c r="CI196" s="16"/>
      <c r="CJ196" s="54"/>
      <c r="CK196" s="13" t="str">
        <f t="shared" si="416"/>
        <v/>
      </c>
      <c r="CL196" s="13"/>
      <c r="CM196" s="13"/>
      <c r="CN196" s="13"/>
      <c r="CO196" s="13" t="str">
        <f t="shared" si="417"/>
        <v/>
      </c>
      <c r="CP196" s="13"/>
      <c r="CQ196" s="13"/>
      <c r="CR196" s="13"/>
      <c r="CS196" s="13" t="str">
        <f t="shared" si="375"/>
        <v/>
      </c>
      <c r="CT196" s="14" t="str">
        <f t="shared" si="412"/>
        <v/>
      </c>
      <c r="CU196" s="15"/>
      <c r="CV196" s="1"/>
      <c r="CW196" s="16"/>
      <c r="CX196" s="54"/>
      <c r="CY196" s="13" t="str">
        <f t="shared" si="418"/>
        <v/>
      </c>
      <c r="CZ196" s="13"/>
      <c r="DA196" s="13"/>
      <c r="DB196" s="13"/>
      <c r="DC196" s="13" t="str">
        <f t="shared" si="419"/>
        <v/>
      </c>
      <c r="DD196" s="13"/>
      <c r="DE196" s="13"/>
      <c r="DF196" s="13"/>
      <c r="DG196" s="13" t="str">
        <f t="shared" si="376"/>
        <v/>
      </c>
      <c r="DH196" s="14" t="str">
        <f t="shared" si="377"/>
        <v/>
      </c>
      <c r="DI196" s="15"/>
      <c r="DJ196" s="1"/>
      <c r="DK196" s="16"/>
      <c r="DL196" s="54"/>
      <c r="DM196" s="13" t="str">
        <f t="shared" si="420"/>
        <v/>
      </c>
      <c r="DN196" s="13"/>
      <c r="DO196" s="13"/>
      <c r="DP196" s="13"/>
      <c r="DQ196" s="13" t="str">
        <f t="shared" si="421"/>
        <v/>
      </c>
      <c r="DR196" s="13"/>
      <c r="DS196" s="13"/>
      <c r="DT196" s="13"/>
      <c r="DU196" s="13" t="str">
        <f t="shared" si="378"/>
        <v/>
      </c>
      <c r="DV196" s="14" t="str">
        <f t="shared" si="379"/>
        <v/>
      </c>
      <c r="DW196" s="15"/>
      <c r="DY196" s="16"/>
      <c r="DZ196" s="54"/>
      <c r="EA196" s="13" t="str">
        <f t="shared" si="422"/>
        <v/>
      </c>
      <c r="EB196" s="13"/>
      <c r="EC196" s="13"/>
      <c r="ED196" s="13"/>
      <c r="EE196" s="13" t="str">
        <f t="shared" si="423"/>
        <v/>
      </c>
      <c r="EF196" s="13"/>
      <c r="EG196" s="13"/>
      <c r="EH196" s="13"/>
      <c r="EI196" s="13" t="str">
        <f t="shared" si="380"/>
        <v/>
      </c>
      <c r="EJ196" s="14" t="str">
        <f t="shared" si="381"/>
        <v/>
      </c>
      <c r="EK196" s="15"/>
    </row>
    <row r="197" spans="1:141" ht="15" customHeight="1" x14ac:dyDescent="0.2">
      <c r="A197" s="16"/>
      <c r="B197" s="11"/>
      <c r="C197" s="13"/>
      <c r="D197" s="63" t="str">
        <f t="shared" si="382"/>
        <v/>
      </c>
      <c r="E197" s="13"/>
      <c r="F197" s="13" t="str">
        <f t="shared" si="383"/>
        <v/>
      </c>
      <c r="G197" s="13"/>
      <c r="H197" s="13" t="str">
        <f t="shared" si="384"/>
        <v/>
      </c>
      <c r="I197" s="17"/>
      <c r="J197" s="56" t="str">
        <f t="shared" si="430"/>
        <v/>
      </c>
      <c r="K197" s="13" t="str">
        <f t="shared" si="431"/>
        <v/>
      </c>
      <c r="L197" s="13" t="str">
        <f t="shared" si="387"/>
        <v/>
      </c>
      <c r="M197" s="14" t="str">
        <f t="shared" si="388"/>
        <v/>
      </c>
      <c r="N197" s="15"/>
      <c r="O197" s="2"/>
      <c r="P197" s="16"/>
      <c r="Q197" s="13"/>
      <c r="R197" s="63" t="str">
        <f t="shared" si="435"/>
        <v/>
      </c>
      <c r="S197" s="13"/>
      <c r="T197" s="13" t="str">
        <f t="shared" si="390"/>
        <v/>
      </c>
      <c r="U197" s="13"/>
      <c r="V197" s="13" t="str">
        <f t="shared" si="391"/>
        <v/>
      </c>
      <c r="W197" s="17"/>
      <c r="X197" s="56" t="str">
        <f t="shared" si="436"/>
        <v/>
      </c>
      <c r="Y197" s="13" t="str">
        <f t="shared" si="437"/>
        <v/>
      </c>
      <c r="Z197" s="13" t="str">
        <f t="shared" si="394"/>
        <v/>
      </c>
      <c r="AA197" s="14" t="str">
        <f t="shared" si="395"/>
        <v/>
      </c>
      <c r="AB197" s="15"/>
      <c r="AC197" s="15"/>
      <c r="AD197" s="16"/>
      <c r="AE197" s="13"/>
      <c r="AF197" s="63" t="str">
        <f t="shared" si="396"/>
        <v/>
      </c>
      <c r="AG197" s="13"/>
      <c r="AH197" s="13" t="str">
        <f t="shared" si="397"/>
        <v/>
      </c>
      <c r="AI197" s="13"/>
      <c r="AJ197" s="13" t="str">
        <f t="shared" si="398"/>
        <v/>
      </c>
      <c r="AK197" s="17"/>
      <c r="AL197" s="56" t="str">
        <f t="shared" si="399"/>
        <v/>
      </c>
      <c r="AM197" s="13" t="str">
        <f t="shared" si="400"/>
        <v/>
      </c>
      <c r="AN197" s="13" t="str">
        <f t="shared" si="401"/>
        <v/>
      </c>
      <c r="AO197" s="14" t="str">
        <f t="shared" si="402"/>
        <v/>
      </c>
      <c r="AP197" s="15"/>
      <c r="AQ197" s="113"/>
      <c r="AR197" s="16"/>
      <c r="AS197" s="13"/>
      <c r="AT197" s="63" t="str">
        <f t="shared" si="403"/>
        <v/>
      </c>
      <c r="AU197" s="13"/>
      <c r="AV197" s="13" t="str">
        <f t="shared" si="404"/>
        <v/>
      </c>
      <c r="AW197" s="13"/>
      <c r="AX197" s="13" t="str">
        <f t="shared" si="405"/>
        <v/>
      </c>
      <c r="AY197" s="17"/>
      <c r="AZ197" s="56" t="str">
        <f t="shared" si="438"/>
        <v/>
      </c>
      <c r="BA197" s="13" t="str">
        <f t="shared" si="439"/>
        <v/>
      </c>
      <c r="BB197" s="13" t="str">
        <f t="shared" si="408"/>
        <v/>
      </c>
      <c r="BC197" s="14" t="str">
        <f t="shared" si="409"/>
        <v/>
      </c>
      <c r="BD197" s="15"/>
      <c r="BE197" s="2"/>
      <c r="BF197" s="16"/>
      <c r="BG197" s="7"/>
      <c r="BH197" s="13"/>
      <c r="BI197" s="63" t="str">
        <f t="shared" si="361"/>
        <v/>
      </c>
      <c r="BJ197" s="13"/>
      <c r="BK197" s="13" t="str">
        <f t="shared" si="362"/>
        <v/>
      </c>
      <c r="BL197" s="13"/>
      <c r="BM197" s="13" t="str">
        <f t="shared" si="413"/>
        <v/>
      </c>
      <c r="BN197" s="17"/>
      <c r="BO197" s="56" t="str">
        <f t="shared" si="440"/>
        <v/>
      </c>
      <c r="BP197" s="13" t="str">
        <f t="shared" si="425"/>
        <v/>
      </c>
      <c r="BQ197" s="13" t="str">
        <f t="shared" si="366"/>
        <v/>
      </c>
      <c r="BR197" s="14" t="str">
        <f t="shared" si="367"/>
        <v/>
      </c>
      <c r="BS197" s="15"/>
      <c r="BT197" s="113"/>
      <c r="BU197" s="16"/>
      <c r="BV197" s="54"/>
      <c r="BW197" s="13" t="str">
        <f t="shared" si="414"/>
        <v/>
      </c>
      <c r="BX197" s="13"/>
      <c r="BY197" s="13"/>
      <c r="BZ197" s="13"/>
      <c r="CA197" s="13" t="str">
        <f t="shared" si="415"/>
        <v/>
      </c>
      <c r="CB197" s="13"/>
      <c r="CC197" s="13"/>
      <c r="CD197" s="13"/>
      <c r="CE197" s="13" t="str">
        <f t="shared" si="373"/>
        <v/>
      </c>
      <c r="CF197" s="14" t="str">
        <f t="shared" si="374"/>
        <v/>
      </c>
      <c r="CG197" s="15"/>
      <c r="CH197" s="1"/>
      <c r="CI197" s="16"/>
      <c r="CJ197" s="54"/>
      <c r="CK197" s="13" t="str">
        <f t="shared" si="416"/>
        <v/>
      </c>
      <c r="CL197" s="13"/>
      <c r="CM197" s="13"/>
      <c r="CN197" s="13"/>
      <c r="CO197" s="13" t="str">
        <f t="shared" si="417"/>
        <v/>
      </c>
      <c r="CP197" s="13"/>
      <c r="CQ197" s="13"/>
      <c r="CR197" s="13"/>
      <c r="CS197" s="13" t="str">
        <f t="shared" si="375"/>
        <v/>
      </c>
      <c r="CT197" s="14" t="str">
        <f t="shared" si="412"/>
        <v/>
      </c>
      <c r="CU197" s="15"/>
      <c r="CV197" s="1"/>
      <c r="CW197" s="16"/>
      <c r="CX197" s="54"/>
      <c r="CY197" s="13" t="str">
        <f t="shared" si="418"/>
        <v/>
      </c>
      <c r="CZ197" s="13"/>
      <c r="DA197" s="13"/>
      <c r="DB197" s="13"/>
      <c r="DC197" s="13" t="str">
        <f t="shared" si="419"/>
        <v/>
      </c>
      <c r="DD197" s="13"/>
      <c r="DE197" s="13"/>
      <c r="DF197" s="13"/>
      <c r="DG197" s="13" t="str">
        <f t="shared" si="376"/>
        <v/>
      </c>
      <c r="DH197" s="14" t="str">
        <f t="shared" si="377"/>
        <v/>
      </c>
      <c r="DI197" s="15"/>
      <c r="DJ197" s="1"/>
      <c r="DK197" s="16"/>
      <c r="DL197" s="54"/>
      <c r="DM197" s="13" t="str">
        <f t="shared" si="420"/>
        <v/>
      </c>
      <c r="DN197" s="13"/>
      <c r="DO197" s="13"/>
      <c r="DP197" s="13"/>
      <c r="DQ197" s="13" t="str">
        <f t="shared" si="421"/>
        <v/>
      </c>
      <c r="DR197" s="13"/>
      <c r="DS197" s="13"/>
      <c r="DT197" s="13"/>
      <c r="DU197" s="13" t="str">
        <f t="shared" si="378"/>
        <v/>
      </c>
      <c r="DV197" s="14" t="str">
        <f t="shared" si="379"/>
        <v/>
      </c>
      <c r="DW197" s="15"/>
      <c r="DY197" s="16"/>
      <c r="DZ197" s="54"/>
      <c r="EA197" s="13" t="str">
        <f t="shared" si="422"/>
        <v/>
      </c>
      <c r="EB197" s="13"/>
      <c r="EC197" s="13"/>
      <c r="ED197" s="13"/>
      <c r="EE197" s="13" t="str">
        <f t="shared" si="423"/>
        <v/>
      </c>
      <c r="EF197" s="13"/>
      <c r="EG197" s="13"/>
      <c r="EH197" s="13"/>
      <c r="EI197" s="13" t="str">
        <f t="shared" si="380"/>
        <v/>
      </c>
      <c r="EJ197" s="14" t="str">
        <f t="shared" si="381"/>
        <v/>
      </c>
      <c r="EK197" s="15"/>
    </row>
    <row r="198" spans="1:141" ht="15" customHeight="1" thickBot="1" x14ac:dyDescent="0.25">
      <c r="A198" s="26"/>
      <c r="B198" s="46"/>
      <c r="C198" s="27"/>
      <c r="D198" s="61" t="str">
        <f t="shared" si="382"/>
        <v/>
      </c>
      <c r="E198" s="62"/>
      <c r="F198" s="27" t="str">
        <f t="shared" si="383"/>
        <v/>
      </c>
      <c r="G198" s="27"/>
      <c r="H198" s="27" t="str">
        <f t="shared" si="384"/>
        <v/>
      </c>
      <c r="I198" s="47"/>
      <c r="J198" s="57" t="str">
        <f t="shared" si="430"/>
        <v/>
      </c>
      <c r="K198" s="62" t="str">
        <f t="shared" si="431"/>
        <v/>
      </c>
      <c r="L198" s="27" t="str">
        <f t="shared" si="387"/>
        <v/>
      </c>
      <c r="M198" s="28" t="str">
        <f t="shared" si="388"/>
        <v/>
      </c>
      <c r="N198" s="15"/>
      <c r="O198" s="2"/>
      <c r="P198" s="26"/>
      <c r="Q198" s="27"/>
      <c r="R198" s="61" t="str">
        <f t="shared" si="435"/>
        <v/>
      </c>
      <c r="S198" s="62"/>
      <c r="T198" s="27" t="str">
        <f t="shared" si="390"/>
        <v/>
      </c>
      <c r="U198" s="27"/>
      <c r="V198" s="27" t="str">
        <f t="shared" si="391"/>
        <v/>
      </c>
      <c r="W198" s="47"/>
      <c r="X198" s="57" t="str">
        <f t="shared" si="436"/>
        <v/>
      </c>
      <c r="Y198" s="62" t="str">
        <f t="shared" si="437"/>
        <v/>
      </c>
      <c r="Z198" s="27" t="str">
        <f t="shared" si="394"/>
        <v/>
      </c>
      <c r="AA198" s="28" t="str">
        <f t="shared" si="395"/>
        <v/>
      </c>
      <c r="AB198" s="15"/>
      <c r="AC198" s="15"/>
      <c r="AD198" s="26"/>
      <c r="AE198" s="27"/>
      <c r="AF198" s="61" t="str">
        <f t="shared" si="396"/>
        <v/>
      </c>
      <c r="AG198" s="62"/>
      <c r="AH198" s="27" t="str">
        <f t="shared" si="397"/>
        <v/>
      </c>
      <c r="AI198" s="27"/>
      <c r="AJ198" s="27" t="str">
        <f t="shared" si="398"/>
        <v/>
      </c>
      <c r="AK198" s="47"/>
      <c r="AL198" s="57" t="str">
        <f t="shared" si="399"/>
        <v/>
      </c>
      <c r="AM198" s="62" t="str">
        <f t="shared" si="400"/>
        <v/>
      </c>
      <c r="AN198" s="27" t="str">
        <f t="shared" si="401"/>
        <v/>
      </c>
      <c r="AO198" s="28" t="str">
        <f t="shared" si="402"/>
        <v/>
      </c>
      <c r="AP198" s="15"/>
      <c r="AQ198" s="113"/>
      <c r="AR198" s="26"/>
      <c r="AS198" s="27"/>
      <c r="AT198" s="61" t="str">
        <f t="shared" si="403"/>
        <v/>
      </c>
      <c r="AU198" s="62"/>
      <c r="AV198" s="27" t="str">
        <f t="shared" si="404"/>
        <v/>
      </c>
      <c r="AW198" s="27"/>
      <c r="AX198" s="27" t="str">
        <f t="shared" si="405"/>
        <v/>
      </c>
      <c r="AY198" s="47"/>
      <c r="AZ198" s="57" t="str">
        <f t="shared" si="438"/>
        <v/>
      </c>
      <c r="BA198" s="62" t="str">
        <f t="shared" si="439"/>
        <v/>
      </c>
      <c r="BB198" s="27" t="str">
        <f t="shared" si="408"/>
        <v/>
      </c>
      <c r="BC198" s="28" t="str">
        <f t="shared" si="409"/>
        <v/>
      </c>
      <c r="BD198" s="15"/>
      <c r="BE198" s="2"/>
      <c r="BF198" s="26"/>
      <c r="BG198" s="241"/>
      <c r="BH198" s="27"/>
      <c r="BI198" s="61" t="str">
        <f t="shared" si="361"/>
        <v/>
      </c>
      <c r="BJ198" s="62"/>
      <c r="BK198" s="27" t="str">
        <f t="shared" si="362"/>
        <v/>
      </c>
      <c r="BL198" s="27"/>
      <c r="BM198" s="27" t="str">
        <f t="shared" si="413"/>
        <v/>
      </c>
      <c r="BN198" s="47"/>
      <c r="BO198" s="57" t="str">
        <f t="shared" si="440"/>
        <v/>
      </c>
      <c r="BP198" s="62" t="str">
        <f t="shared" si="425"/>
        <v/>
      </c>
      <c r="BQ198" s="27" t="str">
        <f t="shared" si="366"/>
        <v/>
      </c>
      <c r="BR198" s="28" t="str">
        <f t="shared" si="367"/>
        <v/>
      </c>
      <c r="BS198" s="15"/>
      <c r="BT198" s="113"/>
      <c r="BU198" s="16"/>
      <c r="BV198" s="54"/>
      <c r="BW198" s="13" t="str">
        <f t="shared" si="414"/>
        <v/>
      </c>
      <c r="BX198" s="13"/>
      <c r="BY198" s="13"/>
      <c r="BZ198" s="13"/>
      <c r="CA198" s="13" t="str">
        <f t="shared" si="415"/>
        <v/>
      </c>
      <c r="CB198" s="13"/>
      <c r="CC198" s="13"/>
      <c r="CD198" s="13"/>
      <c r="CE198" s="13" t="str">
        <f t="shared" si="373"/>
        <v/>
      </c>
      <c r="CF198" s="14" t="str">
        <f t="shared" si="374"/>
        <v/>
      </c>
      <c r="CG198" s="15"/>
      <c r="CH198" s="1"/>
      <c r="CI198" s="16"/>
      <c r="CJ198" s="54"/>
      <c r="CK198" s="13" t="str">
        <f t="shared" si="416"/>
        <v/>
      </c>
      <c r="CL198" s="13"/>
      <c r="CM198" s="13"/>
      <c r="CN198" s="13"/>
      <c r="CO198" s="13" t="str">
        <f t="shared" si="417"/>
        <v/>
      </c>
      <c r="CP198" s="13"/>
      <c r="CQ198" s="13"/>
      <c r="CR198" s="13"/>
      <c r="CS198" s="13" t="str">
        <f t="shared" si="375"/>
        <v/>
      </c>
      <c r="CT198" s="14" t="str">
        <f t="shared" si="412"/>
        <v/>
      </c>
      <c r="CU198" s="15"/>
      <c r="CV198" s="1"/>
      <c r="CW198" s="16"/>
      <c r="CX198" s="54"/>
      <c r="CY198" s="13" t="str">
        <f t="shared" si="418"/>
        <v/>
      </c>
      <c r="CZ198" s="13"/>
      <c r="DA198" s="13"/>
      <c r="DB198" s="13"/>
      <c r="DC198" s="13" t="str">
        <f t="shared" si="419"/>
        <v/>
      </c>
      <c r="DD198" s="13"/>
      <c r="DE198" s="13"/>
      <c r="DF198" s="13"/>
      <c r="DG198" s="13" t="str">
        <f t="shared" si="376"/>
        <v/>
      </c>
      <c r="DH198" s="14" t="str">
        <f t="shared" si="377"/>
        <v/>
      </c>
      <c r="DI198" s="15"/>
      <c r="DJ198" s="1"/>
      <c r="DK198" s="16"/>
      <c r="DL198" s="54"/>
      <c r="DM198" s="13" t="str">
        <f t="shared" si="420"/>
        <v/>
      </c>
      <c r="DN198" s="13"/>
      <c r="DO198" s="13"/>
      <c r="DP198" s="13"/>
      <c r="DQ198" s="13" t="str">
        <f t="shared" si="421"/>
        <v/>
      </c>
      <c r="DR198" s="13"/>
      <c r="DS198" s="13"/>
      <c r="DT198" s="13"/>
      <c r="DU198" s="13" t="str">
        <f t="shared" si="378"/>
        <v/>
      </c>
      <c r="DV198" s="14" t="str">
        <f t="shared" si="379"/>
        <v/>
      </c>
      <c r="DW198" s="15"/>
      <c r="DY198" s="16"/>
      <c r="DZ198" s="54"/>
      <c r="EA198" s="13" t="str">
        <f t="shared" si="422"/>
        <v/>
      </c>
      <c r="EB198" s="13"/>
      <c r="EC198" s="13"/>
      <c r="ED198" s="13"/>
      <c r="EE198" s="13" t="str">
        <f t="shared" si="423"/>
        <v/>
      </c>
      <c r="EF198" s="13"/>
      <c r="EG198" s="13"/>
      <c r="EH198" s="13"/>
      <c r="EI198" s="13" t="str">
        <f t="shared" si="380"/>
        <v/>
      </c>
      <c r="EJ198" s="14" t="str">
        <f t="shared" si="381"/>
        <v/>
      </c>
      <c r="EK198" s="15"/>
    </row>
    <row r="199" spans="1:141" ht="15" customHeight="1" thickTop="1" x14ac:dyDescent="0.2">
      <c r="A199" s="79"/>
      <c r="B199" s="74" t="str">
        <f>IF(A199="","",SUM(D199:D202)+SUM(R199:R202)+SUM(AF199:AF202)+SUM(AT199:AT202)+SUM(BW163,CK163,CY163,DM163))</f>
        <v/>
      </c>
      <c r="C199" s="53"/>
      <c r="D199" s="53" t="str">
        <f t="shared" si="382"/>
        <v/>
      </c>
      <c r="E199" s="53"/>
      <c r="F199" s="31" t="str">
        <f t="shared" si="383"/>
        <v/>
      </c>
      <c r="G199" s="53"/>
      <c r="H199" s="53" t="str">
        <f t="shared" si="384"/>
        <v/>
      </c>
      <c r="I199" s="53"/>
      <c r="J199" s="75" t="str">
        <f t="shared" si="430"/>
        <v/>
      </c>
      <c r="K199" s="76" t="str">
        <f t="shared" si="431"/>
        <v/>
      </c>
      <c r="L199" s="31" t="str">
        <f t="shared" si="387"/>
        <v/>
      </c>
      <c r="M199" s="32" t="str">
        <f t="shared" si="388"/>
        <v/>
      </c>
      <c r="N199" s="15"/>
      <c r="O199" s="2"/>
      <c r="P199" s="79" t="str">
        <f>IF(A199="","",A199)</f>
        <v/>
      </c>
      <c r="Q199" s="53"/>
      <c r="R199" s="53" t="str">
        <f t="shared" si="435"/>
        <v/>
      </c>
      <c r="S199" s="53"/>
      <c r="T199" s="31" t="str">
        <f t="shared" si="390"/>
        <v/>
      </c>
      <c r="U199" s="53"/>
      <c r="V199" s="53" t="str">
        <f t="shared" si="391"/>
        <v/>
      </c>
      <c r="W199" s="53"/>
      <c r="X199" s="75" t="str">
        <f t="shared" si="436"/>
        <v/>
      </c>
      <c r="Y199" s="76" t="str">
        <f t="shared" si="437"/>
        <v/>
      </c>
      <c r="Z199" s="31" t="str">
        <f t="shared" si="394"/>
        <v/>
      </c>
      <c r="AA199" s="32" t="str">
        <f t="shared" si="395"/>
        <v/>
      </c>
      <c r="AB199" s="15"/>
      <c r="AD199" s="79" t="str">
        <f>IF($A199="","",$A199)</f>
        <v/>
      </c>
      <c r="AE199" s="53"/>
      <c r="AF199" s="53" t="str">
        <f t="shared" si="396"/>
        <v/>
      </c>
      <c r="AG199" s="53"/>
      <c r="AH199" s="31" t="str">
        <f t="shared" si="397"/>
        <v/>
      </c>
      <c r="AI199" s="53"/>
      <c r="AJ199" s="53" t="str">
        <f t="shared" si="398"/>
        <v/>
      </c>
      <c r="AK199" s="53"/>
      <c r="AL199" s="75" t="str">
        <f t="shared" si="399"/>
        <v/>
      </c>
      <c r="AM199" s="76" t="str">
        <f t="shared" si="400"/>
        <v/>
      </c>
      <c r="AN199" s="31" t="str">
        <f t="shared" si="401"/>
        <v/>
      </c>
      <c r="AO199" s="32" t="str">
        <f t="shared" si="402"/>
        <v/>
      </c>
      <c r="AP199" s="15"/>
      <c r="AQ199" s="115"/>
      <c r="AR199" s="79" t="str">
        <f>IF($A199="","",$A199)</f>
        <v/>
      </c>
      <c r="AS199" s="53"/>
      <c r="AT199" s="53" t="str">
        <f t="shared" si="403"/>
        <v/>
      </c>
      <c r="AU199" s="53"/>
      <c r="AV199" s="31" t="str">
        <f t="shared" si="404"/>
        <v/>
      </c>
      <c r="AW199" s="53"/>
      <c r="AX199" s="53" t="str">
        <f t="shared" si="405"/>
        <v/>
      </c>
      <c r="AY199" s="53"/>
      <c r="AZ199" s="75" t="str">
        <f t="shared" si="438"/>
        <v/>
      </c>
      <c r="BA199" s="76" t="str">
        <f t="shared" si="439"/>
        <v/>
      </c>
      <c r="BB199" s="31" t="str">
        <f t="shared" si="408"/>
        <v/>
      </c>
      <c r="BC199" s="32" t="str">
        <f t="shared" si="409"/>
        <v/>
      </c>
      <c r="BD199" s="15"/>
      <c r="BE199" s="2"/>
      <c r="BF199" s="79" t="str">
        <f>IF(DW199="","",DW199)</f>
        <v/>
      </c>
      <c r="BG199" s="240"/>
      <c r="BH199" s="53"/>
      <c r="BI199" s="53" t="str">
        <f t="shared" si="361"/>
        <v/>
      </c>
      <c r="BJ199" s="53"/>
      <c r="BK199" s="31" t="str">
        <f t="shared" si="362"/>
        <v/>
      </c>
      <c r="BL199" s="53"/>
      <c r="BM199" s="53" t="str">
        <f t="shared" si="413"/>
        <v/>
      </c>
      <c r="BN199" s="53"/>
      <c r="BO199" s="75" t="str">
        <f t="shared" si="440"/>
        <v/>
      </c>
      <c r="BP199" s="76" t="str">
        <f t="shared" si="425"/>
        <v/>
      </c>
      <c r="BQ199" s="31" t="str">
        <f t="shared" si="366"/>
        <v/>
      </c>
      <c r="BR199" s="32" t="str">
        <f t="shared" si="367"/>
        <v/>
      </c>
      <c r="BS199" s="15"/>
      <c r="BT199" s="114"/>
      <c r="BU199" s="16"/>
      <c r="BV199" s="54"/>
      <c r="BW199" s="13"/>
      <c r="BX199" s="13"/>
      <c r="BY199" s="13"/>
      <c r="BZ199" s="13"/>
      <c r="CA199" s="13"/>
      <c r="CB199" s="13"/>
      <c r="CC199" s="13"/>
      <c r="CD199" s="13"/>
      <c r="CE199" s="13"/>
      <c r="CF199" s="14"/>
      <c r="CG199" s="15"/>
      <c r="CH199" s="1"/>
      <c r="CI199" s="16"/>
      <c r="CJ199" s="54"/>
      <c r="CK199" s="13"/>
      <c r="CL199" s="13"/>
      <c r="CM199" s="13"/>
      <c r="CN199" s="13"/>
      <c r="CO199" s="13"/>
      <c r="CP199" s="13"/>
      <c r="CQ199" s="13"/>
      <c r="CR199" s="13"/>
      <c r="CS199" s="13"/>
      <c r="CT199" s="14"/>
      <c r="CU199" s="15"/>
      <c r="CV199" s="1"/>
      <c r="CW199" s="16"/>
      <c r="CX199" s="54"/>
      <c r="CY199" s="13"/>
      <c r="CZ199" s="13"/>
      <c r="DA199" s="13"/>
      <c r="DB199" s="13"/>
      <c r="DC199" s="13"/>
      <c r="DD199" s="13"/>
      <c r="DE199" s="13"/>
      <c r="DF199" s="13"/>
      <c r="DG199" s="13"/>
      <c r="DH199" s="14"/>
      <c r="DI199" s="15"/>
      <c r="DJ199" s="1"/>
      <c r="DK199" s="16"/>
      <c r="DL199" s="54"/>
      <c r="DM199" s="13"/>
      <c r="DN199" s="13"/>
      <c r="DO199" s="13"/>
      <c r="DP199" s="13"/>
      <c r="DQ199" s="13"/>
      <c r="DR199" s="13"/>
      <c r="DS199" s="13"/>
      <c r="DT199" s="13"/>
      <c r="DU199" s="13"/>
      <c r="DV199" s="14"/>
      <c r="DW199" s="15"/>
      <c r="DY199" s="16"/>
      <c r="DZ199" s="54"/>
      <c r="EA199" s="13"/>
      <c r="EB199" s="13"/>
      <c r="EC199" s="13"/>
      <c r="ED199" s="13"/>
      <c r="EE199" s="13"/>
      <c r="EF199" s="13"/>
      <c r="EG199" s="13"/>
      <c r="EH199" s="13"/>
      <c r="EI199" s="13"/>
      <c r="EJ199" s="14"/>
      <c r="EK199" s="15"/>
    </row>
    <row r="200" spans="1:141" ht="15" customHeight="1" x14ac:dyDescent="0.2">
      <c r="A200" s="16"/>
      <c r="B200" s="11"/>
      <c r="C200" s="13"/>
      <c r="D200" s="13" t="str">
        <f t="shared" si="382"/>
        <v/>
      </c>
      <c r="E200" s="13"/>
      <c r="F200" s="13" t="str">
        <f t="shared" si="383"/>
        <v/>
      </c>
      <c r="G200" s="13"/>
      <c r="H200" s="50" t="str">
        <f t="shared" si="384"/>
        <v/>
      </c>
      <c r="I200" s="13"/>
      <c r="J200" s="56" t="str">
        <f t="shared" si="430"/>
        <v/>
      </c>
      <c r="K200" s="54" t="str">
        <f t="shared" si="431"/>
        <v/>
      </c>
      <c r="L200" s="13" t="str">
        <f t="shared" si="387"/>
        <v/>
      </c>
      <c r="M200" s="14" t="str">
        <f t="shared" si="388"/>
        <v/>
      </c>
      <c r="N200" s="15"/>
      <c r="O200" s="2"/>
      <c r="P200" s="16"/>
      <c r="Q200" s="13"/>
      <c r="R200" s="13" t="str">
        <f t="shared" si="435"/>
        <v/>
      </c>
      <c r="S200" s="13"/>
      <c r="T200" s="13" t="str">
        <f t="shared" si="390"/>
        <v/>
      </c>
      <c r="U200" s="13"/>
      <c r="V200" s="50" t="str">
        <f t="shared" si="391"/>
        <v/>
      </c>
      <c r="W200" s="13"/>
      <c r="X200" s="56" t="str">
        <f t="shared" si="436"/>
        <v/>
      </c>
      <c r="Y200" s="54" t="str">
        <f t="shared" si="437"/>
        <v/>
      </c>
      <c r="Z200" s="13" t="str">
        <f t="shared" si="394"/>
        <v/>
      </c>
      <c r="AA200" s="14" t="str">
        <f t="shared" si="395"/>
        <v/>
      </c>
      <c r="AB200" s="15"/>
      <c r="AD200" s="16"/>
      <c r="AE200" s="13"/>
      <c r="AF200" s="13" t="str">
        <f t="shared" si="396"/>
        <v/>
      </c>
      <c r="AG200" s="13"/>
      <c r="AH200" s="13" t="str">
        <f t="shared" si="397"/>
        <v/>
      </c>
      <c r="AI200" s="13"/>
      <c r="AJ200" s="50" t="str">
        <f t="shared" si="398"/>
        <v/>
      </c>
      <c r="AK200" s="13"/>
      <c r="AL200" s="56" t="str">
        <f t="shared" si="399"/>
        <v/>
      </c>
      <c r="AM200" s="54" t="str">
        <f t="shared" si="400"/>
        <v/>
      </c>
      <c r="AN200" s="13" t="str">
        <f t="shared" si="401"/>
        <v/>
      </c>
      <c r="AO200" s="14" t="str">
        <f t="shared" si="402"/>
        <v/>
      </c>
      <c r="AP200" s="15"/>
      <c r="AQ200" s="115"/>
      <c r="AR200" s="16"/>
      <c r="AS200" s="13"/>
      <c r="AT200" s="13" t="str">
        <f t="shared" si="403"/>
        <v/>
      </c>
      <c r="AU200" s="13"/>
      <c r="AV200" s="13" t="str">
        <f t="shared" si="404"/>
        <v/>
      </c>
      <c r="AW200" s="13"/>
      <c r="AX200" s="50" t="str">
        <f t="shared" si="405"/>
        <v/>
      </c>
      <c r="AY200" s="13"/>
      <c r="AZ200" s="56" t="str">
        <f t="shared" si="438"/>
        <v/>
      </c>
      <c r="BA200" s="54" t="str">
        <f t="shared" si="439"/>
        <v/>
      </c>
      <c r="BB200" s="13" t="str">
        <f t="shared" si="408"/>
        <v/>
      </c>
      <c r="BC200" s="14" t="str">
        <f t="shared" si="409"/>
        <v/>
      </c>
      <c r="BD200" s="15"/>
      <c r="BE200" s="2"/>
      <c r="BF200" s="16"/>
      <c r="BG200" s="7"/>
      <c r="BH200" s="13"/>
      <c r="BI200" s="13" t="str">
        <f t="shared" si="361"/>
        <v/>
      </c>
      <c r="BJ200" s="13"/>
      <c r="BK200" s="13" t="str">
        <f t="shared" si="362"/>
        <v/>
      </c>
      <c r="BL200" s="13"/>
      <c r="BM200" s="50" t="str">
        <f t="shared" si="413"/>
        <v/>
      </c>
      <c r="BN200" s="13"/>
      <c r="BO200" s="56" t="str">
        <f t="shared" si="440"/>
        <v/>
      </c>
      <c r="BP200" s="54" t="str">
        <f t="shared" si="425"/>
        <v/>
      </c>
      <c r="BQ200" s="13" t="str">
        <f t="shared" si="366"/>
        <v/>
      </c>
      <c r="BR200" s="14" t="str">
        <f t="shared" si="367"/>
        <v/>
      </c>
      <c r="BS200" s="15"/>
      <c r="BT200" s="114"/>
      <c r="BU200" s="16"/>
      <c r="BV200" s="54"/>
      <c r="BW200" s="13" t="str">
        <f>IF(BV200="","",BV200-#REF!)</f>
        <v/>
      </c>
      <c r="BX200" s="13"/>
      <c r="BY200" s="13"/>
      <c r="BZ200" s="13"/>
      <c r="CA200" s="13" t="str">
        <f>IF(BZ200="","",#REF!+#REF!-BZ200)</f>
        <v/>
      </c>
      <c r="CB200" s="13"/>
      <c r="CC200" s="13"/>
      <c r="CD200" s="13"/>
      <c r="CE200" s="13" t="str">
        <f>IF(CD200="","",CA200*CD200)</f>
        <v/>
      </c>
      <c r="CF200" s="14" t="str">
        <f>IF(CE200="","",CE200/(BW200*100))</f>
        <v/>
      </c>
      <c r="CG200" s="15"/>
      <c r="CH200" s="1"/>
      <c r="CI200" s="16"/>
      <c r="CJ200" s="54"/>
      <c r="CK200" s="13" t="str">
        <f>IF(CJ200="","",CJ200-#REF!)</f>
        <v/>
      </c>
      <c r="CL200" s="13"/>
      <c r="CM200" s="13"/>
      <c r="CN200" s="13"/>
      <c r="CO200" s="13" t="str">
        <f>IF(CN200="","",#REF!+#REF!-CN200)</f>
        <v/>
      </c>
      <c r="CP200" s="13"/>
      <c r="CQ200" s="13"/>
      <c r="CR200" s="13"/>
      <c r="CS200" s="13" t="str">
        <f>IF(CR200="","",CO200*CR200)</f>
        <v/>
      </c>
      <c r="CT200" s="14" t="str">
        <f>IF(CS200="","",CS200/(CK200*100))</f>
        <v/>
      </c>
      <c r="CU200" s="15"/>
      <c r="CV200" s="1"/>
      <c r="CW200" s="16"/>
      <c r="CX200" s="54"/>
      <c r="CY200" s="13" t="str">
        <f>IF(CX200="","",CX200-#REF!)</f>
        <v/>
      </c>
      <c r="CZ200" s="13"/>
      <c r="DA200" s="13"/>
      <c r="DB200" s="13"/>
      <c r="DC200" s="13" t="str">
        <f>IF(DB200="","",#REF!+#REF!-DB200)</f>
        <v/>
      </c>
      <c r="DD200" s="13"/>
      <c r="DE200" s="13"/>
      <c r="DF200" s="13"/>
      <c r="DG200" s="13" t="str">
        <f>IF(DF200="","",DC200*DF200)</f>
        <v/>
      </c>
      <c r="DH200" s="14" t="str">
        <f>IF(DG200="","",DG200/(CY200*100))</f>
        <v/>
      </c>
      <c r="DI200" s="15"/>
      <c r="DJ200" s="1"/>
      <c r="DK200" s="16"/>
      <c r="DL200" s="54"/>
      <c r="DM200" s="13" t="str">
        <f>IF(DL200="","",DL200-#REF!)</f>
        <v/>
      </c>
      <c r="DN200" s="13"/>
      <c r="DO200" s="13"/>
      <c r="DP200" s="13"/>
      <c r="DQ200" s="13" t="str">
        <f>IF(DP200="","",#REF!+#REF!-DP200)</f>
        <v/>
      </c>
      <c r="DR200" s="13"/>
      <c r="DS200" s="13"/>
      <c r="DT200" s="13"/>
      <c r="DU200" s="13" t="str">
        <f>IF(DT200="","",DQ200*DT200)</f>
        <v/>
      </c>
      <c r="DV200" s="14" t="str">
        <f>IF(DU200="","",DU200/(DM200*100))</f>
        <v/>
      </c>
      <c r="DW200" s="15"/>
      <c r="DY200" s="16"/>
      <c r="DZ200" s="54"/>
      <c r="EA200" s="13" t="str">
        <f>IF(DZ200="","",DZ200-#REF!)</f>
        <v/>
      </c>
      <c r="EB200" s="13"/>
      <c r="EC200" s="13"/>
      <c r="ED200" s="13"/>
      <c r="EE200" s="13" t="str">
        <f>IF(ED200="","",#REF!+#REF!-ED200)</f>
        <v/>
      </c>
      <c r="EF200" s="13"/>
      <c r="EG200" s="13"/>
      <c r="EH200" s="13"/>
      <c r="EI200" s="13" t="str">
        <f>IF(EH200="","",EE200*EH200)</f>
        <v/>
      </c>
      <c r="EJ200" s="14" t="str">
        <f>IF(EI200="","",EI200/(EA200*100))</f>
        <v/>
      </c>
      <c r="EK200" s="15"/>
    </row>
    <row r="201" spans="1:141" ht="15" customHeight="1" x14ac:dyDescent="0.2">
      <c r="A201" s="16"/>
      <c r="B201" s="11"/>
      <c r="C201" s="13"/>
      <c r="D201" s="13" t="str">
        <f t="shared" si="382"/>
        <v/>
      </c>
      <c r="E201" s="13"/>
      <c r="F201" s="13" t="str">
        <f t="shared" si="383"/>
        <v/>
      </c>
      <c r="G201" s="13"/>
      <c r="H201" s="13" t="str">
        <f t="shared" si="384"/>
        <v/>
      </c>
      <c r="I201" s="13"/>
      <c r="J201" s="56" t="str">
        <f t="shared" si="430"/>
        <v/>
      </c>
      <c r="K201" s="13" t="str">
        <f t="shared" si="431"/>
        <v/>
      </c>
      <c r="L201" s="13" t="str">
        <f t="shared" si="387"/>
        <v/>
      </c>
      <c r="M201" s="14" t="str">
        <f t="shared" si="388"/>
        <v/>
      </c>
      <c r="N201" s="15"/>
      <c r="O201" s="2"/>
      <c r="P201" s="16"/>
      <c r="Q201" s="13"/>
      <c r="R201" s="13" t="str">
        <f t="shared" si="435"/>
        <v/>
      </c>
      <c r="S201" s="13"/>
      <c r="T201" s="13" t="str">
        <f t="shared" si="390"/>
        <v/>
      </c>
      <c r="U201" s="13"/>
      <c r="V201" s="13" t="str">
        <f t="shared" si="391"/>
        <v/>
      </c>
      <c r="W201" s="13"/>
      <c r="X201" s="56" t="str">
        <f t="shared" si="436"/>
        <v/>
      </c>
      <c r="Y201" s="13" t="str">
        <f t="shared" si="437"/>
        <v/>
      </c>
      <c r="Z201" s="13" t="str">
        <f t="shared" si="394"/>
        <v/>
      </c>
      <c r="AA201" s="14" t="str">
        <f t="shared" si="395"/>
        <v/>
      </c>
      <c r="AB201" s="15"/>
      <c r="AD201" s="16"/>
      <c r="AE201" s="13"/>
      <c r="AF201" s="13" t="str">
        <f t="shared" si="396"/>
        <v/>
      </c>
      <c r="AG201" s="13"/>
      <c r="AH201" s="13" t="str">
        <f t="shared" si="397"/>
        <v/>
      </c>
      <c r="AI201" s="13"/>
      <c r="AJ201" s="13" t="str">
        <f t="shared" si="398"/>
        <v/>
      </c>
      <c r="AK201" s="13"/>
      <c r="AL201" s="56" t="str">
        <f t="shared" si="399"/>
        <v/>
      </c>
      <c r="AM201" s="13" t="str">
        <f t="shared" si="400"/>
        <v/>
      </c>
      <c r="AN201" s="13" t="str">
        <f t="shared" si="401"/>
        <v/>
      </c>
      <c r="AO201" s="14" t="str">
        <f t="shared" si="402"/>
        <v/>
      </c>
      <c r="AP201" s="15"/>
      <c r="AQ201" s="115"/>
      <c r="AR201" s="16"/>
      <c r="AS201" s="13"/>
      <c r="AT201" s="13" t="str">
        <f t="shared" si="403"/>
        <v/>
      </c>
      <c r="AU201" s="13"/>
      <c r="AV201" s="13" t="str">
        <f t="shared" si="404"/>
        <v/>
      </c>
      <c r="AW201" s="13"/>
      <c r="AX201" s="13" t="str">
        <f t="shared" si="405"/>
        <v/>
      </c>
      <c r="AY201" s="13"/>
      <c r="AZ201" s="56" t="str">
        <f t="shared" si="438"/>
        <v/>
      </c>
      <c r="BA201" s="13" t="str">
        <f t="shared" si="439"/>
        <v/>
      </c>
      <c r="BB201" s="13" t="str">
        <f t="shared" si="408"/>
        <v/>
      </c>
      <c r="BC201" s="14" t="str">
        <f t="shared" si="409"/>
        <v/>
      </c>
      <c r="BD201" s="15"/>
      <c r="BE201" s="2"/>
      <c r="BF201" s="16"/>
      <c r="BG201" s="7"/>
      <c r="BH201" s="13"/>
      <c r="BI201" s="13" t="str">
        <f t="shared" si="361"/>
        <v/>
      </c>
      <c r="BJ201" s="13"/>
      <c r="BK201" s="13" t="str">
        <f t="shared" si="362"/>
        <v/>
      </c>
      <c r="BL201" s="13"/>
      <c r="BM201" s="13" t="str">
        <f t="shared" si="413"/>
        <v/>
      </c>
      <c r="BN201" s="13"/>
      <c r="BO201" s="56" t="str">
        <f t="shared" si="440"/>
        <v/>
      </c>
      <c r="BP201" s="13" t="str">
        <f t="shared" si="425"/>
        <v/>
      </c>
      <c r="BQ201" s="13" t="str">
        <f t="shared" si="366"/>
        <v/>
      </c>
      <c r="BR201" s="14" t="str">
        <f t="shared" si="367"/>
        <v/>
      </c>
      <c r="BS201" s="15"/>
      <c r="BU201" s="16"/>
      <c r="BV201" s="54"/>
      <c r="BW201" s="13" t="str">
        <f>IF(BV201="","",BV201-BV200)</f>
        <v/>
      </c>
      <c r="BX201" s="13"/>
      <c r="BY201" s="13"/>
      <c r="BZ201" s="13"/>
      <c r="CA201" s="13" t="str">
        <f>IF(BZ201="","",BZ200+CB200-BZ201)</f>
        <v/>
      </c>
      <c r="CB201" s="13"/>
      <c r="CC201" s="13"/>
      <c r="CD201" s="13"/>
      <c r="CE201" s="13" t="str">
        <f>IF(CD201="","",CA201*CD201)</f>
        <v/>
      </c>
      <c r="CF201" s="14" t="str">
        <f>IF(CE201="","",CE201/(BW201*100))</f>
        <v/>
      </c>
      <c r="CG201" s="15"/>
      <c r="CH201" s="1"/>
      <c r="CI201" s="16"/>
      <c r="CJ201" s="54"/>
      <c r="CK201" s="13" t="str">
        <f>IF(CJ201="","",CJ201-CJ200)</f>
        <v/>
      </c>
      <c r="CL201" s="13"/>
      <c r="CM201" s="13"/>
      <c r="CN201" s="13"/>
      <c r="CO201" s="13" t="str">
        <f>IF(CN201="","",CN200+CP200-CN201)</f>
        <v/>
      </c>
      <c r="CP201" s="13"/>
      <c r="CQ201" s="13"/>
      <c r="CR201" s="13"/>
      <c r="CS201" s="13" t="str">
        <f>IF(CR201="","",CO201*CR201)</f>
        <v/>
      </c>
      <c r="CT201" s="14" t="str">
        <f>IF(CS201="","",CS201/(CK201*100))</f>
        <v/>
      </c>
      <c r="CU201" s="15"/>
      <c r="CV201" s="1"/>
      <c r="CW201" s="16"/>
      <c r="CX201" s="54"/>
      <c r="CY201" s="13" t="str">
        <f>IF(CX201="","",CX201-CX200)</f>
        <v/>
      </c>
      <c r="CZ201" s="13"/>
      <c r="DA201" s="13"/>
      <c r="DB201" s="13"/>
      <c r="DC201" s="13" t="str">
        <f>IF(DB201="","",DB200+DD200-DB201)</f>
        <v/>
      </c>
      <c r="DD201" s="13"/>
      <c r="DE201" s="13"/>
      <c r="DF201" s="13"/>
      <c r="DG201" s="13" t="str">
        <f>IF(DF201="","",DC201*DF201)</f>
        <v/>
      </c>
      <c r="DH201" s="14" t="str">
        <f>IF(DG201="","",DG201/(CY201*100))</f>
        <v/>
      </c>
      <c r="DI201" s="15"/>
      <c r="DJ201" s="1"/>
      <c r="DK201" s="16"/>
      <c r="DL201" s="54"/>
      <c r="DM201" s="13" t="str">
        <f>IF(DL201="","",DL201-DL200)</f>
        <v/>
      </c>
      <c r="DN201" s="13"/>
      <c r="DO201" s="13"/>
      <c r="DP201" s="13"/>
      <c r="DQ201" s="13" t="str">
        <f>IF(DP201="","",DP200+DR200-DP201)</f>
        <v/>
      </c>
      <c r="DR201" s="13"/>
      <c r="DS201" s="13"/>
      <c r="DT201" s="13"/>
      <c r="DU201" s="13" t="str">
        <f>IF(DT201="","",DQ201*DT201)</f>
        <v/>
      </c>
      <c r="DV201" s="14" t="str">
        <f>IF(DU201="","",DU201/(DM201*100))</f>
        <v/>
      </c>
      <c r="DW201" s="15"/>
      <c r="DY201" s="16"/>
      <c r="DZ201" s="54"/>
      <c r="EA201" s="13" t="str">
        <f>IF(DZ201="","",DZ201-DZ200)</f>
        <v/>
      </c>
      <c r="EB201" s="13"/>
      <c r="EC201" s="13"/>
      <c r="ED201" s="13"/>
      <c r="EE201" s="13" t="str">
        <f>IF(ED201="","",ED200+EF200-ED201)</f>
        <v/>
      </c>
      <c r="EF201" s="13"/>
      <c r="EG201" s="13"/>
      <c r="EH201" s="13"/>
      <c r="EI201" s="13" t="str">
        <f>IF(EH201="","",EE201*EH201)</f>
        <v/>
      </c>
      <c r="EJ201" s="14" t="str">
        <f>IF(EI201="","",EI201/(EA201*100))</f>
        <v/>
      </c>
      <c r="EK201" s="15"/>
    </row>
    <row r="202" spans="1:141" ht="15" customHeight="1" thickBot="1" x14ac:dyDescent="0.25">
      <c r="A202" s="26"/>
      <c r="B202" s="46"/>
      <c r="C202" s="27"/>
      <c r="D202" s="27" t="str">
        <f t="shared" si="382"/>
        <v/>
      </c>
      <c r="E202" s="27"/>
      <c r="F202" s="27" t="str">
        <f t="shared" si="383"/>
        <v/>
      </c>
      <c r="G202" s="27"/>
      <c r="H202" s="27" t="str">
        <f t="shared" si="384"/>
        <v/>
      </c>
      <c r="I202" s="27"/>
      <c r="J202" s="57" t="str">
        <f t="shared" si="430"/>
        <v/>
      </c>
      <c r="K202" s="62" t="str">
        <f t="shared" si="431"/>
        <v/>
      </c>
      <c r="L202" s="27" t="str">
        <f t="shared" si="387"/>
        <v/>
      </c>
      <c r="M202" s="28" t="str">
        <f t="shared" si="388"/>
        <v/>
      </c>
      <c r="N202" s="15"/>
      <c r="O202" s="2"/>
      <c r="P202" s="26"/>
      <c r="Q202" s="27"/>
      <c r="R202" s="27" t="str">
        <f t="shared" si="435"/>
        <v/>
      </c>
      <c r="S202" s="27"/>
      <c r="T202" s="27" t="str">
        <f t="shared" si="390"/>
        <v/>
      </c>
      <c r="U202" s="27"/>
      <c r="V202" s="27" t="str">
        <f t="shared" si="391"/>
        <v/>
      </c>
      <c r="W202" s="27"/>
      <c r="X202" s="57" t="str">
        <f t="shared" si="436"/>
        <v/>
      </c>
      <c r="Y202" s="62" t="str">
        <f t="shared" si="437"/>
        <v/>
      </c>
      <c r="Z202" s="27" t="str">
        <f t="shared" si="394"/>
        <v/>
      </c>
      <c r="AA202" s="28" t="str">
        <f t="shared" si="395"/>
        <v/>
      </c>
      <c r="AB202" s="15"/>
      <c r="AD202" s="26"/>
      <c r="AE202" s="27"/>
      <c r="AF202" s="27" t="str">
        <f t="shared" si="396"/>
        <v/>
      </c>
      <c r="AG202" s="27"/>
      <c r="AH202" s="27" t="str">
        <f t="shared" si="397"/>
        <v/>
      </c>
      <c r="AI202" s="27"/>
      <c r="AJ202" s="27" t="str">
        <f t="shared" si="398"/>
        <v/>
      </c>
      <c r="AK202" s="27"/>
      <c r="AL202" s="57" t="str">
        <f t="shared" si="399"/>
        <v/>
      </c>
      <c r="AM202" s="62" t="str">
        <f t="shared" si="400"/>
        <v/>
      </c>
      <c r="AN202" s="27" t="str">
        <f t="shared" si="401"/>
        <v/>
      </c>
      <c r="AO202" s="28" t="str">
        <f t="shared" si="402"/>
        <v/>
      </c>
      <c r="AP202" s="15"/>
      <c r="AQ202" s="115"/>
      <c r="AR202" s="26"/>
      <c r="AS202" s="27"/>
      <c r="AT202" s="27" t="str">
        <f t="shared" si="403"/>
        <v/>
      </c>
      <c r="AU202" s="27"/>
      <c r="AV202" s="27" t="str">
        <f t="shared" si="404"/>
        <v/>
      </c>
      <c r="AW202" s="27"/>
      <c r="AX202" s="27" t="str">
        <f t="shared" si="405"/>
        <v/>
      </c>
      <c r="AY202" s="27"/>
      <c r="AZ202" s="57" t="str">
        <f t="shared" si="438"/>
        <v/>
      </c>
      <c r="BA202" s="62" t="str">
        <f t="shared" si="439"/>
        <v/>
      </c>
      <c r="BB202" s="27" t="str">
        <f t="shared" si="408"/>
        <v/>
      </c>
      <c r="BC202" s="28" t="str">
        <f t="shared" si="409"/>
        <v/>
      </c>
      <c r="BD202" s="15"/>
      <c r="BE202" s="2"/>
      <c r="BF202" s="26"/>
      <c r="BG202" s="241"/>
      <c r="BH202" s="27"/>
      <c r="BI202" s="27" t="str">
        <f t="shared" si="361"/>
        <v/>
      </c>
      <c r="BJ202" s="27"/>
      <c r="BK202" s="27" t="str">
        <f t="shared" si="362"/>
        <v/>
      </c>
      <c r="BL202" s="27"/>
      <c r="BM202" s="27" t="str">
        <f t="shared" si="413"/>
        <v/>
      </c>
      <c r="BN202" s="27"/>
      <c r="BO202" s="57" t="str">
        <f t="shared" si="440"/>
        <v/>
      </c>
      <c r="BP202" s="62" t="str">
        <f t="shared" si="425"/>
        <v/>
      </c>
      <c r="BQ202" s="27" t="str">
        <f t="shared" si="366"/>
        <v/>
      </c>
      <c r="BR202" s="28" t="str">
        <f t="shared" si="367"/>
        <v/>
      </c>
      <c r="BS202" s="15"/>
      <c r="BU202" s="16"/>
      <c r="BV202" s="54"/>
      <c r="BW202" s="13" t="str">
        <f>IF(BV202="","",BV202-BV201)</f>
        <v/>
      </c>
      <c r="BX202" s="13"/>
      <c r="BY202" s="13"/>
      <c r="BZ202" s="13"/>
      <c r="CA202" s="13" t="str">
        <f>IF(BZ202="","",BZ201+CB201-BZ202)</f>
        <v/>
      </c>
      <c r="CB202" s="13"/>
      <c r="CC202" s="13"/>
      <c r="CD202" s="13"/>
      <c r="CE202" s="13" t="str">
        <f>IF(CD202="","",CA202*CD202)</f>
        <v/>
      </c>
      <c r="CF202" s="14" t="str">
        <f>IF(CE202="","",CE202/(BW202*100))</f>
        <v/>
      </c>
      <c r="CG202" s="15"/>
      <c r="CH202" s="1"/>
      <c r="CI202" s="16"/>
      <c r="CJ202" s="54"/>
      <c r="CK202" s="13" t="str">
        <f>IF(CJ202="","",CJ202-CJ201)</f>
        <v/>
      </c>
      <c r="CL202" s="13"/>
      <c r="CM202" s="13"/>
      <c r="CN202" s="13"/>
      <c r="CO202" s="13" t="str">
        <f>IF(CN202="","",CN201+CP201-CN202)</f>
        <v/>
      </c>
      <c r="CP202" s="13"/>
      <c r="CQ202" s="13"/>
      <c r="CR202" s="13"/>
      <c r="CS202" s="13" t="str">
        <f>IF(CR202="","",CO202*CR202)</f>
        <v/>
      </c>
      <c r="CT202" s="14" t="str">
        <f>IF(CS202="","",CS202/(CK202*100))</f>
        <v/>
      </c>
      <c r="CU202" s="15"/>
      <c r="CV202" s="1"/>
      <c r="CW202" s="16"/>
      <c r="CX202" s="54"/>
      <c r="CY202" s="13" t="str">
        <f>IF(CX202="","",CX202-CX201)</f>
        <v/>
      </c>
      <c r="CZ202" s="13"/>
      <c r="DA202" s="13"/>
      <c r="DB202" s="13"/>
      <c r="DC202" s="13" t="str">
        <f>IF(DB202="","",DB201+DD201-DB202)</f>
        <v/>
      </c>
      <c r="DD202" s="13"/>
      <c r="DE202" s="13"/>
      <c r="DF202" s="13"/>
      <c r="DG202" s="13" t="str">
        <f>IF(DF202="","",DC202*DF202)</f>
        <v/>
      </c>
      <c r="DH202" s="14" t="str">
        <f>IF(DG202="","",DG202/(CY202*100))</f>
        <v/>
      </c>
      <c r="DI202" s="15"/>
      <c r="DJ202" s="1"/>
      <c r="DK202" s="16"/>
      <c r="DL202" s="54"/>
      <c r="DM202" s="13" t="str">
        <f>IF(DL202="","",DL202-DL201)</f>
        <v/>
      </c>
      <c r="DN202" s="13"/>
      <c r="DO202" s="13"/>
      <c r="DP202" s="13"/>
      <c r="DQ202" s="13" t="str">
        <f>IF(DP202="","",DP201+DR201-DP202)</f>
        <v/>
      </c>
      <c r="DR202" s="13"/>
      <c r="DS202" s="13"/>
      <c r="DT202" s="13"/>
      <c r="DU202" s="13" t="str">
        <f>IF(DT202="","",DQ202*DT202)</f>
        <v/>
      </c>
      <c r="DV202" s="14" t="str">
        <f>IF(DU202="","",DU202/(DM202*100))</f>
        <v/>
      </c>
      <c r="DW202" s="15"/>
      <c r="DY202" s="16"/>
      <c r="DZ202" s="54"/>
      <c r="EA202" s="13" t="str">
        <f>IF(DZ202="","",DZ202-DZ201)</f>
        <v/>
      </c>
      <c r="EB202" s="13"/>
      <c r="EC202" s="13"/>
      <c r="ED202" s="13"/>
      <c r="EE202" s="13" t="str">
        <f>IF(ED202="","",ED201+EF201-ED202)</f>
        <v/>
      </c>
      <c r="EF202" s="13"/>
      <c r="EG202" s="13"/>
      <c r="EH202" s="13"/>
      <c r="EI202" s="13" t="str">
        <f>IF(EH202="","",EE202*EH202)</f>
        <v/>
      </c>
      <c r="EJ202" s="14" t="str">
        <f>IF(EI202="","",EI202/(EA202*100))</f>
        <v/>
      </c>
      <c r="EK202" s="15"/>
    </row>
    <row r="203" spans="1:141" ht="15" customHeight="1" thickTop="1" x14ac:dyDescent="0.2">
      <c r="A203" s="79"/>
      <c r="B203" s="74" t="str">
        <f>IF(A203="","",SUM(D203:D206)+SUM(R203:R206)+SUM(AF203:AF206)+SUM(AT203:AT206)+SUM(BW164,CK164,CY164,DM164))</f>
        <v/>
      </c>
      <c r="C203" s="53"/>
      <c r="D203" s="53" t="str">
        <f t="shared" si="382"/>
        <v/>
      </c>
      <c r="E203" s="53"/>
      <c r="F203" s="31" t="str">
        <f t="shared" si="383"/>
        <v/>
      </c>
      <c r="G203" s="53"/>
      <c r="H203" s="53" t="str">
        <f t="shared" si="384"/>
        <v/>
      </c>
      <c r="I203" s="53"/>
      <c r="J203" s="75" t="str">
        <f t="shared" si="430"/>
        <v/>
      </c>
      <c r="K203" s="76" t="str">
        <f t="shared" si="431"/>
        <v/>
      </c>
      <c r="L203" s="31" t="str">
        <f t="shared" si="387"/>
        <v/>
      </c>
      <c r="M203" s="32" t="str">
        <f t="shared" si="388"/>
        <v/>
      </c>
      <c r="N203" s="15"/>
      <c r="O203" s="2"/>
      <c r="P203" s="79" t="str">
        <f>IF(A203="","",A203)</f>
        <v/>
      </c>
      <c r="Q203" s="53"/>
      <c r="R203" s="53" t="str">
        <f t="shared" si="435"/>
        <v/>
      </c>
      <c r="S203" s="53"/>
      <c r="T203" s="31" t="str">
        <f t="shared" si="390"/>
        <v/>
      </c>
      <c r="U203" s="53"/>
      <c r="V203" s="53" t="str">
        <f t="shared" si="391"/>
        <v/>
      </c>
      <c r="W203" s="53"/>
      <c r="X203" s="75" t="str">
        <f t="shared" si="436"/>
        <v/>
      </c>
      <c r="Y203" s="76" t="str">
        <f t="shared" si="437"/>
        <v/>
      </c>
      <c r="Z203" s="31" t="str">
        <f t="shared" si="394"/>
        <v/>
      </c>
      <c r="AA203" s="32" t="str">
        <f t="shared" si="395"/>
        <v/>
      </c>
      <c r="AB203" s="15"/>
      <c r="AD203" s="79" t="str">
        <f>IF($A203="","",$A203)</f>
        <v/>
      </c>
      <c r="AE203" s="53"/>
      <c r="AF203" s="53" t="str">
        <f t="shared" si="396"/>
        <v/>
      </c>
      <c r="AG203" s="53"/>
      <c r="AH203" s="31" t="str">
        <f t="shared" si="397"/>
        <v/>
      </c>
      <c r="AI203" s="53"/>
      <c r="AJ203" s="53" t="str">
        <f t="shared" si="398"/>
        <v/>
      </c>
      <c r="AK203" s="53"/>
      <c r="AL203" s="75" t="str">
        <f t="shared" si="399"/>
        <v/>
      </c>
      <c r="AM203" s="76" t="str">
        <f t="shared" si="400"/>
        <v/>
      </c>
      <c r="AN203" s="31" t="str">
        <f t="shared" si="401"/>
        <v/>
      </c>
      <c r="AO203" s="32" t="str">
        <f t="shared" si="402"/>
        <v/>
      </c>
      <c r="AP203" s="15"/>
      <c r="AQ203" s="2"/>
      <c r="AR203" s="79" t="str">
        <f>IF($A203="","",$A203)</f>
        <v/>
      </c>
      <c r="AS203" s="53"/>
      <c r="AT203" s="53" t="str">
        <f t="shared" si="403"/>
        <v/>
      </c>
      <c r="AU203" s="53"/>
      <c r="AV203" s="31" t="str">
        <f t="shared" si="404"/>
        <v/>
      </c>
      <c r="AW203" s="53"/>
      <c r="AX203" s="53" t="str">
        <f t="shared" si="405"/>
        <v/>
      </c>
      <c r="AY203" s="53"/>
      <c r="AZ203" s="75" t="str">
        <f t="shared" si="438"/>
        <v/>
      </c>
      <c r="BA203" s="76" t="str">
        <f t="shared" si="439"/>
        <v/>
      </c>
      <c r="BB203" s="31" t="str">
        <f t="shared" si="408"/>
        <v/>
      </c>
      <c r="BC203" s="32" t="str">
        <f t="shared" si="409"/>
        <v/>
      </c>
      <c r="BD203" s="15"/>
      <c r="BE203" s="2"/>
      <c r="BF203" s="79" t="str">
        <f>IF(DW203="","",DW203)</f>
        <v/>
      </c>
      <c r="BG203" s="240"/>
      <c r="BH203" s="53"/>
      <c r="BI203" s="53" t="str">
        <f t="shared" si="361"/>
        <v/>
      </c>
      <c r="BJ203" s="53"/>
      <c r="BK203" s="31" t="str">
        <f t="shared" si="362"/>
        <v/>
      </c>
      <c r="BL203" s="53"/>
      <c r="BM203" s="53" t="str">
        <f t="shared" si="413"/>
        <v/>
      </c>
      <c r="BN203" s="53"/>
      <c r="BO203" s="75" t="str">
        <f t="shared" si="440"/>
        <v/>
      </c>
      <c r="BP203" s="76" t="str">
        <f t="shared" si="425"/>
        <v/>
      </c>
      <c r="BQ203" s="31" t="str">
        <f t="shared" si="366"/>
        <v/>
      </c>
      <c r="BR203" s="32" t="str">
        <f t="shared" si="367"/>
        <v/>
      </c>
      <c r="BS203" s="15"/>
      <c r="BU203" s="16"/>
      <c r="BV203" s="54"/>
      <c r="BW203" s="13"/>
      <c r="BX203" s="13"/>
      <c r="BY203" s="13"/>
      <c r="BZ203" s="13"/>
      <c r="CA203" s="13" t="str">
        <f>IF(BZ203="","",BZ202+CB202-BZ203)</f>
        <v/>
      </c>
      <c r="CB203" s="13"/>
      <c r="CC203" s="13"/>
      <c r="CD203" s="13"/>
      <c r="CE203" s="13" t="str">
        <f>IF(CD203="","",CA203*CD203)</f>
        <v/>
      </c>
      <c r="CF203" s="14" t="str">
        <f>IF(CE203="","",CE203/(BW203*100))</f>
        <v/>
      </c>
      <c r="CG203" s="15"/>
      <c r="CH203" s="1"/>
      <c r="CI203" s="16"/>
      <c r="CJ203" s="54"/>
      <c r="CK203" s="13"/>
      <c r="CL203" s="13"/>
      <c r="CM203" s="13"/>
      <c r="CN203" s="13"/>
      <c r="CO203" s="13" t="str">
        <f>IF(CN203="","",CN202+CP202-CN203)</f>
        <v/>
      </c>
      <c r="CP203" s="13"/>
      <c r="CQ203" s="13"/>
      <c r="CR203" s="13"/>
      <c r="CS203" s="13" t="str">
        <f>IF(CR203="","",CO203*CR203)</f>
        <v/>
      </c>
      <c r="CT203" s="14" t="str">
        <f>IF(CS203="","",CS203/(CK203*100))</f>
        <v/>
      </c>
      <c r="CU203" s="15"/>
      <c r="CV203" s="1"/>
      <c r="CW203" s="16"/>
      <c r="CX203" s="54"/>
      <c r="CY203" s="13"/>
      <c r="CZ203" s="13"/>
      <c r="DA203" s="13"/>
      <c r="DB203" s="13"/>
      <c r="DC203" s="13" t="str">
        <f>IF(DB203="","",DB202+DD202-DB203)</f>
        <v/>
      </c>
      <c r="DD203" s="13"/>
      <c r="DE203" s="13"/>
      <c r="DF203" s="13"/>
      <c r="DG203" s="13" t="str">
        <f>IF(DF203="","",DC203*DF203)</f>
        <v/>
      </c>
      <c r="DH203" s="14" t="str">
        <f>IF(DG203="","",DG203/(CY203*100))</f>
        <v/>
      </c>
      <c r="DI203" s="15"/>
      <c r="DJ203" s="1"/>
      <c r="DK203" s="16"/>
      <c r="DL203" s="54"/>
      <c r="DM203" s="13"/>
      <c r="DN203" s="13"/>
      <c r="DO203" s="13"/>
      <c r="DP203" s="13"/>
      <c r="DQ203" s="13" t="str">
        <f>IF(DP203="","",DP202+DR202-DP203)</f>
        <v/>
      </c>
      <c r="DR203" s="13"/>
      <c r="DS203" s="13"/>
      <c r="DT203" s="13"/>
      <c r="DU203" s="13" t="str">
        <f>IF(DT203="","",DQ203*DT203)</f>
        <v/>
      </c>
      <c r="DV203" s="14" t="str">
        <f>IF(DU203="","",DU203/(DM203*100))</f>
        <v/>
      </c>
      <c r="DW203" s="15"/>
      <c r="DY203" s="16"/>
      <c r="DZ203" s="54"/>
      <c r="EA203" s="13"/>
      <c r="EB203" s="13"/>
      <c r="EC203" s="13"/>
      <c r="ED203" s="13"/>
      <c r="EE203" s="13" t="str">
        <f>IF(ED203="","",ED202+EF202-ED203)</f>
        <v/>
      </c>
      <c r="EF203" s="13"/>
      <c r="EG203" s="13"/>
      <c r="EH203" s="13"/>
      <c r="EI203" s="13" t="str">
        <f>IF(EH203="","",EE203*EH203)</f>
        <v/>
      </c>
      <c r="EJ203" s="14" t="str">
        <f>IF(EI203="","",EI203/(EA203*100))</f>
        <v/>
      </c>
      <c r="EK203" s="15"/>
    </row>
    <row r="204" spans="1:141" ht="15" customHeight="1" x14ac:dyDescent="0.2">
      <c r="A204" s="79"/>
      <c r="B204" s="74"/>
      <c r="C204" s="53"/>
      <c r="D204" s="13" t="str">
        <f t="shared" si="382"/>
        <v/>
      </c>
      <c r="E204" s="53"/>
      <c r="F204" s="13" t="str">
        <f t="shared" si="383"/>
        <v/>
      </c>
      <c r="G204" s="53"/>
      <c r="H204" s="50" t="str">
        <f t="shared" si="384"/>
        <v/>
      </c>
      <c r="I204" s="53"/>
      <c r="J204" s="56" t="str">
        <f t="shared" si="430"/>
        <v/>
      </c>
      <c r="K204" s="54" t="str">
        <f t="shared" si="431"/>
        <v/>
      </c>
      <c r="L204" s="13" t="str">
        <f t="shared" si="387"/>
        <v/>
      </c>
      <c r="M204" s="14" t="str">
        <f t="shared" si="388"/>
        <v/>
      </c>
      <c r="N204" s="15"/>
      <c r="O204" s="2"/>
      <c r="P204" s="79"/>
      <c r="Q204" s="53"/>
      <c r="R204" s="13" t="str">
        <f t="shared" si="435"/>
        <v/>
      </c>
      <c r="S204" s="53"/>
      <c r="T204" s="13" t="str">
        <f t="shared" si="390"/>
        <v/>
      </c>
      <c r="U204" s="53"/>
      <c r="V204" s="50" t="str">
        <f t="shared" si="391"/>
        <v/>
      </c>
      <c r="W204" s="53"/>
      <c r="X204" s="56" t="str">
        <f t="shared" si="436"/>
        <v/>
      </c>
      <c r="Y204" s="54" t="str">
        <f t="shared" si="437"/>
        <v/>
      </c>
      <c r="Z204" s="13" t="str">
        <f t="shared" si="394"/>
        <v/>
      </c>
      <c r="AA204" s="14" t="str">
        <f t="shared" si="395"/>
        <v/>
      </c>
      <c r="AB204" s="15"/>
      <c r="AD204" s="79"/>
      <c r="AE204" s="53"/>
      <c r="AF204" s="13" t="str">
        <f t="shared" si="396"/>
        <v/>
      </c>
      <c r="AG204" s="53"/>
      <c r="AH204" s="13" t="str">
        <f t="shared" si="397"/>
        <v/>
      </c>
      <c r="AI204" s="53"/>
      <c r="AJ204" s="50" t="str">
        <f t="shared" si="398"/>
        <v/>
      </c>
      <c r="AK204" s="53"/>
      <c r="AL204" s="56" t="str">
        <f t="shared" si="399"/>
        <v/>
      </c>
      <c r="AM204" s="54" t="str">
        <f t="shared" si="400"/>
        <v/>
      </c>
      <c r="AN204" s="13" t="str">
        <f t="shared" si="401"/>
        <v/>
      </c>
      <c r="AO204" s="14" t="str">
        <f t="shared" si="402"/>
        <v/>
      </c>
      <c r="AP204" s="15"/>
      <c r="AQ204" s="2"/>
      <c r="AR204" s="79"/>
      <c r="AS204" s="53"/>
      <c r="AT204" s="13" t="str">
        <f t="shared" si="403"/>
        <v/>
      </c>
      <c r="AU204" s="53"/>
      <c r="AV204" s="13" t="str">
        <f t="shared" si="404"/>
        <v/>
      </c>
      <c r="AW204" s="53"/>
      <c r="AX204" s="50" t="str">
        <f t="shared" si="405"/>
        <v/>
      </c>
      <c r="AY204" s="53"/>
      <c r="AZ204" s="56" t="str">
        <f t="shared" si="438"/>
        <v/>
      </c>
      <c r="BA204" s="54" t="str">
        <f t="shared" si="439"/>
        <v/>
      </c>
      <c r="BB204" s="13" t="str">
        <f t="shared" si="408"/>
        <v/>
      </c>
      <c r="BC204" s="14" t="str">
        <f t="shared" si="409"/>
        <v/>
      </c>
      <c r="BD204" s="15"/>
      <c r="BE204" s="2"/>
      <c r="BF204" s="79"/>
      <c r="BG204" s="240"/>
      <c r="BH204" s="53"/>
      <c r="BI204" s="13" t="str">
        <f t="shared" si="361"/>
        <v/>
      </c>
      <c r="BJ204" s="53"/>
      <c r="BK204" s="13" t="str">
        <f t="shared" si="362"/>
        <v/>
      </c>
      <c r="BL204" s="53"/>
      <c r="BM204" s="50" t="str">
        <f t="shared" si="413"/>
        <v/>
      </c>
      <c r="BN204" s="53"/>
      <c r="BO204" s="56" t="str">
        <f t="shared" si="440"/>
        <v/>
      </c>
      <c r="BP204" s="54" t="str">
        <f t="shared" si="425"/>
        <v/>
      </c>
      <c r="BQ204" s="13" t="str">
        <f t="shared" si="366"/>
        <v/>
      </c>
      <c r="BR204" s="14" t="str">
        <f t="shared" si="367"/>
        <v/>
      </c>
      <c r="BS204" s="15"/>
      <c r="BU204" s="16"/>
      <c r="BV204" s="54"/>
      <c r="BW204" s="13"/>
      <c r="BX204" s="13"/>
      <c r="BY204" s="13"/>
      <c r="BZ204" s="13"/>
      <c r="CA204" s="13"/>
      <c r="CB204" s="13"/>
      <c r="CC204" s="13"/>
      <c r="CD204" s="13"/>
      <c r="CE204" s="13"/>
      <c r="CF204" s="14"/>
      <c r="CG204" s="15"/>
      <c r="CH204" s="1"/>
      <c r="CI204" s="16"/>
      <c r="CJ204" s="54"/>
      <c r="CK204" s="13"/>
      <c r="CL204" s="13"/>
      <c r="CM204" s="13"/>
      <c r="CN204" s="13"/>
      <c r="CO204" s="13"/>
      <c r="CP204" s="13"/>
      <c r="CQ204" s="13"/>
      <c r="CR204" s="13"/>
      <c r="CS204" s="13"/>
      <c r="CT204" s="14"/>
      <c r="CU204" s="15"/>
      <c r="CV204" s="1"/>
      <c r="CW204" s="16"/>
      <c r="CX204" s="54"/>
      <c r="CY204" s="13"/>
      <c r="CZ204" s="13"/>
      <c r="DA204" s="13"/>
      <c r="DB204" s="13"/>
      <c r="DC204" s="13"/>
      <c r="DD204" s="13"/>
      <c r="DE204" s="13"/>
      <c r="DF204" s="13"/>
      <c r="DG204" s="13"/>
      <c r="DH204" s="14"/>
      <c r="DI204" s="15"/>
      <c r="DJ204" s="1"/>
      <c r="DK204" s="16"/>
      <c r="DL204" s="54"/>
      <c r="DM204" s="13"/>
      <c r="DN204" s="13"/>
      <c r="DO204" s="13"/>
      <c r="DP204" s="13"/>
      <c r="DQ204" s="13"/>
      <c r="DR204" s="13"/>
      <c r="DS204" s="13"/>
      <c r="DT204" s="13"/>
      <c r="DU204" s="13"/>
      <c r="DV204" s="14"/>
      <c r="DW204" s="15"/>
      <c r="DY204" s="16"/>
      <c r="DZ204" s="54"/>
      <c r="EA204" s="13"/>
      <c r="EB204" s="13"/>
      <c r="EC204" s="13"/>
      <c r="ED204" s="13"/>
      <c r="EE204" s="13"/>
      <c r="EF204" s="13"/>
      <c r="EG204" s="13"/>
      <c r="EH204" s="13"/>
      <c r="EI204" s="13"/>
      <c r="EJ204" s="14"/>
      <c r="EK204" s="15"/>
    </row>
    <row r="205" spans="1:141" ht="15" customHeight="1" x14ac:dyDescent="0.2">
      <c r="A205" s="79"/>
      <c r="B205" s="74"/>
      <c r="C205" s="53"/>
      <c r="D205" s="13" t="str">
        <f t="shared" si="382"/>
        <v/>
      </c>
      <c r="E205" s="53"/>
      <c r="F205" s="13" t="str">
        <f t="shared" si="383"/>
        <v/>
      </c>
      <c r="G205" s="53"/>
      <c r="H205" s="13" t="str">
        <f t="shared" si="384"/>
        <v/>
      </c>
      <c r="I205" s="53"/>
      <c r="J205" s="56" t="str">
        <f t="shared" si="430"/>
        <v/>
      </c>
      <c r="K205" s="13" t="str">
        <f t="shared" si="431"/>
        <v/>
      </c>
      <c r="L205" s="13" t="str">
        <f t="shared" si="387"/>
        <v/>
      </c>
      <c r="M205" s="14" t="str">
        <f t="shared" si="388"/>
        <v/>
      </c>
      <c r="N205" s="15"/>
      <c r="O205" s="2"/>
      <c r="P205" s="79"/>
      <c r="Q205" s="53"/>
      <c r="R205" s="13" t="str">
        <f t="shared" si="435"/>
        <v/>
      </c>
      <c r="S205" s="53"/>
      <c r="T205" s="13" t="str">
        <f t="shared" si="390"/>
        <v/>
      </c>
      <c r="U205" s="53"/>
      <c r="V205" s="13" t="str">
        <f t="shared" si="391"/>
        <v/>
      </c>
      <c r="W205" s="53"/>
      <c r="X205" s="56" t="str">
        <f t="shared" si="436"/>
        <v/>
      </c>
      <c r="Y205" s="13" t="str">
        <f t="shared" si="437"/>
        <v/>
      </c>
      <c r="Z205" s="13" t="str">
        <f t="shared" si="394"/>
        <v/>
      </c>
      <c r="AA205" s="14" t="str">
        <f t="shared" si="395"/>
        <v/>
      </c>
      <c r="AB205" s="15"/>
      <c r="AD205" s="79"/>
      <c r="AE205" s="53"/>
      <c r="AF205" s="13" t="str">
        <f t="shared" si="396"/>
        <v/>
      </c>
      <c r="AG205" s="53"/>
      <c r="AH205" s="13" t="str">
        <f t="shared" si="397"/>
        <v/>
      </c>
      <c r="AI205" s="53"/>
      <c r="AJ205" s="13" t="str">
        <f t="shared" si="398"/>
        <v/>
      </c>
      <c r="AK205" s="53"/>
      <c r="AL205" s="56" t="str">
        <f t="shared" si="399"/>
        <v/>
      </c>
      <c r="AM205" s="13" t="str">
        <f t="shared" si="400"/>
        <v/>
      </c>
      <c r="AN205" s="13" t="str">
        <f t="shared" si="401"/>
        <v/>
      </c>
      <c r="AO205" s="14" t="str">
        <f t="shared" si="402"/>
        <v/>
      </c>
      <c r="AP205" s="15"/>
      <c r="AQ205" s="2"/>
      <c r="AR205" s="79"/>
      <c r="AS205" s="53"/>
      <c r="AT205" s="13" t="str">
        <f t="shared" si="403"/>
        <v/>
      </c>
      <c r="AU205" s="53"/>
      <c r="AV205" s="13" t="str">
        <f t="shared" si="404"/>
        <v/>
      </c>
      <c r="AW205" s="53"/>
      <c r="AX205" s="13" t="str">
        <f t="shared" si="405"/>
        <v/>
      </c>
      <c r="AY205" s="53"/>
      <c r="AZ205" s="56" t="str">
        <f t="shared" si="438"/>
        <v/>
      </c>
      <c r="BA205" s="13" t="str">
        <f t="shared" si="439"/>
        <v/>
      </c>
      <c r="BB205" s="13" t="str">
        <f t="shared" si="408"/>
        <v/>
      </c>
      <c r="BC205" s="14" t="str">
        <f t="shared" si="409"/>
        <v/>
      </c>
      <c r="BD205" s="15"/>
      <c r="BE205" s="2"/>
      <c r="BF205" s="79"/>
      <c r="BG205" s="240"/>
      <c r="BH205" s="53"/>
      <c r="BI205" s="13" t="str">
        <f t="shared" si="361"/>
        <v/>
      </c>
      <c r="BJ205" s="53"/>
      <c r="BK205" s="13" t="str">
        <f t="shared" si="362"/>
        <v/>
      </c>
      <c r="BL205" s="53"/>
      <c r="BM205" s="13" t="str">
        <f t="shared" si="413"/>
        <v/>
      </c>
      <c r="BN205" s="53"/>
      <c r="BO205" s="56" t="str">
        <f t="shared" si="440"/>
        <v/>
      </c>
      <c r="BP205" s="13" t="str">
        <f t="shared" si="425"/>
        <v/>
      </c>
      <c r="BQ205" s="13" t="str">
        <f t="shared" si="366"/>
        <v/>
      </c>
      <c r="BR205" s="14" t="str">
        <f t="shared" si="367"/>
        <v/>
      </c>
      <c r="BS205" s="15"/>
      <c r="BU205" s="16"/>
      <c r="BV205" s="54"/>
      <c r="BW205" s="13"/>
      <c r="BX205" s="13"/>
      <c r="BY205" s="13"/>
      <c r="BZ205" s="13"/>
      <c r="CA205" s="13"/>
      <c r="CB205" s="13"/>
      <c r="CC205" s="13"/>
      <c r="CD205" s="13"/>
      <c r="CE205" s="13"/>
      <c r="CF205" s="14"/>
      <c r="CG205" s="15"/>
      <c r="CH205" s="1"/>
      <c r="CI205" s="16"/>
      <c r="CJ205" s="54"/>
      <c r="CK205" s="13"/>
      <c r="CL205" s="13"/>
      <c r="CM205" s="13"/>
      <c r="CN205" s="13"/>
      <c r="CO205" s="13"/>
      <c r="CP205" s="13"/>
      <c r="CQ205" s="13"/>
      <c r="CR205" s="13"/>
      <c r="CS205" s="13"/>
      <c r="CT205" s="14"/>
      <c r="CU205" s="15"/>
      <c r="CV205" s="1"/>
      <c r="CW205" s="16"/>
      <c r="CX205" s="54"/>
      <c r="CY205" s="13"/>
      <c r="CZ205" s="13"/>
      <c r="DA205" s="13"/>
      <c r="DB205" s="13"/>
      <c r="DC205" s="13"/>
      <c r="DD205" s="13"/>
      <c r="DE205" s="13"/>
      <c r="DF205" s="13"/>
      <c r="DG205" s="13"/>
      <c r="DH205" s="14"/>
      <c r="DI205" s="15"/>
      <c r="DJ205" s="1"/>
      <c r="DK205" s="16"/>
      <c r="DL205" s="54"/>
      <c r="DM205" s="13"/>
      <c r="DN205" s="13"/>
      <c r="DO205" s="13"/>
      <c r="DP205" s="13"/>
      <c r="DQ205" s="13"/>
      <c r="DR205" s="13"/>
      <c r="DS205" s="13"/>
      <c r="DT205" s="13"/>
      <c r="DU205" s="13"/>
      <c r="DV205" s="14"/>
      <c r="DW205" s="15"/>
      <c r="DY205" s="16"/>
      <c r="DZ205" s="54"/>
      <c r="EA205" s="13"/>
      <c r="EB205" s="13"/>
      <c r="EC205" s="13"/>
      <c r="ED205" s="13"/>
      <c r="EE205" s="13"/>
      <c r="EF205" s="13"/>
      <c r="EG205" s="13"/>
      <c r="EH205" s="13"/>
      <c r="EI205" s="13"/>
      <c r="EJ205" s="14"/>
      <c r="EK205" s="15"/>
    </row>
    <row r="206" spans="1:141" ht="15" customHeight="1" thickBot="1" x14ac:dyDescent="0.25">
      <c r="A206" s="160"/>
      <c r="B206" s="161"/>
      <c r="C206" s="162"/>
      <c r="D206" s="163" t="str">
        <f t="shared" si="382"/>
        <v/>
      </c>
      <c r="E206" s="162"/>
      <c r="F206" s="163" t="str">
        <f t="shared" si="383"/>
        <v/>
      </c>
      <c r="G206" s="162"/>
      <c r="H206" s="163" t="str">
        <f t="shared" si="384"/>
        <v/>
      </c>
      <c r="I206" s="162"/>
      <c r="J206" s="164" t="str">
        <f t="shared" si="430"/>
        <v/>
      </c>
      <c r="K206" s="165" t="str">
        <f t="shared" si="431"/>
        <v/>
      </c>
      <c r="L206" s="163" t="str">
        <f t="shared" si="387"/>
        <v/>
      </c>
      <c r="M206" s="166" t="str">
        <f t="shared" si="388"/>
        <v/>
      </c>
      <c r="N206" s="167"/>
      <c r="O206" s="168"/>
      <c r="P206" s="160"/>
      <c r="Q206" s="162"/>
      <c r="R206" s="163" t="str">
        <f t="shared" si="435"/>
        <v/>
      </c>
      <c r="S206" s="162"/>
      <c r="T206" s="163" t="str">
        <f t="shared" si="390"/>
        <v/>
      </c>
      <c r="U206" s="162"/>
      <c r="V206" s="163" t="str">
        <f t="shared" si="391"/>
        <v/>
      </c>
      <c r="W206" s="162"/>
      <c r="X206" s="164" t="str">
        <f t="shared" si="436"/>
        <v/>
      </c>
      <c r="Y206" s="165" t="str">
        <f t="shared" si="437"/>
        <v/>
      </c>
      <c r="Z206" s="163" t="str">
        <f t="shared" si="394"/>
        <v/>
      </c>
      <c r="AA206" s="166" t="str">
        <f t="shared" si="395"/>
        <v/>
      </c>
      <c r="AB206" s="167"/>
      <c r="AC206" s="169"/>
      <c r="AD206" s="160"/>
      <c r="AE206" s="162"/>
      <c r="AF206" s="163" t="str">
        <f t="shared" si="396"/>
        <v/>
      </c>
      <c r="AG206" s="162"/>
      <c r="AH206" s="163" t="str">
        <f t="shared" si="397"/>
        <v/>
      </c>
      <c r="AI206" s="162"/>
      <c r="AJ206" s="163" t="str">
        <f t="shared" si="398"/>
        <v/>
      </c>
      <c r="AK206" s="162"/>
      <c r="AL206" s="164" t="str">
        <f t="shared" si="399"/>
        <v/>
      </c>
      <c r="AM206" s="165" t="str">
        <f t="shared" si="400"/>
        <v/>
      </c>
      <c r="AN206" s="163" t="str">
        <f t="shared" si="401"/>
        <v/>
      </c>
      <c r="AO206" s="166" t="str">
        <f t="shared" si="402"/>
        <v/>
      </c>
      <c r="AP206" s="167"/>
      <c r="AQ206" s="168"/>
      <c r="AR206" s="160"/>
      <c r="AS206" s="162"/>
      <c r="AT206" s="163" t="str">
        <f t="shared" si="403"/>
        <v/>
      </c>
      <c r="AU206" s="162"/>
      <c r="AV206" s="163" t="str">
        <f t="shared" si="404"/>
        <v/>
      </c>
      <c r="AW206" s="162"/>
      <c r="AX206" s="163" t="str">
        <f t="shared" si="405"/>
        <v/>
      </c>
      <c r="AY206" s="162"/>
      <c r="AZ206" s="164" t="str">
        <f t="shared" si="438"/>
        <v/>
      </c>
      <c r="BA206" s="165" t="str">
        <f t="shared" si="439"/>
        <v/>
      </c>
      <c r="BB206" s="163" t="str">
        <f t="shared" si="408"/>
        <v/>
      </c>
      <c r="BC206" s="166" t="str">
        <f t="shared" si="409"/>
        <v/>
      </c>
      <c r="BD206" s="167"/>
      <c r="BE206" s="168"/>
      <c r="BF206" s="160"/>
      <c r="BG206" s="244"/>
      <c r="BH206" s="162"/>
      <c r="BI206" s="163" t="str">
        <f t="shared" si="361"/>
        <v/>
      </c>
      <c r="BJ206" s="162"/>
      <c r="BK206" s="163" t="str">
        <f t="shared" si="362"/>
        <v/>
      </c>
      <c r="BL206" s="162"/>
      <c r="BM206" s="163" t="str">
        <f t="shared" si="413"/>
        <v/>
      </c>
      <c r="BN206" s="162"/>
      <c r="BO206" s="164" t="str">
        <f t="shared" si="440"/>
        <v/>
      </c>
      <c r="BP206" s="165" t="str">
        <f t="shared" si="425"/>
        <v/>
      </c>
      <c r="BQ206" s="163" t="str">
        <f t="shared" si="366"/>
        <v/>
      </c>
      <c r="BR206" s="166" t="str">
        <f t="shared" si="367"/>
        <v/>
      </c>
      <c r="BS206" s="167"/>
      <c r="BT206" s="169"/>
      <c r="BU206" s="170"/>
      <c r="BV206" s="165"/>
      <c r="BW206" s="163"/>
      <c r="BX206" s="163"/>
      <c r="BY206" s="163"/>
      <c r="BZ206" s="163"/>
      <c r="CA206" s="163"/>
      <c r="CB206" s="163"/>
      <c r="CC206" s="163"/>
      <c r="CD206" s="163"/>
      <c r="CE206" s="163"/>
      <c r="CF206" s="166"/>
      <c r="CG206" s="167"/>
      <c r="CH206" s="171"/>
      <c r="CI206" s="170"/>
      <c r="CJ206" s="165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6"/>
      <c r="CU206" s="167"/>
      <c r="CV206" s="171"/>
      <c r="CW206" s="170"/>
      <c r="CX206" s="165"/>
      <c r="CY206" s="163"/>
      <c r="CZ206" s="163"/>
      <c r="DA206" s="163"/>
      <c r="DB206" s="163"/>
      <c r="DC206" s="163"/>
      <c r="DD206" s="163"/>
      <c r="DE206" s="163"/>
      <c r="DF206" s="163"/>
      <c r="DG206" s="163"/>
      <c r="DH206" s="166"/>
      <c r="DI206" s="167"/>
      <c r="DJ206" s="171"/>
      <c r="DK206" s="170"/>
      <c r="DL206" s="165"/>
      <c r="DM206" s="163"/>
      <c r="DN206" s="163"/>
      <c r="DO206" s="163"/>
      <c r="DP206" s="163"/>
      <c r="DQ206" s="163"/>
      <c r="DR206" s="163"/>
      <c r="DS206" s="163"/>
      <c r="DT206" s="163"/>
      <c r="DU206" s="163"/>
      <c r="DV206" s="166"/>
      <c r="DW206" s="167"/>
      <c r="DY206" s="170"/>
      <c r="DZ206" s="165"/>
      <c r="EA206" s="163"/>
      <c r="EB206" s="163"/>
      <c r="EC206" s="163"/>
      <c r="ED206" s="163"/>
      <c r="EE206" s="163"/>
      <c r="EF206" s="163"/>
      <c r="EG206" s="163"/>
      <c r="EH206" s="163"/>
      <c r="EI206" s="163"/>
      <c r="EJ206" s="166"/>
      <c r="EK206" s="167"/>
    </row>
    <row r="207" spans="1:141" ht="15" customHeight="1" thickTop="1" x14ac:dyDescent="0.2">
      <c r="A207" s="59">
        <v>31</v>
      </c>
      <c r="B207" s="74"/>
      <c r="C207" s="172" t="s">
        <v>19</v>
      </c>
      <c r="D207" s="53">
        <f>SUM(D151:D203)*100</f>
        <v>288900</v>
      </c>
      <c r="E207" s="53"/>
      <c r="F207" s="53"/>
      <c r="G207" s="172"/>
      <c r="H207" s="53"/>
      <c r="I207" s="53"/>
      <c r="J207" s="280" t="s">
        <v>21</v>
      </c>
      <c r="K207" s="280"/>
      <c r="L207" s="53">
        <f>SUM(L151:L203)</f>
        <v>47781</v>
      </c>
      <c r="M207" s="53"/>
      <c r="N207" s="84"/>
      <c r="O207" s="2"/>
      <c r="P207" s="79"/>
      <c r="Q207" s="172" t="s">
        <v>19</v>
      </c>
      <c r="R207" s="53">
        <f>SUM(R151:R203)*100</f>
        <v>558900</v>
      </c>
      <c r="S207" s="53"/>
      <c r="T207" s="53"/>
      <c r="U207" s="172"/>
      <c r="V207" s="53"/>
      <c r="W207" s="53"/>
      <c r="X207" s="280" t="s">
        <v>21</v>
      </c>
      <c r="Y207" s="280"/>
      <c r="Z207" s="53">
        <f>SUM(Z151:Z203)</f>
        <v>110300</v>
      </c>
      <c r="AA207" s="53"/>
      <c r="AB207" s="84"/>
      <c r="AD207" s="79"/>
      <c r="AE207" s="172" t="s">
        <v>19</v>
      </c>
      <c r="AF207" s="53">
        <f>SUM(AF151:AF203)*100</f>
        <v>187200</v>
      </c>
      <c r="AG207" s="53"/>
      <c r="AH207" s="53"/>
      <c r="AI207" s="172"/>
      <c r="AJ207" s="53"/>
      <c r="AK207" s="53"/>
      <c r="AL207" s="280" t="s">
        <v>21</v>
      </c>
      <c r="AM207" s="280"/>
      <c r="AN207" s="53">
        <f>SUM(AN151:AN203)</f>
        <v>36504</v>
      </c>
      <c r="AO207" s="53"/>
      <c r="AP207" s="84"/>
      <c r="AQ207" s="2"/>
      <c r="AR207" s="79"/>
      <c r="AS207" s="172" t="s">
        <v>19</v>
      </c>
      <c r="AT207" s="53">
        <f>SUM(AT151:AT203)*100</f>
        <v>379200</v>
      </c>
      <c r="AU207" s="53"/>
      <c r="AV207" s="53"/>
      <c r="AW207" s="172"/>
      <c r="AX207" s="53"/>
      <c r="AY207" s="53"/>
      <c r="AZ207" s="280" t="s">
        <v>21</v>
      </c>
      <c r="BA207" s="280"/>
      <c r="BB207" s="53">
        <f>SUM(BB151:BB203)</f>
        <v>80640</v>
      </c>
      <c r="BC207" s="53"/>
      <c r="BD207" s="84"/>
      <c r="BE207" s="2"/>
      <c r="BF207" s="79"/>
      <c r="BG207" s="240"/>
      <c r="BH207" s="172" t="s">
        <v>19</v>
      </c>
      <c r="BI207" s="53">
        <f>SUM(BI151:BI203)*100</f>
        <v>629100</v>
      </c>
      <c r="BJ207" s="53"/>
      <c r="BK207" s="53"/>
      <c r="BL207" s="172"/>
      <c r="BM207" s="53"/>
      <c r="BN207" s="53"/>
      <c r="BO207" s="280" t="s">
        <v>21</v>
      </c>
      <c r="BP207" s="280"/>
      <c r="BQ207" s="53">
        <f>SUM(BQ151:BQ203)</f>
        <v>96900</v>
      </c>
      <c r="BR207" s="53"/>
      <c r="BS207" s="84"/>
      <c r="BU207" s="79"/>
      <c r="BV207" s="175" t="s">
        <v>19</v>
      </c>
      <c r="BW207" s="53">
        <f>SUM(BW151:BW203)*100</f>
        <v>163400</v>
      </c>
      <c r="BX207" s="53"/>
      <c r="BY207" s="53"/>
      <c r="BZ207" s="172"/>
      <c r="CA207" s="53"/>
      <c r="CB207" s="53"/>
      <c r="CC207" s="53"/>
      <c r="CD207" s="53"/>
      <c r="CE207" s="53"/>
      <c r="CF207" s="53"/>
      <c r="CG207" s="84"/>
      <c r="CH207" s="1"/>
      <c r="CI207" s="79"/>
      <c r="CJ207" s="175" t="s">
        <v>19</v>
      </c>
      <c r="CK207" s="53">
        <f>SUM(CK151:CK203)*100</f>
        <v>631700</v>
      </c>
      <c r="CL207" s="53"/>
      <c r="CM207" s="53"/>
      <c r="CN207" s="172"/>
      <c r="CO207" s="53"/>
      <c r="CP207" s="53"/>
      <c r="CQ207" s="53"/>
      <c r="CR207" s="53"/>
      <c r="CS207" s="53"/>
      <c r="CT207" s="53"/>
      <c r="CU207" s="84"/>
      <c r="CV207" s="1"/>
      <c r="CW207" s="79"/>
      <c r="CX207" s="175" t="s">
        <v>19</v>
      </c>
      <c r="CY207" s="53">
        <f>SUM(CY151:CY203)*100</f>
        <v>157700</v>
      </c>
      <c r="CZ207" s="53"/>
      <c r="DA207" s="53"/>
      <c r="DB207" s="172"/>
      <c r="DC207" s="53"/>
      <c r="DD207" s="53"/>
      <c r="DE207" s="53"/>
      <c r="DF207" s="53"/>
      <c r="DG207" s="53"/>
      <c r="DH207" s="53"/>
      <c r="DI207" s="84"/>
      <c r="DJ207" s="1"/>
      <c r="DK207" s="79"/>
      <c r="DL207" s="175" t="s">
        <v>19</v>
      </c>
      <c r="DM207" s="53">
        <f>SUM(DM151:DM203)*100</f>
        <v>60100</v>
      </c>
      <c r="DN207" s="53"/>
      <c r="DO207" s="53"/>
      <c r="DP207" s="172"/>
      <c r="DQ207" s="53"/>
      <c r="DR207" s="53"/>
      <c r="DS207" s="53"/>
      <c r="DT207" s="53"/>
      <c r="DU207" s="53"/>
      <c r="DV207" s="53"/>
      <c r="DW207" s="84"/>
      <c r="DY207" s="79"/>
      <c r="DZ207" s="175" t="s">
        <v>19</v>
      </c>
      <c r="EA207" s="53">
        <f>SUM(EA151:EA203)*100</f>
        <v>97400</v>
      </c>
      <c r="EB207" s="53"/>
      <c r="EC207" s="53"/>
      <c r="ED207" s="172"/>
      <c r="EE207" s="53"/>
      <c r="EF207" s="53"/>
      <c r="EG207" s="53"/>
      <c r="EH207" s="53"/>
      <c r="EI207" s="53"/>
      <c r="EJ207" s="53"/>
      <c r="EK207" s="84"/>
    </row>
    <row r="208" spans="1:141" ht="15" customHeight="1" x14ac:dyDescent="0.2">
      <c r="A208" s="94">
        <f>DATEDIF(A$257,A$187,"d")</f>
        <v>31</v>
      </c>
      <c r="B208">
        <f>SUMIF(B150:B203,"&gt;=0")</f>
        <v>31414</v>
      </c>
      <c r="C208" s="5" t="s">
        <v>22</v>
      </c>
      <c r="D208" s="13">
        <f>D207/A208</f>
        <v>9319.354838709678</v>
      </c>
      <c r="E208" s="13">
        <f>D208*A207</f>
        <v>288900</v>
      </c>
      <c r="F208" s="13"/>
      <c r="G208" s="5"/>
      <c r="H208" s="13"/>
      <c r="I208" s="13"/>
      <c r="J208" s="271" t="s">
        <v>23</v>
      </c>
      <c r="K208" s="271"/>
      <c r="L208" s="13"/>
      <c r="M208" s="36">
        <f>L207/D207</f>
        <v>0.16538940809968847</v>
      </c>
      <c r="N208" s="15"/>
      <c r="O208" s="2"/>
      <c r="P208" s="33"/>
      <c r="Q208" s="5" t="s">
        <v>22</v>
      </c>
      <c r="R208" s="13">
        <f>R207/A208</f>
        <v>18029.032258064515</v>
      </c>
      <c r="S208" s="13">
        <f>R208*A207</f>
        <v>558900</v>
      </c>
      <c r="T208" s="13"/>
      <c r="U208" s="5"/>
      <c r="V208" s="13"/>
      <c r="W208" s="13"/>
      <c r="X208" s="271" t="s">
        <v>23</v>
      </c>
      <c r="Y208" s="271"/>
      <c r="Z208" s="13"/>
      <c r="AA208" s="36">
        <f>Z207/R207</f>
        <v>0.19735194131329398</v>
      </c>
      <c r="AB208" s="15"/>
      <c r="AD208" s="51"/>
      <c r="AE208" s="5" t="s">
        <v>22</v>
      </c>
      <c r="AF208" s="13">
        <f>AF207/A208</f>
        <v>6038.7096774193551</v>
      </c>
      <c r="AG208" s="13">
        <f>AF208*A207</f>
        <v>187200</v>
      </c>
      <c r="AH208" s="13"/>
      <c r="AI208" s="5"/>
      <c r="AJ208" s="13"/>
      <c r="AK208" s="13"/>
      <c r="AL208" s="271" t="s">
        <v>23</v>
      </c>
      <c r="AM208" s="271"/>
      <c r="AN208" s="13"/>
      <c r="AO208" s="36">
        <f>AN207/AF207</f>
        <v>0.19500000000000001</v>
      </c>
      <c r="AP208" s="15"/>
      <c r="AQ208" s="2"/>
      <c r="AR208" s="33"/>
      <c r="AS208" s="5" t="s">
        <v>22</v>
      </c>
      <c r="AT208" s="13">
        <f>AT207/A208</f>
        <v>12232.258064516129</v>
      </c>
      <c r="AU208" s="13">
        <f>AT208*A207</f>
        <v>379200</v>
      </c>
      <c r="AV208" s="13"/>
      <c r="AW208" s="5"/>
      <c r="AX208" s="13"/>
      <c r="AY208" s="13"/>
      <c r="AZ208" s="271" t="s">
        <v>23</v>
      </c>
      <c r="BA208" s="271"/>
      <c r="BB208" s="13"/>
      <c r="BC208" s="36">
        <f>BB207/AT207</f>
        <v>0.21265822784810126</v>
      </c>
      <c r="BD208" s="15"/>
      <c r="BE208" s="2"/>
      <c r="BF208" s="33"/>
      <c r="BG208" s="8"/>
      <c r="BH208" s="5" t="s">
        <v>22</v>
      </c>
      <c r="BI208" s="13">
        <f>BI207/A208</f>
        <v>20293.548387096773</v>
      </c>
      <c r="BJ208" s="13">
        <f>BI208*A207</f>
        <v>629100</v>
      </c>
      <c r="BK208" s="13"/>
      <c r="BL208" s="5"/>
      <c r="BM208" s="13"/>
      <c r="BN208" s="13"/>
      <c r="BO208" s="271" t="s">
        <v>23</v>
      </c>
      <c r="BP208" s="271"/>
      <c r="BQ208" s="13"/>
      <c r="BR208" s="36">
        <f>BQ207/BI207</f>
        <v>0.15402956604673343</v>
      </c>
      <c r="BS208" s="15"/>
      <c r="BU208" s="16"/>
      <c r="BV208" s="69" t="s">
        <v>22</v>
      </c>
      <c r="BW208" s="13">
        <f>BW207/A208</f>
        <v>5270.9677419354839</v>
      </c>
      <c r="BX208" s="13">
        <f>BW208*A207</f>
        <v>163400</v>
      </c>
      <c r="BY208" s="13"/>
      <c r="BZ208" s="5"/>
      <c r="CA208" s="13"/>
      <c r="CB208" s="13"/>
      <c r="CC208" s="13"/>
      <c r="CD208" s="13"/>
      <c r="CE208" s="13"/>
      <c r="CF208" s="13"/>
      <c r="CG208" s="15"/>
      <c r="CH208" s="1"/>
      <c r="CI208" s="16"/>
      <c r="CJ208" s="69" t="s">
        <v>22</v>
      </c>
      <c r="CK208" s="13">
        <f>CK207/A208</f>
        <v>20377.419354838708</v>
      </c>
      <c r="CL208" s="13">
        <f>CK208*A207</f>
        <v>631700</v>
      </c>
      <c r="CM208" s="13"/>
      <c r="CN208" s="5"/>
      <c r="CO208" s="13"/>
      <c r="CP208" s="13"/>
      <c r="CQ208" s="13"/>
      <c r="CR208" s="13"/>
      <c r="CS208" s="13"/>
      <c r="CT208" s="13"/>
      <c r="CU208" s="15"/>
      <c r="CV208" s="1"/>
      <c r="CW208" s="16"/>
      <c r="CX208" s="69" t="s">
        <v>22</v>
      </c>
      <c r="CY208" s="13">
        <f>CY207/A208</f>
        <v>5087.0967741935483</v>
      </c>
      <c r="CZ208" s="13">
        <f>CY208*A207</f>
        <v>157700</v>
      </c>
      <c r="DA208" s="13"/>
      <c r="DB208" s="5"/>
      <c r="DC208" s="13"/>
      <c r="DD208" s="13"/>
      <c r="DE208" s="13"/>
      <c r="DF208" s="13"/>
      <c r="DG208" s="13"/>
      <c r="DH208" s="13"/>
      <c r="DI208" s="15"/>
      <c r="DJ208" s="1"/>
      <c r="DK208" s="16"/>
      <c r="DL208" s="69" t="s">
        <v>22</v>
      </c>
      <c r="DM208" s="13">
        <f>DM207/A208</f>
        <v>1938.7096774193549</v>
      </c>
      <c r="DN208" s="13">
        <f>DM208*A207</f>
        <v>60100</v>
      </c>
      <c r="DO208" s="13"/>
      <c r="DP208" s="5"/>
      <c r="DQ208" s="13"/>
      <c r="DR208" s="13"/>
      <c r="DS208" s="13"/>
      <c r="DT208" s="13"/>
      <c r="DU208" s="13"/>
      <c r="DV208" s="13"/>
      <c r="DW208" s="15"/>
      <c r="DY208" s="16"/>
      <c r="DZ208" s="69" t="s">
        <v>22</v>
      </c>
      <c r="EA208" s="13">
        <f>EA207/A208</f>
        <v>3141.9354838709678</v>
      </c>
      <c r="EB208" s="13">
        <f>EA208*A207</f>
        <v>97400</v>
      </c>
      <c r="EC208" s="13"/>
      <c r="ED208" s="5"/>
      <c r="EE208" s="13"/>
      <c r="EF208" s="13"/>
      <c r="EG208" s="13"/>
      <c r="EH208" s="13"/>
      <c r="EI208" s="13"/>
      <c r="EJ208" s="13"/>
      <c r="EK208" s="15"/>
    </row>
    <row r="209" spans="1:141" ht="15" customHeight="1" x14ac:dyDescent="0.2">
      <c r="A209" s="44" t="s">
        <v>22</v>
      </c>
      <c r="B209" s="81">
        <f>B208/A208</f>
        <v>1013.3548387096774</v>
      </c>
      <c r="C209" s="69" t="s">
        <v>25</v>
      </c>
      <c r="D209" s="13">
        <f>D207*0.6</f>
        <v>173340</v>
      </c>
      <c r="E209" s="13"/>
      <c r="F209" s="13"/>
      <c r="G209" s="5"/>
      <c r="H209" s="13"/>
      <c r="I209" s="13"/>
      <c r="J209" s="271" t="s">
        <v>26</v>
      </c>
      <c r="K209" s="271"/>
      <c r="L209" s="13">
        <f>D209-L207</f>
        <v>125559</v>
      </c>
      <c r="M209" s="36">
        <f>L209/D207</f>
        <v>0.43461059190031154</v>
      </c>
      <c r="N209" s="15"/>
      <c r="O209" s="2"/>
      <c r="P209" s="16"/>
      <c r="Q209" s="69" t="s">
        <v>25</v>
      </c>
      <c r="R209" s="13">
        <f>R207*0.6</f>
        <v>335340</v>
      </c>
      <c r="S209" s="13"/>
      <c r="T209" s="13"/>
      <c r="U209" s="5"/>
      <c r="V209" s="13"/>
      <c r="W209" s="13"/>
      <c r="X209" s="271" t="s">
        <v>26</v>
      </c>
      <c r="Y209" s="271"/>
      <c r="Z209" s="13">
        <f>R209-Z207</f>
        <v>225040</v>
      </c>
      <c r="AA209" s="36">
        <f>Z209/R207</f>
        <v>0.40264805868670606</v>
      </c>
      <c r="AB209" s="15"/>
      <c r="AD209" s="16"/>
      <c r="AE209" s="69" t="s">
        <v>25</v>
      </c>
      <c r="AF209" s="13">
        <f>AF207*0.6</f>
        <v>112320</v>
      </c>
      <c r="AG209" s="13"/>
      <c r="AH209" s="13"/>
      <c r="AI209" s="5"/>
      <c r="AJ209" s="13"/>
      <c r="AK209" s="13"/>
      <c r="AL209" s="271" t="s">
        <v>26</v>
      </c>
      <c r="AM209" s="271"/>
      <c r="AN209" s="13">
        <f>AF209-AN207</f>
        <v>75816</v>
      </c>
      <c r="AO209" s="36">
        <f>AN209/AF207</f>
        <v>0.40500000000000003</v>
      </c>
      <c r="AP209" s="15"/>
      <c r="AQ209" s="2"/>
      <c r="AR209" s="16"/>
      <c r="AS209" s="69" t="s">
        <v>25</v>
      </c>
      <c r="AT209" s="13">
        <f>AT207*0.6</f>
        <v>227520</v>
      </c>
      <c r="AU209" s="13"/>
      <c r="AV209" s="13"/>
      <c r="AW209" s="5"/>
      <c r="AX209" s="13"/>
      <c r="AY209" s="13"/>
      <c r="AZ209" s="271" t="s">
        <v>26</v>
      </c>
      <c r="BA209" s="271"/>
      <c r="BB209" s="13">
        <f>AT209-BB207</f>
        <v>146880</v>
      </c>
      <c r="BC209" s="36">
        <f>BB209/AT207</f>
        <v>0.38734177215189874</v>
      </c>
      <c r="BD209" s="15"/>
      <c r="BE209" s="2"/>
      <c r="BF209" s="16"/>
      <c r="BG209" s="235"/>
      <c r="BH209" s="69" t="s">
        <v>25</v>
      </c>
      <c r="BI209" s="13">
        <f>BI207*0.6</f>
        <v>377460</v>
      </c>
      <c r="BJ209" s="13"/>
      <c r="BK209" s="13"/>
      <c r="BL209" s="5"/>
      <c r="BM209" s="13"/>
      <c r="BN209" s="13"/>
      <c r="BO209" s="271" t="s">
        <v>26</v>
      </c>
      <c r="BP209" s="271"/>
      <c r="BQ209" s="13">
        <f>BI209-BQ207</f>
        <v>280560</v>
      </c>
      <c r="BR209" s="36">
        <f>BQ209/BI207</f>
        <v>0.44597043395326658</v>
      </c>
      <c r="BS209" s="15"/>
      <c r="BU209" s="16"/>
      <c r="BV209" s="69" t="s">
        <v>25</v>
      </c>
      <c r="BW209" s="13">
        <f>BW207*0.6</f>
        <v>98040</v>
      </c>
      <c r="BX209" s="13"/>
      <c r="BY209" s="13"/>
      <c r="BZ209" s="5" t="s">
        <v>24</v>
      </c>
      <c r="CA209" s="13">
        <f>SUM(CE151:CE203)</f>
        <v>102585</v>
      </c>
      <c r="CB209" s="36">
        <f>CA209/BW207</f>
        <v>0.62781517747858018</v>
      </c>
      <c r="CC209" s="36"/>
      <c r="CD209" s="13"/>
      <c r="CE209" s="13"/>
      <c r="CF209" s="13"/>
      <c r="CG209" s="15"/>
      <c r="CH209" s="1"/>
      <c r="CI209" s="16"/>
      <c r="CJ209" s="69" t="s">
        <v>25</v>
      </c>
      <c r="CK209" s="13">
        <f>CK207*0.6</f>
        <v>379020</v>
      </c>
      <c r="CL209" s="13"/>
      <c r="CM209" s="13"/>
      <c r="CN209" s="5" t="s">
        <v>24</v>
      </c>
      <c r="CO209" s="13">
        <f>SUM(CS151:CS203)</f>
        <v>91500</v>
      </c>
      <c r="CP209" s="36">
        <f>CO209/CK207</f>
        <v>0.14484723761279089</v>
      </c>
      <c r="CQ209" s="36"/>
      <c r="CR209" s="13"/>
      <c r="CS209" s="13"/>
      <c r="CT209" s="13"/>
      <c r="CU209" s="15"/>
      <c r="CV209" s="1"/>
      <c r="CW209" s="16"/>
      <c r="CX209" s="69" t="s">
        <v>25</v>
      </c>
      <c r="CY209" s="13">
        <f>CY207*0.6</f>
        <v>94620</v>
      </c>
      <c r="CZ209" s="13"/>
      <c r="DA209" s="13"/>
      <c r="DB209" s="5" t="s">
        <v>24</v>
      </c>
      <c r="DC209" s="13">
        <f>SUM(DG151:DG203)</f>
        <v>47520</v>
      </c>
      <c r="DD209" s="36">
        <f>DC209/CY207</f>
        <v>0.3013316423589093</v>
      </c>
      <c r="DE209" s="36"/>
      <c r="DF209" s="13"/>
      <c r="DG209" s="13"/>
      <c r="DH209" s="13"/>
      <c r="DI209" s="15"/>
      <c r="DJ209" s="1"/>
      <c r="DK209" s="16"/>
      <c r="DL209" s="69" t="s">
        <v>25</v>
      </c>
      <c r="DM209" s="13">
        <f>DM207*0.6</f>
        <v>36060</v>
      </c>
      <c r="DN209" s="13"/>
      <c r="DO209" s="13"/>
      <c r="DP209" s="5" t="s">
        <v>24</v>
      </c>
      <c r="DQ209" s="13">
        <f>SUM(DU151:DU203)</f>
        <v>24101</v>
      </c>
      <c r="DR209" s="36">
        <f>DQ209/DM207</f>
        <v>0.40101497504159733</v>
      </c>
      <c r="DS209" s="36"/>
      <c r="DT209" s="13"/>
      <c r="DU209" s="13"/>
      <c r="DV209" s="13"/>
      <c r="DW209" s="15"/>
      <c r="DY209" s="16"/>
      <c r="DZ209" s="69" t="s">
        <v>25</v>
      </c>
      <c r="EA209" s="13">
        <f>EA207*0.6</f>
        <v>58440</v>
      </c>
      <c r="EB209" s="13"/>
      <c r="EC209" s="13"/>
      <c r="ED209" s="5" t="s">
        <v>24</v>
      </c>
      <c r="EE209" s="13">
        <f>SUM(EI151:EI203)</f>
        <v>84550</v>
      </c>
      <c r="EF209" s="36">
        <f>EE209/EA207</f>
        <v>0.86806981519507187</v>
      </c>
      <c r="EG209" s="36"/>
      <c r="EH209" s="13"/>
      <c r="EI209" s="13"/>
      <c r="EJ209" s="13"/>
      <c r="EK209" s="15"/>
    </row>
    <row r="210" spans="1:141" ht="15" customHeight="1" x14ac:dyDescent="0.2">
      <c r="A210" s="79"/>
      <c r="B210" s="74"/>
      <c r="C210" s="5" t="s">
        <v>27</v>
      </c>
      <c r="D210" s="13">
        <f>D281</f>
        <v>260100</v>
      </c>
      <c r="E210" s="13"/>
      <c r="F210" s="13"/>
      <c r="G210" s="5"/>
      <c r="H210" s="13"/>
      <c r="I210" s="24"/>
      <c r="J210" s="272" t="s">
        <v>29</v>
      </c>
      <c r="K210" s="272"/>
      <c r="L210" s="53">
        <f>(G183+I183)*K183+(G184+I184)*K184+(G185+I185)*K185+(G186+I186)*K186</f>
        <v>68379</v>
      </c>
      <c r="M210" s="14"/>
      <c r="N210" s="15"/>
      <c r="O210" s="2"/>
      <c r="P210" s="79"/>
      <c r="Q210" s="5" t="s">
        <v>27</v>
      </c>
      <c r="R210" s="13">
        <f>R281</f>
        <v>419100</v>
      </c>
      <c r="S210" s="13"/>
      <c r="T210" s="13"/>
      <c r="U210" s="5"/>
      <c r="V210" s="13"/>
      <c r="W210" s="24"/>
      <c r="X210" s="272" t="s">
        <v>29</v>
      </c>
      <c r="Y210" s="272"/>
      <c r="Z210" s="53">
        <f>(U183+W183)*Y183+(U184+W184)*Y184+(U185+W185)*Y185+(U186+W186)*Y186</f>
        <v>57400</v>
      </c>
      <c r="AA210" s="14"/>
      <c r="AB210" s="15"/>
      <c r="AD210" s="79"/>
      <c r="AE210" s="5" t="s">
        <v>27</v>
      </c>
      <c r="AF210" s="13">
        <f>AF281</f>
        <v>187100</v>
      </c>
      <c r="AG210" s="13"/>
      <c r="AH210" s="13"/>
      <c r="AI210" s="5"/>
      <c r="AJ210" s="13"/>
      <c r="AK210" s="24"/>
      <c r="AL210" s="272" t="s">
        <v>29</v>
      </c>
      <c r="AM210" s="272"/>
      <c r="AN210" s="53">
        <f>(AI183+AK183)*AM183+(AI184+AK184)*AM184+(AI185+AK185)*AM185+(AI186+AK186)*AM186</f>
        <v>171440</v>
      </c>
      <c r="AO210" s="14"/>
      <c r="AP210" s="15"/>
      <c r="AQ210" s="2"/>
      <c r="AR210" s="79"/>
      <c r="AS210" s="5" t="s">
        <v>27</v>
      </c>
      <c r="AT210" s="13">
        <f>AT281</f>
        <v>267000</v>
      </c>
      <c r="AU210" s="13"/>
      <c r="AV210" s="13"/>
      <c r="AW210" s="5"/>
      <c r="AX210" s="13"/>
      <c r="AY210" s="24"/>
      <c r="AZ210" s="272" t="s">
        <v>29</v>
      </c>
      <c r="BA210" s="272"/>
      <c r="BB210" s="53">
        <f>(AW183+AY183)*BA183+(AW184+AY184)*BA184+(AW185+AY185)*BA185+(AW186+AY186)*BA186</f>
        <v>84230</v>
      </c>
      <c r="BC210" s="14"/>
      <c r="BD210" s="15"/>
      <c r="BE210" s="2"/>
      <c r="BF210" s="79"/>
      <c r="BG210" s="240"/>
      <c r="BH210" s="5" t="s">
        <v>27</v>
      </c>
      <c r="BI210" s="13">
        <f>BI281</f>
        <v>347500</v>
      </c>
      <c r="BJ210" s="13"/>
      <c r="BK210" s="13"/>
      <c r="BL210" s="5"/>
      <c r="BM210" s="13"/>
      <c r="BN210" s="24"/>
      <c r="BO210" s="272" t="s">
        <v>29</v>
      </c>
      <c r="BP210" s="272"/>
      <c r="BQ210" s="53">
        <f>(BL183+BN183)*BP183+(BL184+BN184)*BP184+(BL185+BN185)*BP185+(BL186+BN186)*BP186</f>
        <v>16500</v>
      </c>
      <c r="BR210" s="14"/>
      <c r="BS210" s="15"/>
      <c r="BU210" s="16"/>
      <c r="BV210" s="69" t="s">
        <v>27</v>
      </c>
      <c r="BW210" s="13">
        <f>BW281</f>
        <v>129400</v>
      </c>
      <c r="BX210" s="13"/>
      <c r="BY210" s="13"/>
      <c r="BZ210" s="5" t="s">
        <v>26</v>
      </c>
      <c r="CA210" s="13">
        <f>BW209-CA209</f>
        <v>-4545</v>
      </c>
      <c r="CB210" s="36">
        <f>CA210/BW207</f>
        <v>-2.7815177478580172E-2</v>
      </c>
      <c r="CC210" s="36"/>
      <c r="CD210" s="14"/>
      <c r="CE210" s="14"/>
      <c r="CF210" s="14"/>
      <c r="CG210" s="15"/>
      <c r="CH210" s="1"/>
      <c r="CI210" s="16"/>
      <c r="CJ210" s="69" t="s">
        <v>27</v>
      </c>
      <c r="CK210" s="13">
        <f>CK281</f>
        <v>1102200</v>
      </c>
      <c r="CL210" s="13"/>
      <c r="CM210" s="13"/>
      <c r="CN210" s="5" t="s">
        <v>26</v>
      </c>
      <c r="CO210" s="13">
        <f>CK209-CO209</f>
        <v>287520</v>
      </c>
      <c r="CP210" s="36">
        <f>CO210/CK207</f>
        <v>0.45515276238720914</v>
      </c>
      <c r="CQ210" s="36"/>
      <c r="CR210" s="14"/>
      <c r="CS210" s="14"/>
      <c r="CT210" s="14"/>
      <c r="CU210" s="15"/>
      <c r="CV210" s="1"/>
      <c r="CW210" s="16"/>
      <c r="CX210" s="69" t="s">
        <v>27</v>
      </c>
      <c r="CY210" s="13">
        <f>CY281</f>
        <v>111000</v>
      </c>
      <c r="CZ210" s="13"/>
      <c r="DA210" s="13"/>
      <c r="DB210" s="5" t="s">
        <v>26</v>
      </c>
      <c r="DC210" s="13">
        <f>CY209-DC209</f>
        <v>47100</v>
      </c>
      <c r="DD210" s="36">
        <f>DC210/CY207</f>
        <v>0.29866835764109068</v>
      </c>
      <c r="DE210" s="36"/>
      <c r="DF210" s="14"/>
      <c r="DG210" s="14"/>
      <c r="DH210" s="14"/>
      <c r="DI210" s="15"/>
      <c r="DJ210" s="1"/>
      <c r="DK210" s="16"/>
      <c r="DL210" s="69" t="s">
        <v>27</v>
      </c>
      <c r="DM210" s="13">
        <f>DM281</f>
        <v>67400</v>
      </c>
      <c r="DN210" s="13"/>
      <c r="DO210" s="13"/>
      <c r="DP210" s="5" t="s">
        <v>26</v>
      </c>
      <c r="DQ210" s="13">
        <f>DM209-DQ209</f>
        <v>11959</v>
      </c>
      <c r="DR210" s="36">
        <f>DQ210/DM207</f>
        <v>0.19898502495840267</v>
      </c>
      <c r="DS210" s="36"/>
      <c r="DT210" s="14"/>
      <c r="DU210" s="14"/>
      <c r="DV210" s="14"/>
      <c r="DW210" s="15"/>
      <c r="DY210" s="16"/>
      <c r="DZ210" s="69" t="s">
        <v>27</v>
      </c>
      <c r="EA210" s="13">
        <f>EA281</f>
        <v>91500</v>
      </c>
      <c r="EB210" s="13"/>
      <c r="EC210" s="13"/>
      <c r="ED210" s="5" t="s">
        <v>26</v>
      </c>
      <c r="EE210" s="13">
        <f>EA209-EE209</f>
        <v>-26110</v>
      </c>
      <c r="EF210" s="36">
        <f>EE210/EA207</f>
        <v>-0.26806981519507189</v>
      </c>
      <c r="EG210" s="36"/>
      <c r="EH210" s="14"/>
      <c r="EI210" s="14"/>
      <c r="EJ210" s="14"/>
      <c r="EK210" s="15"/>
    </row>
    <row r="211" spans="1:141" ht="15" customHeight="1" x14ac:dyDescent="0.2">
      <c r="A211" s="273" t="s">
        <v>57</v>
      </c>
      <c r="B211" s="274"/>
      <c r="C211" s="273" t="s">
        <v>62</v>
      </c>
      <c r="D211" s="274"/>
      <c r="E211" s="273" t="s">
        <v>63</v>
      </c>
      <c r="F211" s="275"/>
      <c r="G211" s="5"/>
      <c r="H211" s="13"/>
      <c r="I211" s="24"/>
      <c r="J211" s="99"/>
      <c r="K211" s="102"/>
      <c r="L211" s="53"/>
      <c r="M211" s="14"/>
      <c r="N211" s="15"/>
      <c r="O211" s="2"/>
      <c r="P211" s="85"/>
      <c r="Q211" s="69"/>
      <c r="R211" s="13"/>
      <c r="S211" s="13"/>
      <c r="T211" s="13"/>
      <c r="U211" s="5"/>
      <c r="V211" s="13"/>
      <c r="W211" s="24"/>
      <c r="X211" s="99"/>
      <c r="Y211" s="102"/>
      <c r="Z211" s="53"/>
      <c r="AA211" s="14"/>
      <c r="AB211" s="15"/>
      <c r="AD211" s="85"/>
      <c r="AE211" s="69"/>
      <c r="AF211" s="13"/>
      <c r="AG211" s="13"/>
      <c r="AH211" s="13"/>
      <c r="AI211" s="5"/>
      <c r="AJ211" s="13"/>
      <c r="AK211" s="24"/>
      <c r="AL211" s="99"/>
      <c r="AM211" s="102"/>
      <c r="AN211" s="53"/>
      <c r="AO211" s="14"/>
      <c r="AP211" s="15"/>
      <c r="AQ211" s="2"/>
      <c r="AR211" s="85"/>
      <c r="AS211" s="69"/>
      <c r="AT211" s="13"/>
      <c r="AU211" s="13"/>
      <c r="AV211" s="13"/>
      <c r="AW211" s="5"/>
      <c r="AX211" s="13"/>
      <c r="AY211" s="24"/>
      <c r="AZ211" s="118"/>
      <c r="BA211" s="102"/>
      <c r="BB211" s="53"/>
      <c r="BC211" s="14"/>
      <c r="BD211" s="15"/>
      <c r="BE211" s="2"/>
      <c r="BF211" s="85"/>
      <c r="BG211" s="245"/>
      <c r="BH211" s="69"/>
      <c r="BI211" s="13"/>
      <c r="BJ211" s="13"/>
      <c r="BK211" s="13"/>
      <c r="BL211" s="5"/>
      <c r="BM211" s="13"/>
      <c r="BN211" s="24"/>
      <c r="BO211" s="99"/>
      <c r="BP211" s="102"/>
      <c r="BQ211" s="53"/>
      <c r="BR211" s="14"/>
      <c r="BS211" s="15"/>
      <c r="BU211" s="16"/>
      <c r="BV211" s="54"/>
      <c r="BW211" s="13"/>
      <c r="BX211" s="13"/>
      <c r="BY211" s="13"/>
      <c r="BZ211" s="263" t="s">
        <v>29</v>
      </c>
      <c r="CA211" s="264"/>
      <c r="CB211" s="13">
        <f>(BZ159+CB159)*CD159</f>
        <v>54230</v>
      </c>
      <c r="CC211" s="13"/>
      <c r="CD211" s="14"/>
      <c r="CE211" s="14"/>
      <c r="CF211" s="14"/>
      <c r="CG211" s="15"/>
      <c r="CH211" s="1"/>
      <c r="CI211" s="16"/>
      <c r="CJ211" s="54"/>
      <c r="CK211" s="13"/>
      <c r="CL211" s="13"/>
      <c r="CM211" s="13"/>
      <c r="CN211" s="263" t="s">
        <v>29</v>
      </c>
      <c r="CO211" s="264"/>
      <c r="CP211" s="13">
        <f>(CN159+CP159)*CR159</f>
        <v>54000</v>
      </c>
      <c r="CQ211" s="13"/>
      <c r="CR211" s="14"/>
      <c r="CS211" s="14"/>
      <c r="CT211" s="14"/>
      <c r="CU211" s="15"/>
      <c r="CV211" s="1"/>
      <c r="CW211" s="16"/>
      <c r="CX211" s="54"/>
      <c r="CY211" s="13"/>
      <c r="CZ211" s="13"/>
      <c r="DA211" s="13"/>
      <c r="DB211" s="263" t="s">
        <v>29</v>
      </c>
      <c r="DC211" s="264"/>
      <c r="DD211" s="13">
        <f>(DB159+DD159)*DF159</f>
        <v>56320</v>
      </c>
      <c r="DE211" s="13"/>
      <c r="DF211" s="14"/>
      <c r="DG211" s="14"/>
      <c r="DH211" s="14"/>
      <c r="DI211" s="15"/>
      <c r="DJ211" s="1"/>
      <c r="DK211" s="16"/>
      <c r="DL211" s="54"/>
      <c r="DM211" s="13"/>
      <c r="DN211" s="13"/>
      <c r="DO211" s="13"/>
      <c r="DP211" s="263" t="s">
        <v>29</v>
      </c>
      <c r="DQ211" s="264"/>
      <c r="DR211" s="13">
        <f>(DP159+DR159)*DT159</f>
        <v>31639</v>
      </c>
      <c r="DS211" s="13"/>
      <c r="DT211" s="14"/>
      <c r="DU211" s="14"/>
      <c r="DV211" s="14"/>
      <c r="DW211" s="15"/>
      <c r="DY211" s="16"/>
      <c r="DZ211" s="54"/>
      <c r="EA211" s="13"/>
      <c r="EB211" s="13"/>
      <c r="EC211" s="13"/>
      <c r="ED211" s="263" t="s">
        <v>29</v>
      </c>
      <c r="EE211" s="264"/>
      <c r="EF211" s="13">
        <f>(ED159+EF159)*EH159</f>
        <v>87400</v>
      </c>
      <c r="EG211" s="13"/>
      <c r="EH211" s="14"/>
      <c r="EI211" s="14"/>
      <c r="EJ211" s="14"/>
      <c r="EK211" s="15"/>
    </row>
    <row r="212" spans="1:141" ht="15" customHeight="1" x14ac:dyDescent="0.2">
      <c r="A212" s="265">
        <f>B209*A207*100</f>
        <v>3141400</v>
      </c>
      <c r="B212" s="266"/>
      <c r="C212" s="267">
        <f>L207+Z207+AN207+BB207+BQ207+CO209+DC209+DQ209+EE209</f>
        <v>619796</v>
      </c>
      <c r="D212" s="268"/>
      <c r="E212" s="267">
        <f>L210+Z210+AN210+BB210+CB211+CP211+DD211+DR211</f>
        <v>577638</v>
      </c>
      <c r="F212" s="268"/>
      <c r="G212" s="5"/>
      <c r="H212" s="13"/>
      <c r="I212" s="24"/>
      <c r="J212" s="99"/>
      <c r="K212" s="102"/>
      <c r="L212" s="53"/>
      <c r="M212" s="14"/>
      <c r="N212" s="15"/>
      <c r="O212" s="2"/>
      <c r="P212" s="85"/>
      <c r="Q212" s="69"/>
      <c r="R212" s="13"/>
      <c r="S212" s="13"/>
      <c r="T212" s="13"/>
      <c r="U212" s="5"/>
      <c r="V212" s="13"/>
      <c r="W212" s="24"/>
      <c r="X212" s="99"/>
      <c r="Y212" s="102"/>
      <c r="Z212" s="53"/>
      <c r="AA212" s="14"/>
      <c r="AB212" s="15"/>
      <c r="AD212" s="85"/>
      <c r="AE212" s="69"/>
      <c r="AF212" s="13"/>
      <c r="AG212" s="13"/>
      <c r="AH212" s="13"/>
      <c r="AI212" s="5"/>
      <c r="AJ212" s="13"/>
      <c r="AK212" s="24"/>
      <c r="AL212" s="99"/>
      <c r="AM212" s="102"/>
      <c r="AN212" s="53"/>
      <c r="AO212" s="14"/>
      <c r="AP212" s="15"/>
      <c r="AQ212" s="2"/>
      <c r="AR212" s="85"/>
      <c r="AS212" s="69"/>
      <c r="AT212" s="13"/>
      <c r="AU212" s="13"/>
      <c r="AV212" s="13"/>
      <c r="AW212" s="5"/>
      <c r="AX212" s="13"/>
      <c r="AY212" s="24"/>
      <c r="AZ212" s="118"/>
      <c r="BA212" s="102"/>
      <c r="BB212" s="53"/>
      <c r="BC212" s="14"/>
      <c r="BD212" s="15"/>
      <c r="BE212" s="2"/>
      <c r="BF212" s="85"/>
      <c r="BG212" s="245"/>
      <c r="BH212" s="69"/>
      <c r="BI212" s="13"/>
      <c r="BJ212" s="13"/>
      <c r="BK212" s="13"/>
      <c r="BL212" s="5"/>
      <c r="BM212" s="13"/>
      <c r="BN212" s="24"/>
      <c r="BO212" s="99"/>
      <c r="BP212" s="102"/>
      <c r="BQ212" s="53"/>
      <c r="BR212" s="14"/>
      <c r="BS212" s="15"/>
      <c r="BU212" s="16"/>
      <c r="BV212" s="54"/>
      <c r="BW212" s="13"/>
      <c r="BX212" s="13"/>
      <c r="BY212" s="13"/>
      <c r="BZ212" s="5"/>
      <c r="CA212" s="13"/>
      <c r="CB212" s="13"/>
      <c r="CC212" s="13"/>
      <c r="CD212" s="14"/>
      <c r="CE212" s="14"/>
      <c r="CF212" s="14"/>
      <c r="CG212" s="15"/>
      <c r="CH212" s="1"/>
      <c r="CI212" s="16"/>
      <c r="CJ212" s="54"/>
      <c r="CK212" s="13"/>
      <c r="CL212" s="13"/>
      <c r="CM212" s="13"/>
      <c r="CN212" s="5"/>
      <c r="CO212" s="13"/>
      <c r="CP212" s="13"/>
      <c r="CQ212" s="13"/>
      <c r="CR212" s="14"/>
      <c r="CS212" s="14"/>
      <c r="CT212" s="14"/>
      <c r="CU212" s="15"/>
      <c r="CV212" s="1"/>
      <c r="CW212" s="16"/>
      <c r="CX212" s="54"/>
      <c r="CY212" s="13"/>
      <c r="CZ212" s="13"/>
      <c r="DA212" s="13"/>
      <c r="DB212" s="5"/>
      <c r="DC212" s="13"/>
      <c r="DD212" s="13"/>
      <c r="DE212" s="13"/>
      <c r="DF212" s="14"/>
      <c r="DG212" s="14"/>
      <c r="DH212" s="14"/>
      <c r="DI212" s="15"/>
      <c r="DJ212" s="1"/>
      <c r="DK212" s="16"/>
      <c r="DL212" s="54"/>
      <c r="DM212" s="13"/>
      <c r="DN212" s="13"/>
      <c r="DO212" s="13"/>
      <c r="DP212" s="5"/>
      <c r="DQ212" s="13"/>
      <c r="DR212" s="13"/>
      <c r="DS212" s="13"/>
      <c r="DT212" s="14"/>
      <c r="DU212" s="14"/>
      <c r="DV212" s="14"/>
      <c r="DW212" s="15"/>
      <c r="DY212" s="16"/>
      <c r="DZ212" s="54"/>
      <c r="EA212" s="13"/>
      <c r="EB212" s="13"/>
      <c r="EC212" s="13"/>
      <c r="ED212" s="5"/>
      <c r="EE212" s="13"/>
      <c r="EF212" s="13"/>
      <c r="EG212" s="13"/>
      <c r="EH212" s="14"/>
      <c r="EI212" s="14"/>
      <c r="EJ212" s="14"/>
      <c r="EK212" s="15"/>
    </row>
    <row r="213" spans="1:141" ht="15" customHeight="1" x14ac:dyDescent="0.2">
      <c r="A213" s="269">
        <f>B210*A208*100</f>
        <v>0</v>
      </c>
      <c r="B213" s="269"/>
      <c r="C213" s="98"/>
      <c r="D213" s="106">
        <f>C212/A212</f>
        <v>0.19729929330871587</v>
      </c>
      <c r="E213" s="104"/>
      <c r="F213" s="96"/>
      <c r="G213" s="5"/>
      <c r="H213" s="13"/>
      <c r="I213" s="24"/>
      <c r="J213" s="99"/>
      <c r="K213" s="102"/>
      <c r="L213" s="53"/>
      <c r="M213" s="14"/>
      <c r="N213" s="15"/>
      <c r="O213" s="2"/>
      <c r="P213" s="85"/>
      <c r="Q213" s="69"/>
      <c r="R213" s="13"/>
      <c r="S213" s="13"/>
      <c r="T213" s="13"/>
      <c r="U213" s="5"/>
      <c r="V213" s="13"/>
      <c r="W213" s="24"/>
      <c r="X213" s="99"/>
      <c r="Y213" s="102"/>
      <c r="Z213" s="53"/>
      <c r="AA213" s="14"/>
      <c r="AB213" s="15"/>
      <c r="AD213" s="85"/>
      <c r="AE213" s="69"/>
      <c r="AF213" s="13"/>
      <c r="AG213" s="13"/>
      <c r="AH213" s="13"/>
      <c r="AI213" s="5"/>
      <c r="AJ213" s="13"/>
      <c r="AK213" s="24"/>
      <c r="AL213" s="99"/>
      <c r="AM213" s="102"/>
      <c r="AN213" s="53"/>
      <c r="AO213" s="14"/>
      <c r="AP213" s="15"/>
      <c r="AQ213" s="2"/>
      <c r="AR213" s="85"/>
      <c r="AS213" s="69"/>
      <c r="AT213" s="13"/>
      <c r="AU213" s="13"/>
      <c r="AV213" s="13"/>
      <c r="AW213" s="5"/>
      <c r="AX213" s="13"/>
      <c r="AY213" s="24"/>
      <c r="AZ213" s="118"/>
      <c r="BA213" s="102"/>
      <c r="BB213" s="53"/>
      <c r="BC213" s="14"/>
      <c r="BD213" s="15"/>
      <c r="BE213" s="2"/>
      <c r="BF213" s="85"/>
      <c r="BG213" s="245"/>
      <c r="BH213" s="69"/>
      <c r="BI213" s="13"/>
      <c r="BJ213" s="13"/>
      <c r="BK213" s="13"/>
      <c r="BL213" s="5"/>
      <c r="BM213" s="13"/>
      <c r="BN213" s="24"/>
      <c r="BO213" s="99"/>
      <c r="BP213" s="102"/>
      <c r="BQ213" s="53"/>
      <c r="BR213" s="14"/>
      <c r="BS213" s="15"/>
      <c r="BU213" s="16"/>
      <c r="BV213" s="54"/>
      <c r="BW213" s="13"/>
      <c r="BX213" s="13"/>
      <c r="BY213" s="13"/>
      <c r="BZ213" s="5"/>
      <c r="CA213" s="13"/>
      <c r="CB213" s="36"/>
      <c r="CC213" s="36"/>
      <c r="CD213" s="13"/>
      <c r="CE213" s="13"/>
      <c r="CF213" s="13"/>
      <c r="CG213" s="15"/>
      <c r="CH213" s="1"/>
      <c r="CI213" s="16"/>
      <c r="CJ213" s="54"/>
      <c r="CK213" s="13"/>
      <c r="CL213" s="13"/>
      <c r="CM213" s="13"/>
      <c r="CN213" s="5"/>
      <c r="CO213" s="13"/>
      <c r="CP213" s="36"/>
      <c r="CQ213" s="36"/>
      <c r="CR213" s="13"/>
      <c r="CS213" s="13"/>
      <c r="CT213" s="13"/>
      <c r="CU213" s="15"/>
      <c r="CV213" s="1"/>
      <c r="CW213" s="16"/>
      <c r="CX213" s="54"/>
      <c r="CY213" s="13"/>
      <c r="CZ213" s="13"/>
      <c r="DA213" s="13"/>
      <c r="DB213" s="5"/>
      <c r="DC213" s="13"/>
      <c r="DD213" s="36"/>
      <c r="DE213" s="36"/>
      <c r="DF213" s="13"/>
      <c r="DG213" s="13"/>
      <c r="DH213" s="13"/>
      <c r="DI213" s="15"/>
      <c r="DJ213" s="1"/>
      <c r="DK213" s="16"/>
      <c r="DL213" s="54"/>
      <c r="DM213" s="13"/>
      <c r="DN213" s="13"/>
      <c r="DO213" s="13"/>
      <c r="DP213" s="5"/>
      <c r="DQ213" s="13"/>
      <c r="DR213" s="36"/>
      <c r="DS213" s="36"/>
      <c r="DT213" s="13"/>
      <c r="DU213" s="13"/>
      <c r="DV213" s="13"/>
      <c r="DW213" s="15"/>
      <c r="DY213" s="16"/>
      <c r="DZ213" s="54"/>
      <c r="EA213" s="13"/>
      <c r="EB213" s="13"/>
      <c r="EC213" s="13"/>
      <c r="ED213" s="5"/>
      <c r="EE213" s="13"/>
      <c r="EF213" s="36"/>
      <c r="EG213" s="36"/>
      <c r="EH213" s="13"/>
      <c r="EI213" s="13"/>
      <c r="EJ213" s="13"/>
      <c r="EK213" s="15"/>
    </row>
    <row r="214" spans="1:141" ht="15" customHeight="1" x14ac:dyDescent="0.2">
      <c r="A214" s="153"/>
      <c r="B214" s="154"/>
      <c r="C214" s="98"/>
      <c r="D214" s="96"/>
      <c r="E214" s="5"/>
      <c r="F214" s="13"/>
      <c r="G214" s="5"/>
      <c r="H214" s="13"/>
      <c r="I214" s="13"/>
      <c r="J214" s="68"/>
      <c r="K214" s="82"/>
      <c r="L214" s="14"/>
      <c r="M214" s="14"/>
      <c r="N214" s="15"/>
      <c r="O214" s="2"/>
      <c r="P214" s="86"/>
      <c r="Q214" s="54"/>
      <c r="R214" s="13"/>
      <c r="S214" s="5"/>
      <c r="T214" s="13"/>
      <c r="U214" s="5"/>
      <c r="V214" s="13"/>
      <c r="W214" s="13"/>
      <c r="X214" s="52"/>
      <c r="Y214" s="82"/>
      <c r="Z214" s="14"/>
      <c r="AA214" s="14"/>
      <c r="AB214" s="15"/>
      <c r="AD214" s="86"/>
      <c r="AE214" s="54"/>
      <c r="AF214" s="13"/>
      <c r="AG214" s="5"/>
      <c r="AH214" s="13"/>
      <c r="AI214" s="5"/>
      <c r="AJ214" s="13"/>
      <c r="AK214" s="13"/>
      <c r="AL214" s="68"/>
      <c r="AM214" s="82"/>
      <c r="AN214" s="14"/>
      <c r="AO214" s="14"/>
      <c r="AP214" s="15"/>
      <c r="AQ214" s="2"/>
      <c r="AR214" s="86"/>
      <c r="AS214" s="54"/>
      <c r="AT214" s="13"/>
      <c r="AU214" s="5"/>
      <c r="AV214" s="13"/>
      <c r="AW214" s="5"/>
      <c r="AX214" s="13"/>
      <c r="AY214" s="13"/>
      <c r="AZ214" s="68"/>
      <c r="BA214" s="82"/>
      <c r="BB214" s="14"/>
      <c r="BC214" s="14"/>
      <c r="BD214" s="15"/>
      <c r="BE214" s="2"/>
      <c r="BF214" s="86"/>
      <c r="BG214" s="246"/>
      <c r="BH214" s="54"/>
      <c r="BI214" s="13"/>
      <c r="BJ214" s="5"/>
      <c r="BK214" s="13"/>
      <c r="BL214" s="5"/>
      <c r="BM214" s="13"/>
      <c r="BN214" s="13"/>
      <c r="BO214" s="52"/>
      <c r="BP214" s="82"/>
      <c r="BQ214" s="14"/>
      <c r="BR214" s="14"/>
      <c r="BS214" s="15"/>
      <c r="BU214" s="16"/>
      <c r="BV214" s="13"/>
      <c r="BW214" s="13"/>
      <c r="BX214" s="13"/>
      <c r="BY214" s="13"/>
      <c r="BZ214" s="5"/>
      <c r="CA214" s="13"/>
      <c r="CB214" s="36"/>
      <c r="CC214" s="36"/>
      <c r="CD214" s="13"/>
      <c r="CE214" s="13"/>
      <c r="CF214" s="13"/>
      <c r="CG214" s="15"/>
      <c r="CH214" s="1"/>
      <c r="CI214" s="16"/>
      <c r="CJ214" s="13"/>
      <c r="CK214" s="13"/>
      <c r="CL214" s="13"/>
      <c r="CM214" s="13"/>
      <c r="CN214" s="5"/>
      <c r="CO214" s="13"/>
      <c r="CP214" s="36"/>
      <c r="CQ214" s="36"/>
      <c r="CR214" s="13"/>
      <c r="CS214" s="13"/>
      <c r="CT214" s="13"/>
      <c r="CU214" s="15"/>
      <c r="CV214" s="1"/>
      <c r="CW214" s="16"/>
      <c r="CX214" s="13"/>
      <c r="CY214" s="13"/>
      <c r="CZ214" s="13"/>
      <c r="DA214" s="13"/>
      <c r="DB214" s="5"/>
      <c r="DC214" s="13"/>
      <c r="DD214" s="36"/>
      <c r="DE214" s="36"/>
      <c r="DF214" s="13"/>
      <c r="DG214" s="13"/>
      <c r="DH214" s="13"/>
      <c r="DI214" s="15"/>
      <c r="DJ214" s="1"/>
      <c r="DK214" s="16"/>
      <c r="DL214" s="13"/>
      <c r="DM214" s="13"/>
      <c r="DN214" s="13"/>
      <c r="DO214" s="13"/>
      <c r="DP214" s="5"/>
      <c r="DQ214" s="13"/>
      <c r="DR214" s="36"/>
      <c r="DS214" s="36"/>
      <c r="DT214" s="13"/>
      <c r="DU214" s="13"/>
      <c r="DV214" s="13"/>
      <c r="DW214" s="15"/>
      <c r="DY214" s="16"/>
      <c r="DZ214" s="13"/>
      <c r="EA214" s="13"/>
      <c r="EB214" s="13"/>
      <c r="EC214" s="13"/>
      <c r="ED214" s="5"/>
      <c r="EE214" s="13"/>
      <c r="EF214" s="36"/>
      <c r="EG214" s="36"/>
      <c r="EH214" s="13"/>
      <c r="EI214" s="13"/>
      <c r="EJ214" s="13"/>
      <c r="EK214" s="15"/>
    </row>
    <row r="215" spans="1:141" ht="15" customHeight="1" x14ac:dyDescent="0.2">
      <c r="A215" s="258" t="s">
        <v>28</v>
      </c>
      <c r="B215" s="260"/>
      <c r="C215" s="259"/>
      <c r="D215" s="38">
        <f>SUM(D151,D155,D159,D163,D167,D171,D175,D179,D183,D187,D191,D195,D199)*100</f>
        <v>82600</v>
      </c>
      <c r="E215" s="54"/>
      <c r="F215" s="13"/>
      <c r="G215" s="5">
        <f>D215/H215</f>
        <v>5900</v>
      </c>
      <c r="H215" s="38">
        <f>SUM(H151,H155,H159,H163,H167,H171,H176,H179,H183,H187,H191,H195,H199)</f>
        <v>14</v>
      </c>
      <c r="I215" s="13"/>
      <c r="J215" s="75" t="str">
        <f t="shared" ref="J215:K215" si="441">J151</f>
        <v>ジャグラーボタン</v>
      </c>
      <c r="K215" s="76">
        <f t="shared" si="441"/>
        <v>748</v>
      </c>
      <c r="L215" s="38">
        <f>SUM(L151,L155,L159,L163,L167,L171,L176,L179,L183,L187,L191,L195,L199)</f>
        <v>8580</v>
      </c>
      <c r="M215" s="36">
        <f>L215/D215</f>
        <v>0.10387409200968523</v>
      </c>
      <c r="N215" s="15"/>
      <c r="O215" s="2"/>
      <c r="P215" s="258" t="s">
        <v>28</v>
      </c>
      <c r="Q215" s="259"/>
      <c r="R215" s="38">
        <f>SUM(R151,R155,R159,R163,R167,R171,R176,R179,R183,R187,R191,R195,R199)*100</f>
        <v>123200</v>
      </c>
      <c r="S215" s="54"/>
      <c r="T215" s="13"/>
      <c r="U215" s="5">
        <f>R215/V215</f>
        <v>5356.521739130435</v>
      </c>
      <c r="V215" s="38">
        <f>SUM(V151,V155,V159,V163,V167,V171,V176,V179,V183,V187,V191,V195,V199)</f>
        <v>23</v>
      </c>
      <c r="W215" s="13"/>
      <c r="X215" s="78" t="str">
        <f t="shared" ref="X215:Y215" si="442">X151</f>
        <v>キティボアバンスクリップ</v>
      </c>
      <c r="Y215" s="76">
        <f t="shared" si="442"/>
        <v>1100</v>
      </c>
      <c r="Z215" s="38">
        <f>SUM(Z151,Z155,Z159,Z163,Z167,Z171,Z176,Z179,Z183,Z187,Z191,Z195,Z199)</f>
        <v>21800</v>
      </c>
      <c r="AA215" s="36">
        <f>Z215/R215</f>
        <v>0.17694805194805194</v>
      </c>
      <c r="AB215" s="15"/>
      <c r="AC215" s="23"/>
      <c r="AD215" s="258" t="s">
        <v>28</v>
      </c>
      <c r="AE215" s="259"/>
      <c r="AF215" s="38">
        <f>SUM(AF151,AF155,AF159,AF163,AF167,AF171,AF175,AF179,AF183,AF187,AF191,AF195,AF199)*100</f>
        <v>38700</v>
      </c>
      <c r="AG215" s="54"/>
      <c r="AH215" s="13"/>
      <c r="AI215" s="5">
        <f>AF215/AJ215</f>
        <v>2976.9230769230771</v>
      </c>
      <c r="AJ215" s="38">
        <f>SUM(AJ151,AJ155,AJ159,AJ163,AJ167,AJ171,AJ176,AJ179,AJ183,AJ187,AJ191,AJ195,AJ199)</f>
        <v>13</v>
      </c>
      <c r="AK215" s="13"/>
      <c r="AL215" s="75" t="str">
        <f t="shared" ref="AL215:AM215" si="443">AL151</f>
        <v>サンリオ型押しケース</v>
      </c>
      <c r="AM215" s="76">
        <f t="shared" si="443"/>
        <v>545</v>
      </c>
      <c r="AN215" s="38">
        <f>SUM(AN151,AN155,AN159,AN163,AN167,AN171,AN176,AN179,AN183,AN187,AN191,AN195,AN199)</f>
        <v>7515</v>
      </c>
      <c r="AO215" s="36">
        <f>AN215/AF215</f>
        <v>0.19418604651162791</v>
      </c>
      <c r="AP215" s="15"/>
      <c r="AQ215" s="2"/>
      <c r="AR215" s="258" t="s">
        <v>28</v>
      </c>
      <c r="AS215" s="259"/>
      <c r="AT215" s="38">
        <f>SUM(AT151,AT155,AT159,AT163,AT167,AT171,AT176,AT179,AT183,AT187,AT191,AT195,AT199)*100</f>
        <v>50100</v>
      </c>
      <c r="AU215" s="54"/>
      <c r="AV215" s="13"/>
      <c r="AW215" s="5">
        <f>AT215/AX215</f>
        <v>6262.5</v>
      </c>
      <c r="AX215" s="38">
        <f>SUM(AX151,AX155,AX159,AX163,AX167,AX171,AX175,AX179,AX183,AX187,AX191,AX195,AX199)</f>
        <v>8</v>
      </c>
      <c r="AY215" s="13"/>
      <c r="AZ215" s="75" t="str">
        <f t="shared" ref="AZ215:BA215" si="444">AZ151</f>
        <v>サンリオデニムポーチ</v>
      </c>
      <c r="BA215" s="76">
        <f t="shared" si="444"/>
        <v>1100</v>
      </c>
      <c r="BB215" s="38">
        <f>SUM(BB151,BB155,BB159,BB163,BB167,BB171,BB176,BB179,BB183,BB187,BB191,BB195,BB199)</f>
        <v>9900</v>
      </c>
      <c r="BC215" s="36">
        <f>BB215/AT215</f>
        <v>0.19760479041916168</v>
      </c>
      <c r="BD215" s="15"/>
      <c r="BE215" s="2"/>
      <c r="BF215" s="258" t="s">
        <v>28</v>
      </c>
      <c r="BG215" s="261"/>
      <c r="BH215" s="259"/>
      <c r="BI215" s="38">
        <f>SUM(BI151,BI155,BI159,BI163,BI167,BI171,BI176,BI179,BI183,BI187,BI191,BI195,BI199)*100</f>
        <v>149600</v>
      </c>
      <c r="BJ215" s="54"/>
      <c r="BK215" s="13"/>
      <c r="BL215" s="5">
        <f>BI215/BM215</f>
        <v>7480</v>
      </c>
      <c r="BM215" s="38">
        <f>SUM(BM151,BM155,BM159,BM163,BM167,BM171,BM176,BM179,BM183,BM187,BM191,BM195,BM199)</f>
        <v>20</v>
      </c>
      <c r="BN215" s="13"/>
      <c r="BO215" s="78" t="str">
        <f t="shared" ref="BO215:BP215" si="445">BO151</f>
        <v>ノンキャラシール</v>
      </c>
      <c r="BP215" s="76">
        <f t="shared" si="445"/>
        <v>1500</v>
      </c>
      <c r="BQ215" s="38">
        <f>SUM(BQ151,BQ155,BQ159,BQ163,BQ167,BQ171,BQ176,BQ179,BQ183,BQ187,BQ191,BQ195,BQ199)</f>
        <v>26000</v>
      </c>
      <c r="BR215" s="36">
        <f>BQ215/BI215</f>
        <v>0.17379679144385027</v>
      </c>
      <c r="BS215" s="15"/>
      <c r="BU215" s="16"/>
      <c r="BV215" s="270"/>
      <c r="BW215" s="270"/>
      <c r="BX215" s="10"/>
      <c r="BY215" s="13"/>
      <c r="BZ215" s="5"/>
      <c r="CA215" s="13"/>
      <c r="CB215" s="36"/>
      <c r="CC215" s="36"/>
      <c r="CD215" s="13"/>
      <c r="CE215" s="13"/>
      <c r="CF215" s="13"/>
      <c r="CG215" s="15"/>
      <c r="CH215" s="1"/>
      <c r="CI215" s="16"/>
      <c r="CJ215" s="270"/>
      <c r="CK215" s="270"/>
      <c r="CL215" s="10"/>
      <c r="CM215" s="13"/>
      <c r="CN215" s="5"/>
      <c r="CO215" s="13"/>
      <c r="CP215" s="36"/>
      <c r="CQ215" s="36"/>
      <c r="CR215" s="13"/>
      <c r="CS215" s="13"/>
      <c r="CT215" s="13"/>
      <c r="CU215" s="15"/>
      <c r="CV215" s="1"/>
      <c r="CW215" s="16"/>
      <c r="CX215" s="270"/>
      <c r="CY215" s="270"/>
      <c r="CZ215" s="10"/>
      <c r="DA215" s="13"/>
      <c r="DB215" s="5"/>
      <c r="DC215" s="13"/>
      <c r="DD215" s="36"/>
      <c r="DE215" s="36"/>
      <c r="DF215" s="13"/>
      <c r="DG215" s="13"/>
      <c r="DH215" s="13"/>
      <c r="DI215" s="15"/>
      <c r="DJ215" s="1"/>
      <c r="DK215" s="16"/>
      <c r="DL215" s="270"/>
      <c r="DM215" s="270"/>
      <c r="DN215" s="10"/>
      <c r="DO215" s="13"/>
      <c r="DP215" s="5"/>
      <c r="DQ215" s="13"/>
      <c r="DR215" s="36"/>
      <c r="DS215" s="36"/>
      <c r="DT215" s="13"/>
      <c r="DU215" s="13"/>
      <c r="DV215" s="13"/>
      <c r="DW215" s="15"/>
      <c r="DY215" s="16"/>
      <c r="DZ215" s="270"/>
      <c r="EA215" s="270"/>
      <c r="EB215" s="10"/>
      <c r="EC215" s="13"/>
      <c r="ED215" s="5"/>
      <c r="EE215" s="13"/>
      <c r="EF215" s="36"/>
      <c r="EG215" s="36"/>
      <c r="EH215" s="13"/>
      <c r="EI215" s="13"/>
      <c r="EJ215" s="13"/>
      <c r="EK215" s="15"/>
    </row>
    <row r="216" spans="1:141" x14ac:dyDescent="0.2">
      <c r="A216" s="258" t="s">
        <v>28</v>
      </c>
      <c r="B216" s="260"/>
      <c r="C216" s="259"/>
      <c r="D216" s="38">
        <f>SUM(D152,D156,D160,D164,D168,D172,D176,D180,D184,D188,D192,D196,D200)*100</f>
        <v>88800</v>
      </c>
      <c r="E216" s="54"/>
      <c r="F216" s="13"/>
      <c r="G216" s="5">
        <f>D216/H216</f>
        <v>2018.1818181818182</v>
      </c>
      <c r="H216" s="38">
        <f>SUM(H152,H156,H160,H164,H168,H172,H175,H180,H184,H188,H192,H196,H200)</f>
        <v>44</v>
      </c>
      <c r="I216" s="13"/>
      <c r="J216" s="75" t="str">
        <f t="shared" ref="J216:K216" si="446">J152</f>
        <v>電ブル</v>
      </c>
      <c r="K216" s="76">
        <f t="shared" si="446"/>
        <v>275</v>
      </c>
      <c r="L216" s="38">
        <f>SUM(L152,L156,L160,L164,L168,L172,L175,L180,L184,L188,L192,L196,L200)</f>
        <v>12573</v>
      </c>
      <c r="M216" s="36">
        <f>L216/D216</f>
        <v>0.14158783783783785</v>
      </c>
      <c r="N216" s="15"/>
      <c r="O216" s="2"/>
      <c r="P216" s="258" t="s">
        <v>28</v>
      </c>
      <c r="Q216" s="259"/>
      <c r="R216" s="38">
        <f>SUM(R152,R156,R160,R164,R168,R172,R175,R180,R184,R188,R192,R196,R200)*100</f>
        <v>118400</v>
      </c>
      <c r="S216" s="54"/>
      <c r="T216" s="13"/>
      <c r="U216" s="5">
        <f>R216/V216</f>
        <v>3700</v>
      </c>
      <c r="V216" s="38">
        <f>SUM(V152,V156,V160,V164,V168,V172,V175,V180,V184,V188,V192,V196,V200)</f>
        <v>32</v>
      </c>
      <c r="W216" s="13"/>
      <c r="X216" s="78" t="str">
        <f t="shared" ref="X216:Y216" si="447">X152</f>
        <v>ギャルキティマスコット</v>
      </c>
      <c r="Y216" s="76">
        <f t="shared" si="447"/>
        <v>1100</v>
      </c>
      <c r="Z216" s="38">
        <f>SUM(Z152,Z156,Z160,Z164,Z168,Z172,Z175,Z180,Z184,Z188,Z192,Z196,Z200)</f>
        <v>23700</v>
      </c>
      <c r="AA216" s="36">
        <f>Z216/R216</f>
        <v>0.20016891891891891</v>
      </c>
      <c r="AB216" s="15"/>
      <c r="AC216" s="1"/>
      <c r="AD216" s="258" t="s">
        <v>28</v>
      </c>
      <c r="AE216" s="259"/>
      <c r="AF216" s="38">
        <f>SUM(AF152,AF156,AF160,AF164,AF168,AF172,AF176,AF180,AF184,AF188,AF192,AF196,AF200)*100</f>
        <v>57300</v>
      </c>
      <c r="AG216" s="54"/>
      <c r="AH216" s="13"/>
      <c r="AI216" s="5">
        <f>AF216/AJ216</f>
        <v>4775</v>
      </c>
      <c r="AJ216" s="38">
        <f>SUM(AJ152,AJ156,AJ160,AJ164,AJ168,AJ172,AJ175,AJ180,AJ184,AJ188,AJ192,AJ196,AJ200)</f>
        <v>12</v>
      </c>
      <c r="AK216" s="13"/>
      <c r="AL216" s="75" t="str">
        <f t="shared" ref="AL216:AM216" si="448">AL152</f>
        <v>キティししっぽ付きポーチ</v>
      </c>
      <c r="AM216" s="76">
        <f t="shared" si="448"/>
        <v>760</v>
      </c>
      <c r="AN216" s="38">
        <f>SUM(AN152,AN156,AN160,AN164,AN168,AN172,AN175,AN180,AN184,AN188,AN192,AN196,AN200)</f>
        <v>7500</v>
      </c>
      <c r="AO216" s="36">
        <f>AN216/AF216</f>
        <v>0.13089005235602094</v>
      </c>
      <c r="AP216" s="15"/>
      <c r="AQ216" s="2"/>
      <c r="AR216" s="258" t="s">
        <v>28</v>
      </c>
      <c r="AS216" s="259"/>
      <c r="AT216" s="38">
        <f>SUM(AT152,AT156,AT160,AT164,AT168,AT172,AT175,AT180,AT184,AT188,AT192,AT196,AT200)*100</f>
        <v>59600</v>
      </c>
      <c r="AU216" s="54"/>
      <c r="AV216" s="13"/>
      <c r="AW216" s="5">
        <f>AT216/AX216</f>
        <v>2980</v>
      </c>
      <c r="AX216" s="38">
        <f>SUM(AX152,AX156,AX160,AX164,AX168,AX172,AX176,AX180,AX184,AX188,AX192,AX196,AX200)</f>
        <v>20</v>
      </c>
      <c r="AY216" s="13"/>
      <c r="AZ216" s="75" t="str">
        <f t="shared" ref="AZ216:BA216" si="449">AZ152</f>
        <v>キティダブルミラー</v>
      </c>
      <c r="BA216" s="76">
        <f t="shared" si="449"/>
        <v>1100</v>
      </c>
      <c r="BB216" s="38">
        <f>SUM(BB152,BB156,BB160,BB164,BB168,BB172,BB175,BB180,BB184,BB188,BB192,BB196,BB200)</f>
        <v>20900</v>
      </c>
      <c r="BC216" s="36">
        <f>BB216/AT216</f>
        <v>0.35067114093959734</v>
      </c>
      <c r="BD216" s="15"/>
      <c r="BE216" s="2"/>
      <c r="BF216" s="258" t="s">
        <v>28</v>
      </c>
      <c r="BG216" s="261"/>
      <c r="BH216" s="259"/>
      <c r="BI216" s="38">
        <f>SUM(BI152,BI156,BI160,BI164,BI168,BI172,BI175,BI180,BI184,BI188,BI192,BI196,BI200)*100</f>
        <v>240900</v>
      </c>
      <c r="BJ216" s="54"/>
      <c r="BK216" s="13"/>
      <c r="BL216" s="5">
        <f>BI216/BM216</f>
        <v>12678.947368421053</v>
      </c>
      <c r="BM216" s="38">
        <f>SUM(BM152,BM156,BM160,BM164,BM168,BM172,BM175,BM180,BM184,BM188,BM192,BM196,BM200)</f>
        <v>19</v>
      </c>
      <c r="BN216" s="13"/>
      <c r="BO216" s="78" t="str">
        <f t="shared" ref="BO216:BP216" si="450">BO152</f>
        <v>ノンキャラシール</v>
      </c>
      <c r="BP216" s="76">
        <f t="shared" si="450"/>
        <v>1500</v>
      </c>
      <c r="BQ216" s="38">
        <f>SUM(BQ152,BQ156,BQ160,BQ164,BQ168,BQ172,BQ175,BQ180,BQ184,BQ188,BQ192,BQ196,BQ200)</f>
        <v>24600</v>
      </c>
      <c r="BR216" s="36">
        <f>BQ216/BI216</f>
        <v>0.10211706102117062</v>
      </c>
      <c r="BS216" s="15"/>
      <c r="BU216" s="16"/>
      <c r="BV216" s="270"/>
      <c r="BW216" s="270"/>
      <c r="BX216" s="13"/>
      <c r="BY216" s="13"/>
      <c r="BZ216" s="5"/>
      <c r="CA216" s="13"/>
      <c r="CB216" s="36"/>
      <c r="CC216" s="36"/>
      <c r="CD216" s="14"/>
      <c r="CE216" s="14"/>
      <c r="CF216" s="14"/>
      <c r="CG216" s="15"/>
      <c r="CH216" s="1"/>
      <c r="CI216" s="16"/>
      <c r="CJ216" s="270"/>
      <c r="CK216" s="270"/>
      <c r="CL216" s="13"/>
      <c r="CM216" s="13"/>
      <c r="CN216" s="5"/>
      <c r="CO216" s="13"/>
      <c r="CP216" s="36"/>
      <c r="CQ216" s="36"/>
      <c r="CR216" s="14"/>
      <c r="CS216" s="14"/>
      <c r="CT216" s="14"/>
      <c r="CU216" s="15"/>
      <c r="CV216" s="1"/>
      <c r="CW216" s="16"/>
      <c r="CX216" s="270"/>
      <c r="CY216" s="270"/>
      <c r="CZ216" s="13"/>
      <c r="DA216" s="13"/>
      <c r="DB216" s="5"/>
      <c r="DC216" s="13"/>
      <c r="DD216" s="36"/>
      <c r="DE216" s="36"/>
      <c r="DF216" s="14"/>
      <c r="DG216" s="14"/>
      <c r="DH216" s="14"/>
      <c r="DI216" s="15"/>
      <c r="DJ216" s="1"/>
      <c r="DK216" s="16"/>
      <c r="DL216" s="270"/>
      <c r="DM216" s="270"/>
      <c r="DN216" s="13"/>
      <c r="DO216" s="13"/>
      <c r="DP216" s="5"/>
      <c r="DQ216" s="13"/>
      <c r="DR216" s="36"/>
      <c r="DS216" s="36"/>
      <c r="DT216" s="14"/>
      <c r="DU216" s="14"/>
      <c r="DV216" s="14"/>
      <c r="DW216" s="15"/>
      <c r="DY216" s="16"/>
      <c r="DZ216" s="270"/>
      <c r="EA216" s="270"/>
      <c r="EB216" s="13"/>
      <c r="EC216" s="13"/>
      <c r="ED216" s="5"/>
      <c r="EE216" s="13"/>
      <c r="EF216" s="36"/>
      <c r="EG216" s="36"/>
      <c r="EH216" s="14"/>
      <c r="EI216" s="14"/>
      <c r="EJ216" s="14"/>
      <c r="EK216" s="15"/>
    </row>
    <row r="217" spans="1:141" x14ac:dyDescent="0.2">
      <c r="A217" s="258" t="s">
        <v>28</v>
      </c>
      <c r="B217" s="260"/>
      <c r="C217" s="259"/>
      <c r="D217" s="38">
        <f>SUM(D153,D157,D161,D165,D169,D173,D177,D181,D185,D189,D193,D197,D201)*100</f>
        <v>46800</v>
      </c>
      <c r="E217" s="54"/>
      <c r="F217" s="13"/>
      <c r="G217" s="5">
        <f>D217/H217</f>
        <v>454.36893203883494</v>
      </c>
      <c r="H217" s="38">
        <f>SUM(H153,H157,H161,H166,H169,H173,H177,H181,H185,H189,H193,H197,H201)</f>
        <v>103</v>
      </c>
      <c r="I217" s="13"/>
      <c r="J217" s="75" t="str">
        <f t="shared" ref="J217:K217" si="451">J153</f>
        <v>ゲーム機イヤホン</v>
      </c>
      <c r="K217" s="76">
        <f t="shared" si="451"/>
        <v>1100</v>
      </c>
      <c r="L217" s="38">
        <f>SUM(L153,L157,L161,L166,L169,L173,L177,L181,L185,L189,L193,L197,L201)</f>
        <v>12990</v>
      </c>
      <c r="M217" s="36">
        <f>L217/D217</f>
        <v>0.27756410256410258</v>
      </c>
      <c r="N217" s="15"/>
      <c r="O217" s="2"/>
      <c r="P217" s="258" t="s">
        <v>28</v>
      </c>
      <c r="Q217" s="259"/>
      <c r="R217" s="38">
        <f>SUM(R153,R157,R161,R165,R169,R173,R177,R181,R185,R189,R193,R197,R201)*100</f>
        <v>162400</v>
      </c>
      <c r="S217" s="54"/>
      <c r="T217" s="13"/>
      <c r="U217" s="5">
        <f>R217/V217</f>
        <v>3383.3333333333335</v>
      </c>
      <c r="V217" s="38">
        <f>SUM(V153,V157,V161,V166,V169,V173,V177,V181,V185,V189,V193,V197,V201)</f>
        <v>48</v>
      </c>
      <c r="W217" s="13"/>
      <c r="X217" s="78" t="str">
        <f t="shared" ref="X217:Y217" si="452">X153</f>
        <v>たまごっちミニクリップ</v>
      </c>
      <c r="Y217" s="76">
        <f t="shared" si="452"/>
        <v>1100</v>
      </c>
      <c r="Z217" s="38">
        <f>SUM(Z153,Z157,Z161,Z166,Z169,Z173,Z177,Z181,Z185,Z189,Z193,Z197,Z201)</f>
        <v>38400</v>
      </c>
      <c r="AA217" s="36">
        <f>Z217/R217</f>
        <v>0.23645320197044334</v>
      </c>
      <c r="AB217" s="15"/>
      <c r="AC217" s="1"/>
      <c r="AD217" s="258" t="s">
        <v>28</v>
      </c>
      <c r="AE217" s="259"/>
      <c r="AF217" s="38">
        <f>SUM(AF153,AF157,AF161,AF165,AF169,AF173,AF177,AF181,AF185,AF189,AF193,AF197,AF201)*100</f>
        <v>43300</v>
      </c>
      <c r="AG217" s="54"/>
      <c r="AH217" s="13"/>
      <c r="AI217" s="5">
        <f>AF217/AJ217</f>
        <v>1882.608695652174</v>
      </c>
      <c r="AJ217" s="38">
        <f>SUM(AJ153,AJ157,AJ161,AJ166,AJ169,AJ173,AJ177,AJ181,AJ185,AJ189,AJ193,AJ197,AJ201)</f>
        <v>23</v>
      </c>
      <c r="AK217" s="13"/>
      <c r="AL217" s="75" t="str">
        <f t="shared" ref="AL217:AM217" si="453">AL153</f>
        <v>ゲームアーク</v>
      </c>
      <c r="AM217" s="76">
        <f t="shared" si="453"/>
        <v>682</v>
      </c>
      <c r="AN217" s="38">
        <f>SUM(AN153,AN157,AN161,AN166,AN169,AN173,AN177,AN181,AN185,AN189,AN193,AN197,AN201)</f>
        <v>9330</v>
      </c>
      <c r="AO217" s="36">
        <f>AN217/AF217</f>
        <v>0.21547344110854502</v>
      </c>
      <c r="AP217" s="15"/>
      <c r="AQ217" s="2"/>
      <c r="AR217" s="258" t="s">
        <v>28</v>
      </c>
      <c r="AS217" s="259"/>
      <c r="AT217" s="38">
        <f>SUM(AT153,AT157,AT161,AT165,AT169,AT173,AT177,AT181,AT185,AT189,AT193,AT197,AT201)*100</f>
        <v>113100</v>
      </c>
      <c r="AU217" s="54"/>
      <c r="AV217" s="13"/>
      <c r="AW217" s="5">
        <f>AT217/AX217</f>
        <v>4524</v>
      </c>
      <c r="AX217" s="38">
        <f>SUM(AX153,AX157,AX161,AX165,AX169,AX173,AX177,AX181,AX185,AX189,AX193,AX197,AX201)</f>
        <v>25</v>
      </c>
      <c r="AY217" s="13"/>
      <c r="AZ217" s="75" t="str">
        <f t="shared" ref="AZ217:BA217" si="454">AZ153</f>
        <v>たまごっちマスコット</v>
      </c>
      <c r="BA217" s="76">
        <f t="shared" si="454"/>
        <v>1430</v>
      </c>
      <c r="BB217" s="38">
        <f>SUM(BB153,BB157,BB161,BB166,BB169,BB173,BB177,BB181,BB185,BB189,BB193,BB197,BB201)</f>
        <v>35440</v>
      </c>
      <c r="BC217" s="36">
        <f>BB217/AT217</f>
        <v>0.31335101679929267</v>
      </c>
      <c r="BD217" s="15"/>
      <c r="BE217" s="2"/>
      <c r="BF217" s="258" t="s">
        <v>28</v>
      </c>
      <c r="BG217" s="261"/>
      <c r="BH217" s="259"/>
      <c r="BI217" s="38">
        <f>SUM(BI153,BI157,BI161,BI165,BI169,BI173,BI177,BI181,BI185,BI189,BI193,BI197,BI201)*100</f>
        <v>127400</v>
      </c>
      <c r="BJ217" s="54"/>
      <c r="BK217" s="13"/>
      <c r="BL217" s="5">
        <f>BI217/BM217</f>
        <v>7962.5</v>
      </c>
      <c r="BM217" s="38">
        <f>SUM(BM153,BM157,BM161,BM166,BM169,BM173,BM177,BM181,BM185,BM189,BM193,BM197,BM201)</f>
        <v>16</v>
      </c>
      <c r="BN217" s="13"/>
      <c r="BO217" s="78" t="str">
        <f t="shared" ref="BO217:BP217" si="455">BO153</f>
        <v>ボンボンドロップシール</v>
      </c>
      <c r="BP217" s="76">
        <f t="shared" si="455"/>
        <v>1500</v>
      </c>
      <c r="BQ217" s="38">
        <f>SUM(BQ153,BQ157,BQ161,BQ166,BQ169,BQ173,BQ177,BQ181,BQ185,BQ189,BQ193,BQ197,BQ201)</f>
        <v>21600</v>
      </c>
      <c r="BR217" s="36">
        <f>BQ217/BI217</f>
        <v>0.1695447409733124</v>
      </c>
      <c r="BS217" s="15"/>
      <c r="BU217" s="16"/>
      <c r="BV217" s="270"/>
      <c r="BW217" s="270"/>
      <c r="BX217" s="36"/>
      <c r="BY217" s="13"/>
      <c r="BZ217" s="5"/>
      <c r="CA217" s="13"/>
      <c r="CB217" s="36"/>
      <c r="CC217" s="36"/>
      <c r="CD217" s="14"/>
      <c r="CE217" s="14"/>
      <c r="CF217" s="14"/>
      <c r="CG217" s="15"/>
      <c r="CH217" s="1"/>
      <c r="CI217" s="16"/>
      <c r="CJ217" s="270"/>
      <c r="CK217" s="270"/>
      <c r="CL217" s="36"/>
      <c r="CM217" s="13"/>
      <c r="CN217" s="5"/>
      <c r="CO217" s="13"/>
      <c r="CP217" s="36"/>
      <c r="CQ217" s="36"/>
      <c r="CR217" s="14"/>
      <c r="CS217" s="14"/>
      <c r="CT217" s="14"/>
      <c r="CU217" s="15"/>
      <c r="CV217" s="1"/>
      <c r="CW217" s="16"/>
      <c r="CX217" s="270"/>
      <c r="CY217" s="270"/>
      <c r="CZ217" s="36"/>
      <c r="DA217" s="13"/>
      <c r="DB217" s="5"/>
      <c r="DC217" s="13"/>
      <c r="DD217" s="36"/>
      <c r="DE217" s="36"/>
      <c r="DF217" s="14"/>
      <c r="DG217" s="14"/>
      <c r="DH217" s="14"/>
      <c r="DI217" s="15"/>
      <c r="DJ217" s="1"/>
      <c r="DK217" s="16"/>
      <c r="DL217" s="270"/>
      <c r="DM217" s="270"/>
      <c r="DN217" s="36"/>
      <c r="DO217" s="13"/>
      <c r="DP217" s="5"/>
      <c r="DQ217" s="13"/>
      <c r="DR217" s="36"/>
      <c r="DS217" s="36"/>
      <c r="DT217" s="14"/>
      <c r="DU217" s="14"/>
      <c r="DV217" s="14"/>
      <c r="DW217" s="15"/>
      <c r="DY217" s="16"/>
      <c r="DZ217" s="270"/>
      <c r="EA217" s="270"/>
      <c r="EB217" s="36"/>
      <c r="EC217" s="13"/>
      <c r="ED217" s="5"/>
      <c r="EE217" s="13"/>
      <c r="EF217" s="36"/>
      <c r="EG217" s="36"/>
      <c r="EH217" s="14"/>
      <c r="EI217" s="14"/>
      <c r="EJ217" s="14"/>
      <c r="EK217" s="15"/>
    </row>
    <row r="218" spans="1:141" x14ac:dyDescent="0.2">
      <c r="A218" s="258" t="s">
        <v>28</v>
      </c>
      <c r="B218" s="260"/>
      <c r="C218" s="259"/>
      <c r="D218" s="38">
        <f>SUM(D154,D158,D162,D166,D170,D174,D178,D182,D186,D190,D194,D198,D202)*100</f>
        <v>70700</v>
      </c>
      <c r="E218" s="54"/>
      <c r="F218" s="13"/>
      <c r="G218" s="5">
        <f>D218/H218</f>
        <v>1504.2553191489362</v>
      </c>
      <c r="H218" s="38">
        <f>SUM(H154,H158,H162,H165,H170,H174,H178,H182,H186,H190,H194,H198,H202)</f>
        <v>47</v>
      </c>
      <c r="I218" s="13"/>
      <c r="J218" s="75" t="str">
        <f t="shared" ref="J218:K218" si="456">J154</f>
        <v>シール帳</v>
      </c>
      <c r="K218" s="76">
        <f t="shared" si="456"/>
        <v>330</v>
      </c>
      <c r="L218" s="38">
        <f>SUM(L154,L158,L162,L165,L170,L174,L178,L182,L186,L190,L194,L198,L202)</f>
        <v>13638</v>
      </c>
      <c r="M218" s="36">
        <f>L218/D218</f>
        <v>0.1928995756718529</v>
      </c>
      <c r="N218" s="15"/>
      <c r="O218" s="2"/>
      <c r="P218" s="258" t="s">
        <v>28</v>
      </c>
      <c r="Q218" s="259"/>
      <c r="R218" s="38">
        <f>SUM(R154,R158,R162,R166,R170,R174,R178,R182,R186,R190,R194,R198,R202)*100</f>
        <v>154900</v>
      </c>
      <c r="S218" s="54"/>
      <c r="T218" s="13"/>
      <c r="U218" s="5">
        <f>R218/V218</f>
        <v>1259.3495934959349</v>
      </c>
      <c r="V218" s="38">
        <f>SUM(V154,V158,V162,V165,V170,V174,V178,V182,V186,V190,V194,V198,V202)</f>
        <v>123</v>
      </c>
      <c r="W218" s="13"/>
      <c r="X218" s="78" t="str">
        <f t="shared" ref="X218:Y218" si="457">X154</f>
        <v>ボンボンドロップ</v>
      </c>
      <c r="Y218" s="76">
        <f t="shared" si="457"/>
        <v>200</v>
      </c>
      <c r="Z218" s="38">
        <f>SUM(Z154,Z158,Z162,Z165,Z170,Z174,Z178,Z182,Z186,Z190,Z194,Z198,Z202)</f>
        <v>26400</v>
      </c>
      <c r="AA218" s="36">
        <f>Z218/R218</f>
        <v>0.17043253712072304</v>
      </c>
      <c r="AB218" s="15"/>
      <c r="AC218" s="1"/>
      <c r="AD218" s="258" t="s">
        <v>28</v>
      </c>
      <c r="AE218" s="259"/>
      <c r="AF218" s="38">
        <f>SUM(AF154,AF158,AF162,AF166,AF170,AF174,AF178,AF182,AF186,AF190,AF194,AF198,AF202)*100</f>
        <v>47900</v>
      </c>
      <c r="AG218" s="54"/>
      <c r="AH218" s="13"/>
      <c r="AI218" s="5">
        <f>AF218/AJ218</f>
        <v>1496.875</v>
      </c>
      <c r="AJ218" s="38">
        <f>SUM(AJ154,AJ158,AJ162,AJ165,AJ170,AJ174,AJ178,AJ182,AJ186,AJ190,AJ194,AJ198,AJ202)</f>
        <v>32</v>
      </c>
      <c r="AK218" s="13"/>
      <c r="AL218" s="75" t="str">
        <f t="shared" ref="AL218:AM218" si="458">AL154</f>
        <v>モンチッチマスコット2</v>
      </c>
      <c r="AM218" s="76">
        <f t="shared" si="458"/>
        <v>605</v>
      </c>
      <c r="AN218" s="38">
        <f>SUM(AN154,AN158,AN162,AN165,AN170,AN174,AN178,AN182,AN186,AN190,AN194,AN198,AN202)</f>
        <v>12159</v>
      </c>
      <c r="AO218" s="36">
        <f>AN218/AF218</f>
        <v>0.25384133611691023</v>
      </c>
      <c r="AP218" s="15"/>
      <c r="AQ218" s="2"/>
      <c r="AR218" s="258" t="s">
        <v>28</v>
      </c>
      <c r="AS218" s="259"/>
      <c r="AT218" s="38">
        <f>SUM(AT154,AT158,AT162,AT166,AT170,AT174,AT178,AT182,AT186,AT190,AT194,AT198,AT202)*100</f>
        <v>156400</v>
      </c>
      <c r="AU218" s="54"/>
      <c r="AV218" s="13"/>
      <c r="AW218" s="5">
        <f>AT218/AX218</f>
        <v>4227.0270270270266</v>
      </c>
      <c r="AX218" s="38">
        <f>SUM(AX154,AX158,AX162,AX166,AX170,AX174,AX178,AX182,AX186,AX190,AX194,AX198,AX202)</f>
        <v>37</v>
      </c>
      <c r="AY218" s="13"/>
      <c r="AZ218" s="75" t="str">
        <f t="shared" ref="AZ218:BA218" si="459">AZ154</f>
        <v>ヤヤマスコット</v>
      </c>
      <c r="BA218" s="76">
        <f t="shared" si="459"/>
        <v>800</v>
      </c>
      <c r="BB218" s="38">
        <f>SUM(BB154,BB158,BB162,BB165,BB170,BB174,BB178,BB182,BB186,BB190,BB194,BB198,BB202)</f>
        <v>14400</v>
      </c>
      <c r="BC218" s="36">
        <f>BB218/AT218</f>
        <v>9.2071611253196933E-2</v>
      </c>
      <c r="BD218" s="15"/>
      <c r="BE218" s="2"/>
      <c r="BF218" s="258" t="s">
        <v>28</v>
      </c>
      <c r="BG218" s="261"/>
      <c r="BH218" s="259"/>
      <c r="BI218" s="38">
        <f>SUM(BI154,BI158,BI162,BI166,BI170,BI174,BI178,BI182,BI186,BI190,BI194,BI198,BI202)*100</f>
        <v>111200</v>
      </c>
      <c r="BJ218" s="54"/>
      <c r="BK218" s="13"/>
      <c r="BL218" s="5">
        <f>BI218/BM218</f>
        <v>6541.1764705882351</v>
      </c>
      <c r="BM218" s="38">
        <f>SUM(BM154,BM158,BM162,BM165,BM170,BM174,BM178,BM182,BM186,BM190,BM194,BM198,BM202)</f>
        <v>17</v>
      </c>
      <c r="BN218" s="13"/>
      <c r="BO218" s="78" t="str">
        <f t="shared" ref="BO218:BP218" si="460">BO154</f>
        <v>ボンボンドロップシール</v>
      </c>
      <c r="BP218" s="76">
        <f t="shared" si="460"/>
        <v>1500</v>
      </c>
      <c r="BQ218" s="38">
        <f>SUM(BQ154,BQ158,BQ162,BQ165,BQ170,BQ174,BQ178,BQ182,BQ186,BQ190,BQ194,BQ198,BQ202)</f>
        <v>24700</v>
      </c>
      <c r="BR218" s="36">
        <f>BQ218/BI218</f>
        <v>0.22212230215827339</v>
      </c>
      <c r="BS218" s="15"/>
      <c r="BU218" s="40"/>
      <c r="BV218" s="3"/>
      <c r="BW218" s="2"/>
      <c r="BX218" s="41"/>
      <c r="BY218" s="1"/>
      <c r="BZ218" s="3"/>
      <c r="CA218" s="1"/>
      <c r="CB218" s="23"/>
      <c r="CC218" s="23"/>
      <c r="CD218" s="23"/>
      <c r="CE218" s="23"/>
      <c r="CF218" s="23"/>
      <c r="CG218" s="18"/>
      <c r="CH218" s="1"/>
      <c r="CI218" s="40"/>
      <c r="CJ218" s="3"/>
      <c r="CK218" s="2"/>
      <c r="CL218" s="41"/>
      <c r="CM218" s="1"/>
      <c r="CN218" s="3"/>
      <c r="CO218" s="1"/>
      <c r="CP218" s="23"/>
      <c r="CQ218" s="23"/>
      <c r="CR218" s="23"/>
      <c r="CS218" s="23"/>
      <c r="CT218" s="23"/>
      <c r="CU218" s="18"/>
      <c r="CV218" s="1"/>
      <c r="CW218" s="40"/>
      <c r="CX218" s="3"/>
      <c r="CY218" s="2"/>
      <c r="CZ218" s="41"/>
      <c r="DA218" s="1"/>
      <c r="DB218" s="3"/>
      <c r="DC218" s="1"/>
      <c r="DD218" s="23"/>
      <c r="DE218" s="23"/>
      <c r="DF218" s="23"/>
      <c r="DG218" s="23"/>
      <c r="DH218" s="23"/>
      <c r="DI218" s="18"/>
      <c r="DJ218" s="1"/>
      <c r="DK218" s="40"/>
      <c r="DL218" s="3"/>
      <c r="DM218" s="2"/>
      <c r="DN218" s="41"/>
      <c r="DO218" s="1"/>
      <c r="DP218" s="3"/>
      <c r="DQ218" s="1"/>
      <c r="DR218" s="23"/>
      <c r="DS218" s="23"/>
      <c r="DT218" s="23"/>
      <c r="DU218" s="23"/>
      <c r="DV218" s="23"/>
      <c r="DW218" s="18"/>
    </row>
    <row r="219" spans="1:141" x14ac:dyDescent="0.2">
      <c r="A219" s="16"/>
      <c r="B219" s="11"/>
      <c r="C219" s="5" t="s">
        <v>19</v>
      </c>
      <c r="D219" s="13">
        <f>SUM(D215:D218)</f>
        <v>288900</v>
      </c>
      <c r="E219" s="13"/>
      <c r="F219" s="13"/>
      <c r="G219" s="13"/>
      <c r="H219" s="13">
        <f>SUM(H215:H218)</f>
        <v>208</v>
      </c>
      <c r="I219" s="13"/>
      <c r="J219" s="262" t="s">
        <v>31</v>
      </c>
      <c r="K219" s="259"/>
      <c r="L219" s="53">
        <f>SUM(L215:L218)</f>
        <v>47781</v>
      </c>
      <c r="M219" s="83">
        <f>L219/D219</f>
        <v>0.16538940809968847</v>
      </c>
      <c r="N219" s="84"/>
      <c r="O219" s="2"/>
      <c r="P219" s="16"/>
      <c r="Q219" s="5" t="s">
        <v>19</v>
      </c>
      <c r="R219" s="13">
        <f>SUM(R215:R218)</f>
        <v>558900</v>
      </c>
      <c r="S219" s="54"/>
      <c r="T219" s="13"/>
      <c r="U219" s="13"/>
      <c r="V219" s="13">
        <f>SUM(V215:V218)</f>
        <v>226</v>
      </c>
      <c r="W219" s="13"/>
      <c r="X219" s="262" t="s">
        <v>31</v>
      </c>
      <c r="Y219" s="259"/>
      <c r="Z219" s="53">
        <f>SUM(Z215:Z218)</f>
        <v>110300</v>
      </c>
      <c r="AA219" s="83">
        <f>Z219/R219</f>
        <v>0.19735194131329398</v>
      </c>
      <c r="AB219" s="84"/>
      <c r="AC219" s="1"/>
      <c r="AD219" s="16"/>
      <c r="AE219" s="5" t="s">
        <v>19</v>
      </c>
      <c r="AF219" s="13">
        <f>SUM(AF215:AF218)</f>
        <v>187200</v>
      </c>
      <c r="AG219" s="54"/>
      <c r="AH219" s="13"/>
      <c r="AI219" s="13"/>
      <c r="AJ219" s="13">
        <f>SUM(AJ215:AJ218)</f>
        <v>80</v>
      </c>
      <c r="AK219" s="13"/>
      <c r="AL219" s="262" t="s">
        <v>31</v>
      </c>
      <c r="AM219" s="259"/>
      <c r="AN219" s="53">
        <f>SUM(AN215:AN218)</f>
        <v>36504</v>
      </c>
      <c r="AO219" s="83">
        <f>AN219/AF219</f>
        <v>0.19500000000000001</v>
      </c>
      <c r="AP219" s="84"/>
      <c r="AQ219" s="2"/>
      <c r="AR219" s="16"/>
      <c r="AS219" s="5" t="s">
        <v>19</v>
      </c>
      <c r="AT219" s="13">
        <f>SUM(AT215:AT218)</f>
        <v>379200</v>
      </c>
      <c r="AU219" s="54"/>
      <c r="AV219" s="13"/>
      <c r="AW219" s="13"/>
      <c r="AX219" s="13">
        <f>SUM(AX215:AX218)</f>
        <v>90</v>
      </c>
      <c r="AY219" s="13"/>
      <c r="AZ219" s="262" t="s">
        <v>31</v>
      </c>
      <c r="BA219" s="259"/>
      <c r="BB219" s="53">
        <f>SUM(BB215:BB218)</f>
        <v>80640</v>
      </c>
      <c r="BC219" s="83">
        <f>BB219/AT219</f>
        <v>0.21265822784810126</v>
      </c>
      <c r="BD219" s="84"/>
      <c r="BE219" s="2"/>
      <c r="BF219" s="16"/>
      <c r="BG219" s="7"/>
      <c r="BH219" s="5" t="s">
        <v>19</v>
      </c>
      <c r="BI219" s="13">
        <f>SUM(BI215:BI218)</f>
        <v>629100</v>
      </c>
      <c r="BJ219" s="54"/>
      <c r="BK219" s="13"/>
      <c r="BL219" s="13"/>
      <c r="BM219" s="13">
        <f>SUM(BM215:BM218)</f>
        <v>72</v>
      </c>
      <c r="BN219" s="13"/>
      <c r="BO219" s="262" t="s">
        <v>31</v>
      </c>
      <c r="BP219" s="259"/>
      <c r="BQ219" s="53">
        <f>SUM(BQ215:BQ218)</f>
        <v>96900</v>
      </c>
      <c r="BR219" s="83">
        <f>BQ219/BI219</f>
        <v>0.15402956604673343</v>
      </c>
      <c r="BS219" s="84"/>
      <c r="BU219" s="42"/>
      <c r="BV219" s="256"/>
      <c r="BW219" s="256"/>
      <c r="BX219" s="41"/>
      <c r="BY219" s="1"/>
      <c r="BZ219" s="3"/>
      <c r="CA219" s="1"/>
      <c r="CB219" s="23"/>
      <c r="CC219" s="23"/>
      <c r="CD219" s="23"/>
      <c r="CE219" s="23"/>
      <c r="CF219" s="23"/>
      <c r="CG219" s="18"/>
      <c r="CH219" s="1"/>
      <c r="CI219" s="42"/>
      <c r="CJ219" s="256"/>
      <c r="CK219" s="256"/>
      <c r="CL219" s="41"/>
      <c r="CM219" s="1"/>
      <c r="CN219" s="3"/>
      <c r="CO219" s="1"/>
      <c r="CP219" s="23"/>
      <c r="CQ219" s="23"/>
      <c r="CR219" s="23"/>
      <c r="CS219" s="23"/>
      <c r="CT219" s="23"/>
      <c r="CU219" s="18"/>
      <c r="CV219" s="1"/>
      <c r="CW219" s="42"/>
      <c r="CX219" s="256"/>
      <c r="CY219" s="256"/>
      <c r="CZ219" s="41"/>
      <c r="DA219" s="1"/>
      <c r="DB219" s="3"/>
      <c r="DC219" s="1"/>
      <c r="DD219" s="23"/>
      <c r="DE219" s="23"/>
      <c r="DF219" s="23"/>
      <c r="DG219" s="23"/>
      <c r="DH219" s="23"/>
      <c r="DI219" s="18"/>
      <c r="DJ219" s="1"/>
      <c r="DK219" s="42"/>
      <c r="DL219" s="256"/>
      <c r="DM219" s="256"/>
      <c r="DN219" s="41"/>
      <c r="DO219" s="1"/>
      <c r="DP219" s="3"/>
      <c r="DQ219" s="1"/>
      <c r="DR219" s="23"/>
      <c r="DS219" s="23"/>
      <c r="DT219" s="23"/>
      <c r="DU219" s="23"/>
      <c r="DV219" s="23"/>
      <c r="DW219" s="18"/>
    </row>
    <row r="220" spans="1:141" x14ac:dyDescent="0.2">
      <c r="A220" s="85"/>
      <c r="B220" s="101"/>
      <c r="C220" s="35"/>
      <c r="D220" s="54"/>
      <c r="E220" s="24"/>
      <c r="F220" s="54"/>
      <c r="G220" s="5"/>
      <c r="H220" s="13"/>
      <c r="I220" s="24"/>
      <c r="J220" s="99"/>
      <c r="K220" s="100"/>
      <c r="L220" s="76"/>
      <c r="M220" s="14"/>
      <c r="N220" s="15"/>
      <c r="O220" s="2"/>
      <c r="P220" s="79"/>
      <c r="Q220" s="5"/>
      <c r="R220" s="13"/>
      <c r="S220" s="13"/>
      <c r="T220" s="13"/>
      <c r="U220" s="5"/>
      <c r="V220" s="13"/>
      <c r="W220" s="24"/>
      <c r="X220" s="99"/>
      <c r="Y220" s="100"/>
      <c r="Z220" s="76"/>
      <c r="AA220" s="14"/>
      <c r="AB220" s="15"/>
      <c r="AD220" s="79"/>
      <c r="AE220" s="5"/>
      <c r="AF220" s="13"/>
      <c r="AG220" s="13"/>
      <c r="AH220" s="13"/>
      <c r="AI220" s="5"/>
      <c r="AJ220" s="13"/>
      <c r="AK220" s="24"/>
      <c r="AL220" s="99"/>
      <c r="AM220" s="100"/>
      <c r="AN220" s="76"/>
      <c r="AO220" s="14"/>
      <c r="AP220" s="15"/>
      <c r="AQ220" s="2"/>
      <c r="AR220" s="79"/>
      <c r="AS220" s="5"/>
      <c r="AT220" s="13"/>
      <c r="AU220" s="13"/>
      <c r="AV220" s="13"/>
      <c r="AW220" s="5"/>
      <c r="AX220" s="13"/>
      <c r="AY220" s="24"/>
      <c r="AZ220" s="118"/>
      <c r="BA220" s="100"/>
      <c r="BB220" s="76"/>
      <c r="BC220" s="14"/>
      <c r="BD220" s="15"/>
      <c r="BE220" s="2"/>
      <c r="BF220" s="79"/>
      <c r="BG220" s="240"/>
      <c r="BH220" s="5"/>
      <c r="BI220" s="13"/>
      <c r="BJ220" s="13"/>
      <c r="BK220" s="13"/>
      <c r="BL220" s="5"/>
      <c r="BM220" s="13"/>
      <c r="BN220" s="24"/>
      <c r="BO220" s="99"/>
      <c r="BP220" s="100"/>
      <c r="BQ220" s="76"/>
      <c r="BR220" s="14"/>
      <c r="BS220" s="15"/>
      <c r="BU220" s="42"/>
      <c r="BV220" s="3"/>
      <c r="BX220" s="41"/>
      <c r="BY220" s="1"/>
      <c r="BZ220" s="3"/>
      <c r="CA220" s="1"/>
      <c r="CB220" s="23"/>
      <c r="CC220" s="23"/>
      <c r="CD220" s="23"/>
      <c r="CE220" s="23"/>
      <c r="CF220" s="23"/>
      <c r="CG220" s="18"/>
      <c r="CH220" s="1"/>
      <c r="CI220" s="42"/>
      <c r="CJ220" s="3"/>
      <c r="CL220" s="41"/>
      <c r="CM220" s="1"/>
      <c r="CN220" s="3"/>
      <c r="CO220" s="1"/>
      <c r="CP220" s="23"/>
      <c r="CQ220" s="23"/>
      <c r="CR220" s="23"/>
      <c r="CS220" s="23"/>
      <c r="CT220" s="23"/>
      <c r="CU220" s="18"/>
      <c r="CV220" s="1"/>
      <c r="CW220" s="42"/>
      <c r="CX220" s="3"/>
      <c r="CZ220" s="41"/>
      <c r="DA220" s="1"/>
      <c r="DB220" s="3"/>
      <c r="DC220" s="1"/>
      <c r="DD220" s="23"/>
      <c r="DE220" s="23"/>
      <c r="DF220" s="23"/>
      <c r="DG220" s="23"/>
      <c r="DH220" s="23"/>
      <c r="DI220" s="18"/>
      <c r="DJ220" s="1"/>
      <c r="DK220" s="42"/>
      <c r="DL220" s="3"/>
      <c r="DN220" s="41"/>
      <c r="DO220" s="1"/>
      <c r="DP220" s="3"/>
      <c r="DQ220" s="1"/>
      <c r="DR220" s="23"/>
      <c r="DS220" s="23"/>
      <c r="DT220" s="23"/>
      <c r="DU220" s="23"/>
      <c r="DV220" s="23"/>
      <c r="DW220" s="18"/>
    </row>
    <row r="221" spans="1:141" x14ac:dyDescent="0.2">
      <c r="A221" s="257"/>
      <c r="B221" s="257"/>
      <c r="C221" s="257"/>
      <c r="D221" s="257"/>
      <c r="E221" s="257"/>
      <c r="F221" s="257"/>
      <c r="BU221" s="40"/>
      <c r="BV221" s="256"/>
      <c r="BW221" s="256"/>
      <c r="BX221" s="41"/>
      <c r="BY221" s="1"/>
      <c r="BZ221" s="3"/>
      <c r="CA221" s="1"/>
      <c r="CB221" s="23"/>
      <c r="CC221" s="23"/>
      <c r="CD221" s="23"/>
      <c r="CE221" s="23"/>
      <c r="CF221" s="23"/>
      <c r="CG221" s="18"/>
      <c r="CH221" s="1"/>
      <c r="CI221" s="40"/>
      <c r="CJ221" s="256"/>
      <c r="CK221" s="256"/>
      <c r="CL221" s="41"/>
      <c r="CM221" s="1"/>
      <c r="CN221" s="3"/>
      <c r="CO221" s="1"/>
      <c r="CP221" s="23"/>
      <c r="CQ221" s="23"/>
      <c r="CR221" s="23"/>
      <c r="CS221" s="23"/>
      <c r="CT221" s="23"/>
      <c r="CU221" s="18"/>
      <c r="CV221" s="1"/>
      <c r="CW221" s="40"/>
      <c r="CX221" s="256"/>
      <c r="CY221" s="256"/>
      <c r="CZ221" s="41"/>
      <c r="DA221" s="1"/>
      <c r="DB221" s="3"/>
      <c r="DC221" s="1"/>
      <c r="DD221" s="23"/>
      <c r="DE221" s="23"/>
      <c r="DF221" s="23"/>
      <c r="DG221" s="23"/>
      <c r="DH221" s="23"/>
      <c r="DI221" s="18"/>
      <c r="DJ221" s="1"/>
      <c r="DK221" s="40"/>
      <c r="DL221" s="256"/>
      <c r="DM221" s="256"/>
      <c r="DN221" s="41"/>
      <c r="DO221" s="1"/>
      <c r="DP221" s="3"/>
      <c r="DQ221" s="1"/>
      <c r="DR221" s="23"/>
      <c r="DS221" s="23"/>
      <c r="DT221" s="23"/>
      <c r="DU221" s="23"/>
      <c r="DV221" s="23"/>
      <c r="DW221" s="18"/>
    </row>
    <row r="222" spans="1:141" ht="15" customHeight="1" x14ac:dyDescent="0.2">
      <c r="A222" s="257"/>
      <c r="B222" s="257"/>
      <c r="J222"/>
      <c r="BU222" s="40"/>
      <c r="BV222" s="3"/>
      <c r="BX222" s="41"/>
      <c r="BY222" s="1"/>
      <c r="BZ222" s="3"/>
      <c r="CA222" s="1"/>
      <c r="CB222" s="23"/>
      <c r="CC222" s="23"/>
      <c r="CD222" s="23"/>
      <c r="CE222" s="23"/>
      <c r="CF222" s="23"/>
      <c r="CG222" s="18"/>
      <c r="CH222" s="1"/>
      <c r="CI222" s="40"/>
      <c r="CJ222" s="3"/>
      <c r="CL222" s="41"/>
      <c r="CM222" s="1"/>
      <c r="CN222" s="3"/>
      <c r="CO222" s="1"/>
      <c r="CP222" s="23"/>
      <c r="CQ222" s="23"/>
      <c r="CR222" s="23"/>
      <c r="CS222" s="23"/>
      <c r="CT222" s="23"/>
      <c r="CU222" s="18"/>
      <c r="CV222" s="1"/>
      <c r="CW222" s="40"/>
      <c r="CX222" s="3"/>
      <c r="CZ222" s="41"/>
      <c r="DA222" s="1"/>
      <c r="DB222" s="3"/>
      <c r="DC222" s="1"/>
      <c r="DD222" s="23"/>
      <c r="DE222" s="23"/>
      <c r="DF222" s="23"/>
      <c r="DG222" s="23"/>
      <c r="DH222" s="23"/>
      <c r="DI222" s="18"/>
      <c r="DJ222" s="1"/>
      <c r="DK222" s="40"/>
      <c r="DL222" s="3"/>
      <c r="DN222" s="41"/>
      <c r="DO222" s="1"/>
      <c r="DP222" s="3"/>
      <c r="DQ222" s="1"/>
      <c r="DR222" s="23"/>
      <c r="DS222" s="23"/>
      <c r="DT222" s="23"/>
      <c r="DU222" s="23"/>
      <c r="DV222" s="23"/>
      <c r="DW222" s="18"/>
    </row>
    <row r="223" spans="1:141" x14ac:dyDescent="0.2">
      <c r="A223" s="276" t="s">
        <v>42</v>
      </c>
      <c r="B223" s="276"/>
      <c r="C223" s="276"/>
      <c r="D223" s="276"/>
      <c r="E223" s="70" t="s">
        <v>56</v>
      </c>
      <c r="F223" s="70"/>
      <c r="G223" s="70"/>
      <c r="H223" s="70"/>
      <c r="I223" s="70"/>
      <c r="J223" s="71"/>
      <c r="K223" s="70"/>
      <c r="L223" s="70"/>
      <c r="M223" s="70"/>
      <c r="N223" s="72"/>
      <c r="O223" s="2"/>
      <c r="P223" s="276" t="s">
        <v>43</v>
      </c>
      <c r="Q223" s="276"/>
      <c r="R223" s="276"/>
      <c r="S223" s="70" t="s">
        <v>55</v>
      </c>
      <c r="T223" s="70"/>
      <c r="U223" s="70"/>
      <c r="V223" s="70"/>
      <c r="W223" s="70"/>
      <c r="X223" s="73"/>
      <c r="Y223" s="70"/>
      <c r="Z223" s="70"/>
      <c r="AA223" s="70"/>
      <c r="AB223" s="72"/>
      <c r="AC223" s="1"/>
      <c r="AD223" s="276" t="s">
        <v>54</v>
      </c>
      <c r="AE223" s="276"/>
      <c r="AF223" s="276"/>
      <c r="AG223" s="70" t="s">
        <v>52</v>
      </c>
      <c r="AH223" s="70"/>
      <c r="AI223" s="70"/>
      <c r="AJ223" s="70"/>
      <c r="AK223" s="70"/>
      <c r="AL223" s="71"/>
      <c r="AM223" s="70"/>
      <c r="AN223" s="70"/>
      <c r="AO223" s="70"/>
      <c r="AP223" s="72"/>
      <c r="AQ223" s="2"/>
      <c r="AR223" s="276" t="s">
        <v>54</v>
      </c>
      <c r="AS223" s="276"/>
      <c r="AT223" s="276"/>
      <c r="AU223" s="70" t="s">
        <v>53</v>
      </c>
      <c r="AV223" s="70"/>
      <c r="AW223" s="70"/>
      <c r="AX223" s="70"/>
      <c r="AY223" s="70"/>
      <c r="AZ223" s="71"/>
      <c r="BA223" s="70"/>
      <c r="BB223" s="70"/>
      <c r="BC223" s="70"/>
      <c r="BD223" s="72"/>
      <c r="BE223" s="2"/>
      <c r="BF223" s="276" t="s">
        <v>43</v>
      </c>
      <c r="BG223" s="276"/>
      <c r="BH223" s="276"/>
      <c r="BI223" s="276"/>
      <c r="BJ223" s="276" t="s">
        <v>481</v>
      </c>
      <c r="BK223" s="276"/>
      <c r="BL223" s="276"/>
      <c r="BM223" s="70"/>
      <c r="BN223" s="70"/>
      <c r="BO223" s="73"/>
      <c r="BP223" s="70"/>
      <c r="BQ223" s="70"/>
      <c r="BR223" s="70"/>
      <c r="BS223" s="72"/>
      <c r="BU223" s="124"/>
      <c r="BV223" s="277" t="s">
        <v>137</v>
      </c>
      <c r="BW223" s="278"/>
      <c r="BX223" s="278"/>
      <c r="BY223" s="278"/>
      <c r="BZ223" s="125"/>
      <c r="CA223" s="125"/>
      <c r="CB223" s="125"/>
      <c r="CC223" s="125"/>
      <c r="CD223" s="125"/>
      <c r="CE223" s="125"/>
      <c r="CF223" s="125"/>
      <c r="CG223" s="125"/>
      <c r="CH223" s="125"/>
      <c r="CI223" s="124"/>
      <c r="CJ223" s="277" t="s">
        <v>138</v>
      </c>
      <c r="CK223" s="278"/>
      <c r="CL223" s="278"/>
      <c r="CM223" s="278"/>
      <c r="CN223" s="125"/>
      <c r="CO223" s="125"/>
      <c r="CP223" s="125"/>
      <c r="CQ223" s="125"/>
      <c r="CR223" s="125"/>
      <c r="CS223" s="125"/>
      <c r="CT223" s="125"/>
      <c r="CU223" s="125"/>
      <c r="CV223" s="125"/>
      <c r="CW223" s="124"/>
      <c r="CX223" s="277" t="s">
        <v>139</v>
      </c>
      <c r="CY223" s="278"/>
      <c r="CZ223" s="278"/>
      <c r="DA223" s="278"/>
      <c r="DB223" s="125"/>
      <c r="DC223" s="125"/>
      <c r="DD223" s="125"/>
      <c r="DE223" s="125"/>
      <c r="DF223" s="125"/>
      <c r="DG223" s="125"/>
      <c r="DH223" s="125"/>
      <c r="DI223" s="125"/>
      <c r="DJ223" s="125"/>
      <c r="DK223" s="124"/>
      <c r="DL223" s="277" t="s">
        <v>140</v>
      </c>
      <c r="DM223" s="278"/>
      <c r="DN223" s="278"/>
      <c r="DO223" s="278"/>
      <c r="DP223" s="125"/>
      <c r="DQ223" s="125"/>
      <c r="DR223" s="125"/>
      <c r="DS223" s="125"/>
      <c r="DT223" s="125"/>
      <c r="DU223" s="125"/>
      <c r="DV223" s="125"/>
      <c r="DW223" s="125"/>
      <c r="DY223" s="124"/>
      <c r="DZ223" s="277" t="s">
        <v>465</v>
      </c>
      <c r="EA223" s="278"/>
      <c r="EB223" s="278"/>
      <c r="EC223" s="278"/>
      <c r="ED223" s="125"/>
      <c r="EE223" s="125"/>
      <c r="EF223" s="125"/>
      <c r="EG223" s="125"/>
      <c r="EH223" s="125"/>
      <c r="EI223" s="125"/>
      <c r="EJ223" s="125"/>
      <c r="EK223" s="125"/>
    </row>
    <row r="224" spans="1:141" x14ac:dyDescent="0.2">
      <c r="A224" s="7" t="s">
        <v>1</v>
      </c>
      <c r="B224" s="4" t="s">
        <v>19</v>
      </c>
      <c r="C224" s="5" t="s">
        <v>2</v>
      </c>
      <c r="D224" s="5" t="s">
        <v>3</v>
      </c>
      <c r="E224" s="6" t="s">
        <v>4</v>
      </c>
      <c r="F224" s="5" t="s">
        <v>3</v>
      </c>
      <c r="G224" s="5" t="s">
        <v>5</v>
      </c>
      <c r="H224" s="5" t="s">
        <v>6</v>
      </c>
      <c r="I224" s="5" t="s">
        <v>7</v>
      </c>
      <c r="J224" s="55" t="s">
        <v>12</v>
      </c>
      <c r="K224" s="5" t="s">
        <v>8</v>
      </c>
      <c r="L224" s="5" t="s">
        <v>6</v>
      </c>
      <c r="M224" s="5" t="s">
        <v>13</v>
      </c>
      <c r="N224" s="5" t="s">
        <v>11</v>
      </c>
      <c r="O224" s="2"/>
      <c r="P224" s="7" t="s">
        <v>1</v>
      </c>
      <c r="Q224" s="5" t="s">
        <v>2</v>
      </c>
      <c r="R224" s="5" t="s">
        <v>3</v>
      </c>
      <c r="S224" s="6" t="s">
        <v>4</v>
      </c>
      <c r="T224" s="5" t="s">
        <v>3</v>
      </c>
      <c r="U224" s="5" t="s">
        <v>5</v>
      </c>
      <c r="V224" s="5" t="s">
        <v>6</v>
      </c>
      <c r="W224" s="5" t="s">
        <v>7</v>
      </c>
      <c r="X224" s="6" t="s">
        <v>12</v>
      </c>
      <c r="Y224" s="5" t="s">
        <v>8</v>
      </c>
      <c r="Z224" s="5" t="s">
        <v>6</v>
      </c>
      <c r="AA224" s="5" t="s">
        <v>13</v>
      </c>
      <c r="AB224" s="5" t="s">
        <v>11</v>
      </c>
      <c r="AC224" s="3"/>
      <c r="AD224" s="7" t="s">
        <v>1</v>
      </c>
      <c r="AE224" s="5" t="s">
        <v>2</v>
      </c>
      <c r="AF224" s="5" t="s">
        <v>3</v>
      </c>
      <c r="AG224" s="6" t="s">
        <v>4</v>
      </c>
      <c r="AH224" s="5" t="s">
        <v>3</v>
      </c>
      <c r="AI224" s="5" t="s">
        <v>5</v>
      </c>
      <c r="AJ224" s="5" t="s">
        <v>6</v>
      </c>
      <c r="AK224" s="5" t="s">
        <v>7</v>
      </c>
      <c r="AL224" s="55" t="s">
        <v>12</v>
      </c>
      <c r="AM224" s="5" t="s">
        <v>8</v>
      </c>
      <c r="AN224" s="5" t="s">
        <v>6</v>
      </c>
      <c r="AO224" s="5" t="s">
        <v>13</v>
      </c>
      <c r="AP224" s="5" t="s">
        <v>11</v>
      </c>
      <c r="AQ224" s="2"/>
      <c r="AR224" s="7" t="s">
        <v>1</v>
      </c>
      <c r="AS224" s="5" t="s">
        <v>2</v>
      </c>
      <c r="AT224" s="5" t="s">
        <v>3</v>
      </c>
      <c r="AU224" s="6" t="s">
        <v>4</v>
      </c>
      <c r="AV224" s="5" t="s">
        <v>3</v>
      </c>
      <c r="AW224" s="5" t="s">
        <v>5</v>
      </c>
      <c r="AX224" s="5" t="s">
        <v>6</v>
      </c>
      <c r="AY224" s="5" t="s">
        <v>7</v>
      </c>
      <c r="AZ224" s="55" t="s">
        <v>12</v>
      </c>
      <c r="BA224" s="5" t="s">
        <v>8</v>
      </c>
      <c r="BB224" s="5" t="s">
        <v>6</v>
      </c>
      <c r="BC224" s="5" t="s">
        <v>13</v>
      </c>
      <c r="BD224" s="5" t="s">
        <v>11</v>
      </c>
      <c r="BE224" s="2"/>
      <c r="BF224" s="7" t="s">
        <v>1</v>
      </c>
      <c r="BG224" s="7"/>
      <c r="BH224" s="5" t="s">
        <v>2</v>
      </c>
      <c r="BI224" s="5" t="s">
        <v>3</v>
      </c>
      <c r="BJ224" s="6" t="s">
        <v>4</v>
      </c>
      <c r="BK224" s="5" t="s">
        <v>3</v>
      </c>
      <c r="BL224" s="5" t="s">
        <v>5</v>
      </c>
      <c r="BM224" s="5" t="s">
        <v>6</v>
      </c>
      <c r="BN224" s="5" t="s">
        <v>7</v>
      </c>
      <c r="BO224" s="6" t="s">
        <v>12</v>
      </c>
      <c r="BP224" s="5" t="s">
        <v>8</v>
      </c>
      <c r="BQ224" s="5" t="s">
        <v>6</v>
      </c>
      <c r="BR224" s="5" t="s">
        <v>13</v>
      </c>
      <c r="BS224" s="5" t="s">
        <v>11</v>
      </c>
      <c r="BU224" s="8" t="s">
        <v>1</v>
      </c>
      <c r="BV224" s="5" t="s">
        <v>2</v>
      </c>
      <c r="BW224" s="5" t="s">
        <v>3</v>
      </c>
      <c r="BX224" s="6" t="s">
        <v>4</v>
      </c>
      <c r="BY224" s="5" t="s">
        <v>3</v>
      </c>
      <c r="BZ224" s="5" t="s">
        <v>5</v>
      </c>
      <c r="CA224" s="5" t="s">
        <v>6</v>
      </c>
      <c r="CB224" s="5" t="s">
        <v>7</v>
      </c>
      <c r="CC224" s="5"/>
      <c r="CD224" s="5" t="s">
        <v>8</v>
      </c>
      <c r="CE224" s="5" t="s">
        <v>9</v>
      </c>
      <c r="CF224" s="5" t="s">
        <v>10</v>
      </c>
      <c r="CG224" s="5" t="s">
        <v>11</v>
      </c>
      <c r="CH224" s="63"/>
      <c r="CI224" s="8" t="s">
        <v>1</v>
      </c>
      <c r="CJ224" s="5" t="s">
        <v>2</v>
      </c>
      <c r="CK224" s="5" t="s">
        <v>3</v>
      </c>
      <c r="CL224" s="6" t="s">
        <v>4</v>
      </c>
      <c r="CM224" s="5" t="s">
        <v>3</v>
      </c>
      <c r="CN224" s="5" t="s">
        <v>5</v>
      </c>
      <c r="CO224" s="5" t="s">
        <v>6</v>
      </c>
      <c r="CP224" s="5" t="s">
        <v>7</v>
      </c>
      <c r="CQ224" s="5"/>
      <c r="CR224" s="5" t="s">
        <v>8</v>
      </c>
      <c r="CS224" s="5" t="s">
        <v>9</v>
      </c>
      <c r="CT224" s="5" t="s">
        <v>10</v>
      </c>
      <c r="CU224" s="5" t="s">
        <v>11</v>
      </c>
      <c r="CV224" s="1"/>
      <c r="CW224" s="8" t="s">
        <v>1</v>
      </c>
      <c r="CX224" s="5" t="s">
        <v>2</v>
      </c>
      <c r="CY224" s="5" t="s">
        <v>3</v>
      </c>
      <c r="CZ224" s="6" t="s">
        <v>4</v>
      </c>
      <c r="DA224" s="5" t="s">
        <v>3</v>
      </c>
      <c r="DB224" s="5" t="s">
        <v>5</v>
      </c>
      <c r="DC224" s="5" t="s">
        <v>6</v>
      </c>
      <c r="DD224" s="5" t="s">
        <v>7</v>
      </c>
      <c r="DE224" s="5"/>
      <c r="DF224" s="5" t="s">
        <v>8</v>
      </c>
      <c r="DG224" s="5" t="s">
        <v>9</v>
      </c>
      <c r="DH224" s="5" t="s">
        <v>10</v>
      </c>
      <c r="DI224" s="5" t="s">
        <v>11</v>
      </c>
      <c r="DJ224" s="63"/>
      <c r="DK224" s="8" t="s">
        <v>1</v>
      </c>
      <c r="DL224" s="5" t="s">
        <v>2</v>
      </c>
      <c r="DM224" s="5" t="s">
        <v>3</v>
      </c>
      <c r="DN224" s="6" t="s">
        <v>4</v>
      </c>
      <c r="DO224" s="5" t="s">
        <v>3</v>
      </c>
      <c r="DP224" s="5" t="s">
        <v>5</v>
      </c>
      <c r="DQ224" s="5" t="s">
        <v>6</v>
      </c>
      <c r="DR224" s="5" t="s">
        <v>7</v>
      </c>
      <c r="DS224" s="5"/>
      <c r="DT224" s="5" t="s">
        <v>8</v>
      </c>
      <c r="DU224" s="5" t="s">
        <v>9</v>
      </c>
      <c r="DV224" s="5" t="s">
        <v>10</v>
      </c>
      <c r="DW224" s="5" t="s">
        <v>11</v>
      </c>
      <c r="DY224" s="8" t="s">
        <v>1</v>
      </c>
      <c r="DZ224" s="5" t="s">
        <v>2</v>
      </c>
      <c r="EA224" s="5" t="s">
        <v>3</v>
      </c>
      <c r="EB224" s="6" t="s">
        <v>4</v>
      </c>
      <c r="EC224" s="5" t="s">
        <v>3</v>
      </c>
      <c r="ED224" s="5" t="s">
        <v>5</v>
      </c>
      <c r="EE224" s="5" t="s">
        <v>6</v>
      </c>
      <c r="EF224" s="5" t="s">
        <v>7</v>
      </c>
      <c r="EG224" s="5"/>
      <c r="EH224" s="5" t="s">
        <v>8</v>
      </c>
      <c r="EI224" s="5" t="s">
        <v>9</v>
      </c>
      <c r="EJ224" s="5" t="s">
        <v>10</v>
      </c>
      <c r="EK224" s="5" t="s">
        <v>11</v>
      </c>
    </row>
    <row r="225" spans="1:142" x14ac:dyDescent="0.2">
      <c r="A225" s="16">
        <v>46065</v>
      </c>
      <c r="B225" s="74">
        <v>2757</v>
      </c>
      <c r="C225" s="53">
        <v>6254</v>
      </c>
      <c r="D225" s="53">
        <v>50</v>
      </c>
      <c r="E225" s="53">
        <v>362</v>
      </c>
      <c r="F225" s="53">
        <v>3</v>
      </c>
      <c r="G225" s="53">
        <v>16</v>
      </c>
      <c r="H225" s="53">
        <v>2</v>
      </c>
      <c r="I225" s="53">
        <v>0</v>
      </c>
      <c r="J225" s="75" t="s">
        <v>411</v>
      </c>
      <c r="K225" s="76">
        <v>748</v>
      </c>
      <c r="L225" s="53">
        <v>1496</v>
      </c>
      <c r="M225" s="77">
        <v>0.29920000000000002</v>
      </c>
      <c r="N225" s="15"/>
      <c r="O225" s="2"/>
      <c r="P225" s="16">
        <v>46065</v>
      </c>
      <c r="Q225" s="53">
        <v>6813</v>
      </c>
      <c r="R225" s="53">
        <v>82</v>
      </c>
      <c r="S225" s="53">
        <v>224</v>
      </c>
      <c r="T225" s="53">
        <v>3</v>
      </c>
      <c r="U225" s="53">
        <v>11</v>
      </c>
      <c r="V225" s="53">
        <v>2</v>
      </c>
      <c r="W225" s="53">
        <v>0</v>
      </c>
      <c r="X225" s="75" t="s">
        <v>412</v>
      </c>
      <c r="Y225" s="76">
        <v>1100</v>
      </c>
      <c r="Z225" s="53">
        <v>2200</v>
      </c>
      <c r="AA225" s="77">
        <v>0.26829268292682928</v>
      </c>
      <c r="AB225" s="15"/>
      <c r="AC225" s="1"/>
      <c r="AD225" s="16">
        <v>46065</v>
      </c>
      <c r="AE225" s="53">
        <v>10907</v>
      </c>
      <c r="AF225" s="53">
        <v>22</v>
      </c>
      <c r="AG225" s="53">
        <v>247</v>
      </c>
      <c r="AH225" s="53">
        <v>0</v>
      </c>
      <c r="AI225" s="53">
        <v>19</v>
      </c>
      <c r="AJ225" s="53">
        <v>0</v>
      </c>
      <c r="AK225" s="53">
        <v>0</v>
      </c>
      <c r="AL225" s="75" t="s">
        <v>384</v>
      </c>
      <c r="AM225" s="76">
        <v>545</v>
      </c>
      <c r="AN225" s="53">
        <v>0</v>
      </c>
      <c r="AO225" s="77">
        <v>0</v>
      </c>
      <c r="AP225" s="15"/>
      <c r="AQ225" s="2"/>
      <c r="AR225" s="16">
        <v>46065</v>
      </c>
      <c r="AS225" s="53">
        <v>11751</v>
      </c>
      <c r="AT225" s="53">
        <v>43</v>
      </c>
      <c r="AU225" s="53">
        <v>372</v>
      </c>
      <c r="AV225" s="53">
        <v>1</v>
      </c>
      <c r="AW225" s="53">
        <v>17</v>
      </c>
      <c r="AX225" s="53">
        <v>1</v>
      </c>
      <c r="AY225" s="53">
        <v>0</v>
      </c>
      <c r="AZ225" s="75" t="s">
        <v>363</v>
      </c>
      <c r="BA225" s="76">
        <v>924</v>
      </c>
      <c r="BB225" s="53">
        <v>924</v>
      </c>
      <c r="BC225" s="77">
        <v>0.21488372093023256</v>
      </c>
      <c r="BD225" s="15"/>
      <c r="BE225" s="2"/>
      <c r="BF225" s="16">
        <v>46065</v>
      </c>
      <c r="BG225" s="240"/>
      <c r="BH225" s="53"/>
      <c r="BI225" s="53"/>
      <c r="BJ225" s="53"/>
      <c r="BK225" s="53"/>
      <c r="BL225" s="53"/>
      <c r="BM225" s="53"/>
      <c r="BN225" s="53"/>
      <c r="BO225" s="75"/>
      <c r="BP225" s="76"/>
      <c r="BQ225" s="53"/>
      <c r="BR225" s="77"/>
      <c r="BS225" s="15"/>
      <c r="BU225" s="16">
        <v>46065</v>
      </c>
      <c r="BV225" s="76">
        <v>15238</v>
      </c>
      <c r="BW225" s="53">
        <v>121</v>
      </c>
      <c r="BX225" s="53">
        <v>353</v>
      </c>
      <c r="BY225" s="53">
        <v>1</v>
      </c>
      <c r="BZ225" s="53">
        <v>34</v>
      </c>
      <c r="CA225" s="53">
        <v>1</v>
      </c>
      <c r="CB225" s="53">
        <v>0</v>
      </c>
      <c r="CC225" s="53"/>
      <c r="CD225" s="53">
        <v>688</v>
      </c>
      <c r="CE225" s="13">
        <v>688</v>
      </c>
      <c r="CF225" s="14">
        <v>5.6859504132231405E-2</v>
      </c>
      <c r="CG225" s="91" t="s">
        <v>429</v>
      </c>
      <c r="CH225" s="1"/>
      <c r="CI225" s="16">
        <v>46065</v>
      </c>
      <c r="CJ225" s="76">
        <v>25423</v>
      </c>
      <c r="CK225" s="53">
        <v>1317</v>
      </c>
      <c r="CL225" s="53">
        <v>367</v>
      </c>
      <c r="CM225" s="53">
        <v>9</v>
      </c>
      <c r="CN225" s="53">
        <v>14</v>
      </c>
      <c r="CO225" s="53">
        <v>11</v>
      </c>
      <c r="CP225" s="53">
        <v>16</v>
      </c>
      <c r="CQ225" s="53"/>
      <c r="CR225" s="13">
        <v>1500</v>
      </c>
      <c r="CS225" s="13">
        <v>16500</v>
      </c>
      <c r="CT225" s="14">
        <v>0.12528473804100229</v>
      </c>
      <c r="CU225" s="67" t="s">
        <v>470</v>
      </c>
      <c r="CV225" s="1"/>
      <c r="CW225" s="16">
        <v>46065</v>
      </c>
      <c r="CX225" s="76">
        <v>13319</v>
      </c>
      <c r="CY225" s="53">
        <v>75</v>
      </c>
      <c r="CZ225" s="53">
        <v>254</v>
      </c>
      <c r="DA225" s="53">
        <v>2</v>
      </c>
      <c r="DB225" s="53">
        <v>50</v>
      </c>
      <c r="DC225" s="53">
        <v>2</v>
      </c>
      <c r="DD225" s="53">
        <v>0</v>
      </c>
      <c r="DE225" s="53"/>
      <c r="DF225" s="53">
        <v>880</v>
      </c>
      <c r="DG225" s="13">
        <v>1760</v>
      </c>
      <c r="DH225" s="14">
        <v>0.23466666666666666</v>
      </c>
      <c r="DI225" s="15" t="s">
        <v>334</v>
      </c>
      <c r="DJ225" s="1"/>
      <c r="DK225" s="16">
        <v>46065</v>
      </c>
      <c r="DL225" s="76">
        <v>10066</v>
      </c>
      <c r="DM225" s="53">
        <v>94</v>
      </c>
      <c r="DN225" s="53">
        <v>286</v>
      </c>
      <c r="DO225" s="53">
        <v>2</v>
      </c>
      <c r="DP225" s="53">
        <v>35</v>
      </c>
      <c r="DQ225" s="53">
        <v>2</v>
      </c>
      <c r="DR225" s="53">
        <v>0</v>
      </c>
      <c r="DS225" s="53"/>
      <c r="DT225" s="13">
        <v>1100</v>
      </c>
      <c r="DU225" s="13">
        <v>2200</v>
      </c>
      <c r="DV225" s="14">
        <v>0.23404255319148937</v>
      </c>
      <c r="DW225" s="22" t="s">
        <v>66</v>
      </c>
      <c r="DY225" s="16">
        <v>46065</v>
      </c>
      <c r="DZ225" s="76">
        <v>92</v>
      </c>
      <c r="EA225" s="53">
        <v>92</v>
      </c>
      <c r="EB225" s="53">
        <v>8</v>
      </c>
      <c r="EC225" s="53">
        <v>8</v>
      </c>
      <c r="ED225" s="53">
        <v>40</v>
      </c>
      <c r="EE225" s="53">
        <v>8</v>
      </c>
      <c r="EF225" s="53">
        <v>7</v>
      </c>
      <c r="EG225" s="53"/>
      <c r="EH225" s="13">
        <v>950</v>
      </c>
      <c r="EI225" s="13">
        <v>8800</v>
      </c>
      <c r="EJ225" s="14">
        <v>0.95652173913043481</v>
      </c>
      <c r="EK225" s="22" t="s">
        <v>471</v>
      </c>
    </row>
    <row r="226" spans="1:142" x14ac:dyDescent="0.2">
      <c r="A226" s="16"/>
      <c r="B226" s="11"/>
      <c r="C226" s="13">
        <v>5831</v>
      </c>
      <c r="D226" s="13">
        <v>71</v>
      </c>
      <c r="E226" s="13">
        <v>386</v>
      </c>
      <c r="F226" s="13">
        <v>4</v>
      </c>
      <c r="G226" s="13">
        <v>50</v>
      </c>
      <c r="H226" s="13">
        <v>3</v>
      </c>
      <c r="I226" s="13">
        <v>0</v>
      </c>
      <c r="J226" s="56" t="s">
        <v>393</v>
      </c>
      <c r="K226" s="54">
        <v>275</v>
      </c>
      <c r="L226" s="13">
        <v>3225</v>
      </c>
      <c r="M226" s="14">
        <v>0.45422535211267606</v>
      </c>
      <c r="N226" s="15"/>
      <c r="O226" s="2"/>
      <c r="P226" s="16"/>
      <c r="Q226" s="13">
        <v>4528</v>
      </c>
      <c r="R226" s="87">
        <v>0</v>
      </c>
      <c r="S226" s="13">
        <v>143</v>
      </c>
      <c r="T226" s="13">
        <v>0</v>
      </c>
      <c r="U226" s="13">
        <v>11</v>
      </c>
      <c r="V226" s="13">
        <v>0</v>
      </c>
      <c r="W226" s="13">
        <v>0</v>
      </c>
      <c r="X226" s="75" t="s">
        <v>156</v>
      </c>
      <c r="Y226" s="53">
        <v>1100</v>
      </c>
      <c r="Z226" s="13">
        <v>0</v>
      </c>
      <c r="AA226" s="14" t="e">
        <v>#DIV/0!</v>
      </c>
      <c r="AB226" s="15" t="s">
        <v>467</v>
      </c>
      <c r="AC226" s="1"/>
      <c r="AD226" s="16"/>
      <c r="AE226" s="13">
        <v>10637</v>
      </c>
      <c r="AF226" s="87">
        <v>42</v>
      </c>
      <c r="AG226" s="13">
        <v>228</v>
      </c>
      <c r="AH226" s="13">
        <v>1</v>
      </c>
      <c r="AI226" s="13">
        <v>11</v>
      </c>
      <c r="AJ226" s="13">
        <v>1</v>
      </c>
      <c r="AK226" s="13">
        <v>0</v>
      </c>
      <c r="AL226" s="56" t="s">
        <v>469</v>
      </c>
      <c r="AM226" s="54">
        <v>0</v>
      </c>
      <c r="AN226" s="13">
        <v>0</v>
      </c>
      <c r="AO226" s="14">
        <v>0</v>
      </c>
      <c r="AP226" s="15"/>
      <c r="AQ226" s="2"/>
      <c r="AR226" s="16"/>
      <c r="AS226" s="13">
        <v>8393</v>
      </c>
      <c r="AT226" s="13">
        <v>77</v>
      </c>
      <c r="AU226" s="13">
        <v>424</v>
      </c>
      <c r="AV226" s="13">
        <v>2</v>
      </c>
      <c r="AW226" s="13">
        <v>2</v>
      </c>
      <c r="AX226" s="13">
        <v>2</v>
      </c>
      <c r="AY226" s="13">
        <v>9</v>
      </c>
      <c r="AZ226" s="56" t="s">
        <v>166</v>
      </c>
      <c r="BA226" s="54">
        <v>673</v>
      </c>
      <c r="BB226" s="13">
        <v>1346</v>
      </c>
      <c r="BC226" s="14">
        <v>0.1748051948051948</v>
      </c>
      <c r="BD226" s="15"/>
      <c r="BE226" s="2"/>
      <c r="BF226" s="16"/>
      <c r="BG226" s="7"/>
      <c r="BH226" s="13"/>
      <c r="BI226" s="179"/>
      <c r="BJ226" s="13"/>
      <c r="BK226" s="13"/>
      <c r="BL226" s="13"/>
      <c r="BM226" s="13"/>
      <c r="BN226" s="13"/>
      <c r="BO226" s="75"/>
      <c r="BP226" s="53"/>
      <c r="BQ226" s="13"/>
      <c r="BR226" s="14"/>
      <c r="BS226" s="15"/>
      <c r="BU226" s="79">
        <f>IF($A229="","",$A229)</f>
        <v>46067</v>
      </c>
      <c r="BV226" s="17">
        <v>15295</v>
      </c>
      <c r="BW226" s="13">
        <f t="shared" ref="BW226:BW238" si="461">IF(BV226="","",BV226-BV225)</f>
        <v>57</v>
      </c>
      <c r="BX226" s="13">
        <v>354</v>
      </c>
      <c r="BY226" s="13">
        <f t="shared" ref="BY226:BY238" si="462">IF(BX226="","",BX226-BX225)</f>
        <v>1</v>
      </c>
      <c r="BZ226" s="13">
        <v>33</v>
      </c>
      <c r="CA226" s="13">
        <f t="shared" ref="CA226:CA238" si="463">IF(BZ226="","",BZ225+CB225-BZ226)</f>
        <v>1</v>
      </c>
      <c r="CB226" s="13">
        <v>2</v>
      </c>
      <c r="CC226" s="53"/>
      <c r="CD226" s="53">
        <f t="shared" ref="CD226:CD238" si="464">IF(BV226="","",CD225)</f>
        <v>688</v>
      </c>
      <c r="CE226" s="13">
        <f t="shared" ref="CE226:CE238" si="465">IF(CD226="","",CA226*CD226)</f>
        <v>688</v>
      </c>
      <c r="CF226" s="14">
        <f t="shared" ref="CF226:CF237" si="466">IF(CE226="","",CE226/(BW226*100))</f>
        <v>0.12070175438596491</v>
      </c>
      <c r="CG226" s="15"/>
      <c r="CH226" s="1"/>
      <c r="CI226" s="79">
        <f>IF($A229="","",$A229)</f>
        <v>46067</v>
      </c>
      <c r="CJ226" s="17">
        <v>26266</v>
      </c>
      <c r="CK226" s="13">
        <f t="shared" ref="CK226:CK238" si="467">IF(CJ226="","",CJ226-CJ225)</f>
        <v>843</v>
      </c>
      <c r="CL226" s="13">
        <v>377</v>
      </c>
      <c r="CM226" s="13">
        <f t="shared" ref="CM226:CM238" si="468">IF(CL226="","",CL226-CL225)</f>
        <v>10</v>
      </c>
      <c r="CN226" s="13">
        <v>20</v>
      </c>
      <c r="CO226" s="13">
        <f t="shared" ref="CO226:CO238" si="469">IF(CN226="","",CN225+CP225-CN226)</f>
        <v>10</v>
      </c>
      <c r="CP226" s="13">
        <v>19</v>
      </c>
      <c r="CQ226" s="53"/>
      <c r="CR226" s="53">
        <f t="shared" ref="CR226:CR238" si="470">IF(CJ226="","",CR225)</f>
        <v>1500</v>
      </c>
      <c r="CS226" s="13">
        <f t="shared" ref="CS226:CS238" si="471">IF(CR226="","",CO226*CR226)</f>
        <v>15000</v>
      </c>
      <c r="CT226" s="14">
        <f t="shared" ref="CT226:CT237" si="472">IF(CS226="","",CS226/(CK226*100))</f>
        <v>0.17793594306049823</v>
      </c>
      <c r="CU226" s="15"/>
      <c r="CV226" s="1"/>
      <c r="CW226" s="79">
        <f>IF($A229="","",$A229)</f>
        <v>46067</v>
      </c>
      <c r="CX226" s="17">
        <v>13387</v>
      </c>
      <c r="CY226" s="13">
        <f t="shared" ref="CY226:CY238" si="473">IF(CX226="","",CX226-CX225)</f>
        <v>68</v>
      </c>
      <c r="CZ226" s="13">
        <v>256</v>
      </c>
      <c r="DA226" s="13">
        <f t="shared" ref="DA226:DA238" si="474">IF(CZ226="","",CZ226-CZ225)</f>
        <v>2</v>
      </c>
      <c r="DB226" s="13">
        <v>48</v>
      </c>
      <c r="DC226" s="13">
        <f t="shared" ref="DC226:DC238" si="475">IF(DB226="","",DB225+DD225-DB226)</f>
        <v>2</v>
      </c>
      <c r="DD226" s="13">
        <v>0</v>
      </c>
      <c r="DE226" s="53"/>
      <c r="DF226" s="53">
        <f t="shared" ref="DF226:DF238" si="476">IF(CX226="","",DF225)</f>
        <v>880</v>
      </c>
      <c r="DG226" s="13">
        <f t="shared" ref="DG226:DG238" si="477">IF(DF226="","",DC226*DF226)</f>
        <v>1760</v>
      </c>
      <c r="DH226" s="14">
        <f t="shared" ref="DH226:DH237" si="478">IF(DG226="","",DG226/(CY226*100))</f>
        <v>0.25882352941176473</v>
      </c>
      <c r="DI226" s="15"/>
      <c r="DJ226" s="1"/>
      <c r="DK226" s="79">
        <f>IF($A229="","",$A229)</f>
        <v>46067</v>
      </c>
      <c r="DL226" s="17">
        <v>10127</v>
      </c>
      <c r="DM226" s="13">
        <f t="shared" ref="DM226:DM238" si="479">IF(DL226="","",DL226-DL225)</f>
        <v>61</v>
      </c>
      <c r="DN226" s="13">
        <v>287</v>
      </c>
      <c r="DO226" s="13">
        <f t="shared" ref="DO226:DO238" si="480">IF(DN226="","",DN226-DN225)</f>
        <v>1</v>
      </c>
      <c r="DP226" s="13">
        <v>34</v>
      </c>
      <c r="DQ226" s="13">
        <f t="shared" ref="DQ226:DQ238" si="481">IF(DP226="","",DP225+DR225-DP226)</f>
        <v>1</v>
      </c>
      <c r="DR226" s="13">
        <v>0</v>
      </c>
      <c r="DS226" s="53"/>
      <c r="DT226" s="53">
        <f t="shared" ref="DT226:DT238" si="482">IF(DL226="","",DT225)</f>
        <v>1100</v>
      </c>
      <c r="DU226" s="13">
        <f t="shared" ref="DU226:DU238" si="483">IF(DT226="","",DQ226*DT226)</f>
        <v>1100</v>
      </c>
      <c r="DV226" s="14">
        <f t="shared" ref="DV226:DV237" si="484">IF(DU226="","",DU226/(DM226*100))</f>
        <v>0.18032786885245902</v>
      </c>
      <c r="DW226" s="15"/>
      <c r="DY226" s="79">
        <f>IF($A229="","",$A229)</f>
        <v>46067</v>
      </c>
      <c r="DZ226" s="17">
        <v>200</v>
      </c>
      <c r="EA226" s="13">
        <f t="shared" ref="EA226:EA238" si="485">IF(DZ226="","",DZ226-DZ225)</f>
        <v>108</v>
      </c>
      <c r="EB226" s="13">
        <v>12</v>
      </c>
      <c r="EC226" s="13">
        <f t="shared" ref="EC226:EC238" si="486">IF(EB226="","",EB226-EB225)</f>
        <v>4</v>
      </c>
      <c r="ED226" s="13">
        <v>42</v>
      </c>
      <c r="EE226" s="13">
        <f t="shared" ref="EE226:EE238" si="487">IF(ED226="","",ED225+EF225-ED226)</f>
        <v>5</v>
      </c>
      <c r="EF226" s="13">
        <v>10</v>
      </c>
      <c r="EG226" s="53"/>
      <c r="EH226" s="53">
        <f t="shared" ref="EH226:EH238" si="488">IF(DZ226="","",EH225)</f>
        <v>950</v>
      </c>
      <c r="EI226" s="13">
        <f t="shared" ref="EI226:EI238" si="489">IF(EH226="","",EE226*EH226)</f>
        <v>4750</v>
      </c>
      <c r="EJ226" s="14">
        <f t="shared" ref="EJ226:EJ237" si="490">IF(EI226="","",EI226/(EA226*100))</f>
        <v>0.43981481481481483</v>
      </c>
      <c r="EK226" s="15"/>
    </row>
    <row r="227" spans="1:142" x14ac:dyDescent="0.2">
      <c r="A227" s="16"/>
      <c r="B227" s="11"/>
      <c r="C227" s="13">
        <v>11995</v>
      </c>
      <c r="D227" s="87">
        <v>94</v>
      </c>
      <c r="E227" s="13">
        <v>638</v>
      </c>
      <c r="F227" s="13">
        <v>3</v>
      </c>
      <c r="G227" s="13">
        <v>15</v>
      </c>
      <c r="H227" s="13">
        <v>3</v>
      </c>
      <c r="I227" s="13">
        <v>3</v>
      </c>
      <c r="J227" s="56" t="s">
        <v>423</v>
      </c>
      <c r="K227" s="54">
        <v>1100</v>
      </c>
      <c r="L227" s="13">
        <v>3300</v>
      </c>
      <c r="M227" s="14">
        <v>0.35106382978723405</v>
      </c>
      <c r="N227" s="15"/>
      <c r="O227" s="2"/>
      <c r="P227" s="16"/>
      <c r="Q227" s="13">
        <v>8041</v>
      </c>
      <c r="R227" s="87">
        <v>25</v>
      </c>
      <c r="S227" s="13">
        <v>168</v>
      </c>
      <c r="T227" s="13">
        <v>1</v>
      </c>
      <c r="U227" s="13">
        <v>13</v>
      </c>
      <c r="V227" s="13">
        <v>1</v>
      </c>
      <c r="W227" s="13">
        <v>5</v>
      </c>
      <c r="X227" s="56" t="s">
        <v>374</v>
      </c>
      <c r="Y227" s="54">
        <v>660</v>
      </c>
      <c r="Z227" s="13">
        <v>660</v>
      </c>
      <c r="AA227" s="14">
        <v>0.26400000000000001</v>
      </c>
      <c r="AB227" s="15" t="s">
        <v>466</v>
      </c>
      <c r="AC227" s="1"/>
      <c r="AD227" s="16"/>
      <c r="AE227" s="13">
        <v>12737</v>
      </c>
      <c r="AF227" s="13">
        <v>43</v>
      </c>
      <c r="AG227" s="13">
        <v>352</v>
      </c>
      <c r="AH227" s="13">
        <v>2</v>
      </c>
      <c r="AI227" s="13">
        <v>14</v>
      </c>
      <c r="AJ227" s="13">
        <v>2</v>
      </c>
      <c r="AK227" s="13">
        <v>0</v>
      </c>
      <c r="AL227" s="56" t="s">
        <v>375</v>
      </c>
      <c r="AM227" s="54">
        <v>682</v>
      </c>
      <c r="AN227" s="13">
        <v>1364</v>
      </c>
      <c r="AO227" s="14">
        <v>0.31720930232558142</v>
      </c>
      <c r="AP227" s="15"/>
      <c r="AQ227" s="2"/>
      <c r="AR227" s="16"/>
      <c r="AS227" s="13">
        <v>15267</v>
      </c>
      <c r="AT227" s="13">
        <v>17</v>
      </c>
      <c r="AU227" s="13">
        <v>525</v>
      </c>
      <c r="AV227" s="13">
        <v>0</v>
      </c>
      <c r="AW227" s="13">
        <v>14</v>
      </c>
      <c r="AX227" s="13">
        <v>0</v>
      </c>
      <c r="AY227" s="13">
        <v>0</v>
      </c>
      <c r="AZ227" s="56" t="s">
        <v>330</v>
      </c>
      <c r="BA227" s="54">
        <v>500</v>
      </c>
      <c r="BB227" s="13">
        <v>0</v>
      </c>
      <c r="BC227" s="14">
        <v>0</v>
      </c>
      <c r="BD227" s="15"/>
      <c r="BE227" s="2"/>
      <c r="BF227" s="16"/>
      <c r="BG227" s="7"/>
      <c r="BH227" s="13"/>
      <c r="BI227" s="179"/>
      <c r="BJ227" s="13"/>
      <c r="BK227" s="13"/>
      <c r="BL227" s="13"/>
      <c r="BM227" s="13"/>
      <c r="BN227" s="13"/>
      <c r="BO227" s="56"/>
      <c r="BP227" s="54"/>
      <c r="BQ227" s="13"/>
      <c r="BR227" s="14"/>
      <c r="BS227" s="39"/>
      <c r="BU227" s="79">
        <f>IF($A233="","",$A233)</f>
        <v>46069</v>
      </c>
      <c r="BV227" s="17">
        <v>15400</v>
      </c>
      <c r="BW227" s="13">
        <f t="shared" si="461"/>
        <v>105</v>
      </c>
      <c r="BX227" s="13">
        <v>357</v>
      </c>
      <c r="BY227" s="13">
        <f t="shared" si="462"/>
        <v>3</v>
      </c>
      <c r="BZ227" s="13">
        <v>32</v>
      </c>
      <c r="CA227" s="13">
        <f t="shared" si="463"/>
        <v>3</v>
      </c>
      <c r="CB227" s="13">
        <v>0</v>
      </c>
      <c r="CC227" s="53"/>
      <c r="CD227" s="53">
        <f t="shared" si="464"/>
        <v>688</v>
      </c>
      <c r="CE227" s="13">
        <f t="shared" si="465"/>
        <v>2064</v>
      </c>
      <c r="CF227" s="14">
        <f t="shared" si="466"/>
        <v>0.19657142857142856</v>
      </c>
      <c r="CG227" s="15"/>
      <c r="CH227" s="1"/>
      <c r="CI227" s="79">
        <f>IF($A233="","",$A233)</f>
        <v>46069</v>
      </c>
      <c r="CJ227" s="17">
        <v>27509</v>
      </c>
      <c r="CK227" s="13">
        <f t="shared" si="467"/>
        <v>1243</v>
      </c>
      <c r="CL227" s="13">
        <v>394</v>
      </c>
      <c r="CM227" s="13">
        <f t="shared" si="468"/>
        <v>17</v>
      </c>
      <c r="CN227" s="13">
        <v>20</v>
      </c>
      <c r="CO227" s="13">
        <f t="shared" si="469"/>
        <v>19</v>
      </c>
      <c r="CP227" s="13">
        <v>21</v>
      </c>
      <c r="CQ227" s="53"/>
      <c r="CR227" s="53">
        <f t="shared" si="470"/>
        <v>1500</v>
      </c>
      <c r="CS227" s="13">
        <f t="shared" si="471"/>
        <v>28500</v>
      </c>
      <c r="CT227" s="14">
        <f t="shared" si="472"/>
        <v>0.22928399034593724</v>
      </c>
      <c r="CU227" s="15"/>
      <c r="CV227" s="1"/>
      <c r="CW227" s="79">
        <f>IF($A233="","",$A233)</f>
        <v>46069</v>
      </c>
      <c r="CX227" s="17">
        <v>13460</v>
      </c>
      <c r="CY227" s="13">
        <f t="shared" si="473"/>
        <v>73</v>
      </c>
      <c r="CZ227" s="13">
        <v>257</v>
      </c>
      <c r="DA227" s="13">
        <f t="shared" si="474"/>
        <v>1</v>
      </c>
      <c r="DB227" s="13">
        <v>47</v>
      </c>
      <c r="DC227" s="13">
        <f t="shared" si="475"/>
        <v>1</v>
      </c>
      <c r="DD227" s="13">
        <v>0</v>
      </c>
      <c r="DE227" s="53"/>
      <c r="DF227" s="53">
        <f t="shared" si="476"/>
        <v>880</v>
      </c>
      <c r="DG227" s="13">
        <f t="shared" si="477"/>
        <v>880</v>
      </c>
      <c r="DH227" s="14">
        <f t="shared" si="478"/>
        <v>0.12054794520547946</v>
      </c>
      <c r="DI227" s="15"/>
      <c r="DJ227" s="1"/>
      <c r="DK227" s="79">
        <f>IF($A233="","",$A233)</f>
        <v>46069</v>
      </c>
      <c r="DL227" s="17">
        <v>10193</v>
      </c>
      <c r="DM227" s="13">
        <f t="shared" si="479"/>
        <v>66</v>
      </c>
      <c r="DN227" s="13">
        <v>288</v>
      </c>
      <c r="DO227" s="13">
        <f t="shared" si="480"/>
        <v>1</v>
      </c>
      <c r="DP227" s="13">
        <v>33</v>
      </c>
      <c r="DQ227" s="13">
        <f t="shared" si="481"/>
        <v>1</v>
      </c>
      <c r="DR227" s="13">
        <v>0</v>
      </c>
      <c r="DS227" s="53"/>
      <c r="DT227" s="53">
        <f t="shared" si="482"/>
        <v>1100</v>
      </c>
      <c r="DU227" s="13">
        <f t="shared" si="483"/>
        <v>1100</v>
      </c>
      <c r="DV227" s="14">
        <f t="shared" si="484"/>
        <v>0.16666666666666666</v>
      </c>
      <c r="DW227" s="15"/>
      <c r="DY227" s="79">
        <f>IF($A233="","",$A233)</f>
        <v>46069</v>
      </c>
      <c r="DZ227" s="17">
        <v>331</v>
      </c>
      <c r="EA227" s="13">
        <f t="shared" si="485"/>
        <v>131</v>
      </c>
      <c r="EB227" s="13">
        <v>19</v>
      </c>
      <c r="EC227" s="13">
        <f t="shared" si="486"/>
        <v>7</v>
      </c>
      <c r="ED227" s="13">
        <v>44</v>
      </c>
      <c r="EE227" s="13">
        <f t="shared" si="487"/>
        <v>8</v>
      </c>
      <c r="EF227" s="13">
        <v>13</v>
      </c>
      <c r="EG227" s="53"/>
      <c r="EH227" s="53">
        <f t="shared" si="488"/>
        <v>950</v>
      </c>
      <c r="EI227" s="13">
        <f t="shared" si="489"/>
        <v>7600</v>
      </c>
      <c r="EJ227" s="14">
        <f t="shared" si="490"/>
        <v>0.58015267175572516</v>
      </c>
      <c r="EK227" s="15"/>
    </row>
    <row r="228" spans="1:142" ht="15" customHeight="1" thickBot="1" x14ac:dyDescent="0.25">
      <c r="A228" s="26"/>
      <c r="B228" s="46"/>
      <c r="C228" s="27">
        <v>7580</v>
      </c>
      <c r="D228" s="27">
        <v>163</v>
      </c>
      <c r="E228" s="27">
        <v>488</v>
      </c>
      <c r="F228" s="27">
        <v>3</v>
      </c>
      <c r="G228" s="27">
        <v>2</v>
      </c>
      <c r="H228" s="27">
        <v>3</v>
      </c>
      <c r="I228" s="27">
        <v>0</v>
      </c>
      <c r="J228" s="57" t="s">
        <v>439</v>
      </c>
      <c r="K228" s="27">
        <v>900</v>
      </c>
      <c r="L228" s="27">
        <v>2700</v>
      </c>
      <c r="M228" s="28">
        <v>0.16564417177914109</v>
      </c>
      <c r="N228" s="15"/>
      <c r="O228" s="2"/>
      <c r="P228" s="26"/>
      <c r="Q228" s="27">
        <v>10400</v>
      </c>
      <c r="R228" s="27">
        <v>331</v>
      </c>
      <c r="S228" s="27">
        <v>260</v>
      </c>
      <c r="T228" s="27">
        <v>27</v>
      </c>
      <c r="U228" s="27">
        <v>6</v>
      </c>
      <c r="V228" s="27">
        <v>27</v>
      </c>
      <c r="W228" s="27">
        <v>36</v>
      </c>
      <c r="X228" s="57" t="s">
        <v>449</v>
      </c>
      <c r="Y228" s="27">
        <v>200</v>
      </c>
      <c r="Z228" s="27">
        <v>8100</v>
      </c>
      <c r="AA228" s="28">
        <v>0.24471299093655588</v>
      </c>
      <c r="AB228" s="142"/>
      <c r="AC228" s="63"/>
      <c r="AD228" s="145"/>
      <c r="AE228" s="27">
        <v>12538</v>
      </c>
      <c r="AF228" s="88">
        <v>41</v>
      </c>
      <c r="AG228" s="27">
        <v>316</v>
      </c>
      <c r="AH228" s="27">
        <v>1</v>
      </c>
      <c r="AI228" s="27">
        <v>11</v>
      </c>
      <c r="AJ228" s="27">
        <v>1</v>
      </c>
      <c r="AK228" s="27">
        <v>8</v>
      </c>
      <c r="AL228" s="108" t="s">
        <v>353</v>
      </c>
      <c r="AM228" s="27">
        <v>605</v>
      </c>
      <c r="AN228" s="27">
        <v>605</v>
      </c>
      <c r="AO228" s="28">
        <v>0.14756097560975609</v>
      </c>
      <c r="AP228" s="15"/>
      <c r="AQ228" s="2"/>
      <c r="AR228" s="26"/>
      <c r="AS228" s="27">
        <v>15815</v>
      </c>
      <c r="AT228" s="27">
        <v>49</v>
      </c>
      <c r="AU228" s="27">
        <v>457</v>
      </c>
      <c r="AV228" s="27">
        <v>3</v>
      </c>
      <c r="AW228" s="27">
        <v>35</v>
      </c>
      <c r="AX228" s="27">
        <v>3</v>
      </c>
      <c r="AY228" s="27">
        <v>0</v>
      </c>
      <c r="AZ228" s="57" t="s">
        <v>293</v>
      </c>
      <c r="BA228" s="27">
        <v>400</v>
      </c>
      <c r="BB228" s="27">
        <v>1200</v>
      </c>
      <c r="BC228" s="28">
        <v>0.24489795918367346</v>
      </c>
      <c r="BD228" s="15"/>
      <c r="BE228" s="2"/>
      <c r="BF228" s="26"/>
      <c r="BG228" s="241"/>
      <c r="BH228" s="27"/>
      <c r="BI228" s="138"/>
      <c r="BJ228" s="27"/>
      <c r="BK228" s="27"/>
      <c r="BL228" s="27"/>
      <c r="BM228" s="27"/>
      <c r="BN228" s="27"/>
      <c r="BO228" s="57"/>
      <c r="BP228" s="27"/>
      <c r="BQ228" s="27"/>
      <c r="BR228" s="184"/>
      <c r="BS228" s="183"/>
      <c r="BU228" s="79">
        <f>IF($A237="","",$A237)</f>
        <v>46073</v>
      </c>
      <c r="BV228" s="17">
        <f>_xlfn.SINGLE(15512)</f>
        <v>15512</v>
      </c>
      <c r="BW228" s="13">
        <f t="shared" si="461"/>
        <v>112</v>
      </c>
      <c r="BX228" s="13">
        <v>360</v>
      </c>
      <c r="BY228" s="13">
        <f t="shared" si="462"/>
        <v>3</v>
      </c>
      <c r="BZ228" s="13">
        <v>31</v>
      </c>
      <c r="CA228" s="13">
        <f t="shared" si="463"/>
        <v>1</v>
      </c>
      <c r="CB228" s="13">
        <v>6</v>
      </c>
      <c r="CC228" s="53"/>
      <c r="CD228" s="53">
        <f t="shared" si="464"/>
        <v>688</v>
      </c>
      <c r="CE228" s="13">
        <f t="shared" si="465"/>
        <v>688</v>
      </c>
      <c r="CF228" s="14">
        <f t="shared" si="466"/>
        <v>6.142857142857143E-2</v>
      </c>
      <c r="CG228" s="15"/>
      <c r="CH228" s="1"/>
      <c r="CI228" s="79">
        <f>IF($A237="","",$A237)</f>
        <v>46073</v>
      </c>
      <c r="CJ228" s="17">
        <v>28561</v>
      </c>
      <c r="CK228" s="13">
        <f t="shared" si="467"/>
        <v>1052</v>
      </c>
      <c r="CL228" s="13">
        <v>404</v>
      </c>
      <c r="CM228" s="13">
        <f t="shared" si="468"/>
        <v>10</v>
      </c>
      <c r="CN228" s="13">
        <v>29</v>
      </c>
      <c r="CO228" s="13">
        <f t="shared" si="469"/>
        <v>12</v>
      </c>
      <c r="CP228" s="13">
        <v>12</v>
      </c>
      <c r="CQ228" s="53"/>
      <c r="CR228" s="53">
        <f t="shared" si="470"/>
        <v>1500</v>
      </c>
      <c r="CS228" s="13">
        <f t="shared" si="471"/>
        <v>18000</v>
      </c>
      <c r="CT228" s="14">
        <f t="shared" si="472"/>
        <v>0.17110266159695817</v>
      </c>
      <c r="CU228" s="15"/>
      <c r="CV228" s="1"/>
      <c r="CW228" s="79">
        <f>IF($A237="","",$A237)</f>
        <v>46073</v>
      </c>
      <c r="CX228" s="17">
        <v>13548</v>
      </c>
      <c r="CY228" s="13">
        <f t="shared" si="473"/>
        <v>88</v>
      </c>
      <c r="CZ228" s="13">
        <v>257</v>
      </c>
      <c r="DA228" s="13">
        <f t="shared" si="474"/>
        <v>0</v>
      </c>
      <c r="DB228" s="13">
        <v>49</v>
      </c>
      <c r="DC228" s="13">
        <f t="shared" si="475"/>
        <v>-2</v>
      </c>
      <c r="DD228" s="13">
        <v>3</v>
      </c>
      <c r="DE228" s="53"/>
      <c r="DF228" s="53">
        <f t="shared" si="476"/>
        <v>880</v>
      </c>
      <c r="DG228" s="13">
        <f t="shared" si="477"/>
        <v>-1760</v>
      </c>
      <c r="DH228" s="14">
        <f t="shared" si="478"/>
        <v>-0.2</v>
      </c>
      <c r="DI228" s="15"/>
      <c r="DJ228" s="1"/>
      <c r="DK228" s="79">
        <f>IF($A237="","",$A237)</f>
        <v>46073</v>
      </c>
      <c r="DL228" s="17">
        <v>10286</v>
      </c>
      <c r="DM228" s="13">
        <f t="shared" si="479"/>
        <v>93</v>
      </c>
      <c r="DN228" s="13">
        <v>291</v>
      </c>
      <c r="DO228" s="13">
        <f t="shared" si="480"/>
        <v>3</v>
      </c>
      <c r="DP228" s="13">
        <v>31</v>
      </c>
      <c r="DQ228" s="13">
        <f t="shared" si="481"/>
        <v>2</v>
      </c>
      <c r="DR228" s="13">
        <v>12</v>
      </c>
      <c r="DS228" s="53"/>
      <c r="DT228" s="53">
        <f t="shared" si="482"/>
        <v>1100</v>
      </c>
      <c r="DU228" s="13">
        <f t="shared" si="483"/>
        <v>2200</v>
      </c>
      <c r="DV228" s="14">
        <f t="shared" si="484"/>
        <v>0.23655913978494625</v>
      </c>
      <c r="DW228" s="15"/>
      <c r="DY228" s="79">
        <f>IF($A237="","",$A237)</f>
        <v>46073</v>
      </c>
      <c r="DZ228" s="17">
        <v>431</v>
      </c>
      <c r="EA228" s="13">
        <f t="shared" si="485"/>
        <v>100</v>
      </c>
      <c r="EB228" s="13">
        <v>22</v>
      </c>
      <c r="EC228" s="13">
        <f t="shared" si="486"/>
        <v>3</v>
      </c>
      <c r="ED228" s="13">
        <v>54</v>
      </c>
      <c r="EE228" s="13">
        <f t="shared" si="487"/>
        <v>3</v>
      </c>
      <c r="EF228" s="13">
        <v>8</v>
      </c>
      <c r="EG228" s="53"/>
      <c r="EH228" s="53">
        <f t="shared" si="488"/>
        <v>950</v>
      </c>
      <c r="EI228" s="13">
        <f t="shared" si="489"/>
        <v>2850</v>
      </c>
      <c r="EJ228" s="14">
        <f t="shared" si="490"/>
        <v>0.28499999999999998</v>
      </c>
      <c r="EK228" s="15"/>
      <c r="EL228" s="174"/>
    </row>
    <row r="229" spans="1:142" ht="15" customHeight="1" thickTop="1" x14ac:dyDescent="0.2">
      <c r="A229" s="79">
        <v>46067</v>
      </c>
      <c r="B229" s="74">
        <f>IF(A229="","",SUM(D229:D232)+SUM(R229:R232)+SUM(AF229:AF232)+SUM(AT229:AT232)+SUM(BW226,CK226,CY226,DM226,EA226))</f>
        <v>1934</v>
      </c>
      <c r="C229" s="53">
        <v>6318</v>
      </c>
      <c r="D229" s="53">
        <f t="shared" ref="D229:D260" si="491">IF(C229="","",C229-C225)</f>
        <v>64</v>
      </c>
      <c r="E229" s="53">
        <v>364</v>
      </c>
      <c r="F229" s="31">
        <f t="shared" ref="F229:F260" si="492">IF(E229="","",E229-E225)</f>
        <v>2</v>
      </c>
      <c r="G229" s="53">
        <v>14</v>
      </c>
      <c r="H229" s="53">
        <f t="shared" ref="H229:H260" si="493">IF(G229="","",G225+I225-G229)</f>
        <v>2</v>
      </c>
      <c r="I229" s="80">
        <v>0</v>
      </c>
      <c r="J229" s="75" t="str">
        <f t="shared" ref="J229:J259" si="494">IF(C229="","",J225)</f>
        <v>ジャグラーボタン</v>
      </c>
      <c r="K229" s="76">
        <f t="shared" ref="K229:K259" si="495">IF(D229="","",K225)</f>
        <v>748</v>
      </c>
      <c r="L229" s="31">
        <f t="shared" ref="L229:L260" si="496">IF(G229="","",H229*K229)</f>
        <v>1496</v>
      </c>
      <c r="M229" s="32">
        <f t="shared" ref="M229:M260" si="497">IF(H229="","",L229/(D229*100))</f>
        <v>0.23375000000000001</v>
      </c>
      <c r="N229" s="15"/>
      <c r="O229" s="2"/>
      <c r="P229" s="79">
        <f>IF(A229="","",A229)</f>
        <v>46067</v>
      </c>
      <c r="Q229" s="53">
        <v>6876</v>
      </c>
      <c r="R229" s="53">
        <f t="shared" ref="R229:R245" si="498">IF(Q229="","",Q229-Q225)</f>
        <v>63</v>
      </c>
      <c r="S229" s="53">
        <v>226</v>
      </c>
      <c r="T229" s="31">
        <f t="shared" ref="T229:T260" si="499">IF(S229="","",S229-S225)</f>
        <v>2</v>
      </c>
      <c r="U229" s="53">
        <v>9</v>
      </c>
      <c r="V229" s="53">
        <f t="shared" ref="V229:V260" si="500">IF(U229="","",U225+W225-U229)</f>
        <v>2</v>
      </c>
      <c r="W229" s="80">
        <v>4</v>
      </c>
      <c r="X229" s="75" t="str">
        <f>IF(Q229="","",X225)</f>
        <v>キティボアバンスクリップ</v>
      </c>
      <c r="Y229" s="76">
        <f>IF(R229="","",Y225)</f>
        <v>1100</v>
      </c>
      <c r="Z229" s="31">
        <f t="shared" ref="Z229:Z260" si="501">IF(U229="","",V229*Y229)</f>
        <v>2200</v>
      </c>
      <c r="AA229" s="32">
        <f t="shared" ref="AA229:AA260" si="502">IF(V229="","",Z229/(R229*100))</f>
        <v>0.34920634920634919</v>
      </c>
      <c r="AB229" s="15"/>
      <c r="AC229" s="15"/>
      <c r="AD229" s="79">
        <f>IF($A229="","",$A229)</f>
        <v>46067</v>
      </c>
      <c r="AE229" s="53">
        <v>10925</v>
      </c>
      <c r="AF229" s="53">
        <f t="shared" ref="AF229:AF260" si="503">IF(AE229="","",AE229-AE225)</f>
        <v>18</v>
      </c>
      <c r="AG229" s="53">
        <v>248</v>
      </c>
      <c r="AH229" s="31">
        <f t="shared" ref="AH229:AH260" si="504">IF(AG229="","",AG229-AG225)</f>
        <v>1</v>
      </c>
      <c r="AI229" s="53">
        <v>18</v>
      </c>
      <c r="AJ229" s="53">
        <f t="shared" ref="AJ229:AJ260" si="505">IF(AI229="","",AI225+AK225-AI229)</f>
        <v>1</v>
      </c>
      <c r="AK229" s="80">
        <v>0</v>
      </c>
      <c r="AL229" s="75" t="str">
        <f t="shared" ref="AL229:AL260" si="506">IF(AE229="","",AL225)</f>
        <v>サンリオ型押しケース</v>
      </c>
      <c r="AM229" s="76">
        <f t="shared" ref="AM229:AM260" si="507">IF(AF229="","",AM225)</f>
        <v>545</v>
      </c>
      <c r="AN229" s="31">
        <f t="shared" ref="AN229:AN260" si="508">IF(AI229="","",AJ229*AM229)</f>
        <v>545</v>
      </c>
      <c r="AO229" s="32">
        <f t="shared" ref="AO229:AO260" si="509">IF(AJ229="","",AN229/(AF229*100))</f>
        <v>0.30277777777777776</v>
      </c>
      <c r="AP229" s="15"/>
      <c r="AQ229" s="113"/>
      <c r="AR229" s="79">
        <f>IF($A229="","",$A229)</f>
        <v>46067</v>
      </c>
      <c r="AS229" s="53">
        <v>11806</v>
      </c>
      <c r="AT229" s="53">
        <f t="shared" ref="AT229:AT260" si="510">IF(AS229="","",AS229-AS225)</f>
        <v>55</v>
      </c>
      <c r="AU229" s="53">
        <v>373</v>
      </c>
      <c r="AV229" s="31">
        <f t="shared" ref="AV229:AV260" si="511">IF(AU229="","",AU229-AU225)</f>
        <v>1</v>
      </c>
      <c r="AW229" s="53">
        <v>16</v>
      </c>
      <c r="AX229" s="53">
        <f t="shared" ref="AX229:AX260" si="512">IF(AW229="","",AW225+AY225-AW229)</f>
        <v>1</v>
      </c>
      <c r="AY229" s="80">
        <v>4</v>
      </c>
      <c r="AZ229" s="75" t="str">
        <f t="shared" ref="AZ229:AZ242" si="513">IF(AS229="","",AZ225)</f>
        <v>サンリオヒョウ柄キーケース</v>
      </c>
      <c r="BA229" s="76">
        <f t="shared" ref="BA229:BA242" si="514">IF(AT229="","",BA225)</f>
        <v>924</v>
      </c>
      <c r="BB229" s="31">
        <f t="shared" ref="BB229:BB260" si="515">IF(AW229="","",AX229*BA229)</f>
        <v>924</v>
      </c>
      <c r="BC229" s="32">
        <f t="shared" ref="BC229:BC260" si="516">IF(AX229="","",BB229/(AT229*100))</f>
        <v>0.16800000000000001</v>
      </c>
      <c r="BD229" s="15"/>
      <c r="BE229" s="2"/>
      <c r="BF229" s="79">
        <f>IF(A229="","",A229)</f>
        <v>46067</v>
      </c>
      <c r="BG229" s="240"/>
      <c r="BH229" s="53"/>
      <c r="BI229" s="180" t="str">
        <f t="shared" ref="BI229:BI260" si="517">IF(BH229="","",BH229-BH225)</f>
        <v/>
      </c>
      <c r="BJ229" s="53"/>
      <c r="BK229" s="31" t="str">
        <f t="shared" ref="BK229:BK260" si="518">IF(BJ229="","",BJ229-BJ225)</f>
        <v/>
      </c>
      <c r="BL229" s="53"/>
      <c r="BM229" s="53" t="str">
        <f t="shared" ref="BM229:BM244" si="519">IF(BL229="","",BL225+BN225-BL229)</f>
        <v/>
      </c>
      <c r="BN229" s="80"/>
      <c r="BO229" s="75" t="str">
        <f t="shared" ref="BO229:BO244" si="520">IF(BH229="","",BO225)</f>
        <v/>
      </c>
      <c r="BP229" s="76" t="str">
        <f t="shared" ref="BP229:BP244" si="521">IF(BI229="","",BP225)</f>
        <v/>
      </c>
      <c r="BQ229" s="31" t="str">
        <f t="shared" ref="BQ229:BQ260" si="522">IF(BL229="","",BM229*BP229)</f>
        <v/>
      </c>
      <c r="BR229" s="32" t="str">
        <f t="shared" ref="BR229:BR260" si="523">IF(BM229="","",BQ229/(BI229*100))</f>
        <v/>
      </c>
      <c r="BS229" s="84"/>
      <c r="BU229" s="79">
        <f>IF($A241="","",$A241)</f>
        <v>46076</v>
      </c>
      <c r="BV229" s="17">
        <v>15718</v>
      </c>
      <c r="BW229" s="13">
        <f t="shared" si="461"/>
        <v>206</v>
      </c>
      <c r="BX229" s="13">
        <v>363</v>
      </c>
      <c r="BY229" s="13">
        <f t="shared" si="462"/>
        <v>3</v>
      </c>
      <c r="BZ229" s="13">
        <v>34</v>
      </c>
      <c r="CA229" s="13">
        <f t="shared" si="463"/>
        <v>3</v>
      </c>
      <c r="CB229" s="13">
        <v>12</v>
      </c>
      <c r="CC229" s="53"/>
      <c r="CD229" s="53">
        <f t="shared" si="464"/>
        <v>688</v>
      </c>
      <c r="CE229" s="13">
        <f t="shared" si="465"/>
        <v>2064</v>
      </c>
      <c r="CF229" s="14">
        <f t="shared" si="466"/>
        <v>0.10019417475728155</v>
      </c>
      <c r="CG229" s="15"/>
      <c r="CH229" s="1"/>
      <c r="CI229" s="79">
        <f>IF($A241="","",$A241)</f>
        <v>46076</v>
      </c>
      <c r="CJ229" s="17">
        <v>30547</v>
      </c>
      <c r="CK229" s="13">
        <f t="shared" si="467"/>
        <v>1986</v>
      </c>
      <c r="CL229" s="13">
        <v>417</v>
      </c>
      <c r="CM229" s="13">
        <f t="shared" si="468"/>
        <v>13</v>
      </c>
      <c r="CN229" s="13">
        <v>26</v>
      </c>
      <c r="CO229" s="13">
        <f t="shared" si="469"/>
        <v>15</v>
      </c>
      <c r="CP229" s="13">
        <v>14</v>
      </c>
      <c r="CQ229" s="53"/>
      <c r="CR229" s="53">
        <f t="shared" si="470"/>
        <v>1500</v>
      </c>
      <c r="CS229" s="13">
        <f t="shared" si="471"/>
        <v>22500</v>
      </c>
      <c r="CT229" s="14">
        <f t="shared" si="472"/>
        <v>0.11329305135951662</v>
      </c>
      <c r="CU229" s="15" t="s">
        <v>479</v>
      </c>
      <c r="CV229" s="1"/>
      <c r="CW229" s="79">
        <f>IF($A241="","",$A241)</f>
        <v>46076</v>
      </c>
      <c r="CX229" s="17">
        <v>13686</v>
      </c>
      <c r="CY229" s="13">
        <f t="shared" si="473"/>
        <v>138</v>
      </c>
      <c r="CZ229" s="13">
        <v>260</v>
      </c>
      <c r="DA229" s="13">
        <f t="shared" si="474"/>
        <v>3</v>
      </c>
      <c r="DB229" s="13">
        <v>49</v>
      </c>
      <c r="DC229" s="13">
        <f t="shared" si="475"/>
        <v>3</v>
      </c>
      <c r="DD229" s="13">
        <v>11</v>
      </c>
      <c r="DE229" s="53"/>
      <c r="DF229" s="53">
        <f t="shared" si="476"/>
        <v>880</v>
      </c>
      <c r="DG229" s="13">
        <f t="shared" si="477"/>
        <v>2640</v>
      </c>
      <c r="DH229" s="14">
        <f t="shared" si="478"/>
        <v>0.19130434782608696</v>
      </c>
      <c r="DI229" s="15"/>
      <c r="DJ229" s="1"/>
      <c r="DK229" s="79">
        <f>IF($A241="","",$A241)</f>
        <v>46076</v>
      </c>
      <c r="DL229" s="17">
        <v>10347</v>
      </c>
      <c r="DM229" s="13">
        <f t="shared" si="479"/>
        <v>61</v>
      </c>
      <c r="DN229" s="13">
        <v>291</v>
      </c>
      <c r="DO229" s="13">
        <f t="shared" si="480"/>
        <v>0</v>
      </c>
      <c r="DP229" s="13">
        <v>43</v>
      </c>
      <c r="DQ229" s="13">
        <f t="shared" si="481"/>
        <v>0</v>
      </c>
      <c r="DR229" s="13">
        <v>0</v>
      </c>
      <c r="DS229" s="53"/>
      <c r="DT229" s="53">
        <f t="shared" si="482"/>
        <v>1100</v>
      </c>
      <c r="DU229" s="13">
        <f t="shared" si="483"/>
        <v>0</v>
      </c>
      <c r="DV229" s="14">
        <f t="shared" si="484"/>
        <v>0</v>
      </c>
      <c r="DW229" s="15" t="s">
        <v>478</v>
      </c>
      <c r="DY229" s="79">
        <f>IF($A241="","",$A241)</f>
        <v>46076</v>
      </c>
      <c r="DZ229" s="17">
        <v>591</v>
      </c>
      <c r="EA229" s="13">
        <f t="shared" si="485"/>
        <v>160</v>
      </c>
      <c r="EB229" s="13">
        <v>37</v>
      </c>
      <c r="EC229" s="13">
        <f t="shared" si="486"/>
        <v>15</v>
      </c>
      <c r="ED229" s="13">
        <v>47</v>
      </c>
      <c r="EE229" s="13">
        <f t="shared" si="487"/>
        <v>15</v>
      </c>
      <c r="EF229" s="13">
        <v>13</v>
      </c>
      <c r="EG229" s="53"/>
      <c r="EH229" s="53">
        <f t="shared" si="488"/>
        <v>950</v>
      </c>
      <c r="EI229" s="13">
        <f t="shared" si="489"/>
        <v>14250</v>
      </c>
      <c r="EJ229" s="14">
        <f t="shared" si="490"/>
        <v>0.890625</v>
      </c>
      <c r="EK229" s="178" t="s">
        <v>475</v>
      </c>
    </row>
    <row r="230" spans="1:142" x14ac:dyDescent="0.2">
      <c r="A230" s="16"/>
      <c r="B230" s="11"/>
      <c r="C230" s="13">
        <v>5850</v>
      </c>
      <c r="D230" s="53">
        <f t="shared" si="491"/>
        <v>19</v>
      </c>
      <c r="E230" s="13">
        <v>386</v>
      </c>
      <c r="F230" s="13">
        <f t="shared" si="492"/>
        <v>0</v>
      </c>
      <c r="G230" s="13">
        <v>50</v>
      </c>
      <c r="H230" s="13">
        <f t="shared" si="493"/>
        <v>0</v>
      </c>
      <c r="I230" s="17">
        <v>0</v>
      </c>
      <c r="J230" s="56" t="str">
        <f t="shared" si="494"/>
        <v>電ブル</v>
      </c>
      <c r="K230" s="54">
        <f t="shared" si="495"/>
        <v>275</v>
      </c>
      <c r="L230" s="13">
        <f t="shared" si="496"/>
        <v>0</v>
      </c>
      <c r="M230" s="14">
        <f t="shared" si="497"/>
        <v>0</v>
      </c>
      <c r="N230" s="15"/>
      <c r="O230" s="2"/>
      <c r="P230" s="16"/>
      <c r="Q230" s="13">
        <v>4533</v>
      </c>
      <c r="R230" s="127">
        <f t="shared" si="498"/>
        <v>5</v>
      </c>
      <c r="S230" s="13">
        <v>143</v>
      </c>
      <c r="T230" s="13">
        <f t="shared" si="499"/>
        <v>0</v>
      </c>
      <c r="U230" s="13">
        <v>11</v>
      </c>
      <c r="V230" s="13">
        <f t="shared" si="500"/>
        <v>0</v>
      </c>
      <c r="W230" s="17">
        <v>0</v>
      </c>
      <c r="X230" s="56" t="str">
        <f>IF(Q230="","",X226)</f>
        <v>ギャルキティマスコット</v>
      </c>
      <c r="Y230" s="54">
        <f>IF(R230="","",Y226)</f>
        <v>1100</v>
      </c>
      <c r="Z230" s="13">
        <f t="shared" si="501"/>
        <v>0</v>
      </c>
      <c r="AA230" s="14">
        <f t="shared" si="502"/>
        <v>0</v>
      </c>
      <c r="AB230" s="15" t="s">
        <v>467</v>
      </c>
      <c r="AC230" s="15"/>
      <c r="AD230" s="16"/>
      <c r="AE230" s="13">
        <v>10673</v>
      </c>
      <c r="AF230" s="53">
        <f t="shared" si="503"/>
        <v>36</v>
      </c>
      <c r="AG230" s="13">
        <v>228</v>
      </c>
      <c r="AH230" s="13">
        <f t="shared" si="504"/>
        <v>0</v>
      </c>
      <c r="AI230" s="13">
        <v>11</v>
      </c>
      <c r="AJ230" s="13">
        <f t="shared" si="505"/>
        <v>0</v>
      </c>
      <c r="AK230" s="17">
        <v>1</v>
      </c>
      <c r="AL230" s="56" t="str">
        <f t="shared" si="506"/>
        <v>キティししっぽ付きポーチ</v>
      </c>
      <c r="AM230" s="54">
        <f t="shared" si="507"/>
        <v>0</v>
      </c>
      <c r="AN230" s="13">
        <f t="shared" si="508"/>
        <v>0</v>
      </c>
      <c r="AO230" s="14">
        <f t="shared" si="509"/>
        <v>0</v>
      </c>
      <c r="AP230" s="15"/>
      <c r="AQ230" s="113"/>
      <c r="AR230" s="16"/>
      <c r="AS230" s="13">
        <v>8446</v>
      </c>
      <c r="AT230" s="53">
        <f t="shared" si="510"/>
        <v>53</v>
      </c>
      <c r="AU230" s="13">
        <v>425</v>
      </c>
      <c r="AV230" s="13">
        <f t="shared" si="511"/>
        <v>1</v>
      </c>
      <c r="AW230" s="13">
        <v>11</v>
      </c>
      <c r="AX230" s="13">
        <f t="shared" si="512"/>
        <v>0</v>
      </c>
      <c r="AY230" s="17">
        <v>0</v>
      </c>
      <c r="AZ230" s="56" t="str">
        <f t="shared" si="513"/>
        <v>キティフェイスポーチ</v>
      </c>
      <c r="BA230" s="54">
        <f t="shared" si="514"/>
        <v>673</v>
      </c>
      <c r="BB230" s="13">
        <f t="shared" si="515"/>
        <v>0</v>
      </c>
      <c r="BC230" s="14">
        <f t="shared" si="516"/>
        <v>0</v>
      </c>
      <c r="BD230" s="15"/>
      <c r="BE230" s="2"/>
      <c r="BF230" s="16"/>
      <c r="BG230" s="7"/>
      <c r="BH230" s="13"/>
      <c r="BI230" s="180" t="str">
        <f t="shared" si="517"/>
        <v/>
      </c>
      <c r="BJ230" s="13"/>
      <c r="BK230" s="13" t="str">
        <f t="shared" si="518"/>
        <v/>
      </c>
      <c r="BL230" s="13"/>
      <c r="BM230" s="13" t="str">
        <f t="shared" si="519"/>
        <v/>
      </c>
      <c r="BN230" s="17"/>
      <c r="BO230" s="56" t="str">
        <f t="shared" si="520"/>
        <v/>
      </c>
      <c r="BP230" s="54" t="str">
        <f t="shared" si="521"/>
        <v/>
      </c>
      <c r="BQ230" s="13" t="str">
        <f t="shared" si="522"/>
        <v/>
      </c>
      <c r="BR230" s="14" t="str">
        <f t="shared" si="523"/>
        <v/>
      </c>
      <c r="BS230" s="15"/>
      <c r="BU230" s="79">
        <f>IF($A245="","",$A245)</f>
        <v>46080</v>
      </c>
      <c r="BV230" s="17">
        <v>15882</v>
      </c>
      <c r="BW230" s="13">
        <f t="shared" si="461"/>
        <v>164</v>
      </c>
      <c r="BX230" s="13">
        <v>366</v>
      </c>
      <c r="BY230" s="13">
        <f t="shared" si="462"/>
        <v>3</v>
      </c>
      <c r="BZ230" s="13">
        <v>41</v>
      </c>
      <c r="CA230" s="13">
        <f t="shared" si="463"/>
        <v>5</v>
      </c>
      <c r="CB230" s="13">
        <v>2</v>
      </c>
      <c r="CC230" s="53"/>
      <c r="CD230" s="53">
        <f t="shared" si="464"/>
        <v>688</v>
      </c>
      <c r="CE230" s="13">
        <f t="shared" si="465"/>
        <v>3440</v>
      </c>
      <c r="CF230" s="14">
        <f t="shared" si="466"/>
        <v>0.2097560975609756</v>
      </c>
      <c r="CG230" s="15"/>
      <c r="CH230" s="1"/>
      <c r="CI230" s="79">
        <f>IF($A245="","",$A245)</f>
        <v>46080</v>
      </c>
      <c r="CJ230" s="17">
        <v>32027</v>
      </c>
      <c r="CK230" s="13">
        <f t="shared" si="467"/>
        <v>1480</v>
      </c>
      <c r="CL230" s="13">
        <v>432</v>
      </c>
      <c r="CM230" s="13">
        <f t="shared" si="468"/>
        <v>15</v>
      </c>
      <c r="CN230" s="13">
        <v>22</v>
      </c>
      <c r="CO230" s="13">
        <f t="shared" si="469"/>
        <v>18</v>
      </c>
      <c r="CP230" s="13">
        <v>24</v>
      </c>
      <c r="CQ230" s="53"/>
      <c r="CR230" s="53">
        <f t="shared" si="470"/>
        <v>1500</v>
      </c>
      <c r="CS230" s="13">
        <f t="shared" si="471"/>
        <v>27000</v>
      </c>
      <c r="CT230" s="14">
        <f t="shared" si="472"/>
        <v>0.18243243243243243</v>
      </c>
      <c r="CU230" s="15"/>
      <c r="CV230" s="1"/>
      <c r="CW230" s="79">
        <f>IF($A245="","",$A245)</f>
        <v>46080</v>
      </c>
      <c r="CX230" s="17">
        <v>13809</v>
      </c>
      <c r="CY230" s="13">
        <f t="shared" si="473"/>
        <v>123</v>
      </c>
      <c r="CZ230" s="13">
        <v>262</v>
      </c>
      <c r="DA230" s="13">
        <f t="shared" si="474"/>
        <v>2</v>
      </c>
      <c r="DB230" s="13">
        <v>57</v>
      </c>
      <c r="DC230" s="13">
        <f t="shared" si="475"/>
        <v>3</v>
      </c>
      <c r="DD230" s="13">
        <v>0</v>
      </c>
      <c r="DE230" s="53"/>
      <c r="DF230" s="53">
        <f t="shared" si="476"/>
        <v>880</v>
      </c>
      <c r="DG230" s="13">
        <f t="shared" si="477"/>
        <v>2640</v>
      </c>
      <c r="DH230" s="14">
        <f t="shared" si="478"/>
        <v>0.21463414634146341</v>
      </c>
      <c r="DI230" s="15"/>
      <c r="DJ230" s="1"/>
      <c r="DK230" s="79">
        <f>IF($A245="","",$A245)</f>
        <v>46080</v>
      </c>
      <c r="DL230" s="17">
        <v>10382</v>
      </c>
      <c r="DM230" s="13">
        <f t="shared" si="479"/>
        <v>35</v>
      </c>
      <c r="DN230" s="13">
        <v>295</v>
      </c>
      <c r="DO230" s="13">
        <f t="shared" si="480"/>
        <v>4</v>
      </c>
      <c r="DP230" s="13">
        <v>40</v>
      </c>
      <c r="DQ230" s="13">
        <f t="shared" si="481"/>
        <v>3</v>
      </c>
      <c r="DR230" s="13">
        <v>3</v>
      </c>
      <c r="DS230" s="53"/>
      <c r="DT230" s="53">
        <f t="shared" si="482"/>
        <v>1100</v>
      </c>
      <c r="DU230" s="13">
        <f t="shared" si="483"/>
        <v>3300</v>
      </c>
      <c r="DV230" s="14">
        <f t="shared" si="484"/>
        <v>0.94285714285714284</v>
      </c>
      <c r="DW230" s="15"/>
      <c r="DY230" s="79">
        <f>IF($A245="","",$A245)</f>
        <v>46080</v>
      </c>
      <c r="DZ230" s="17">
        <v>677</v>
      </c>
      <c r="EA230" s="13">
        <f t="shared" si="485"/>
        <v>86</v>
      </c>
      <c r="EB230" s="13">
        <v>47</v>
      </c>
      <c r="EC230" s="13">
        <f t="shared" si="486"/>
        <v>10</v>
      </c>
      <c r="ED230" s="13">
        <v>41</v>
      </c>
      <c r="EE230" s="13">
        <f t="shared" si="487"/>
        <v>19</v>
      </c>
      <c r="EF230" s="13">
        <v>15</v>
      </c>
      <c r="EG230" s="53"/>
      <c r="EH230" s="53">
        <f t="shared" si="488"/>
        <v>950</v>
      </c>
      <c r="EI230" s="13">
        <f t="shared" si="489"/>
        <v>18050</v>
      </c>
      <c r="EJ230" s="14">
        <f t="shared" si="490"/>
        <v>2.0988372093023258</v>
      </c>
      <c r="EK230" s="15"/>
    </row>
    <row r="231" spans="1:142" x14ac:dyDescent="0.2">
      <c r="A231" s="16"/>
      <c r="B231" s="11"/>
      <c r="C231" s="13">
        <v>12046</v>
      </c>
      <c r="D231" s="63">
        <f t="shared" si="491"/>
        <v>51</v>
      </c>
      <c r="E231" s="13">
        <v>639</v>
      </c>
      <c r="F231" s="13">
        <f t="shared" si="492"/>
        <v>1</v>
      </c>
      <c r="G231" s="13">
        <v>17</v>
      </c>
      <c r="H231" s="13">
        <f t="shared" si="493"/>
        <v>1</v>
      </c>
      <c r="I231" s="49">
        <v>0</v>
      </c>
      <c r="J231" s="56" t="str">
        <f t="shared" si="494"/>
        <v>ゲーム機イヤホン</v>
      </c>
      <c r="K231" s="13">
        <f t="shared" si="495"/>
        <v>1100</v>
      </c>
      <c r="L231" s="13">
        <f t="shared" si="496"/>
        <v>1100</v>
      </c>
      <c r="M231" s="14">
        <f t="shared" si="497"/>
        <v>0.21568627450980393</v>
      </c>
      <c r="N231" s="15"/>
      <c r="O231" s="2"/>
      <c r="P231" s="16"/>
      <c r="Q231" s="13">
        <v>8078</v>
      </c>
      <c r="R231" s="63">
        <f t="shared" si="498"/>
        <v>37</v>
      </c>
      <c r="S231" s="13">
        <v>169</v>
      </c>
      <c r="T231" s="13">
        <f t="shared" si="499"/>
        <v>1</v>
      </c>
      <c r="U231" s="13">
        <v>17</v>
      </c>
      <c r="V231" s="13">
        <f t="shared" si="500"/>
        <v>1</v>
      </c>
      <c r="W231" s="49">
        <v>1</v>
      </c>
      <c r="X231" s="56" t="s">
        <v>468</v>
      </c>
      <c r="Y231" s="13">
        <v>850</v>
      </c>
      <c r="Z231" s="13">
        <f t="shared" si="501"/>
        <v>850</v>
      </c>
      <c r="AA231" s="14">
        <f t="shared" si="502"/>
        <v>0.22972972972972974</v>
      </c>
      <c r="AB231" s="15"/>
      <c r="AC231" s="15"/>
      <c r="AD231" s="16"/>
      <c r="AE231" s="13">
        <v>12748</v>
      </c>
      <c r="AF231" s="63">
        <f t="shared" si="503"/>
        <v>11</v>
      </c>
      <c r="AG231" s="13">
        <v>352</v>
      </c>
      <c r="AH231" s="13">
        <f t="shared" si="504"/>
        <v>0</v>
      </c>
      <c r="AI231" s="13">
        <v>14</v>
      </c>
      <c r="AJ231" s="13">
        <f t="shared" si="505"/>
        <v>0</v>
      </c>
      <c r="AK231" s="49">
        <v>0</v>
      </c>
      <c r="AL231" s="56" t="str">
        <f t="shared" si="506"/>
        <v>ゲームアーク</v>
      </c>
      <c r="AM231" s="13">
        <f t="shared" si="507"/>
        <v>682</v>
      </c>
      <c r="AN231" s="13">
        <f t="shared" si="508"/>
        <v>0</v>
      </c>
      <c r="AO231" s="14">
        <f t="shared" si="509"/>
        <v>0</v>
      </c>
      <c r="AP231" s="15"/>
      <c r="AQ231" s="113"/>
      <c r="AR231" s="16"/>
      <c r="AS231" s="13">
        <v>15315</v>
      </c>
      <c r="AT231" s="63">
        <f t="shared" si="510"/>
        <v>48</v>
      </c>
      <c r="AU231" s="13">
        <v>525</v>
      </c>
      <c r="AV231" s="13">
        <f t="shared" si="511"/>
        <v>0</v>
      </c>
      <c r="AW231" s="13">
        <v>14</v>
      </c>
      <c r="AX231" s="13">
        <f t="shared" si="512"/>
        <v>0</v>
      </c>
      <c r="AY231" s="49">
        <v>6</v>
      </c>
      <c r="AZ231" s="56" t="str">
        <f t="shared" si="513"/>
        <v>ラブブキーホルダーおおきめ</v>
      </c>
      <c r="BA231" s="13">
        <f t="shared" si="514"/>
        <v>500</v>
      </c>
      <c r="BB231" s="13">
        <f t="shared" si="515"/>
        <v>0</v>
      </c>
      <c r="BC231" s="14">
        <f t="shared" si="516"/>
        <v>0</v>
      </c>
      <c r="BD231" s="15"/>
      <c r="BE231" s="2"/>
      <c r="BF231" s="16"/>
      <c r="BG231" s="7"/>
      <c r="BH231" s="13"/>
      <c r="BI231" s="181" t="str">
        <f t="shared" si="517"/>
        <v/>
      </c>
      <c r="BJ231" s="13"/>
      <c r="BK231" s="13" t="str">
        <f t="shared" si="518"/>
        <v/>
      </c>
      <c r="BL231" s="13"/>
      <c r="BM231" s="13" t="str">
        <f t="shared" si="519"/>
        <v/>
      </c>
      <c r="BN231" s="49"/>
      <c r="BO231" s="56" t="str">
        <f t="shared" si="520"/>
        <v/>
      </c>
      <c r="BP231" s="13" t="str">
        <f t="shared" si="521"/>
        <v/>
      </c>
      <c r="BQ231" s="13" t="str">
        <f t="shared" si="522"/>
        <v/>
      </c>
      <c r="BR231" s="14" t="str">
        <f t="shared" si="523"/>
        <v/>
      </c>
      <c r="BS231" s="15"/>
      <c r="BU231" s="79">
        <f>IF($A249="","",$A249)</f>
        <v>46083</v>
      </c>
      <c r="BV231" s="17">
        <v>16149</v>
      </c>
      <c r="BW231" s="13">
        <f t="shared" si="461"/>
        <v>267</v>
      </c>
      <c r="BX231" s="13">
        <v>370</v>
      </c>
      <c r="BY231" s="13">
        <f t="shared" si="462"/>
        <v>4</v>
      </c>
      <c r="BZ231" s="13">
        <v>38</v>
      </c>
      <c r="CA231" s="13">
        <f t="shared" si="463"/>
        <v>5</v>
      </c>
      <c r="CB231" s="13">
        <v>5</v>
      </c>
      <c r="CC231" s="53"/>
      <c r="CD231" s="53">
        <f t="shared" si="464"/>
        <v>688</v>
      </c>
      <c r="CE231" s="13">
        <f t="shared" si="465"/>
        <v>3440</v>
      </c>
      <c r="CF231" s="14">
        <f t="shared" si="466"/>
        <v>0.12883895131086143</v>
      </c>
      <c r="CG231" s="15"/>
      <c r="CH231" s="1"/>
      <c r="CI231" s="79">
        <f>IF($A249="","",$A249)</f>
        <v>46083</v>
      </c>
      <c r="CJ231" s="17">
        <v>33206</v>
      </c>
      <c r="CK231" s="13">
        <f t="shared" si="467"/>
        <v>1179</v>
      </c>
      <c r="CL231" s="13">
        <v>444</v>
      </c>
      <c r="CM231" s="13">
        <f t="shared" si="468"/>
        <v>12</v>
      </c>
      <c r="CN231" s="13">
        <v>26</v>
      </c>
      <c r="CO231" s="13">
        <f t="shared" si="469"/>
        <v>20</v>
      </c>
      <c r="CP231" s="13">
        <v>16</v>
      </c>
      <c r="CQ231" s="53"/>
      <c r="CR231" s="53">
        <f t="shared" si="470"/>
        <v>1500</v>
      </c>
      <c r="CS231" s="13">
        <f t="shared" si="471"/>
        <v>30000</v>
      </c>
      <c r="CT231" s="14">
        <f t="shared" si="472"/>
        <v>0.2544529262086514</v>
      </c>
      <c r="CU231" s="15"/>
      <c r="CV231" s="1"/>
      <c r="CW231" s="79">
        <f>IF($A249="","",$A249)</f>
        <v>46083</v>
      </c>
      <c r="CX231" s="17">
        <v>13995</v>
      </c>
      <c r="CY231" s="13">
        <f t="shared" si="473"/>
        <v>186</v>
      </c>
      <c r="CZ231" s="13">
        <v>269</v>
      </c>
      <c r="DA231" s="13">
        <f t="shared" si="474"/>
        <v>7</v>
      </c>
      <c r="DB231" s="13">
        <v>50</v>
      </c>
      <c r="DC231" s="13">
        <f t="shared" si="475"/>
        <v>7</v>
      </c>
      <c r="DD231" s="13">
        <v>6</v>
      </c>
      <c r="DE231" s="53"/>
      <c r="DF231" s="53">
        <f t="shared" si="476"/>
        <v>880</v>
      </c>
      <c r="DG231" s="13">
        <f t="shared" si="477"/>
        <v>6160</v>
      </c>
      <c r="DH231" s="14">
        <f t="shared" si="478"/>
        <v>0.33118279569892473</v>
      </c>
      <c r="DI231" s="15"/>
      <c r="DJ231" s="1"/>
      <c r="DK231" s="79">
        <f>IF($A249="","",$A249)</f>
        <v>46083</v>
      </c>
      <c r="DL231" s="17">
        <v>10543</v>
      </c>
      <c r="DM231" s="13">
        <f t="shared" si="479"/>
        <v>161</v>
      </c>
      <c r="DN231" s="13">
        <v>300</v>
      </c>
      <c r="DO231" s="13">
        <f t="shared" si="480"/>
        <v>5</v>
      </c>
      <c r="DP231" s="13">
        <v>36</v>
      </c>
      <c r="DQ231" s="13">
        <f t="shared" si="481"/>
        <v>7</v>
      </c>
      <c r="DR231" s="13">
        <v>3</v>
      </c>
      <c r="DS231" s="53"/>
      <c r="DT231" s="53">
        <f t="shared" si="482"/>
        <v>1100</v>
      </c>
      <c r="DU231" s="13">
        <f t="shared" si="483"/>
        <v>7700</v>
      </c>
      <c r="DV231" s="14">
        <f t="shared" si="484"/>
        <v>0.47826086956521741</v>
      </c>
      <c r="DW231" s="15"/>
      <c r="DY231" s="79">
        <f>IF($A249="","",$A249)</f>
        <v>46083</v>
      </c>
      <c r="DZ231" s="17">
        <v>769</v>
      </c>
      <c r="EA231" s="13">
        <f t="shared" si="485"/>
        <v>92</v>
      </c>
      <c r="EB231" s="13">
        <v>52</v>
      </c>
      <c r="EC231" s="13">
        <f t="shared" si="486"/>
        <v>5</v>
      </c>
      <c r="ED231" s="13">
        <v>50</v>
      </c>
      <c r="EE231" s="13">
        <f t="shared" si="487"/>
        <v>6</v>
      </c>
      <c r="EF231" s="13">
        <v>12</v>
      </c>
      <c r="EG231" s="53"/>
      <c r="EH231" s="53">
        <f t="shared" si="488"/>
        <v>950</v>
      </c>
      <c r="EI231" s="13">
        <f t="shared" si="489"/>
        <v>5700</v>
      </c>
      <c r="EJ231" s="14">
        <f t="shared" si="490"/>
        <v>0.61956521739130432</v>
      </c>
      <c r="EK231" s="15"/>
    </row>
    <row r="232" spans="1:142" ht="15" customHeight="1" thickBot="1" x14ac:dyDescent="0.25">
      <c r="A232" s="26"/>
      <c r="B232" s="46"/>
      <c r="C232" s="27">
        <v>7588</v>
      </c>
      <c r="D232" s="93">
        <f t="shared" si="491"/>
        <v>8</v>
      </c>
      <c r="E232" s="62">
        <v>488</v>
      </c>
      <c r="F232" s="27">
        <f t="shared" si="492"/>
        <v>0</v>
      </c>
      <c r="G232" s="27">
        <v>2</v>
      </c>
      <c r="H232" s="27">
        <f t="shared" si="493"/>
        <v>0</v>
      </c>
      <c r="I232" s="47">
        <v>0</v>
      </c>
      <c r="J232" s="57" t="str">
        <f t="shared" si="494"/>
        <v>モンチッチフェイスポーチ</v>
      </c>
      <c r="K232" s="62">
        <f t="shared" si="495"/>
        <v>900</v>
      </c>
      <c r="L232" s="27">
        <f t="shared" si="496"/>
        <v>0</v>
      </c>
      <c r="M232" s="28">
        <f t="shared" si="497"/>
        <v>0</v>
      </c>
      <c r="N232" s="15"/>
      <c r="O232" s="2"/>
      <c r="P232" s="26"/>
      <c r="Q232" s="27">
        <v>10684</v>
      </c>
      <c r="R232" s="61">
        <f t="shared" si="498"/>
        <v>284</v>
      </c>
      <c r="S232" s="62">
        <v>283</v>
      </c>
      <c r="T232" s="27">
        <f t="shared" si="499"/>
        <v>23</v>
      </c>
      <c r="U232" s="27">
        <v>20</v>
      </c>
      <c r="V232" s="27">
        <f t="shared" si="500"/>
        <v>22</v>
      </c>
      <c r="W232" s="47">
        <v>20</v>
      </c>
      <c r="X232" s="57" t="str">
        <f t="shared" ref="X232:X260" si="524">IF(Q232="","",X228)</f>
        <v>ボンボンドロップ</v>
      </c>
      <c r="Y232" s="62">
        <f t="shared" ref="Y232:Y260" si="525">IF(R232="","",Y228)</f>
        <v>200</v>
      </c>
      <c r="Z232" s="27">
        <f t="shared" si="501"/>
        <v>4400</v>
      </c>
      <c r="AA232" s="28">
        <f t="shared" si="502"/>
        <v>0.15492957746478872</v>
      </c>
      <c r="AB232" s="15"/>
      <c r="AC232" s="15"/>
      <c r="AD232" s="26"/>
      <c r="AE232" s="27">
        <v>12562</v>
      </c>
      <c r="AF232" s="61">
        <f t="shared" si="503"/>
        <v>24</v>
      </c>
      <c r="AG232" s="62">
        <v>316</v>
      </c>
      <c r="AH232" s="27">
        <f t="shared" si="504"/>
        <v>0</v>
      </c>
      <c r="AI232" s="27">
        <v>19</v>
      </c>
      <c r="AJ232" s="27">
        <f t="shared" si="505"/>
        <v>0</v>
      </c>
      <c r="AK232" s="47">
        <v>0</v>
      </c>
      <c r="AL232" s="57" t="str">
        <f t="shared" si="506"/>
        <v>モンチッチマスコット2</v>
      </c>
      <c r="AM232" s="62">
        <f t="shared" si="507"/>
        <v>605</v>
      </c>
      <c r="AN232" s="27">
        <f t="shared" si="508"/>
        <v>0</v>
      </c>
      <c r="AO232" s="28">
        <f t="shared" si="509"/>
        <v>0</v>
      </c>
      <c r="AP232" s="15"/>
      <c r="AQ232" s="113"/>
      <c r="AR232" s="26"/>
      <c r="AS232" s="27">
        <v>15836</v>
      </c>
      <c r="AT232" s="61">
        <f t="shared" si="510"/>
        <v>21</v>
      </c>
      <c r="AU232" s="62">
        <v>457</v>
      </c>
      <c r="AV232" s="27">
        <f t="shared" si="511"/>
        <v>0</v>
      </c>
      <c r="AW232" s="27">
        <v>34</v>
      </c>
      <c r="AX232" s="27">
        <f t="shared" si="512"/>
        <v>1</v>
      </c>
      <c r="AY232" s="47">
        <v>10</v>
      </c>
      <c r="AZ232" s="57" t="str">
        <f t="shared" si="513"/>
        <v>ラブブマスコット</v>
      </c>
      <c r="BA232" s="62">
        <f t="shared" si="514"/>
        <v>400</v>
      </c>
      <c r="BB232" s="27">
        <f t="shared" si="515"/>
        <v>400</v>
      </c>
      <c r="BC232" s="28">
        <f t="shared" si="516"/>
        <v>0.19047619047619047</v>
      </c>
      <c r="BD232" s="15"/>
      <c r="BE232" s="2"/>
      <c r="BF232" s="26"/>
      <c r="BG232" s="241"/>
      <c r="BH232" s="27"/>
      <c r="BI232" s="182" t="str">
        <f t="shared" si="517"/>
        <v/>
      </c>
      <c r="BJ232" s="62"/>
      <c r="BK232" s="27" t="str">
        <f t="shared" si="518"/>
        <v/>
      </c>
      <c r="BL232" s="27"/>
      <c r="BM232" s="27" t="str">
        <f t="shared" si="519"/>
        <v/>
      </c>
      <c r="BN232" s="47"/>
      <c r="BO232" s="57" t="str">
        <f t="shared" si="520"/>
        <v/>
      </c>
      <c r="BP232" s="62" t="str">
        <f t="shared" si="521"/>
        <v/>
      </c>
      <c r="BQ232" s="27" t="str">
        <f t="shared" si="522"/>
        <v/>
      </c>
      <c r="BR232" s="28" t="str">
        <f t="shared" si="523"/>
        <v/>
      </c>
      <c r="BS232" s="15"/>
      <c r="BU232" s="79">
        <f>IF($A253="","",$A253)</f>
        <v>46087</v>
      </c>
      <c r="BV232" s="17">
        <v>16187</v>
      </c>
      <c r="BW232" s="13">
        <f t="shared" si="461"/>
        <v>38</v>
      </c>
      <c r="BX232" s="13">
        <v>372</v>
      </c>
      <c r="BY232" s="13">
        <f t="shared" si="462"/>
        <v>2</v>
      </c>
      <c r="BZ232" s="13">
        <v>40</v>
      </c>
      <c r="CA232" s="13">
        <f t="shared" si="463"/>
        <v>3</v>
      </c>
      <c r="CB232" s="13">
        <v>20</v>
      </c>
      <c r="CC232" s="53"/>
      <c r="CD232" s="53">
        <f t="shared" si="464"/>
        <v>688</v>
      </c>
      <c r="CE232" s="13">
        <f t="shared" si="465"/>
        <v>2064</v>
      </c>
      <c r="CF232" s="14">
        <f t="shared" si="466"/>
        <v>0.54315789473684206</v>
      </c>
      <c r="CG232" s="15" t="s">
        <v>490</v>
      </c>
      <c r="CH232" s="1"/>
      <c r="CI232" s="79">
        <f>IF($A253="","",$A253)</f>
        <v>46087</v>
      </c>
      <c r="CJ232" s="17">
        <v>34041</v>
      </c>
      <c r="CK232" s="13">
        <f t="shared" si="467"/>
        <v>835</v>
      </c>
      <c r="CL232" s="13">
        <v>453</v>
      </c>
      <c r="CM232" s="13">
        <f t="shared" si="468"/>
        <v>9</v>
      </c>
      <c r="CN232" s="13">
        <v>31</v>
      </c>
      <c r="CO232" s="13">
        <f t="shared" si="469"/>
        <v>11</v>
      </c>
      <c r="CP232" s="13">
        <v>6</v>
      </c>
      <c r="CQ232" s="53"/>
      <c r="CR232" s="53">
        <f t="shared" si="470"/>
        <v>1500</v>
      </c>
      <c r="CS232" s="13">
        <f t="shared" si="471"/>
        <v>16500</v>
      </c>
      <c r="CT232" s="14">
        <f t="shared" si="472"/>
        <v>0.19760479041916168</v>
      </c>
      <c r="CU232" s="15"/>
      <c r="CV232" s="1"/>
      <c r="CW232" s="79">
        <f>IF($A253="","",$A253)</f>
        <v>46087</v>
      </c>
      <c r="CX232" s="17">
        <v>14103</v>
      </c>
      <c r="CY232" s="13">
        <f t="shared" si="473"/>
        <v>108</v>
      </c>
      <c r="CZ232" s="13">
        <v>271</v>
      </c>
      <c r="DA232" s="13">
        <f t="shared" si="474"/>
        <v>2</v>
      </c>
      <c r="DB232" s="13">
        <v>54</v>
      </c>
      <c r="DC232" s="13">
        <f t="shared" si="475"/>
        <v>2</v>
      </c>
      <c r="DD232" s="13">
        <v>0</v>
      </c>
      <c r="DE232" s="53"/>
      <c r="DF232" s="53">
        <f t="shared" si="476"/>
        <v>880</v>
      </c>
      <c r="DG232" s="13">
        <f t="shared" si="477"/>
        <v>1760</v>
      </c>
      <c r="DH232" s="14">
        <f t="shared" si="478"/>
        <v>0.16296296296296298</v>
      </c>
      <c r="DI232" s="178" t="s">
        <v>475</v>
      </c>
      <c r="DJ232" s="1"/>
      <c r="DK232" s="79">
        <f>IF($A253="","",$A253)</f>
        <v>46087</v>
      </c>
      <c r="DL232" s="17">
        <v>10560</v>
      </c>
      <c r="DM232" s="87">
        <f t="shared" si="479"/>
        <v>17</v>
      </c>
      <c r="DN232" s="13">
        <v>302</v>
      </c>
      <c r="DO232" s="13">
        <f t="shared" si="480"/>
        <v>2</v>
      </c>
      <c r="DP232" s="13">
        <v>36</v>
      </c>
      <c r="DQ232" s="13">
        <f t="shared" si="481"/>
        <v>3</v>
      </c>
      <c r="DR232" s="13">
        <v>0</v>
      </c>
      <c r="DS232" s="53"/>
      <c r="DT232" s="53">
        <f t="shared" si="482"/>
        <v>1100</v>
      </c>
      <c r="DU232" s="13">
        <f t="shared" si="483"/>
        <v>3300</v>
      </c>
      <c r="DV232" s="14">
        <f t="shared" si="484"/>
        <v>1.9411764705882353</v>
      </c>
      <c r="DW232" s="187" t="s">
        <v>489</v>
      </c>
      <c r="DY232" s="79">
        <f>IF($A253="","",$A253)</f>
        <v>46087</v>
      </c>
      <c r="DZ232" s="17">
        <v>824</v>
      </c>
      <c r="EA232" s="13">
        <f t="shared" si="485"/>
        <v>55</v>
      </c>
      <c r="EB232" s="13">
        <v>57</v>
      </c>
      <c r="EC232" s="13">
        <f t="shared" si="486"/>
        <v>5</v>
      </c>
      <c r="ED232" s="13">
        <v>56</v>
      </c>
      <c r="EE232" s="13">
        <f t="shared" si="487"/>
        <v>6</v>
      </c>
      <c r="EF232" s="13">
        <v>0</v>
      </c>
      <c r="EG232" s="53"/>
      <c r="EH232" s="53">
        <f t="shared" si="488"/>
        <v>950</v>
      </c>
      <c r="EI232" s="13">
        <f t="shared" si="489"/>
        <v>5700</v>
      </c>
      <c r="EJ232" s="14">
        <f t="shared" si="490"/>
        <v>1.0363636363636364</v>
      </c>
      <c r="EK232" s="178" t="s">
        <v>475</v>
      </c>
    </row>
    <row r="233" spans="1:142" ht="15" customHeight="1" thickTop="1" x14ac:dyDescent="0.2">
      <c r="A233" s="79">
        <v>46069</v>
      </c>
      <c r="B233" s="74">
        <f>IF(A233="","",SUM(D233:D236)+SUM(R233:R236)+SUM(AF233:AF236)+SUM(AT233:AT236)+SUM(BW227,CK227,CY227,DM227,EA227))</f>
        <v>2919</v>
      </c>
      <c r="C233" s="53">
        <v>6367</v>
      </c>
      <c r="D233" s="53">
        <f t="shared" si="491"/>
        <v>49</v>
      </c>
      <c r="E233" s="53">
        <v>368</v>
      </c>
      <c r="F233" s="31">
        <f t="shared" si="492"/>
        <v>4</v>
      </c>
      <c r="G233" s="53">
        <v>10</v>
      </c>
      <c r="H233" s="53">
        <f t="shared" si="493"/>
        <v>4</v>
      </c>
      <c r="I233" s="53">
        <v>8</v>
      </c>
      <c r="J233" s="75" t="str">
        <f t="shared" si="494"/>
        <v>ジャグラーボタン</v>
      </c>
      <c r="K233" s="76">
        <f t="shared" si="495"/>
        <v>748</v>
      </c>
      <c r="L233" s="31">
        <f t="shared" si="496"/>
        <v>2992</v>
      </c>
      <c r="M233" s="32">
        <f t="shared" si="497"/>
        <v>0.61061224489795918</v>
      </c>
      <c r="N233" s="15" t="s">
        <v>345</v>
      </c>
      <c r="O233" s="2"/>
      <c r="P233" s="79">
        <f>IF(A233="","",A233)</f>
        <v>46069</v>
      </c>
      <c r="Q233" s="53">
        <v>6999</v>
      </c>
      <c r="R233" s="53">
        <f t="shared" si="498"/>
        <v>123</v>
      </c>
      <c r="S233" s="53">
        <v>228</v>
      </c>
      <c r="T233" s="31">
        <f t="shared" si="499"/>
        <v>2</v>
      </c>
      <c r="U233" s="53">
        <v>11</v>
      </c>
      <c r="V233" s="53">
        <f t="shared" si="500"/>
        <v>2</v>
      </c>
      <c r="W233" s="53">
        <v>2</v>
      </c>
      <c r="X233" s="75" t="str">
        <f t="shared" si="524"/>
        <v>キティボアバンスクリップ</v>
      </c>
      <c r="Y233" s="76">
        <f t="shared" si="525"/>
        <v>1100</v>
      </c>
      <c r="Z233" s="31">
        <f t="shared" si="501"/>
        <v>2200</v>
      </c>
      <c r="AA233" s="32">
        <f t="shared" si="502"/>
        <v>0.17886178861788618</v>
      </c>
      <c r="AB233" s="15"/>
      <c r="AC233" s="113"/>
      <c r="AD233" s="146">
        <f>IF($A233="","",$A233)</f>
        <v>46069</v>
      </c>
      <c r="AE233" s="53">
        <v>11002</v>
      </c>
      <c r="AF233" s="53">
        <f t="shared" si="503"/>
        <v>77</v>
      </c>
      <c r="AG233" s="53">
        <v>248</v>
      </c>
      <c r="AH233" s="31">
        <f t="shared" si="504"/>
        <v>0</v>
      </c>
      <c r="AI233" s="53">
        <v>16</v>
      </c>
      <c r="AJ233" s="53">
        <f t="shared" si="505"/>
        <v>2</v>
      </c>
      <c r="AK233" s="53">
        <v>0</v>
      </c>
      <c r="AL233" s="75" t="str">
        <f t="shared" si="506"/>
        <v>サンリオ型押しケース</v>
      </c>
      <c r="AM233" s="76">
        <f t="shared" si="507"/>
        <v>545</v>
      </c>
      <c r="AN233" s="31">
        <f t="shared" si="508"/>
        <v>1090</v>
      </c>
      <c r="AO233" s="32">
        <f t="shared" si="509"/>
        <v>0.14155844155844155</v>
      </c>
      <c r="AP233" s="15"/>
      <c r="AQ233" s="115"/>
      <c r="AR233" s="79">
        <f>IF($A233="","",$A233)</f>
        <v>46069</v>
      </c>
      <c r="AS233" s="53">
        <v>11855</v>
      </c>
      <c r="AT233" s="53">
        <f t="shared" si="510"/>
        <v>49</v>
      </c>
      <c r="AU233" s="53">
        <v>376</v>
      </c>
      <c r="AV233" s="31">
        <f t="shared" si="511"/>
        <v>3</v>
      </c>
      <c r="AW233" s="53">
        <v>19</v>
      </c>
      <c r="AX233" s="53">
        <f t="shared" si="512"/>
        <v>1</v>
      </c>
      <c r="AY233" s="53">
        <v>0</v>
      </c>
      <c r="AZ233" s="75" t="str">
        <f t="shared" si="513"/>
        <v>サンリオヒョウ柄キーケース</v>
      </c>
      <c r="BA233" s="76">
        <f t="shared" si="514"/>
        <v>924</v>
      </c>
      <c r="BB233" s="31">
        <f t="shared" si="515"/>
        <v>924</v>
      </c>
      <c r="BC233" s="32">
        <f t="shared" si="516"/>
        <v>0.18857142857142858</v>
      </c>
      <c r="BD233" s="15"/>
      <c r="BE233" s="2"/>
      <c r="BF233" s="79">
        <f>IF(A233="","",A233)</f>
        <v>46069</v>
      </c>
      <c r="BG233" s="240"/>
      <c r="BH233" s="53"/>
      <c r="BI233" s="180" t="str">
        <f t="shared" si="517"/>
        <v/>
      </c>
      <c r="BJ233" s="53"/>
      <c r="BK233" s="31" t="str">
        <f t="shared" si="518"/>
        <v/>
      </c>
      <c r="BL233" s="53"/>
      <c r="BM233" s="53" t="str">
        <f t="shared" si="519"/>
        <v/>
      </c>
      <c r="BN233" s="53"/>
      <c r="BO233" s="75" t="str">
        <f t="shared" si="520"/>
        <v/>
      </c>
      <c r="BP233" s="76" t="str">
        <f t="shared" si="521"/>
        <v/>
      </c>
      <c r="BQ233" s="31" t="str">
        <f t="shared" si="522"/>
        <v/>
      </c>
      <c r="BR233" s="32" t="str">
        <f t="shared" si="523"/>
        <v/>
      </c>
      <c r="BS233" s="15"/>
      <c r="BT233" s="15"/>
      <c r="BU233" s="79">
        <f>IF($A257="","",$A257)</f>
        <v>46090</v>
      </c>
      <c r="BV233" s="17">
        <v>16411</v>
      </c>
      <c r="BW233" s="13">
        <f t="shared" si="461"/>
        <v>224</v>
      </c>
      <c r="BX233" s="13">
        <v>383</v>
      </c>
      <c r="BY233" s="13">
        <f t="shared" si="462"/>
        <v>11</v>
      </c>
      <c r="BZ233" s="13">
        <v>50</v>
      </c>
      <c r="CA233" s="13">
        <f t="shared" si="463"/>
        <v>10</v>
      </c>
      <c r="CB233" s="13">
        <v>16</v>
      </c>
      <c r="CC233" s="53"/>
      <c r="CD233" s="53">
        <f t="shared" si="464"/>
        <v>688</v>
      </c>
      <c r="CE233" s="13">
        <f t="shared" si="465"/>
        <v>6880</v>
      </c>
      <c r="CF233" s="14">
        <f t="shared" si="466"/>
        <v>0.30714285714285716</v>
      </c>
      <c r="CG233" s="43"/>
      <c r="CH233" s="1"/>
      <c r="CI233" s="79">
        <f>IF($A257="","",$A257)</f>
        <v>46090</v>
      </c>
      <c r="CJ233" s="17">
        <v>35128</v>
      </c>
      <c r="CK233" s="13">
        <f t="shared" si="467"/>
        <v>1087</v>
      </c>
      <c r="CL233" s="13">
        <v>466</v>
      </c>
      <c r="CM233" s="13">
        <f t="shared" si="468"/>
        <v>13</v>
      </c>
      <c r="CN233" s="13">
        <v>22</v>
      </c>
      <c r="CO233" s="13">
        <f t="shared" si="469"/>
        <v>15</v>
      </c>
      <c r="CP233" s="13">
        <v>15</v>
      </c>
      <c r="CQ233" s="53"/>
      <c r="CR233" s="53">
        <f t="shared" si="470"/>
        <v>1500</v>
      </c>
      <c r="CS233" s="13">
        <f t="shared" si="471"/>
        <v>22500</v>
      </c>
      <c r="CT233" s="14">
        <f t="shared" si="472"/>
        <v>0.20699172033118676</v>
      </c>
      <c r="CU233" s="43"/>
      <c r="CV233" s="1"/>
      <c r="CW233" s="79">
        <f>IF($A257="","",$A257)</f>
        <v>46090</v>
      </c>
      <c r="CX233" s="17">
        <v>14354</v>
      </c>
      <c r="CY233" s="13">
        <f t="shared" si="473"/>
        <v>251</v>
      </c>
      <c r="CZ233" s="13">
        <v>273</v>
      </c>
      <c r="DA233" s="13">
        <f t="shared" si="474"/>
        <v>2</v>
      </c>
      <c r="DB233" s="13">
        <v>52</v>
      </c>
      <c r="DC233" s="13">
        <f t="shared" si="475"/>
        <v>2</v>
      </c>
      <c r="DD233" s="13">
        <v>9</v>
      </c>
      <c r="DE233" s="53"/>
      <c r="DF233" s="53">
        <f t="shared" si="476"/>
        <v>880</v>
      </c>
      <c r="DG233" s="13">
        <f t="shared" si="477"/>
        <v>1760</v>
      </c>
      <c r="DH233" s="14">
        <f t="shared" si="478"/>
        <v>7.0119521912350602E-2</v>
      </c>
      <c r="DI233" s="43"/>
      <c r="DJ233" s="1"/>
      <c r="DK233" s="79">
        <f>IF($A257="","",$A257)</f>
        <v>46090</v>
      </c>
      <c r="DL233" s="17">
        <v>10646</v>
      </c>
      <c r="DM233" s="13">
        <f t="shared" si="479"/>
        <v>86</v>
      </c>
      <c r="DN233" s="13">
        <v>305</v>
      </c>
      <c r="DO233" s="13">
        <f t="shared" si="480"/>
        <v>3</v>
      </c>
      <c r="DP233" s="13">
        <v>34</v>
      </c>
      <c r="DQ233" s="13">
        <f t="shared" si="481"/>
        <v>2</v>
      </c>
      <c r="DR233" s="13">
        <v>-16</v>
      </c>
      <c r="DS233" s="53"/>
      <c r="DT233" s="53">
        <f t="shared" si="482"/>
        <v>1100</v>
      </c>
      <c r="DU233" s="13">
        <f t="shared" si="483"/>
        <v>2200</v>
      </c>
      <c r="DV233" s="14">
        <f t="shared" si="484"/>
        <v>0.2558139534883721</v>
      </c>
      <c r="DW233" s="43" t="s">
        <v>495</v>
      </c>
      <c r="DY233" s="79">
        <f>IF($A257="","",$A257)</f>
        <v>46090</v>
      </c>
      <c r="DZ233" s="17">
        <v>915</v>
      </c>
      <c r="EA233" s="13">
        <f t="shared" si="485"/>
        <v>91</v>
      </c>
      <c r="EB233" s="13">
        <v>63</v>
      </c>
      <c r="EC233" s="13">
        <f t="shared" si="486"/>
        <v>6</v>
      </c>
      <c r="ED233" s="13">
        <v>50</v>
      </c>
      <c r="EE233" s="13">
        <f t="shared" si="487"/>
        <v>6</v>
      </c>
      <c r="EF233" s="13">
        <v>22</v>
      </c>
      <c r="EG233" s="53"/>
      <c r="EH233" s="53">
        <f t="shared" si="488"/>
        <v>950</v>
      </c>
      <c r="EI233" s="13">
        <f t="shared" si="489"/>
        <v>5700</v>
      </c>
      <c r="EJ233" s="14">
        <f t="shared" si="490"/>
        <v>0.62637362637362637</v>
      </c>
      <c r="EK233" s="43"/>
    </row>
    <row r="234" spans="1:142" x14ac:dyDescent="0.2">
      <c r="A234" s="16"/>
      <c r="B234" s="11"/>
      <c r="C234" s="13">
        <v>5930</v>
      </c>
      <c r="D234" s="13">
        <f t="shared" si="491"/>
        <v>80</v>
      </c>
      <c r="E234" s="13">
        <v>387</v>
      </c>
      <c r="F234" s="13">
        <f t="shared" si="492"/>
        <v>1</v>
      </c>
      <c r="G234" s="13">
        <v>49</v>
      </c>
      <c r="H234" s="13">
        <f t="shared" si="493"/>
        <v>1</v>
      </c>
      <c r="I234" s="13">
        <v>0</v>
      </c>
      <c r="J234" s="56" t="str">
        <f t="shared" si="494"/>
        <v>電ブル</v>
      </c>
      <c r="K234" s="54">
        <f t="shared" si="495"/>
        <v>275</v>
      </c>
      <c r="L234" s="13">
        <f t="shared" si="496"/>
        <v>275</v>
      </c>
      <c r="M234" s="14">
        <f t="shared" si="497"/>
        <v>3.4375000000000003E-2</v>
      </c>
      <c r="N234" s="15"/>
      <c r="O234" s="2"/>
      <c r="P234" s="16"/>
      <c r="Q234" s="13">
        <v>4548</v>
      </c>
      <c r="R234" s="87">
        <f t="shared" si="498"/>
        <v>15</v>
      </c>
      <c r="S234" s="13">
        <v>143</v>
      </c>
      <c r="T234" s="13">
        <f t="shared" si="499"/>
        <v>0</v>
      </c>
      <c r="U234" s="13">
        <v>10</v>
      </c>
      <c r="V234" s="13">
        <f t="shared" si="500"/>
        <v>1</v>
      </c>
      <c r="W234" s="13">
        <v>8</v>
      </c>
      <c r="X234" s="56" t="str">
        <f t="shared" si="524"/>
        <v>ギャルキティマスコット</v>
      </c>
      <c r="Y234" s="54">
        <f t="shared" si="525"/>
        <v>1100</v>
      </c>
      <c r="Z234" s="13">
        <f t="shared" si="501"/>
        <v>1100</v>
      </c>
      <c r="AA234" s="14">
        <f t="shared" si="502"/>
        <v>0.73333333333333328</v>
      </c>
      <c r="AB234" s="15" t="s">
        <v>472</v>
      </c>
      <c r="AC234" s="113"/>
      <c r="AD234" s="147"/>
      <c r="AE234" s="13">
        <v>10697</v>
      </c>
      <c r="AF234" s="13">
        <f t="shared" si="503"/>
        <v>24</v>
      </c>
      <c r="AG234" s="13">
        <v>229</v>
      </c>
      <c r="AH234" s="13">
        <f t="shared" si="504"/>
        <v>1</v>
      </c>
      <c r="AI234" s="13">
        <v>11</v>
      </c>
      <c r="AJ234" s="13">
        <f t="shared" si="505"/>
        <v>1</v>
      </c>
      <c r="AK234" s="13">
        <v>4</v>
      </c>
      <c r="AL234" s="56" t="str">
        <f t="shared" si="506"/>
        <v>キティししっぽ付きポーチ</v>
      </c>
      <c r="AM234" s="54">
        <f t="shared" si="507"/>
        <v>0</v>
      </c>
      <c r="AN234" s="13">
        <f t="shared" si="508"/>
        <v>0</v>
      </c>
      <c r="AO234" s="14">
        <f t="shared" si="509"/>
        <v>0</v>
      </c>
      <c r="AP234" s="15"/>
      <c r="AQ234" s="115"/>
      <c r="AR234" s="16"/>
      <c r="AS234" s="13">
        <v>8483</v>
      </c>
      <c r="AT234" s="13">
        <f t="shared" si="510"/>
        <v>37</v>
      </c>
      <c r="AU234" s="13">
        <v>426</v>
      </c>
      <c r="AV234" s="13">
        <f t="shared" si="511"/>
        <v>1</v>
      </c>
      <c r="AW234" s="13">
        <v>10</v>
      </c>
      <c r="AX234" s="13">
        <f t="shared" si="512"/>
        <v>1</v>
      </c>
      <c r="AY234" s="13">
        <v>2</v>
      </c>
      <c r="AZ234" s="56" t="str">
        <f t="shared" si="513"/>
        <v>キティフェイスポーチ</v>
      </c>
      <c r="BA234" s="54">
        <f t="shared" si="514"/>
        <v>673</v>
      </c>
      <c r="BB234" s="13">
        <f t="shared" si="515"/>
        <v>673</v>
      </c>
      <c r="BC234" s="14">
        <f t="shared" si="516"/>
        <v>0.18189189189189189</v>
      </c>
      <c r="BD234" s="15"/>
      <c r="BE234" s="2"/>
      <c r="BF234" s="16"/>
      <c r="BG234" s="7"/>
      <c r="BH234" s="13"/>
      <c r="BI234" s="179" t="str">
        <f t="shared" si="517"/>
        <v/>
      </c>
      <c r="BJ234" s="13"/>
      <c r="BK234" s="13" t="str">
        <f t="shared" si="518"/>
        <v/>
      </c>
      <c r="BL234" s="13"/>
      <c r="BM234" s="13" t="str">
        <f t="shared" si="519"/>
        <v/>
      </c>
      <c r="BN234" s="13"/>
      <c r="BO234" s="56" t="str">
        <f t="shared" si="520"/>
        <v/>
      </c>
      <c r="BP234" s="54" t="str">
        <f t="shared" si="521"/>
        <v/>
      </c>
      <c r="BQ234" s="13" t="str">
        <f t="shared" si="522"/>
        <v/>
      </c>
      <c r="BR234" s="14" t="str">
        <f t="shared" si="523"/>
        <v/>
      </c>
      <c r="BS234" s="15"/>
      <c r="BT234" s="15"/>
      <c r="BU234" s="79" t="str">
        <f>IF($A261="","",$A261)</f>
        <v/>
      </c>
      <c r="BV234" s="17"/>
      <c r="BW234" s="13"/>
      <c r="BX234" s="13"/>
      <c r="BY234" s="13"/>
      <c r="BZ234" s="13"/>
      <c r="CA234" s="13"/>
      <c r="CB234" s="13"/>
      <c r="CC234" s="53"/>
      <c r="CD234" s="53"/>
      <c r="CE234" s="13"/>
      <c r="CF234" s="14"/>
      <c r="CG234" s="43"/>
      <c r="CH234" s="1"/>
      <c r="CI234" s="79"/>
      <c r="CJ234" s="17"/>
      <c r="CK234" s="13"/>
      <c r="CL234" s="13"/>
      <c r="CM234" s="13"/>
      <c r="CN234" s="13"/>
      <c r="CO234" s="13"/>
      <c r="CP234" s="13"/>
      <c r="CQ234" s="53"/>
      <c r="CR234" s="53"/>
      <c r="CS234" s="13"/>
      <c r="CT234" s="14"/>
      <c r="CU234" s="43"/>
      <c r="CV234" s="1"/>
      <c r="CW234" s="79"/>
      <c r="CX234" s="17"/>
      <c r="CY234" s="13"/>
      <c r="CZ234" s="13"/>
      <c r="DA234" s="13"/>
      <c r="DB234" s="13"/>
      <c r="DC234" s="13"/>
      <c r="DD234" s="13"/>
      <c r="DE234" s="53"/>
      <c r="DF234" s="53"/>
      <c r="DG234" s="13"/>
      <c r="DH234" s="14"/>
      <c r="DI234" s="43"/>
      <c r="DJ234" s="1"/>
      <c r="DK234" s="79"/>
      <c r="DL234" s="17"/>
      <c r="DM234" s="13"/>
      <c r="DN234" s="13"/>
      <c r="DO234" s="13"/>
      <c r="DP234" s="13"/>
      <c r="DQ234" s="13"/>
      <c r="DR234" s="13"/>
      <c r="DS234" s="53"/>
      <c r="DT234" s="53"/>
      <c r="DU234" s="13"/>
      <c r="DV234" s="14"/>
      <c r="DW234" s="43"/>
      <c r="DY234" s="79"/>
      <c r="DZ234" s="17"/>
      <c r="EA234" s="13"/>
      <c r="EB234" s="13"/>
      <c r="EC234" s="13"/>
      <c r="ED234" s="13"/>
      <c r="EE234" s="13"/>
      <c r="EF234" s="13"/>
      <c r="EG234" s="53"/>
      <c r="EH234" s="53"/>
      <c r="EI234" s="13"/>
      <c r="EJ234" s="14"/>
      <c r="EK234" s="43"/>
    </row>
    <row r="235" spans="1:142" x14ac:dyDescent="0.2">
      <c r="A235" s="16"/>
      <c r="B235" s="11"/>
      <c r="C235" s="13">
        <v>12139</v>
      </c>
      <c r="D235" s="13">
        <f t="shared" si="491"/>
        <v>93</v>
      </c>
      <c r="E235" s="13">
        <v>642</v>
      </c>
      <c r="F235" s="13">
        <f t="shared" si="492"/>
        <v>3</v>
      </c>
      <c r="G235" s="13">
        <v>16</v>
      </c>
      <c r="H235" s="13">
        <f t="shared" si="493"/>
        <v>1</v>
      </c>
      <c r="I235" s="13">
        <v>6</v>
      </c>
      <c r="J235" s="56" t="str">
        <f t="shared" si="494"/>
        <v>ゲーム機イヤホン</v>
      </c>
      <c r="K235" s="13">
        <f t="shared" si="495"/>
        <v>1100</v>
      </c>
      <c r="L235" s="13">
        <f t="shared" si="496"/>
        <v>1100</v>
      </c>
      <c r="M235" s="14">
        <f t="shared" si="497"/>
        <v>0.11827956989247312</v>
      </c>
      <c r="N235" s="15"/>
      <c r="O235" s="2"/>
      <c r="P235" s="16"/>
      <c r="Q235" s="13">
        <v>8139</v>
      </c>
      <c r="R235" s="13">
        <f t="shared" si="498"/>
        <v>61</v>
      </c>
      <c r="S235" s="13">
        <v>169</v>
      </c>
      <c r="T235" s="13">
        <f t="shared" si="499"/>
        <v>0</v>
      </c>
      <c r="U235" s="13">
        <v>18</v>
      </c>
      <c r="V235" s="13">
        <f t="shared" si="500"/>
        <v>0</v>
      </c>
      <c r="W235" s="13">
        <v>0</v>
      </c>
      <c r="X235" s="56" t="str">
        <f t="shared" si="524"/>
        <v>ヤヤマスコット</v>
      </c>
      <c r="Y235" s="13">
        <f t="shared" si="525"/>
        <v>850</v>
      </c>
      <c r="Z235" s="13">
        <f t="shared" si="501"/>
        <v>0</v>
      </c>
      <c r="AA235" s="14">
        <f t="shared" si="502"/>
        <v>0</v>
      </c>
      <c r="AB235" s="15"/>
      <c r="AC235" s="113"/>
      <c r="AD235" s="147"/>
      <c r="AE235" s="13">
        <v>12807</v>
      </c>
      <c r="AF235" s="13">
        <f t="shared" si="503"/>
        <v>59</v>
      </c>
      <c r="AG235" s="13">
        <v>354</v>
      </c>
      <c r="AH235" s="13">
        <f t="shared" si="504"/>
        <v>2</v>
      </c>
      <c r="AI235" s="13">
        <v>12</v>
      </c>
      <c r="AJ235" s="13">
        <f t="shared" si="505"/>
        <v>2</v>
      </c>
      <c r="AK235" s="13">
        <v>0</v>
      </c>
      <c r="AL235" s="56" t="str">
        <f t="shared" si="506"/>
        <v>ゲームアーク</v>
      </c>
      <c r="AM235" s="13">
        <f t="shared" si="507"/>
        <v>682</v>
      </c>
      <c r="AN235" s="13">
        <f t="shared" si="508"/>
        <v>1364</v>
      </c>
      <c r="AO235" s="14">
        <f t="shared" si="509"/>
        <v>0.23118644067796609</v>
      </c>
      <c r="AP235" s="15"/>
      <c r="AQ235" s="115"/>
      <c r="AR235" s="16"/>
      <c r="AS235" s="13">
        <v>15356</v>
      </c>
      <c r="AT235" s="13">
        <f t="shared" si="510"/>
        <v>41</v>
      </c>
      <c r="AU235" s="13">
        <v>526</v>
      </c>
      <c r="AV235" s="13">
        <f t="shared" si="511"/>
        <v>1</v>
      </c>
      <c r="AW235" s="13">
        <v>18</v>
      </c>
      <c r="AX235" s="13">
        <f t="shared" si="512"/>
        <v>2</v>
      </c>
      <c r="AY235" s="13">
        <v>4</v>
      </c>
      <c r="AZ235" s="56" t="str">
        <f t="shared" si="513"/>
        <v>ラブブキーホルダーおおきめ</v>
      </c>
      <c r="BA235" s="13">
        <f t="shared" si="514"/>
        <v>500</v>
      </c>
      <c r="BB235" s="13">
        <f t="shared" si="515"/>
        <v>1000</v>
      </c>
      <c r="BC235" s="14">
        <f t="shared" si="516"/>
        <v>0.24390243902439024</v>
      </c>
      <c r="BD235" s="15"/>
      <c r="BE235" s="2"/>
      <c r="BF235" s="16"/>
      <c r="BG235" s="7"/>
      <c r="BH235" s="13"/>
      <c r="BI235" s="179" t="str">
        <f t="shared" si="517"/>
        <v/>
      </c>
      <c r="BJ235" s="13"/>
      <c r="BK235" s="13" t="str">
        <f t="shared" si="518"/>
        <v/>
      </c>
      <c r="BL235" s="13"/>
      <c r="BM235" s="13" t="str">
        <f t="shared" si="519"/>
        <v/>
      </c>
      <c r="BN235" s="13"/>
      <c r="BO235" s="56" t="str">
        <f t="shared" si="520"/>
        <v/>
      </c>
      <c r="BP235" s="13" t="str">
        <f t="shared" si="521"/>
        <v/>
      </c>
      <c r="BQ235" s="13" t="str">
        <f t="shared" si="522"/>
        <v/>
      </c>
      <c r="BR235" s="14" t="str">
        <f t="shared" si="523"/>
        <v/>
      </c>
      <c r="BS235" s="15"/>
      <c r="BT235" s="15"/>
      <c r="BU235" s="79" t="str">
        <f>IF($A265="","",$A265)</f>
        <v/>
      </c>
      <c r="BV235" s="17"/>
      <c r="BW235" s="13" t="str">
        <f t="shared" si="461"/>
        <v/>
      </c>
      <c r="BX235" s="13"/>
      <c r="BY235" s="13" t="str">
        <f t="shared" si="462"/>
        <v/>
      </c>
      <c r="BZ235" s="13"/>
      <c r="CA235" s="13" t="str">
        <f t="shared" si="463"/>
        <v/>
      </c>
      <c r="CB235" s="13"/>
      <c r="CC235" s="53"/>
      <c r="CD235" s="53" t="str">
        <f t="shared" si="464"/>
        <v/>
      </c>
      <c r="CE235" s="13" t="str">
        <f t="shared" si="465"/>
        <v/>
      </c>
      <c r="CF235" s="14" t="str">
        <f t="shared" si="466"/>
        <v/>
      </c>
      <c r="CG235" s="43"/>
      <c r="CH235" s="1"/>
      <c r="CI235" s="79" t="str">
        <f>IF($A265="","",$A265)</f>
        <v/>
      </c>
      <c r="CJ235" s="17"/>
      <c r="CK235" s="13" t="str">
        <f t="shared" si="467"/>
        <v/>
      </c>
      <c r="CL235" s="13"/>
      <c r="CM235" s="13" t="str">
        <f t="shared" si="468"/>
        <v/>
      </c>
      <c r="CN235" s="13"/>
      <c r="CO235" s="13" t="str">
        <f t="shared" si="469"/>
        <v/>
      </c>
      <c r="CP235" s="13"/>
      <c r="CQ235" s="53"/>
      <c r="CR235" s="53" t="str">
        <f t="shared" si="470"/>
        <v/>
      </c>
      <c r="CS235" s="13" t="str">
        <f t="shared" si="471"/>
        <v/>
      </c>
      <c r="CT235" s="14" t="str">
        <f t="shared" si="472"/>
        <v/>
      </c>
      <c r="CU235" s="43"/>
      <c r="CV235" s="1"/>
      <c r="CW235" s="79" t="str">
        <f>IF($A265="","",$A265)</f>
        <v/>
      </c>
      <c r="CX235" s="17"/>
      <c r="CY235" s="13" t="str">
        <f t="shared" si="473"/>
        <v/>
      </c>
      <c r="CZ235" s="13"/>
      <c r="DA235" s="13" t="str">
        <f t="shared" si="474"/>
        <v/>
      </c>
      <c r="DB235" s="13"/>
      <c r="DC235" s="13" t="str">
        <f t="shared" si="475"/>
        <v/>
      </c>
      <c r="DD235" s="13"/>
      <c r="DE235" s="53"/>
      <c r="DF235" s="53" t="str">
        <f t="shared" si="476"/>
        <v/>
      </c>
      <c r="DG235" s="13" t="str">
        <f t="shared" si="477"/>
        <v/>
      </c>
      <c r="DH235" s="14" t="str">
        <f t="shared" si="478"/>
        <v/>
      </c>
      <c r="DI235" s="43"/>
      <c r="DJ235" s="1"/>
      <c r="DK235" s="79" t="str">
        <f>IF($A265="","",$A265)</f>
        <v/>
      </c>
      <c r="DL235" s="17"/>
      <c r="DM235" s="13" t="str">
        <f t="shared" si="479"/>
        <v/>
      </c>
      <c r="DN235" s="13"/>
      <c r="DO235" s="13" t="str">
        <f t="shared" si="480"/>
        <v/>
      </c>
      <c r="DP235" s="13"/>
      <c r="DQ235" s="13" t="str">
        <f t="shared" si="481"/>
        <v/>
      </c>
      <c r="DR235" s="13"/>
      <c r="DS235" s="53"/>
      <c r="DT235" s="53" t="str">
        <f t="shared" si="482"/>
        <v/>
      </c>
      <c r="DU235" s="13" t="str">
        <f t="shared" si="483"/>
        <v/>
      </c>
      <c r="DV235" s="14" t="str">
        <f t="shared" si="484"/>
        <v/>
      </c>
      <c r="DW235" s="43"/>
      <c r="DY235" s="79" t="str">
        <f>IF($A265="","",$A265)</f>
        <v/>
      </c>
      <c r="DZ235" s="17"/>
      <c r="EA235" s="13" t="str">
        <f t="shared" si="485"/>
        <v/>
      </c>
      <c r="EB235" s="13"/>
      <c r="EC235" s="13" t="str">
        <f t="shared" si="486"/>
        <v/>
      </c>
      <c r="ED235" s="13"/>
      <c r="EE235" s="13" t="str">
        <f t="shared" si="487"/>
        <v/>
      </c>
      <c r="EF235" s="13"/>
      <c r="EG235" s="53"/>
      <c r="EH235" s="53" t="str">
        <f t="shared" si="488"/>
        <v/>
      </c>
      <c r="EI235" s="13" t="str">
        <f t="shared" si="489"/>
        <v/>
      </c>
      <c r="EJ235" s="14" t="str">
        <f t="shared" si="490"/>
        <v/>
      </c>
      <c r="EK235" s="43"/>
    </row>
    <row r="236" spans="1:142" ht="15" customHeight="1" thickBot="1" x14ac:dyDescent="0.25">
      <c r="A236" s="26"/>
      <c r="B236" s="46"/>
      <c r="C236" s="27">
        <v>7627</v>
      </c>
      <c r="D236" s="27">
        <f t="shared" si="491"/>
        <v>39</v>
      </c>
      <c r="E236" s="27">
        <v>488</v>
      </c>
      <c r="F236" s="27">
        <f t="shared" si="492"/>
        <v>0</v>
      </c>
      <c r="G236" s="27">
        <v>1</v>
      </c>
      <c r="H236" s="27">
        <f t="shared" si="493"/>
        <v>1</v>
      </c>
      <c r="I236" s="27">
        <v>5</v>
      </c>
      <c r="J236" s="57" t="str">
        <f t="shared" si="494"/>
        <v>モンチッチフェイスポーチ</v>
      </c>
      <c r="K236" s="62">
        <f t="shared" si="495"/>
        <v>900</v>
      </c>
      <c r="L236" s="27">
        <f t="shared" si="496"/>
        <v>900</v>
      </c>
      <c r="M236" s="28">
        <f t="shared" si="497"/>
        <v>0.23076923076923078</v>
      </c>
      <c r="N236" s="15"/>
      <c r="O236" s="2"/>
      <c r="P236" s="26"/>
      <c r="Q236" s="27">
        <v>11115</v>
      </c>
      <c r="R236" s="27">
        <f t="shared" si="498"/>
        <v>431</v>
      </c>
      <c r="S236" s="27">
        <v>316</v>
      </c>
      <c r="T236" s="27">
        <f t="shared" si="499"/>
        <v>33</v>
      </c>
      <c r="U236" s="27">
        <v>8</v>
      </c>
      <c r="V236" s="27">
        <f t="shared" si="500"/>
        <v>32</v>
      </c>
      <c r="W236" s="27">
        <v>20</v>
      </c>
      <c r="X236" s="57" t="str">
        <f t="shared" si="524"/>
        <v>ボンボンドロップ</v>
      </c>
      <c r="Y236" s="62">
        <f t="shared" si="525"/>
        <v>200</v>
      </c>
      <c r="Z236" s="27">
        <f t="shared" si="501"/>
        <v>6400</v>
      </c>
      <c r="AA236" s="28">
        <f t="shared" si="502"/>
        <v>0.14849187935034802</v>
      </c>
      <c r="AB236" s="15"/>
      <c r="AC236" s="113"/>
      <c r="AD236" s="145"/>
      <c r="AE236" s="27">
        <v>12609</v>
      </c>
      <c r="AF236" s="27">
        <f t="shared" si="503"/>
        <v>47</v>
      </c>
      <c r="AG236" s="27">
        <v>316</v>
      </c>
      <c r="AH236" s="27">
        <f t="shared" si="504"/>
        <v>0</v>
      </c>
      <c r="AI236" s="27">
        <v>16</v>
      </c>
      <c r="AJ236" s="27">
        <f t="shared" si="505"/>
        <v>3</v>
      </c>
      <c r="AK236" s="27">
        <v>0</v>
      </c>
      <c r="AL236" s="57" t="str">
        <f t="shared" si="506"/>
        <v>モンチッチマスコット2</v>
      </c>
      <c r="AM236" s="62">
        <f t="shared" si="507"/>
        <v>605</v>
      </c>
      <c r="AN236" s="27">
        <f t="shared" si="508"/>
        <v>1815</v>
      </c>
      <c r="AO236" s="28">
        <f t="shared" si="509"/>
        <v>0.38617021276595742</v>
      </c>
      <c r="AP236" s="15" t="s">
        <v>112</v>
      </c>
      <c r="AQ236" s="115"/>
      <c r="AR236" s="26"/>
      <c r="AS236" s="27">
        <v>15912</v>
      </c>
      <c r="AT236" s="27">
        <f t="shared" si="510"/>
        <v>76</v>
      </c>
      <c r="AU236" s="27">
        <v>459</v>
      </c>
      <c r="AV236" s="27">
        <f t="shared" si="511"/>
        <v>2</v>
      </c>
      <c r="AW236" s="27">
        <v>42</v>
      </c>
      <c r="AX236" s="27">
        <f t="shared" si="512"/>
        <v>2</v>
      </c>
      <c r="AY236" s="27">
        <v>0</v>
      </c>
      <c r="AZ236" s="57" t="str">
        <f t="shared" si="513"/>
        <v>ラブブマスコット</v>
      </c>
      <c r="BA236" s="62">
        <f t="shared" si="514"/>
        <v>400</v>
      </c>
      <c r="BB236" s="27">
        <f t="shared" si="515"/>
        <v>800</v>
      </c>
      <c r="BC236" s="28">
        <f t="shared" si="516"/>
        <v>0.10526315789473684</v>
      </c>
      <c r="BD236" s="15"/>
      <c r="BE236" s="2"/>
      <c r="BF236" s="26"/>
      <c r="BG236" s="241"/>
      <c r="BH236" s="27"/>
      <c r="BI236" s="138" t="str">
        <f t="shared" si="517"/>
        <v/>
      </c>
      <c r="BJ236" s="27"/>
      <c r="BK236" s="27" t="str">
        <f t="shared" si="518"/>
        <v/>
      </c>
      <c r="BL236" s="27"/>
      <c r="BM236" s="27" t="str">
        <f t="shared" si="519"/>
        <v/>
      </c>
      <c r="BN236" s="27"/>
      <c r="BO236" s="57" t="str">
        <f t="shared" si="520"/>
        <v/>
      </c>
      <c r="BP236" s="62" t="str">
        <f t="shared" si="521"/>
        <v/>
      </c>
      <c r="BQ236" s="27" t="str">
        <f t="shared" si="522"/>
        <v/>
      </c>
      <c r="BR236" s="28" t="str">
        <f t="shared" si="523"/>
        <v/>
      </c>
      <c r="BS236" s="15"/>
      <c r="BT236" s="15"/>
      <c r="BU236" s="79" t="str">
        <f>IF($A269="","",$A269)</f>
        <v/>
      </c>
      <c r="BV236" s="17"/>
      <c r="BW236" s="13" t="str">
        <f t="shared" si="461"/>
        <v/>
      </c>
      <c r="BX236" s="13"/>
      <c r="BY236" s="13" t="str">
        <f t="shared" si="462"/>
        <v/>
      </c>
      <c r="BZ236" s="13"/>
      <c r="CA236" s="13" t="str">
        <f t="shared" si="463"/>
        <v/>
      </c>
      <c r="CB236" s="13"/>
      <c r="CC236" s="53"/>
      <c r="CD236" s="53" t="str">
        <f t="shared" si="464"/>
        <v/>
      </c>
      <c r="CE236" s="13" t="str">
        <f t="shared" si="465"/>
        <v/>
      </c>
      <c r="CF236" s="14" t="str">
        <f t="shared" si="466"/>
        <v/>
      </c>
      <c r="CG236" s="15"/>
      <c r="CH236" s="1"/>
      <c r="CI236" s="79" t="str">
        <f>IF($A269="","",$A269)</f>
        <v/>
      </c>
      <c r="CJ236" s="17"/>
      <c r="CK236" s="13" t="str">
        <f t="shared" si="467"/>
        <v/>
      </c>
      <c r="CL236" s="13"/>
      <c r="CM236" s="13" t="str">
        <f t="shared" si="468"/>
        <v/>
      </c>
      <c r="CN236" s="13"/>
      <c r="CO236" s="13" t="str">
        <f t="shared" si="469"/>
        <v/>
      </c>
      <c r="CP236" s="13"/>
      <c r="CQ236" s="53"/>
      <c r="CR236" s="53" t="str">
        <f t="shared" si="470"/>
        <v/>
      </c>
      <c r="CS236" s="13" t="str">
        <f t="shared" si="471"/>
        <v/>
      </c>
      <c r="CT236" s="14" t="str">
        <f t="shared" si="472"/>
        <v/>
      </c>
      <c r="CU236" s="15"/>
      <c r="CV236" s="1"/>
      <c r="CW236" s="79" t="str">
        <f>IF($A269="","",$A269)</f>
        <v/>
      </c>
      <c r="CX236" s="17"/>
      <c r="CY236" s="13" t="str">
        <f t="shared" si="473"/>
        <v/>
      </c>
      <c r="CZ236" s="13"/>
      <c r="DA236" s="13" t="str">
        <f t="shared" si="474"/>
        <v/>
      </c>
      <c r="DB236" s="13"/>
      <c r="DC236" s="13" t="str">
        <f t="shared" si="475"/>
        <v/>
      </c>
      <c r="DD236" s="13"/>
      <c r="DE236" s="53"/>
      <c r="DF236" s="53" t="str">
        <f t="shared" si="476"/>
        <v/>
      </c>
      <c r="DG236" s="13" t="str">
        <f t="shared" si="477"/>
        <v/>
      </c>
      <c r="DH236" s="14" t="str">
        <f t="shared" si="478"/>
        <v/>
      </c>
      <c r="DI236" s="15"/>
      <c r="DJ236" s="1"/>
      <c r="DK236" s="79" t="str">
        <f>IF($A269="","",$A269)</f>
        <v/>
      </c>
      <c r="DL236" s="17"/>
      <c r="DM236" s="13" t="str">
        <f t="shared" si="479"/>
        <v/>
      </c>
      <c r="DN236" s="13"/>
      <c r="DO236" s="13" t="str">
        <f t="shared" si="480"/>
        <v/>
      </c>
      <c r="DP236" s="13"/>
      <c r="DQ236" s="13" t="str">
        <f t="shared" si="481"/>
        <v/>
      </c>
      <c r="DR236" s="13"/>
      <c r="DS236" s="53"/>
      <c r="DT236" s="53" t="str">
        <f t="shared" si="482"/>
        <v/>
      </c>
      <c r="DU236" s="13" t="str">
        <f t="shared" si="483"/>
        <v/>
      </c>
      <c r="DV236" s="14" t="str">
        <f t="shared" si="484"/>
        <v/>
      </c>
      <c r="DW236" s="15"/>
      <c r="DY236" s="79" t="str">
        <f>IF($A269="","",$A269)</f>
        <v/>
      </c>
      <c r="DZ236" s="17"/>
      <c r="EA236" s="13" t="str">
        <f t="shared" si="485"/>
        <v/>
      </c>
      <c r="EB236" s="13"/>
      <c r="EC236" s="13" t="str">
        <f t="shared" si="486"/>
        <v/>
      </c>
      <c r="ED236" s="13"/>
      <c r="EE236" s="13" t="str">
        <f t="shared" si="487"/>
        <v/>
      </c>
      <c r="EF236" s="13"/>
      <c r="EG236" s="53"/>
      <c r="EH236" s="53" t="str">
        <f t="shared" si="488"/>
        <v/>
      </c>
      <c r="EI236" s="13" t="str">
        <f t="shared" si="489"/>
        <v/>
      </c>
      <c r="EJ236" s="14" t="str">
        <f t="shared" si="490"/>
        <v/>
      </c>
      <c r="EK236" s="15"/>
    </row>
    <row r="237" spans="1:142" ht="15" customHeight="1" thickTop="1" x14ac:dyDescent="0.2">
      <c r="A237" s="79">
        <v>46073</v>
      </c>
      <c r="B237" s="74">
        <f>IF(A237="","",SUM(D237:D240)+SUM(R237:R240)+SUM(AF237:AF240)+SUM(AT237:AT240)+SUM(BW228,CK228,CY228,DM228,EA228))</f>
        <v>2423</v>
      </c>
      <c r="C237" s="53">
        <v>6417</v>
      </c>
      <c r="D237" s="53">
        <f t="shared" si="491"/>
        <v>50</v>
      </c>
      <c r="E237" s="53">
        <v>368</v>
      </c>
      <c r="F237" s="31">
        <f t="shared" si="492"/>
        <v>0</v>
      </c>
      <c r="G237" s="53">
        <v>18</v>
      </c>
      <c r="H237" s="53">
        <f t="shared" si="493"/>
        <v>0</v>
      </c>
      <c r="I237" s="80">
        <v>4</v>
      </c>
      <c r="J237" s="75" t="str">
        <f t="shared" si="494"/>
        <v>ジャグラーボタン</v>
      </c>
      <c r="K237" s="76">
        <f t="shared" si="495"/>
        <v>748</v>
      </c>
      <c r="L237" s="31">
        <f t="shared" si="496"/>
        <v>0</v>
      </c>
      <c r="M237" s="32">
        <f t="shared" si="497"/>
        <v>0</v>
      </c>
      <c r="N237" s="15" t="s">
        <v>473</v>
      </c>
      <c r="O237" s="2"/>
      <c r="P237" s="79">
        <f>IF(A237="","",A237)</f>
        <v>46073</v>
      </c>
      <c r="Q237" s="53">
        <v>7074</v>
      </c>
      <c r="R237" s="53">
        <f t="shared" si="498"/>
        <v>75</v>
      </c>
      <c r="S237" s="53">
        <v>232</v>
      </c>
      <c r="T237" s="31">
        <f t="shared" si="499"/>
        <v>4</v>
      </c>
      <c r="U237" s="53">
        <v>11</v>
      </c>
      <c r="V237" s="53">
        <f t="shared" si="500"/>
        <v>2</v>
      </c>
      <c r="W237" s="80">
        <v>2</v>
      </c>
      <c r="X237" s="75" t="str">
        <f t="shared" si="524"/>
        <v>キティボアバンスクリップ</v>
      </c>
      <c r="Y237" s="76">
        <f t="shared" si="525"/>
        <v>1100</v>
      </c>
      <c r="Z237" s="31">
        <f t="shared" si="501"/>
        <v>2200</v>
      </c>
      <c r="AA237" s="32">
        <f t="shared" si="502"/>
        <v>0.29333333333333333</v>
      </c>
      <c r="AB237" s="15"/>
      <c r="AC237" s="113"/>
      <c r="AD237" s="146">
        <f>IF($A237="","",$A237)</f>
        <v>46073</v>
      </c>
      <c r="AE237" s="53">
        <v>11042</v>
      </c>
      <c r="AF237" s="53">
        <f t="shared" si="503"/>
        <v>40</v>
      </c>
      <c r="AG237" s="53">
        <v>248</v>
      </c>
      <c r="AH237" s="31">
        <f t="shared" si="504"/>
        <v>0</v>
      </c>
      <c r="AI237" s="53">
        <v>15</v>
      </c>
      <c r="AJ237" s="53">
        <f t="shared" si="505"/>
        <v>1</v>
      </c>
      <c r="AK237" s="80">
        <v>0</v>
      </c>
      <c r="AL237" s="75" t="str">
        <f t="shared" si="506"/>
        <v>サンリオ型押しケース</v>
      </c>
      <c r="AM237" s="76">
        <f t="shared" si="507"/>
        <v>545</v>
      </c>
      <c r="AN237" s="31">
        <f t="shared" si="508"/>
        <v>545</v>
      </c>
      <c r="AO237" s="32">
        <f t="shared" si="509"/>
        <v>0.13625000000000001</v>
      </c>
      <c r="AP237" s="178" t="s">
        <v>475</v>
      </c>
      <c r="AQ237" s="15"/>
      <c r="AR237" s="79">
        <f>IF($A237="","",$A237)</f>
        <v>46073</v>
      </c>
      <c r="AS237" s="53">
        <v>11949</v>
      </c>
      <c r="AT237" s="53">
        <f t="shared" si="510"/>
        <v>94</v>
      </c>
      <c r="AU237" s="53">
        <v>376</v>
      </c>
      <c r="AV237" s="31">
        <f t="shared" si="511"/>
        <v>0</v>
      </c>
      <c r="AW237" s="53">
        <v>19</v>
      </c>
      <c r="AX237" s="53">
        <f t="shared" si="512"/>
        <v>0</v>
      </c>
      <c r="AY237" s="80">
        <v>0</v>
      </c>
      <c r="AZ237" s="75" t="str">
        <f t="shared" si="513"/>
        <v>サンリオヒョウ柄キーケース</v>
      </c>
      <c r="BA237" s="76">
        <f t="shared" si="514"/>
        <v>924</v>
      </c>
      <c r="BB237" s="31">
        <f t="shared" si="515"/>
        <v>0</v>
      </c>
      <c r="BC237" s="32">
        <f t="shared" si="516"/>
        <v>0</v>
      </c>
      <c r="BD237" s="15"/>
      <c r="BE237" s="2"/>
      <c r="BF237" s="79">
        <f>IF(A237="","",A237)</f>
        <v>46073</v>
      </c>
      <c r="BG237" s="240"/>
      <c r="BH237" s="53"/>
      <c r="BI237" s="180" t="str">
        <f t="shared" si="517"/>
        <v/>
      </c>
      <c r="BJ237" s="53"/>
      <c r="BK237" s="31" t="str">
        <f t="shared" si="518"/>
        <v/>
      </c>
      <c r="BL237" s="53"/>
      <c r="BM237" s="53" t="str">
        <f t="shared" si="519"/>
        <v/>
      </c>
      <c r="BN237" s="80"/>
      <c r="BO237" s="75" t="str">
        <f t="shared" si="520"/>
        <v/>
      </c>
      <c r="BP237" s="76" t="str">
        <f t="shared" si="521"/>
        <v/>
      </c>
      <c r="BQ237" s="31" t="str">
        <f t="shared" si="522"/>
        <v/>
      </c>
      <c r="BR237" s="32" t="str">
        <f t="shared" si="523"/>
        <v/>
      </c>
      <c r="BS237" s="15"/>
      <c r="BT237" s="15"/>
      <c r="BU237" s="79" t="str">
        <f>IF($A273="","",$A273)</f>
        <v/>
      </c>
      <c r="BV237" s="17"/>
      <c r="BW237" s="13" t="str">
        <f t="shared" si="461"/>
        <v/>
      </c>
      <c r="BX237" s="13"/>
      <c r="BY237" s="13" t="str">
        <f t="shared" si="462"/>
        <v/>
      </c>
      <c r="BZ237" s="13"/>
      <c r="CA237" s="13" t="str">
        <f t="shared" si="463"/>
        <v/>
      </c>
      <c r="CB237" s="13"/>
      <c r="CC237" s="53"/>
      <c r="CD237" s="53" t="str">
        <f t="shared" si="464"/>
        <v/>
      </c>
      <c r="CE237" s="13" t="str">
        <f t="shared" si="465"/>
        <v/>
      </c>
      <c r="CF237" s="14" t="str">
        <f t="shared" si="466"/>
        <v/>
      </c>
      <c r="CG237" s="15"/>
      <c r="CH237" s="1"/>
      <c r="CI237" s="79" t="str">
        <f>IF($A273="","",$A273)</f>
        <v/>
      </c>
      <c r="CJ237" s="17"/>
      <c r="CK237" s="13" t="str">
        <f t="shared" si="467"/>
        <v/>
      </c>
      <c r="CL237" s="13"/>
      <c r="CM237" s="13" t="str">
        <f t="shared" si="468"/>
        <v/>
      </c>
      <c r="CN237" s="13"/>
      <c r="CO237" s="13" t="str">
        <f t="shared" si="469"/>
        <v/>
      </c>
      <c r="CP237" s="13"/>
      <c r="CQ237" s="53"/>
      <c r="CR237" s="53" t="str">
        <f t="shared" si="470"/>
        <v/>
      </c>
      <c r="CS237" s="13" t="str">
        <f t="shared" si="471"/>
        <v/>
      </c>
      <c r="CT237" s="14" t="str">
        <f t="shared" si="472"/>
        <v/>
      </c>
      <c r="CU237" s="15"/>
      <c r="CV237" s="1"/>
      <c r="CW237" s="79" t="str">
        <f>IF($A273="","",$A273)</f>
        <v/>
      </c>
      <c r="CX237" s="17"/>
      <c r="CY237" s="13" t="str">
        <f t="shared" si="473"/>
        <v/>
      </c>
      <c r="CZ237" s="13"/>
      <c r="DA237" s="13" t="str">
        <f t="shared" si="474"/>
        <v/>
      </c>
      <c r="DB237" s="13"/>
      <c r="DC237" s="13" t="str">
        <f t="shared" si="475"/>
        <v/>
      </c>
      <c r="DD237" s="13"/>
      <c r="DE237" s="53"/>
      <c r="DF237" s="53" t="str">
        <f t="shared" si="476"/>
        <v/>
      </c>
      <c r="DG237" s="13" t="str">
        <f t="shared" si="477"/>
        <v/>
      </c>
      <c r="DH237" s="14" t="str">
        <f t="shared" si="478"/>
        <v/>
      </c>
      <c r="DI237" s="15"/>
      <c r="DJ237" s="1"/>
      <c r="DK237" s="79" t="str">
        <f>IF($A273="","",$A273)</f>
        <v/>
      </c>
      <c r="DL237" s="17"/>
      <c r="DM237" s="13" t="str">
        <f t="shared" si="479"/>
        <v/>
      </c>
      <c r="DN237" s="13"/>
      <c r="DO237" s="13" t="str">
        <f t="shared" si="480"/>
        <v/>
      </c>
      <c r="DP237" s="13"/>
      <c r="DQ237" s="13" t="str">
        <f t="shared" si="481"/>
        <v/>
      </c>
      <c r="DR237" s="13"/>
      <c r="DS237" s="53"/>
      <c r="DT237" s="53" t="str">
        <f t="shared" si="482"/>
        <v/>
      </c>
      <c r="DU237" s="13" t="str">
        <f t="shared" si="483"/>
        <v/>
      </c>
      <c r="DV237" s="14" t="str">
        <f t="shared" si="484"/>
        <v/>
      </c>
      <c r="DW237" s="15"/>
      <c r="DY237" s="79" t="str">
        <f>IF($A273="","",$A273)</f>
        <v/>
      </c>
      <c r="DZ237" s="17"/>
      <c r="EA237" s="13" t="str">
        <f t="shared" si="485"/>
        <v/>
      </c>
      <c r="EB237" s="13"/>
      <c r="EC237" s="13" t="str">
        <f t="shared" si="486"/>
        <v/>
      </c>
      <c r="ED237" s="13"/>
      <c r="EE237" s="13" t="str">
        <f t="shared" si="487"/>
        <v/>
      </c>
      <c r="EF237" s="13"/>
      <c r="EG237" s="53"/>
      <c r="EH237" s="53" t="str">
        <f t="shared" si="488"/>
        <v/>
      </c>
      <c r="EI237" s="13" t="str">
        <f t="shared" si="489"/>
        <v/>
      </c>
      <c r="EJ237" s="14" t="str">
        <f t="shared" si="490"/>
        <v/>
      </c>
      <c r="EK237" s="15"/>
    </row>
    <row r="238" spans="1:142" x14ac:dyDescent="0.2">
      <c r="A238" s="16"/>
      <c r="B238" s="11"/>
      <c r="C238" s="13">
        <v>5983</v>
      </c>
      <c r="D238" s="53">
        <f t="shared" si="491"/>
        <v>53</v>
      </c>
      <c r="E238" s="13">
        <v>389</v>
      </c>
      <c r="F238" s="13">
        <f t="shared" si="492"/>
        <v>2</v>
      </c>
      <c r="G238" s="13">
        <v>47</v>
      </c>
      <c r="H238" s="13">
        <f t="shared" si="493"/>
        <v>2</v>
      </c>
      <c r="I238" s="17">
        <v>0</v>
      </c>
      <c r="J238" s="56" t="str">
        <f t="shared" si="494"/>
        <v>電ブル</v>
      </c>
      <c r="K238" s="54">
        <f t="shared" si="495"/>
        <v>275</v>
      </c>
      <c r="L238" s="13">
        <f t="shared" si="496"/>
        <v>550</v>
      </c>
      <c r="M238" s="14">
        <f t="shared" si="497"/>
        <v>0.10377358490566038</v>
      </c>
      <c r="N238" s="15"/>
      <c r="O238" s="2"/>
      <c r="P238" s="16"/>
      <c r="Q238" s="13">
        <v>4559</v>
      </c>
      <c r="R238" s="127">
        <f t="shared" si="498"/>
        <v>11</v>
      </c>
      <c r="S238" s="13">
        <v>143</v>
      </c>
      <c r="T238" s="13">
        <f t="shared" si="499"/>
        <v>0</v>
      </c>
      <c r="U238" s="13">
        <v>17</v>
      </c>
      <c r="V238" s="13">
        <f t="shared" si="500"/>
        <v>1</v>
      </c>
      <c r="W238" s="17">
        <v>0</v>
      </c>
      <c r="X238" s="56" t="str">
        <f t="shared" si="524"/>
        <v>ギャルキティマスコット</v>
      </c>
      <c r="Y238" s="54">
        <f t="shared" si="525"/>
        <v>1100</v>
      </c>
      <c r="Z238" s="13">
        <f t="shared" si="501"/>
        <v>1100</v>
      </c>
      <c r="AA238" s="14">
        <f t="shared" si="502"/>
        <v>1</v>
      </c>
      <c r="AB238" s="15" t="s">
        <v>467</v>
      </c>
      <c r="AC238" s="113"/>
      <c r="AD238" s="147"/>
      <c r="AE238" s="13">
        <v>10743</v>
      </c>
      <c r="AF238" s="53">
        <f t="shared" si="503"/>
        <v>46</v>
      </c>
      <c r="AG238" s="13">
        <v>229</v>
      </c>
      <c r="AH238" s="13">
        <f t="shared" si="504"/>
        <v>0</v>
      </c>
      <c r="AI238" s="13">
        <v>15</v>
      </c>
      <c r="AJ238" s="13">
        <f t="shared" si="505"/>
        <v>0</v>
      </c>
      <c r="AK238" s="17">
        <v>0</v>
      </c>
      <c r="AL238" s="56" t="str">
        <f t="shared" si="506"/>
        <v>キティししっぽ付きポーチ</v>
      </c>
      <c r="AM238" s="54">
        <f t="shared" si="507"/>
        <v>0</v>
      </c>
      <c r="AN238" s="13">
        <f t="shared" si="508"/>
        <v>0</v>
      </c>
      <c r="AO238" s="14">
        <f t="shared" si="509"/>
        <v>0</v>
      </c>
      <c r="AP238" s="15"/>
      <c r="AQ238" s="15"/>
      <c r="AR238" s="16"/>
      <c r="AS238" s="13">
        <v>8562</v>
      </c>
      <c r="AT238" s="53">
        <f t="shared" si="510"/>
        <v>79</v>
      </c>
      <c r="AU238" s="13">
        <v>429</v>
      </c>
      <c r="AV238" s="13">
        <f t="shared" si="511"/>
        <v>3</v>
      </c>
      <c r="AW238" s="13">
        <v>10</v>
      </c>
      <c r="AX238" s="13">
        <f t="shared" si="512"/>
        <v>2</v>
      </c>
      <c r="AY238" s="17">
        <v>0</v>
      </c>
      <c r="AZ238" s="56" t="str">
        <f t="shared" si="513"/>
        <v>キティフェイスポーチ</v>
      </c>
      <c r="BA238" s="54">
        <f t="shared" si="514"/>
        <v>673</v>
      </c>
      <c r="BB238" s="13">
        <f t="shared" si="515"/>
        <v>1346</v>
      </c>
      <c r="BC238" s="14">
        <f t="shared" si="516"/>
        <v>0.17037974683544305</v>
      </c>
      <c r="BD238" s="15"/>
      <c r="BE238" s="2"/>
      <c r="BF238" s="16"/>
      <c r="BG238" s="7"/>
      <c r="BH238" s="13"/>
      <c r="BI238" s="180" t="str">
        <f t="shared" si="517"/>
        <v/>
      </c>
      <c r="BJ238" s="13"/>
      <c r="BK238" s="13" t="str">
        <f t="shared" si="518"/>
        <v/>
      </c>
      <c r="BL238" s="13"/>
      <c r="BM238" s="13" t="str">
        <f t="shared" si="519"/>
        <v/>
      </c>
      <c r="BN238" s="17"/>
      <c r="BO238" s="56" t="str">
        <f t="shared" si="520"/>
        <v/>
      </c>
      <c r="BP238" s="54" t="str">
        <f t="shared" si="521"/>
        <v/>
      </c>
      <c r="BQ238" s="13" t="str">
        <f t="shared" si="522"/>
        <v/>
      </c>
      <c r="BR238" s="14" t="str">
        <f t="shared" si="523"/>
        <v/>
      </c>
      <c r="BS238" s="15"/>
      <c r="BT238" s="15"/>
      <c r="BU238" s="79" t="str">
        <f>IF($A277="","",$A277)</f>
        <v/>
      </c>
      <c r="BV238" s="13"/>
      <c r="BW238" s="13" t="str">
        <f t="shared" si="461"/>
        <v/>
      </c>
      <c r="BX238" s="13"/>
      <c r="BY238" s="13" t="str">
        <f t="shared" si="462"/>
        <v/>
      </c>
      <c r="BZ238" s="13"/>
      <c r="CA238" s="13" t="str">
        <f t="shared" si="463"/>
        <v/>
      </c>
      <c r="CB238" s="13"/>
      <c r="CC238" s="53"/>
      <c r="CD238" s="53" t="str">
        <f t="shared" si="464"/>
        <v/>
      </c>
      <c r="CE238" s="13" t="str">
        <f t="shared" si="465"/>
        <v/>
      </c>
      <c r="CF238" s="14" t="str">
        <f>IF(CE238="","",CE238/(BV238*100))</f>
        <v/>
      </c>
      <c r="CG238" s="67"/>
      <c r="CH238" s="1"/>
      <c r="CI238" s="79" t="str">
        <f>IF($A277="","",$A277)</f>
        <v/>
      </c>
      <c r="CJ238" s="13"/>
      <c r="CK238" s="13" t="str">
        <f t="shared" si="467"/>
        <v/>
      </c>
      <c r="CL238" s="13"/>
      <c r="CM238" s="13" t="str">
        <f t="shared" si="468"/>
        <v/>
      </c>
      <c r="CN238" s="13"/>
      <c r="CO238" s="13" t="str">
        <f t="shared" si="469"/>
        <v/>
      </c>
      <c r="CP238" s="13"/>
      <c r="CQ238" s="53"/>
      <c r="CR238" s="53" t="str">
        <f t="shared" si="470"/>
        <v/>
      </c>
      <c r="CS238" s="13" t="str">
        <f t="shared" si="471"/>
        <v/>
      </c>
      <c r="CT238" s="14" t="str">
        <f>IF(CS238="","",CS238/(CJ238*100))</f>
        <v/>
      </c>
      <c r="CU238" s="67"/>
      <c r="CV238" s="1"/>
      <c r="CW238" s="79" t="str">
        <f>IF($A277="","",$A277)</f>
        <v/>
      </c>
      <c r="CX238" s="13"/>
      <c r="CY238" s="13" t="str">
        <f t="shared" si="473"/>
        <v/>
      </c>
      <c r="CZ238" s="13"/>
      <c r="DA238" s="13" t="str">
        <f t="shared" si="474"/>
        <v/>
      </c>
      <c r="DB238" s="13"/>
      <c r="DC238" s="13" t="str">
        <f t="shared" si="475"/>
        <v/>
      </c>
      <c r="DD238" s="13"/>
      <c r="DE238" s="53"/>
      <c r="DF238" s="53" t="str">
        <f t="shared" si="476"/>
        <v/>
      </c>
      <c r="DG238" s="13" t="str">
        <f t="shared" si="477"/>
        <v/>
      </c>
      <c r="DH238" s="14" t="str">
        <f>IF(DG238="","",DG238/(CX238*100))</f>
        <v/>
      </c>
      <c r="DI238" s="67"/>
      <c r="DJ238" s="1"/>
      <c r="DK238" s="79" t="str">
        <f>IF($A277="","",$A277)</f>
        <v/>
      </c>
      <c r="DL238" s="13"/>
      <c r="DM238" s="13" t="str">
        <f t="shared" si="479"/>
        <v/>
      </c>
      <c r="DN238" s="13"/>
      <c r="DO238" s="13" t="str">
        <f t="shared" si="480"/>
        <v/>
      </c>
      <c r="DP238" s="13"/>
      <c r="DQ238" s="13" t="str">
        <f t="shared" si="481"/>
        <v/>
      </c>
      <c r="DR238" s="13"/>
      <c r="DS238" s="53"/>
      <c r="DT238" s="53" t="str">
        <f t="shared" si="482"/>
        <v/>
      </c>
      <c r="DU238" s="13" t="str">
        <f t="shared" si="483"/>
        <v/>
      </c>
      <c r="DV238" s="14" t="str">
        <f>IF(DU238="","",DU238/(DL238*100))</f>
        <v/>
      </c>
      <c r="DW238" s="67"/>
      <c r="DY238" s="79" t="str">
        <f>IF($A277="","",$A277)</f>
        <v/>
      </c>
      <c r="DZ238" s="13"/>
      <c r="EA238" s="13" t="str">
        <f t="shared" si="485"/>
        <v/>
      </c>
      <c r="EB238" s="13"/>
      <c r="EC238" s="13" t="str">
        <f t="shared" si="486"/>
        <v/>
      </c>
      <c r="ED238" s="13"/>
      <c r="EE238" s="13" t="str">
        <f t="shared" si="487"/>
        <v/>
      </c>
      <c r="EF238" s="13"/>
      <c r="EG238" s="53"/>
      <c r="EH238" s="53" t="str">
        <f t="shared" si="488"/>
        <v/>
      </c>
      <c r="EI238" s="13" t="str">
        <f t="shared" si="489"/>
        <v/>
      </c>
      <c r="EJ238" s="14" t="str">
        <f>IF(EI238="","",EI238/(DZ238*100))</f>
        <v/>
      </c>
      <c r="EK238" s="67"/>
    </row>
    <row r="239" spans="1:142" x14ac:dyDescent="0.2">
      <c r="A239" s="33"/>
      <c r="B239" s="48"/>
      <c r="C239" s="34">
        <v>12190</v>
      </c>
      <c r="D239" s="53">
        <f t="shared" si="491"/>
        <v>51</v>
      </c>
      <c r="E239" s="34">
        <v>643</v>
      </c>
      <c r="F239" s="13">
        <f t="shared" si="492"/>
        <v>1</v>
      </c>
      <c r="G239" s="34">
        <v>21</v>
      </c>
      <c r="H239" s="13">
        <f t="shared" si="493"/>
        <v>1</v>
      </c>
      <c r="I239" s="49">
        <v>0</v>
      </c>
      <c r="J239" s="56" t="str">
        <f t="shared" si="494"/>
        <v>ゲーム機イヤホン</v>
      </c>
      <c r="K239" s="13">
        <f t="shared" si="495"/>
        <v>1100</v>
      </c>
      <c r="L239" s="13">
        <f t="shared" si="496"/>
        <v>1100</v>
      </c>
      <c r="M239" s="14">
        <f t="shared" si="497"/>
        <v>0.21568627450980393</v>
      </c>
      <c r="N239" s="15"/>
      <c r="O239" s="2"/>
      <c r="P239" s="33"/>
      <c r="Q239" s="34">
        <v>8186</v>
      </c>
      <c r="R239" s="53">
        <f t="shared" si="498"/>
        <v>47</v>
      </c>
      <c r="S239" s="34">
        <v>170</v>
      </c>
      <c r="T239" s="13">
        <f t="shared" si="499"/>
        <v>1</v>
      </c>
      <c r="U239" s="34">
        <v>17</v>
      </c>
      <c r="V239" s="13">
        <f t="shared" si="500"/>
        <v>1</v>
      </c>
      <c r="W239" s="49">
        <v>0</v>
      </c>
      <c r="X239" s="56" t="str">
        <f t="shared" si="524"/>
        <v>ヤヤマスコット</v>
      </c>
      <c r="Y239" s="13">
        <f t="shared" si="525"/>
        <v>850</v>
      </c>
      <c r="Z239" s="13">
        <f t="shared" si="501"/>
        <v>850</v>
      </c>
      <c r="AA239" s="14">
        <f t="shared" si="502"/>
        <v>0.18085106382978725</v>
      </c>
      <c r="AB239" s="15"/>
      <c r="AC239" s="84"/>
      <c r="AD239" s="33"/>
      <c r="AE239" s="34">
        <v>12835</v>
      </c>
      <c r="AF239" s="127">
        <f t="shared" si="503"/>
        <v>28</v>
      </c>
      <c r="AG239" s="34">
        <v>354</v>
      </c>
      <c r="AH239" s="13">
        <f t="shared" si="504"/>
        <v>0</v>
      </c>
      <c r="AI239" s="34">
        <v>13</v>
      </c>
      <c r="AJ239" s="13">
        <f t="shared" si="505"/>
        <v>-1</v>
      </c>
      <c r="AK239" s="49">
        <v>3</v>
      </c>
      <c r="AL239" s="56" t="str">
        <f t="shared" si="506"/>
        <v>ゲームアーク</v>
      </c>
      <c r="AM239" s="13">
        <f t="shared" si="507"/>
        <v>682</v>
      </c>
      <c r="AN239" s="13">
        <f t="shared" si="508"/>
        <v>-682</v>
      </c>
      <c r="AO239" s="14">
        <f t="shared" si="509"/>
        <v>-0.24357142857142858</v>
      </c>
      <c r="AP239" s="15" t="s">
        <v>474</v>
      </c>
      <c r="AQ239" s="15"/>
      <c r="AR239" s="33"/>
      <c r="AS239" s="34">
        <v>15387</v>
      </c>
      <c r="AT239" s="127">
        <f t="shared" si="510"/>
        <v>31</v>
      </c>
      <c r="AU239" s="34">
        <v>526</v>
      </c>
      <c r="AV239" s="13">
        <f t="shared" si="511"/>
        <v>0</v>
      </c>
      <c r="AW239" s="34">
        <v>22</v>
      </c>
      <c r="AX239" s="13">
        <f t="shared" si="512"/>
        <v>0</v>
      </c>
      <c r="AY239" s="49">
        <v>-4</v>
      </c>
      <c r="AZ239" s="56" t="str">
        <f t="shared" si="513"/>
        <v>ラブブキーホルダーおおきめ</v>
      </c>
      <c r="BA239" s="13">
        <f t="shared" si="514"/>
        <v>500</v>
      </c>
      <c r="BB239" s="13">
        <f t="shared" si="515"/>
        <v>0</v>
      </c>
      <c r="BC239" s="14">
        <f t="shared" si="516"/>
        <v>0</v>
      </c>
      <c r="BD239" s="15" t="s">
        <v>476</v>
      </c>
      <c r="BE239" s="2"/>
      <c r="BF239" s="33"/>
      <c r="BG239" s="8"/>
      <c r="BH239" s="34"/>
      <c r="BI239" s="180" t="str">
        <f t="shared" si="517"/>
        <v/>
      </c>
      <c r="BJ239" s="34"/>
      <c r="BK239" s="13" t="str">
        <f t="shared" si="518"/>
        <v/>
      </c>
      <c r="BL239" s="34"/>
      <c r="BM239" s="13" t="str">
        <f t="shared" si="519"/>
        <v/>
      </c>
      <c r="BN239" s="49"/>
      <c r="BO239" s="56" t="str">
        <f t="shared" si="520"/>
        <v/>
      </c>
      <c r="BP239" s="13" t="str">
        <f t="shared" si="521"/>
        <v/>
      </c>
      <c r="BQ239" s="13" t="str">
        <f t="shared" si="522"/>
        <v/>
      </c>
      <c r="BR239" s="14" t="str">
        <f t="shared" si="523"/>
        <v/>
      </c>
      <c r="BS239" s="15"/>
      <c r="BT239" s="15"/>
      <c r="BU239" s="79"/>
      <c r="BV239" s="13"/>
      <c r="BW239" s="13"/>
      <c r="BX239" s="13"/>
      <c r="BY239" s="13"/>
      <c r="BZ239" s="13"/>
      <c r="CA239" s="13"/>
      <c r="CB239" s="13"/>
      <c r="CC239" s="53"/>
      <c r="CD239" s="53"/>
      <c r="CE239" s="13"/>
      <c r="CF239" s="14" t="str">
        <f>IF(CE239="","",CE239/(BV239*100))</f>
        <v/>
      </c>
      <c r="CG239" s="67"/>
      <c r="CH239" s="1"/>
      <c r="CI239" s="79"/>
      <c r="CJ239" s="13"/>
      <c r="CK239" s="13"/>
      <c r="CL239" s="13"/>
      <c r="CM239" s="13"/>
      <c r="CN239" s="13"/>
      <c r="CO239" s="13"/>
      <c r="CP239" s="13"/>
      <c r="CQ239" s="53"/>
      <c r="CR239" s="53"/>
      <c r="CS239" s="13"/>
      <c r="CT239" s="14" t="str">
        <f>IF(CS239="","",CS239/(CJ239*100))</f>
        <v/>
      </c>
      <c r="CU239" s="67"/>
      <c r="CV239" s="1"/>
      <c r="CW239" s="79"/>
      <c r="CX239" s="13"/>
      <c r="CY239" s="13"/>
      <c r="CZ239" s="13"/>
      <c r="DA239" s="13"/>
      <c r="DB239" s="13"/>
      <c r="DC239" s="13"/>
      <c r="DD239" s="13"/>
      <c r="DE239" s="53"/>
      <c r="DF239" s="53"/>
      <c r="DG239" s="13"/>
      <c r="DH239" s="14" t="str">
        <f>IF(DG239="","",DG239/(CX239*100))</f>
        <v/>
      </c>
      <c r="DI239" s="67"/>
      <c r="DJ239" s="1"/>
      <c r="DK239" s="79"/>
      <c r="DL239" s="13"/>
      <c r="DM239" s="13"/>
      <c r="DN239" s="13"/>
      <c r="DO239" s="13"/>
      <c r="DP239" s="13"/>
      <c r="DQ239" s="13"/>
      <c r="DR239" s="13"/>
      <c r="DS239" s="53"/>
      <c r="DT239" s="53"/>
      <c r="DU239" s="13"/>
      <c r="DV239" s="14" t="str">
        <f>IF(DU239="","",DU239/(DL239*100))</f>
        <v/>
      </c>
      <c r="DW239" s="67"/>
      <c r="DY239" s="79"/>
      <c r="DZ239" s="13"/>
      <c r="EA239" s="13"/>
      <c r="EB239" s="13"/>
      <c r="EC239" s="13"/>
      <c r="ED239" s="13"/>
      <c r="EE239" s="13"/>
      <c r="EF239" s="13"/>
      <c r="EG239" s="53"/>
      <c r="EH239" s="53"/>
      <c r="EI239" s="13"/>
      <c r="EJ239" s="14" t="str">
        <f>IF(EI239="","",EI239/(DZ239*100))</f>
        <v/>
      </c>
      <c r="EK239" s="67"/>
    </row>
    <row r="240" spans="1:142" ht="15" customHeight="1" thickBot="1" x14ac:dyDescent="0.25">
      <c r="A240" s="26"/>
      <c r="B240" s="46"/>
      <c r="C240" s="27">
        <v>7709</v>
      </c>
      <c r="D240" s="61">
        <f t="shared" si="491"/>
        <v>82</v>
      </c>
      <c r="E240" s="27">
        <v>489</v>
      </c>
      <c r="F240" s="27">
        <f t="shared" si="492"/>
        <v>1</v>
      </c>
      <c r="G240" s="27">
        <v>5</v>
      </c>
      <c r="H240" s="27">
        <f t="shared" si="493"/>
        <v>1</v>
      </c>
      <c r="I240" s="47">
        <v>0</v>
      </c>
      <c r="J240" s="57" t="str">
        <f t="shared" si="494"/>
        <v>モンチッチフェイスポーチ</v>
      </c>
      <c r="K240" s="62">
        <f t="shared" si="495"/>
        <v>900</v>
      </c>
      <c r="L240" s="27">
        <f t="shared" si="496"/>
        <v>900</v>
      </c>
      <c r="M240" s="28">
        <f t="shared" si="497"/>
        <v>0.10975609756097561</v>
      </c>
      <c r="N240" s="15"/>
      <c r="O240" s="2"/>
      <c r="P240" s="26"/>
      <c r="Q240" s="27">
        <v>11268</v>
      </c>
      <c r="R240" s="61">
        <f t="shared" si="498"/>
        <v>153</v>
      </c>
      <c r="S240" s="27">
        <v>340</v>
      </c>
      <c r="T240" s="27">
        <f t="shared" si="499"/>
        <v>24</v>
      </c>
      <c r="U240" s="27">
        <v>5</v>
      </c>
      <c r="V240" s="27">
        <f t="shared" si="500"/>
        <v>23</v>
      </c>
      <c r="W240" s="47">
        <v>30</v>
      </c>
      <c r="X240" s="57" t="str">
        <f t="shared" si="524"/>
        <v>ボンボンドロップ</v>
      </c>
      <c r="Y240" s="62">
        <f t="shared" si="525"/>
        <v>200</v>
      </c>
      <c r="Z240" s="27">
        <f t="shared" si="501"/>
        <v>4600</v>
      </c>
      <c r="AA240" s="28">
        <f t="shared" si="502"/>
        <v>0.30065359477124182</v>
      </c>
      <c r="AB240" s="15"/>
      <c r="AC240" s="15"/>
      <c r="AD240" s="26"/>
      <c r="AE240" s="27">
        <v>12671</v>
      </c>
      <c r="AF240" s="61">
        <f t="shared" si="503"/>
        <v>62</v>
      </c>
      <c r="AG240" s="27">
        <v>317</v>
      </c>
      <c r="AH240" s="27">
        <f t="shared" si="504"/>
        <v>1</v>
      </c>
      <c r="AI240" s="27">
        <v>18</v>
      </c>
      <c r="AJ240" s="27">
        <f t="shared" si="505"/>
        <v>-2</v>
      </c>
      <c r="AK240" s="47">
        <v>0</v>
      </c>
      <c r="AL240" s="57" t="str">
        <f t="shared" si="506"/>
        <v>モンチッチマスコット2</v>
      </c>
      <c r="AM240" s="62">
        <f t="shared" si="507"/>
        <v>605</v>
      </c>
      <c r="AN240" s="27">
        <f t="shared" si="508"/>
        <v>-1210</v>
      </c>
      <c r="AO240" s="28">
        <f t="shared" si="509"/>
        <v>-0.19516129032258064</v>
      </c>
      <c r="AP240" s="15"/>
      <c r="AQ240" s="15"/>
      <c r="AR240" s="26"/>
      <c r="AS240" s="27">
        <v>15988</v>
      </c>
      <c r="AT240" s="61">
        <f t="shared" si="510"/>
        <v>76</v>
      </c>
      <c r="AU240" s="27">
        <v>462</v>
      </c>
      <c r="AV240" s="27">
        <f t="shared" si="511"/>
        <v>3</v>
      </c>
      <c r="AW240" s="27">
        <v>39</v>
      </c>
      <c r="AX240" s="27">
        <f t="shared" si="512"/>
        <v>3</v>
      </c>
      <c r="AY240" s="47">
        <v>0</v>
      </c>
      <c r="AZ240" s="57" t="str">
        <f t="shared" si="513"/>
        <v>ラブブマスコット</v>
      </c>
      <c r="BA240" s="62">
        <f t="shared" si="514"/>
        <v>400</v>
      </c>
      <c r="BB240" s="27">
        <f t="shared" si="515"/>
        <v>1200</v>
      </c>
      <c r="BC240" s="28">
        <f t="shared" si="516"/>
        <v>0.15789473684210525</v>
      </c>
      <c r="BD240" s="15"/>
      <c r="BE240" s="2"/>
      <c r="BF240" s="26"/>
      <c r="BG240" s="241"/>
      <c r="BH240" s="27"/>
      <c r="BI240" s="182" t="str">
        <f t="shared" si="517"/>
        <v/>
      </c>
      <c r="BJ240" s="27"/>
      <c r="BK240" s="27" t="str">
        <f t="shared" si="518"/>
        <v/>
      </c>
      <c r="BL240" s="27"/>
      <c r="BM240" s="27" t="str">
        <f t="shared" si="519"/>
        <v/>
      </c>
      <c r="BN240" s="47"/>
      <c r="BO240" s="57" t="str">
        <f t="shared" si="520"/>
        <v/>
      </c>
      <c r="BP240" s="62" t="str">
        <f t="shared" si="521"/>
        <v/>
      </c>
      <c r="BQ240" s="27" t="str">
        <f t="shared" si="522"/>
        <v/>
      </c>
      <c r="BR240" s="28" t="str">
        <f t="shared" si="523"/>
        <v/>
      </c>
      <c r="BS240" s="15"/>
      <c r="BT240" s="15"/>
      <c r="BU240" s="79"/>
      <c r="BV240" s="13"/>
      <c r="BW240" s="13" t="str">
        <f>IF(BV240="","",BV240-BV241)</f>
        <v/>
      </c>
      <c r="BX240" s="13"/>
      <c r="BY240" s="13" t="str">
        <f>IF(BX240="","",BX240-BX241)</f>
        <v/>
      </c>
      <c r="BZ240" s="13"/>
      <c r="CA240" s="13" t="str">
        <f>IF(BZ240="","",BZ241+CB241-BZ240)</f>
        <v/>
      </c>
      <c r="CB240" s="13"/>
      <c r="CC240" s="53"/>
      <c r="CD240" s="53" t="str">
        <f>IF(BV240="","",CD241)</f>
        <v/>
      </c>
      <c r="CE240" s="13" t="str">
        <f t="shared" ref="CE240:CE272" si="526">IF(CD240="","",CA240*CD240)</f>
        <v/>
      </c>
      <c r="CF240" s="14" t="str">
        <f t="shared" ref="CF240:CF272" si="527">IF(CE240="","",CE240/(BW240*100))</f>
        <v/>
      </c>
      <c r="CG240" s="67"/>
      <c r="CH240" s="1"/>
      <c r="CI240" s="79"/>
      <c r="CJ240" s="13"/>
      <c r="CK240" s="13" t="str">
        <f>IF(CJ240="","",CJ240-CJ241)</f>
        <v/>
      </c>
      <c r="CL240" s="13"/>
      <c r="CM240" s="13" t="str">
        <f>IF(CL240="","",CL240-CL241)</f>
        <v/>
      </c>
      <c r="CN240" s="13"/>
      <c r="CO240" s="13" t="str">
        <f>IF(CN240="","",CN241+CP241-CN240)</f>
        <v/>
      </c>
      <c r="CP240" s="13"/>
      <c r="CQ240" s="53"/>
      <c r="CR240" s="53" t="str">
        <f>IF(CJ240="","",CR241)</f>
        <v/>
      </c>
      <c r="CS240" s="13" t="str">
        <f t="shared" ref="CS240:CS272" si="528">IF(CR240="","",CO240*CR240)</f>
        <v/>
      </c>
      <c r="CT240" s="14" t="str">
        <f>IF(CS240="","",CS240/(CK240*100))</f>
        <v/>
      </c>
      <c r="CU240" s="15"/>
      <c r="CV240" s="1"/>
      <c r="CW240" s="79"/>
      <c r="CX240" s="13"/>
      <c r="CY240" s="13" t="str">
        <f>IF(CX240="","",CX240-CX241)</f>
        <v/>
      </c>
      <c r="CZ240" s="13"/>
      <c r="DA240" s="13" t="str">
        <f>IF(CZ240="","",CZ240-CZ241)</f>
        <v/>
      </c>
      <c r="DB240" s="13"/>
      <c r="DC240" s="13" t="str">
        <f>IF(DB240="","",DB241+DD241-DB240)</f>
        <v/>
      </c>
      <c r="DD240" s="13"/>
      <c r="DE240" s="53"/>
      <c r="DF240" s="53" t="str">
        <f>IF(CX240="","",DF241)</f>
        <v/>
      </c>
      <c r="DG240" s="13" t="str">
        <f t="shared" ref="DG240:DG272" si="529">IF(DF240="","",DC240*DF240)</f>
        <v/>
      </c>
      <c r="DH240" s="14" t="str">
        <f t="shared" ref="DH240:DH272" si="530">IF(DG240="","",DG240/(CY240*100))</f>
        <v/>
      </c>
      <c r="DI240" s="15"/>
      <c r="DJ240" s="1"/>
      <c r="DK240" s="79"/>
      <c r="DL240" s="13"/>
      <c r="DM240" s="13" t="str">
        <f>IF(DL240="","",DL240-DL241)</f>
        <v/>
      </c>
      <c r="DN240" s="13"/>
      <c r="DO240" s="13" t="str">
        <f>IF(DN240="","",DN240-DN241)</f>
        <v/>
      </c>
      <c r="DP240" s="13"/>
      <c r="DQ240" s="13" t="str">
        <f>IF(DP240="","",DP241+DR241-DP240)</f>
        <v/>
      </c>
      <c r="DR240" s="13"/>
      <c r="DS240" s="53"/>
      <c r="DT240" s="53" t="str">
        <f>IF(DL240="","",DT241)</f>
        <v/>
      </c>
      <c r="DU240" s="13" t="str">
        <f t="shared" ref="DU240:DU272" si="531">IF(DT240="","",DQ240*DT240)</f>
        <v/>
      </c>
      <c r="DV240" s="14" t="str">
        <f t="shared" ref="DV240:DV272" si="532">IF(DU240="","",DU240/(DM240*100))</f>
        <v/>
      </c>
      <c r="DW240" s="15"/>
      <c r="DY240" s="79"/>
      <c r="DZ240" s="13"/>
      <c r="EA240" s="13" t="str">
        <f>IF(DZ240="","",DZ240-DZ241)</f>
        <v/>
      </c>
      <c r="EB240" s="13"/>
      <c r="EC240" s="13" t="str">
        <f>IF(EB240="","",EB240-EB241)</f>
        <v/>
      </c>
      <c r="ED240" s="13"/>
      <c r="EE240" s="13" t="str">
        <f>IF(ED240="","",ED241+EF241-ED240)</f>
        <v/>
      </c>
      <c r="EF240" s="13"/>
      <c r="EG240" s="53"/>
      <c r="EH240" s="53" t="str">
        <f>IF(DZ240="","",EH241)</f>
        <v/>
      </c>
      <c r="EI240" s="13" t="str">
        <f t="shared" ref="EI240:EI272" si="533">IF(EH240="","",EE240*EH240)</f>
        <v/>
      </c>
      <c r="EJ240" s="14" t="str">
        <f t="shared" ref="EJ240:EJ272" si="534">IF(EI240="","",EI240/(EA240*100))</f>
        <v/>
      </c>
      <c r="EK240" s="15"/>
    </row>
    <row r="241" spans="1:141" ht="15" customHeight="1" thickTop="1" x14ac:dyDescent="0.2">
      <c r="A241" s="79">
        <v>46076</v>
      </c>
      <c r="B241" s="74">
        <f>IF(A241="","",SUM(D241:D244)+SUM(R241:R244)+SUM(AF241:AF244)+SUM(AT241:AT244)+SUM(BW229,CK229,CY229,DM229,EA229))</f>
        <v>4324</v>
      </c>
      <c r="C241" s="53">
        <v>6476</v>
      </c>
      <c r="D241" s="53">
        <f t="shared" si="491"/>
        <v>59</v>
      </c>
      <c r="E241" s="53">
        <v>368</v>
      </c>
      <c r="F241" s="31">
        <f t="shared" si="492"/>
        <v>0</v>
      </c>
      <c r="G241" s="53">
        <v>22</v>
      </c>
      <c r="H241" s="53">
        <f t="shared" si="493"/>
        <v>0</v>
      </c>
      <c r="I241" s="80">
        <v>0</v>
      </c>
      <c r="J241" s="75" t="str">
        <f t="shared" si="494"/>
        <v>ジャグラーボタン</v>
      </c>
      <c r="K241" s="76">
        <f t="shared" si="495"/>
        <v>748</v>
      </c>
      <c r="L241" s="31">
        <f t="shared" si="496"/>
        <v>0</v>
      </c>
      <c r="M241" s="32">
        <f t="shared" si="497"/>
        <v>0</v>
      </c>
      <c r="N241" s="15"/>
      <c r="O241" s="2"/>
      <c r="P241" s="79">
        <f>IF($A241="","",$A241)</f>
        <v>46076</v>
      </c>
      <c r="Q241" s="53">
        <v>7282</v>
      </c>
      <c r="R241" s="53">
        <f t="shared" si="498"/>
        <v>208</v>
      </c>
      <c r="S241" s="53">
        <v>233</v>
      </c>
      <c r="T241" s="31">
        <f t="shared" si="499"/>
        <v>1</v>
      </c>
      <c r="U241" s="53">
        <v>12</v>
      </c>
      <c r="V241" s="53">
        <f t="shared" si="500"/>
        <v>1</v>
      </c>
      <c r="W241" s="80">
        <v>2</v>
      </c>
      <c r="X241" s="75" t="str">
        <f t="shared" si="524"/>
        <v>キティボアバンスクリップ</v>
      </c>
      <c r="Y241" s="76">
        <f t="shared" si="525"/>
        <v>1100</v>
      </c>
      <c r="Z241" s="31">
        <f t="shared" si="501"/>
        <v>1100</v>
      </c>
      <c r="AA241" s="32">
        <f t="shared" si="502"/>
        <v>5.2884615384615384E-2</v>
      </c>
      <c r="AB241" s="15"/>
      <c r="AC241" s="15"/>
      <c r="AD241" s="79">
        <f>IF($A241="","",$A241)</f>
        <v>46076</v>
      </c>
      <c r="AE241" s="53">
        <v>11082</v>
      </c>
      <c r="AF241" s="53">
        <f t="shared" si="503"/>
        <v>40</v>
      </c>
      <c r="AG241" s="53">
        <v>249</v>
      </c>
      <c r="AH241" s="31">
        <f t="shared" si="504"/>
        <v>1</v>
      </c>
      <c r="AI241" s="53">
        <v>13</v>
      </c>
      <c r="AJ241" s="53">
        <f t="shared" si="505"/>
        <v>2</v>
      </c>
      <c r="AK241" s="80">
        <v>12</v>
      </c>
      <c r="AL241" s="75" t="str">
        <f t="shared" si="506"/>
        <v>サンリオ型押しケース</v>
      </c>
      <c r="AM241" s="76">
        <f t="shared" si="507"/>
        <v>545</v>
      </c>
      <c r="AN241" s="31">
        <f t="shared" si="508"/>
        <v>1090</v>
      </c>
      <c r="AO241" s="32">
        <f t="shared" si="509"/>
        <v>0.27250000000000002</v>
      </c>
      <c r="AP241" s="15"/>
      <c r="AQ241" s="15"/>
      <c r="AR241" s="79">
        <f>IF($A241="","",$A241)</f>
        <v>46076</v>
      </c>
      <c r="AS241" s="53">
        <v>11988</v>
      </c>
      <c r="AT241" s="53">
        <f t="shared" si="510"/>
        <v>39</v>
      </c>
      <c r="AU241" s="53">
        <v>377</v>
      </c>
      <c r="AV241" s="31">
        <f t="shared" si="511"/>
        <v>1</v>
      </c>
      <c r="AW241" s="53">
        <v>18</v>
      </c>
      <c r="AX241" s="53">
        <f t="shared" si="512"/>
        <v>1</v>
      </c>
      <c r="AY241" s="80">
        <v>2</v>
      </c>
      <c r="AZ241" s="75" t="str">
        <f t="shared" si="513"/>
        <v>サンリオヒョウ柄キーケース</v>
      </c>
      <c r="BA241" s="76">
        <f t="shared" si="514"/>
        <v>924</v>
      </c>
      <c r="BB241" s="31">
        <f t="shared" si="515"/>
        <v>924</v>
      </c>
      <c r="BC241" s="32">
        <f t="shared" si="516"/>
        <v>0.23692307692307693</v>
      </c>
      <c r="BD241" s="15"/>
      <c r="BE241" s="2"/>
      <c r="BF241" s="79">
        <f>IF($A241="","",$A241)</f>
        <v>46076</v>
      </c>
      <c r="BG241" s="240"/>
      <c r="BH241" s="53"/>
      <c r="BI241" s="53" t="str">
        <f t="shared" si="517"/>
        <v/>
      </c>
      <c r="BJ241" s="53"/>
      <c r="BK241" s="31" t="str">
        <f t="shared" si="518"/>
        <v/>
      </c>
      <c r="BL241" s="53"/>
      <c r="BM241" s="53" t="str">
        <f t="shared" si="519"/>
        <v/>
      </c>
      <c r="BN241" s="80"/>
      <c r="BO241" s="75" t="str">
        <f t="shared" si="520"/>
        <v/>
      </c>
      <c r="BP241" s="76" t="str">
        <f t="shared" si="521"/>
        <v/>
      </c>
      <c r="BQ241" s="31" t="str">
        <f t="shared" si="522"/>
        <v/>
      </c>
      <c r="BR241" s="32" t="str">
        <f t="shared" si="523"/>
        <v/>
      </c>
      <c r="BS241" s="15"/>
      <c r="BT241" s="15"/>
      <c r="BU241" s="79"/>
      <c r="BV241" s="13"/>
      <c r="BW241" s="13" t="str">
        <f>IF(BV241="","",BV241-BV238)</f>
        <v/>
      </c>
      <c r="BX241" s="13"/>
      <c r="BY241" s="13" t="str">
        <f>IF(BX241="","",BX241-BX238)</f>
        <v/>
      </c>
      <c r="BZ241" s="13"/>
      <c r="CA241" s="13" t="str">
        <f>IF(BZ241="","",BZ238+CB238-BZ241)</f>
        <v/>
      </c>
      <c r="CB241" s="13"/>
      <c r="CC241" s="53"/>
      <c r="CD241" s="53" t="str">
        <f>IF(BV241="","",CD238)</f>
        <v/>
      </c>
      <c r="CE241" s="13" t="str">
        <f t="shared" si="526"/>
        <v/>
      </c>
      <c r="CF241" s="14" t="str">
        <f t="shared" si="527"/>
        <v/>
      </c>
      <c r="CG241" s="67"/>
      <c r="CH241" s="1"/>
      <c r="CI241" s="79"/>
      <c r="CJ241" s="13"/>
      <c r="CK241" s="13" t="str">
        <f>IF(CJ241="","",CJ241-CJ238)</f>
        <v/>
      </c>
      <c r="CL241" s="13"/>
      <c r="CM241" s="13" t="str">
        <f>IF(CL241="","",CL241-CL238)</f>
        <v/>
      </c>
      <c r="CN241" s="13"/>
      <c r="CO241" s="13" t="str">
        <f>IF(CN241="","",CN238+CP238-CN241)</f>
        <v/>
      </c>
      <c r="CP241" s="13"/>
      <c r="CQ241" s="53"/>
      <c r="CR241" s="53" t="str">
        <f>IF(CJ241="","",CR238)</f>
        <v/>
      </c>
      <c r="CS241" s="13" t="str">
        <f t="shared" si="528"/>
        <v/>
      </c>
      <c r="CT241" s="14" t="str">
        <f>IF(CS241="","",CS241/(CK241*100))</f>
        <v/>
      </c>
      <c r="CU241" s="15"/>
      <c r="CV241" s="1"/>
      <c r="CW241" s="79"/>
      <c r="CX241" s="13"/>
      <c r="CY241" s="13" t="str">
        <f>IF(CX241="","",CX241-CX238)</f>
        <v/>
      </c>
      <c r="CZ241" s="13"/>
      <c r="DA241" s="13" t="str">
        <f>IF(CZ241="","",CZ241-CZ238)</f>
        <v/>
      </c>
      <c r="DB241" s="13"/>
      <c r="DC241" s="13" t="str">
        <f>IF(DB241="","",DB238+DD238-DB241)</f>
        <v/>
      </c>
      <c r="DD241" s="13"/>
      <c r="DE241" s="53"/>
      <c r="DF241" s="53" t="str">
        <f>IF(CX241="","",DF238)</f>
        <v/>
      </c>
      <c r="DG241" s="13" t="str">
        <f t="shared" si="529"/>
        <v/>
      </c>
      <c r="DH241" s="14" t="str">
        <f t="shared" si="530"/>
        <v/>
      </c>
      <c r="DI241" s="15"/>
      <c r="DJ241" s="1"/>
      <c r="DK241" s="79"/>
      <c r="DL241" s="13"/>
      <c r="DM241" s="13" t="str">
        <f>IF(DL241="","",DL241-DL238)</f>
        <v/>
      </c>
      <c r="DN241" s="13"/>
      <c r="DO241" s="13" t="str">
        <f>IF(DN241="","",DN241-DN238)</f>
        <v/>
      </c>
      <c r="DP241" s="13"/>
      <c r="DQ241" s="13" t="str">
        <f>IF(DP241="","",DP238+DR238-DP241)</f>
        <v/>
      </c>
      <c r="DR241" s="13"/>
      <c r="DS241" s="53"/>
      <c r="DT241" s="53" t="str">
        <f>IF(DL241="","",DT238)</f>
        <v/>
      </c>
      <c r="DU241" s="13" t="str">
        <f t="shared" si="531"/>
        <v/>
      </c>
      <c r="DV241" s="14" t="str">
        <f t="shared" si="532"/>
        <v/>
      </c>
      <c r="DW241" s="15"/>
      <c r="DY241" s="79"/>
      <c r="DZ241" s="13"/>
      <c r="EA241" s="13" t="str">
        <f>IF(DZ241="","",DZ241-DZ238)</f>
        <v/>
      </c>
      <c r="EB241" s="13"/>
      <c r="EC241" s="13" t="str">
        <f>IF(EB241="","",EB241-EB238)</f>
        <v/>
      </c>
      <c r="ED241" s="13"/>
      <c r="EE241" s="13" t="str">
        <f>IF(ED241="","",ED238+EF238-ED241)</f>
        <v/>
      </c>
      <c r="EF241" s="13"/>
      <c r="EG241" s="53"/>
      <c r="EH241" s="53" t="str">
        <f>IF(DZ241="","",EH238)</f>
        <v/>
      </c>
      <c r="EI241" s="13" t="str">
        <f t="shared" si="533"/>
        <v/>
      </c>
      <c r="EJ241" s="14" t="str">
        <f t="shared" si="534"/>
        <v/>
      </c>
      <c r="EK241" s="15"/>
    </row>
    <row r="242" spans="1:141" ht="18.75" x14ac:dyDescent="0.2">
      <c r="A242" s="136"/>
      <c r="B242" s="11"/>
      <c r="C242" s="13">
        <v>6059</v>
      </c>
      <c r="D242" s="13">
        <f t="shared" si="491"/>
        <v>76</v>
      </c>
      <c r="E242" s="13">
        <v>389</v>
      </c>
      <c r="F242" s="13">
        <f t="shared" si="492"/>
        <v>0</v>
      </c>
      <c r="G242" s="13">
        <v>46</v>
      </c>
      <c r="H242" s="13">
        <f t="shared" si="493"/>
        <v>1</v>
      </c>
      <c r="I242" s="17">
        <v>0</v>
      </c>
      <c r="J242" s="56" t="str">
        <f t="shared" si="494"/>
        <v>電ブル</v>
      </c>
      <c r="K242" s="54">
        <f t="shared" si="495"/>
        <v>275</v>
      </c>
      <c r="L242" s="13">
        <f t="shared" si="496"/>
        <v>275</v>
      </c>
      <c r="M242" s="14">
        <f t="shared" si="497"/>
        <v>3.6184210526315791E-2</v>
      </c>
      <c r="N242" s="15"/>
      <c r="O242" s="2"/>
      <c r="P242" s="79"/>
      <c r="Q242" s="13">
        <v>4667</v>
      </c>
      <c r="R242" s="13">
        <f t="shared" si="498"/>
        <v>108</v>
      </c>
      <c r="S242" s="13">
        <v>145</v>
      </c>
      <c r="T242" s="13">
        <f t="shared" si="499"/>
        <v>2</v>
      </c>
      <c r="U242" s="13">
        <v>13</v>
      </c>
      <c r="V242" s="13">
        <f t="shared" si="500"/>
        <v>4</v>
      </c>
      <c r="W242" s="17">
        <v>4</v>
      </c>
      <c r="X242" s="56" t="str">
        <f t="shared" si="524"/>
        <v>ギャルキティマスコット</v>
      </c>
      <c r="Y242" s="54">
        <f t="shared" si="525"/>
        <v>1100</v>
      </c>
      <c r="Z242" s="13">
        <f t="shared" si="501"/>
        <v>4400</v>
      </c>
      <c r="AA242" s="14">
        <f t="shared" si="502"/>
        <v>0.40740740740740738</v>
      </c>
      <c r="AB242" s="15"/>
      <c r="AC242" s="15"/>
      <c r="AD242" s="79"/>
      <c r="AE242" s="13">
        <v>10759</v>
      </c>
      <c r="AF242" s="13">
        <f t="shared" si="503"/>
        <v>16</v>
      </c>
      <c r="AG242" s="13">
        <v>229</v>
      </c>
      <c r="AH242" s="13">
        <f t="shared" si="504"/>
        <v>0</v>
      </c>
      <c r="AI242" s="13">
        <v>15</v>
      </c>
      <c r="AJ242" s="13">
        <f t="shared" si="505"/>
        <v>0</v>
      </c>
      <c r="AK242" s="17">
        <v>0</v>
      </c>
      <c r="AL242" s="56" t="str">
        <f t="shared" si="506"/>
        <v>キティししっぽ付きポーチ</v>
      </c>
      <c r="AM242" s="54">
        <f t="shared" si="507"/>
        <v>0</v>
      </c>
      <c r="AN242" s="13">
        <f t="shared" si="508"/>
        <v>0</v>
      </c>
      <c r="AO242" s="14">
        <f t="shared" si="509"/>
        <v>0</v>
      </c>
      <c r="AP242" s="178" t="s">
        <v>435</v>
      </c>
      <c r="AQ242" s="15"/>
      <c r="AR242" s="79"/>
      <c r="AS242" s="13">
        <v>8593</v>
      </c>
      <c r="AT242" s="13">
        <f t="shared" si="510"/>
        <v>31</v>
      </c>
      <c r="AU242" s="13">
        <v>430</v>
      </c>
      <c r="AV242" s="13">
        <f t="shared" si="511"/>
        <v>1</v>
      </c>
      <c r="AW242" s="13">
        <v>9</v>
      </c>
      <c r="AX242" s="13">
        <f t="shared" si="512"/>
        <v>1</v>
      </c>
      <c r="AY242" s="17">
        <v>3</v>
      </c>
      <c r="AZ242" s="56" t="str">
        <f t="shared" si="513"/>
        <v>キティフェイスポーチ</v>
      </c>
      <c r="BA242" s="54">
        <f t="shared" si="514"/>
        <v>673</v>
      </c>
      <c r="BB242" s="13">
        <f t="shared" si="515"/>
        <v>673</v>
      </c>
      <c r="BC242" s="14">
        <f t="shared" si="516"/>
        <v>0.21709677419354839</v>
      </c>
      <c r="BD242" s="15"/>
      <c r="BE242" s="2"/>
      <c r="BF242" s="79"/>
      <c r="BG242" s="240"/>
      <c r="BH242" s="13"/>
      <c r="BI242" s="13" t="str">
        <f t="shared" si="517"/>
        <v/>
      </c>
      <c r="BJ242" s="13"/>
      <c r="BK242" s="13" t="str">
        <f t="shared" si="518"/>
        <v/>
      </c>
      <c r="BL242" s="13"/>
      <c r="BM242" s="13" t="str">
        <f t="shared" si="519"/>
        <v/>
      </c>
      <c r="BN242" s="17"/>
      <c r="BO242" s="56" t="str">
        <f t="shared" si="520"/>
        <v/>
      </c>
      <c r="BP242" s="54" t="str">
        <f t="shared" si="521"/>
        <v/>
      </c>
      <c r="BQ242" s="13" t="str">
        <f t="shared" si="522"/>
        <v/>
      </c>
      <c r="BR242" s="14" t="str">
        <f t="shared" si="523"/>
        <v/>
      </c>
      <c r="BS242" s="15"/>
      <c r="BT242" s="15"/>
      <c r="BU242" s="79"/>
      <c r="BV242" s="13"/>
      <c r="BW242" s="13" t="str">
        <f>IF(BV242="","",BV242-BV240)</f>
        <v/>
      </c>
      <c r="BX242" s="13"/>
      <c r="BY242" s="13" t="str">
        <f>IF(BX242="","",BX242-BX240)</f>
        <v/>
      </c>
      <c r="BZ242" s="13"/>
      <c r="CA242" s="13" t="str">
        <f>IF(BZ242="","",BZ240+CB240-BZ242)</f>
        <v/>
      </c>
      <c r="CB242" s="13"/>
      <c r="CC242" s="53"/>
      <c r="CD242" s="53" t="str">
        <f>IF(BV242="","",CD240)</f>
        <v/>
      </c>
      <c r="CE242" s="13" t="str">
        <f t="shared" si="526"/>
        <v/>
      </c>
      <c r="CF242" s="14" t="str">
        <f t="shared" si="527"/>
        <v/>
      </c>
      <c r="CG242" s="15"/>
      <c r="CH242" s="1"/>
      <c r="CI242" s="79"/>
      <c r="CJ242" s="13"/>
      <c r="CK242" s="13" t="str">
        <f>IF(CJ242="","",CJ242-CJ240)</f>
        <v/>
      </c>
      <c r="CL242" s="13"/>
      <c r="CM242" s="13" t="str">
        <f>IF(CL242="","",CL242-CL240)</f>
        <v/>
      </c>
      <c r="CN242" s="13"/>
      <c r="CO242" s="13" t="str">
        <f>IF(CN242="","",CN240+CP240-CN242)</f>
        <v/>
      </c>
      <c r="CP242" s="13"/>
      <c r="CQ242" s="53"/>
      <c r="CR242" s="53" t="str">
        <f>IF(CJ242="","",CR240)</f>
        <v/>
      </c>
      <c r="CS242" s="13" t="str">
        <f t="shared" si="528"/>
        <v/>
      </c>
      <c r="CT242" s="14" t="str">
        <f>IF(CS242="","",CS242/(CK242*100))</f>
        <v/>
      </c>
      <c r="CU242" s="15"/>
      <c r="CV242" s="1"/>
      <c r="CW242" s="79"/>
      <c r="CX242" s="13"/>
      <c r="CY242" s="13" t="str">
        <f>IF(CX242="","",CX242-CX240)</f>
        <v/>
      </c>
      <c r="CZ242" s="13"/>
      <c r="DA242" s="13" t="str">
        <f>IF(CZ242="","",CZ242-CZ240)</f>
        <v/>
      </c>
      <c r="DB242" s="13"/>
      <c r="DC242" s="13" t="str">
        <f>IF(DB242="","",DB240+DD240-DB242)</f>
        <v/>
      </c>
      <c r="DD242" s="13"/>
      <c r="DE242" s="53"/>
      <c r="DF242" s="53" t="str">
        <f>IF(CX242="","",DF240)</f>
        <v/>
      </c>
      <c r="DG242" s="13" t="str">
        <f t="shared" si="529"/>
        <v/>
      </c>
      <c r="DH242" s="14" t="str">
        <f t="shared" si="530"/>
        <v/>
      </c>
      <c r="DI242" s="15"/>
      <c r="DJ242" s="1"/>
      <c r="DK242" s="79"/>
      <c r="DL242" s="13"/>
      <c r="DM242" s="13" t="str">
        <f>IF(DL242="","",DL242-DL240)</f>
        <v/>
      </c>
      <c r="DN242" s="13"/>
      <c r="DO242" s="13" t="str">
        <f>IF(DN242="","",DN242-DN240)</f>
        <v/>
      </c>
      <c r="DP242" s="13"/>
      <c r="DQ242" s="13" t="str">
        <f>IF(DP242="","",DP240+DR240-DP242)</f>
        <v/>
      </c>
      <c r="DR242" s="13"/>
      <c r="DS242" s="53"/>
      <c r="DT242" s="53" t="str">
        <f>IF(DL242="","",DT240)</f>
        <v/>
      </c>
      <c r="DU242" s="13" t="str">
        <f t="shared" si="531"/>
        <v/>
      </c>
      <c r="DV242" s="14" t="str">
        <f t="shared" si="532"/>
        <v/>
      </c>
      <c r="DW242" s="15"/>
      <c r="DY242" s="79"/>
      <c r="DZ242" s="13"/>
      <c r="EA242" s="13" t="str">
        <f>IF(DZ242="","",DZ242-DZ240)</f>
        <v/>
      </c>
      <c r="EB242" s="13"/>
      <c r="EC242" s="13" t="str">
        <f>IF(EB242="","",EB242-EB240)</f>
        <v/>
      </c>
      <c r="ED242" s="13"/>
      <c r="EE242" s="13" t="str">
        <f>IF(ED242="","",ED240+EF240-ED242)</f>
        <v/>
      </c>
      <c r="EF242" s="13"/>
      <c r="EG242" s="53"/>
      <c r="EH242" s="53" t="str">
        <f>IF(DZ242="","",EH240)</f>
        <v/>
      </c>
      <c r="EI242" s="13" t="str">
        <f t="shared" si="533"/>
        <v/>
      </c>
      <c r="EJ242" s="14" t="str">
        <f t="shared" si="534"/>
        <v/>
      </c>
      <c r="EK242" s="15"/>
    </row>
    <row r="243" spans="1:141" ht="15" customHeight="1" x14ac:dyDescent="0.2">
      <c r="A243" s="79"/>
      <c r="B243" s="11"/>
      <c r="C243" s="34">
        <v>12281</v>
      </c>
      <c r="D243" s="13">
        <f t="shared" si="491"/>
        <v>91</v>
      </c>
      <c r="E243" s="34">
        <v>643</v>
      </c>
      <c r="F243" s="13">
        <f t="shared" si="492"/>
        <v>0</v>
      </c>
      <c r="G243" s="34">
        <v>21</v>
      </c>
      <c r="H243" s="13">
        <f t="shared" si="493"/>
        <v>0</v>
      </c>
      <c r="I243" s="49">
        <v>0</v>
      </c>
      <c r="J243" s="56" t="str">
        <f t="shared" si="494"/>
        <v>ゲーム機イヤホン</v>
      </c>
      <c r="K243" s="13">
        <f t="shared" si="495"/>
        <v>1100</v>
      </c>
      <c r="L243" s="13">
        <f t="shared" si="496"/>
        <v>0</v>
      </c>
      <c r="M243" s="14">
        <f t="shared" si="497"/>
        <v>0</v>
      </c>
      <c r="N243" s="15"/>
      <c r="O243" s="2"/>
      <c r="P243" s="79"/>
      <c r="Q243" s="34">
        <v>8270</v>
      </c>
      <c r="R243" s="13">
        <f t="shared" si="498"/>
        <v>84</v>
      </c>
      <c r="S243" s="34">
        <v>171</v>
      </c>
      <c r="T243" s="13">
        <f t="shared" si="499"/>
        <v>1</v>
      </c>
      <c r="U243" s="34">
        <v>16</v>
      </c>
      <c r="V243" s="13">
        <f t="shared" si="500"/>
        <v>1</v>
      </c>
      <c r="W243" s="49">
        <v>0</v>
      </c>
      <c r="X243" s="56" t="str">
        <f t="shared" si="524"/>
        <v>ヤヤマスコット</v>
      </c>
      <c r="Y243" s="13">
        <f t="shared" si="525"/>
        <v>850</v>
      </c>
      <c r="Z243" s="13">
        <f t="shared" si="501"/>
        <v>850</v>
      </c>
      <c r="AA243" s="14">
        <f t="shared" si="502"/>
        <v>0.10119047619047619</v>
      </c>
      <c r="AB243" s="15"/>
      <c r="AC243" s="15"/>
      <c r="AD243" s="79"/>
      <c r="AE243" s="34">
        <v>12934</v>
      </c>
      <c r="AF243" s="13">
        <f t="shared" si="503"/>
        <v>99</v>
      </c>
      <c r="AG243" s="34">
        <v>355</v>
      </c>
      <c r="AH243" s="13">
        <f t="shared" si="504"/>
        <v>1</v>
      </c>
      <c r="AI243" s="34">
        <v>15</v>
      </c>
      <c r="AJ243" s="13">
        <f t="shared" si="505"/>
        <v>1</v>
      </c>
      <c r="AK243" s="49">
        <v>0</v>
      </c>
      <c r="AL243" s="56" t="str">
        <f t="shared" si="506"/>
        <v>ゲームアーク</v>
      </c>
      <c r="AM243" s="13">
        <f t="shared" si="507"/>
        <v>682</v>
      </c>
      <c r="AN243" s="13">
        <f t="shared" si="508"/>
        <v>682</v>
      </c>
      <c r="AO243" s="14">
        <f t="shared" si="509"/>
        <v>6.8888888888888888E-2</v>
      </c>
      <c r="AP243" s="15"/>
      <c r="AQ243" s="15"/>
      <c r="AR243" s="79"/>
      <c r="AS243" s="34">
        <v>15779</v>
      </c>
      <c r="AT243" s="13">
        <f t="shared" si="510"/>
        <v>392</v>
      </c>
      <c r="AU243" s="34">
        <v>533</v>
      </c>
      <c r="AV243" s="13">
        <f t="shared" si="511"/>
        <v>7</v>
      </c>
      <c r="AW243" s="34">
        <v>11</v>
      </c>
      <c r="AX243" s="13">
        <f t="shared" si="512"/>
        <v>7</v>
      </c>
      <c r="AY243" s="49">
        <v>0</v>
      </c>
      <c r="AZ243" s="56" t="s">
        <v>477</v>
      </c>
      <c r="BA243" s="13">
        <v>1100</v>
      </c>
      <c r="BB243" s="13">
        <f t="shared" si="515"/>
        <v>7700</v>
      </c>
      <c r="BC243" s="14">
        <f t="shared" si="516"/>
        <v>0.19642857142857142</v>
      </c>
      <c r="BD243" s="15"/>
      <c r="BE243" s="2"/>
      <c r="BF243" s="79"/>
      <c r="BG243" s="242"/>
      <c r="BH243" s="34"/>
      <c r="BI243" s="13" t="str">
        <f t="shared" si="517"/>
        <v/>
      </c>
      <c r="BJ243" s="34"/>
      <c r="BK243" s="13" t="str">
        <f t="shared" si="518"/>
        <v/>
      </c>
      <c r="BL243" s="34"/>
      <c r="BM243" s="13" t="str">
        <f t="shared" si="519"/>
        <v/>
      </c>
      <c r="BN243" s="49"/>
      <c r="BO243" s="56" t="str">
        <f t="shared" si="520"/>
        <v/>
      </c>
      <c r="BP243" s="13" t="str">
        <f t="shared" si="521"/>
        <v/>
      </c>
      <c r="BQ243" s="13" t="str">
        <f t="shared" si="522"/>
        <v/>
      </c>
      <c r="BR243" s="14" t="str">
        <f t="shared" si="523"/>
        <v/>
      </c>
      <c r="BS243" s="15"/>
      <c r="BT243" s="15"/>
      <c r="BU243" s="79"/>
      <c r="BV243" s="13"/>
      <c r="BW243" s="13" t="str">
        <f>IF(BV243="","",BV243-#REF!)</f>
        <v/>
      </c>
      <c r="BX243" s="13"/>
      <c r="BY243" s="13" t="str">
        <f>IF(BX243="","",BX243-#REF!)</f>
        <v/>
      </c>
      <c r="BZ243" s="13"/>
      <c r="CA243" s="13" t="str">
        <f>IF(BZ243="","",#REF!+#REF!-BZ243)</f>
        <v/>
      </c>
      <c r="CB243" s="13"/>
      <c r="CC243" s="53"/>
      <c r="CD243" s="53" t="str">
        <f>IF(BV243="","",#REF!)</f>
        <v/>
      </c>
      <c r="CE243" s="13" t="str">
        <f t="shared" si="526"/>
        <v/>
      </c>
      <c r="CF243" s="14" t="str">
        <f t="shared" si="527"/>
        <v/>
      </c>
      <c r="CG243" s="15"/>
      <c r="CH243" s="1"/>
      <c r="CI243" s="79"/>
      <c r="CJ243" s="13"/>
      <c r="CK243" s="13" t="str">
        <f>IF(CJ243="","",CJ243-#REF!)</f>
        <v/>
      </c>
      <c r="CL243" s="13"/>
      <c r="CM243" s="13" t="str">
        <f>IF(CL243="","",CL243-#REF!)</f>
        <v/>
      </c>
      <c r="CN243" s="13"/>
      <c r="CO243" s="13" t="str">
        <f>IF(CN243="","",#REF!+#REF!-CN243)</f>
        <v/>
      </c>
      <c r="CP243" s="13"/>
      <c r="CQ243" s="53"/>
      <c r="CR243" s="53" t="str">
        <f>IF(CJ243="","",#REF!)</f>
        <v/>
      </c>
      <c r="CS243" s="13" t="str">
        <f t="shared" si="528"/>
        <v/>
      </c>
      <c r="CT243" s="14" t="str">
        <f>IF(CS243="","",CS243/(CK243*100))</f>
        <v/>
      </c>
      <c r="CU243" s="15"/>
      <c r="CV243" s="1"/>
      <c r="CW243" s="79"/>
      <c r="CX243" s="13"/>
      <c r="CY243" s="13" t="str">
        <f>IF(CX243="","",CX243-#REF!)</f>
        <v/>
      </c>
      <c r="CZ243" s="13"/>
      <c r="DA243" s="13" t="str">
        <f>IF(CZ243="","",CZ243-#REF!)</f>
        <v/>
      </c>
      <c r="DB243" s="13"/>
      <c r="DC243" s="13" t="str">
        <f>IF(DB243="","",#REF!+#REF!-DB243)</f>
        <v/>
      </c>
      <c r="DD243" s="13"/>
      <c r="DE243" s="53"/>
      <c r="DF243" s="53" t="str">
        <f>IF(CX243="","",#REF!)</f>
        <v/>
      </c>
      <c r="DG243" s="13" t="str">
        <f t="shared" si="529"/>
        <v/>
      </c>
      <c r="DH243" s="14" t="str">
        <f t="shared" si="530"/>
        <v/>
      </c>
      <c r="DI243" s="15"/>
      <c r="DJ243" s="1"/>
      <c r="DK243" s="79"/>
      <c r="DL243" s="13"/>
      <c r="DM243" s="13" t="str">
        <f>IF(DL243="","",DL243-#REF!)</f>
        <v/>
      </c>
      <c r="DN243" s="13"/>
      <c r="DO243" s="13" t="str">
        <f>IF(DN243="","",DN243-#REF!)</f>
        <v/>
      </c>
      <c r="DP243" s="13"/>
      <c r="DQ243" s="13" t="str">
        <f>IF(DP243="","",#REF!+#REF!-DP243)</f>
        <v/>
      </c>
      <c r="DR243" s="13"/>
      <c r="DS243" s="53"/>
      <c r="DT243" s="53" t="str">
        <f>IF(DL243="","",#REF!)</f>
        <v/>
      </c>
      <c r="DU243" s="13" t="str">
        <f t="shared" si="531"/>
        <v/>
      </c>
      <c r="DV243" s="14" t="str">
        <f t="shared" si="532"/>
        <v/>
      </c>
      <c r="DW243" s="15"/>
      <c r="DY243" s="79"/>
      <c r="DZ243" s="13"/>
      <c r="EA243" s="13" t="str">
        <f>IF(DZ243="","",DZ243-#REF!)</f>
        <v/>
      </c>
      <c r="EB243" s="13"/>
      <c r="EC243" s="13" t="str">
        <f>IF(EB243="","",EB243-#REF!)</f>
        <v/>
      </c>
      <c r="ED243" s="13"/>
      <c r="EE243" s="13" t="str">
        <f>IF(ED243="","",#REF!+#REF!-ED243)</f>
        <v/>
      </c>
      <c r="EF243" s="13"/>
      <c r="EG243" s="53"/>
      <c r="EH243" s="53" t="str">
        <f>IF(DZ243="","",#REF!)</f>
        <v/>
      </c>
      <c r="EI243" s="13" t="str">
        <f t="shared" si="533"/>
        <v/>
      </c>
      <c r="EJ243" s="14" t="str">
        <f t="shared" si="534"/>
        <v/>
      </c>
      <c r="EK243" s="15"/>
    </row>
    <row r="244" spans="1:141" ht="13.5" customHeight="1" thickBot="1" x14ac:dyDescent="0.25">
      <c r="A244" s="26"/>
      <c r="B244" s="46"/>
      <c r="C244" s="27">
        <v>7839</v>
      </c>
      <c r="D244" s="27">
        <f t="shared" si="491"/>
        <v>130</v>
      </c>
      <c r="E244" s="27">
        <v>489</v>
      </c>
      <c r="F244" s="27">
        <f t="shared" si="492"/>
        <v>0</v>
      </c>
      <c r="G244" s="27">
        <v>5</v>
      </c>
      <c r="H244" s="27">
        <f t="shared" si="493"/>
        <v>0</v>
      </c>
      <c r="I244" s="47">
        <v>0</v>
      </c>
      <c r="J244" s="57" t="str">
        <f t="shared" si="494"/>
        <v>モンチッチフェイスポーチ</v>
      </c>
      <c r="K244" s="62">
        <f t="shared" si="495"/>
        <v>900</v>
      </c>
      <c r="L244" s="27">
        <f t="shared" si="496"/>
        <v>0</v>
      </c>
      <c r="M244" s="28">
        <f t="shared" si="497"/>
        <v>0</v>
      </c>
      <c r="N244" s="15"/>
      <c r="O244" s="2"/>
      <c r="P244" s="26"/>
      <c r="Q244" s="27">
        <v>11525</v>
      </c>
      <c r="R244" s="27">
        <f t="shared" si="498"/>
        <v>257</v>
      </c>
      <c r="S244" s="27">
        <v>371</v>
      </c>
      <c r="T244" s="27">
        <f t="shared" si="499"/>
        <v>31</v>
      </c>
      <c r="U244" s="27">
        <v>5</v>
      </c>
      <c r="V244" s="27">
        <f t="shared" si="500"/>
        <v>30</v>
      </c>
      <c r="W244" s="47">
        <v>39</v>
      </c>
      <c r="X244" s="57" t="str">
        <f t="shared" si="524"/>
        <v>ボンボンドロップ</v>
      </c>
      <c r="Y244" s="62">
        <f t="shared" si="525"/>
        <v>200</v>
      </c>
      <c r="Z244" s="27">
        <f t="shared" si="501"/>
        <v>6000</v>
      </c>
      <c r="AA244" s="28">
        <f t="shared" si="502"/>
        <v>0.23346303501945526</v>
      </c>
      <c r="AB244" s="15" t="s">
        <v>480</v>
      </c>
      <c r="AC244" s="15"/>
      <c r="AD244" s="26"/>
      <c r="AE244" s="27">
        <v>12735</v>
      </c>
      <c r="AF244" s="27">
        <f t="shared" si="503"/>
        <v>64</v>
      </c>
      <c r="AG244" s="27">
        <v>317</v>
      </c>
      <c r="AH244" s="27">
        <f t="shared" si="504"/>
        <v>0</v>
      </c>
      <c r="AI244" s="27">
        <v>18</v>
      </c>
      <c r="AJ244" s="27">
        <f t="shared" si="505"/>
        <v>0</v>
      </c>
      <c r="AK244" s="47">
        <v>0</v>
      </c>
      <c r="AL244" s="57" t="str">
        <f t="shared" si="506"/>
        <v>モンチッチマスコット2</v>
      </c>
      <c r="AM244" s="62">
        <f t="shared" si="507"/>
        <v>605</v>
      </c>
      <c r="AN244" s="27">
        <f t="shared" si="508"/>
        <v>0</v>
      </c>
      <c r="AO244" s="28">
        <f t="shared" si="509"/>
        <v>0</v>
      </c>
      <c r="AP244" s="15"/>
      <c r="AQ244" s="15"/>
      <c r="AR244" s="26"/>
      <c r="AS244" s="27">
        <v>16067</v>
      </c>
      <c r="AT244" s="27">
        <f t="shared" si="510"/>
        <v>79</v>
      </c>
      <c r="AU244" s="27">
        <v>466</v>
      </c>
      <c r="AV244" s="27">
        <f t="shared" si="511"/>
        <v>4</v>
      </c>
      <c r="AW244" s="27">
        <v>34</v>
      </c>
      <c r="AX244" s="27">
        <f t="shared" si="512"/>
        <v>5</v>
      </c>
      <c r="AY244" s="47">
        <v>0</v>
      </c>
      <c r="AZ244" s="57" t="str">
        <f t="shared" ref="AZ244:BA249" si="535">IF(AS244="","",AZ240)</f>
        <v>ラブブマスコット</v>
      </c>
      <c r="BA244" s="62">
        <f t="shared" si="535"/>
        <v>400</v>
      </c>
      <c r="BB244" s="27">
        <f t="shared" si="515"/>
        <v>2000</v>
      </c>
      <c r="BC244" s="28">
        <f t="shared" si="516"/>
        <v>0.25316455696202533</v>
      </c>
      <c r="BD244" s="15"/>
      <c r="BE244" s="2"/>
      <c r="BF244" s="26"/>
      <c r="BG244" s="241"/>
      <c r="BH244" s="27"/>
      <c r="BI244" s="27" t="str">
        <f t="shared" si="517"/>
        <v/>
      </c>
      <c r="BJ244" s="27"/>
      <c r="BK244" s="27" t="str">
        <f t="shared" si="518"/>
        <v/>
      </c>
      <c r="BL244" s="27"/>
      <c r="BM244" s="27" t="str">
        <f t="shared" si="519"/>
        <v/>
      </c>
      <c r="BN244" s="47"/>
      <c r="BO244" s="57" t="str">
        <f t="shared" si="520"/>
        <v/>
      </c>
      <c r="BP244" s="62" t="str">
        <f t="shared" si="521"/>
        <v/>
      </c>
      <c r="BQ244" s="27" t="str">
        <f t="shared" si="522"/>
        <v/>
      </c>
      <c r="BR244" s="28" t="str">
        <f t="shared" si="523"/>
        <v/>
      </c>
      <c r="BS244" s="15"/>
      <c r="BT244" s="15"/>
      <c r="BU244" s="79"/>
      <c r="BV244" s="13"/>
      <c r="BW244" s="13" t="str">
        <f>IF(BV244="","",BV244-BV243)</f>
        <v/>
      </c>
      <c r="BX244" s="13"/>
      <c r="BY244" s="13" t="str">
        <f>IF(BX244="","",BX244-BX243)</f>
        <v/>
      </c>
      <c r="BZ244" s="13"/>
      <c r="CA244" s="13" t="str">
        <f>IF(BZ244="","",BZ243+CB243-BZ244)</f>
        <v/>
      </c>
      <c r="CB244" s="13"/>
      <c r="CC244" s="53"/>
      <c r="CD244" s="53" t="str">
        <f>IF(BV244="","",CD243)</f>
        <v/>
      </c>
      <c r="CE244" s="13" t="str">
        <f t="shared" si="526"/>
        <v/>
      </c>
      <c r="CF244" s="14" t="str">
        <f t="shared" si="527"/>
        <v/>
      </c>
      <c r="CG244" s="15"/>
      <c r="CH244" s="1"/>
      <c r="CI244" s="79"/>
      <c r="CJ244" s="13"/>
      <c r="CK244" s="13" t="str">
        <f>IF(CJ244="","",CJ244-CJ243)</f>
        <v/>
      </c>
      <c r="CL244" s="13"/>
      <c r="CM244" s="13" t="str">
        <f>IF(CL244="","",CL244-CL243)</f>
        <v/>
      </c>
      <c r="CN244" s="13"/>
      <c r="CO244" s="13" t="str">
        <f>IF(CN244="","",CN243+CP243-CN244)</f>
        <v/>
      </c>
      <c r="CP244" s="13"/>
      <c r="CQ244" s="53"/>
      <c r="CR244" s="53" t="str">
        <f>IF(CJ244="","",CR243)</f>
        <v/>
      </c>
      <c r="CS244" s="13" t="str">
        <f t="shared" si="528"/>
        <v/>
      </c>
      <c r="CT244" s="14" t="str">
        <f>IF(CS244="","",CS244/(CJ244*100))</f>
        <v/>
      </c>
      <c r="CU244" s="15"/>
      <c r="CV244" s="1"/>
      <c r="CW244" s="79"/>
      <c r="CX244" s="13"/>
      <c r="CY244" s="13" t="str">
        <f>IF(CX244="","",CX244-CX243)</f>
        <v/>
      </c>
      <c r="CZ244" s="13"/>
      <c r="DA244" s="13" t="str">
        <f>IF(CZ244="","",CZ244-CZ243)</f>
        <v/>
      </c>
      <c r="DB244" s="13"/>
      <c r="DC244" s="13" t="str">
        <f>IF(DB244="","",DB243+DD243-DB244)</f>
        <v/>
      </c>
      <c r="DD244" s="13"/>
      <c r="DE244" s="53"/>
      <c r="DF244" s="53" t="str">
        <f>IF(CX244="","",DF243)</f>
        <v/>
      </c>
      <c r="DG244" s="13" t="str">
        <f t="shared" si="529"/>
        <v/>
      </c>
      <c r="DH244" s="14" t="str">
        <f t="shared" si="530"/>
        <v/>
      </c>
      <c r="DI244" s="15"/>
      <c r="DJ244" s="1"/>
      <c r="DK244" s="79"/>
      <c r="DL244" s="13"/>
      <c r="DM244" s="13" t="str">
        <f>IF(DL244="","",DL244-DL243)</f>
        <v/>
      </c>
      <c r="DN244" s="13"/>
      <c r="DO244" s="13" t="str">
        <f>IF(DN244="","",DN244-DN243)</f>
        <v/>
      </c>
      <c r="DP244" s="13"/>
      <c r="DQ244" s="13" t="str">
        <f>IF(DP244="","",DP243+DR243-DP244)</f>
        <v/>
      </c>
      <c r="DR244" s="13"/>
      <c r="DS244" s="53"/>
      <c r="DT244" s="53" t="str">
        <f>IF(DL244="","",DT243)</f>
        <v/>
      </c>
      <c r="DU244" s="13" t="str">
        <f t="shared" si="531"/>
        <v/>
      </c>
      <c r="DV244" s="14" t="str">
        <f t="shared" si="532"/>
        <v/>
      </c>
      <c r="DW244" s="15"/>
      <c r="DY244" s="79"/>
      <c r="DZ244" s="13"/>
      <c r="EA244" s="13" t="str">
        <f>IF(DZ244="","",DZ244-DZ243)</f>
        <v/>
      </c>
      <c r="EB244" s="13"/>
      <c r="EC244" s="13" t="str">
        <f>IF(EB244="","",EB244-EB243)</f>
        <v/>
      </c>
      <c r="ED244" s="13"/>
      <c r="EE244" s="13" t="str">
        <f>IF(ED244="","",ED243+EF243-ED244)</f>
        <v/>
      </c>
      <c r="EF244" s="13"/>
      <c r="EG244" s="53"/>
      <c r="EH244" s="53" t="str">
        <f>IF(DZ244="","",EH243)</f>
        <v/>
      </c>
      <c r="EI244" s="13" t="str">
        <f t="shared" si="533"/>
        <v/>
      </c>
      <c r="EJ244" s="14" t="str">
        <f t="shared" si="534"/>
        <v/>
      </c>
      <c r="EK244" s="15"/>
    </row>
    <row r="245" spans="1:141" ht="15" customHeight="1" thickTop="1" x14ac:dyDescent="0.2">
      <c r="A245" s="79">
        <v>46080</v>
      </c>
      <c r="B245" s="151">
        <f>IF(A245="","",SUM(D245:D248)+SUM(R245:R248)+SUM(BI245:BI248)+SUM(AF245:AF248)+SUM(AT245:AT248)+SUM(BW230,CK230,CY230,DM230,EA230))</f>
        <v>3703</v>
      </c>
      <c r="C245" s="53">
        <v>6558</v>
      </c>
      <c r="D245" s="53">
        <f t="shared" si="491"/>
        <v>82</v>
      </c>
      <c r="E245" s="53">
        <v>369</v>
      </c>
      <c r="F245" s="31">
        <f t="shared" si="492"/>
        <v>1</v>
      </c>
      <c r="G245" s="53">
        <v>21</v>
      </c>
      <c r="H245" s="53">
        <f t="shared" si="493"/>
        <v>1</v>
      </c>
      <c r="I245" s="80">
        <v>0</v>
      </c>
      <c r="J245" s="75" t="str">
        <f t="shared" si="494"/>
        <v>ジャグラーボタン</v>
      </c>
      <c r="K245" s="76">
        <f t="shared" si="495"/>
        <v>748</v>
      </c>
      <c r="L245" s="31">
        <f t="shared" si="496"/>
        <v>748</v>
      </c>
      <c r="M245" s="32">
        <f t="shared" si="497"/>
        <v>9.1219512195121949E-2</v>
      </c>
      <c r="N245" s="15"/>
      <c r="O245" s="2"/>
      <c r="P245" s="79">
        <f>IF($A245="","",$A245)</f>
        <v>46080</v>
      </c>
      <c r="Q245" s="53">
        <v>7287</v>
      </c>
      <c r="R245" s="53">
        <f t="shared" si="498"/>
        <v>5</v>
      </c>
      <c r="S245" s="53">
        <v>236</v>
      </c>
      <c r="T245" s="31">
        <f t="shared" si="499"/>
        <v>3</v>
      </c>
      <c r="U245" s="53">
        <v>10</v>
      </c>
      <c r="V245" s="53">
        <f t="shared" si="500"/>
        <v>4</v>
      </c>
      <c r="W245" s="80">
        <v>0</v>
      </c>
      <c r="X245" s="75" t="str">
        <f t="shared" si="524"/>
        <v>キティボアバンスクリップ</v>
      </c>
      <c r="Y245" s="76">
        <f t="shared" si="525"/>
        <v>1100</v>
      </c>
      <c r="Z245" s="31">
        <f t="shared" si="501"/>
        <v>4400</v>
      </c>
      <c r="AA245" s="32">
        <f t="shared" si="502"/>
        <v>8.8000000000000007</v>
      </c>
      <c r="AB245" s="185" t="s">
        <v>483</v>
      </c>
      <c r="AC245" s="15"/>
      <c r="AD245" s="79">
        <f>IF($A245="","",$A245)</f>
        <v>46080</v>
      </c>
      <c r="AE245" s="53">
        <v>11120</v>
      </c>
      <c r="AF245" s="53">
        <f t="shared" si="503"/>
        <v>38</v>
      </c>
      <c r="AG245" s="53">
        <v>251</v>
      </c>
      <c r="AH245" s="31">
        <f t="shared" si="504"/>
        <v>2</v>
      </c>
      <c r="AI245" s="53">
        <v>24</v>
      </c>
      <c r="AJ245" s="53">
        <f t="shared" si="505"/>
        <v>1</v>
      </c>
      <c r="AK245" s="80">
        <v>0</v>
      </c>
      <c r="AL245" s="75" t="str">
        <f t="shared" si="506"/>
        <v>サンリオ型押しケース</v>
      </c>
      <c r="AM245" s="76">
        <f t="shared" si="507"/>
        <v>545</v>
      </c>
      <c r="AN245" s="31">
        <f t="shared" si="508"/>
        <v>545</v>
      </c>
      <c r="AO245" s="32">
        <f t="shared" si="509"/>
        <v>0.14342105263157895</v>
      </c>
      <c r="AP245" s="15"/>
      <c r="AQ245" s="15"/>
      <c r="AR245" s="79">
        <f>IF($A245="","",$A245)</f>
        <v>46080</v>
      </c>
      <c r="AS245" s="53">
        <v>12018</v>
      </c>
      <c r="AT245" s="53">
        <f t="shared" si="510"/>
        <v>30</v>
      </c>
      <c r="AU245" s="53">
        <v>378</v>
      </c>
      <c r="AV245" s="31">
        <f t="shared" si="511"/>
        <v>1</v>
      </c>
      <c r="AW245" s="53">
        <v>19</v>
      </c>
      <c r="AX245" s="53">
        <f t="shared" si="512"/>
        <v>1</v>
      </c>
      <c r="AY245" s="80">
        <v>0</v>
      </c>
      <c r="AZ245" s="75" t="str">
        <f t="shared" si="535"/>
        <v>サンリオヒョウ柄キーケース</v>
      </c>
      <c r="BA245" s="76">
        <f t="shared" si="535"/>
        <v>924</v>
      </c>
      <c r="BB245" s="31">
        <f t="shared" si="515"/>
        <v>924</v>
      </c>
      <c r="BC245" s="32">
        <f t="shared" si="516"/>
        <v>0.308</v>
      </c>
      <c r="BD245" s="15"/>
      <c r="BE245" s="2"/>
      <c r="BF245" s="79">
        <f>IF($A245="","",$A245)</f>
        <v>46080</v>
      </c>
      <c r="BG245" s="240"/>
      <c r="BH245" s="53">
        <v>151</v>
      </c>
      <c r="BI245" s="53">
        <f t="shared" si="517"/>
        <v>151</v>
      </c>
      <c r="BJ245" s="53">
        <v>0</v>
      </c>
      <c r="BK245" s="31">
        <f t="shared" si="518"/>
        <v>0</v>
      </c>
      <c r="BL245" s="53">
        <v>3</v>
      </c>
      <c r="BM245" s="53"/>
      <c r="BN245" s="80">
        <v>0</v>
      </c>
      <c r="BO245" s="75" t="s">
        <v>482</v>
      </c>
      <c r="BP245" s="76">
        <v>1500</v>
      </c>
      <c r="BQ245" s="31">
        <f t="shared" si="522"/>
        <v>0</v>
      </c>
      <c r="BR245" s="32" t="str">
        <f t="shared" si="523"/>
        <v/>
      </c>
      <c r="BS245" s="15"/>
      <c r="BT245" s="15"/>
      <c r="BU245" s="79"/>
      <c r="BV245" s="13"/>
      <c r="BW245" s="13" t="str">
        <f>IF(BV245="","",BV245-BV244)</f>
        <v/>
      </c>
      <c r="BX245" s="13"/>
      <c r="BY245" s="13" t="str">
        <f>IF(BX245="","",BX245-BX244)</f>
        <v/>
      </c>
      <c r="BZ245" s="13"/>
      <c r="CA245" s="13" t="str">
        <f>IF(BZ245="","",BZ244+CB244-BZ245)</f>
        <v/>
      </c>
      <c r="CB245" s="13"/>
      <c r="CC245" s="53"/>
      <c r="CD245" s="53" t="str">
        <f>IF(BV245="","",CD244)</f>
        <v/>
      </c>
      <c r="CE245" s="13" t="str">
        <f t="shared" si="526"/>
        <v/>
      </c>
      <c r="CF245" s="14" t="str">
        <f t="shared" si="527"/>
        <v/>
      </c>
      <c r="CG245" s="15"/>
      <c r="CH245" s="1"/>
      <c r="CI245" s="79"/>
      <c r="CJ245" s="13"/>
      <c r="CK245" s="13" t="str">
        <f>IF(CJ245="","",CJ245-CJ244)</f>
        <v/>
      </c>
      <c r="CL245" s="13"/>
      <c r="CM245" s="13" t="str">
        <f>IF(CL245="","",CL245-CL244)</f>
        <v/>
      </c>
      <c r="CN245" s="13"/>
      <c r="CO245" s="13" t="str">
        <f>IF(CN245="","",CN244+CP244-CN245)</f>
        <v/>
      </c>
      <c r="CP245" s="13"/>
      <c r="CQ245" s="53"/>
      <c r="CR245" s="53" t="str">
        <f>IF(CJ245="","",CR244)</f>
        <v/>
      </c>
      <c r="CS245" s="13" t="str">
        <f t="shared" si="528"/>
        <v/>
      </c>
      <c r="CT245" s="14" t="str">
        <f>IF(CS245="","",CS245/(CJ245*100))</f>
        <v/>
      </c>
      <c r="CU245" s="15"/>
      <c r="CV245" s="1"/>
      <c r="CW245" s="79"/>
      <c r="CX245" s="13"/>
      <c r="CY245" s="13" t="str">
        <f>IF(CX245="","",CX245-CX244)</f>
        <v/>
      </c>
      <c r="CZ245" s="13"/>
      <c r="DA245" s="13" t="str">
        <f>IF(CZ245="","",CZ245-CZ244)</f>
        <v/>
      </c>
      <c r="DB245" s="13"/>
      <c r="DC245" s="13" t="str">
        <f>IF(DB245="","",DB244+DD244-DB245)</f>
        <v/>
      </c>
      <c r="DD245" s="13"/>
      <c r="DE245" s="53"/>
      <c r="DF245" s="53" t="str">
        <f>IF(CX245="","",DF244)</f>
        <v/>
      </c>
      <c r="DG245" s="13" t="str">
        <f t="shared" si="529"/>
        <v/>
      </c>
      <c r="DH245" s="14" t="str">
        <f t="shared" si="530"/>
        <v/>
      </c>
      <c r="DI245" s="15"/>
      <c r="DJ245" s="1"/>
      <c r="DK245" s="79"/>
      <c r="DL245" s="13"/>
      <c r="DM245" s="13" t="str">
        <f>IF(DL245="","",DL245-DL244)</f>
        <v/>
      </c>
      <c r="DN245" s="13"/>
      <c r="DO245" s="13" t="str">
        <f>IF(DN245="","",DN245-DN244)</f>
        <v/>
      </c>
      <c r="DP245" s="13"/>
      <c r="DQ245" s="13" t="str">
        <f>IF(DP245="","",DP244+DR244-DP245)</f>
        <v/>
      </c>
      <c r="DR245" s="13"/>
      <c r="DS245" s="53"/>
      <c r="DT245" s="53" t="str">
        <f>IF(DL245="","",DT244)</f>
        <v/>
      </c>
      <c r="DU245" s="13" t="str">
        <f t="shared" si="531"/>
        <v/>
      </c>
      <c r="DV245" s="14" t="str">
        <f t="shared" si="532"/>
        <v/>
      </c>
      <c r="DW245" s="15"/>
      <c r="DY245" s="79"/>
      <c r="DZ245" s="13"/>
      <c r="EA245" s="13" t="str">
        <f>IF(DZ245="","",DZ245-DZ244)</f>
        <v/>
      </c>
      <c r="EB245" s="13"/>
      <c r="EC245" s="13" t="str">
        <f>IF(EB245="","",EB245-EB244)</f>
        <v/>
      </c>
      <c r="ED245" s="13"/>
      <c r="EE245" s="13" t="str">
        <f>IF(ED245="","",ED244+EF244-ED245)</f>
        <v/>
      </c>
      <c r="EF245" s="13"/>
      <c r="EG245" s="53"/>
      <c r="EH245" s="53" t="str">
        <f>IF(DZ245="","",EH244)</f>
        <v/>
      </c>
      <c r="EI245" s="13" t="str">
        <f t="shared" si="533"/>
        <v/>
      </c>
      <c r="EJ245" s="14" t="str">
        <f t="shared" si="534"/>
        <v/>
      </c>
      <c r="EK245" s="15"/>
    </row>
    <row r="246" spans="1:141" ht="15" customHeight="1" x14ac:dyDescent="0.2">
      <c r="A246" s="150"/>
      <c r="B246" s="152"/>
      <c r="C246" s="54">
        <v>6126</v>
      </c>
      <c r="D246" s="13">
        <f t="shared" si="491"/>
        <v>67</v>
      </c>
      <c r="E246" s="13">
        <v>392</v>
      </c>
      <c r="F246" s="13">
        <f t="shared" si="492"/>
        <v>3</v>
      </c>
      <c r="G246" s="13">
        <v>42</v>
      </c>
      <c r="H246" s="13">
        <f t="shared" si="493"/>
        <v>4</v>
      </c>
      <c r="I246" s="17">
        <v>0</v>
      </c>
      <c r="J246" s="56" t="str">
        <f t="shared" si="494"/>
        <v>電ブル</v>
      </c>
      <c r="K246" s="54">
        <f t="shared" si="495"/>
        <v>275</v>
      </c>
      <c r="L246" s="13">
        <f t="shared" si="496"/>
        <v>1100</v>
      </c>
      <c r="M246" s="14">
        <f t="shared" si="497"/>
        <v>0.16417910447761194</v>
      </c>
      <c r="N246" s="186" t="s">
        <v>386</v>
      </c>
      <c r="O246" s="2"/>
      <c r="P246" s="16"/>
      <c r="Q246" s="54">
        <v>49</v>
      </c>
      <c r="R246" s="13">
        <v>49</v>
      </c>
      <c r="S246" s="13">
        <v>146</v>
      </c>
      <c r="T246" s="13">
        <f t="shared" si="499"/>
        <v>1</v>
      </c>
      <c r="U246" s="13">
        <v>16</v>
      </c>
      <c r="V246" s="13">
        <f t="shared" si="500"/>
        <v>1</v>
      </c>
      <c r="W246" s="17">
        <v>0</v>
      </c>
      <c r="X246" s="56" t="str">
        <f t="shared" si="524"/>
        <v>ギャルキティマスコット</v>
      </c>
      <c r="Y246" s="54">
        <f t="shared" si="525"/>
        <v>1100</v>
      </c>
      <c r="Z246" s="13">
        <f t="shared" si="501"/>
        <v>1100</v>
      </c>
      <c r="AA246" s="14">
        <f t="shared" si="502"/>
        <v>0.22448979591836735</v>
      </c>
      <c r="AB246" s="15"/>
      <c r="AC246" s="15"/>
      <c r="AD246" s="16"/>
      <c r="AE246" s="54">
        <v>10827</v>
      </c>
      <c r="AF246" s="13">
        <f t="shared" si="503"/>
        <v>68</v>
      </c>
      <c r="AG246" s="13">
        <v>230</v>
      </c>
      <c r="AH246" s="13">
        <f t="shared" si="504"/>
        <v>1</v>
      </c>
      <c r="AI246" s="13">
        <v>14</v>
      </c>
      <c r="AJ246" s="13">
        <f t="shared" si="505"/>
        <v>1</v>
      </c>
      <c r="AK246" s="17">
        <v>0</v>
      </c>
      <c r="AL246" s="56" t="str">
        <f t="shared" si="506"/>
        <v>キティししっぽ付きポーチ</v>
      </c>
      <c r="AM246" s="54">
        <f t="shared" si="507"/>
        <v>0</v>
      </c>
      <c r="AN246" s="13">
        <f t="shared" si="508"/>
        <v>0</v>
      </c>
      <c r="AO246" s="14">
        <f t="shared" si="509"/>
        <v>0</v>
      </c>
      <c r="AP246" s="15"/>
      <c r="AQ246" s="15"/>
      <c r="AR246" s="16"/>
      <c r="AS246" s="54">
        <v>8621</v>
      </c>
      <c r="AT246" s="13">
        <f t="shared" si="510"/>
        <v>28</v>
      </c>
      <c r="AU246" s="13">
        <v>430</v>
      </c>
      <c r="AV246" s="13">
        <f t="shared" si="511"/>
        <v>0</v>
      </c>
      <c r="AW246" s="13">
        <v>12</v>
      </c>
      <c r="AX246" s="13">
        <f t="shared" si="512"/>
        <v>0</v>
      </c>
      <c r="AY246" s="17">
        <v>2</v>
      </c>
      <c r="AZ246" s="56" t="str">
        <f t="shared" si="535"/>
        <v>キティフェイスポーチ</v>
      </c>
      <c r="BA246" s="54">
        <f t="shared" si="535"/>
        <v>673</v>
      </c>
      <c r="BB246" s="13">
        <f t="shared" si="515"/>
        <v>0</v>
      </c>
      <c r="BC246" s="14">
        <f t="shared" si="516"/>
        <v>0</v>
      </c>
      <c r="BD246" s="15" t="s">
        <v>485</v>
      </c>
      <c r="BE246" s="2"/>
      <c r="BF246" s="16"/>
      <c r="BG246" s="235"/>
      <c r="BH246" s="54">
        <v>35</v>
      </c>
      <c r="BI246" s="13">
        <f t="shared" si="517"/>
        <v>35</v>
      </c>
      <c r="BJ246" s="13">
        <v>0</v>
      </c>
      <c r="BK246" s="13">
        <f t="shared" si="518"/>
        <v>0</v>
      </c>
      <c r="BL246" s="13">
        <v>3</v>
      </c>
      <c r="BM246" s="13"/>
      <c r="BN246" s="17">
        <v>0</v>
      </c>
      <c r="BO246" s="56" t="s">
        <v>484</v>
      </c>
      <c r="BP246" s="54">
        <v>1000</v>
      </c>
      <c r="BQ246" s="13">
        <f t="shared" si="522"/>
        <v>0</v>
      </c>
      <c r="BR246" s="14" t="str">
        <f t="shared" si="523"/>
        <v/>
      </c>
      <c r="BS246" s="15"/>
      <c r="BT246" s="15"/>
      <c r="BU246" s="16"/>
      <c r="BV246" s="54"/>
      <c r="BW246" s="13" t="str">
        <f>IF(BV246="","",BV246-BV245)</f>
        <v/>
      </c>
      <c r="BX246" s="13"/>
      <c r="BY246" s="13" t="str">
        <f>IF(BX246="","",BX246-BX245)</f>
        <v/>
      </c>
      <c r="BZ246" s="13"/>
      <c r="CA246" s="13" t="str">
        <f>IF(BZ246="","",BZ245+CB245-BZ246)</f>
        <v/>
      </c>
      <c r="CB246" s="13"/>
      <c r="CC246" s="13"/>
      <c r="CD246" s="13"/>
      <c r="CE246" s="13" t="str">
        <f t="shared" si="526"/>
        <v/>
      </c>
      <c r="CF246" s="14" t="str">
        <f t="shared" si="527"/>
        <v/>
      </c>
      <c r="CG246" s="15"/>
      <c r="CH246" s="1"/>
      <c r="CI246" s="16"/>
      <c r="CJ246" s="54"/>
      <c r="CK246" s="13" t="str">
        <f>IF(CJ246="","",CJ246-CJ245)</f>
        <v/>
      </c>
      <c r="CL246" s="13"/>
      <c r="CM246" s="13" t="str">
        <f>IF(CL246="","",CL246-CL245)</f>
        <v/>
      </c>
      <c r="CN246" s="13"/>
      <c r="CO246" s="13" t="str">
        <f>IF(CN246="","",CN245+CP245-CN246)</f>
        <v/>
      </c>
      <c r="CP246" s="13"/>
      <c r="CQ246" s="13"/>
      <c r="CR246" s="13"/>
      <c r="CS246" s="13" t="str">
        <f t="shared" si="528"/>
        <v/>
      </c>
      <c r="CT246" s="14" t="str">
        <f t="shared" ref="CT246:CT272" si="536">IF(CS246="","",CS246/(CK246*100))</f>
        <v/>
      </c>
      <c r="CU246" s="15"/>
      <c r="CV246" s="1"/>
      <c r="CW246" s="16"/>
      <c r="CX246" s="54"/>
      <c r="CY246" s="13" t="str">
        <f>IF(CX246="","",CX246-CX245)</f>
        <v/>
      </c>
      <c r="CZ246" s="13"/>
      <c r="DA246" s="13" t="str">
        <f>IF(CZ246="","",CZ246-CZ245)</f>
        <v/>
      </c>
      <c r="DB246" s="13"/>
      <c r="DC246" s="13" t="str">
        <f>IF(DB246="","",DB245+DD245-DB246)</f>
        <v/>
      </c>
      <c r="DD246" s="13"/>
      <c r="DE246" s="13"/>
      <c r="DF246" s="13"/>
      <c r="DG246" s="13" t="str">
        <f t="shared" si="529"/>
        <v/>
      </c>
      <c r="DH246" s="14" t="str">
        <f t="shared" si="530"/>
        <v/>
      </c>
      <c r="DI246" s="15"/>
      <c r="DJ246" s="1"/>
      <c r="DK246" s="16"/>
      <c r="DL246" s="54"/>
      <c r="DM246" s="13" t="str">
        <f>IF(DL246="","",DL246-DL245)</f>
        <v/>
      </c>
      <c r="DN246" s="13"/>
      <c r="DO246" s="13" t="str">
        <f>IF(DN246="","",DN246-DN245)</f>
        <v/>
      </c>
      <c r="DP246" s="13"/>
      <c r="DQ246" s="13" t="str">
        <f>IF(DP246="","",DP245+DR245-DP246)</f>
        <v/>
      </c>
      <c r="DR246" s="13"/>
      <c r="DS246" s="13"/>
      <c r="DT246" s="13"/>
      <c r="DU246" s="13" t="str">
        <f t="shared" si="531"/>
        <v/>
      </c>
      <c r="DV246" s="14" t="str">
        <f t="shared" si="532"/>
        <v/>
      </c>
      <c r="DW246" s="15"/>
      <c r="DY246" s="16"/>
      <c r="DZ246" s="54"/>
      <c r="EA246" s="13" t="str">
        <f>IF(DZ246="","",DZ246-DZ245)</f>
        <v/>
      </c>
      <c r="EB246" s="13"/>
      <c r="EC246" s="13" t="str">
        <f>IF(EB246="","",EB246-EB245)</f>
        <v/>
      </c>
      <c r="ED246" s="13"/>
      <c r="EE246" s="13" t="str">
        <f>IF(ED246="","",ED245+EF245-ED246)</f>
        <v/>
      </c>
      <c r="EF246" s="13"/>
      <c r="EG246" s="13"/>
      <c r="EH246" s="13"/>
      <c r="EI246" s="13" t="str">
        <f t="shared" si="533"/>
        <v/>
      </c>
      <c r="EJ246" s="14" t="str">
        <f t="shared" si="534"/>
        <v/>
      </c>
      <c r="EK246" s="15"/>
    </row>
    <row r="247" spans="1:141" ht="15" customHeight="1" x14ac:dyDescent="0.2">
      <c r="A247" s="16"/>
      <c r="B247" s="74"/>
      <c r="C247" s="34">
        <v>12346</v>
      </c>
      <c r="D247" s="13">
        <f t="shared" si="491"/>
        <v>65</v>
      </c>
      <c r="E247" s="34">
        <v>645</v>
      </c>
      <c r="F247" s="13">
        <f t="shared" si="492"/>
        <v>2</v>
      </c>
      <c r="G247" s="13">
        <v>20</v>
      </c>
      <c r="H247" s="13">
        <f t="shared" si="493"/>
        <v>1</v>
      </c>
      <c r="I247" s="49">
        <v>0</v>
      </c>
      <c r="J247" s="56" t="str">
        <f t="shared" si="494"/>
        <v>ゲーム機イヤホン</v>
      </c>
      <c r="K247" s="13">
        <f t="shared" si="495"/>
        <v>1100</v>
      </c>
      <c r="L247" s="13">
        <f t="shared" si="496"/>
        <v>1100</v>
      </c>
      <c r="M247" s="14">
        <f t="shared" si="497"/>
        <v>0.16923076923076924</v>
      </c>
      <c r="N247" s="15"/>
      <c r="O247" s="2"/>
      <c r="P247" s="16"/>
      <c r="Q247" s="34">
        <v>8314</v>
      </c>
      <c r="R247" s="13">
        <f t="shared" ref="R247:R280" si="537">IF(Q247="","",Q247-Q243)</f>
        <v>44</v>
      </c>
      <c r="S247" s="34">
        <v>172</v>
      </c>
      <c r="T247" s="13">
        <f t="shared" si="499"/>
        <v>1</v>
      </c>
      <c r="U247" s="13">
        <v>15</v>
      </c>
      <c r="V247" s="13">
        <f t="shared" si="500"/>
        <v>1</v>
      </c>
      <c r="W247" s="49">
        <v>0</v>
      </c>
      <c r="X247" s="56" t="str">
        <f t="shared" si="524"/>
        <v>ヤヤマスコット</v>
      </c>
      <c r="Y247" s="13">
        <f t="shared" si="525"/>
        <v>850</v>
      </c>
      <c r="Z247" s="13">
        <f t="shared" si="501"/>
        <v>850</v>
      </c>
      <c r="AA247" s="14">
        <f t="shared" si="502"/>
        <v>0.19318181818181818</v>
      </c>
      <c r="AB247" s="15"/>
      <c r="AC247" s="15"/>
      <c r="AD247" s="16"/>
      <c r="AE247" s="34">
        <v>12993</v>
      </c>
      <c r="AF247" s="13">
        <f t="shared" si="503"/>
        <v>59</v>
      </c>
      <c r="AG247" s="34">
        <v>356</v>
      </c>
      <c r="AH247" s="13">
        <f t="shared" si="504"/>
        <v>1</v>
      </c>
      <c r="AI247" s="13">
        <v>14</v>
      </c>
      <c r="AJ247" s="13">
        <f t="shared" si="505"/>
        <v>1</v>
      </c>
      <c r="AK247" s="49">
        <v>0</v>
      </c>
      <c r="AL247" s="56" t="str">
        <f t="shared" si="506"/>
        <v>ゲームアーク</v>
      </c>
      <c r="AM247" s="13">
        <f t="shared" si="507"/>
        <v>682</v>
      </c>
      <c r="AN247" s="13">
        <f t="shared" si="508"/>
        <v>682</v>
      </c>
      <c r="AO247" s="14">
        <f t="shared" si="509"/>
        <v>0.11559322033898305</v>
      </c>
      <c r="AP247" s="15"/>
      <c r="AQ247" s="15"/>
      <c r="AR247" s="16"/>
      <c r="AS247" s="34">
        <v>16067</v>
      </c>
      <c r="AT247" s="13">
        <f t="shared" si="510"/>
        <v>288</v>
      </c>
      <c r="AU247" s="34">
        <v>539</v>
      </c>
      <c r="AV247" s="13">
        <f t="shared" si="511"/>
        <v>6</v>
      </c>
      <c r="AW247" s="13">
        <v>3</v>
      </c>
      <c r="AX247" s="13">
        <f t="shared" si="512"/>
        <v>8</v>
      </c>
      <c r="AY247" s="49">
        <v>13</v>
      </c>
      <c r="AZ247" s="56" t="str">
        <f t="shared" si="535"/>
        <v>たまごっちマスコット</v>
      </c>
      <c r="BA247" s="13">
        <f t="shared" si="535"/>
        <v>1100</v>
      </c>
      <c r="BB247" s="13">
        <f t="shared" si="515"/>
        <v>8800</v>
      </c>
      <c r="BC247" s="14">
        <f t="shared" si="516"/>
        <v>0.30555555555555558</v>
      </c>
      <c r="BD247" s="15"/>
      <c r="BE247" s="2"/>
      <c r="BF247" s="16"/>
      <c r="BG247" s="8"/>
      <c r="BH247" s="34">
        <v>107</v>
      </c>
      <c r="BI247" s="13">
        <f t="shared" si="517"/>
        <v>107</v>
      </c>
      <c r="BJ247" s="34">
        <v>1</v>
      </c>
      <c r="BK247" s="13">
        <f t="shared" si="518"/>
        <v>1</v>
      </c>
      <c r="BL247" s="13">
        <v>2</v>
      </c>
      <c r="BM247" s="13"/>
      <c r="BN247" s="49">
        <v>1</v>
      </c>
      <c r="BO247" s="56" t="s">
        <v>482</v>
      </c>
      <c r="BP247" s="13">
        <v>1500</v>
      </c>
      <c r="BQ247" s="13">
        <f t="shared" si="522"/>
        <v>0</v>
      </c>
      <c r="BR247" s="14" t="str">
        <f t="shared" si="523"/>
        <v/>
      </c>
      <c r="BS247" s="15"/>
      <c r="BT247" s="15"/>
      <c r="BU247" s="16"/>
      <c r="BV247" s="54"/>
      <c r="BW247" s="13" t="str">
        <f>IF(BV247="","",BV247-BV246)</f>
        <v/>
      </c>
      <c r="BX247" s="13"/>
      <c r="BY247" s="13" t="str">
        <f>IF(BX247="","",BX247-BX246)</f>
        <v/>
      </c>
      <c r="BZ247" s="13"/>
      <c r="CA247" s="13" t="str">
        <f>IF(BZ247="","",BZ246+CB246-BZ247)</f>
        <v/>
      </c>
      <c r="CB247" s="13"/>
      <c r="CC247" s="13"/>
      <c r="CD247" s="13"/>
      <c r="CE247" s="13" t="str">
        <f t="shared" si="526"/>
        <v/>
      </c>
      <c r="CF247" s="14" t="str">
        <f t="shared" si="527"/>
        <v/>
      </c>
      <c r="CG247" s="15"/>
      <c r="CH247" s="1"/>
      <c r="CI247" s="16"/>
      <c r="CJ247" s="54"/>
      <c r="CK247" s="13" t="str">
        <f>IF(CJ247="","",CJ247-CJ246)</f>
        <v/>
      </c>
      <c r="CL247" s="13"/>
      <c r="CM247" s="13" t="str">
        <f>IF(CL247="","",CL247-CL246)</f>
        <v/>
      </c>
      <c r="CN247" s="13"/>
      <c r="CO247" s="13" t="str">
        <f>IF(CN247="","",CN246+CP246-CN247)</f>
        <v/>
      </c>
      <c r="CP247" s="13"/>
      <c r="CQ247" s="13"/>
      <c r="CR247" s="13"/>
      <c r="CS247" s="13" t="str">
        <f t="shared" si="528"/>
        <v/>
      </c>
      <c r="CT247" s="14" t="str">
        <f t="shared" si="536"/>
        <v/>
      </c>
      <c r="CU247" s="15"/>
      <c r="CV247" s="1"/>
      <c r="CW247" s="16"/>
      <c r="CX247" s="54"/>
      <c r="CY247" s="13" t="str">
        <f>IF(CX247="","",CX247-CX246)</f>
        <v/>
      </c>
      <c r="CZ247" s="13"/>
      <c r="DA247" s="13" t="str">
        <f>IF(CZ247="","",CZ247-CZ246)</f>
        <v/>
      </c>
      <c r="DB247" s="13"/>
      <c r="DC247" s="13" t="str">
        <f>IF(DB247="","",DB246+DD246-DB247)</f>
        <v/>
      </c>
      <c r="DD247" s="13"/>
      <c r="DE247" s="13"/>
      <c r="DF247" s="13"/>
      <c r="DG247" s="13" t="str">
        <f t="shared" si="529"/>
        <v/>
      </c>
      <c r="DH247" s="14" t="str">
        <f t="shared" si="530"/>
        <v/>
      </c>
      <c r="DI247" s="15"/>
      <c r="DJ247" s="1"/>
      <c r="DK247" s="16"/>
      <c r="DL247" s="54"/>
      <c r="DM247" s="13" t="str">
        <f>IF(DL247="","",DL247-DL246)</f>
        <v/>
      </c>
      <c r="DN247" s="13"/>
      <c r="DO247" s="13" t="str">
        <f>IF(DN247="","",DN247-DN246)</f>
        <v/>
      </c>
      <c r="DP247" s="13"/>
      <c r="DQ247" s="13" t="str">
        <f>IF(DP247="","",DP246+DR246-DP247)</f>
        <v/>
      </c>
      <c r="DR247" s="13"/>
      <c r="DS247" s="13"/>
      <c r="DT247" s="13"/>
      <c r="DU247" s="13" t="str">
        <f t="shared" si="531"/>
        <v/>
      </c>
      <c r="DV247" s="14" t="str">
        <f t="shared" si="532"/>
        <v/>
      </c>
      <c r="DW247" s="15"/>
      <c r="DY247" s="16"/>
      <c r="DZ247" s="54"/>
      <c r="EA247" s="13" t="str">
        <f>IF(DZ247="","",DZ247-DZ246)</f>
        <v/>
      </c>
      <c r="EB247" s="13"/>
      <c r="EC247" s="13" t="str">
        <f>IF(EB247="","",EB247-EB246)</f>
        <v/>
      </c>
      <c r="ED247" s="13"/>
      <c r="EE247" s="13" t="str">
        <f>IF(ED247="","",ED246+EF246-ED247)</f>
        <v/>
      </c>
      <c r="EF247" s="13"/>
      <c r="EG247" s="13"/>
      <c r="EH247" s="13"/>
      <c r="EI247" s="13" t="str">
        <f t="shared" si="533"/>
        <v/>
      </c>
      <c r="EJ247" s="14" t="str">
        <f t="shared" si="534"/>
        <v/>
      </c>
      <c r="EK247" s="15"/>
    </row>
    <row r="248" spans="1:141" ht="15" customHeight="1" thickBot="1" x14ac:dyDescent="0.25">
      <c r="A248" s="26"/>
      <c r="B248" s="46"/>
      <c r="C248" s="27">
        <v>7958</v>
      </c>
      <c r="D248" s="27">
        <f t="shared" si="491"/>
        <v>119</v>
      </c>
      <c r="E248" s="27">
        <v>491</v>
      </c>
      <c r="F248" s="27">
        <f t="shared" si="492"/>
        <v>2</v>
      </c>
      <c r="G248" s="27">
        <v>3</v>
      </c>
      <c r="H248" s="27">
        <f t="shared" si="493"/>
        <v>2</v>
      </c>
      <c r="I248" s="47">
        <v>0</v>
      </c>
      <c r="J248" s="57" t="str">
        <f t="shared" si="494"/>
        <v>モンチッチフェイスポーチ</v>
      </c>
      <c r="K248" s="62">
        <f t="shared" si="495"/>
        <v>900</v>
      </c>
      <c r="L248" s="27">
        <f t="shared" si="496"/>
        <v>1800</v>
      </c>
      <c r="M248" s="28">
        <f t="shared" si="497"/>
        <v>0.15126050420168066</v>
      </c>
      <c r="N248" s="15"/>
      <c r="O248" s="2"/>
      <c r="P248" s="26"/>
      <c r="Q248" s="27">
        <v>11838</v>
      </c>
      <c r="R248" s="27">
        <f t="shared" si="537"/>
        <v>313</v>
      </c>
      <c r="S248" s="27">
        <v>396</v>
      </c>
      <c r="T248" s="27">
        <f t="shared" si="499"/>
        <v>25</v>
      </c>
      <c r="U248" s="27">
        <v>18</v>
      </c>
      <c r="V248" s="27">
        <f t="shared" si="500"/>
        <v>26</v>
      </c>
      <c r="W248" s="47">
        <v>24</v>
      </c>
      <c r="X248" s="57" t="str">
        <f t="shared" si="524"/>
        <v>ボンボンドロップ</v>
      </c>
      <c r="Y248" s="62">
        <f t="shared" si="525"/>
        <v>200</v>
      </c>
      <c r="Z248" s="27">
        <f t="shared" si="501"/>
        <v>5200</v>
      </c>
      <c r="AA248" s="28">
        <f t="shared" si="502"/>
        <v>0.16613418530351437</v>
      </c>
      <c r="AB248" s="15"/>
      <c r="AC248" s="15"/>
      <c r="AD248" s="26"/>
      <c r="AE248" s="27">
        <v>12809</v>
      </c>
      <c r="AF248" s="27">
        <f t="shared" si="503"/>
        <v>74</v>
      </c>
      <c r="AG248" s="27">
        <v>317</v>
      </c>
      <c r="AH248" s="27">
        <f t="shared" si="504"/>
        <v>0</v>
      </c>
      <c r="AI248" s="27">
        <v>18</v>
      </c>
      <c r="AJ248" s="27">
        <f t="shared" si="505"/>
        <v>0</v>
      </c>
      <c r="AK248" s="47">
        <v>0</v>
      </c>
      <c r="AL248" s="57" t="str">
        <f t="shared" si="506"/>
        <v>モンチッチマスコット2</v>
      </c>
      <c r="AM248" s="62">
        <f t="shared" si="507"/>
        <v>605</v>
      </c>
      <c r="AN248" s="27">
        <f t="shared" si="508"/>
        <v>0</v>
      </c>
      <c r="AO248" s="28">
        <f t="shared" si="509"/>
        <v>0</v>
      </c>
      <c r="AP248" s="15"/>
      <c r="AQ248" s="15"/>
      <c r="AR248" s="26"/>
      <c r="AS248" s="27">
        <v>16099</v>
      </c>
      <c r="AT248" s="27">
        <f t="shared" si="510"/>
        <v>32</v>
      </c>
      <c r="AU248" s="27">
        <v>467</v>
      </c>
      <c r="AV248" s="27">
        <f t="shared" si="511"/>
        <v>1</v>
      </c>
      <c r="AW248" s="27">
        <v>32</v>
      </c>
      <c r="AX248" s="27">
        <f t="shared" si="512"/>
        <v>2</v>
      </c>
      <c r="AY248" s="47">
        <v>0</v>
      </c>
      <c r="AZ248" s="57" t="str">
        <f t="shared" si="535"/>
        <v>ラブブマスコット</v>
      </c>
      <c r="BA248" s="62">
        <f t="shared" si="535"/>
        <v>400</v>
      </c>
      <c r="BB248" s="27">
        <f t="shared" si="515"/>
        <v>800</v>
      </c>
      <c r="BC248" s="28">
        <f t="shared" si="516"/>
        <v>0.25</v>
      </c>
      <c r="BD248" s="15"/>
      <c r="BE248" s="2"/>
      <c r="BF248" s="26"/>
      <c r="BG248" s="241"/>
      <c r="BH248" s="27">
        <v>161</v>
      </c>
      <c r="BI248" s="27">
        <f t="shared" si="517"/>
        <v>161</v>
      </c>
      <c r="BJ248" s="27">
        <v>1</v>
      </c>
      <c r="BK248" s="27">
        <f t="shared" si="518"/>
        <v>1</v>
      </c>
      <c r="BL248" s="27">
        <v>2</v>
      </c>
      <c r="BM248" s="27"/>
      <c r="BN248" s="47">
        <v>1</v>
      </c>
      <c r="BO248" s="57" t="s">
        <v>482</v>
      </c>
      <c r="BP248" s="62">
        <v>1500</v>
      </c>
      <c r="BQ248" s="27">
        <f t="shared" si="522"/>
        <v>0</v>
      </c>
      <c r="BR248" s="28" t="str">
        <f t="shared" si="523"/>
        <v/>
      </c>
      <c r="BS248" s="15"/>
      <c r="BT248" s="15"/>
      <c r="BU248" s="16"/>
      <c r="BV248" s="54"/>
      <c r="BW248" s="13" t="str">
        <f>IF(BV248="","",BV248-BV247)</f>
        <v/>
      </c>
      <c r="BX248" s="13"/>
      <c r="BY248" s="13"/>
      <c r="BZ248" s="13"/>
      <c r="CA248" s="13" t="str">
        <f>IF(BZ248="","",BZ247+CB247-BZ248)</f>
        <v/>
      </c>
      <c r="CB248" s="13"/>
      <c r="CC248" s="13"/>
      <c r="CD248" s="13"/>
      <c r="CE248" s="13" t="str">
        <f t="shared" si="526"/>
        <v/>
      </c>
      <c r="CF248" s="14" t="str">
        <f t="shared" si="527"/>
        <v/>
      </c>
      <c r="CG248" s="15"/>
      <c r="CH248" s="1"/>
      <c r="CI248" s="16"/>
      <c r="CJ248" s="54"/>
      <c r="CK248" s="13" t="str">
        <f>IF(CJ248="","",CJ248-CJ247)</f>
        <v/>
      </c>
      <c r="CL248" s="13"/>
      <c r="CM248" s="13"/>
      <c r="CN248" s="13"/>
      <c r="CO248" s="13" t="str">
        <f>IF(CN248="","",CN247+CP247-CN248)</f>
        <v/>
      </c>
      <c r="CP248" s="13"/>
      <c r="CQ248" s="13"/>
      <c r="CR248" s="13"/>
      <c r="CS248" s="13" t="str">
        <f t="shared" si="528"/>
        <v/>
      </c>
      <c r="CT248" s="14" t="str">
        <f t="shared" si="536"/>
        <v/>
      </c>
      <c r="CU248" s="15"/>
      <c r="CV248" s="1"/>
      <c r="CW248" s="16"/>
      <c r="CX248" s="54"/>
      <c r="CY248" s="13" t="str">
        <f>IF(CX248="","",CX248-CX247)</f>
        <v/>
      </c>
      <c r="CZ248" s="13"/>
      <c r="DA248" s="13"/>
      <c r="DB248" s="13"/>
      <c r="DC248" s="13" t="str">
        <f>IF(DB248="","",DB247+DD247-DB248)</f>
        <v/>
      </c>
      <c r="DD248" s="13"/>
      <c r="DE248" s="13"/>
      <c r="DF248" s="13"/>
      <c r="DG248" s="13" t="str">
        <f t="shared" si="529"/>
        <v/>
      </c>
      <c r="DH248" s="14" t="str">
        <f t="shared" si="530"/>
        <v/>
      </c>
      <c r="DI248" s="15"/>
      <c r="DJ248" s="1"/>
      <c r="DK248" s="16"/>
      <c r="DL248" s="54"/>
      <c r="DM248" s="13" t="str">
        <f>IF(DL248="","",DL248-DL247)</f>
        <v/>
      </c>
      <c r="DN248" s="13"/>
      <c r="DO248" s="13"/>
      <c r="DP248" s="13"/>
      <c r="DQ248" s="13" t="str">
        <f>IF(DP248="","",DP247+DR247-DP248)</f>
        <v/>
      </c>
      <c r="DR248" s="13"/>
      <c r="DS248" s="13"/>
      <c r="DT248" s="13"/>
      <c r="DU248" s="13" t="str">
        <f t="shared" si="531"/>
        <v/>
      </c>
      <c r="DV248" s="14" t="str">
        <f t="shared" si="532"/>
        <v/>
      </c>
      <c r="DW248" s="15"/>
      <c r="DY248" s="16"/>
      <c r="DZ248" s="54"/>
      <c r="EA248" s="13" t="str">
        <f>IF(DZ248="","",DZ248-DZ247)</f>
        <v/>
      </c>
      <c r="EB248" s="13"/>
      <c r="EC248" s="13"/>
      <c r="ED248" s="13"/>
      <c r="EE248" s="13" t="str">
        <f>IF(ED248="","",ED247+EF247-ED248)</f>
        <v/>
      </c>
      <c r="EF248" s="13"/>
      <c r="EG248" s="13"/>
      <c r="EH248" s="13"/>
      <c r="EI248" s="13" t="str">
        <f t="shared" si="533"/>
        <v/>
      </c>
      <c r="EJ248" s="14" t="str">
        <f t="shared" si="534"/>
        <v/>
      </c>
      <c r="EK248" s="15"/>
    </row>
    <row r="249" spans="1:141" ht="15" customHeight="1" thickTop="1" x14ac:dyDescent="0.2">
      <c r="A249" s="79">
        <v>46083</v>
      </c>
      <c r="B249" s="74">
        <f>IF(A249="","",SUM(D249:D252)+SUM(R249:R252)+SUM(BI249:BI252)+SUM(AF249:AF252)+SUM(AT249:AT252)+SUM(BW231,CK231,CY231,DM231))</f>
        <v>4689</v>
      </c>
      <c r="C249" s="13">
        <v>6644</v>
      </c>
      <c r="D249" s="53">
        <f t="shared" si="491"/>
        <v>86</v>
      </c>
      <c r="E249" s="13">
        <v>371</v>
      </c>
      <c r="F249" s="31">
        <f t="shared" si="492"/>
        <v>2</v>
      </c>
      <c r="G249" s="13">
        <v>19</v>
      </c>
      <c r="H249" s="53">
        <f t="shared" si="493"/>
        <v>2</v>
      </c>
      <c r="I249" s="17">
        <v>0</v>
      </c>
      <c r="J249" s="75" t="str">
        <f t="shared" si="494"/>
        <v>ジャグラーボタン</v>
      </c>
      <c r="K249" s="76">
        <f t="shared" si="495"/>
        <v>748</v>
      </c>
      <c r="L249" s="31">
        <f t="shared" si="496"/>
        <v>1496</v>
      </c>
      <c r="M249" s="32">
        <f t="shared" si="497"/>
        <v>0.17395348837209301</v>
      </c>
      <c r="N249" s="15"/>
      <c r="O249" s="2"/>
      <c r="P249" s="79">
        <f>IF($A249="","",$A249)</f>
        <v>46083</v>
      </c>
      <c r="Q249" s="13">
        <v>7386</v>
      </c>
      <c r="R249" s="53">
        <f t="shared" si="537"/>
        <v>99</v>
      </c>
      <c r="S249" s="13">
        <v>238</v>
      </c>
      <c r="T249" s="31">
        <f t="shared" si="499"/>
        <v>2</v>
      </c>
      <c r="U249" s="13">
        <v>8</v>
      </c>
      <c r="V249" s="53">
        <f t="shared" si="500"/>
        <v>2</v>
      </c>
      <c r="W249" s="17">
        <v>2</v>
      </c>
      <c r="X249" s="75" t="str">
        <f t="shared" si="524"/>
        <v>キティボアバンスクリップ</v>
      </c>
      <c r="Y249" s="76">
        <f t="shared" si="525"/>
        <v>1100</v>
      </c>
      <c r="Z249" s="31">
        <f t="shared" si="501"/>
        <v>2200</v>
      </c>
      <c r="AA249" s="32">
        <f t="shared" si="502"/>
        <v>0.22222222222222221</v>
      </c>
      <c r="AB249" s="15"/>
      <c r="AC249" s="15"/>
      <c r="AD249" s="79">
        <f>IF($A249="","",$A249)</f>
        <v>46083</v>
      </c>
      <c r="AE249" s="13">
        <v>11159</v>
      </c>
      <c r="AF249" s="127">
        <f t="shared" si="503"/>
        <v>39</v>
      </c>
      <c r="AG249" s="13">
        <v>253</v>
      </c>
      <c r="AH249" s="31">
        <f t="shared" si="504"/>
        <v>2</v>
      </c>
      <c r="AI249" s="13">
        <v>22</v>
      </c>
      <c r="AJ249" s="53">
        <f t="shared" si="505"/>
        <v>2</v>
      </c>
      <c r="AK249" s="17">
        <v>2</v>
      </c>
      <c r="AL249" s="75" t="str">
        <f t="shared" si="506"/>
        <v>サンリオ型押しケース</v>
      </c>
      <c r="AM249" s="76">
        <f t="shared" si="507"/>
        <v>545</v>
      </c>
      <c r="AN249" s="31">
        <f t="shared" si="508"/>
        <v>1090</v>
      </c>
      <c r="AO249" s="32">
        <f t="shared" si="509"/>
        <v>0.27948717948717949</v>
      </c>
      <c r="AP249" s="15"/>
      <c r="AQ249" s="15"/>
      <c r="AR249" s="79">
        <f>IF($A249="","",$A249)</f>
        <v>46083</v>
      </c>
      <c r="AS249" s="13">
        <v>12074</v>
      </c>
      <c r="AT249" s="127">
        <f t="shared" si="510"/>
        <v>56</v>
      </c>
      <c r="AU249" s="13">
        <v>379</v>
      </c>
      <c r="AV249" s="31">
        <f t="shared" si="511"/>
        <v>1</v>
      </c>
      <c r="AW249" s="13">
        <v>18</v>
      </c>
      <c r="AX249" s="53">
        <f t="shared" si="512"/>
        <v>1</v>
      </c>
      <c r="AY249" s="17">
        <v>0</v>
      </c>
      <c r="AZ249" s="75" t="str">
        <f t="shared" si="535"/>
        <v>サンリオヒョウ柄キーケース</v>
      </c>
      <c r="BA249" s="76">
        <f t="shared" si="535"/>
        <v>924</v>
      </c>
      <c r="BB249" s="31">
        <f t="shared" si="515"/>
        <v>924</v>
      </c>
      <c r="BC249" s="32">
        <f t="shared" si="516"/>
        <v>0.16500000000000001</v>
      </c>
      <c r="BD249" s="15"/>
      <c r="BE249" s="2"/>
      <c r="BF249" s="79">
        <f>IF($A249="","",$A249)</f>
        <v>46083</v>
      </c>
      <c r="BG249" s="240"/>
      <c r="BH249" s="13">
        <v>535</v>
      </c>
      <c r="BI249" s="53">
        <f t="shared" si="517"/>
        <v>384</v>
      </c>
      <c r="BJ249" s="13">
        <v>2</v>
      </c>
      <c r="BK249" s="31">
        <f t="shared" si="518"/>
        <v>2</v>
      </c>
      <c r="BL249" s="13">
        <v>1</v>
      </c>
      <c r="BM249" s="53">
        <f t="shared" ref="BM249:BM280" si="538">IF(BL249="","",BL245+BN245-BL249)</f>
        <v>2</v>
      </c>
      <c r="BN249" s="17">
        <v>2</v>
      </c>
      <c r="BO249" s="75" t="str">
        <f t="shared" ref="BO249:BO257" si="539">IF(BH249="","",BO245)</f>
        <v>ボンボンドロップシール</v>
      </c>
      <c r="BP249" s="76">
        <f t="shared" ref="BP249:BP257" si="540">IF(BI249="","",BP245)</f>
        <v>1500</v>
      </c>
      <c r="BQ249" s="31">
        <f t="shared" si="522"/>
        <v>3000</v>
      </c>
      <c r="BR249" s="32">
        <f t="shared" si="523"/>
        <v>7.8125E-2</v>
      </c>
      <c r="BS249" s="15"/>
      <c r="BT249" s="15"/>
      <c r="BU249" s="16"/>
      <c r="BV249" s="13"/>
      <c r="BW249" s="13" t="str">
        <f>IF(BV249="","",BV249-BV250)</f>
        <v/>
      </c>
      <c r="BX249" s="13"/>
      <c r="BY249" s="13" t="str">
        <f>IF(BX249="","",BX249-BX250)</f>
        <v/>
      </c>
      <c r="BZ249" s="13"/>
      <c r="CA249" s="13" t="str">
        <f>IF(BZ249="","",BZ250+CB250-BZ249)</f>
        <v/>
      </c>
      <c r="CB249" s="13"/>
      <c r="CC249" s="13"/>
      <c r="CD249" s="13"/>
      <c r="CE249" s="13" t="str">
        <f t="shared" si="526"/>
        <v/>
      </c>
      <c r="CF249" s="14" t="str">
        <f t="shared" si="527"/>
        <v/>
      </c>
      <c r="CG249" s="15"/>
      <c r="CH249" s="1"/>
      <c r="CI249" s="16"/>
      <c r="CJ249" s="13"/>
      <c r="CK249" s="13" t="str">
        <f>IF(CJ249="","",CJ249-CJ250)</f>
        <v/>
      </c>
      <c r="CL249" s="13"/>
      <c r="CM249" s="13" t="str">
        <f>IF(CL249="","",CL249-CL250)</f>
        <v/>
      </c>
      <c r="CN249" s="13"/>
      <c r="CO249" s="13" t="str">
        <f>IF(CN249="","",CN250+CP250-CN249)</f>
        <v/>
      </c>
      <c r="CP249" s="13"/>
      <c r="CQ249" s="13"/>
      <c r="CR249" s="13"/>
      <c r="CS249" s="13" t="str">
        <f t="shared" si="528"/>
        <v/>
      </c>
      <c r="CT249" s="14" t="str">
        <f t="shared" si="536"/>
        <v/>
      </c>
      <c r="CU249" s="15"/>
      <c r="CV249" s="1"/>
      <c r="CW249" s="16"/>
      <c r="CX249" s="13"/>
      <c r="CY249" s="13" t="str">
        <f>IF(CX249="","",CX249-CX250)</f>
        <v/>
      </c>
      <c r="CZ249" s="13"/>
      <c r="DA249" s="13" t="str">
        <f>IF(CZ249="","",CZ249-CZ250)</f>
        <v/>
      </c>
      <c r="DB249" s="13"/>
      <c r="DC249" s="13" t="str">
        <f>IF(DB249="","",DB250+DD250-DB249)</f>
        <v/>
      </c>
      <c r="DD249" s="13"/>
      <c r="DE249" s="13"/>
      <c r="DF249" s="13"/>
      <c r="DG249" s="13" t="str">
        <f t="shared" si="529"/>
        <v/>
      </c>
      <c r="DH249" s="14" t="str">
        <f t="shared" si="530"/>
        <v/>
      </c>
      <c r="DI249" s="15"/>
      <c r="DJ249" s="1"/>
      <c r="DK249" s="16"/>
      <c r="DL249" s="13"/>
      <c r="DM249" s="13" t="str">
        <f>IF(DL249="","",DL249-DL250)</f>
        <v/>
      </c>
      <c r="DN249" s="13"/>
      <c r="DO249" s="13" t="str">
        <f>IF(DN249="","",DN249-DN250)</f>
        <v/>
      </c>
      <c r="DP249" s="13"/>
      <c r="DQ249" s="13" t="str">
        <f>IF(DP249="","",DP250+DR250-DP249)</f>
        <v/>
      </c>
      <c r="DR249" s="13"/>
      <c r="DS249" s="13"/>
      <c r="DT249" s="13"/>
      <c r="DU249" s="13" t="str">
        <f t="shared" si="531"/>
        <v/>
      </c>
      <c r="DV249" s="14" t="str">
        <f t="shared" si="532"/>
        <v/>
      </c>
      <c r="DW249" s="15"/>
      <c r="DY249" s="16"/>
      <c r="DZ249" s="13"/>
      <c r="EA249" s="13" t="str">
        <f>IF(DZ249="","",DZ249-DZ250)</f>
        <v/>
      </c>
      <c r="EB249" s="13"/>
      <c r="EC249" s="13" t="str">
        <f>IF(EB249="","",EB249-EB250)</f>
        <v/>
      </c>
      <c r="ED249" s="13"/>
      <c r="EE249" s="13" t="str">
        <f>IF(ED249="","",ED250+EF250-ED249)</f>
        <v/>
      </c>
      <c r="EF249" s="13"/>
      <c r="EG249" s="13"/>
      <c r="EH249" s="13"/>
      <c r="EI249" s="13" t="str">
        <f t="shared" si="533"/>
        <v/>
      </c>
      <c r="EJ249" s="14" t="str">
        <f t="shared" si="534"/>
        <v/>
      </c>
      <c r="EK249" s="15"/>
    </row>
    <row r="250" spans="1:141" ht="15" customHeight="1" x14ac:dyDescent="0.2">
      <c r="A250" s="79"/>
      <c r="B250" s="11"/>
      <c r="C250" s="53">
        <v>6234</v>
      </c>
      <c r="D250" s="13">
        <f t="shared" si="491"/>
        <v>108</v>
      </c>
      <c r="E250" s="53">
        <v>398</v>
      </c>
      <c r="F250" s="13">
        <f t="shared" si="492"/>
        <v>6</v>
      </c>
      <c r="G250" s="13">
        <v>22</v>
      </c>
      <c r="H250" s="13">
        <f t="shared" si="493"/>
        <v>20</v>
      </c>
      <c r="I250" s="17">
        <v>15</v>
      </c>
      <c r="J250" s="56" t="str">
        <f t="shared" si="494"/>
        <v>電ブル</v>
      </c>
      <c r="K250" s="54">
        <f t="shared" si="495"/>
        <v>275</v>
      </c>
      <c r="L250" s="13">
        <f t="shared" si="496"/>
        <v>5500</v>
      </c>
      <c r="M250" s="14">
        <f t="shared" si="497"/>
        <v>0.5092592592592593</v>
      </c>
      <c r="N250" s="15"/>
      <c r="O250" s="2"/>
      <c r="P250" s="79" t="str">
        <f>IF(A250="","",A250)</f>
        <v/>
      </c>
      <c r="Q250" s="53">
        <v>121</v>
      </c>
      <c r="R250" s="13">
        <f t="shared" si="537"/>
        <v>72</v>
      </c>
      <c r="S250" s="53">
        <v>148</v>
      </c>
      <c r="T250" s="13">
        <f t="shared" si="499"/>
        <v>2</v>
      </c>
      <c r="U250" s="13">
        <v>14</v>
      </c>
      <c r="V250" s="13">
        <f t="shared" si="500"/>
        <v>2</v>
      </c>
      <c r="W250" s="17">
        <v>2</v>
      </c>
      <c r="X250" s="56" t="str">
        <f t="shared" si="524"/>
        <v>ギャルキティマスコット</v>
      </c>
      <c r="Y250" s="54">
        <f t="shared" si="525"/>
        <v>1100</v>
      </c>
      <c r="Z250" s="13">
        <f t="shared" si="501"/>
        <v>2200</v>
      </c>
      <c r="AA250" s="14">
        <f t="shared" si="502"/>
        <v>0.30555555555555558</v>
      </c>
      <c r="AB250" s="15"/>
      <c r="AC250" s="15"/>
      <c r="AD250" s="79" t="str">
        <f>IF(O250="","",O250)</f>
        <v/>
      </c>
      <c r="AE250" s="53">
        <v>10887</v>
      </c>
      <c r="AF250" s="13">
        <f t="shared" si="503"/>
        <v>60</v>
      </c>
      <c r="AG250" s="53">
        <v>230</v>
      </c>
      <c r="AH250" s="13">
        <f t="shared" si="504"/>
        <v>0</v>
      </c>
      <c r="AI250" s="13">
        <v>14</v>
      </c>
      <c r="AJ250" s="13">
        <f t="shared" si="505"/>
        <v>0</v>
      </c>
      <c r="AK250" s="17">
        <v>0</v>
      </c>
      <c r="AL250" s="56" t="str">
        <f t="shared" si="506"/>
        <v>キティししっぽ付きポーチ</v>
      </c>
      <c r="AM250" s="54">
        <f t="shared" si="507"/>
        <v>0</v>
      </c>
      <c r="AN250" s="13">
        <f t="shared" si="508"/>
        <v>0</v>
      </c>
      <c r="AO250" s="14">
        <f t="shared" si="509"/>
        <v>0</v>
      </c>
      <c r="AP250" s="15"/>
      <c r="AQ250" s="15"/>
      <c r="AR250" s="79" t="str">
        <f>IF(AC250="","",AC250)</f>
        <v/>
      </c>
      <c r="AS250" s="53">
        <v>8691</v>
      </c>
      <c r="AT250" s="13">
        <f t="shared" si="510"/>
        <v>70</v>
      </c>
      <c r="AU250" s="53">
        <v>435</v>
      </c>
      <c r="AV250" s="13">
        <f t="shared" si="511"/>
        <v>5</v>
      </c>
      <c r="AW250" s="13">
        <v>8</v>
      </c>
      <c r="AX250" s="13">
        <f t="shared" si="512"/>
        <v>6</v>
      </c>
      <c r="AY250" s="17">
        <v>2</v>
      </c>
      <c r="AZ250" s="56" t="s">
        <v>488</v>
      </c>
      <c r="BA250" s="54">
        <v>1100</v>
      </c>
      <c r="BB250" s="13">
        <f t="shared" si="515"/>
        <v>6600</v>
      </c>
      <c r="BC250" s="14">
        <f t="shared" si="516"/>
        <v>0.94285714285714284</v>
      </c>
      <c r="BD250" s="15" t="s">
        <v>487</v>
      </c>
      <c r="BE250" s="2"/>
      <c r="BF250" s="79" t="str">
        <f>IF(DW250="","",DW250)</f>
        <v/>
      </c>
      <c r="BG250" s="240"/>
      <c r="BH250" s="53">
        <v>156</v>
      </c>
      <c r="BI250" s="13">
        <f t="shared" si="517"/>
        <v>121</v>
      </c>
      <c r="BJ250" s="53">
        <v>1</v>
      </c>
      <c r="BK250" s="13">
        <f t="shared" si="518"/>
        <v>1</v>
      </c>
      <c r="BL250" s="13">
        <v>2</v>
      </c>
      <c r="BM250" s="13">
        <f t="shared" si="538"/>
        <v>1</v>
      </c>
      <c r="BN250" s="17">
        <v>1</v>
      </c>
      <c r="BO250" s="56" t="str">
        <f t="shared" si="539"/>
        <v>プチドロップシールシール</v>
      </c>
      <c r="BP250" s="54">
        <f t="shared" si="540"/>
        <v>1000</v>
      </c>
      <c r="BQ250" s="13">
        <f t="shared" si="522"/>
        <v>1000</v>
      </c>
      <c r="BR250" s="14">
        <f t="shared" si="523"/>
        <v>8.2644628099173556E-2</v>
      </c>
      <c r="BS250" s="15"/>
      <c r="BT250" s="15"/>
      <c r="BU250" s="16"/>
      <c r="BV250" s="13"/>
      <c r="BW250" s="13" t="str">
        <f>IF(BV250="","",BV250-BV248)</f>
        <v/>
      </c>
      <c r="BX250" s="13"/>
      <c r="BY250" s="13" t="str">
        <f>IF(BX250="","",BX250-BX248)</f>
        <v/>
      </c>
      <c r="BZ250" s="13"/>
      <c r="CA250" s="13" t="str">
        <f>IF(BZ250="","",BZ248+CB248-BZ250)</f>
        <v/>
      </c>
      <c r="CB250" s="13"/>
      <c r="CC250" s="13"/>
      <c r="CD250" s="13"/>
      <c r="CE250" s="13" t="str">
        <f t="shared" si="526"/>
        <v/>
      </c>
      <c r="CF250" s="14" t="str">
        <f t="shared" si="527"/>
        <v/>
      </c>
      <c r="CG250" s="15"/>
      <c r="CH250" s="1"/>
      <c r="CI250" s="16"/>
      <c r="CJ250" s="13"/>
      <c r="CK250" s="13" t="str">
        <f>IF(CJ250="","",CJ250-CJ248)</f>
        <v/>
      </c>
      <c r="CL250" s="13"/>
      <c r="CM250" s="13" t="str">
        <f>IF(CL250="","",CL250-CL248)</f>
        <v/>
      </c>
      <c r="CN250" s="13"/>
      <c r="CO250" s="13" t="str">
        <f>IF(CN250="","",CN248+CP248-CN250)</f>
        <v/>
      </c>
      <c r="CP250" s="13"/>
      <c r="CQ250" s="13"/>
      <c r="CR250" s="13"/>
      <c r="CS250" s="13" t="str">
        <f t="shared" si="528"/>
        <v/>
      </c>
      <c r="CT250" s="14" t="str">
        <f t="shared" si="536"/>
        <v/>
      </c>
      <c r="CU250" s="15"/>
      <c r="CV250" s="1"/>
      <c r="CW250" s="16"/>
      <c r="CX250" s="13"/>
      <c r="CY250" s="13" t="str">
        <f>IF(CX250="","",CX250-CX248)</f>
        <v/>
      </c>
      <c r="CZ250" s="13"/>
      <c r="DA250" s="13" t="str">
        <f>IF(CZ250="","",CZ250-CZ248)</f>
        <v/>
      </c>
      <c r="DB250" s="13"/>
      <c r="DC250" s="13" t="str">
        <f>IF(DB250="","",DB248+DD248-DB250)</f>
        <v/>
      </c>
      <c r="DD250" s="13"/>
      <c r="DE250" s="13"/>
      <c r="DF250" s="13"/>
      <c r="DG250" s="13" t="str">
        <f t="shared" si="529"/>
        <v/>
      </c>
      <c r="DH250" s="14" t="str">
        <f t="shared" si="530"/>
        <v/>
      </c>
      <c r="DI250" s="15"/>
      <c r="DJ250" s="1"/>
      <c r="DK250" s="16"/>
      <c r="DL250" s="13"/>
      <c r="DM250" s="13" t="str">
        <f>IF(DL250="","",DL250-DL248)</f>
        <v/>
      </c>
      <c r="DN250" s="13"/>
      <c r="DO250" s="13" t="str">
        <f>IF(DN250="","",DN250-DN248)</f>
        <v/>
      </c>
      <c r="DP250" s="13"/>
      <c r="DQ250" s="13" t="str">
        <f>IF(DP250="","",DP248+DR248-DP250)</f>
        <v/>
      </c>
      <c r="DR250" s="13"/>
      <c r="DS250" s="13"/>
      <c r="DT250" s="13"/>
      <c r="DU250" s="13" t="str">
        <f t="shared" si="531"/>
        <v/>
      </c>
      <c r="DV250" s="14" t="str">
        <f t="shared" si="532"/>
        <v/>
      </c>
      <c r="DW250" s="15"/>
      <c r="DY250" s="16"/>
      <c r="DZ250" s="13"/>
      <c r="EA250" s="13" t="str">
        <f>IF(DZ250="","",DZ250-DZ248)</f>
        <v/>
      </c>
      <c r="EB250" s="13"/>
      <c r="EC250" s="13" t="str">
        <f>IF(EB250="","",EB250-EB248)</f>
        <v/>
      </c>
      <c r="ED250" s="13"/>
      <c r="EE250" s="13" t="str">
        <f>IF(ED250="","",ED248+EF248-ED250)</f>
        <v/>
      </c>
      <c r="EF250" s="13"/>
      <c r="EG250" s="13"/>
      <c r="EH250" s="13"/>
      <c r="EI250" s="13" t="str">
        <f t="shared" si="533"/>
        <v/>
      </c>
      <c r="EJ250" s="14" t="str">
        <f t="shared" si="534"/>
        <v/>
      </c>
      <c r="EK250" s="15"/>
    </row>
    <row r="251" spans="1:141" ht="15" customHeight="1" x14ac:dyDescent="0.2">
      <c r="A251" s="16"/>
      <c r="B251" s="11"/>
      <c r="C251" s="13">
        <v>12386</v>
      </c>
      <c r="D251" s="87">
        <f t="shared" si="491"/>
        <v>40</v>
      </c>
      <c r="E251" s="13">
        <v>645</v>
      </c>
      <c r="F251" s="13">
        <f t="shared" si="492"/>
        <v>0</v>
      </c>
      <c r="G251" s="13">
        <v>19</v>
      </c>
      <c r="H251" s="13">
        <f t="shared" si="493"/>
        <v>1</v>
      </c>
      <c r="I251" s="17">
        <v>0</v>
      </c>
      <c r="J251" s="56" t="str">
        <f t="shared" si="494"/>
        <v>ゲーム機イヤホン</v>
      </c>
      <c r="K251" s="13">
        <f t="shared" si="495"/>
        <v>1100</v>
      </c>
      <c r="L251" s="13">
        <f t="shared" si="496"/>
        <v>1100</v>
      </c>
      <c r="M251" s="14">
        <f t="shared" si="497"/>
        <v>0.27500000000000002</v>
      </c>
      <c r="N251" s="15"/>
      <c r="O251" s="2"/>
      <c r="P251" s="16"/>
      <c r="Q251" s="13">
        <v>8424</v>
      </c>
      <c r="R251" s="13">
        <f t="shared" si="537"/>
        <v>110</v>
      </c>
      <c r="S251" s="13">
        <v>175</v>
      </c>
      <c r="T251" s="13">
        <f t="shared" si="499"/>
        <v>3</v>
      </c>
      <c r="U251" s="13">
        <v>12</v>
      </c>
      <c r="V251" s="13">
        <f t="shared" si="500"/>
        <v>3</v>
      </c>
      <c r="W251" s="17">
        <v>4</v>
      </c>
      <c r="X251" s="56" t="str">
        <f t="shared" si="524"/>
        <v>ヤヤマスコット</v>
      </c>
      <c r="Y251" s="13">
        <f t="shared" si="525"/>
        <v>850</v>
      </c>
      <c r="Z251" s="13">
        <f t="shared" si="501"/>
        <v>2550</v>
      </c>
      <c r="AA251" s="14">
        <f t="shared" si="502"/>
        <v>0.23181818181818181</v>
      </c>
      <c r="AB251" s="15"/>
      <c r="AC251" s="15"/>
      <c r="AD251" s="16"/>
      <c r="AE251" s="13">
        <v>13058</v>
      </c>
      <c r="AF251" s="13">
        <f t="shared" si="503"/>
        <v>65</v>
      </c>
      <c r="AG251" s="13">
        <v>357</v>
      </c>
      <c r="AH251" s="13">
        <f t="shared" si="504"/>
        <v>1</v>
      </c>
      <c r="AI251" s="13">
        <v>13</v>
      </c>
      <c r="AJ251" s="13">
        <f t="shared" si="505"/>
        <v>1</v>
      </c>
      <c r="AK251" s="17">
        <v>0</v>
      </c>
      <c r="AL251" s="56" t="str">
        <f t="shared" si="506"/>
        <v>ゲームアーク</v>
      </c>
      <c r="AM251" s="13">
        <f t="shared" si="507"/>
        <v>682</v>
      </c>
      <c r="AN251" s="13">
        <f t="shared" si="508"/>
        <v>682</v>
      </c>
      <c r="AO251" s="14">
        <f t="shared" si="509"/>
        <v>0.10492307692307692</v>
      </c>
      <c r="AP251" s="15"/>
      <c r="AQ251" s="15"/>
      <c r="AR251" s="16"/>
      <c r="AS251" s="13">
        <v>16229</v>
      </c>
      <c r="AT251" s="13">
        <f t="shared" si="510"/>
        <v>162</v>
      </c>
      <c r="AU251" s="13">
        <v>541</v>
      </c>
      <c r="AV251" s="13">
        <f t="shared" si="511"/>
        <v>2</v>
      </c>
      <c r="AW251" s="13">
        <v>14</v>
      </c>
      <c r="AX251" s="13">
        <f t="shared" si="512"/>
        <v>2</v>
      </c>
      <c r="AY251" s="17">
        <v>0</v>
      </c>
      <c r="AZ251" s="56" t="str">
        <f t="shared" ref="AZ251:AZ280" si="541">IF(AS251="","",AZ247)</f>
        <v>たまごっちマスコット</v>
      </c>
      <c r="BA251" s="13">
        <f t="shared" ref="BA251:BA280" si="542">IF(AT251="","",BA247)</f>
        <v>1100</v>
      </c>
      <c r="BB251" s="13">
        <f t="shared" si="515"/>
        <v>2200</v>
      </c>
      <c r="BC251" s="14">
        <f t="shared" si="516"/>
        <v>0.13580246913580246</v>
      </c>
      <c r="BD251" s="15"/>
      <c r="BE251" s="2"/>
      <c r="BF251" s="16"/>
      <c r="BG251" s="7"/>
      <c r="BH251" s="13">
        <v>543</v>
      </c>
      <c r="BI251" s="13">
        <f t="shared" si="517"/>
        <v>436</v>
      </c>
      <c r="BJ251" s="13">
        <v>4</v>
      </c>
      <c r="BK251" s="13">
        <f t="shared" si="518"/>
        <v>3</v>
      </c>
      <c r="BL251" s="13">
        <v>0</v>
      </c>
      <c r="BM251" s="13">
        <f t="shared" si="538"/>
        <v>3</v>
      </c>
      <c r="BN251" s="17">
        <v>3</v>
      </c>
      <c r="BO251" s="56" t="str">
        <f t="shared" si="539"/>
        <v>ボンボンドロップシール</v>
      </c>
      <c r="BP251" s="13">
        <f t="shared" si="540"/>
        <v>1500</v>
      </c>
      <c r="BQ251" s="13">
        <f t="shared" si="522"/>
        <v>4500</v>
      </c>
      <c r="BR251" s="14">
        <f t="shared" si="523"/>
        <v>0.10321100917431193</v>
      </c>
      <c r="BS251" s="15"/>
      <c r="BT251" s="15"/>
      <c r="BU251" s="16"/>
      <c r="BV251" s="54"/>
      <c r="BW251" s="13" t="str">
        <f>IF(BV251="","",BV251-BV249)</f>
        <v/>
      </c>
      <c r="BX251" s="13"/>
      <c r="BY251" s="13"/>
      <c r="BZ251" s="13"/>
      <c r="CA251" s="13" t="str">
        <f>IF(BZ251="","",BZ249+CB249-BZ251)</f>
        <v/>
      </c>
      <c r="CB251" s="13"/>
      <c r="CC251" s="13"/>
      <c r="CD251" s="13"/>
      <c r="CE251" s="13" t="str">
        <f t="shared" si="526"/>
        <v/>
      </c>
      <c r="CF251" s="14" t="str">
        <f t="shared" si="527"/>
        <v/>
      </c>
      <c r="CG251" s="15"/>
      <c r="CH251" s="1"/>
      <c r="CI251" s="16"/>
      <c r="CJ251" s="54"/>
      <c r="CK251" s="13" t="str">
        <f>IF(CJ251="","",CJ251-CJ249)</f>
        <v/>
      </c>
      <c r="CL251" s="13"/>
      <c r="CM251" s="13"/>
      <c r="CN251" s="13"/>
      <c r="CO251" s="13" t="str">
        <f>IF(CN251="","",CN249+CP249-CN251)</f>
        <v/>
      </c>
      <c r="CP251" s="13"/>
      <c r="CQ251" s="13"/>
      <c r="CR251" s="13"/>
      <c r="CS251" s="13" t="str">
        <f t="shared" si="528"/>
        <v/>
      </c>
      <c r="CT251" s="14" t="str">
        <f t="shared" si="536"/>
        <v/>
      </c>
      <c r="CU251" s="15"/>
      <c r="CV251" s="1"/>
      <c r="CW251" s="16"/>
      <c r="CX251" s="54"/>
      <c r="CY251" s="13" t="str">
        <f>IF(CX251="","",CX251-CX249)</f>
        <v/>
      </c>
      <c r="CZ251" s="13"/>
      <c r="DA251" s="13"/>
      <c r="DB251" s="13"/>
      <c r="DC251" s="13" t="str">
        <f>IF(DB251="","",DB249+DD249-DB251)</f>
        <v/>
      </c>
      <c r="DD251" s="13"/>
      <c r="DE251" s="13"/>
      <c r="DF251" s="13"/>
      <c r="DG251" s="13" t="str">
        <f t="shared" si="529"/>
        <v/>
      </c>
      <c r="DH251" s="14" t="str">
        <f t="shared" si="530"/>
        <v/>
      </c>
      <c r="DI251" s="15"/>
      <c r="DJ251" s="1"/>
      <c r="DK251" s="16"/>
      <c r="DL251" s="54"/>
      <c r="DM251" s="13" t="str">
        <f>IF(DL251="","",DL251-DL249)</f>
        <v/>
      </c>
      <c r="DN251" s="13"/>
      <c r="DO251" s="13"/>
      <c r="DP251" s="13"/>
      <c r="DQ251" s="13" t="str">
        <f>IF(DP251="","",DP249+DR249-DP251)</f>
        <v/>
      </c>
      <c r="DR251" s="13"/>
      <c r="DS251" s="13"/>
      <c r="DT251" s="13"/>
      <c r="DU251" s="13" t="str">
        <f t="shared" si="531"/>
        <v/>
      </c>
      <c r="DV251" s="14" t="str">
        <f t="shared" si="532"/>
        <v/>
      </c>
      <c r="DW251" s="15"/>
      <c r="DY251" s="16"/>
      <c r="DZ251" s="54"/>
      <c r="EA251" s="13" t="str">
        <f>IF(DZ251="","",DZ251-DZ249)</f>
        <v/>
      </c>
      <c r="EB251" s="13"/>
      <c r="EC251" s="13"/>
      <c r="ED251" s="13"/>
      <c r="EE251" s="13" t="str">
        <f>IF(ED251="","",ED249+EF249-ED251)</f>
        <v/>
      </c>
      <c r="EF251" s="13"/>
      <c r="EG251" s="13"/>
      <c r="EH251" s="13"/>
      <c r="EI251" s="13" t="str">
        <f t="shared" si="533"/>
        <v/>
      </c>
      <c r="EJ251" s="14" t="str">
        <f t="shared" si="534"/>
        <v/>
      </c>
      <c r="EK251" s="15"/>
    </row>
    <row r="252" spans="1:141" ht="15" customHeight="1" thickBot="1" x14ac:dyDescent="0.25">
      <c r="A252" s="26"/>
      <c r="B252" s="46"/>
      <c r="C252" s="27">
        <v>8073</v>
      </c>
      <c r="D252" s="27">
        <f t="shared" si="491"/>
        <v>115</v>
      </c>
      <c r="E252" s="27">
        <v>492</v>
      </c>
      <c r="F252" s="27">
        <f t="shared" si="492"/>
        <v>1</v>
      </c>
      <c r="G252" s="27">
        <v>2</v>
      </c>
      <c r="H252" s="27">
        <f t="shared" si="493"/>
        <v>1</v>
      </c>
      <c r="I252" s="47">
        <v>0</v>
      </c>
      <c r="J252" s="57" t="str">
        <f t="shared" si="494"/>
        <v>モンチッチフェイスポーチ</v>
      </c>
      <c r="K252" s="62">
        <f t="shared" si="495"/>
        <v>900</v>
      </c>
      <c r="L252" s="27">
        <f t="shared" si="496"/>
        <v>900</v>
      </c>
      <c r="M252" s="28">
        <f t="shared" si="497"/>
        <v>7.8260869565217397E-2</v>
      </c>
      <c r="N252" s="15"/>
      <c r="O252" s="2"/>
      <c r="P252" s="26"/>
      <c r="Q252" s="27">
        <v>12221</v>
      </c>
      <c r="R252" s="27">
        <f t="shared" si="537"/>
        <v>383</v>
      </c>
      <c r="S252" s="27">
        <v>427</v>
      </c>
      <c r="T252" s="27">
        <f t="shared" si="499"/>
        <v>31</v>
      </c>
      <c r="U252" s="27">
        <v>8</v>
      </c>
      <c r="V252" s="27">
        <f t="shared" si="500"/>
        <v>34</v>
      </c>
      <c r="W252" s="47">
        <v>20</v>
      </c>
      <c r="X252" s="57" t="str">
        <f t="shared" si="524"/>
        <v>ボンボンドロップ</v>
      </c>
      <c r="Y252" s="62">
        <f t="shared" si="525"/>
        <v>200</v>
      </c>
      <c r="Z252" s="27">
        <f t="shared" si="501"/>
        <v>6800</v>
      </c>
      <c r="AA252" s="28">
        <f t="shared" si="502"/>
        <v>0.17754569190600522</v>
      </c>
      <c r="AB252" s="15"/>
      <c r="AC252" s="15"/>
      <c r="AD252" s="26"/>
      <c r="AE252" s="27">
        <v>12888</v>
      </c>
      <c r="AF252" s="27">
        <f t="shared" si="503"/>
        <v>79</v>
      </c>
      <c r="AG252" s="27">
        <v>319</v>
      </c>
      <c r="AH252" s="27">
        <f t="shared" si="504"/>
        <v>2</v>
      </c>
      <c r="AI252" s="27">
        <v>16</v>
      </c>
      <c r="AJ252" s="27">
        <f t="shared" si="505"/>
        <v>2</v>
      </c>
      <c r="AK252" s="47">
        <v>0</v>
      </c>
      <c r="AL252" s="57" t="str">
        <f t="shared" si="506"/>
        <v>モンチッチマスコット2</v>
      </c>
      <c r="AM252" s="62">
        <f t="shared" si="507"/>
        <v>605</v>
      </c>
      <c r="AN252" s="27">
        <f t="shared" si="508"/>
        <v>1210</v>
      </c>
      <c r="AO252" s="28">
        <f t="shared" si="509"/>
        <v>0.15316455696202533</v>
      </c>
      <c r="AP252" s="15"/>
      <c r="AQ252" s="15"/>
      <c r="AR252" s="26"/>
      <c r="AS252" s="27">
        <v>16144</v>
      </c>
      <c r="AT252" s="88">
        <f t="shared" si="510"/>
        <v>45</v>
      </c>
      <c r="AU252" s="27">
        <v>468</v>
      </c>
      <c r="AV252" s="27">
        <f t="shared" si="511"/>
        <v>1</v>
      </c>
      <c r="AW252" s="27">
        <v>30</v>
      </c>
      <c r="AX252" s="27">
        <f t="shared" si="512"/>
        <v>2</v>
      </c>
      <c r="AY252" s="47">
        <v>0</v>
      </c>
      <c r="AZ252" s="57" t="str">
        <f t="shared" si="541"/>
        <v>ラブブマスコット</v>
      </c>
      <c r="BA252" s="62">
        <f t="shared" si="542"/>
        <v>400</v>
      </c>
      <c r="BB252" s="27">
        <f t="shared" si="515"/>
        <v>800</v>
      </c>
      <c r="BC252" s="28">
        <f t="shared" si="516"/>
        <v>0.17777777777777778</v>
      </c>
      <c r="BD252" s="15"/>
      <c r="BE252" s="2"/>
      <c r="BF252" s="26"/>
      <c r="BG252" s="241"/>
      <c r="BH252" s="27">
        <v>527</v>
      </c>
      <c r="BI252" s="27">
        <f t="shared" si="517"/>
        <v>366</v>
      </c>
      <c r="BJ252" s="27">
        <v>3</v>
      </c>
      <c r="BK252" s="27">
        <f t="shared" si="518"/>
        <v>2</v>
      </c>
      <c r="BL252" s="27">
        <v>1</v>
      </c>
      <c r="BM252" s="27">
        <f t="shared" si="538"/>
        <v>2</v>
      </c>
      <c r="BN252" s="47">
        <v>2</v>
      </c>
      <c r="BO252" s="57" t="str">
        <f t="shared" si="539"/>
        <v>ボンボンドロップシール</v>
      </c>
      <c r="BP252" s="62">
        <f t="shared" si="540"/>
        <v>1500</v>
      </c>
      <c r="BQ252" s="27">
        <f t="shared" si="522"/>
        <v>3000</v>
      </c>
      <c r="BR252" s="28">
        <f t="shared" si="523"/>
        <v>8.1967213114754092E-2</v>
      </c>
      <c r="BS252" s="15"/>
      <c r="BT252" s="15"/>
      <c r="BU252" s="16"/>
      <c r="BV252" s="54"/>
      <c r="BW252" s="13" t="str">
        <f t="shared" ref="BW252:BW272" si="543">IF(BV252="","",BV252-BV251)</f>
        <v/>
      </c>
      <c r="BX252" s="13"/>
      <c r="BY252" s="13"/>
      <c r="BZ252" s="13"/>
      <c r="CA252" s="13" t="str">
        <f t="shared" ref="CA252:CA272" si="544">IF(BZ252="","",BZ251+CB251-BZ252)</f>
        <v/>
      </c>
      <c r="CB252" s="13"/>
      <c r="CC252" s="13"/>
      <c r="CD252" s="13"/>
      <c r="CE252" s="13" t="str">
        <f t="shared" si="526"/>
        <v/>
      </c>
      <c r="CF252" s="14" t="str">
        <f t="shared" si="527"/>
        <v/>
      </c>
      <c r="CG252" s="15"/>
      <c r="CH252" s="1"/>
      <c r="CI252" s="16"/>
      <c r="CJ252" s="54"/>
      <c r="CK252" s="13" t="str">
        <f t="shared" ref="CK252:CK272" si="545">IF(CJ252="","",CJ252-CJ251)</f>
        <v/>
      </c>
      <c r="CL252" s="13"/>
      <c r="CM252" s="13"/>
      <c r="CN252" s="13"/>
      <c r="CO252" s="13" t="str">
        <f t="shared" ref="CO252:CO272" si="546">IF(CN252="","",CN251+CP251-CN252)</f>
        <v/>
      </c>
      <c r="CP252" s="13"/>
      <c r="CQ252" s="13"/>
      <c r="CR252" s="13"/>
      <c r="CS252" s="13" t="str">
        <f t="shared" si="528"/>
        <v/>
      </c>
      <c r="CT252" s="14" t="str">
        <f t="shared" si="536"/>
        <v/>
      </c>
      <c r="CU252" s="15"/>
      <c r="CV252" s="1"/>
      <c r="CW252" s="16"/>
      <c r="CX252" s="54"/>
      <c r="CY252" s="13" t="str">
        <f t="shared" ref="CY252:CY272" si="547">IF(CX252="","",CX252-CX251)</f>
        <v/>
      </c>
      <c r="CZ252" s="13"/>
      <c r="DA252" s="13"/>
      <c r="DB252" s="13"/>
      <c r="DC252" s="13" t="str">
        <f t="shared" ref="DC252:DC272" si="548">IF(DB252="","",DB251+DD251-DB252)</f>
        <v/>
      </c>
      <c r="DD252" s="13"/>
      <c r="DE252" s="13"/>
      <c r="DF252" s="13"/>
      <c r="DG252" s="13" t="str">
        <f t="shared" si="529"/>
        <v/>
      </c>
      <c r="DH252" s="14" t="str">
        <f t="shared" si="530"/>
        <v/>
      </c>
      <c r="DI252" s="15"/>
      <c r="DJ252" s="1"/>
      <c r="DK252" s="16"/>
      <c r="DL252" s="54"/>
      <c r="DM252" s="13" t="str">
        <f t="shared" ref="DM252:DM272" si="549">IF(DL252="","",DL252-DL251)</f>
        <v/>
      </c>
      <c r="DN252" s="13"/>
      <c r="DO252" s="13"/>
      <c r="DP252" s="13"/>
      <c r="DQ252" s="13" t="str">
        <f t="shared" ref="DQ252:DQ272" si="550">IF(DP252="","",DP251+DR251-DP252)</f>
        <v/>
      </c>
      <c r="DR252" s="13"/>
      <c r="DS252" s="13"/>
      <c r="DT252" s="13"/>
      <c r="DU252" s="13" t="str">
        <f t="shared" si="531"/>
        <v/>
      </c>
      <c r="DV252" s="14" t="str">
        <f t="shared" si="532"/>
        <v/>
      </c>
      <c r="DW252" s="15"/>
      <c r="DY252" s="16"/>
      <c r="DZ252" s="54"/>
      <c r="EA252" s="13" t="str">
        <f t="shared" ref="EA252:EA272" si="551">IF(DZ252="","",DZ252-DZ251)</f>
        <v/>
      </c>
      <c r="EB252" s="13"/>
      <c r="EC252" s="13"/>
      <c r="ED252" s="13"/>
      <c r="EE252" s="13" t="str">
        <f t="shared" ref="EE252:EE272" si="552">IF(ED252="","",ED251+EF251-ED252)</f>
        <v/>
      </c>
      <c r="EF252" s="13"/>
      <c r="EG252" s="13"/>
      <c r="EH252" s="13"/>
      <c r="EI252" s="13" t="str">
        <f t="shared" si="533"/>
        <v/>
      </c>
      <c r="EJ252" s="14" t="str">
        <f t="shared" si="534"/>
        <v/>
      </c>
      <c r="EK252" s="15"/>
    </row>
    <row r="253" spans="1:141" ht="15" customHeight="1" thickTop="1" x14ac:dyDescent="0.2">
      <c r="A253" s="79">
        <v>46087</v>
      </c>
      <c r="B253" s="74">
        <f>IF(A253="","",SUM(D253:D256)+SUM(R253:R256)+SUM(BI253:BI256)+SUM(AF253:AF256)+SUM(AT253:AT256)+SUM(BW232,CK232,CY232,DM232,EA232))</f>
        <v>2896</v>
      </c>
      <c r="C253" s="13">
        <v>6695</v>
      </c>
      <c r="D253" s="53">
        <f t="shared" si="491"/>
        <v>51</v>
      </c>
      <c r="E253" s="13">
        <v>374</v>
      </c>
      <c r="F253" s="31">
        <f t="shared" si="492"/>
        <v>3</v>
      </c>
      <c r="G253" s="13">
        <v>15</v>
      </c>
      <c r="H253" s="53">
        <f t="shared" si="493"/>
        <v>4</v>
      </c>
      <c r="I253" s="17">
        <v>0</v>
      </c>
      <c r="J253" s="75" t="str">
        <f t="shared" si="494"/>
        <v>ジャグラーボタン</v>
      </c>
      <c r="K253" s="76">
        <f t="shared" si="495"/>
        <v>748</v>
      </c>
      <c r="L253" s="31">
        <f t="shared" si="496"/>
        <v>2992</v>
      </c>
      <c r="M253" s="32">
        <f t="shared" si="497"/>
        <v>0.58666666666666667</v>
      </c>
      <c r="N253" s="15"/>
      <c r="O253" s="2"/>
      <c r="P253" s="79">
        <f>IF($A253="","",$A253)</f>
        <v>46087</v>
      </c>
      <c r="Q253" s="13">
        <v>7468</v>
      </c>
      <c r="R253" s="53">
        <f t="shared" si="537"/>
        <v>82</v>
      </c>
      <c r="S253" s="13">
        <v>240</v>
      </c>
      <c r="T253" s="31">
        <f t="shared" si="499"/>
        <v>2</v>
      </c>
      <c r="U253" s="13">
        <v>8</v>
      </c>
      <c r="V253" s="53">
        <f t="shared" si="500"/>
        <v>2</v>
      </c>
      <c r="W253" s="17">
        <v>5</v>
      </c>
      <c r="X253" s="75" t="str">
        <f t="shared" si="524"/>
        <v>キティボアバンスクリップ</v>
      </c>
      <c r="Y253" s="76">
        <f t="shared" si="525"/>
        <v>1100</v>
      </c>
      <c r="Z253" s="31">
        <f t="shared" si="501"/>
        <v>2200</v>
      </c>
      <c r="AA253" s="32">
        <f t="shared" si="502"/>
        <v>0.26829268292682928</v>
      </c>
      <c r="AB253" s="15"/>
      <c r="AC253" s="15"/>
      <c r="AD253" s="79">
        <f>IF($A253="","",$A253)</f>
        <v>46087</v>
      </c>
      <c r="AE253" s="13">
        <v>11217</v>
      </c>
      <c r="AF253" s="53">
        <f t="shared" si="503"/>
        <v>58</v>
      </c>
      <c r="AG253" s="13">
        <v>253</v>
      </c>
      <c r="AH253" s="31">
        <f t="shared" si="504"/>
        <v>0</v>
      </c>
      <c r="AI253" s="13">
        <v>24</v>
      </c>
      <c r="AJ253" s="53">
        <f t="shared" si="505"/>
        <v>0</v>
      </c>
      <c r="AK253" s="17">
        <v>4</v>
      </c>
      <c r="AL253" s="75" t="str">
        <f t="shared" si="506"/>
        <v>サンリオ型押しケース</v>
      </c>
      <c r="AM253" s="76">
        <f t="shared" si="507"/>
        <v>545</v>
      </c>
      <c r="AN253" s="31">
        <f t="shared" si="508"/>
        <v>0</v>
      </c>
      <c r="AO253" s="32">
        <f t="shared" si="509"/>
        <v>0</v>
      </c>
      <c r="AP253" s="15"/>
      <c r="AQ253" s="15"/>
      <c r="AR253" s="79">
        <f>IF($A253="","",$A253)</f>
        <v>46087</v>
      </c>
      <c r="AS253" s="13">
        <v>12125</v>
      </c>
      <c r="AT253" s="53">
        <f t="shared" si="510"/>
        <v>51</v>
      </c>
      <c r="AU253" s="13">
        <v>381</v>
      </c>
      <c r="AV253" s="31">
        <f t="shared" si="511"/>
        <v>2</v>
      </c>
      <c r="AW253" s="13">
        <v>17</v>
      </c>
      <c r="AX253" s="53">
        <f t="shared" si="512"/>
        <v>1</v>
      </c>
      <c r="AY253" s="17">
        <v>0</v>
      </c>
      <c r="AZ253" s="75" t="str">
        <f t="shared" si="541"/>
        <v>サンリオヒョウ柄キーケース</v>
      </c>
      <c r="BA253" s="76">
        <f t="shared" si="542"/>
        <v>924</v>
      </c>
      <c r="BB253" s="31">
        <f t="shared" si="515"/>
        <v>924</v>
      </c>
      <c r="BC253" s="32">
        <f t="shared" si="516"/>
        <v>0.1811764705882353</v>
      </c>
      <c r="BD253" s="15"/>
      <c r="BE253" s="2"/>
      <c r="BF253" s="79">
        <f>IF($A253="","",$A253)</f>
        <v>46087</v>
      </c>
      <c r="BG253" s="240"/>
      <c r="BH253" s="13">
        <v>679</v>
      </c>
      <c r="BI253" s="53">
        <f t="shared" si="517"/>
        <v>144</v>
      </c>
      <c r="BJ253" s="13">
        <v>4</v>
      </c>
      <c r="BK253" s="31">
        <f t="shared" si="518"/>
        <v>2</v>
      </c>
      <c r="BL253" s="13">
        <v>1</v>
      </c>
      <c r="BM253" s="53">
        <f t="shared" si="538"/>
        <v>2</v>
      </c>
      <c r="BN253" s="17">
        <v>2</v>
      </c>
      <c r="BO253" s="75" t="str">
        <f t="shared" si="539"/>
        <v>ボンボンドロップシール</v>
      </c>
      <c r="BP253" s="76">
        <f t="shared" si="540"/>
        <v>1500</v>
      </c>
      <c r="BQ253" s="31">
        <f t="shared" si="522"/>
        <v>3000</v>
      </c>
      <c r="BR253" s="32">
        <f t="shared" si="523"/>
        <v>0.20833333333333334</v>
      </c>
      <c r="BS253" s="15"/>
      <c r="BT253" s="15"/>
      <c r="BU253" s="16"/>
      <c r="BV253" s="54"/>
      <c r="BW253" s="13" t="str">
        <f t="shared" si="543"/>
        <v/>
      </c>
      <c r="BX253" s="13"/>
      <c r="BY253" s="13"/>
      <c r="BZ253" s="13"/>
      <c r="CA253" s="13" t="str">
        <f t="shared" si="544"/>
        <v/>
      </c>
      <c r="CB253" s="13"/>
      <c r="CC253" s="13"/>
      <c r="CD253" s="13"/>
      <c r="CE253" s="13" t="str">
        <f t="shared" si="526"/>
        <v/>
      </c>
      <c r="CF253" s="14" t="str">
        <f t="shared" si="527"/>
        <v/>
      </c>
      <c r="CG253" s="15"/>
      <c r="CH253" s="1"/>
      <c r="CI253" s="16"/>
      <c r="CJ253" s="54"/>
      <c r="CK253" s="13" t="str">
        <f t="shared" si="545"/>
        <v/>
      </c>
      <c r="CL253" s="13"/>
      <c r="CM253" s="13"/>
      <c r="CN253" s="13"/>
      <c r="CO253" s="13" t="str">
        <f t="shared" si="546"/>
        <v/>
      </c>
      <c r="CP253" s="13"/>
      <c r="CQ253" s="13"/>
      <c r="CR253" s="13"/>
      <c r="CS253" s="13" t="str">
        <f t="shared" si="528"/>
        <v/>
      </c>
      <c r="CT253" s="14" t="str">
        <f t="shared" si="536"/>
        <v/>
      </c>
      <c r="CU253" s="15"/>
      <c r="CV253" s="1"/>
      <c r="CW253" s="16"/>
      <c r="CX253" s="54"/>
      <c r="CY253" s="13" t="str">
        <f t="shared" si="547"/>
        <v/>
      </c>
      <c r="CZ253" s="13"/>
      <c r="DA253" s="13"/>
      <c r="DB253" s="13"/>
      <c r="DC253" s="13" t="str">
        <f t="shared" si="548"/>
        <v/>
      </c>
      <c r="DD253" s="13"/>
      <c r="DE253" s="13"/>
      <c r="DF253" s="13"/>
      <c r="DG253" s="13" t="str">
        <f t="shared" si="529"/>
        <v/>
      </c>
      <c r="DH253" s="14" t="str">
        <f t="shared" si="530"/>
        <v/>
      </c>
      <c r="DI253" s="15"/>
      <c r="DJ253" s="1"/>
      <c r="DK253" s="16"/>
      <c r="DL253" s="54"/>
      <c r="DM253" s="13" t="str">
        <f t="shared" si="549"/>
        <v/>
      </c>
      <c r="DN253" s="13"/>
      <c r="DO253" s="13"/>
      <c r="DP253" s="13"/>
      <c r="DQ253" s="13" t="str">
        <f t="shared" si="550"/>
        <v/>
      </c>
      <c r="DR253" s="13"/>
      <c r="DS253" s="13"/>
      <c r="DT253" s="13"/>
      <c r="DU253" s="13" t="str">
        <f t="shared" si="531"/>
        <v/>
      </c>
      <c r="DV253" s="14" t="str">
        <f t="shared" si="532"/>
        <v/>
      </c>
      <c r="DW253" s="15"/>
      <c r="DY253" s="16"/>
      <c r="DZ253" s="54"/>
      <c r="EA253" s="13" t="str">
        <f t="shared" si="551"/>
        <v/>
      </c>
      <c r="EB253" s="13"/>
      <c r="EC253" s="13"/>
      <c r="ED253" s="13"/>
      <c r="EE253" s="13" t="str">
        <f t="shared" si="552"/>
        <v/>
      </c>
      <c r="EF253" s="13"/>
      <c r="EG253" s="13"/>
      <c r="EH253" s="13"/>
      <c r="EI253" s="13" t="str">
        <f t="shared" si="533"/>
        <v/>
      </c>
      <c r="EJ253" s="14" t="str">
        <f t="shared" si="534"/>
        <v/>
      </c>
      <c r="EK253" s="15"/>
    </row>
    <row r="254" spans="1:141" ht="15" customHeight="1" x14ac:dyDescent="0.2">
      <c r="A254" s="121"/>
      <c r="B254" s="74"/>
      <c r="C254" s="53">
        <v>6328</v>
      </c>
      <c r="D254" s="13">
        <f t="shared" si="491"/>
        <v>94</v>
      </c>
      <c r="E254" s="53">
        <v>400</v>
      </c>
      <c r="F254" s="13">
        <f t="shared" si="492"/>
        <v>2</v>
      </c>
      <c r="G254" s="13">
        <v>34</v>
      </c>
      <c r="H254" s="13">
        <f t="shared" si="493"/>
        <v>3</v>
      </c>
      <c r="I254" s="17">
        <v>0</v>
      </c>
      <c r="J254" s="56" t="str">
        <f t="shared" si="494"/>
        <v>電ブル</v>
      </c>
      <c r="K254" s="54">
        <f t="shared" si="495"/>
        <v>275</v>
      </c>
      <c r="L254" s="13">
        <f t="shared" si="496"/>
        <v>825</v>
      </c>
      <c r="M254" s="14">
        <f t="shared" si="497"/>
        <v>8.7765957446808512E-2</v>
      </c>
      <c r="N254" s="186" t="s">
        <v>486</v>
      </c>
      <c r="O254" s="2"/>
      <c r="P254" s="16"/>
      <c r="Q254" s="53">
        <v>214</v>
      </c>
      <c r="R254" s="13">
        <f t="shared" si="537"/>
        <v>93</v>
      </c>
      <c r="S254" s="53">
        <v>150</v>
      </c>
      <c r="T254" s="13">
        <f t="shared" si="499"/>
        <v>2</v>
      </c>
      <c r="U254" s="13">
        <v>14</v>
      </c>
      <c r="V254" s="13">
        <f t="shared" si="500"/>
        <v>2</v>
      </c>
      <c r="W254" s="17">
        <v>4</v>
      </c>
      <c r="X254" s="56" t="str">
        <f t="shared" si="524"/>
        <v>ギャルキティマスコット</v>
      </c>
      <c r="Y254" s="54">
        <f t="shared" si="525"/>
        <v>1100</v>
      </c>
      <c r="Z254" s="13">
        <f t="shared" si="501"/>
        <v>2200</v>
      </c>
      <c r="AA254" s="14">
        <f t="shared" si="502"/>
        <v>0.23655913978494625</v>
      </c>
      <c r="AB254" s="15"/>
      <c r="AC254" s="15"/>
      <c r="AD254" s="16"/>
      <c r="AE254" s="53">
        <v>10908</v>
      </c>
      <c r="AF254" s="87">
        <f t="shared" si="503"/>
        <v>21</v>
      </c>
      <c r="AG254" s="53">
        <v>230</v>
      </c>
      <c r="AH254" s="13">
        <f t="shared" si="504"/>
        <v>0</v>
      </c>
      <c r="AI254" s="13">
        <v>14</v>
      </c>
      <c r="AJ254" s="13">
        <f t="shared" si="505"/>
        <v>0</v>
      </c>
      <c r="AK254" s="17">
        <v>0</v>
      </c>
      <c r="AL254" s="56" t="str">
        <f t="shared" si="506"/>
        <v>キティししっぽ付きポーチ</v>
      </c>
      <c r="AM254" s="54">
        <f t="shared" si="507"/>
        <v>0</v>
      </c>
      <c r="AN254" s="13">
        <f t="shared" si="508"/>
        <v>0</v>
      </c>
      <c r="AO254" s="14">
        <f t="shared" si="509"/>
        <v>0</v>
      </c>
      <c r="AP254" s="15" t="s">
        <v>49</v>
      </c>
      <c r="AQ254" s="15"/>
      <c r="AR254" s="16"/>
      <c r="AS254" s="53">
        <v>8780</v>
      </c>
      <c r="AT254" s="13">
        <f t="shared" si="510"/>
        <v>89</v>
      </c>
      <c r="AU254" s="53">
        <v>436</v>
      </c>
      <c r="AV254" s="13">
        <f t="shared" si="511"/>
        <v>1</v>
      </c>
      <c r="AW254" s="13">
        <v>10</v>
      </c>
      <c r="AX254" s="13">
        <f t="shared" si="512"/>
        <v>0</v>
      </c>
      <c r="AY254" s="17">
        <v>0</v>
      </c>
      <c r="AZ254" s="56" t="str">
        <f t="shared" si="541"/>
        <v>キティダブルミラー</v>
      </c>
      <c r="BA254" s="54">
        <f t="shared" si="542"/>
        <v>1100</v>
      </c>
      <c r="BB254" s="13">
        <f t="shared" si="515"/>
        <v>0</v>
      </c>
      <c r="BC254" s="14">
        <f t="shared" si="516"/>
        <v>0</v>
      </c>
      <c r="BD254" s="178" t="s">
        <v>475</v>
      </c>
      <c r="BE254" s="2"/>
      <c r="BF254" s="16"/>
      <c r="BG254" s="240"/>
      <c r="BH254" s="53">
        <v>257</v>
      </c>
      <c r="BI254" s="13">
        <f t="shared" si="517"/>
        <v>101</v>
      </c>
      <c r="BJ254" s="53">
        <v>2</v>
      </c>
      <c r="BK254" s="13">
        <f t="shared" si="518"/>
        <v>1</v>
      </c>
      <c r="BL254" s="13">
        <v>2</v>
      </c>
      <c r="BM254" s="13">
        <f t="shared" si="538"/>
        <v>1</v>
      </c>
      <c r="BN254" s="17">
        <v>1</v>
      </c>
      <c r="BO254" s="56" t="str">
        <f t="shared" si="539"/>
        <v>プチドロップシールシール</v>
      </c>
      <c r="BP254" s="54">
        <f t="shared" si="540"/>
        <v>1000</v>
      </c>
      <c r="BQ254" s="13">
        <f t="shared" si="522"/>
        <v>1000</v>
      </c>
      <c r="BR254" s="14">
        <f t="shared" si="523"/>
        <v>9.9009900990099015E-2</v>
      </c>
      <c r="BS254" s="15"/>
      <c r="BT254" s="15"/>
      <c r="BU254" s="16"/>
      <c r="BV254" s="54"/>
      <c r="BW254" s="13" t="str">
        <f t="shared" si="543"/>
        <v/>
      </c>
      <c r="BX254" s="13"/>
      <c r="BY254" s="13"/>
      <c r="BZ254" s="13"/>
      <c r="CA254" s="13" t="str">
        <f t="shared" si="544"/>
        <v/>
      </c>
      <c r="CB254" s="13"/>
      <c r="CC254" s="13"/>
      <c r="CD254" s="13"/>
      <c r="CE254" s="13" t="str">
        <f t="shared" si="526"/>
        <v/>
      </c>
      <c r="CF254" s="14" t="str">
        <f t="shared" si="527"/>
        <v/>
      </c>
      <c r="CG254" s="15"/>
      <c r="CH254" s="1"/>
      <c r="CI254" s="16"/>
      <c r="CJ254" s="54"/>
      <c r="CK254" s="13" t="str">
        <f t="shared" si="545"/>
        <v/>
      </c>
      <c r="CL254" s="13"/>
      <c r="CM254" s="13"/>
      <c r="CN254" s="13"/>
      <c r="CO254" s="13" t="str">
        <f t="shared" si="546"/>
        <v/>
      </c>
      <c r="CP254" s="13"/>
      <c r="CQ254" s="13"/>
      <c r="CR254" s="13"/>
      <c r="CS254" s="13" t="str">
        <f t="shared" si="528"/>
        <v/>
      </c>
      <c r="CT254" s="14" t="str">
        <f t="shared" si="536"/>
        <v/>
      </c>
      <c r="CU254" s="15"/>
      <c r="CV254" s="1"/>
      <c r="CW254" s="16"/>
      <c r="CX254" s="54"/>
      <c r="CY254" s="13" t="str">
        <f t="shared" si="547"/>
        <v/>
      </c>
      <c r="CZ254" s="13"/>
      <c r="DA254" s="13"/>
      <c r="DB254" s="13"/>
      <c r="DC254" s="13" t="str">
        <f t="shared" si="548"/>
        <v/>
      </c>
      <c r="DD254" s="13"/>
      <c r="DE254" s="13"/>
      <c r="DF254" s="13"/>
      <c r="DG254" s="13" t="str">
        <f t="shared" si="529"/>
        <v/>
      </c>
      <c r="DH254" s="14" t="str">
        <f t="shared" si="530"/>
        <v/>
      </c>
      <c r="DI254" s="15"/>
      <c r="DJ254" s="1"/>
      <c r="DK254" s="16"/>
      <c r="DL254" s="54"/>
      <c r="DM254" s="13" t="str">
        <f t="shared" si="549"/>
        <v/>
      </c>
      <c r="DN254" s="13"/>
      <c r="DO254" s="13"/>
      <c r="DP254" s="13"/>
      <c r="DQ254" s="13" t="str">
        <f t="shared" si="550"/>
        <v/>
      </c>
      <c r="DR254" s="13"/>
      <c r="DS254" s="13"/>
      <c r="DT254" s="13"/>
      <c r="DU254" s="13" t="str">
        <f t="shared" si="531"/>
        <v/>
      </c>
      <c r="DV254" s="14" t="str">
        <f t="shared" si="532"/>
        <v/>
      </c>
      <c r="DW254" s="15"/>
      <c r="DY254" s="16"/>
      <c r="DZ254" s="54"/>
      <c r="EA254" s="13" t="str">
        <f t="shared" si="551"/>
        <v/>
      </c>
      <c r="EB254" s="13"/>
      <c r="EC254" s="13"/>
      <c r="ED254" s="13"/>
      <c r="EE254" s="13" t="str">
        <f t="shared" si="552"/>
        <v/>
      </c>
      <c r="EF254" s="13"/>
      <c r="EG254" s="13"/>
      <c r="EH254" s="13"/>
      <c r="EI254" s="13" t="str">
        <f t="shared" si="533"/>
        <v/>
      </c>
      <c r="EJ254" s="14" t="str">
        <f t="shared" si="534"/>
        <v/>
      </c>
      <c r="EK254" s="15"/>
    </row>
    <row r="255" spans="1:141" ht="17.25" customHeight="1" x14ac:dyDescent="0.2">
      <c r="A255" s="16"/>
      <c r="B255" s="11"/>
      <c r="C255" s="13">
        <v>12432</v>
      </c>
      <c r="D255" s="13">
        <f t="shared" si="491"/>
        <v>46</v>
      </c>
      <c r="E255" s="13">
        <v>645</v>
      </c>
      <c r="F255" s="13">
        <f t="shared" si="492"/>
        <v>0</v>
      </c>
      <c r="G255" s="13">
        <v>19</v>
      </c>
      <c r="H255" s="13">
        <f t="shared" si="493"/>
        <v>0</v>
      </c>
      <c r="I255" s="17">
        <v>4</v>
      </c>
      <c r="J255" s="56" t="str">
        <f t="shared" si="494"/>
        <v>ゲーム機イヤホン</v>
      </c>
      <c r="K255" s="13">
        <f t="shared" si="495"/>
        <v>1100</v>
      </c>
      <c r="L255" s="13">
        <f t="shared" si="496"/>
        <v>0</v>
      </c>
      <c r="M255" s="14">
        <f t="shared" si="497"/>
        <v>0</v>
      </c>
      <c r="N255" s="15"/>
      <c r="O255" s="2"/>
      <c r="P255" s="16"/>
      <c r="Q255" s="13">
        <v>8432</v>
      </c>
      <c r="R255" s="87">
        <f t="shared" si="537"/>
        <v>8</v>
      </c>
      <c r="S255" s="13">
        <v>175</v>
      </c>
      <c r="T255" s="13">
        <f t="shared" si="499"/>
        <v>0</v>
      </c>
      <c r="U255" s="13">
        <v>16</v>
      </c>
      <c r="V255" s="13">
        <f t="shared" si="500"/>
        <v>0</v>
      </c>
      <c r="W255" s="17">
        <v>0</v>
      </c>
      <c r="X255" s="56" t="str">
        <f t="shared" si="524"/>
        <v>ヤヤマスコット</v>
      </c>
      <c r="Y255" s="13">
        <f t="shared" si="525"/>
        <v>850</v>
      </c>
      <c r="Z255" s="13">
        <f t="shared" si="501"/>
        <v>0</v>
      </c>
      <c r="AA255" s="14">
        <f t="shared" si="502"/>
        <v>0</v>
      </c>
      <c r="AB255" s="188" t="s">
        <v>491</v>
      </c>
      <c r="AC255" s="15"/>
      <c r="AD255" s="16"/>
      <c r="AE255" s="13">
        <v>13121</v>
      </c>
      <c r="AF255" s="13">
        <f t="shared" si="503"/>
        <v>63</v>
      </c>
      <c r="AG255" s="13">
        <v>358</v>
      </c>
      <c r="AH255" s="13">
        <f t="shared" si="504"/>
        <v>1</v>
      </c>
      <c r="AI255" s="13">
        <v>12</v>
      </c>
      <c r="AJ255" s="13">
        <f t="shared" si="505"/>
        <v>1</v>
      </c>
      <c r="AK255" s="17">
        <v>0</v>
      </c>
      <c r="AL255" s="56" t="str">
        <f t="shared" si="506"/>
        <v>ゲームアーク</v>
      </c>
      <c r="AM255" s="13">
        <f t="shared" si="507"/>
        <v>682</v>
      </c>
      <c r="AN255" s="13">
        <f t="shared" si="508"/>
        <v>682</v>
      </c>
      <c r="AO255" s="14">
        <f t="shared" si="509"/>
        <v>0.10825396825396826</v>
      </c>
      <c r="AP255" s="15"/>
      <c r="AQ255" s="15"/>
      <c r="AR255" s="16"/>
      <c r="AS255" s="13">
        <v>16392</v>
      </c>
      <c r="AT255" s="13">
        <f t="shared" si="510"/>
        <v>163</v>
      </c>
      <c r="AU255" s="13">
        <v>546</v>
      </c>
      <c r="AV255" s="13">
        <f t="shared" si="511"/>
        <v>5</v>
      </c>
      <c r="AW255" s="13">
        <v>9</v>
      </c>
      <c r="AX255" s="13">
        <f t="shared" si="512"/>
        <v>5</v>
      </c>
      <c r="AY255" s="17">
        <v>0</v>
      </c>
      <c r="AZ255" s="56" t="str">
        <f t="shared" si="541"/>
        <v>たまごっちマスコット</v>
      </c>
      <c r="BA255" s="13">
        <f t="shared" si="542"/>
        <v>1100</v>
      </c>
      <c r="BB255" s="13">
        <f t="shared" si="515"/>
        <v>5500</v>
      </c>
      <c r="BC255" s="14">
        <f t="shared" si="516"/>
        <v>0.33742331288343558</v>
      </c>
      <c r="BD255" s="178" t="s">
        <v>475</v>
      </c>
      <c r="BE255" s="2"/>
      <c r="BF255" s="16"/>
      <c r="BG255" s="7"/>
      <c r="BH255" s="13">
        <v>946</v>
      </c>
      <c r="BI255" s="13">
        <f t="shared" si="517"/>
        <v>403</v>
      </c>
      <c r="BJ255" s="13">
        <v>6</v>
      </c>
      <c r="BK255" s="13">
        <f t="shared" si="518"/>
        <v>2</v>
      </c>
      <c r="BL255" s="13">
        <v>1</v>
      </c>
      <c r="BM255" s="13">
        <f t="shared" si="538"/>
        <v>2</v>
      </c>
      <c r="BN255" s="17">
        <v>2</v>
      </c>
      <c r="BO255" s="56" t="str">
        <f t="shared" si="539"/>
        <v>ボンボンドロップシール</v>
      </c>
      <c r="BP255" s="13">
        <f t="shared" si="540"/>
        <v>1500</v>
      </c>
      <c r="BQ255" s="13">
        <f t="shared" si="522"/>
        <v>3000</v>
      </c>
      <c r="BR255" s="14">
        <f t="shared" si="523"/>
        <v>7.4441687344913146E-2</v>
      </c>
      <c r="BS255" s="15"/>
      <c r="BT255" s="15"/>
      <c r="BU255" s="16"/>
      <c r="BV255" s="54"/>
      <c r="BW255" s="13" t="str">
        <f t="shared" si="543"/>
        <v/>
      </c>
      <c r="BX255" s="13"/>
      <c r="BY255" s="13"/>
      <c r="BZ255" s="13"/>
      <c r="CA255" s="13" t="str">
        <f t="shared" si="544"/>
        <v/>
      </c>
      <c r="CB255" s="13"/>
      <c r="CC255" s="13"/>
      <c r="CD255" s="13"/>
      <c r="CE255" s="13" t="str">
        <f t="shared" si="526"/>
        <v/>
      </c>
      <c r="CF255" s="14" t="str">
        <f t="shared" si="527"/>
        <v/>
      </c>
      <c r="CG255" s="15"/>
      <c r="CH255" s="1"/>
      <c r="CI255" s="16"/>
      <c r="CJ255" s="54"/>
      <c r="CK255" s="13" t="str">
        <f t="shared" si="545"/>
        <v/>
      </c>
      <c r="CL255" s="13"/>
      <c r="CM255" s="13"/>
      <c r="CN255" s="13"/>
      <c r="CO255" s="13" t="str">
        <f t="shared" si="546"/>
        <v/>
      </c>
      <c r="CP255" s="13"/>
      <c r="CQ255" s="13"/>
      <c r="CR255" s="13"/>
      <c r="CS255" s="13" t="str">
        <f t="shared" si="528"/>
        <v/>
      </c>
      <c r="CT255" s="14" t="str">
        <f t="shared" si="536"/>
        <v/>
      </c>
      <c r="CU255" s="15"/>
      <c r="CV255" s="1"/>
      <c r="CW255" s="16"/>
      <c r="CX255" s="54"/>
      <c r="CY255" s="13" t="str">
        <f t="shared" si="547"/>
        <v/>
      </c>
      <c r="CZ255" s="13"/>
      <c r="DA255" s="13"/>
      <c r="DB255" s="13"/>
      <c r="DC255" s="13" t="str">
        <f t="shared" si="548"/>
        <v/>
      </c>
      <c r="DD255" s="13"/>
      <c r="DE255" s="13"/>
      <c r="DF255" s="13"/>
      <c r="DG255" s="13" t="str">
        <f t="shared" si="529"/>
        <v/>
      </c>
      <c r="DH255" s="14" t="str">
        <f t="shared" si="530"/>
        <v/>
      </c>
      <c r="DI255" s="15"/>
      <c r="DJ255" s="1"/>
      <c r="DK255" s="16"/>
      <c r="DL255" s="54"/>
      <c r="DM255" s="13" t="str">
        <f t="shared" si="549"/>
        <v/>
      </c>
      <c r="DN255" s="13"/>
      <c r="DO255" s="13"/>
      <c r="DP255" s="13"/>
      <c r="DQ255" s="13" t="str">
        <f t="shared" si="550"/>
        <v/>
      </c>
      <c r="DR255" s="13"/>
      <c r="DS255" s="13"/>
      <c r="DT255" s="13"/>
      <c r="DU255" s="13" t="str">
        <f t="shared" si="531"/>
        <v/>
      </c>
      <c r="DV255" s="14" t="str">
        <f t="shared" si="532"/>
        <v/>
      </c>
      <c r="DW255" s="15"/>
      <c r="DY255" s="16"/>
      <c r="DZ255" s="54"/>
      <c r="EA255" s="13" t="str">
        <f t="shared" si="551"/>
        <v/>
      </c>
      <c r="EB255" s="13"/>
      <c r="EC255" s="13"/>
      <c r="ED255" s="13"/>
      <c r="EE255" s="13" t="str">
        <f t="shared" si="552"/>
        <v/>
      </c>
      <c r="EF255" s="13"/>
      <c r="EG255" s="13"/>
      <c r="EH255" s="13"/>
      <c r="EI255" s="13" t="str">
        <f t="shared" si="533"/>
        <v/>
      </c>
      <c r="EJ255" s="14" t="str">
        <f t="shared" si="534"/>
        <v/>
      </c>
      <c r="EK255" s="15"/>
    </row>
    <row r="256" spans="1:141" ht="15" customHeight="1" thickBot="1" x14ac:dyDescent="0.25">
      <c r="A256" s="26"/>
      <c r="B256" s="46"/>
      <c r="C256" s="27">
        <v>8132</v>
      </c>
      <c r="D256" s="27">
        <f t="shared" si="491"/>
        <v>59</v>
      </c>
      <c r="E256" s="27">
        <v>494</v>
      </c>
      <c r="F256" s="27">
        <f t="shared" si="492"/>
        <v>2</v>
      </c>
      <c r="G256" s="27">
        <v>0</v>
      </c>
      <c r="H256" s="27">
        <f t="shared" si="493"/>
        <v>2</v>
      </c>
      <c r="I256" s="47">
        <v>14</v>
      </c>
      <c r="J256" s="57" t="str">
        <f t="shared" si="494"/>
        <v>モンチッチフェイスポーチ</v>
      </c>
      <c r="K256" s="62">
        <f t="shared" si="495"/>
        <v>900</v>
      </c>
      <c r="L256" s="27">
        <f t="shared" si="496"/>
        <v>1800</v>
      </c>
      <c r="M256" s="28">
        <f t="shared" si="497"/>
        <v>0.30508474576271188</v>
      </c>
      <c r="N256" s="15" t="s">
        <v>492</v>
      </c>
      <c r="O256" s="2"/>
      <c r="P256" s="26"/>
      <c r="Q256" s="27">
        <v>12369</v>
      </c>
      <c r="R256" s="27">
        <f t="shared" si="537"/>
        <v>148</v>
      </c>
      <c r="S256" s="27">
        <v>435</v>
      </c>
      <c r="T256" s="27">
        <f t="shared" si="499"/>
        <v>8</v>
      </c>
      <c r="U256" s="27">
        <v>19</v>
      </c>
      <c r="V256" s="27">
        <f t="shared" si="500"/>
        <v>9</v>
      </c>
      <c r="W256" s="47">
        <v>20</v>
      </c>
      <c r="X256" s="57" t="str">
        <f t="shared" si="524"/>
        <v>ボンボンドロップ</v>
      </c>
      <c r="Y256" s="62">
        <f t="shared" si="525"/>
        <v>200</v>
      </c>
      <c r="Z256" s="27">
        <f t="shared" si="501"/>
        <v>1800</v>
      </c>
      <c r="AA256" s="28">
        <f t="shared" si="502"/>
        <v>0.12162162162162163</v>
      </c>
      <c r="AB256" s="15"/>
      <c r="AC256" s="15"/>
      <c r="AD256" s="26"/>
      <c r="AE256" s="27">
        <v>12928</v>
      </c>
      <c r="AF256" s="27">
        <f t="shared" si="503"/>
        <v>40</v>
      </c>
      <c r="AG256" s="27">
        <v>320</v>
      </c>
      <c r="AH256" s="27">
        <f t="shared" si="504"/>
        <v>1</v>
      </c>
      <c r="AI256" s="27">
        <v>15</v>
      </c>
      <c r="AJ256" s="27">
        <f t="shared" si="505"/>
        <v>1</v>
      </c>
      <c r="AK256" s="47">
        <v>0</v>
      </c>
      <c r="AL256" s="57" t="str">
        <f t="shared" si="506"/>
        <v>モンチッチマスコット2</v>
      </c>
      <c r="AM256" s="62">
        <f t="shared" si="507"/>
        <v>605</v>
      </c>
      <c r="AN256" s="27">
        <f t="shared" si="508"/>
        <v>605</v>
      </c>
      <c r="AO256" s="28">
        <f t="shared" si="509"/>
        <v>0.15125</v>
      </c>
      <c r="AP256" s="15"/>
      <c r="AQ256" s="15"/>
      <c r="AR256" s="26"/>
      <c r="AS256" s="27">
        <v>16154</v>
      </c>
      <c r="AT256" s="88">
        <f t="shared" si="510"/>
        <v>10</v>
      </c>
      <c r="AU256" s="27">
        <v>468</v>
      </c>
      <c r="AV256" s="27">
        <f t="shared" si="511"/>
        <v>0</v>
      </c>
      <c r="AW256" s="27">
        <v>30</v>
      </c>
      <c r="AX256" s="27">
        <f t="shared" si="512"/>
        <v>0</v>
      </c>
      <c r="AY256" s="47">
        <v>0</v>
      </c>
      <c r="AZ256" s="57" t="str">
        <f t="shared" si="541"/>
        <v>ラブブマスコット</v>
      </c>
      <c r="BA256" s="62">
        <f t="shared" si="542"/>
        <v>400</v>
      </c>
      <c r="BB256" s="27">
        <f t="shared" si="515"/>
        <v>0</v>
      </c>
      <c r="BC256" s="28">
        <f t="shared" si="516"/>
        <v>0</v>
      </c>
      <c r="BD256" s="178" t="s">
        <v>435</v>
      </c>
      <c r="BE256" s="2"/>
      <c r="BF256" s="26"/>
      <c r="BG256" s="241"/>
      <c r="BH256" s="27">
        <v>646</v>
      </c>
      <c r="BI256" s="27">
        <f t="shared" si="517"/>
        <v>119</v>
      </c>
      <c r="BJ256" s="27">
        <v>5</v>
      </c>
      <c r="BK256" s="27">
        <f t="shared" si="518"/>
        <v>2</v>
      </c>
      <c r="BL256" s="27">
        <v>1</v>
      </c>
      <c r="BM256" s="27">
        <f t="shared" si="538"/>
        <v>2</v>
      </c>
      <c r="BN256" s="47">
        <v>2</v>
      </c>
      <c r="BO256" s="57" t="str">
        <f t="shared" si="539"/>
        <v>ボンボンドロップシール</v>
      </c>
      <c r="BP256" s="62">
        <f t="shared" si="540"/>
        <v>1500</v>
      </c>
      <c r="BQ256" s="27">
        <f t="shared" si="522"/>
        <v>3000</v>
      </c>
      <c r="BR256" s="28">
        <f t="shared" si="523"/>
        <v>0.25210084033613445</v>
      </c>
      <c r="BS256" s="15"/>
      <c r="BT256" s="15"/>
      <c r="BU256" s="16"/>
      <c r="BV256" s="54"/>
      <c r="BW256" s="13" t="str">
        <f t="shared" si="543"/>
        <v/>
      </c>
      <c r="BX256" s="13"/>
      <c r="BY256" s="13"/>
      <c r="BZ256" s="13"/>
      <c r="CA256" s="13" t="str">
        <f t="shared" si="544"/>
        <v/>
      </c>
      <c r="CB256" s="13"/>
      <c r="CC256" s="13"/>
      <c r="CD256" s="13"/>
      <c r="CE256" s="13" t="str">
        <f t="shared" si="526"/>
        <v/>
      </c>
      <c r="CF256" s="14" t="str">
        <f t="shared" si="527"/>
        <v/>
      </c>
      <c r="CG256" s="15"/>
      <c r="CH256" s="1"/>
      <c r="CI256" s="16"/>
      <c r="CJ256" s="54"/>
      <c r="CK256" s="13" t="str">
        <f t="shared" si="545"/>
        <v/>
      </c>
      <c r="CL256" s="13"/>
      <c r="CM256" s="13"/>
      <c r="CN256" s="13"/>
      <c r="CO256" s="13" t="str">
        <f t="shared" si="546"/>
        <v/>
      </c>
      <c r="CP256" s="13"/>
      <c r="CQ256" s="13"/>
      <c r="CR256" s="13"/>
      <c r="CS256" s="13" t="str">
        <f t="shared" si="528"/>
        <v/>
      </c>
      <c r="CT256" s="14" t="str">
        <f t="shared" si="536"/>
        <v/>
      </c>
      <c r="CU256" s="15"/>
      <c r="CV256" s="1"/>
      <c r="CW256" s="16"/>
      <c r="CX256" s="54"/>
      <c r="CY256" s="13" t="str">
        <f t="shared" si="547"/>
        <v/>
      </c>
      <c r="CZ256" s="13"/>
      <c r="DA256" s="13"/>
      <c r="DB256" s="13"/>
      <c r="DC256" s="13" t="str">
        <f t="shared" si="548"/>
        <v/>
      </c>
      <c r="DD256" s="13"/>
      <c r="DE256" s="13"/>
      <c r="DF256" s="13"/>
      <c r="DG256" s="13" t="str">
        <f t="shared" si="529"/>
        <v/>
      </c>
      <c r="DH256" s="14" t="str">
        <f t="shared" si="530"/>
        <v/>
      </c>
      <c r="DI256" s="15"/>
      <c r="DJ256" s="1"/>
      <c r="DK256" s="16"/>
      <c r="DL256" s="54"/>
      <c r="DM256" s="13" t="str">
        <f t="shared" si="549"/>
        <v/>
      </c>
      <c r="DN256" s="13"/>
      <c r="DO256" s="13"/>
      <c r="DP256" s="13"/>
      <c r="DQ256" s="13" t="str">
        <f t="shared" si="550"/>
        <v/>
      </c>
      <c r="DR256" s="13"/>
      <c r="DS256" s="13"/>
      <c r="DT256" s="13"/>
      <c r="DU256" s="13" t="str">
        <f t="shared" si="531"/>
        <v/>
      </c>
      <c r="DV256" s="14" t="str">
        <f t="shared" si="532"/>
        <v/>
      </c>
      <c r="DW256" s="15"/>
      <c r="DY256" s="16"/>
      <c r="DZ256" s="54"/>
      <c r="EA256" s="13" t="str">
        <f t="shared" si="551"/>
        <v/>
      </c>
      <c r="EB256" s="13"/>
      <c r="EC256" s="13"/>
      <c r="ED256" s="13"/>
      <c r="EE256" s="13" t="str">
        <f t="shared" si="552"/>
        <v/>
      </c>
      <c r="EF256" s="13"/>
      <c r="EG256" s="13"/>
      <c r="EH256" s="13"/>
      <c r="EI256" s="13" t="str">
        <f t="shared" si="533"/>
        <v/>
      </c>
      <c r="EJ256" s="14" t="str">
        <f t="shared" si="534"/>
        <v/>
      </c>
      <c r="EK256" s="15"/>
    </row>
    <row r="257" spans="1:141" ht="15" customHeight="1" thickTop="1" x14ac:dyDescent="0.2">
      <c r="A257" s="79">
        <v>46090</v>
      </c>
      <c r="B257" s="74">
        <f>IF(A257="","",SUM(D257:D260)+SUM(R257:R260)+SUM(AF257:AF260)+SUM(AT257:AT260)+SUM(BW233,CK233,CY233,EA233,DM233)+SUM(BI257:BI260))</f>
        <v>3994</v>
      </c>
      <c r="C257" s="13">
        <v>6770</v>
      </c>
      <c r="D257" s="53">
        <f t="shared" si="491"/>
        <v>75</v>
      </c>
      <c r="E257" s="13">
        <v>376</v>
      </c>
      <c r="F257" s="31">
        <f t="shared" si="492"/>
        <v>2</v>
      </c>
      <c r="G257" s="13">
        <v>13</v>
      </c>
      <c r="H257" s="53">
        <f t="shared" si="493"/>
        <v>2</v>
      </c>
      <c r="I257" s="80">
        <v>0</v>
      </c>
      <c r="J257" s="75" t="str">
        <f t="shared" si="494"/>
        <v>ジャグラーボタン</v>
      </c>
      <c r="K257" s="76">
        <f t="shared" si="495"/>
        <v>748</v>
      </c>
      <c r="L257" s="31">
        <f t="shared" si="496"/>
        <v>1496</v>
      </c>
      <c r="M257" s="32">
        <f t="shared" si="497"/>
        <v>0.19946666666666665</v>
      </c>
      <c r="N257" s="186" t="s">
        <v>386</v>
      </c>
      <c r="O257" s="2"/>
      <c r="P257" s="79">
        <f>IF($A257="","",$A257)</f>
        <v>46090</v>
      </c>
      <c r="Q257" s="13">
        <v>7537</v>
      </c>
      <c r="R257" s="53">
        <f t="shared" si="537"/>
        <v>69</v>
      </c>
      <c r="S257" s="13">
        <v>243</v>
      </c>
      <c r="T257" s="31">
        <f t="shared" si="499"/>
        <v>3</v>
      </c>
      <c r="U257" s="13">
        <v>10</v>
      </c>
      <c r="V257" s="53">
        <f t="shared" si="500"/>
        <v>3</v>
      </c>
      <c r="W257" s="80">
        <v>0</v>
      </c>
      <c r="X257" s="75" t="str">
        <f t="shared" si="524"/>
        <v>キティボアバンスクリップ</v>
      </c>
      <c r="Y257" s="76">
        <f t="shared" si="525"/>
        <v>1100</v>
      </c>
      <c r="Z257" s="31">
        <f t="shared" si="501"/>
        <v>3300</v>
      </c>
      <c r="AA257" s="32">
        <f t="shared" si="502"/>
        <v>0.47826086956521741</v>
      </c>
      <c r="AB257" s="15"/>
      <c r="AC257" s="15"/>
      <c r="AD257" s="79">
        <f>IF($A257="","",$A257)</f>
        <v>46090</v>
      </c>
      <c r="AE257" s="13">
        <v>11289</v>
      </c>
      <c r="AF257" s="53">
        <f t="shared" si="503"/>
        <v>72</v>
      </c>
      <c r="AG257" s="13">
        <v>254</v>
      </c>
      <c r="AH257" s="31">
        <f t="shared" si="504"/>
        <v>1</v>
      </c>
      <c r="AI257" s="13">
        <v>28</v>
      </c>
      <c r="AJ257" s="53">
        <f t="shared" si="505"/>
        <v>0</v>
      </c>
      <c r="AK257" s="80">
        <v>2</v>
      </c>
      <c r="AL257" s="75" t="str">
        <f t="shared" si="506"/>
        <v>サンリオ型押しケース</v>
      </c>
      <c r="AM257" s="76">
        <f t="shared" si="507"/>
        <v>545</v>
      </c>
      <c r="AN257" s="31">
        <f t="shared" si="508"/>
        <v>0</v>
      </c>
      <c r="AO257" s="32">
        <f t="shared" si="509"/>
        <v>0</v>
      </c>
      <c r="AP257" s="15"/>
      <c r="AQ257" s="15"/>
      <c r="AR257" s="79">
        <f>IF($A257="","",$A257)</f>
        <v>46090</v>
      </c>
      <c r="AS257" s="13">
        <v>12149</v>
      </c>
      <c r="AT257" s="53">
        <f t="shared" si="510"/>
        <v>24</v>
      </c>
      <c r="AU257" s="13">
        <v>383</v>
      </c>
      <c r="AV257" s="31">
        <f t="shared" si="511"/>
        <v>2</v>
      </c>
      <c r="AW257" s="13">
        <v>16</v>
      </c>
      <c r="AX257" s="53">
        <f t="shared" si="512"/>
        <v>1</v>
      </c>
      <c r="AY257" s="80">
        <v>-4</v>
      </c>
      <c r="AZ257" s="75" t="str">
        <f t="shared" si="541"/>
        <v>サンリオヒョウ柄キーケース</v>
      </c>
      <c r="BA257" s="76">
        <f t="shared" si="542"/>
        <v>924</v>
      </c>
      <c r="BB257" s="31">
        <f t="shared" si="515"/>
        <v>924</v>
      </c>
      <c r="BC257" s="32">
        <f t="shared" si="516"/>
        <v>0.38500000000000001</v>
      </c>
      <c r="BD257" s="15" t="s">
        <v>496</v>
      </c>
      <c r="BE257" s="2"/>
      <c r="BF257" s="79">
        <f>IF($A257="","",$A257)</f>
        <v>46090</v>
      </c>
      <c r="BG257" s="240"/>
      <c r="BH257" s="13">
        <v>901</v>
      </c>
      <c r="BI257" s="53">
        <f t="shared" si="517"/>
        <v>222</v>
      </c>
      <c r="BJ257" s="13">
        <v>6</v>
      </c>
      <c r="BK257" s="31">
        <f t="shared" si="518"/>
        <v>2</v>
      </c>
      <c r="BL257" s="13">
        <v>1</v>
      </c>
      <c r="BM257" s="53">
        <f t="shared" si="538"/>
        <v>2</v>
      </c>
      <c r="BN257" s="80">
        <v>2</v>
      </c>
      <c r="BO257" s="75" t="str">
        <f t="shared" si="539"/>
        <v>ボンボンドロップシール</v>
      </c>
      <c r="BP257" s="76">
        <f t="shared" si="540"/>
        <v>1500</v>
      </c>
      <c r="BQ257" s="31">
        <f t="shared" si="522"/>
        <v>3000</v>
      </c>
      <c r="BR257" s="32">
        <f t="shared" si="523"/>
        <v>0.13513513513513514</v>
      </c>
      <c r="BS257" s="15"/>
      <c r="BT257" s="15"/>
      <c r="BU257" s="16"/>
      <c r="BV257" s="54"/>
      <c r="BW257" s="13" t="str">
        <f t="shared" si="543"/>
        <v/>
      </c>
      <c r="BX257" s="13"/>
      <c r="BY257" s="13"/>
      <c r="BZ257" s="13"/>
      <c r="CA257" s="13" t="str">
        <f t="shared" si="544"/>
        <v/>
      </c>
      <c r="CB257" s="13"/>
      <c r="CC257" s="13"/>
      <c r="CD257" s="13"/>
      <c r="CE257" s="13" t="str">
        <f t="shared" si="526"/>
        <v/>
      </c>
      <c r="CF257" s="14" t="str">
        <f t="shared" si="527"/>
        <v/>
      </c>
      <c r="CG257" s="15"/>
      <c r="CH257" s="1"/>
      <c r="CI257" s="16"/>
      <c r="CJ257" s="54"/>
      <c r="CK257" s="13" t="str">
        <f t="shared" si="545"/>
        <v/>
      </c>
      <c r="CL257" s="13"/>
      <c r="CM257" s="13"/>
      <c r="CN257" s="13"/>
      <c r="CO257" s="13" t="str">
        <f t="shared" si="546"/>
        <v/>
      </c>
      <c r="CP257" s="13"/>
      <c r="CQ257" s="13"/>
      <c r="CR257" s="13"/>
      <c r="CS257" s="13" t="str">
        <f t="shared" si="528"/>
        <v/>
      </c>
      <c r="CT257" s="14" t="str">
        <f t="shared" si="536"/>
        <v/>
      </c>
      <c r="CU257" s="15"/>
      <c r="CV257" s="1"/>
      <c r="CW257" s="16"/>
      <c r="CX257" s="54"/>
      <c r="CY257" s="13" t="str">
        <f t="shared" si="547"/>
        <v/>
      </c>
      <c r="CZ257" s="13"/>
      <c r="DA257" s="13"/>
      <c r="DB257" s="13"/>
      <c r="DC257" s="13" t="str">
        <f t="shared" si="548"/>
        <v/>
      </c>
      <c r="DD257" s="13"/>
      <c r="DE257" s="13"/>
      <c r="DF257" s="13"/>
      <c r="DG257" s="13" t="str">
        <f t="shared" si="529"/>
        <v/>
      </c>
      <c r="DH257" s="14" t="str">
        <f t="shared" si="530"/>
        <v/>
      </c>
      <c r="DI257" s="15"/>
      <c r="DJ257" s="1"/>
      <c r="DK257" s="16"/>
      <c r="DL257" s="54"/>
      <c r="DM257" s="13" t="str">
        <f t="shared" si="549"/>
        <v/>
      </c>
      <c r="DN257" s="13"/>
      <c r="DO257" s="13"/>
      <c r="DP257" s="13"/>
      <c r="DQ257" s="13" t="str">
        <f t="shared" si="550"/>
        <v/>
      </c>
      <c r="DR257" s="13"/>
      <c r="DS257" s="13"/>
      <c r="DT257" s="13"/>
      <c r="DU257" s="13" t="str">
        <f t="shared" si="531"/>
        <v/>
      </c>
      <c r="DV257" s="14" t="str">
        <f t="shared" si="532"/>
        <v/>
      </c>
      <c r="DW257" s="15"/>
      <c r="DY257" s="16"/>
      <c r="DZ257" s="54"/>
      <c r="EA257" s="13" t="str">
        <f t="shared" si="551"/>
        <v/>
      </c>
      <c r="EB257" s="13"/>
      <c r="EC257" s="13"/>
      <c r="ED257" s="13"/>
      <c r="EE257" s="13" t="str">
        <f t="shared" si="552"/>
        <v/>
      </c>
      <c r="EF257" s="13"/>
      <c r="EG257" s="13"/>
      <c r="EH257" s="13"/>
      <c r="EI257" s="13" t="str">
        <f t="shared" si="533"/>
        <v/>
      </c>
      <c r="EJ257" s="14" t="str">
        <f t="shared" si="534"/>
        <v/>
      </c>
      <c r="EK257" s="15"/>
    </row>
    <row r="258" spans="1:141" ht="15" customHeight="1" x14ac:dyDescent="0.2">
      <c r="A258" s="133"/>
      <c r="B258" s="11"/>
      <c r="C258" s="53">
        <v>6432</v>
      </c>
      <c r="D258" s="13">
        <f t="shared" si="491"/>
        <v>104</v>
      </c>
      <c r="E258" s="53">
        <v>402</v>
      </c>
      <c r="F258" s="13">
        <f t="shared" si="492"/>
        <v>2</v>
      </c>
      <c r="G258" s="13">
        <v>32</v>
      </c>
      <c r="H258" s="13">
        <f t="shared" si="493"/>
        <v>2</v>
      </c>
      <c r="I258" s="17">
        <v>15</v>
      </c>
      <c r="J258" s="56" t="str">
        <f t="shared" si="494"/>
        <v>電ブル</v>
      </c>
      <c r="K258" s="54">
        <f t="shared" si="495"/>
        <v>275</v>
      </c>
      <c r="L258" s="13">
        <f t="shared" si="496"/>
        <v>550</v>
      </c>
      <c r="M258" s="14">
        <f t="shared" si="497"/>
        <v>5.2884615384615384E-2</v>
      </c>
      <c r="N258" s="15"/>
      <c r="O258" s="2"/>
      <c r="P258" s="16"/>
      <c r="Q258" s="53">
        <v>259</v>
      </c>
      <c r="R258" s="13">
        <f t="shared" si="537"/>
        <v>45</v>
      </c>
      <c r="S258" s="53">
        <v>153</v>
      </c>
      <c r="T258" s="13">
        <f t="shared" si="499"/>
        <v>3</v>
      </c>
      <c r="U258" s="13">
        <v>15</v>
      </c>
      <c r="V258" s="13">
        <f t="shared" si="500"/>
        <v>3</v>
      </c>
      <c r="W258" s="17">
        <v>0</v>
      </c>
      <c r="X258" s="56" t="str">
        <f t="shared" si="524"/>
        <v>ギャルキティマスコット</v>
      </c>
      <c r="Y258" s="54">
        <f t="shared" si="525"/>
        <v>1100</v>
      </c>
      <c r="Z258" s="13">
        <f t="shared" si="501"/>
        <v>3300</v>
      </c>
      <c r="AA258" s="14">
        <f t="shared" si="502"/>
        <v>0.73333333333333328</v>
      </c>
      <c r="AB258" s="15"/>
      <c r="AC258" s="15"/>
      <c r="AD258" s="16"/>
      <c r="AE258" s="53">
        <v>11027</v>
      </c>
      <c r="AF258" s="13">
        <f t="shared" si="503"/>
        <v>119</v>
      </c>
      <c r="AG258" s="53">
        <v>232</v>
      </c>
      <c r="AH258" s="13">
        <f t="shared" si="504"/>
        <v>2</v>
      </c>
      <c r="AI258" s="13">
        <v>12</v>
      </c>
      <c r="AJ258" s="13">
        <f t="shared" si="505"/>
        <v>2</v>
      </c>
      <c r="AK258" s="17">
        <v>0</v>
      </c>
      <c r="AL258" s="56" t="str">
        <f t="shared" si="506"/>
        <v>キティししっぽ付きポーチ</v>
      </c>
      <c r="AM258" s="54">
        <f t="shared" si="507"/>
        <v>0</v>
      </c>
      <c r="AN258" s="13">
        <f t="shared" si="508"/>
        <v>0</v>
      </c>
      <c r="AO258" s="14">
        <f t="shared" si="509"/>
        <v>0</v>
      </c>
      <c r="AP258" s="15"/>
      <c r="AQ258" s="15"/>
      <c r="AR258" s="16"/>
      <c r="AS258" s="53">
        <v>8828</v>
      </c>
      <c r="AT258" s="13">
        <f t="shared" si="510"/>
        <v>48</v>
      </c>
      <c r="AU258" s="53">
        <v>443</v>
      </c>
      <c r="AV258" s="13">
        <f t="shared" si="511"/>
        <v>7</v>
      </c>
      <c r="AW258" s="13">
        <v>9</v>
      </c>
      <c r="AX258" s="13">
        <f t="shared" si="512"/>
        <v>1</v>
      </c>
      <c r="AY258" s="17">
        <v>3</v>
      </c>
      <c r="AZ258" s="56" t="str">
        <f t="shared" si="541"/>
        <v>キティダブルミラー</v>
      </c>
      <c r="BA258" s="54">
        <f t="shared" si="542"/>
        <v>1100</v>
      </c>
      <c r="BB258" s="13">
        <f t="shared" si="515"/>
        <v>1100</v>
      </c>
      <c r="BC258" s="14">
        <f t="shared" si="516"/>
        <v>0.22916666666666666</v>
      </c>
      <c r="BD258" s="15"/>
      <c r="BE258" s="2"/>
      <c r="BF258" s="16"/>
      <c r="BG258" s="240"/>
      <c r="BH258" s="53">
        <v>429</v>
      </c>
      <c r="BI258" s="13">
        <f t="shared" si="517"/>
        <v>172</v>
      </c>
      <c r="BJ258" s="53">
        <v>2</v>
      </c>
      <c r="BK258" s="13">
        <f t="shared" si="518"/>
        <v>0</v>
      </c>
      <c r="BL258" s="13">
        <v>3</v>
      </c>
      <c r="BM258" s="13">
        <f t="shared" si="538"/>
        <v>0</v>
      </c>
      <c r="BN258" s="17">
        <v>0</v>
      </c>
      <c r="BO258" s="56" t="s">
        <v>494</v>
      </c>
      <c r="BP258" s="54">
        <f t="shared" ref="BP258:BP280" si="553">IF(BI258="","",BP254)</f>
        <v>1000</v>
      </c>
      <c r="BQ258" s="13">
        <f t="shared" si="522"/>
        <v>0</v>
      </c>
      <c r="BR258" s="14">
        <f t="shared" si="523"/>
        <v>0</v>
      </c>
      <c r="BS258" s="15"/>
      <c r="BT258" s="15"/>
      <c r="BU258" s="16"/>
      <c r="BV258" s="54"/>
      <c r="BW258" s="13" t="str">
        <f t="shared" si="543"/>
        <v/>
      </c>
      <c r="BX258" s="13"/>
      <c r="BY258" s="13"/>
      <c r="BZ258" s="13"/>
      <c r="CA258" s="13" t="str">
        <f t="shared" si="544"/>
        <v/>
      </c>
      <c r="CB258" s="13"/>
      <c r="CC258" s="13"/>
      <c r="CD258" s="13"/>
      <c r="CE258" s="13" t="str">
        <f t="shared" si="526"/>
        <v/>
      </c>
      <c r="CF258" s="14" t="str">
        <f t="shared" si="527"/>
        <v/>
      </c>
      <c r="CG258" s="15"/>
      <c r="CH258" s="1"/>
      <c r="CI258" s="16"/>
      <c r="CJ258" s="54"/>
      <c r="CK258" s="13" t="str">
        <f t="shared" si="545"/>
        <v/>
      </c>
      <c r="CL258" s="13"/>
      <c r="CM258" s="13"/>
      <c r="CN258" s="13"/>
      <c r="CO258" s="13" t="str">
        <f t="shared" si="546"/>
        <v/>
      </c>
      <c r="CP258" s="13"/>
      <c r="CQ258" s="13"/>
      <c r="CR258" s="13"/>
      <c r="CS258" s="13" t="str">
        <f t="shared" si="528"/>
        <v/>
      </c>
      <c r="CT258" s="14" t="str">
        <f t="shared" si="536"/>
        <v/>
      </c>
      <c r="CU258" s="15"/>
      <c r="CV258" s="1"/>
      <c r="CW258" s="16"/>
      <c r="CX258" s="54"/>
      <c r="CY258" s="13" t="str">
        <f t="shared" si="547"/>
        <v/>
      </c>
      <c r="CZ258" s="13"/>
      <c r="DA258" s="13"/>
      <c r="DB258" s="13"/>
      <c r="DC258" s="13" t="str">
        <f t="shared" si="548"/>
        <v/>
      </c>
      <c r="DD258" s="13"/>
      <c r="DE258" s="13"/>
      <c r="DF258" s="13"/>
      <c r="DG258" s="13" t="str">
        <f t="shared" si="529"/>
        <v/>
      </c>
      <c r="DH258" s="14" t="str">
        <f t="shared" si="530"/>
        <v/>
      </c>
      <c r="DI258" s="15"/>
      <c r="DJ258" s="1"/>
      <c r="DK258" s="16"/>
      <c r="DL258" s="54"/>
      <c r="DM258" s="13" t="str">
        <f t="shared" si="549"/>
        <v/>
      </c>
      <c r="DN258" s="13"/>
      <c r="DO258" s="13"/>
      <c r="DP258" s="13"/>
      <c r="DQ258" s="13" t="str">
        <f t="shared" si="550"/>
        <v/>
      </c>
      <c r="DR258" s="13"/>
      <c r="DS258" s="13"/>
      <c r="DT258" s="13"/>
      <c r="DU258" s="13" t="str">
        <f t="shared" si="531"/>
        <v/>
      </c>
      <c r="DV258" s="14" t="str">
        <f t="shared" si="532"/>
        <v/>
      </c>
      <c r="DW258" s="15"/>
      <c r="DY258" s="16"/>
      <c r="DZ258" s="54"/>
      <c r="EA258" s="13" t="str">
        <f t="shared" si="551"/>
        <v/>
      </c>
      <c r="EB258" s="13"/>
      <c r="EC258" s="13"/>
      <c r="ED258" s="13"/>
      <c r="EE258" s="13" t="str">
        <f t="shared" si="552"/>
        <v/>
      </c>
      <c r="EF258" s="13"/>
      <c r="EG258" s="13"/>
      <c r="EH258" s="13"/>
      <c r="EI258" s="13" t="str">
        <f t="shared" si="533"/>
        <v/>
      </c>
      <c r="EJ258" s="14" t="str">
        <f t="shared" si="534"/>
        <v/>
      </c>
      <c r="EK258" s="15"/>
    </row>
    <row r="259" spans="1:141" ht="15" customHeight="1" x14ac:dyDescent="0.2">
      <c r="A259" s="133"/>
      <c r="B259" s="11"/>
      <c r="C259" s="13">
        <v>12493</v>
      </c>
      <c r="D259" s="13">
        <f t="shared" si="491"/>
        <v>61</v>
      </c>
      <c r="E259" s="13">
        <v>648</v>
      </c>
      <c r="F259" s="13">
        <f t="shared" si="492"/>
        <v>3</v>
      </c>
      <c r="G259" s="13">
        <v>20</v>
      </c>
      <c r="H259" s="13">
        <f t="shared" si="493"/>
        <v>3</v>
      </c>
      <c r="I259" s="17">
        <v>3</v>
      </c>
      <c r="J259" s="56" t="str">
        <f t="shared" si="494"/>
        <v>ゲーム機イヤホン</v>
      </c>
      <c r="K259" s="13">
        <f t="shared" si="495"/>
        <v>1100</v>
      </c>
      <c r="L259" s="13">
        <f t="shared" si="496"/>
        <v>3300</v>
      </c>
      <c r="M259" s="14">
        <f t="shared" si="497"/>
        <v>0.54098360655737709</v>
      </c>
      <c r="N259" s="15"/>
      <c r="O259" s="2"/>
      <c r="P259" s="16"/>
      <c r="Q259" s="13">
        <v>8471</v>
      </c>
      <c r="R259" s="13">
        <f t="shared" si="537"/>
        <v>39</v>
      </c>
      <c r="S259" s="13">
        <v>179</v>
      </c>
      <c r="T259" s="13">
        <f t="shared" si="499"/>
        <v>4</v>
      </c>
      <c r="U259" s="13">
        <v>14</v>
      </c>
      <c r="V259" s="13">
        <f t="shared" si="500"/>
        <v>2</v>
      </c>
      <c r="W259" s="17">
        <v>6</v>
      </c>
      <c r="X259" s="56" t="str">
        <f t="shared" si="524"/>
        <v>ヤヤマスコット</v>
      </c>
      <c r="Y259" s="13">
        <f t="shared" si="525"/>
        <v>850</v>
      </c>
      <c r="Z259" s="13">
        <f t="shared" si="501"/>
        <v>1700</v>
      </c>
      <c r="AA259" s="14">
        <f t="shared" si="502"/>
        <v>0.4358974358974359</v>
      </c>
      <c r="AB259" s="157" t="s">
        <v>498</v>
      </c>
      <c r="AC259" s="15"/>
      <c r="AD259" s="16"/>
      <c r="AE259" s="13">
        <v>13234</v>
      </c>
      <c r="AF259" s="13">
        <f t="shared" si="503"/>
        <v>113</v>
      </c>
      <c r="AG259" s="13">
        <v>359</v>
      </c>
      <c r="AH259" s="13">
        <f t="shared" si="504"/>
        <v>1</v>
      </c>
      <c r="AI259" s="13">
        <v>11</v>
      </c>
      <c r="AJ259" s="13">
        <f t="shared" si="505"/>
        <v>1</v>
      </c>
      <c r="AK259" s="17">
        <v>3</v>
      </c>
      <c r="AL259" s="56" t="str">
        <f t="shared" si="506"/>
        <v>ゲームアーク</v>
      </c>
      <c r="AM259" s="13">
        <f t="shared" si="507"/>
        <v>682</v>
      </c>
      <c r="AN259" s="13">
        <f t="shared" si="508"/>
        <v>682</v>
      </c>
      <c r="AO259" s="14">
        <f t="shared" si="509"/>
        <v>6.0353982300884956E-2</v>
      </c>
      <c r="AP259" s="15"/>
      <c r="AQ259" s="15"/>
      <c r="AR259" s="16"/>
      <c r="AS259" s="13">
        <v>16517</v>
      </c>
      <c r="AT259" s="13">
        <f t="shared" si="510"/>
        <v>125</v>
      </c>
      <c r="AU259" s="13">
        <v>547</v>
      </c>
      <c r="AV259" s="13">
        <f t="shared" si="511"/>
        <v>1</v>
      </c>
      <c r="AW259" s="13">
        <v>8</v>
      </c>
      <c r="AX259" s="13">
        <f t="shared" si="512"/>
        <v>1</v>
      </c>
      <c r="AY259" s="17">
        <v>8</v>
      </c>
      <c r="AZ259" s="56" t="str">
        <f t="shared" si="541"/>
        <v>たまごっちマスコット</v>
      </c>
      <c r="BA259" s="13">
        <f t="shared" si="542"/>
        <v>1100</v>
      </c>
      <c r="BB259" s="13">
        <f t="shared" si="515"/>
        <v>1100</v>
      </c>
      <c r="BC259" s="14">
        <f t="shared" si="516"/>
        <v>8.7999999999999995E-2</v>
      </c>
      <c r="BD259" s="15"/>
      <c r="BE259" s="2"/>
      <c r="BF259" s="16"/>
      <c r="BG259" s="7"/>
      <c r="BH259" s="13">
        <v>1290</v>
      </c>
      <c r="BI259" s="13">
        <f t="shared" si="517"/>
        <v>344</v>
      </c>
      <c r="BJ259" s="13">
        <v>9</v>
      </c>
      <c r="BK259" s="13">
        <f t="shared" si="518"/>
        <v>3</v>
      </c>
      <c r="BL259" s="13">
        <v>0</v>
      </c>
      <c r="BM259" s="13">
        <f t="shared" si="538"/>
        <v>3</v>
      </c>
      <c r="BN259" s="17">
        <v>3</v>
      </c>
      <c r="BO259" s="56" t="str">
        <f t="shared" ref="BO259:BO280" si="554">IF(BH259="","",BO255)</f>
        <v>ボンボンドロップシール</v>
      </c>
      <c r="BP259" s="13">
        <f t="shared" si="553"/>
        <v>1500</v>
      </c>
      <c r="BQ259" s="13">
        <f t="shared" si="522"/>
        <v>4500</v>
      </c>
      <c r="BR259" s="14">
        <f t="shared" si="523"/>
        <v>0.1308139534883721</v>
      </c>
      <c r="BS259" s="15"/>
      <c r="BT259" s="15"/>
      <c r="BU259" s="16"/>
      <c r="BV259" s="54"/>
      <c r="BW259" s="13" t="str">
        <f t="shared" si="543"/>
        <v/>
      </c>
      <c r="BX259" s="13"/>
      <c r="BY259" s="13"/>
      <c r="BZ259" s="13"/>
      <c r="CA259" s="13" t="str">
        <f t="shared" si="544"/>
        <v/>
      </c>
      <c r="CB259" s="13"/>
      <c r="CC259" s="13"/>
      <c r="CD259" s="13"/>
      <c r="CE259" s="13" t="str">
        <f t="shared" si="526"/>
        <v/>
      </c>
      <c r="CF259" s="14" t="str">
        <f t="shared" si="527"/>
        <v/>
      </c>
      <c r="CG259" s="15"/>
      <c r="CH259" s="1"/>
      <c r="CI259" s="16"/>
      <c r="CJ259" s="54"/>
      <c r="CK259" s="13" t="str">
        <f t="shared" si="545"/>
        <v/>
      </c>
      <c r="CL259" s="13"/>
      <c r="CM259" s="13"/>
      <c r="CN259" s="13"/>
      <c r="CO259" s="13" t="str">
        <f t="shared" si="546"/>
        <v/>
      </c>
      <c r="CP259" s="13"/>
      <c r="CQ259" s="13"/>
      <c r="CR259" s="13"/>
      <c r="CS259" s="13" t="str">
        <f t="shared" si="528"/>
        <v/>
      </c>
      <c r="CT259" s="14" t="str">
        <f t="shared" si="536"/>
        <v/>
      </c>
      <c r="CU259" s="15"/>
      <c r="CV259" s="1"/>
      <c r="CW259" s="16"/>
      <c r="CX259" s="54"/>
      <c r="CY259" s="13" t="str">
        <f t="shared" si="547"/>
        <v/>
      </c>
      <c r="CZ259" s="13"/>
      <c r="DA259" s="13"/>
      <c r="DB259" s="13"/>
      <c r="DC259" s="13" t="str">
        <f t="shared" si="548"/>
        <v/>
      </c>
      <c r="DD259" s="13"/>
      <c r="DE259" s="13"/>
      <c r="DF259" s="13"/>
      <c r="DG259" s="13" t="str">
        <f t="shared" si="529"/>
        <v/>
      </c>
      <c r="DH259" s="14" t="str">
        <f t="shared" si="530"/>
        <v/>
      </c>
      <c r="DI259" s="15"/>
      <c r="DJ259" s="1"/>
      <c r="DK259" s="16"/>
      <c r="DL259" s="54"/>
      <c r="DM259" s="13" t="str">
        <f t="shared" si="549"/>
        <v/>
      </c>
      <c r="DN259" s="13"/>
      <c r="DO259" s="13"/>
      <c r="DP259" s="13"/>
      <c r="DQ259" s="13" t="str">
        <f t="shared" si="550"/>
        <v/>
      </c>
      <c r="DR259" s="13"/>
      <c r="DS259" s="13"/>
      <c r="DT259" s="13"/>
      <c r="DU259" s="13" t="str">
        <f t="shared" si="531"/>
        <v/>
      </c>
      <c r="DV259" s="14" t="str">
        <f t="shared" si="532"/>
        <v/>
      </c>
      <c r="DW259" s="15"/>
      <c r="DY259" s="16"/>
      <c r="DZ259" s="54"/>
      <c r="EA259" s="13" t="str">
        <f t="shared" si="551"/>
        <v/>
      </c>
      <c r="EB259" s="13"/>
      <c r="EC259" s="13"/>
      <c r="ED259" s="13"/>
      <c r="EE259" s="13" t="str">
        <f t="shared" si="552"/>
        <v/>
      </c>
      <c r="EF259" s="13"/>
      <c r="EG259" s="13"/>
      <c r="EH259" s="13"/>
      <c r="EI259" s="13" t="str">
        <f t="shared" si="533"/>
        <v/>
      </c>
      <c r="EJ259" s="14" t="str">
        <f t="shared" si="534"/>
        <v/>
      </c>
      <c r="EK259" s="15"/>
    </row>
    <row r="260" spans="1:141" ht="15" customHeight="1" thickBot="1" x14ac:dyDescent="0.25">
      <c r="A260" s="26"/>
      <c r="B260" s="46"/>
      <c r="C260" s="27">
        <v>8188</v>
      </c>
      <c r="D260" s="27">
        <f t="shared" si="491"/>
        <v>56</v>
      </c>
      <c r="E260" s="27">
        <v>496</v>
      </c>
      <c r="F260" s="27">
        <f t="shared" si="492"/>
        <v>2</v>
      </c>
      <c r="G260" s="27">
        <v>10</v>
      </c>
      <c r="H260" s="27">
        <f t="shared" si="493"/>
        <v>4</v>
      </c>
      <c r="I260" s="47">
        <v>2</v>
      </c>
      <c r="J260" s="57" t="s">
        <v>493</v>
      </c>
      <c r="K260" s="62"/>
      <c r="L260" s="27">
        <f t="shared" si="496"/>
        <v>0</v>
      </c>
      <c r="M260" s="28">
        <f t="shared" si="497"/>
        <v>0</v>
      </c>
      <c r="N260" s="15" t="s">
        <v>176</v>
      </c>
      <c r="O260" s="2"/>
      <c r="P260" s="26"/>
      <c r="Q260" s="27">
        <v>12601</v>
      </c>
      <c r="R260" s="27">
        <f t="shared" si="537"/>
        <v>232</v>
      </c>
      <c r="S260" s="27">
        <v>461</v>
      </c>
      <c r="T260" s="27">
        <f t="shared" si="499"/>
        <v>26</v>
      </c>
      <c r="U260" s="27">
        <v>13</v>
      </c>
      <c r="V260" s="27">
        <f t="shared" si="500"/>
        <v>26</v>
      </c>
      <c r="W260" s="47">
        <v>25</v>
      </c>
      <c r="X260" s="57" t="str">
        <f t="shared" si="524"/>
        <v>ボンボンドロップ</v>
      </c>
      <c r="Y260" s="62">
        <f t="shared" si="525"/>
        <v>200</v>
      </c>
      <c r="Z260" s="27">
        <f t="shared" si="501"/>
        <v>5200</v>
      </c>
      <c r="AA260" s="28">
        <f t="shared" si="502"/>
        <v>0.22413793103448276</v>
      </c>
      <c r="AB260" s="15"/>
      <c r="AC260" s="15"/>
      <c r="AD260" s="26"/>
      <c r="AE260" s="27">
        <v>12992</v>
      </c>
      <c r="AF260" s="27">
        <f t="shared" si="503"/>
        <v>64</v>
      </c>
      <c r="AG260" s="27">
        <v>321</v>
      </c>
      <c r="AH260" s="27">
        <f t="shared" si="504"/>
        <v>1</v>
      </c>
      <c r="AI260" s="27">
        <v>14</v>
      </c>
      <c r="AJ260" s="27">
        <f t="shared" si="505"/>
        <v>1</v>
      </c>
      <c r="AK260" s="47">
        <v>0</v>
      </c>
      <c r="AL260" s="57" t="str">
        <f t="shared" si="506"/>
        <v>モンチッチマスコット2</v>
      </c>
      <c r="AM260" s="62">
        <f t="shared" si="507"/>
        <v>605</v>
      </c>
      <c r="AN260" s="27">
        <f t="shared" si="508"/>
        <v>605</v>
      </c>
      <c r="AO260" s="28">
        <f t="shared" si="509"/>
        <v>9.4531249999999997E-2</v>
      </c>
      <c r="AP260" s="15"/>
      <c r="AQ260" s="39"/>
      <c r="AR260" s="26"/>
      <c r="AS260" s="27">
        <v>16216</v>
      </c>
      <c r="AT260" s="27">
        <f t="shared" si="510"/>
        <v>62</v>
      </c>
      <c r="AU260" s="27">
        <v>470</v>
      </c>
      <c r="AV260" s="27">
        <f t="shared" si="511"/>
        <v>2</v>
      </c>
      <c r="AW260" s="27">
        <v>28</v>
      </c>
      <c r="AX260" s="27">
        <f t="shared" si="512"/>
        <v>2</v>
      </c>
      <c r="AY260" s="47">
        <v>-13</v>
      </c>
      <c r="AZ260" s="57" t="str">
        <f t="shared" si="541"/>
        <v>ラブブマスコット</v>
      </c>
      <c r="BA260" s="62">
        <f t="shared" si="542"/>
        <v>400</v>
      </c>
      <c r="BB260" s="27">
        <f t="shared" si="515"/>
        <v>800</v>
      </c>
      <c r="BC260" s="28">
        <f t="shared" si="516"/>
        <v>0.12903225806451613</v>
      </c>
      <c r="BD260" s="15" t="s">
        <v>497</v>
      </c>
      <c r="BE260" s="2"/>
      <c r="BF260" s="26"/>
      <c r="BG260" s="241"/>
      <c r="BH260" s="27">
        <v>855</v>
      </c>
      <c r="BI260" s="27">
        <f t="shared" si="517"/>
        <v>209</v>
      </c>
      <c r="BJ260" s="27">
        <v>6</v>
      </c>
      <c r="BK260" s="27">
        <f t="shared" si="518"/>
        <v>1</v>
      </c>
      <c r="BL260" s="27">
        <v>2</v>
      </c>
      <c r="BM260" s="27">
        <f t="shared" si="538"/>
        <v>1</v>
      </c>
      <c r="BN260" s="47">
        <v>1</v>
      </c>
      <c r="BO260" s="57" t="str">
        <f t="shared" si="554"/>
        <v>ボンボンドロップシール</v>
      </c>
      <c r="BP260" s="62">
        <f t="shared" si="553"/>
        <v>1500</v>
      </c>
      <c r="BQ260" s="27">
        <f t="shared" si="522"/>
        <v>1500</v>
      </c>
      <c r="BR260" s="28">
        <f t="shared" si="523"/>
        <v>7.1770334928229665E-2</v>
      </c>
      <c r="BS260" s="15"/>
      <c r="BT260" s="39"/>
      <c r="BU260" s="16"/>
      <c r="BV260" s="54"/>
      <c r="BW260" s="13" t="str">
        <f t="shared" si="543"/>
        <v/>
      </c>
      <c r="BX260" s="13"/>
      <c r="BY260" s="13"/>
      <c r="BZ260" s="13"/>
      <c r="CA260" s="13" t="str">
        <f t="shared" si="544"/>
        <v/>
      </c>
      <c r="CB260" s="13"/>
      <c r="CC260" s="13"/>
      <c r="CD260" s="13"/>
      <c r="CE260" s="13" t="str">
        <f t="shared" si="526"/>
        <v/>
      </c>
      <c r="CF260" s="14" t="str">
        <f t="shared" si="527"/>
        <v/>
      </c>
      <c r="CG260" s="15"/>
      <c r="CH260" s="1"/>
      <c r="CI260" s="16"/>
      <c r="CJ260" s="54"/>
      <c r="CK260" s="13" t="str">
        <f t="shared" si="545"/>
        <v/>
      </c>
      <c r="CL260" s="13"/>
      <c r="CM260" s="13"/>
      <c r="CN260" s="13"/>
      <c r="CO260" s="13" t="str">
        <f t="shared" si="546"/>
        <v/>
      </c>
      <c r="CP260" s="13"/>
      <c r="CQ260" s="13"/>
      <c r="CR260" s="13"/>
      <c r="CS260" s="13" t="str">
        <f t="shared" si="528"/>
        <v/>
      </c>
      <c r="CT260" s="14" t="str">
        <f t="shared" si="536"/>
        <v/>
      </c>
      <c r="CU260" s="15"/>
      <c r="CV260" s="1"/>
      <c r="CW260" s="16"/>
      <c r="CX260" s="54"/>
      <c r="CY260" s="13" t="str">
        <f t="shared" si="547"/>
        <v/>
      </c>
      <c r="CZ260" s="13"/>
      <c r="DA260" s="13"/>
      <c r="DB260" s="13"/>
      <c r="DC260" s="13" t="str">
        <f t="shared" si="548"/>
        <v/>
      </c>
      <c r="DD260" s="13"/>
      <c r="DE260" s="13"/>
      <c r="DF260" s="13"/>
      <c r="DG260" s="13" t="str">
        <f t="shared" si="529"/>
        <v/>
      </c>
      <c r="DH260" s="14" t="str">
        <f t="shared" si="530"/>
        <v/>
      </c>
      <c r="DI260" s="15"/>
      <c r="DJ260" s="1"/>
      <c r="DK260" s="16"/>
      <c r="DL260" s="54"/>
      <c r="DM260" s="13" t="str">
        <f t="shared" si="549"/>
        <v/>
      </c>
      <c r="DN260" s="13"/>
      <c r="DO260" s="13"/>
      <c r="DP260" s="13"/>
      <c r="DQ260" s="13" t="str">
        <f t="shared" si="550"/>
        <v/>
      </c>
      <c r="DR260" s="13"/>
      <c r="DS260" s="13"/>
      <c r="DT260" s="13"/>
      <c r="DU260" s="13" t="str">
        <f t="shared" si="531"/>
        <v/>
      </c>
      <c r="DV260" s="14" t="str">
        <f t="shared" si="532"/>
        <v/>
      </c>
      <c r="DW260" s="15"/>
      <c r="DY260" s="16"/>
      <c r="DZ260" s="54"/>
      <c r="EA260" s="13" t="str">
        <f t="shared" si="551"/>
        <v/>
      </c>
      <c r="EB260" s="13"/>
      <c r="EC260" s="13"/>
      <c r="ED260" s="13"/>
      <c r="EE260" s="13" t="str">
        <f t="shared" si="552"/>
        <v/>
      </c>
      <c r="EF260" s="13"/>
      <c r="EG260" s="13"/>
      <c r="EH260" s="13"/>
      <c r="EI260" s="13" t="str">
        <f t="shared" si="533"/>
        <v/>
      </c>
      <c r="EJ260" s="14" t="str">
        <f t="shared" si="534"/>
        <v/>
      </c>
      <c r="EK260" s="15"/>
    </row>
    <row r="261" spans="1:141" ht="15" customHeight="1" thickTop="1" x14ac:dyDescent="0.2">
      <c r="A261" s="158"/>
      <c r="B261" s="74"/>
      <c r="C261" s="53"/>
      <c r="D261" s="53"/>
      <c r="E261" s="53"/>
      <c r="F261" s="31"/>
      <c r="G261" s="53"/>
      <c r="H261" s="53"/>
      <c r="I261" s="80"/>
      <c r="J261" s="75"/>
      <c r="K261" s="76"/>
      <c r="L261" s="31"/>
      <c r="M261" s="32"/>
      <c r="N261" s="15"/>
      <c r="O261" s="2"/>
      <c r="P261" s="79"/>
      <c r="Q261" s="53"/>
      <c r="R261" s="53"/>
      <c r="S261" s="53"/>
      <c r="T261" s="31"/>
      <c r="U261" s="53"/>
      <c r="V261" s="53"/>
      <c r="W261" s="80"/>
      <c r="X261" s="75"/>
      <c r="Y261" s="76"/>
      <c r="Z261" s="31"/>
      <c r="AA261" s="32"/>
      <c r="AB261" s="15"/>
      <c r="AC261" s="15"/>
      <c r="AD261" s="79"/>
      <c r="AE261" s="53"/>
      <c r="AF261" s="53"/>
      <c r="AG261" s="53"/>
      <c r="AH261" s="31"/>
      <c r="AI261" s="53"/>
      <c r="AJ261" s="53"/>
      <c r="AK261" s="80"/>
      <c r="AL261" s="75"/>
      <c r="AM261" s="76"/>
      <c r="AN261" s="31"/>
      <c r="AO261" s="32"/>
      <c r="AP261" s="15"/>
      <c r="AQ261" s="113"/>
      <c r="AR261" s="79"/>
      <c r="AS261" s="53"/>
      <c r="AT261" s="53"/>
      <c r="AU261" s="53"/>
      <c r="AV261" s="31"/>
      <c r="AW261" s="53"/>
      <c r="AX261" s="53"/>
      <c r="AY261" s="80"/>
      <c r="AZ261" s="75"/>
      <c r="BA261" s="76"/>
      <c r="BB261" s="31"/>
      <c r="BC261" s="32"/>
      <c r="BD261" s="15"/>
      <c r="BE261" s="2"/>
      <c r="BF261" s="79"/>
      <c r="BG261" s="240"/>
      <c r="BH261" s="53"/>
      <c r="BI261" s="53"/>
      <c r="BJ261" s="53"/>
      <c r="BK261" s="31"/>
      <c r="BL261" s="53"/>
      <c r="BM261" s="53"/>
      <c r="BN261" s="80"/>
      <c r="BO261" s="75"/>
      <c r="BP261" s="76"/>
      <c r="BQ261" s="31"/>
      <c r="BR261" s="32"/>
      <c r="BS261" s="15"/>
      <c r="BT261" s="113"/>
      <c r="BU261" s="16"/>
      <c r="BV261" s="54"/>
      <c r="BW261" s="13"/>
      <c r="BX261" s="13"/>
      <c r="BY261" s="13"/>
      <c r="BZ261" s="13"/>
      <c r="CA261" s="13"/>
      <c r="CB261" s="13"/>
      <c r="CC261" s="13"/>
      <c r="CD261" s="13"/>
      <c r="CE261" s="13"/>
      <c r="CF261" s="14"/>
      <c r="CG261" s="15"/>
      <c r="CH261" s="1"/>
      <c r="CI261" s="16"/>
      <c r="CJ261" s="54"/>
      <c r="CK261" s="13"/>
      <c r="CL261" s="13"/>
      <c r="CM261" s="13"/>
      <c r="CN261" s="13"/>
      <c r="CO261" s="13"/>
      <c r="CP261" s="13"/>
      <c r="CQ261" s="13"/>
      <c r="CR261" s="13"/>
      <c r="CS261" s="13"/>
      <c r="CT261" s="14"/>
      <c r="CU261" s="15"/>
      <c r="CV261" s="1"/>
      <c r="CW261" s="16"/>
      <c r="CX261" s="54"/>
      <c r="CY261" s="13"/>
      <c r="CZ261" s="13"/>
      <c r="DA261" s="13"/>
      <c r="DB261" s="13"/>
      <c r="DC261" s="13"/>
      <c r="DD261" s="13"/>
      <c r="DE261" s="13"/>
      <c r="DF261" s="13"/>
      <c r="DG261" s="13"/>
      <c r="DH261" s="14"/>
      <c r="DI261" s="15"/>
      <c r="DJ261" s="1"/>
      <c r="DK261" s="16"/>
      <c r="DL261" s="54"/>
      <c r="DM261" s="13"/>
      <c r="DN261" s="13"/>
      <c r="DO261" s="13"/>
      <c r="DP261" s="13"/>
      <c r="DQ261" s="13"/>
      <c r="DR261" s="13"/>
      <c r="DS261" s="13"/>
      <c r="DT261" s="13"/>
      <c r="DU261" s="13"/>
      <c r="DV261" s="14"/>
      <c r="DW261" s="15"/>
      <c r="DY261" s="16"/>
      <c r="DZ261" s="54"/>
      <c r="EA261" s="13"/>
      <c r="EB261" s="13"/>
      <c r="EC261" s="13"/>
      <c r="ED261" s="13"/>
      <c r="EE261" s="13"/>
      <c r="EF261" s="13"/>
      <c r="EG261" s="13"/>
      <c r="EH261" s="13"/>
      <c r="EI261" s="13"/>
      <c r="EJ261" s="14"/>
      <c r="EK261" s="15"/>
    </row>
    <row r="262" spans="1:141" x14ac:dyDescent="0.2">
      <c r="A262" s="16"/>
      <c r="B262" s="11"/>
      <c r="C262" s="13"/>
      <c r="D262" s="53"/>
      <c r="E262" s="13"/>
      <c r="F262" s="13"/>
      <c r="G262" s="13"/>
      <c r="H262" s="13"/>
      <c r="I262" s="17"/>
      <c r="J262" s="56"/>
      <c r="K262" s="54"/>
      <c r="L262" s="13"/>
      <c r="M262" s="14"/>
      <c r="N262" s="186"/>
      <c r="O262" s="2"/>
      <c r="P262" s="16"/>
      <c r="Q262" s="13"/>
      <c r="R262" s="53"/>
      <c r="S262" s="13"/>
      <c r="T262" s="13"/>
      <c r="U262" s="13"/>
      <c r="V262" s="13"/>
      <c r="W262" s="17"/>
      <c r="X262" s="56"/>
      <c r="Y262" s="54"/>
      <c r="Z262" s="13"/>
      <c r="AA262" s="14"/>
      <c r="AB262" s="15"/>
      <c r="AC262" s="15"/>
      <c r="AD262" s="16"/>
      <c r="AE262" s="13"/>
      <c r="AF262" s="53"/>
      <c r="AG262" s="13"/>
      <c r="AH262" s="13"/>
      <c r="AI262" s="13"/>
      <c r="AJ262" s="13"/>
      <c r="AK262" s="17"/>
      <c r="AL262" s="56"/>
      <c r="AM262" s="54"/>
      <c r="AN262" s="13"/>
      <c r="AO262" s="14"/>
      <c r="AP262" s="15"/>
      <c r="AQ262" s="113"/>
      <c r="AR262" s="16"/>
      <c r="AS262" s="13"/>
      <c r="AT262" s="53"/>
      <c r="AU262" s="13"/>
      <c r="AV262" s="13"/>
      <c r="AW262" s="13"/>
      <c r="AX262" s="13"/>
      <c r="AY262" s="17"/>
      <c r="AZ262" s="56"/>
      <c r="BA262" s="54"/>
      <c r="BB262" s="13"/>
      <c r="BC262" s="14"/>
      <c r="BD262" s="15"/>
      <c r="BE262" s="2"/>
      <c r="BF262" s="16"/>
      <c r="BG262" s="7"/>
      <c r="BH262" s="13"/>
      <c r="BI262" s="53"/>
      <c r="BJ262" s="13"/>
      <c r="BK262" s="13"/>
      <c r="BL262" s="13"/>
      <c r="BM262" s="13"/>
      <c r="BN262" s="17"/>
      <c r="BO262" s="56"/>
      <c r="BP262" s="54"/>
      <c r="BQ262" s="13"/>
      <c r="BR262" s="14"/>
      <c r="BS262" s="15"/>
      <c r="BT262" s="113"/>
      <c r="BU262" s="16"/>
      <c r="BV262" s="54"/>
      <c r="BW262" s="13"/>
      <c r="BX262" s="13"/>
      <c r="BY262" s="13"/>
      <c r="BZ262" s="13"/>
      <c r="CA262" s="13"/>
      <c r="CB262" s="13"/>
      <c r="CC262" s="13"/>
      <c r="CD262" s="13"/>
      <c r="CE262" s="13"/>
      <c r="CF262" s="14"/>
      <c r="CG262" s="15"/>
      <c r="CH262" s="1"/>
      <c r="CI262" s="16"/>
      <c r="CJ262" s="54"/>
      <c r="CK262" s="13"/>
      <c r="CL262" s="13"/>
      <c r="CM262" s="13"/>
      <c r="CN262" s="13"/>
      <c r="CO262" s="13"/>
      <c r="CP262" s="13"/>
      <c r="CQ262" s="13"/>
      <c r="CR262" s="13"/>
      <c r="CS262" s="13"/>
      <c r="CT262" s="14"/>
      <c r="CU262" s="15"/>
      <c r="CV262" s="1"/>
      <c r="CW262" s="16"/>
      <c r="CX262" s="54"/>
      <c r="CY262" s="13"/>
      <c r="CZ262" s="13"/>
      <c r="DA262" s="13"/>
      <c r="DB262" s="13"/>
      <c r="DC262" s="13"/>
      <c r="DD262" s="13"/>
      <c r="DE262" s="13"/>
      <c r="DF262" s="13"/>
      <c r="DG262" s="13"/>
      <c r="DH262" s="14"/>
      <c r="DI262" s="15"/>
      <c r="DJ262" s="1"/>
      <c r="DK262" s="16"/>
      <c r="DL262" s="54"/>
      <c r="DM262" s="13"/>
      <c r="DN262" s="13"/>
      <c r="DO262" s="13"/>
      <c r="DP262" s="13"/>
      <c r="DQ262" s="13"/>
      <c r="DR262" s="13"/>
      <c r="DS262" s="13"/>
      <c r="DT262" s="13"/>
      <c r="DU262" s="13"/>
      <c r="DV262" s="14"/>
      <c r="DW262" s="15"/>
      <c r="DY262" s="16"/>
      <c r="DZ262" s="54"/>
      <c r="EA262" s="13"/>
      <c r="EB262" s="13"/>
      <c r="EC262" s="13"/>
      <c r="ED262" s="13"/>
      <c r="EE262" s="13"/>
      <c r="EF262" s="13"/>
      <c r="EG262" s="13"/>
      <c r="EH262" s="13"/>
      <c r="EI262" s="13"/>
      <c r="EJ262" s="14"/>
      <c r="EK262" s="15"/>
    </row>
    <row r="263" spans="1:141" ht="15" customHeight="1" x14ac:dyDescent="0.2">
      <c r="A263" s="149"/>
      <c r="B263" s="11"/>
      <c r="C263" s="13"/>
      <c r="D263" s="63"/>
      <c r="E263" s="13"/>
      <c r="F263" s="13"/>
      <c r="G263" s="34"/>
      <c r="H263" s="34"/>
      <c r="I263" s="49"/>
      <c r="J263" s="56"/>
      <c r="K263" s="13"/>
      <c r="L263" s="13"/>
      <c r="M263" s="14"/>
      <c r="N263" s="15"/>
      <c r="O263" s="2"/>
      <c r="P263" s="16"/>
      <c r="Q263" s="13"/>
      <c r="R263" s="63"/>
      <c r="S263" s="13"/>
      <c r="T263" s="13"/>
      <c r="U263" s="34"/>
      <c r="V263" s="34"/>
      <c r="W263" s="49"/>
      <c r="X263" s="56"/>
      <c r="Y263" s="13"/>
      <c r="Z263" s="13"/>
      <c r="AA263" s="14"/>
      <c r="AB263" s="15"/>
      <c r="AC263" s="15"/>
      <c r="AD263" s="16"/>
      <c r="AE263" s="13"/>
      <c r="AF263" s="63"/>
      <c r="AG263" s="13"/>
      <c r="AH263" s="13"/>
      <c r="AI263" s="34"/>
      <c r="AJ263" s="34"/>
      <c r="AK263" s="49"/>
      <c r="AL263" s="56"/>
      <c r="AM263" s="13"/>
      <c r="AN263" s="13"/>
      <c r="AO263" s="14"/>
      <c r="AP263" s="15"/>
      <c r="AQ263" s="113"/>
      <c r="AR263" s="16"/>
      <c r="AS263" s="13"/>
      <c r="AT263" s="63"/>
      <c r="AU263" s="13"/>
      <c r="AV263" s="13"/>
      <c r="AW263" s="34"/>
      <c r="AX263" s="34"/>
      <c r="AY263" s="49"/>
      <c r="AZ263" s="56"/>
      <c r="BA263" s="13"/>
      <c r="BB263" s="13"/>
      <c r="BC263" s="14"/>
      <c r="BD263" s="15"/>
      <c r="BE263" s="2"/>
      <c r="BF263" s="16"/>
      <c r="BG263" s="7"/>
      <c r="BH263" s="13"/>
      <c r="BI263" s="63"/>
      <c r="BJ263" s="13"/>
      <c r="BK263" s="13"/>
      <c r="BL263" s="34"/>
      <c r="BM263" s="34"/>
      <c r="BN263" s="49"/>
      <c r="BO263" s="56"/>
      <c r="BP263" s="13"/>
      <c r="BQ263" s="13"/>
      <c r="BR263" s="14"/>
      <c r="BS263" s="15"/>
      <c r="BT263" s="113"/>
      <c r="BU263" s="16"/>
      <c r="BV263" s="54"/>
      <c r="BW263" s="13"/>
      <c r="BX263" s="13"/>
      <c r="BY263" s="13"/>
      <c r="BZ263" s="13"/>
      <c r="CA263" s="13"/>
      <c r="CB263" s="13"/>
      <c r="CC263" s="13"/>
      <c r="CD263" s="13"/>
      <c r="CE263" s="13"/>
      <c r="CF263" s="14"/>
      <c r="CG263" s="15"/>
      <c r="CH263" s="1"/>
      <c r="CI263" s="16"/>
      <c r="CJ263" s="54"/>
      <c r="CK263" s="13"/>
      <c r="CL263" s="13"/>
      <c r="CM263" s="13"/>
      <c r="CN263" s="13"/>
      <c r="CO263" s="13"/>
      <c r="CP263" s="13"/>
      <c r="CQ263" s="13"/>
      <c r="CR263" s="13"/>
      <c r="CS263" s="13"/>
      <c r="CT263" s="14"/>
      <c r="CU263" s="15"/>
      <c r="CV263" s="1"/>
      <c r="CW263" s="16"/>
      <c r="CX263" s="54"/>
      <c r="CY263" s="13"/>
      <c r="CZ263" s="13"/>
      <c r="DA263" s="13"/>
      <c r="DB263" s="13"/>
      <c r="DC263" s="13"/>
      <c r="DD263" s="13"/>
      <c r="DE263" s="13"/>
      <c r="DF263" s="13"/>
      <c r="DG263" s="13"/>
      <c r="DH263" s="14"/>
      <c r="DI263" s="15"/>
      <c r="DJ263" s="1"/>
      <c r="DK263" s="16"/>
      <c r="DL263" s="54"/>
      <c r="DM263" s="13"/>
      <c r="DN263" s="13"/>
      <c r="DO263" s="13"/>
      <c r="DP263" s="13"/>
      <c r="DQ263" s="13"/>
      <c r="DR263" s="13"/>
      <c r="DS263" s="13"/>
      <c r="DT263" s="13"/>
      <c r="DU263" s="13"/>
      <c r="DV263" s="14"/>
      <c r="DW263" s="15"/>
      <c r="DY263" s="16"/>
      <c r="DZ263" s="54"/>
      <c r="EA263" s="13"/>
      <c r="EB263" s="13"/>
      <c r="EC263" s="13"/>
      <c r="ED263" s="13"/>
      <c r="EE263" s="13"/>
      <c r="EF263" s="13"/>
      <c r="EG263" s="13"/>
      <c r="EH263" s="13"/>
      <c r="EI263" s="13"/>
      <c r="EJ263" s="14"/>
      <c r="EK263" s="15"/>
    </row>
    <row r="264" spans="1:141" ht="15" customHeight="1" thickBot="1" x14ac:dyDescent="0.25">
      <c r="A264" s="26"/>
      <c r="B264" s="46"/>
      <c r="C264" s="29"/>
      <c r="D264" s="61"/>
      <c r="E264" s="62"/>
      <c r="F264" s="29"/>
      <c r="G264" s="64"/>
      <c r="H264" s="64"/>
      <c r="I264" s="47"/>
      <c r="J264" s="57"/>
      <c r="K264" s="62"/>
      <c r="L264" s="27"/>
      <c r="M264" s="28"/>
      <c r="N264" s="15"/>
      <c r="O264" s="2"/>
      <c r="P264" s="26"/>
      <c r="Q264" s="29"/>
      <c r="R264" s="61"/>
      <c r="S264" s="62"/>
      <c r="T264" s="29"/>
      <c r="U264" s="64"/>
      <c r="V264" s="64"/>
      <c r="W264" s="47"/>
      <c r="X264" s="57"/>
      <c r="Y264" s="62"/>
      <c r="Z264" s="27"/>
      <c r="AA264" s="28"/>
      <c r="AB264" s="15"/>
      <c r="AC264" s="15"/>
      <c r="AD264" s="26"/>
      <c r="AE264" s="29"/>
      <c r="AF264" s="61"/>
      <c r="AG264" s="62"/>
      <c r="AH264" s="29"/>
      <c r="AI264" s="64"/>
      <c r="AJ264" s="64"/>
      <c r="AK264" s="47"/>
      <c r="AL264" s="57"/>
      <c r="AM264" s="62"/>
      <c r="AN264" s="27"/>
      <c r="AO264" s="28"/>
      <c r="AP264" s="15"/>
      <c r="AQ264" s="113"/>
      <c r="AR264" s="26"/>
      <c r="AS264" s="29"/>
      <c r="AT264" s="61"/>
      <c r="AU264" s="62"/>
      <c r="AV264" s="29"/>
      <c r="AW264" s="64"/>
      <c r="AX264" s="64"/>
      <c r="AY264" s="47"/>
      <c r="AZ264" s="57"/>
      <c r="BA264" s="62"/>
      <c r="BB264" s="27"/>
      <c r="BC264" s="28"/>
      <c r="BD264" s="15"/>
      <c r="BE264" s="2"/>
      <c r="BF264" s="26"/>
      <c r="BG264" s="243"/>
      <c r="BH264" s="29"/>
      <c r="BI264" s="61"/>
      <c r="BJ264" s="62"/>
      <c r="BK264" s="29"/>
      <c r="BL264" s="64"/>
      <c r="BM264" s="64"/>
      <c r="BN264" s="47"/>
      <c r="BO264" s="57"/>
      <c r="BP264" s="62"/>
      <c r="BQ264" s="27"/>
      <c r="BR264" s="28"/>
      <c r="BS264" s="15"/>
      <c r="BT264" s="113"/>
      <c r="BU264" s="16"/>
      <c r="BV264" s="54"/>
      <c r="BW264" s="13"/>
      <c r="BX264" s="13"/>
      <c r="BY264" s="13"/>
      <c r="BZ264" s="13"/>
      <c r="CA264" s="13"/>
      <c r="CB264" s="13"/>
      <c r="CC264" s="13"/>
      <c r="CD264" s="13"/>
      <c r="CE264" s="13"/>
      <c r="CF264" s="14"/>
      <c r="CG264" s="15"/>
      <c r="CH264" s="1"/>
      <c r="CI264" s="16"/>
      <c r="CJ264" s="54"/>
      <c r="CK264" s="13"/>
      <c r="CL264" s="13"/>
      <c r="CM264" s="13"/>
      <c r="CN264" s="13"/>
      <c r="CO264" s="13"/>
      <c r="CP264" s="13"/>
      <c r="CQ264" s="13"/>
      <c r="CR264" s="13"/>
      <c r="CS264" s="13"/>
      <c r="CT264" s="14"/>
      <c r="CU264" s="15"/>
      <c r="CV264" s="1"/>
      <c r="CW264" s="16"/>
      <c r="CX264" s="54"/>
      <c r="CY264" s="13"/>
      <c r="CZ264" s="13"/>
      <c r="DA264" s="13"/>
      <c r="DB264" s="13"/>
      <c r="DC264" s="13"/>
      <c r="DD264" s="13"/>
      <c r="DE264" s="13"/>
      <c r="DF264" s="13"/>
      <c r="DG264" s="13"/>
      <c r="DH264" s="14"/>
      <c r="DI264" s="15"/>
      <c r="DJ264" s="1"/>
      <c r="DK264" s="16"/>
      <c r="DL264" s="54"/>
      <c r="DM264" s="13"/>
      <c r="DN264" s="13"/>
      <c r="DO264" s="13"/>
      <c r="DP264" s="13"/>
      <c r="DQ264" s="13"/>
      <c r="DR264" s="13"/>
      <c r="DS264" s="13"/>
      <c r="DT264" s="13"/>
      <c r="DU264" s="13"/>
      <c r="DV264" s="14"/>
      <c r="DW264" s="15"/>
      <c r="DY264" s="16"/>
      <c r="DZ264" s="54"/>
      <c r="EA264" s="13"/>
      <c r="EB264" s="13"/>
      <c r="EC264" s="13"/>
      <c r="ED264" s="13"/>
      <c r="EE264" s="13"/>
      <c r="EF264" s="13"/>
      <c r="EG264" s="13"/>
      <c r="EH264" s="13"/>
      <c r="EI264" s="13"/>
      <c r="EJ264" s="14"/>
      <c r="EK264" s="15"/>
    </row>
    <row r="265" spans="1:141" ht="15" customHeight="1" thickTop="1" x14ac:dyDescent="0.2">
      <c r="A265" s="79"/>
      <c r="B265" s="74" t="str">
        <f>IF(A265="","",SUM(D265:D268)+SUM(R265:R268)+SUM(AF265:AF268)+SUM(AT265:AT268)+SUM(BW235,CK235,CY235,DM235))</f>
        <v/>
      </c>
      <c r="C265" s="53"/>
      <c r="D265" s="53" t="str">
        <f t="shared" ref="D265:D280" si="555">IF(C265="","",C265-C261)</f>
        <v/>
      </c>
      <c r="E265" s="53"/>
      <c r="F265" s="31" t="str">
        <f t="shared" ref="F265:F280" si="556">IF(E265="","",E265-E261)</f>
        <v/>
      </c>
      <c r="G265" s="53"/>
      <c r="H265" s="53" t="str">
        <f t="shared" ref="H265:H280" si="557">IF(G265="","",G261+I261-G265)</f>
        <v/>
      </c>
      <c r="I265" s="80"/>
      <c r="J265" s="75" t="str">
        <f t="shared" ref="J265:J280" si="558">IF(C265="","",J261)</f>
        <v/>
      </c>
      <c r="K265" s="76" t="str">
        <f t="shared" ref="K265:K280" si="559">IF(D265="","",K261)</f>
        <v/>
      </c>
      <c r="L265" s="31" t="str">
        <f t="shared" ref="L265:L280" si="560">IF(G265="","",H265*K265)</f>
        <v/>
      </c>
      <c r="M265" s="32" t="str">
        <f t="shared" ref="M265:M280" si="561">IF(H265="","",L265/(D265*100))</f>
        <v/>
      </c>
      <c r="N265" s="15"/>
      <c r="O265" s="2"/>
      <c r="P265" s="79" t="str">
        <f>IF(A265="","",A265)</f>
        <v/>
      </c>
      <c r="Q265" s="53"/>
      <c r="R265" s="53" t="str">
        <f t="shared" si="537"/>
        <v/>
      </c>
      <c r="S265" s="53"/>
      <c r="T265" s="31" t="str">
        <f t="shared" ref="T265:T280" si="562">IF(S265="","",S265-S261)</f>
        <v/>
      </c>
      <c r="U265" s="53"/>
      <c r="V265" s="53" t="str">
        <f t="shared" ref="V265:V280" si="563">IF(U265="","",U261+W261-U265)</f>
        <v/>
      </c>
      <c r="W265" s="80"/>
      <c r="X265" s="75" t="str">
        <f t="shared" ref="X265:X280" si="564">IF(Q265="","",X261)</f>
        <v/>
      </c>
      <c r="Y265" s="76" t="str">
        <f t="shared" ref="Y265:Y280" si="565">IF(R265="","",Y261)</f>
        <v/>
      </c>
      <c r="Z265" s="31" t="str">
        <f t="shared" ref="Z265:Z280" si="566">IF(U265="","",V265*Y265)</f>
        <v/>
      </c>
      <c r="AA265" s="32" t="str">
        <f t="shared" ref="AA265:AA280" si="567">IF(V265="","",Z265/(R265*100))</f>
        <v/>
      </c>
      <c r="AB265" s="15"/>
      <c r="AC265" s="15"/>
      <c r="AD265" s="79" t="str">
        <f>IF($A265="","",$A265)</f>
        <v/>
      </c>
      <c r="AE265" s="53"/>
      <c r="AF265" s="53" t="str">
        <f t="shared" ref="AF265:AF280" si="568">IF(AE265="","",AE265-AE261)</f>
        <v/>
      </c>
      <c r="AG265" s="53"/>
      <c r="AH265" s="31" t="str">
        <f t="shared" ref="AH265:AH280" si="569">IF(AG265="","",AG265-AG261)</f>
        <v/>
      </c>
      <c r="AI265" s="53"/>
      <c r="AJ265" s="53" t="str">
        <f t="shared" ref="AJ265:AJ280" si="570">IF(AI265="","",AI261+AK261-AI265)</f>
        <v/>
      </c>
      <c r="AK265" s="80"/>
      <c r="AL265" s="75" t="str">
        <f t="shared" ref="AL265:AL280" si="571">IF(AE265="","",AL261)</f>
        <v/>
      </c>
      <c r="AM265" s="76" t="str">
        <f t="shared" ref="AM265:AM280" si="572">IF(AF265="","",AM261)</f>
        <v/>
      </c>
      <c r="AN265" s="31" t="str">
        <f t="shared" ref="AN265:AN280" si="573">IF(AI265="","",AJ265*AM265)</f>
        <v/>
      </c>
      <c r="AO265" s="32" t="str">
        <f t="shared" ref="AO265:AO280" si="574">IF(AJ265="","",AN265/(AF265*100))</f>
        <v/>
      </c>
      <c r="AP265" s="15"/>
      <c r="AQ265" s="113"/>
      <c r="AR265" s="79" t="str">
        <f>IF($A265="","",$A265)</f>
        <v/>
      </c>
      <c r="AS265" s="53"/>
      <c r="AT265" s="53" t="str">
        <f t="shared" ref="AT265:AT280" si="575">IF(AS265="","",AS265-AS261)</f>
        <v/>
      </c>
      <c r="AU265" s="53"/>
      <c r="AV265" s="31" t="str">
        <f t="shared" ref="AV265:AV280" si="576">IF(AU265="","",AU265-AU261)</f>
        <v/>
      </c>
      <c r="AW265" s="53"/>
      <c r="AX265" s="53" t="str">
        <f t="shared" ref="AX265:AX280" si="577">IF(AW265="","",AW261+AY261-AW265)</f>
        <v/>
      </c>
      <c r="AY265" s="80"/>
      <c r="AZ265" s="75" t="str">
        <f t="shared" si="541"/>
        <v/>
      </c>
      <c r="BA265" s="76" t="str">
        <f t="shared" si="542"/>
        <v/>
      </c>
      <c r="BB265" s="31" t="str">
        <f t="shared" ref="BB265:BB280" si="578">IF(AW265="","",AX265*BA265)</f>
        <v/>
      </c>
      <c r="BC265" s="32" t="str">
        <f t="shared" ref="BC265:BC280" si="579">IF(AX265="","",BB265/(AT265*100))</f>
        <v/>
      </c>
      <c r="BD265" s="15"/>
      <c r="BE265" s="2"/>
      <c r="BF265" s="79" t="str">
        <f>IF(DW265="","",DW265)</f>
        <v/>
      </c>
      <c r="BG265" s="240"/>
      <c r="BH265" s="53"/>
      <c r="BI265" s="53" t="str">
        <f t="shared" ref="BI265:BI280" si="580">IF(BH265="","",BH265-BH261)</f>
        <v/>
      </c>
      <c r="BJ265" s="53"/>
      <c r="BK265" s="31" t="str">
        <f t="shared" ref="BK265:BK280" si="581">IF(BJ265="","",BJ265-BJ261)</f>
        <v/>
      </c>
      <c r="BL265" s="53"/>
      <c r="BM265" s="53" t="str">
        <f t="shared" si="538"/>
        <v/>
      </c>
      <c r="BN265" s="80"/>
      <c r="BO265" s="75" t="str">
        <f t="shared" si="554"/>
        <v/>
      </c>
      <c r="BP265" s="76" t="str">
        <f t="shared" si="553"/>
        <v/>
      </c>
      <c r="BQ265" s="31" t="str">
        <f t="shared" ref="BQ265:BQ280" si="582">IF(BL265="","",BM265*BP265)</f>
        <v/>
      </c>
      <c r="BR265" s="32" t="str">
        <f t="shared" ref="BR265:BR280" si="583">IF(BM265="","",BQ265/(BI265*100))</f>
        <v/>
      </c>
      <c r="BS265" s="15"/>
      <c r="BT265" s="113"/>
      <c r="BU265" s="16"/>
      <c r="BV265" s="54"/>
      <c r="BW265" s="13" t="str">
        <f t="shared" si="543"/>
        <v/>
      </c>
      <c r="BX265" s="13"/>
      <c r="BY265" s="13"/>
      <c r="BZ265" s="13"/>
      <c r="CA265" s="13" t="str">
        <f t="shared" si="544"/>
        <v/>
      </c>
      <c r="CB265" s="13"/>
      <c r="CC265" s="13"/>
      <c r="CD265" s="13"/>
      <c r="CE265" s="13" t="str">
        <f t="shared" si="526"/>
        <v/>
      </c>
      <c r="CF265" s="14" t="str">
        <f t="shared" si="527"/>
        <v/>
      </c>
      <c r="CG265" s="15"/>
      <c r="CH265" s="1"/>
      <c r="CI265" s="16"/>
      <c r="CJ265" s="54"/>
      <c r="CK265" s="13" t="str">
        <f t="shared" si="545"/>
        <v/>
      </c>
      <c r="CL265" s="13"/>
      <c r="CM265" s="13"/>
      <c r="CN265" s="13"/>
      <c r="CO265" s="13" t="str">
        <f t="shared" si="546"/>
        <v/>
      </c>
      <c r="CP265" s="13"/>
      <c r="CQ265" s="13"/>
      <c r="CR265" s="13"/>
      <c r="CS265" s="13" t="str">
        <f t="shared" si="528"/>
        <v/>
      </c>
      <c r="CT265" s="14" t="str">
        <f t="shared" si="536"/>
        <v/>
      </c>
      <c r="CU265" s="15"/>
      <c r="CV265" s="1"/>
      <c r="CW265" s="16"/>
      <c r="CX265" s="54"/>
      <c r="CY265" s="13" t="str">
        <f t="shared" si="547"/>
        <v/>
      </c>
      <c r="CZ265" s="13"/>
      <c r="DA265" s="13"/>
      <c r="DB265" s="13"/>
      <c r="DC265" s="13" t="str">
        <f t="shared" si="548"/>
        <v/>
      </c>
      <c r="DD265" s="13"/>
      <c r="DE265" s="13"/>
      <c r="DF265" s="13"/>
      <c r="DG265" s="13" t="str">
        <f t="shared" si="529"/>
        <v/>
      </c>
      <c r="DH265" s="14" t="str">
        <f t="shared" si="530"/>
        <v/>
      </c>
      <c r="DI265" s="15"/>
      <c r="DJ265" s="1"/>
      <c r="DK265" s="16"/>
      <c r="DL265" s="54"/>
      <c r="DM265" s="13" t="str">
        <f t="shared" si="549"/>
        <v/>
      </c>
      <c r="DN265" s="13"/>
      <c r="DO265" s="13"/>
      <c r="DP265" s="13"/>
      <c r="DQ265" s="13" t="str">
        <f t="shared" si="550"/>
        <v/>
      </c>
      <c r="DR265" s="13"/>
      <c r="DS265" s="13"/>
      <c r="DT265" s="13"/>
      <c r="DU265" s="13" t="str">
        <f t="shared" si="531"/>
        <v/>
      </c>
      <c r="DV265" s="14" t="str">
        <f t="shared" si="532"/>
        <v/>
      </c>
      <c r="DW265" s="15"/>
      <c r="DY265" s="16"/>
      <c r="DZ265" s="54"/>
      <c r="EA265" s="13" t="str">
        <f t="shared" si="551"/>
        <v/>
      </c>
      <c r="EB265" s="13"/>
      <c r="EC265" s="13"/>
      <c r="ED265" s="13"/>
      <c r="EE265" s="13" t="str">
        <f t="shared" si="552"/>
        <v/>
      </c>
      <c r="EF265" s="13"/>
      <c r="EG265" s="13"/>
      <c r="EH265" s="13"/>
      <c r="EI265" s="13" t="str">
        <f t="shared" si="533"/>
        <v/>
      </c>
      <c r="EJ265" s="14" t="str">
        <f t="shared" si="534"/>
        <v/>
      </c>
      <c r="EK265" s="15"/>
    </row>
    <row r="266" spans="1:141" ht="15" customHeight="1" x14ac:dyDescent="0.2">
      <c r="A266" s="16"/>
      <c r="B266" s="11"/>
      <c r="C266" s="13"/>
      <c r="D266" s="53" t="str">
        <f t="shared" si="555"/>
        <v/>
      </c>
      <c r="E266" s="13"/>
      <c r="F266" s="13" t="str">
        <f t="shared" si="556"/>
        <v/>
      </c>
      <c r="G266" s="13"/>
      <c r="H266" s="13" t="str">
        <f t="shared" si="557"/>
        <v/>
      </c>
      <c r="I266" s="17"/>
      <c r="J266" s="56" t="str">
        <f t="shared" si="558"/>
        <v/>
      </c>
      <c r="K266" s="54" t="str">
        <f t="shared" si="559"/>
        <v/>
      </c>
      <c r="L266" s="13" t="str">
        <f t="shared" si="560"/>
        <v/>
      </c>
      <c r="M266" s="14" t="str">
        <f t="shared" si="561"/>
        <v/>
      </c>
      <c r="N266" s="15"/>
      <c r="O266" s="2"/>
      <c r="P266" s="16"/>
      <c r="Q266" s="13"/>
      <c r="R266" s="53" t="str">
        <f t="shared" si="537"/>
        <v/>
      </c>
      <c r="S266" s="13"/>
      <c r="T266" s="13" t="str">
        <f t="shared" si="562"/>
        <v/>
      </c>
      <c r="U266" s="13"/>
      <c r="V266" s="13" t="str">
        <f t="shared" si="563"/>
        <v/>
      </c>
      <c r="W266" s="17"/>
      <c r="X266" s="56" t="str">
        <f t="shared" si="564"/>
        <v/>
      </c>
      <c r="Y266" s="54" t="str">
        <f t="shared" si="565"/>
        <v/>
      </c>
      <c r="Z266" s="13" t="str">
        <f t="shared" si="566"/>
        <v/>
      </c>
      <c r="AA266" s="14" t="str">
        <f t="shared" si="567"/>
        <v/>
      </c>
      <c r="AB266" s="15"/>
      <c r="AC266" s="15"/>
      <c r="AD266" s="16"/>
      <c r="AE266" s="13"/>
      <c r="AF266" s="53" t="str">
        <f t="shared" si="568"/>
        <v/>
      </c>
      <c r="AG266" s="13"/>
      <c r="AH266" s="13" t="str">
        <f t="shared" si="569"/>
        <v/>
      </c>
      <c r="AI266" s="13"/>
      <c r="AJ266" s="13" t="str">
        <f t="shared" si="570"/>
        <v/>
      </c>
      <c r="AK266" s="17"/>
      <c r="AL266" s="56" t="str">
        <f t="shared" si="571"/>
        <v/>
      </c>
      <c r="AM266" s="54" t="str">
        <f t="shared" si="572"/>
        <v/>
      </c>
      <c r="AN266" s="13" t="str">
        <f t="shared" si="573"/>
        <v/>
      </c>
      <c r="AO266" s="14" t="str">
        <f t="shared" si="574"/>
        <v/>
      </c>
      <c r="AP266" s="15"/>
      <c r="AQ266" s="113"/>
      <c r="AR266" s="16"/>
      <c r="AS266" s="13"/>
      <c r="AT266" s="53" t="str">
        <f t="shared" si="575"/>
        <v/>
      </c>
      <c r="AU266" s="13"/>
      <c r="AV266" s="13" t="str">
        <f t="shared" si="576"/>
        <v/>
      </c>
      <c r="AW266" s="13"/>
      <c r="AX266" s="13" t="str">
        <f t="shared" si="577"/>
        <v/>
      </c>
      <c r="AY266" s="17"/>
      <c r="AZ266" s="56" t="str">
        <f t="shared" si="541"/>
        <v/>
      </c>
      <c r="BA266" s="54" t="str">
        <f t="shared" si="542"/>
        <v/>
      </c>
      <c r="BB266" s="13" t="str">
        <f t="shared" si="578"/>
        <v/>
      </c>
      <c r="BC266" s="14" t="str">
        <f t="shared" si="579"/>
        <v/>
      </c>
      <c r="BD266" s="15"/>
      <c r="BE266" s="2"/>
      <c r="BF266" s="16"/>
      <c r="BG266" s="7"/>
      <c r="BH266" s="13"/>
      <c r="BI266" s="53" t="str">
        <f t="shared" si="580"/>
        <v/>
      </c>
      <c r="BJ266" s="13"/>
      <c r="BK266" s="13" t="str">
        <f t="shared" si="581"/>
        <v/>
      </c>
      <c r="BL266" s="13"/>
      <c r="BM266" s="13" t="str">
        <f t="shared" si="538"/>
        <v/>
      </c>
      <c r="BN266" s="17"/>
      <c r="BO266" s="56" t="str">
        <f t="shared" si="554"/>
        <v/>
      </c>
      <c r="BP266" s="54" t="str">
        <f t="shared" si="553"/>
        <v/>
      </c>
      <c r="BQ266" s="13" t="str">
        <f t="shared" si="582"/>
        <v/>
      </c>
      <c r="BR266" s="14" t="str">
        <f t="shared" si="583"/>
        <v/>
      </c>
      <c r="BS266" s="15"/>
      <c r="BT266" s="113"/>
      <c r="BU266" s="16"/>
      <c r="BV266" s="54"/>
      <c r="BW266" s="13" t="str">
        <f t="shared" si="543"/>
        <v/>
      </c>
      <c r="BX266" s="13"/>
      <c r="BY266" s="13"/>
      <c r="BZ266" s="13"/>
      <c r="CA266" s="13" t="str">
        <f t="shared" si="544"/>
        <v/>
      </c>
      <c r="CB266" s="13"/>
      <c r="CC266" s="13"/>
      <c r="CD266" s="13"/>
      <c r="CE266" s="13" t="str">
        <f t="shared" si="526"/>
        <v/>
      </c>
      <c r="CF266" s="14" t="str">
        <f t="shared" si="527"/>
        <v/>
      </c>
      <c r="CG266" s="15"/>
      <c r="CH266" s="1"/>
      <c r="CI266" s="16"/>
      <c r="CJ266" s="54"/>
      <c r="CK266" s="13" t="str">
        <f t="shared" si="545"/>
        <v/>
      </c>
      <c r="CL266" s="13"/>
      <c r="CM266" s="13"/>
      <c r="CN266" s="13"/>
      <c r="CO266" s="13" t="str">
        <f t="shared" si="546"/>
        <v/>
      </c>
      <c r="CP266" s="13"/>
      <c r="CQ266" s="13"/>
      <c r="CR266" s="13"/>
      <c r="CS266" s="13" t="str">
        <f t="shared" si="528"/>
        <v/>
      </c>
      <c r="CT266" s="14" t="str">
        <f t="shared" si="536"/>
        <v/>
      </c>
      <c r="CU266" s="15"/>
      <c r="CV266" s="1"/>
      <c r="CW266" s="16"/>
      <c r="CX266" s="54"/>
      <c r="CY266" s="13" t="str">
        <f t="shared" si="547"/>
        <v/>
      </c>
      <c r="CZ266" s="13"/>
      <c r="DA266" s="13"/>
      <c r="DB266" s="13"/>
      <c r="DC266" s="13" t="str">
        <f t="shared" si="548"/>
        <v/>
      </c>
      <c r="DD266" s="13"/>
      <c r="DE266" s="13"/>
      <c r="DF266" s="13"/>
      <c r="DG266" s="13" t="str">
        <f t="shared" si="529"/>
        <v/>
      </c>
      <c r="DH266" s="14" t="str">
        <f t="shared" si="530"/>
        <v/>
      </c>
      <c r="DI266" s="15"/>
      <c r="DJ266" s="1"/>
      <c r="DK266" s="16"/>
      <c r="DL266" s="54"/>
      <c r="DM266" s="13" t="str">
        <f t="shared" si="549"/>
        <v/>
      </c>
      <c r="DN266" s="13"/>
      <c r="DO266" s="13"/>
      <c r="DP266" s="13"/>
      <c r="DQ266" s="13" t="str">
        <f t="shared" si="550"/>
        <v/>
      </c>
      <c r="DR266" s="13"/>
      <c r="DS266" s="13"/>
      <c r="DT266" s="13"/>
      <c r="DU266" s="13" t="str">
        <f t="shared" si="531"/>
        <v/>
      </c>
      <c r="DV266" s="14" t="str">
        <f t="shared" si="532"/>
        <v/>
      </c>
      <c r="DW266" s="15"/>
      <c r="DY266" s="16"/>
      <c r="DZ266" s="54"/>
      <c r="EA266" s="13" t="str">
        <f t="shared" si="551"/>
        <v/>
      </c>
      <c r="EB266" s="13"/>
      <c r="EC266" s="13"/>
      <c r="ED266" s="13"/>
      <c r="EE266" s="13" t="str">
        <f t="shared" si="552"/>
        <v/>
      </c>
      <c r="EF266" s="13"/>
      <c r="EG266" s="13"/>
      <c r="EH266" s="13"/>
      <c r="EI266" s="13" t="str">
        <f t="shared" si="533"/>
        <v/>
      </c>
      <c r="EJ266" s="14" t="str">
        <f t="shared" si="534"/>
        <v/>
      </c>
      <c r="EK266" s="15"/>
    </row>
    <row r="267" spans="1:141" ht="15" customHeight="1" x14ac:dyDescent="0.2">
      <c r="A267" s="16"/>
      <c r="B267" s="11"/>
      <c r="C267" s="13"/>
      <c r="D267" s="63" t="str">
        <f t="shared" si="555"/>
        <v/>
      </c>
      <c r="E267" s="13"/>
      <c r="F267" s="13" t="str">
        <f t="shared" si="556"/>
        <v/>
      </c>
      <c r="G267" s="13"/>
      <c r="H267" s="13" t="str">
        <f t="shared" si="557"/>
        <v/>
      </c>
      <c r="I267" s="17"/>
      <c r="J267" s="56" t="str">
        <f t="shared" si="558"/>
        <v/>
      </c>
      <c r="K267" s="13" t="str">
        <f t="shared" si="559"/>
        <v/>
      </c>
      <c r="L267" s="13" t="str">
        <f t="shared" si="560"/>
        <v/>
      </c>
      <c r="M267" s="14" t="str">
        <f t="shared" si="561"/>
        <v/>
      </c>
      <c r="N267" s="15"/>
      <c r="O267" s="2"/>
      <c r="P267" s="16"/>
      <c r="Q267" s="13"/>
      <c r="R267" s="63" t="str">
        <f t="shared" si="537"/>
        <v/>
      </c>
      <c r="S267" s="13"/>
      <c r="T267" s="13" t="str">
        <f t="shared" si="562"/>
        <v/>
      </c>
      <c r="U267" s="13"/>
      <c r="V267" s="13" t="str">
        <f t="shared" si="563"/>
        <v/>
      </c>
      <c r="W267" s="17"/>
      <c r="X267" s="56" t="str">
        <f t="shared" si="564"/>
        <v/>
      </c>
      <c r="Y267" s="13" t="str">
        <f t="shared" si="565"/>
        <v/>
      </c>
      <c r="Z267" s="13" t="str">
        <f t="shared" si="566"/>
        <v/>
      </c>
      <c r="AA267" s="14" t="str">
        <f t="shared" si="567"/>
        <v/>
      </c>
      <c r="AB267" s="15"/>
      <c r="AC267" s="15"/>
      <c r="AD267" s="16"/>
      <c r="AE267" s="13"/>
      <c r="AF267" s="63" t="str">
        <f t="shared" si="568"/>
        <v/>
      </c>
      <c r="AG267" s="13"/>
      <c r="AH267" s="13" t="str">
        <f t="shared" si="569"/>
        <v/>
      </c>
      <c r="AI267" s="13"/>
      <c r="AJ267" s="13" t="str">
        <f t="shared" si="570"/>
        <v/>
      </c>
      <c r="AK267" s="17"/>
      <c r="AL267" s="56" t="str">
        <f t="shared" si="571"/>
        <v/>
      </c>
      <c r="AM267" s="13" t="str">
        <f t="shared" si="572"/>
        <v/>
      </c>
      <c r="AN267" s="13" t="str">
        <f t="shared" si="573"/>
        <v/>
      </c>
      <c r="AO267" s="14" t="str">
        <f t="shared" si="574"/>
        <v/>
      </c>
      <c r="AP267" s="15"/>
      <c r="AQ267" s="113"/>
      <c r="AR267" s="16"/>
      <c r="AS267" s="13"/>
      <c r="AT267" s="63" t="str">
        <f t="shared" si="575"/>
        <v/>
      </c>
      <c r="AU267" s="13"/>
      <c r="AV267" s="13" t="str">
        <f t="shared" si="576"/>
        <v/>
      </c>
      <c r="AW267" s="13"/>
      <c r="AX267" s="13" t="str">
        <f t="shared" si="577"/>
        <v/>
      </c>
      <c r="AY267" s="17"/>
      <c r="AZ267" s="56" t="str">
        <f t="shared" si="541"/>
        <v/>
      </c>
      <c r="BA267" s="13" t="str">
        <f t="shared" si="542"/>
        <v/>
      </c>
      <c r="BB267" s="13" t="str">
        <f t="shared" si="578"/>
        <v/>
      </c>
      <c r="BC267" s="14" t="str">
        <f t="shared" si="579"/>
        <v/>
      </c>
      <c r="BD267" s="15"/>
      <c r="BE267" s="2"/>
      <c r="BF267" s="16"/>
      <c r="BG267" s="7"/>
      <c r="BH267" s="13"/>
      <c r="BI267" s="63" t="str">
        <f t="shared" si="580"/>
        <v/>
      </c>
      <c r="BJ267" s="13"/>
      <c r="BK267" s="13" t="str">
        <f t="shared" si="581"/>
        <v/>
      </c>
      <c r="BL267" s="13"/>
      <c r="BM267" s="13" t="str">
        <f t="shared" si="538"/>
        <v/>
      </c>
      <c r="BN267" s="17"/>
      <c r="BO267" s="56" t="str">
        <f t="shared" si="554"/>
        <v/>
      </c>
      <c r="BP267" s="13" t="str">
        <f t="shared" si="553"/>
        <v/>
      </c>
      <c r="BQ267" s="13" t="str">
        <f t="shared" si="582"/>
        <v/>
      </c>
      <c r="BR267" s="14" t="str">
        <f t="shared" si="583"/>
        <v/>
      </c>
      <c r="BS267" s="15"/>
      <c r="BT267" s="113"/>
      <c r="BU267" s="16"/>
      <c r="BV267" s="54"/>
      <c r="BW267" s="13" t="str">
        <f t="shared" si="543"/>
        <v/>
      </c>
      <c r="BX267" s="13"/>
      <c r="BY267" s="13"/>
      <c r="BZ267" s="13"/>
      <c r="CA267" s="13" t="str">
        <f t="shared" si="544"/>
        <v/>
      </c>
      <c r="CB267" s="13"/>
      <c r="CC267" s="13"/>
      <c r="CD267" s="13"/>
      <c r="CE267" s="13" t="str">
        <f t="shared" si="526"/>
        <v/>
      </c>
      <c r="CF267" s="14" t="str">
        <f t="shared" si="527"/>
        <v/>
      </c>
      <c r="CG267" s="15"/>
      <c r="CH267" s="1"/>
      <c r="CI267" s="16"/>
      <c r="CJ267" s="54"/>
      <c r="CK267" s="13" t="str">
        <f t="shared" si="545"/>
        <v/>
      </c>
      <c r="CL267" s="13"/>
      <c r="CM267" s="13"/>
      <c r="CN267" s="13"/>
      <c r="CO267" s="13" t="str">
        <f t="shared" si="546"/>
        <v/>
      </c>
      <c r="CP267" s="13"/>
      <c r="CQ267" s="13"/>
      <c r="CR267" s="13"/>
      <c r="CS267" s="13" t="str">
        <f t="shared" si="528"/>
        <v/>
      </c>
      <c r="CT267" s="14" t="str">
        <f t="shared" si="536"/>
        <v/>
      </c>
      <c r="CU267" s="15"/>
      <c r="CV267" s="1"/>
      <c r="CW267" s="16"/>
      <c r="CX267" s="54"/>
      <c r="CY267" s="13" t="str">
        <f t="shared" si="547"/>
        <v/>
      </c>
      <c r="CZ267" s="13"/>
      <c r="DA267" s="13"/>
      <c r="DB267" s="13"/>
      <c r="DC267" s="13" t="str">
        <f t="shared" si="548"/>
        <v/>
      </c>
      <c r="DD267" s="13"/>
      <c r="DE267" s="13"/>
      <c r="DF267" s="13"/>
      <c r="DG267" s="13" t="str">
        <f t="shared" si="529"/>
        <v/>
      </c>
      <c r="DH267" s="14" t="str">
        <f t="shared" si="530"/>
        <v/>
      </c>
      <c r="DI267" s="15"/>
      <c r="DJ267" s="1"/>
      <c r="DK267" s="16"/>
      <c r="DL267" s="54"/>
      <c r="DM267" s="13" t="str">
        <f t="shared" si="549"/>
        <v/>
      </c>
      <c r="DN267" s="13"/>
      <c r="DO267" s="13"/>
      <c r="DP267" s="13"/>
      <c r="DQ267" s="13" t="str">
        <f t="shared" si="550"/>
        <v/>
      </c>
      <c r="DR267" s="13"/>
      <c r="DS267" s="13"/>
      <c r="DT267" s="13"/>
      <c r="DU267" s="13" t="str">
        <f t="shared" si="531"/>
        <v/>
      </c>
      <c r="DV267" s="14" t="str">
        <f t="shared" si="532"/>
        <v/>
      </c>
      <c r="DW267" s="15"/>
      <c r="DY267" s="16"/>
      <c r="DZ267" s="54"/>
      <c r="EA267" s="13" t="str">
        <f t="shared" si="551"/>
        <v/>
      </c>
      <c r="EB267" s="13"/>
      <c r="EC267" s="13"/>
      <c r="ED267" s="13"/>
      <c r="EE267" s="13" t="str">
        <f t="shared" si="552"/>
        <v/>
      </c>
      <c r="EF267" s="13"/>
      <c r="EG267" s="13"/>
      <c r="EH267" s="13"/>
      <c r="EI267" s="13" t="str">
        <f t="shared" si="533"/>
        <v/>
      </c>
      <c r="EJ267" s="14" t="str">
        <f t="shared" si="534"/>
        <v/>
      </c>
      <c r="EK267" s="15"/>
    </row>
    <row r="268" spans="1:141" ht="15" customHeight="1" thickBot="1" x14ac:dyDescent="0.25">
      <c r="A268" s="26"/>
      <c r="B268" s="46"/>
      <c r="C268" s="29"/>
      <c r="D268" s="61" t="str">
        <f t="shared" si="555"/>
        <v/>
      </c>
      <c r="E268" s="62"/>
      <c r="F268" s="27" t="str">
        <f t="shared" si="556"/>
        <v/>
      </c>
      <c r="G268" s="27"/>
      <c r="H268" s="27" t="str">
        <f t="shared" si="557"/>
        <v/>
      </c>
      <c r="I268" s="107"/>
      <c r="J268" s="57" t="str">
        <f t="shared" si="558"/>
        <v/>
      </c>
      <c r="K268" s="62" t="str">
        <f t="shared" si="559"/>
        <v/>
      </c>
      <c r="L268" s="27" t="str">
        <f t="shared" si="560"/>
        <v/>
      </c>
      <c r="M268" s="28" t="str">
        <f t="shared" si="561"/>
        <v/>
      </c>
      <c r="N268" s="15"/>
      <c r="O268" s="2"/>
      <c r="P268" s="26"/>
      <c r="Q268" s="29"/>
      <c r="R268" s="61" t="str">
        <f t="shared" si="537"/>
        <v/>
      </c>
      <c r="S268" s="62"/>
      <c r="T268" s="27" t="str">
        <f t="shared" si="562"/>
        <v/>
      </c>
      <c r="U268" s="27"/>
      <c r="V268" s="27" t="str">
        <f t="shared" si="563"/>
        <v/>
      </c>
      <c r="W268" s="107"/>
      <c r="X268" s="57" t="str">
        <f t="shared" si="564"/>
        <v/>
      </c>
      <c r="Y268" s="62" t="str">
        <f t="shared" si="565"/>
        <v/>
      </c>
      <c r="Z268" s="27" t="str">
        <f t="shared" si="566"/>
        <v/>
      </c>
      <c r="AA268" s="28" t="str">
        <f t="shared" si="567"/>
        <v/>
      </c>
      <c r="AB268" s="15"/>
      <c r="AC268" s="15"/>
      <c r="AD268" s="26"/>
      <c r="AE268" s="29"/>
      <c r="AF268" s="61" t="str">
        <f t="shared" si="568"/>
        <v/>
      </c>
      <c r="AG268" s="62"/>
      <c r="AH268" s="27" t="str">
        <f t="shared" si="569"/>
        <v/>
      </c>
      <c r="AI268" s="27"/>
      <c r="AJ268" s="27" t="str">
        <f t="shared" si="570"/>
        <v/>
      </c>
      <c r="AK268" s="107"/>
      <c r="AL268" s="57" t="str">
        <f t="shared" si="571"/>
        <v/>
      </c>
      <c r="AM268" s="62" t="str">
        <f t="shared" si="572"/>
        <v/>
      </c>
      <c r="AN268" s="27" t="str">
        <f t="shared" si="573"/>
        <v/>
      </c>
      <c r="AO268" s="28" t="str">
        <f t="shared" si="574"/>
        <v/>
      </c>
      <c r="AP268" s="15"/>
      <c r="AQ268" s="113"/>
      <c r="AR268" s="26"/>
      <c r="AS268" s="29"/>
      <c r="AT268" s="61" t="str">
        <f t="shared" si="575"/>
        <v/>
      </c>
      <c r="AU268" s="62"/>
      <c r="AV268" s="27" t="str">
        <f t="shared" si="576"/>
        <v/>
      </c>
      <c r="AW268" s="27"/>
      <c r="AX268" s="27" t="str">
        <f t="shared" si="577"/>
        <v/>
      </c>
      <c r="AY268" s="107"/>
      <c r="AZ268" s="57" t="str">
        <f t="shared" si="541"/>
        <v/>
      </c>
      <c r="BA268" s="62" t="str">
        <f t="shared" si="542"/>
        <v/>
      </c>
      <c r="BB268" s="27" t="str">
        <f t="shared" si="578"/>
        <v/>
      </c>
      <c r="BC268" s="28" t="str">
        <f t="shared" si="579"/>
        <v/>
      </c>
      <c r="BD268" s="15"/>
      <c r="BE268" s="2"/>
      <c r="BF268" s="26"/>
      <c r="BG268" s="243"/>
      <c r="BH268" s="29"/>
      <c r="BI268" s="61" t="str">
        <f t="shared" si="580"/>
        <v/>
      </c>
      <c r="BJ268" s="62"/>
      <c r="BK268" s="27" t="str">
        <f t="shared" si="581"/>
        <v/>
      </c>
      <c r="BL268" s="27"/>
      <c r="BM268" s="27" t="str">
        <f t="shared" si="538"/>
        <v/>
      </c>
      <c r="BN268" s="107"/>
      <c r="BO268" s="57" t="str">
        <f t="shared" si="554"/>
        <v/>
      </c>
      <c r="BP268" s="62" t="str">
        <f t="shared" si="553"/>
        <v/>
      </c>
      <c r="BQ268" s="27" t="str">
        <f t="shared" si="582"/>
        <v/>
      </c>
      <c r="BR268" s="28" t="str">
        <f t="shared" si="583"/>
        <v/>
      </c>
      <c r="BS268" s="15"/>
      <c r="BT268" s="113"/>
      <c r="BU268" s="16"/>
      <c r="BV268" s="54"/>
      <c r="BW268" s="13" t="str">
        <f t="shared" si="543"/>
        <v/>
      </c>
      <c r="BX268" s="13"/>
      <c r="BY268" s="13"/>
      <c r="BZ268" s="13"/>
      <c r="CA268" s="13" t="str">
        <f t="shared" si="544"/>
        <v/>
      </c>
      <c r="CB268" s="13"/>
      <c r="CC268" s="13"/>
      <c r="CD268" s="13"/>
      <c r="CE268" s="13" t="str">
        <f t="shared" si="526"/>
        <v/>
      </c>
      <c r="CF268" s="14" t="str">
        <f t="shared" si="527"/>
        <v/>
      </c>
      <c r="CG268" s="15"/>
      <c r="CH268" s="1"/>
      <c r="CI268" s="16"/>
      <c r="CJ268" s="54"/>
      <c r="CK268" s="13" t="str">
        <f t="shared" si="545"/>
        <v/>
      </c>
      <c r="CL268" s="13"/>
      <c r="CM268" s="13"/>
      <c r="CN268" s="13"/>
      <c r="CO268" s="13" t="str">
        <f t="shared" si="546"/>
        <v/>
      </c>
      <c r="CP268" s="13"/>
      <c r="CQ268" s="13"/>
      <c r="CR268" s="13"/>
      <c r="CS268" s="13" t="str">
        <f t="shared" si="528"/>
        <v/>
      </c>
      <c r="CT268" s="14" t="str">
        <f t="shared" si="536"/>
        <v/>
      </c>
      <c r="CU268" s="15"/>
      <c r="CV268" s="1"/>
      <c r="CW268" s="16"/>
      <c r="CX268" s="54"/>
      <c r="CY268" s="13" t="str">
        <f t="shared" si="547"/>
        <v/>
      </c>
      <c r="CZ268" s="13"/>
      <c r="DA268" s="13"/>
      <c r="DB268" s="13"/>
      <c r="DC268" s="13" t="str">
        <f t="shared" si="548"/>
        <v/>
      </c>
      <c r="DD268" s="13"/>
      <c r="DE268" s="13"/>
      <c r="DF268" s="13"/>
      <c r="DG268" s="13" t="str">
        <f t="shared" si="529"/>
        <v/>
      </c>
      <c r="DH268" s="14" t="str">
        <f t="shared" si="530"/>
        <v/>
      </c>
      <c r="DI268" s="15"/>
      <c r="DJ268" s="1"/>
      <c r="DK268" s="16"/>
      <c r="DL268" s="54"/>
      <c r="DM268" s="13" t="str">
        <f t="shared" si="549"/>
        <v/>
      </c>
      <c r="DN268" s="13"/>
      <c r="DO268" s="13"/>
      <c r="DP268" s="13"/>
      <c r="DQ268" s="13" t="str">
        <f t="shared" si="550"/>
        <v/>
      </c>
      <c r="DR268" s="13"/>
      <c r="DS268" s="13"/>
      <c r="DT268" s="13"/>
      <c r="DU268" s="13" t="str">
        <f t="shared" si="531"/>
        <v/>
      </c>
      <c r="DV268" s="14" t="str">
        <f t="shared" si="532"/>
        <v/>
      </c>
      <c r="DW268" s="15"/>
      <c r="DY268" s="16"/>
      <c r="DZ268" s="54"/>
      <c r="EA268" s="13" t="str">
        <f t="shared" si="551"/>
        <v/>
      </c>
      <c r="EB268" s="13"/>
      <c r="EC268" s="13"/>
      <c r="ED268" s="13"/>
      <c r="EE268" s="13" t="str">
        <f t="shared" si="552"/>
        <v/>
      </c>
      <c r="EF268" s="13"/>
      <c r="EG268" s="13"/>
      <c r="EH268" s="13"/>
      <c r="EI268" s="13" t="str">
        <f t="shared" si="533"/>
        <v/>
      </c>
      <c r="EJ268" s="14" t="str">
        <f t="shared" si="534"/>
        <v/>
      </c>
      <c r="EK268" s="15"/>
    </row>
    <row r="269" spans="1:141" ht="15" customHeight="1" thickTop="1" x14ac:dyDescent="0.2">
      <c r="A269" s="79"/>
      <c r="B269" s="74" t="str">
        <f>IF(A269="","",SUM(D269:D272)+SUM(R269:R272)+SUM(AF269:AF272)+SUM(AT269:AT272)+SUM(BW236,CK236,CY236,DM236))</f>
        <v/>
      </c>
      <c r="C269" s="53"/>
      <c r="D269" s="53" t="str">
        <f t="shared" si="555"/>
        <v/>
      </c>
      <c r="E269" s="53"/>
      <c r="F269" s="31" t="str">
        <f t="shared" si="556"/>
        <v/>
      </c>
      <c r="G269" s="53"/>
      <c r="H269" s="53" t="str">
        <f t="shared" si="557"/>
        <v/>
      </c>
      <c r="I269" s="17"/>
      <c r="J269" s="75" t="str">
        <f t="shared" si="558"/>
        <v/>
      </c>
      <c r="K269" s="76" t="str">
        <f t="shared" si="559"/>
        <v/>
      </c>
      <c r="L269" s="31" t="str">
        <f t="shared" si="560"/>
        <v/>
      </c>
      <c r="M269" s="32" t="str">
        <f t="shared" si="561"/>
        <v/>
      </c>
      <c r="N269" s="15"/>
      <c r="O269" s="2"/>
      <c r="P269" s="79" t="str">
        <f>IF(A269="","",A269)</f>
        <v/>
      </c>
      <c r="Q269" s="53"/>
      <c r="R269" s="53" t="str">
        <f t="shared" si="537"/>
        <v/>
      </c>
      <c r="S269" s="53"/>
      <c r="T269" s="31" t="str">
        <f t="shared" si="562"/>
        <v/>
      </c>
      <c r="U269" s="53"/>
      <c r="V269" s="53" t="str">
        <f t="shared" si="563"/>
        <v/>
      </c>
      <c r="W269" s="17"/>
      <c r="X269" s="75" t="str">
        <f t="shared" si="564"/>
        <v/>
      </c>
      <c r="Y269" s="76" t="str">
        <f t="shared" si="565"/>
        <v/>
      </c>
      <c r="Z269" s="31" t="str">
        <f t="shared" si="566"/>
        <v/>
      </c>
      <c r="AA269" s="32" t="str">
        <f t="shared" si="567"/>
        <v/>
      </c>
      <c r="AB269" s="15"/>
      <c r="AC269" s="15"/>
      <c r="AD269" s="79" t="str">
        <f>IF($A269="","",$A269)</f>
        <v/>
      </c>
      <c r="AE269" s="53"/>
      <c r="AF269" s="53" t="str">
        <f t="shared" si="568"/>
        <v/>
      </c>
      <c r="AG269" s="53"/>
      <c r="AH269" s="31" t="str">
        <f t="shared" si="569"/>
        <v/>
      </c>
      <c r="AI269" s="53"/>
      <c r="AJ269" s="53" t="str">
        <f t="shared" si="570"/>
        <v/>
      </c>
      <c r="AK269" s="17"/>
      <c r="AL269" s="75" t="str">
        <f t="shared" si="571"/>
        <v/>
      </c>
      <c r="AM269" s="76" t="str">
        <f t="shared" si="572"/>
        <v/>
      </c>
      <c r="AN269" s="31" t="str">
        <f t="shared" si="573"/>
        <v/>
      </c>
      <c r="AO269" s="32" t="str">
        <f t="shared" si="574"/>
        <v/>
      </c>
      <c r="AP269" s="15"/>
      <c r="AQ269" s="113"/>
      <c r="AR269" s="79" t="str">
        <f>IF($A269="","",$A269)</f>
        <v/>
      </c>
      <c r="AS269" s="53"/>
      <c r="AT269" s="53" t="str">
        <f t="shared" si="575"/>
        <v/>
      </c>
      <c r="AU269" s="53"/>
      <c r="AV269" s="31" t="str">
        <f t="shared" si="576"/>
        <v/>
      </c>
      <c r="AW269" s="53"/>
      <c r="AX269" s="53" t="str">
        <f t="shared" si="577"/>
        <v/>
      </c>
      <c r="AY269" s="17"/>
      <c r="AZ269" s="75" t="str">
        <f t="shared" si="541"/>
        <v/>
      </c>
      <c r="BA269" s="76" t="str">
        <f t="shared" si="542"/>
        <v/>
      </c>
      <c r="BB269" s="31" t="str">
        <f t="shared" si="578"/>
        <v/>
      </c>
      <c r="BC269" s="32" t="str">
        <f t="shared" si="579"/>
        <v/>
      </c>
      <c r="BD269" s="15"/>
      <c r="BE269" s="2"/>
      <c r="BF269" s="79" t="str">
        <f>IF(DW269="","",DW269)</f>
        <v/>
      </c>
      <c r="BG269" s="240"/>
      <c r="BH269" s="53"/>
      <c r="BI269" s="53" t="str">
        <f t="shared" si="580"/>
        <v/>
      </c>
      <c r="BJ269" s="53"/>
      <c r="BK269" s="31" t="str">
        <f t="shared" si="581"/>
        <v/>
      </c>
      <c r="BL269" s="53"/>
      <c r="BM269" s="53" t="str">
        <f t="shared" si="538"/>
        <v/>
      </c>
      <c r="BN269" s="17"/>
      <c r="BO269" s="75" t="str">
        <f t="shared" si="554"/>
        <v/>
      </c>
      <c r="BP269" s="76" t="str">
        <f t="shared" si="553"/>
        <v/>
      </c>
      <c r="BQ269" s="31" t="str">
        <f t="shared" si="582"/>
        <v/>
      </c>
      <c r="BR269" s="32" t="str">
        <f t="shared" si="583"/>
        <v/>
      </c>
      <c r="BS269" s="15"/>
      <c r="BT269" s="113"/>
      <c r="BU269" s="16"/>
      <c r="BV269" s="54"/>
      <c r="BW269" s="13" t="str">
        <f t="shared" si="543"/>
        <v/>
      </c>
      <c r="BX269" s="13"/>
      <c r="BY269" s="13"/>
      <c r="BZ269" s="13"/>
      <c r="CA269" s="13" t="str">
        <f t="shared" si="544"/>
        <v/>
      </c>
      <c r="CB269" s="13"/>
      <c r="CC269" s="13"/>
      <c r="CD269" s="13"/>
      <c r="CE269" s="13" t="str">
        <f t="shared" si="526"/>
        <v/>
      </c>
      <c r="CF269" s="14" t="str">
        <f t="shared" si="527"/>
        <v/>
      </c>
      <c r="CG269" s="15"/>
      <c r="CH269" s="1"/>
      <c r="CI269" s="16"/>
      <c r="CJ269" s="54"/>
      <c r="CK269" s="13" t="str">
        <f t="shared" si="545"/>
        <v/>
      </c>
      <c r="CL269" s="13"/>
      <c r="CM269" s="13"/>
      <c r="CN269" s="13"/>
      <c r="CO269" s="13" t="str">
        <f t="shared" si="546"/>
        <v/>
      </c>
      <c r="CP269" s="13"/>
      <c r="CQ269" s="13"/>
      <c r="CR269" s="13"/>
      <c r="CS269" s="13" t="str">
        <f t="shared" si="528"/>
        <v/>
      </c>
      <c r="CT269" s="14" t="str">
        <f t="shared" si="536"/>
        <v/>
      </c>
      <c r="CU269" s="15"/>
      <c r="CV269" s="1"/>
      <c r="CW269" s="16"/>
      <c r="CX269" s="54"/>
      <c r="CY269" s="13" t="str">
        <f t="shared" si="547"/>
        <v/>
      </c>
      <c r="CZ269" s="13"/>
      <c r="DA269" s="13"/>
      <c r="DB269" s="13"/>
      <c r="DC269" s="13" t="str">
        <f t="shared" si="548"/>
        <v/>
      </c>
      <c r="DD269" s="13"/>
      <c r="DE269" s="13"/>
      <c r="DF269" s="13"/>
      <c r="DG269" s="13" t="str">
        <f t="shared" si="529"/>
        <v/>
      </c>
      <c r="DH269" s="14" t="str">
        <f t="shared" si="530"/>
        <v/>
      </c>
      <c r="DI269" s="15"/>
      <c r="DJ269" s="1"/>
      <c r="DK269" s="16"/>
      <c r="DL269" s="54"/>
      <c r="DM269" s="13" t="str">
        <f t="shared" si="549"/>
        <v/>
      </c>
      <c r="DN269" s="13"/>
      <c r="DO269" s="13"/>
      <c r="DP269" s="13"/>
      <c r="DQ269" s="13" t="str">
        <f t="shared" si="550"/>
        <v/>
      </c>
      <c r="DR269" s="13"/>
      <c r="DS269" s="13"/>
      <c r="DT269" s="13"/>
      <c r="DU269" s="13" t="str">
        <f t="shared" si="531"/>
        <v/>
      </c>
      <c r="DV269" s="14" t="str">
        <f t="shared" si="532"/>
        <v/>
      </c>
      <c r="DW269" s="15"/>
      <c r="DY269" s="16"/>
      <c r="DZ269" s="54"/>
      <c r="EA269" s="13" t="str">
        <f t="shared" si="551"/>
        <v/>
      </c>
      <c r="EB269" s="13"/>
      <c r="EC269" s="13"/>
      <c r="ED269" s="13"/>
      <c r="EE269" s="13" t="str">
        <f t="shared" si="552"/>
        <v/>
      </c>
      <c r="EF269" s="13"/>
      <c r="EG269" s="13"/>
      <c r="EH269" s="13"/>
      <c r="EI269" s="13" t="str">
        <f t="shared" si="533"/>
        <v/>
      </c>
      <c r="EJ269" s="14" t="str">
        <f t="shared" si="534"/>
        <v/>
      </c>
      <c r="EK269" s="15"/>
    </row>
    <row r="270" spans="1:141" ht="15" customHeight="1" x14ac:dyDescent="0.2">
      <c r="A270" s="16"/>
      <c r="B270" s="11"/>
      <c r="C270" s="13"/>
      <c r="D270" s="53" t="str">
        <f t="shared" si="555"/>
        <v/>
      </c>
      <c r="E270" s="13"/>
      <c r="F270" s="13" t="str">
        <f t="shared" si="556"/>
        <v/>
      </c>
      <c r="G270" s="13"/>
      <c r="H270" s="13" t="str">
        <f t="shared" si="557"/>
        <v/>
      </c>
      <c r="I270" s="17"/>
      <c r="J270" s="56" t="str">
        <f t="shared" si="558"/>
        <v/>
      </c>
      <c r="K270" s="54" t="str">
        <f t="shared" si="559"/>
        <v/>
      </c>
      <c r="L270" s="13" t="str">
        <f t="shared" si="560"/>
        <v/>
      </c>
      <c r="M270" s="14" t="str">
        <f t="shared" si="561"/>
        <v/>
      </c>
      <c r="N270" s="15"/>
      <c r="O270" s="2"/>
      <c r="P270" s="16"/>
      <c r="Q270" s="13"/>
      <c r="R270" s="53" t="str">
        <f t="shared" si="537"/>
        <v/>
      </c>
      <c r="S270" s="13"/>
      <c r="T270" s="13" t="str">
        <f t="shared" si="562"/>
        <v/>
      </c>
      <c r="U270" s="13"/>
      <c r="V270" s="13" t="str">
        <f t="shared" si="563"/>
        <v/>
      </c>
      <c r="W270" s="17"/>
      <c r="X270" s="56" t="str">
        <f t="shared" si="564"/>
        <v/>
      </c>
      <c r="Y270" s="54" t="str">
        <f t="shared" si="565"/>
        <v/>
      </c>
      <c r="Z270" s="13" t="str">
        <f t="shared" si="566"/>
        <v/>
      </c>
      <c r="AA270" s="14" t="str">
        <f t="shared" si="567"/>
        <v/>
      </c>
      <c r="AB270" s="15"/>
      <c r="AC270" s="15"/>
      <c r="AD270" s="16"/>
      <c r="AE270" s="13"/>
      <c r="AF270" s="53" t="str">
        <f t="shared" si="568"/>
        <v/>
      </c>
      <c r="AG270" s="13"/>
      <c r="AH270" s="13" t="str">
        <f t="shared" si="569"/>
        <v/>
      </c>
      <c r="AI270" s="13"/>
      <c r="AJ270" s="13" t="str">
        <f t="shared" si="570"/>
        <v/>
      </c>
      <c r="AK270" s="17"/>
      <c r="AL270" s="56" t="str">
        <f t="shared" si="571"/>
        <v/>
      </c>
      <c r="AM270" s="54" t="str">
        <f t="shared" si="572"/>
        <v/>
      </c>
      <c r="AN270" s="13" t="str">
        <f t="shared" si="573"/>
        <v/>
      </c>
      <c r="AO270" s="14" t="str">
        <f t="shared" si="574"/>
        <v/>
      </c>
      <c r="AP270" s="15"/>
      <c r="AQ270" s="113"/>
      <c r="AR270" s="16"/>
      <c r="AS270" s="13"/>
      <c r="AT270" s="53" t="str">
        <f t="shared" si="575"/>
        <v/>
      </c>
      <c r="AU270" s="13"/>
      <c r="AV270" s="13" t="str">
        <f t="shared" si="576"/>
        <v/>
      </c>
      <c r="AW270" s="13"/>
      <c r="AX270" s="13" t="str">
        <f t="shared" si="577"/>
        <v/>
      </c>
      <c r="AY270" s="17"/>
      <c r="AZ270" s="56" t="str">
        <f t="shared" si="541"/>
        <v/>
      </c>
      <c r="BA270" s="54" t="str">
        <f t="shared" si="542"/>
        <v/>
      </c>
      <c r="BB270" s="13" t="str">
        <f t="shared" si="578"/>
        <v/>
      </c>
      <c r="BC270" s="14" t="str">
        <f t="shared" si="579"/>
        <v/>
      </c>
      <c r="BD270" s="15"/>
      <c r="BE270" s="2"/>
      <c r="BF270" s="16"/>
      <c r="BG270" s="7"/>
      <c r="BH270" s="13"/>
      <c r="BI270" s="53" t="str">
        <f t="shared" si="580"/>
        <v/>
      </c>
      <c r="BJ270" s="13"/>
      <c r="BK270" s="13" t="str">
        <f t="shared" si="581"/>
        <v/>
      </c>
      <c r="BL270" s="13"/>
      <c r="BM270" s="13" t="str">
        <f t="shared" si="538"/>
        <v/>
      </c>
      <c r="BN270" s="17"/>
      <c r="BO270" s="56" t="str">
        <f t="shared" si="554"/>
        <v/>
      </c>
      <c r="BP270" s="54" t="str">
        <f t="shared" si="553"/>
        <v/>
      </c>
      <c r="BQ270" s="13" t="str">
        <f t="shared" si="582"/>
        <v/>
      </c>
      <c r="BR270" s="14" t="str">
        <f t="shared" si="583"/>
        <v/>
      </c>
      <c r="BS270" s="15"/>
      <c r="BT270" s="113"/>
      <c r="BU270" s="16"/>
      <c r="BV270" s="54"/>
      <c r="BW270" s="13" t="str">
        <f t="shared" si="543"/>
        <v/>
      </c>
      <c r="BX270" s="13"/>
      <c r="BY270" s="13"/>
      <c r="BZ270" s="13"/>
      <c r="CA270" s="13" t="str">
        <f t="shared" si="544"/>
        <v/>
      </c>
      <c r="CB270" s="13"/>
      <c r="CC270" s="13"/>
      <c r="CD270" s="13"/>
      <c r="CE270" s="13" t="str">
        <f t="shared" si="526"/>
        <v/>
      </c>
      <c r="CF270" s="14" t="str">
        <f t="shared" si="527"/>
        <v/>
      </c>
      <c r="CG270" s="15"/>
      <c r="CH270" s="1"/>
      <c r="CI270" s="16"/>
      <c r="CJ270" s="54"/>
      <c r="CK270" s="13" t="str">
        <f t="shared" si="545"/>
        <v/>
      </c>
      <c r="CL270" s="13"/>
      <c r="CM270" s="13"/>
      <c r="CN270" s="13"/>
      <c r="CO270" s="13" t="str">
        <f t="shared" si="546"/>
        <v/>
      </c>
      <c r="CP270" s="13"/>
      <c r="CQ270" s="13"/>
      <c r="CR270" s="13"/>
      <c r="CS270" s="13" t="str">
        <f t="shared" si="528"/>
        <v/>
      </c>
      <c r="CT270" s="14" t="str">
        <f t="shared" si="536"/>
        <v/>
      </c>
      <c r="CU270" s="15"/>
      <c r="CV270" s="1"/>
      <c r="CW270" s="16"/>
      <c r="CX270" s="54"/>
      <c r="CY270" s="13" t="str">
        <f t="shared" si="547"/>
        <v/>
      </c>
      <c r="CZ270" s="13"/>
      <c r="DA270" s="13"/>
      <c r="DB270" s="13"/>
      <c r="DC270" s="13" t="str">
        <f t="shared" si="548"/>
        <v/>
      </c>
      <c r="DD270" s="13"/>
      <c r="DE270" s="13"/>
      <c r="DF270" s="13"/>
      <c r="DG270" s="13" t="str">
        <f t="shared" si="529"/>
        <v/>
      </c>
      <c r="DH270" s="14" t="str">
        <f t="shared" si="530"/>
        <v/>
      </c>
      <c r="DI270" s="15"/>
      <c r="DJ270" s="1"/>
      <c r="DK270" s="16"/>
      <c r="DL270" s="54"/>
      <c r="DM270" s="13" t="str">
        <f t="shared" si="549"/>
        <v/>
      </c>
      <c r="DN270" s="13"/>
      <c r="DO270" s="13"/>
      <c r="DP270" s="13"/>
      <c r="DQ270" s="13" t="str">
        <f t="shared" si="550"/>
        <v/>
      </c>
      <c r="DR270" s="13"/>
      <c r="DS270" s="13"/>
      <c r="DT270" s="13"/>
      <c r="DU270" s="13" t="str">
        <f t="shared" si="531"/>
        <v/>
      </c>
      <c r="DV270" s="14" t="str">
        <f t="shared" si="532"/>
        <v/>
      </c>
      <c r="DW270" s="15"/>
      <c r="DY270" s="16"/>
      <c r="DZ270" s="54"/>
      <c r="EA270" s="13" t="str">
        <f t="shared" si="551"/>
        <v/>
      </c>
      <c r="EB270" s="13"/>
      <c r="EC270" s="13"/>
      <c r="ED270" s="13"/>
      <c r="EE270" s="13" t="str">
        <f t="shared" si="552"/>
        <v/>
      </c>
      <c r="EF270" s="13"/>
      <c r="EG270" s="13"/>
      <c r="EH270" s="13"/>
      <c r="EI270" s="13" t="str">
        <f t="shared" si="533"/>
        <v/>
      </c>
      <c r="EJ270" s="14" t="str">
        <f t="shared" si="534"/>
        <v/>
      </c>
      <c r="EK270" s="15"/>
    </row>
    <row r="271" spans="1:141" ht="15" customHeight="1" x14ac:dyDescent="0.2">
      <c r="A271" s="16"/>
      <c r="B271" s="11"/>
      <c r="C271" s="13"/>
      <c r="D271" s="63" t="str">
        <f t="shared" si="555"/>
        <v/>
      </c>
      <c r="E271" s="13"/>
      <c r="F271" s="13" t="str">
        <f t="shared" si="556"/>
        <v/>
      </c>
      <c r="G271" s="13"/>
      <c r="H271" s="13" t="str">
        <f t="shared" si="557"/>
        <v/>
      </c>
      <c r="I271" s="17"/>
      <c r="J271" s="56" t="str">
        <f t="shared" si="558"/>
        <v/>
      </c>
      <c r="K271" s="13" t="str">
        <f t="shared" si="559"/>
        <v/>
      </c>
      <c r="L271" s="13" t="str">
        <f t="shared" si="560"/>
        <v/>
      </c>
      <c r="M271" s="14" t="str">
        <f t="shared" si="561"/>
        <v/>
      </c>
      <c r="N271" s="15"/>
      <c r="O271" s="2"/>
      <c r="P271" s="16"/>
      <c r="Q271" s="13"/>
      <c r="R271" s="63" t="str">
        <f t="shared" si="537"/>
        <v/>
      </c>
      <c r="S271" s="13"/>
      <c r="T271" s="13" t="str">
        <f t="shared" si="562"/>
        <v/>
      </c>
      <c r="U271" s="13"/>
      <c r="V271" s="13" t="str">
        <f t="shared" si="563"/>
        <v/>
      </c>
      <c r="W271" s="17"/>
      <c r="X271" s="56" t="str">
        <f t="shared" si="564"/>
        <v/>
      </c>
      <c r="Y271" s="13" t="str">
        <f t="shared" si="565"/>
        <v/>
      </c>
      <c r="Z271" s="13" t="str">
        <f t="shared" si="566"/>
        <v/>
      </c>
      <c r="AA271" s="14" t="str">
        <f t="shared" si="567"/>
        <v/>
      </c>
      <c r="AB271" s="15"/>
      <c r="AC271" s="15"/>
      <c r="AD271" s="16"/>
      <c r="AE271" s="13"/>
      <c r="AF271" s="63" t="str">
        <f t="shared" si="568"/>
        <v/>
      </c>
      <c r="AG271" s="13"/>
      <c r="AH271" s="13" t="str">
        <f t="shared" si="569"/>
        <v/>
      </c>
      <c r="AI271" s="13"/>
      <c r="AJ271" s="13" t="str">
        <f t="shared" si="570"/>
        <v/>
      </c>
      <c r="AK271" s="17"/>
      <c r="AL271" s="56" t="str">
        <f t="shared" si="571"/>
        <v/>
      </c>
      <c r="AM271" s="13" t="str">
        <f t="shared" si="572"/>
        <v/>
      </c>
      <c r="AN271" s="13" t="str">
        <f t="shared" si="573"/>
        <v/>
      </c>
      <c r="AO271" s="14" t="str">
        <f t="shared" si="574"/>
        <v/>
      </c>
      <c r="AP271" s="15"/>
      <c r="AQ271" s="113"/>
      <c r="AR271" s="16"/>
      <c r="AS271" s="13"/>
      <c r="AT271" s="63" t="str">
        <f t="shared" si="575"/>
        <v/>
      </c>
      <c r="AU271" s="13"/>
      <c r="AV271" s="13" t="str">
        <f t="shared" si="576"/>
        <v/>
      </c>
      <c r="AW271" s="13"/>
      <c r="AX271" s="13" t="str">
        <f t="shared" si="577"/>
        <v/>
      </c>
      <c r="AY271" s="17"/>
      <c r="AZ271" s="56" t="str">
        <f t="shared" si="541"/>
        <v/>
      </c>
      <c r="BA271" s="13" t="str">
        <f t="shared" si="542"/>
        <v/>
      </c>
      <c r="BB271" s="13" t="str">
        <f t="shared" si="578"/>
        <v/>
      </c>
      <c r="BC271" s="14" t="str">
        <f t="shared" si="579"/>
        <v/>
      </c>
      <c r="BD271" s="15"/>
      <c r="BE271" s="2"/>
      <c r="BF271" s="16"/>
      <c r="BG271" s="7"/>
      <c r="BH271" s="13"/>
      <c r="BI271" s="63" t="str">
        <f t="shared" si="580"/>
        <v/>
      </c>
      <c r="BJ271" s="13"/>
      <c r="BK271" s="13" t="str">
        <f t="shared" si="581"/>
        <v/>
      </c>
      <c r="BL271" s="13"/>
      <c r="BM271" s="13" t="str">
        <f t="shared" si="538"/>
        <v/>
      </c>
      <c r="BN271" s="17"/>
      <c r="BO271" s="56" t="str">
        <f t="shared" si="554"/>
        <v/>
      </c>
      <c r="BP271" s="13" t="str">
        <f t="shared" si="553"/>
        <v/>
      </c>
      <c r="BQ271" s="13" t="str">
        <f t="shared" si="582"/>
        <v/>
      </c>
      <c r="BR271" s="14" t="str">
        <f t="shared" si="583"/>
        <v/>
      </c>
      <c r="BS271" s="15"/>
      <c r="BT271" s="113"/>
      <c r="BU271" s="16"/>
      <c r="BV271" s="54"/>
      <c r="BW271" s="13" t="str">
        <f t="shared" si="543"/>
        <v/>
      </c>
      <c r="BX271" s="13"/>
      <c r="BY271" s="13"/>
      <c r="BZ271" s="13"/>
      <c r="CA271" s="13" t="str">
        <f t="shared" si="544"/>
        <v/>
      </c>
      <c r="CB271" s="13"/>
      <c r="CC271" s="13"/>
      <c r="CD271" s="13"/>
      <c r="CE271" s="13" t="str">
        <f t="shared" si="526"/>
        <v/>
      </c>
      <c r="CF271" s="14" t="str">
        <f t="shared" si="527"/>
        <v/>
      </c>
      <c r="CG271" s="15"/>
      <c r="CH271" s="1"/>
      <c r="CI271" s="16"/>
      <c r="CJ271" s="54"/>
      <c r="CK271" s="13" t="str">
        <f t="shared" si="545"/>
        <v/>
      </c>
      <c r="CL271" s="13"/>
      <c r="CM271" s="13"/>
      <c r="CN271" s="13"/>
      <c r="CO271" s="13" t="str">
        <f t="shared" si="546"/>
        <v/>
      </c>
      <c r="CP271" s="13"/>
      <c r="CQ271" s="13"/>
      <c r="CR271" s="13"/>
      <c r="CS271" s="13" t="str">
        <f t="shared" si="528"/>
        <v/>
      </c>
      <c r="CT271" s="14" t="str">
        <f t="shared" si="536"/>
        <v/>
      </c>
      <c r="CU271" s="15"/>
      <c r="CV271" s="1"/>
      <c r="CW271" s="16"/>
      <c r="CX271" s="54"/>
      <c r="CY271" s="13" t="str">
        <f t="shared" si="547"/>
        <v/>
      </c>
      <c r="CZ271" s="13"/>
      <c r="DA271" s="13"/>
      <c r="DB271" s="13"/>
      <c r="DC271" s="13" t="str">
        <f t="shared" si="548"/>
        <v/>
      </c>
      <c r="DD271" s="13"/>
      <c r="DE271" s="13"/>
      <c r="DF271" s="13"/>
      <c r="DG271" s="13" t="str">
        <f t="shared" si="529"/>
        <v/>
      </c>
      <c r="DH271" s="14" t="str">
        <f t="shared" si="530"/>
        <v/>
      </c>
      <c r="DI271" s="15"/>
      <c r="DJ271" s="1"/>
      <c r="DK271" s="16"/>
      <c r="DL271" s="54"/>
      <c r="DM271" s="13" t="str">
        <f t="shared" si="549"/>
        <v/>
      </c>
      <c r="DN271" s="13"/>
      <c r="DO271" s="13"/>
      <c r="DP271" s="13"/>
      <c r="DQ271" s="13" t="str">
        <f t="shared" si="550"/>
        <v/>
      </c>
      <c r="DR271" s="13"/>
      <c r="DS271" s="13"/>
      <c r="DT271" s="13"/>
      <c r="DU271" s="13" t="str">
        <f t="shared" si="531"/>
        <v/>
      </c>
      <c r="DV271" s="14" t="str">
        <f t="shared" si="532"/>
        <v/>
      </c>
      <c r="DW271" s="15"/>
      <c r="DY271" s="16"/>
      <c r="DZ271" s="54"/>
      <c r="EA271" s="13" t="str">
        <f t="shared" si="551"/>
        <v/>
      </c>
      <c r="EB271" s="13"/>
      <c r="EC271" s="13"/>
      <c r="ED271" s="13"/>
      <c r="EE271" s="13" t="str">
        <f t="shared" si="552"/>
        <v/>
      </c>
      <c r="EF271" s="13"/>
      <c r="EG271" s="13"/>
      <c r="EH271" s="13"/>
      <c r="EI271" s="13" t="str">
        <f t="shared" si="533"/>
        <v/>
      </c>
      <c r="EJ271" s="14" t="str">
        <f t="shared" si="534"/>
        <v/>
      </c>
      <c r="EK271" s="15"/>
    </row>
    <row r="272" spans="1:141" ht="15" customHeight="1" thickBot="1" x14ac:dyDescent="0.25">
      <c r="A272" s="26"/>
      <c r="B272" s="46"/>
      <c r="C272" s="27"/>
      <c r="D272" s="61" t="str">
        <f t="shared" si="555"/>
        <v/>
      </c>
      <c r="E272" s="62"/>
      <c r="F272" s="27" t="str">
        <f t="shared" si="556"/>
        <v/>
      </c>
      <c r="G272" s="27"/>
      <c r="H272" s="27" t="str">
        <f t="shared" si="557"/>
        <v/>
      </c>
      <c r="I272" s="47"/>
      <c r="J272" s="57" t="str">
        <f t="shared" si="558"/>
        <v/>
      </c>
      <c r="K272" s="62" t="str">
        <f t="shared" si="559"/>
        <v/>
      </c>
      <c r="L272" s="27" t="str">
        <f t="shared" si="560"/>
        <v/>
      </c>
      <c r="M272" s="28" t="str">
        <f t="shared" si="561"/>
        <v/>
      </c>
      <c r="N272" s="15"/>
      <c r="O272" s="2"/>
      <c r="P272" s="26"/>
      <c r="Q272" s="27"/>
      <c r="R272" s="61" t="str">
        <f t="shared" si="537"/>
        <v/>
      </c>
      <c r="S272" s="62"/>
      <c r="T272" s="27" t="str">
        <f t="shared" si="562"/>
        <v/>
      </c>
      <c r="U272" s="27"/>
      <c r="V272" s="27" t="str">
        <f t="shared" si="563"/>
        <v/>
      </c>
      <c r="W272" s="47"/>
      <c r="X272" s="57" t="str">
        <f t="shared" si="564"/>
        <v/>
      </c>
      <c r="Y272" s="62" t="str">
        <f t="shared" si="565"/>
        <v/>
      </c>
      <c r="Z272" s="27" t="str">
        <f t="shared" si="566"/>
        <v/>
      </c>
      <c r="AA272" s="28" t="str">
        <f t="shared" si="567"/>
        <v/>
      </c>
      <c r="AB272" s="15"/>
      <c r="AC272" s="15"/>
      <c r="AD272" s="26"/>
      <c r="AE272" s="27"/>
      <c r="AF272" s="61" t="str">
        <f t="shared" si="568"/>
        <v/>
      </c>
      <c r="AG272" s="62"/>
      <c r="AH272" s="27" t="str">
        <f t="shared" si="569"/>
        <v/>
      </c>
      <c r="AI272" s="27"/>
      <c r="AJ272" s="27" t="str">
        <f t="shared" si="570"/>
        <v/>
      </c>
      <c r="AK272" s="47"/>
      <c r="AL272" s="57" t="str">
        <f t="shared" si="571"/>
        <v/>
      </c>
      <c r="AM272" s="62" t="str">
        <f t="shared" si="572"/>
        <v/>
      </c>
      <c r="AN272" s="27" t="str">
        <f t="shared" si="573"/>
        <v/>
      </c>
      <c r="AO272" s="28" t="str">
        <f t="shared" si="574"/>
        <v/>
      </c>
      <c r="AP272" s="15"/>
      <c r="AQ272" s="113"/>
      <c r="AR272" s="26"/>
      <c r="AS272" s="27"/>
      <c r="AT272" s="61" t="str">
        <f t="shared" si="575"/>
        <v/>
      </c>
      <c r="AU272" s="62"/>
      <c r="AV272" s="27" t="str">
        <f t="shared" si="576"/>
        <v/>
      </c>
      <c r="AW272" s="27"/>
      <c r="AX272" s="27" t="str">
        <f t="shared" si="577"/>
        <v/>
      </c>
      <c r="AY272" s="47"/>
      <c r="AZ272" s="57" t="str">
        <f t="shared" si="541"/>
        <v/>
      </c>
      <c r="BA272" s="62" t="str">
        <f t="shared" si="542"/>
        <v/>
      </c>
      <c r="BB272" s="27" t="str">
        <f t="shared" si="578"/>
        <v/>
      </c>
      <c r="BC272" s="28" t="str">
        <f t="shared" si="579"/>
        <v/>
      </c>
      <c r="BD272" s="15"/>
      <c r="BE272" s="2"/>
      <c r="BF272" s="26"/>
      <c r="BG272" s="241"/>
      <c r="BH272" s="27"/>
      <c r="BI272" s="61" t="str">
        <f t="shared" si="580"/>
        <v/>
      </c>
      <c r="BJ272" s="62"/>
      <c r="BK272" s="27" t="str">
        <f t="shared" si="581"/>
        <v/>
      </c>
      <c r="BL272" s="27"/>
      <c r="BM272" s="27" t="str">
        <f t="shared" si="538"/>
        <v/>
      </c>
      <c r="BN272" s="47"/>
      <c r="BO272" s="57" t="str">
        <f t="shared" si="554"/>
        <v/>
      </c>
      <c r="BP272" s="62" t="str">
        <f t="shared" si="553"/>
        <v/>
      </c>
      <c r="BQ272" s="27" t="str">
        <f t="shared" si="582"/>
        <v/>
      </c>
      <c r="BR272" s="28" t="str">
        <f t="shared" si="583"/>
        <v/>
      </c>
      <c r="BS272" s="15"/>
      <c r="BT272" s="113"/>
      <c r="BU272" s="16"/>
      <c r="BV272" s="54"/>
      <c r="BW272" s="13" t="str">
        <f t="shared" si="543"/>
        <v/>
      </c>
      <c r="BX272" s="13"/>
      <c r="BY272" s="13"/>
      <c r="BZ272" s="13"/>
      <c r="CA272" s="13" t="str">
        <f t="shared" si="544"/>
        <v/>
      </c>
      <c r="CB272" s="13"/>
      <c r="CC272" s="13"/>
      <c r="CD272" s="13"/>
      <c r="CE272" s="13" t="str">
        <f t="shared" si="526"/>
        <v/>
      </c>
      <c r="CF272" s="14" t="str">
        <f t="shared" si="527"/>
        <v/>
      </c>
      <c r="CG272" s="15"/>
      <c r="CH272" s="1"/>
      <c r="CI272" s="16"/>
      <c r="CJ272" s="54"/>
      <c r="CK272" s="13" t="str">
        <f t="shared" si="545"/>
        <v/>
      </c>
      <c r="CL272" s="13"/>
      <c r="CM272" s="13"/>
      <c r="CN272" s="13"/>
      <c r="CO272" s="13" t="str">
        <f t="shared" si="546"/>
        <v/>
      </c>
      <c r="CP272" s="13"/>
      <c r="CQ272" s="13"/>
      <c r="CR272" s="13"/>
      <c r="CS272" s="13" t="str">
        <f t="shared" si="528"/>
        <v/>
      </c>
      <c r="CT272" s="14" t="str">
        <f t="shared" si="536"/>
        <v/>
      </c>
      <c r="CU272" s="15"/>
      <c r="CV272" s="1"/>
      <c r="CW272" s="16"/>
      <c r="CX272" s="54"/>
      <c r="CY272" s="13" t="str">
        <f t="shared" si="547"/>
        <v/>
      </c>
      <c r="CZ272" s="13"/>
      <c r="DA272" s="13"/>
      <c r="DB272" s="13"/>
      <c r="DC272" s="13" t="str">
        <f t="shared" si="548"/>
        <v/>
      </c>
      <c r="DD272" s="13"/>
      <c r="DE272" s="13"/>
      <c r="DF272" s="13"/>
      <c r="DG272" s="13" t="str">
        <f t="shared" si="529"/>
        <v/>
      </c>
      <c r="DH272" s="14" t="str">
        <f t="shared" si="530"/>
        <v/>
      </c>
      <c r="DI272" s="15"/>
      <c r="DJ272" s="1"/>
      <c r="DK272" s="16"/>
      <c r="DL272" s="54"/>
      <c r="DM272" s="13" t="str">
        <f t="shared" si="549"/>
        <v/>
      </c>
      <c r="DN272" s="13"/>
      <c r="DO272" s="13"/>
      <c r="DP272" s="13"/>
      <c r="DQ272" s="13" t="str">
        <f t="shared" si="550"/>
        <v/>
      </c>
      <c r="DR272" s="13"/>
      <c r="DS272" s="13"/>
      <c r="DT272" s="13"/>
      <c r="DU272" s="13" t="str">
        <f t="shared" si="531"/>
        <v/>
      </c>
      <c r="DV272" s="14" t="str">
        <f t="shared" si="532"/>
        <v/>
      </c>
      <c r="DW272" s="15"/>
      <c r="DY272" s="16"/>
      <c r="DZ272" s="54"/>
      <c r="EA272" s="13" t="str">
        <f t="shared" si="551"/>
        <v/>
      </c>
      <c r="EB272" s="13"/>
      <c r="EC272" s="13"/>
      <c r="ED272" s="13"/>
      <c r="EE272" s="13" t="str">
        <f t="shared" si="552"/>
        <v/>
      </c>
      <c r="EF272" s="13"/>
      <c r="EG272" s="13"/>
      <c r="EH272" s="13"/>
      <c r="EI272" s="13" t="str">
        <f t="shared" si="533"/>
        <v/>
      </c>
      <c r="EJ272" s="14" t="str">
        <f t="shared" si="534"/>
        <v/>
      </c>
      <c r="EK272" s="15"/>
    </row>
    <row r="273" spans="1:141" ht="15" customHeight="1" thickTop="1" x14ac:dyDescent="0.2">
      <c r="A273" s="79"/>
      <c r="B273" s="74" t="str">
        <f>IF(A273="","",SUM(D273:D276)+SUM(R273:R276)+SUM(AF273:AF276)+SUM(AT273:AT276)+SUM(BW237,CK237,CY237,DM237))</f>
        <v/>
      </c>
      <c r="C273" s="53"/>
      <c r="D273" s="53" t="str">
        <f t="shared" si="555"/>
        <v/>
      </c>
      <c r="E273" s="53"/>
      <c r="F273" s="31" t="str">
        <f t="shared" si="556"/>
        <v/>
      </c>
      <c r="G273" s="53"/>
      <c r="H273" s="53" t="str">
        <f t="shared" si="557"/>
        <v/>
      </c>
      <c r="I273" s="53"/>
      <c r="J273" s="75" t="str">
        <f t="shared" si="558"/>
        <v/>
      </c>
      <c r="K273" s="76" t="str">
        <f t="shared" si="559"/>
        <v/>
      </c>
      <c r="L273" s="31" t="str">
        <f t="shared" si="560"/>
        <v/>
      </c>
      <c r="M273" s="32" t="str">
        <f t="shared" si="561"/>
        <v/>
      </c>
      <c r="N273" s="15"/>
      <c r="O273" s="2"/>
      <c r="P273" s="79" t="str">
        <f>IF(A273="","",A273)</f>
        <v/>
      </c>
      <c r="Q273" s="53"/>
      <c r="R273" s="53" t="str">
        <f t="shared" si="537"/>
        <v/>
      </c>
      <c r="S273" s="53"/>
      <c r="T273" s="31" t="str">
        <f t="shared" si="562"/>
        <v/>
      </c>
      <c r="U273" s="53"/>
      <c r="V273" s="53" t="str">
        <f t="shared" si="563"/>
        <v/>
      </c>
      <c r="W273" s="53"/>
      <c r="X273" s="75" t="str">
        <f t="shared" si="564"/>
        <v/>
      </c>
      <c r="Y273" s="76" t="str">
        <f t="shared" si="565"/>
        <v/>
      </c>
      <c r="Z273" s="31" t="str">
        <f t="shared" si="566"/>
        <v/>
      </c>
      <c r="AA273" s="32" t="str">
        <f t="shared" si="567"/>
        <v/>
      </c>
      <c r="AB273" s="15"/>
      <c r="AD273" s="79" t="str">
        <f>IF($A273="","",$A273)</f>
        <v/>
      </c>
      <c r="AE273" s="53"/>
      <c r="AF273" s="53" t="str">
        <f t="shared" si="568"/>
        <v/>
      </c>
      <c r="AG273" s="53"/>
      <c r="AH273" s="31" t="str">
        <f t="shared" si="569"/>
        <v/>
      </c>
      <c r="AI273" s="53"/>
      <c r="AJ273" s="53" t="str">
        <f t="shared" si="570"/>
        <v/>
      </c>
      <c r="AK273" s="53"/>
      <c r="AL273" s="75" t="str">
        <f t="shared" si="571"/>
        <v/>
      </c>
      <c r="AM273" s="76" t="str">
        <f t="shared" si="572"/>
        <v/>
      </c>
      <c r="AN273" s="31" t="str">
        <f t="shared" si="573"/>
        <v/>
      </c>
      <c r="AO273" s="32" t="str">
        <f t="shared" si="574"/>
        <v/>
      </c>
      <c r="AP273" s="15"/>
      <c r="AQ273" s="115"/>
      <c r="AR273" s="79" t="str">
        <f>IF($A273="","",$A273)</f>
        <v/>
      </c>
      <c r="AS273" s="53"/>
      <c r="AT273" s="53" t="str">
        <f t="shared" si="575"/>
        <v/>
      </c>
      <c r="AU273" s="53"/>
      <c r="AV273" s="31" t="str">
        <f t="shared" si="576"/>
        <v/>
      </c>
      <c r="AW273" s="53"/>
      <c r="AX273" s="53" t="str">
        <f t="shared" si="577"/>
        <v/>
      </c>
      <c r="AY273" s="53"/>
      <c r="AZ273" s="75" t="str">
        <f t="shared" si="541"/>
        <v/>
      </c>
      <c r="BA273" s="76" t="str">
        <f t="shared" si="542"/>
        <v/>
      </c>
      <c r="BB273" s="31" t="str">
        <f t="shared" si="578"/>
        <v/>
      </c>
      <c r="BC273" s="32" t="str">
        <f t="shared" si="579"/>
        <v/>
      </c>
      <c r="BD273" s="15"/>
      <c r="BE273" s="2"/>
      <c r="BF273" s="79" t="str">
        <f>IF(DW273="","",DW273)</f>
        <v/>
      </c>
      <c r="BG273" s="240"/>
      <c r="BH273" s="53"/>
      <c r="BI273" s="53" t="str">
        <f t="shared" si="580"/>
        <v/>
      </c>
      <c r="BJ273" s="53"/>
      <c r="BK273" s="31" t="str">
        <f t="shared" si="581"/>
        <v/>
      </c>
      <c r="BL273" s="53"/>
      <c r="BM273" s="53" t="str">
        <f t="shared" si="538"/>
        <v/>
      </c>
      <c r="BN273" s="53"/>
      <c r="BO273" s="75" t="str">
        <f t="shared" si="554"/>
        <v/>
      </c>
      <c r="BP273" s="76" t="str">
        <f t="shared" si="553"/>
        <v/>
      </c>
      <c r="BQ273" s="31" t="str">
        <f t="shared" si="582"/>
        <v/>
      </c>
      <c r="BR273" s="32" t="str">
        <f t="shared" si="583"/>
        <v/>
      </c>
      <c r="BS273" s="15"/>
      <c r="BT273" s="114"/>
      <c r="BU273" s="16"/>
      <c r="BV273" s="54"/>
      <c r="BW273" s="13"/>
      <c r="BX273" s="13"/>
      <c r="BY273" s="13"/>
      <c r="BZ273" s="13"/>
      <c r="CA273" s="13"/>
      <c r="CB273" s="13"/>
      <c r="CC273" s="13"/>
      <c r="CD273" s="13"/>
      <c r="CE273" s="13"/>
      <c r="CF273" s="14"/>
      <c r="CG273" s="15"/>
      <c r="CH273" s="1"/>
      <c r="CI273" s="16"/>
      <c r="CJ273" s="54"/>
      <c r="CK273" s="13"/>
      <c r="CL273" s="13"/>
      <c r="CM273" s="13"/>
      <c r="CN273" s="13"/>
      <c r="CO273" s="13"/>
      <c r="CP273" s="13"/>
      <c r="CQ273" s="13"/>
      <c r="CR273" s="13"/>
      <c r="CS273" s="13"/>
      <c r="CT273" s="14"/>
      <c r="CU273" s="15"/>
      <c r="CV273" s="1"/>
      <c r="CW273" s="16"/>
      <c r="CX273" s="54"/>
      <c r="CY273" s="13"/>
      <c r="CZ273" s="13"/>
      <c r="DA273" s="13"/>
      <c r="DB273" s="13"/>
      <c r="DC273" s="13"/>
      <c r="DD273" s="13"/>
      <c r="DE273" s="13"/>
      <c r="DF273" s="13"/>
      <c r="DG273" s="13"/>
      <c r="DH273" s="14"/>
      <c r="DI273" s="15"/>
      <c r="DJ273" s="1"/>
      <c r="DK273" s="16"/>
      <c r="DL273" s="54"/>
      <c r="DM273" s="13"/>
      <c r="DN273" s="13"/>
      <c r="DO273" s="13"/>
      <c r="DP273" s="13"/>
      <c r="DQ273" s="13"/>
      <c r="DR273" s="13"/>
      <c r="DS273" s="13"/>
      <c r="DT273" s="13"/>
      <c r="DU273" s="13"/>
      <c r="DV273" s="14"/>
      <c r="DW273" s="15"/>
      <c r="DY273" s="16"/>
      <c r="DZ273" s="54"/>
      <c r="EA273" s="13"/>
      <c r="EB273" s="13"/>
      <c r="EC273" s="13"/>
      <c r="ED273" s="13"/>
      <c r="EE273" s="13"/>
      <c r="EF273" s="13"/>
      <c r="EG273" s="13"/>
      <c r="EH273" s="13"/>
      <c r="EI273" s="13"/>
      <c r="EJ273" s="14"/>
      <c r="EK273" s="15"/>
    </row>
    <row r="274" spans="1:141" ht="15" customHeight="1" x14ac:dyDescent="0.2">
      <c r="A274" s="16"/>
      <c r="B274" s="11"/>
      <c r="C274" s="13"/>
      <c r="D274" s="13" t="str">
        <f t="shared" si="555"/>
        <v/>
      </c>
      <c r="E274" s="13"/>
      <c r="F274" s="13" t="str">
        <f t="shared" si="556"/>
        <v/>
      </c>
      <c r="G274" s="13"/>
      <c r="H274" s="50" t="str">
        <f t="shared" si="557"/>
        <v/>
      </c>
      <c r="I274" s="13"/>
      <c r="J274" s="56" t="str">
        <f t="shared" si="558"/>
        <v/>
      </c>
      <c r="K274" s="54" t="str">
        <f t="shared" si="559"/>
        <v/>
      </c>
      <c r="L274" s="13" t="str">
        <f t="shared" si="560"/>
        <v/>
      </c>
      <c r="M274" s="14" t="str">
        <f t="shared" si="561"/>
        <v/>
      </c>
      <c r="N274" s="15"/>
      <c r="O274" s="2"/>
      <c r="P274" s="16"/>
      <c r="Q274" s="13"/>
      <c r="R274" s="13" t="str">
        <f t="shared" si="537"/>
        <v/>
      </c>
      <c r="S274" s="13"/>
      <c r="T274" s="13" t="str">
        <f t="shared" si="562"/>
        <v/>
      </c>
      <c r="U274" s="13"/>
      <c r="V274" s="50" t="str">
        <f t="shared" si="563"/>
        <v/>
      </c>
      <c r="W274" s="13"/>
      <c r="X274" s="56" t="str">
        <f t="shared" si="564"/>
        <v/>
      </c>
      <c r="Y274" s="54" t="str">
        <f t="shared" si="565"/>
        <v/>
      </c>
      <c r="Z274" s="13" t="str">
        <f t="shared" si="566"/>
        <v/>
      </c>
      <c r="AA274" s="14" t="str">
        <f t="shared" si="567"/>
        <v/>
      </c>
      <c r="AB274" s="15"/>
      <c r="AD274" s="16"/>
      <c r="AE274" s="13"/>
      <c r="AF274" s="13" t="str">
        <f t="shared" si="568"/>
        <v/>
      </c>
      <c r="AG274" s="13"/>
      <c r="AH274" s="13" t="str">
        <f t="shared" si="569"/>
        <v/>
      </c>
      <c r="AI274" s="13"/>
      <c r="AJ274" s="50" t="str">
        <f t="shared" si="570"/>
        <v/>
      </c>
      <c r="AK274" s="13"/>
      <c r="AL274" s="56" t="str">
        <f t="shared" si="571"/>
        <v/>
      </c>
      <c r="AM274" s="54" t="str">
        <f t="shared" si="572"/>
        <v/>
      </c>
      <c r="AN274" s="13" t="str">
        <f t="shared" si="573"/>
        <v/>
      </c>
      <c r="AO274" s="14" t="str">
        <f t="shared" si="574"/>
        <v/>
      </c>
      <c r="AP274" s="15"/>
      <c r="AQ274" s="115"/>
      <c r="AR274" s="16"/>
      <c r="AS274" s="13"/>
      <c r="AT274" s="13" t="str">
        <f t="shared" si="575"/>
        <v/>
      </c>
      <c r="AU274" s="13"/>
      <c r="AV274" s="13" t="str">
        <f t="shared" si="576"/>
        <v/>
      </c>
      <c r="AW274" s="13"/>
      <c r="AX274" s="50" t="str">
        <f t="shared" si="577"/>
        <v/>
      </c>
      <c r="AY274" s="13"/>
      <c r="AZ274" s="56" t="str">
        <f t="shared" si="541"/>
        <v/>
      </c>
      <c r="BA274" s="54" t="str">
        <f t="shared" si="542"/>
        <v/>
      </c>
      <c r="BB274" s="13" t="str">
        <f t="shared" si="578"/>
        <v/>
      </c>
      <c r="BC274" s="14" t="str">
        <f t="shared" si="579"/>
        <v/>
      </c>
      <c r="BD274" s="15"/>
      <c r="BE274" s="2"/>
      <c r="BF274" s="16"/>
      <c r="BG274" s="7"/>
      <c r="BH274" s="13"/>
      <c r="BI274" s="13" t="str">
        <f t="shared" si="580"/>
        <v/>
      </c>
      <c r="BJ274" s="13"/>
      <c r="BK274" s="13" t="str">
        <f t="shared" si="581"/>
        <v/>
      </c>
      <c r="BL274" s="13"/>
      <c r="BM274" s="50" t="str">
        <f t="shared" si="538"/>
        <v/>
      </c>
      <c r="BN274" s="13"/>
      <c r="BO274" s="56" t="str">
        <f t="shared" si="554"/>
        <v/>
      </c>
      <c r="BP274" s="54" t="str">
        <f t="shared" si="553"/>
        <v/>
      </c>
      <c r="BQ274" s="13" t="str">
        <f t="shared" si="582"/>
        <v/>
      </c>
      <c r="BR274" s="14" t="str">
        <f t="shared" si="583"/>
        <v/>
      </c>
      <c r="BS274" s="15"/>
      <c r="BT274" s="114"/>
      <c r="BU274" s="16"/>
      <c r="BV274" s="54"/>
      <c r="BW274" s="13" t="str">
        <f>IF(BV274="","",BV274-#REF!)</f>
        <v/>
      </c>
      <c r="BX274" s="13"/>
      <c r="BY274" s="13"/>
      <c r="BZ274" s="13"/>
      <c r="CA274" s="13" t="str">
        <f>IF(BZ274="","",#REF!+#REF!-BZ274)</f>
        <v/>
      </c>
      <c r="CB274" s="13"/>
      <c r="CC274" s="13"/>
      <c r="CD274" s="13"/>
      <c r="CE274" s="13" t="str">
        <f>IF(CD274="","",CA274*CD274)</f>
        <v/>
      </c>
      <c r="CF274" s="14" t="str">
        <f>IF(CE274="","",CE274/(BW274*100))</f>
        <v/>
      </c>
      <c r="CG274" s="15"/>
      <c r="CH274" s="1"/>
      <c r="CI274" s="16"/>
      <c r="CJ274" s="54"/>
      <c r="CK274" s="13" t="str">
        <f>IF(CJ274="","",CJ274-#REF!)</f>
        <v/>
      </c>
      <c r="CL274" s="13"/>
      <c r="CM274" s="13"/>
      <c r="CN274" s="13"/>
      <c r="CO274" s="13" t="str">
        <f>IF(CN274="","",#REF!+#REF!-CN274)</f>
        <v/>
      </c>
      <c r="CP274" s="13"/>
      <c r="CQ274" s="13"/>
      <c r="CR274" s="13"/>
      <c r="CS274" s="13" t="str">
        <f>IF(CR274="","",CO274*CR274)</f>
        <v/>
      </c>
      <c r="CT274" s="14" t="str">
        <f>IF(CS274="","",CS274/(CK274*100))</f>
        <v/>
      </c>
      <c r="CU274" s="15"/>
      <c r="CV274" s="1"/>
      <c r="CW274" s="16"/>
      <c r="CX274" s="54"/>
      <c r="CY274" s="13" t="str">
        <f>IF(CX274="","",CX274-#REF!)</f>
        <v/>
      </c>
      <c r="CZ274" s="13"/>
      <c r="DA274" s="13"/>
      <c r="DB274" s="13"/>
      <c r="DC274" s="13" t="str">
        <f>IF(DB274="","",#REF!+#REF!-DB274)</f>
        <v/>
      </c>
      <c r="DD274" s="13"/>
      <c r="DE274" s="13"/>
      <c r="DF274" s="13"/>
      <c r="DG274" s="13" t="str">
        <f>IF(DF274="","",DC274*DF274)</f>
        <v/>
      </c>
      <c r="DH274" s="14" t="str">
        <f>IF(DG274="","",DG274/(CY274*100))</f>
        <v/>
      </c>
      <c r="DI274" s="15"/>
      <c r="DJ274" s="1"/>
      <c r="DK274" s="16"/>
      <c r="DL274" s="54"/>
      <c r="DM274" s="13" t="str">
        <f>IF(DL274="","",DL274-#REF!)</f>
        <v/>
      </c>
      <c r="DN274" s="13"/>
      <c r="DO274" s="13"/>
      <c r="DP274" s="13"/>
      <c r="DQ274" s="13" t="str">
        <f>IF(DP274="","",#REF!+#REF!-DP274)</f>
        <v/>
      </c>
      <c r="DR274" s="13"/>
      <c r="DS274" s="13"/>
      <c r="DT274" s="13"/>
      <c r="DU274" s="13" t="str">
        <f>IF(DT274="","",DQ274*DT274)</f>
        <v/>
      </c>
      <c r="DV274" s="14" t="str">
        <f>IF(DU274="","",DU274/(DM274*100))</f>
        <v/>
      </c>
      <c r="DW274" s="15"/>
      <c r="DY274" s="16"/>
      <c r="DZ274" s="54"/>
      <c r="EA274" s="13" t="str">
        <f>IF(DZ274="","",DZ274-#REF!)</f>
        <v/>
      </c>
      <c r="EB274" s="13"/>
      <c r="EC274" s="13"/>
      <c r="ED274" s="13"/>
      <c r="EE274" s="13" t="str">
        <f>IF(ED274="","",#REF!+#REF!-ED274)</f>
        <v/>
      </c>
      <c r="EF274" s="13"/>
      <c r="EG274" s="13"/>
      <c r="EH274" s="13"/>
      <c r="EI274" s="13" t="str">
        <f>IF(EH274="","",EE274*EH274)</f>
        <v/>
      </c>
      <c r="EJ274" s="14" t="str">
        <f>IF(EI274="","",EI274/(EA274*100))</f>
        <v/>
      </c>
      <c r="EK274" s="15"/>
    </row>
    <row r="275" spans="1:141" ht="15" customHeight="1" x14ac:dyDescent="0.2">
      <c r="A275" s="16"/>
      <c r="B275" s="11"/>
      <c r="C275" s="13"/>
      <c r="D275" s="13" t="str">
        <f t="shared" si="555"/>
        <v/>
      </c>
      <c r="E275" s="13"/>
      <c r="F275" s="13" t="str">
        <f t="shared" si="556"/>
        <v/>
      </c>
      <c r="G275" s="13"/>
      <c r="H275" s="13" t="str">
        <f t="shared" si="557"/>
        <v/>
      </c>
      <c r="I275" s="13"/>
      <c r="J275" s="56" t="str">
        <f t="shared" si="558"/>
        <v/>
      </c>
      <c r="K275" s="13" t="str">
        <f t="shared" si="559"/>
        <v/>
      </c>
      <c r="L275" s="13" t="str">
        <f t="shared" si="560"/>
        <v/>
      </c>
      <c r="M275" s="14" t="str">
        <f t="shared" si="561"/>
        <v/>
      </c>
      <c r="N275" s="15"/>
      <c r="O275" s="2"/>
      <c r="P275" s="16"/>
      <c r="Q275" s="13"/>
      <c r="R275" s="13" t="str">
        <f t="shared" si="537"/>
        <v/>
      </c>
      <c r="S275" s="13"/>
      <c r="T275" s="13" t="str">
        <f t="shared" si="562"/>
        <v/>
      </c>
      <c r="U275" s="13"/>
      <c r="V275" s="13" t="str">
        <f t="shared" si="563"/>
        <v/>
      </c>
      <c r="W275" s="13"/>
      <c r="X275" s="56" t="str">
        <f t="shared" si="564"/>
        <v/>
      </c>
      <c r="Y275" s="13" t="str">
        <f t="shared" si="565"/>
        <v/>
      </c>
      <c r="Z275" s="13" t="str">
        <f t="shared" si="566"/>
        <v/>
      </c>
      <c r="AA275" s="14" t="str">
        <f t="shared" si="567"/>
        <v/>
      </c>
      <c r="AB275" s="15"/>
      <c r="AD275" s="16"/>
      <c r="AE275" s="13"/>
      <c r="AF275" s="13" t="str">
        <f t="shared" si="568"/>
        <v/>
      </c>
      <c r="AG275" s="13"/>
      <c r="AH275" s="13" t="str">
        <f t="shared" si="569"/>
        <v/>
      </c>
      <c r="AI275" s="13"/>
      <c r="AJ275" s="13" t="str">
        <f t="shared" si="570"/>
        <v/>
      </c>
      <c r="AK275" s="13"/>
      <c r="AL275" s="56" t="str">
        <f t="shared" si="571"/>
        <v/>
      </c>
      <c r="AM275" s="13" t="str">
        <f t="shared" si="572"/>
        <v/>
      </c>
      <c r="AN275" s="13" t="str">
        <f t="shared" si="573"/>
        <v/>
      </c>
      <c r="AO275" s="14" t="str">
        <f t="shared" si="574"/>
        <v/>
      </c>
      <c r="AP275" s="15"/>
      <c r="AQ275" s="115"/>
      <c r="AR275" s="16"/>
      <c r="AS275" s="13"/>
      <c r="AT275" s="13" t="str">
        <f t="shared" si="575"/>
        <v/>
      </c>
      <c r="AU275" s="13"/>
      <c r="AV275" s="13" t="str">
        <f t="shared" si="576"/>
        <v/>
      </c>
      <c r="AW275" s="13"/>
      <c r="AX275" s="13" t="str">
        <f t="shared" si="577"/>
        <v/>
      </c>
      <c r="AY275" s="13"/>
      <c r="AZ275" s="56" t="str">
        <f t="shared" si="541"/>
        <v/>
      </c>
      <c r="BA275" s="13" t="str">
        <f t="shared" si="542"/>
        <v/>
      </c>
      <c r="BB275" s="13" t="str">
        <f t="shared" si="578"/>
        <v/>
      </c>
      <c r="BC275" s="14" t="str">
        <f t="shared" si="579"/>
        <v/>
      </c>
      <c r="BD275" s="15"/>
      <c r="BE275" s="2"/>
      <c r="BF275" s="16"/>
      <c r="BG275" s="7"/>
      <c r="BH275" s="13"/>
      <c r="BI275" s="13" t="str">
        <f t="shared" si="580"/>
        <v/>
      </c>
      <c r="BJ275" s="13"/>
      <c r="BK275" s="13" t="str">
        <f t="shared" si="581"/>
        <v/>
      </c>
      <c r="BL275" s="13"/>
      <c r="BM275" s="13" t="str">
        <f t="shared" si="538"/>
        <v/>
      </c>
      <c r="BN275" s="13"/>
      <c r="BO275" s="56" t="str">
        <f t="shared" si="554"/>
        <v/>
      </c>
      <c r="BP275" s="13" t="str">
        <f t="shared" si="553"/>
        <v/>
      </c>
      <c r="BQ275" s="13" t="str">
        <f t="shared" si="582"/>
        <v/>
      </c>
      <c r="BR275" s="14" t="str">
        <f t="shared" si="583"/>
        <v/>
      </c>
      <c r="BS275" s="15"/>
      <c r="BU275" s="16"/>
      <c r="BV275" s="54"/>
      <c r="BW275" s="13" t="str">
        <f>IF(BV275="","",BV275-BV274)</f>
        <v/>
      </c>
      <c r="BX275" s="13"/>
      <c r="BY275" s="13"/>
      <c r="BZ275" s="13"/>
      <c r="CA275" s="13" t="str">
        <f>IF(BZ275="","",BZ274+CB274-BZ275)</f>
        <v/>
      </c>
      <c r="CB275" s="13"/>
      <c r="CC275" s="13"/>
      <c r="CD275" s="13"/>
      <c r="CE275" s="13" t="str">
        <f>IF(CD275="","",CA275*CD275)</f>
        <v/>
      </c>
      <c r="CF275" s="14" t="str">
        <f>IF(CE275="","",CE275/(BW275*100))</f>
        <v/>
      </c>
      <c r="CG275" s="15"/>
      <c r="CH275" s="1"/>
      <c r="CI275" s="16"/>
      <c r="CJ275" s="54"/>
      <c r="CK275" s="13" t="str">
        <f>IF(CJ275="","",CJ275-CJ274)</f>
        <v/>
      </c>
      <c r="CL275" s="13"/>
      <c r="CM275" s="13"/>
      <c r="CN275" s="13"/>
      <c r="CO275" s="13" t="str">
        <f>IF(CN275="","",CN274+CP274-CN275)</f>
        <v/>
      </c>
      <c r="CP275" s="13"/>
      <c r="CQ275" s="13"/>
      <c r="CR275" s="13"/>
      <c r="CS275" s="13" t="str">
        <f>IF(CR275="","",CO275*CR275)</f>
        <v/>
      </c>
      <c r="CT275" s="14" t="str">
        <f>IF(CS275="","",CS275/(CK275*100))</f>
        <v/>
      </c>
      <c r="CU275" s="15"/>
      <c r="CV275" s="1"/>
      <c r="CW275" s="16"/>
      <c r="CX275" s="54"/>
      <c r="CY275" s="13" t="str">
        <f>IF(CX275="","",CX275-CX274)</f>
        <v/>
      </c>
      <c r="CZ275" s="13"/>
      <c r="DA275" s="13"/>
      <c r="DB275" s="13"/>
      <c r="DC275" s="13" t="str">
        <f>IF(DB275="","",DB274+DD274-DB275)</f>
        <v/>
      </c>
      <c r="DD275" s="13"/>
      <c r="DE275" s="13"/>
      <c r="DF275" s="13"/>
      <c r="DG275" s="13" t="str">
        <f>IF(DF275="","",DC275*DF275)</f>
        <v/>
      </c>
      <c r="DH275" s="14" t="str">
        <f>IF(DG275="","",DG275/(CY275*100))</f>
        <v/>
      </c>
      <c r="DI275" s="15"/>
      <c r="DJ275" s="1"/>
      <c r="DK275" s="16"/>
      <c r="DL275" s="54"/>
      <c r="DM275" s="13" t="str">
        <f>IF(DL275="","",DL275-DL274)</f>
        <v/>
      </c>
      <c r="DN275" s="13"/>
      <c r="DO275" s="13"/>
      <c r="DP275" s="13"/>
      <c r="DQ275" s="13" t="str">
        <f>IF(DP275="","",DP274+DR274-DP275)</f>
        <v/>
      </c>
      <c r="DR275" s="13"/>
      <c r="DS275" s="13"/>
      <c r="DT275" s="13"/>
      <c r="DU275" s="13" t="str">
        <f>IF(DT275="","",DQ275*DT275)</f>
        <v/>
      </c>
      <c r="DV275" s="14" t="str">
        <f>IF(DU275="","",DU275/(DM275*100))</f>
        <v/>
      </c>
      <c r="DW275" s="15"/>
      <c r="DY275" s="16"/>
      <c r="DZ275" s="54"/>
      <c r="EA275" s="13" t="str">
        <f>IF(DZ275="","",DZ275-DZ274)</f>
        <v/>
      </c>
      <c r="EB275" s="13"/>
      <c r="EC275" s="13"/>
      <c r="ED275" s="13"/>
      <c r="EE275" s="13" t="str">
        <f>IF(ED275="","",ED274+EF274-ED275)</f>
        <v/>
      </c>
      <c r="EF275" s="13"/>
      <c r="EG275" s="13"/>
      <c r="EH275" s="13"/>
      <c r="EI275" s="13" t="str">
        <f>IF(EH275="","",EE275*EH275)</f>
        <v/>
      </c>
      <c r="EJ275" s="14" t="str">
        <f>IF(EI275="","",EI275/(EA275*100))</f>
        <v/>
      </c>
      <c r="EK275" s="15"/>
    </row>
    <row r="276" spans="1:141" ht="15" customHeight="1" thickBot="1" x14ac:dyDescent="0.25">
      <c r="A276" s="26"/>
      <c r="B276" s="46"/>
      <c r="C276" s="27"/>
      <c r="D276" s="27" t="str">
        <f t="shared" si="555"/>
        <v/>
      </c>
      <c r="E276" s="27"/>
      <c r="F276" s="27" t="str">
        <f t="shared" si="556"/>
        <v/>
      </c>
      <c r="G276" s="27"/>
      <c r="H276" s="27" t="str">
        <f t="shared" si="557"/>
        <v/>
      </c>
      <c r="I276" s="27"/>
      <c r="J276" s="57" t="str">
        <f t="shared" si="558"/>
        <v/>
      </c>
      <c r="K276" s="62" t="str">
        <f t="shared" si="559"/>
        <v/>
      </c>
      <c r="L276" s="27" t="str">
        <f t="shared" si="560"/>
        <v/>
      </c>
      <c r="M276" s="28" t="str">
        <f t="shared" si="561"/>
        <v/>
      </c>
      <c r="N276" s="15"/>
      <c r="O276" s="2"/>
      <c r="P276" s="26"/>
      <c r="Q276" s="27"/>
      <c r="R276" s="27" t="str">
        <f t="shared" si="537"/>
        <v/>
      </c>
      <c r="S276" s="27"/>
      <c r="T276" s="27" t="str">
        <f t="shared" si="562"/>
        <v/>
      </c>
      <c r="U276" s="27"/>
      <c r="V276" s="27" t="str">
        <f t="shared" si="563"/>
        <v/>
      </c>
      <c r="W276" s="27"/>
      <c r="X276" s="57" t="str">
        <f t="shared" si="564"/>
        <v/>
      </c>
      <c r="Y276" s="62" t="str">
        <f t="shared" si="565"/>
        <v/>
      </c>
      <c r="Z276" s="27" t="str">
        <f t="shared" si="566"/>
        <v/>
      </c>
      <c r="AA276" s="28" t="str">
        <f t="shared" si="567"/>
        <v/>
      </c>
      <c r="AB276" s="15"/>
      <c r="AD276" s="26"/>
      <c r="AE276" s="27"/>
      <c r="AF276" s="27" t="str">
        <f t="shared" si="568"/>
        <v/>
      </c>
      <c r="AG276" s="27"/>
      <c r="AH276" s="27" t="str">
        <f t="shared" si="569"/>
        <v/>
      </c>
      <c r="AI276" s="27"/>
      <c r="AJ276" s="27" t="str">
        <f t="shared" si="570"/>
        <v/>
      </c>
      <c r="AK276" s="27"/>
      <c r="AL276" s="57" t="str">
        <f t="shared" si="571"/>
        <v/>
      </c>
      <c r="AM276" s="62" t="str">
        <f t="shared" si="572"/>
        <v/>
      </c>
      <c r="AN276" s="27" t="str">
        <f t="shared" si="573"/>
        <v/>
      </c>
      <c r="AO276" s="28" t="str">
        <f t="shared" si="574"/>
        <v/>
      </c>
      <c r="AP276" s="15"/>
      <c r="AQ276" s="115"/>
      <c r="AR276" s="26"/>
      <c r="AS276" s="27"/>
      <c r="AT276" s="27" t="str">
        <f t="shared" si="575"/>
        <v/>
      </c>
      <c r="AU276" s="27"/>
      <c r="AV276" s="27" t="str">
        <f t="shared" si="576"/>
        <v/>
      </c>
      <c r="AW276" s="27"/>
      <c r="AX276" s="27" t="str">
        <f t="shared" si="577"/>
        <v/>
      </c>
      <c r="AY276" s="27"/>
      <c r="AZ276" s="57" t="str">
        <f t="shared" si="541"/>
        <v/>
      </c>
      <c r="BA276" s="62" t="str">
        <f t="shared" si="542"/>
        <v/>
      </c>
      <c r="BB276" s="27" t="str">
        <f t="shared" si="578"/>
        <v/>
      </c>
      <c r="BC276" s="28" t="str">
        <f t="shared" si="579"/>
        <v/>
      </c>
      <c r="BD276" s="15"/>
      <c r="BE276" s="2"/>
      <c r="BF276" s="26"/>
      <c r="BG276" s="241"/>
      <c r="BH276" s="27"/>
      <c r="BI276" s="27" t="str">
        <f t="shared" si="580"/>
        <v/>
      </c>
      <c r="BJ276" s="27"/>
      <c r="BK276" s="27" t="str">
        <f t="shared" si="581"/>
        <v/>
      </c>
      <c r="BL276" s="27"/>
      <c r="BM276" s="27" t="str">
        <f t="shared" si="538"/>
        <v/>
      </c>
      <c r="BN276" s="27"/>
      <c r="BO276" s="57" t="str">
        <f t="shared" si="554"/>
        <v/>
      </c>
      <c r="BP276" s="62" t="str">
        <f t="shared" si="553"/>
        <v/>
      </c>
      <c r="BQ276" s="27" t="str">
        <f t="shared" si="582"/>
        <v/>
      </c>
      <c r="BR276" s="28" t="str">
        <f t="shared" si="583"/>
        <v/>
      </c>
      <c r="BS276" s="15"/>
      <c r="BU276" s="16"/>
      <c r="BV276" s="54"/>
      <c r="BW276" s="13" t="str">
        <f>IF(BV276="","",BV276-BV275)</f>
        <v/>
      </c>
      <c r="BX276" s="13"/>
      <c r="BY276" s="13"/>
      <c r="BZ276" s="13"/>
      <c r="CA276" s="13" t="str">
        <f>IF(BZ276="","",BZ275+CB275-BZ276)</f>
        <v/>
      </c>
      <c r="CB276" s="13"/>
      <c r="CC276" s="13"/>
      <c r="CD276" s="13"/>
      <c r="CE276" s="13" t="str">
        <f>IF(CD276="","",CA276*CD276)</f>
        <v/>
      </c>
      <c r="CF276" s="14" t="str">
        <f>IF(CE276="","",CE276/(BW276*100))</f>
        <v/>
      </c>
      <c r="CG276" s="15"/>
      <c r="CH276" s="1"/>
      <c r="CI276" s="16"/>
      <c r="CJ276" s="54"/>
      <c r="CK276" s="13" t="str">
        <f>IF(CJ276="","",CJ276-CJ275)</f>
        <v/>
      </c>
      <c r="CL276" s="13"/>
      <c r="CM276" s="13"/>
      <c r="CN276" s="13"/>
      <c r="CO276" s="13" t="str">
        <f>IF(CN276="","",CN275+CP275-CN276)</f>
        <v/>
      </c>
      <c r="CP276" s="13"/>
      <c r="CQ276" s="13"/>
      <c r="CR276" s="13"/>
      <c r="CS276" s="13" t="str">
        <f>IF(CR276="","",CO276*CR276)</f>
        <v/>
      </c>
      <c r="CT276" s="14" t="str">
        <f>IF(CS276="","",CS276/(CK276*100))</f>
        <v/>
      </c>
      <c r="CU276" s="15"/>
      <c r="CV276" s="1"/>
      <c r="CW276" s="16"/>
      <c r="CX276" s="54"/>
      <c r="CY276" s="13" t="str">
        <f>IF(CX276="","",CX276-CX275)</f>
        <v/>
      </c>
      <c r="CZ276" s="13"/>
      <c r="DA276" s="13"/>
      <c r="DB276" s="13"/>
      <c r="DC276" s="13" t="str">
        <f>IF(DB276="","",DB275+DD275-DB276)</f>
        <v/>
      </c>
      <c r="DD276" s="13"/>
      <c r="DE276" s="13"/>
      <c r="DF276" s="13"/>
      <c r="DG276" s="13" t="str">
        <f>IF(DF276="","",DC276*DF276)</f>
        <v/>
      </c>
      <c r="DH276" s="14" t="str">
        <f>IF(DG276="","",DG276/(CY276*100))</f>
        <v/>
      </c>
      <c r="DI276" s="15"/>
      <c r="DJ276" s="1"/>
      <c r="DK276" s="16"/>
      <c r="DL276" s="54"/>
      <c r="DM276" s="13" t="str">
        <f>IF(DL276="","",DL276-DL275)</f>
        <v/>
      </c>
      <c r="DN276" s="13"/>
      <c r="DO276" s="13"/>
      <c r="DP276" s="13"/>
      <c r="DQ276" s="13" t="str">
        <f>IF(DP276="","",DP275+DR275-DP276)</f>
        <v/>
      </c>
      <c r="DR276" s="13"/>
      <c r="DS276" s="13"/>
      <c r="DT276" s="13"/>
      <c r="DU276" s="13" t="str">
        <f>IF(DT276="","",DQ276*DT276)</f>
        <v/>
      </c>
      <c r="DV276" s="14" t="str">
        <f>IF(DU276="","",DU276/(DM276*100))</f>
        <v/>
      </c>
      <c r="DW276" s="15"/>
      <c r="DY276" s="16"/>
      <c r="DZ276" s="54"/>
      <c r="EA276" s="13" t="str">
        <f>IF(DZ276="","",DZ276-DZ275)</f>
        <v/>
      </c>
      <c r="EB276" s="13"/>
      <c r="EC276" s="13"/>
      <c r="ED276" s="13"/>
      <c r="EE276" s="13" t="str">
        <f>IF(ED276="","",ED275+EF275-ED276)</f>
        <v/>
      </c>
      <c r="EF276" s="13"/>
      <c r="EG276" s="13"/>
      <c r="EH276" s="13"/>
      <c r="EI276" s="13" t="str">
        <f>IF(EH276="","",EE276*EH276)</f>
        <v/>
      </c>
      <c r="EJ276" s="14" t="str">
        <f>IF(EI276="","",EI276/(EA276*100))</f>
        <v/>
      </c>
      <c r="EK276" s="15"/>
    </row>
    <row r="277" spans="1:141" ht="15" customHeight="1" thickTop="1" x14ac:dyDescent="0.2">
      <c r="A277" s="79"/>
      <c r="B277" s="74" t="str">
        <f>IF(A277="","",SUM(D277:D280)+SUM(R277:R280)+SUM(AF277:AF280)+SUM(AT277:AT280)+SUM(BW238,CK238,CY238,DM238))</f>
        <v/>
      </c>
      <c r="C277" s="53"/>
      <c r="D277" s="53" t="str">
        <f t="shared" si="555"/>
        <v/>
      </c>
      <c r="E277" s="53"/>
      <c r="F277" s="31" t="str">
        <f t="shared" si="556"/>
        <v/>
      </c>
      <c r="G277" s="53"/>
      <c r="H277" s="53" t="str">
        <f t="shared" si="557"/>
        <v/>
      </c>
      <c r="I277" s="53"/>
      <c r="J277" s="75" t="str">
        <f t="shared" si="558"/>
        <v/>
      </c>
      <c r="K277" s="76" t="str">
        <f t="shared" si="559"/>
        <v/>
      </c>
      <c r="L277" s="31" t="str">
        <f t="shared" si="560"/>
        <v/>
      </c>
      <c r="M277" s="32" t="str">
        <f t="shared" si="561"/>
        <v/>
      </c>
      <c r="N277" s="15"/>
      <c r="O277" s="2"/>
      <c r="P277" s="79" t="str">
        <f>IF(A277="","",A277)</f>
        <v/>
      </c>
      <c r="Q277" s="53"/>
      <c r="R277" s="53" t="str">
        <f t="shared" si="537"/>
        <v/>
      </c>
      <c r="S277" s="53"/>
      <c r="T277" s="31" t="str">
        <f t="shared" si="562"/>
        <v/>
      </c>
      <c r="U277" s="53"/>
      <c r="V277" s="53" t="str">
        <f t="shared" si="563"/>
        <v/>
      </c>
      <c r="W277" s="53"/>
      <c r="X277" s="75" t="str">
        <f t="shared" si="564"/>
        <v/>
      </c>
      <c r="Y277" s="76" t="str">
        <f t="shared" si="565"/>
        <v/>
      </c>
      <c r="Z277" s="31" t="str">
        <f t="shared" si="566"/>
        <v/>
      </c>
      <c r="AA277" s="32" t="str">
        <f t="shared" si="567"/>
        <v/>
      </c>
      <c r="AB277" s="15"/>
      <c r="AD277" s="79" t="str">
        <f>IF($A277="","",$A277)</f>
        <v/>
      </c>
      <c r="AE277" s="53"/>
      <c r="AF277" s="53" t="str">
        <f t="shared" si="568"/>
        <v/>
      </c>
      <c r="AG277" s="53"/>
      <c r="AH277" s="31" t="str">
        <f t="shared" si="569"/>
        <v/>
      </c>
      <c r="AI277" s="53"/>
      <c r="AJ277" s="53" t="str">
        <f t="shared" si="570"/>
        <v/>
      </c>
      <c r="AK277" s="53"/>
      <c r="AL277" s="75" t="str">
        <f t="shared" si="571"/>
        <v/>
      </c>
      <c r="AM277" s="76" t="str">
        <f t="shared" si="572"/>
        <v/>
      </c>
      <c r="AN277" s="31" t="str">
        <f t="shared" si="573"/>
        <v/>
      </c>
      <c r="AO277" s="32" t="str">
        <f t="shared" si="574"/>
        <v/>
      </c>
      <c r="AP277" s="15"/>
      <c r="AQ277" s="2"/>
      <c r="AR277" s="79" t="str">
        <f>IF($A277="","",$A277)</f>
        <v/>
      </c>
      <c r="AS277" s="53"/>
      <c r="AT277" s="53" t="str">
        <f t="shared" si="575"/>
        <v/>
      </c>
      <c r="AU277" s="53"/>
      <c r="AV277" s="31" t="str">
        <f t="shared" si="576"/>
        <v/>
      </c>
      <c r="AW277" s="53"/>
      <c r="AX277" s="53" t="str">
        <f t="shared" si="577"/>
        <v/>
      </c>
      <c r="AY277" s="53"/>
      <c r="AZ277" s="75" t="str">
        <f t="shared" si="541"/>
        <v/>
      </c>
      <c r="BA277" s="76" t="str">
        <f t="shared" si="542"/>
        <v/>
      </c>
      <c r="BB277" s="31" t="str">
        <f t="shared" si="578"/>
        <v/>
      </c>
      <c r="BC277" s="32" t="str">
        <f t="shared" si="579"/>
        <v/>
      </c>
      <c r="BD277" s="15"/>
      <c r="BE277" s="2"/>
      <c r="BF277" s="79" t="str">
        <f>IF(DW277="","",DW277)</f>
        <v/>
      </c>
      <c r="BG277" s="240"/>
      <c r="BH277" s="53"/>
      <c r="BI277" s="53" t="str">
        <f t="shared" si="580"/>
        <v/>
      </c>
      <c r="BJ277" s="53"/>
      <c r="BK277" s="31" t="str">
        <f t="shared" si="581"/>
        <v/>
      </c>
      <c r="BL277" s="53"/>
      <c r="BM277" s="53" t="str">
        <f t="shared" si="538"/>
        <v/>
      </c>
      <c r="BN277" s="53"/>
      <c r="BO277" s="75" t="str">
        <f t="shared" si="554"/>
        <v/>
      </c>
      <c r="BP277" s="76" t="str">
        <f t="shared" si="553"/>
        <v/>
      </c>
      <c r="BQ277" s="31" t="str">
        <f t="shared" si="582"/>
        <v/>
      </c>
      <c r="BR277" s="32" t="str">
        <f t="shared" si="583"/>
        <v/>
      </c>
      <c r="BS277" s="15"/>
      <c r="BU277" s="16"/>
      <c r="BV277" s="54"/>
      <c r="BW277" s="13"/>
      <c r="BX277" s="13"/>
      <c r="BY277" s="13"/>
      <c r="BZ277" s="13"/>
      <c r="CA277" s="13" t="str">
        <f>IF(BZ277="","",BZ276+CB276-BZ277)</f>
        <v/>
      </c>
      <c r="CB277" s="13"/>
      <c r="CC277" s="13"/>
      <c r="CD277" s="13"/>
      <c r="CE277" s="13" t="str">
        <f>IF(CD277="","",CA277*CD277)</f>
        <v/>
      </c>
      <c r="CF277" s="14" t="str">
        <f>IF(CE277="","",CE277/(BW277*100))</f>
        <v/>
      </c>
      <c r="CG277" s="15"/>
      <c r="CH277" s="1"/>
      <c r="CI277" s="16"/>
      <c r="CJ277" s="54"/>
      <c r="CK277" s="13"/>
      <c r="CL277" s="13"/>
      <c r="CM277" s="13"/>
      <c r="CN277" s="13"/>
      <c r="CO277" s="13" t="str">
        <f>IF(CN277="","",CN276+CP276-CN277)</f>
        <v/>
      </c>
      <c r="CP277" s="13"/>
      <c r="CQ277" s="13"/>
      <c r="CR277" s="13"/>
      <c r="CS277" s="13" t="str">
        <f>IF(CR277="","",CO277*CR277)</f>
        <v/>
      </c>
      <c r="CT277" s="14" t="str">
        <f>IF(CS277="","",CS277/(CK277*100))</f>
        <v/>
      </c>
      <c r="CU277" s="15"/>
      <c r="CV277" s="1"/>
      <c r="CW277" s="16"/>
      <c r="CX277" s="54"/>
      <c r="CY277" s="13"/>
      <c r="CZ277" s="13"/>
      <c r="DA277" s="13"/>
      <c r="DB277" s="13"/>
      <c r="DC277" s="13" t="str">
        <f>IF(DB277="","",DB276+DD276-DB277)</f>
        <v/>
      </c>
      <c r="DD277" s="13"/>
      <c r="DE277" s="13"/>
      <c r="DF277" s="13"/>
      <c r="DG277" s="13" t="str">
        <f>IF(DF277="","",DC277*DF277)</f>
        <v/>
      </c>
      <c r="DH277" s="14" t="str">
        <f>IF(DG277="","",DG277/(CY277*100))</f>
        <v/>
      </c>
      <c r="DI277" s="15"/>
      <c r="DJ277" s="1"/>
      <c r="DK277" s="16"/>
      <c r="DL277" s="54"/>
      <c r="DM277" s="13"/>
      <c r="DN277" s="13"/>
      <c r="DO277" s="13"/>
      <c r="DP277" s="13"/>
      <c r="DQ277" s="13" t="str">
        <f>IF(DP277="","",DP276+DR276-DP277)</f>
        <v/>
      </c>
      <c r="DR277" s="13"/>
      <c r="DS277" s="13"/>
      <c r="DT277" s="13"/>
      <c r="DU277" s="13" t="str">
        <f>IF(DT277="","",DQ277*DT277)</f>
        <v/>
      </c>
      <c r="DV277" s="14" t="str">
        <f>IF(DU277="","",DU277/(DM277*100))</f>
        <v/>
      </c>
      <c r="DW277" s="15"/>
      <c r="DY277" s="16"/>
      <c r="DZ277" s="54"/>
      <c r="EA277" s="13"/>
      <c r="EB277" s="13"/>
      <c r="EC277" s="13"/>
      <c r="ED277" s="13"/>
      <c r="EE277" s="13" t="str">
        <f>IF(ED277="","",ED276+EF276-ED277)</f>
        <v/>
      </c>
      <c r="EF277" s="13"/>
      <c r="EG277" s="13"/>
      <c r="EH277" s="13"/>
      <c r="EI277" s="13" t="str">
        <f>IF(EH277="","",EE277*EH277)</f>
        <v/>
      </c>
      <c r="EJ277" s="14" t="str">
        <f>IF(EI277="","",EI277/(EA277*100))</f>
        <v/>
      </c>
      <c r="EK277" s="15"/>
    </row>
    <row r="278" spans="1:141" ht="15" customHeight="1" x14ac:dyDescent="0.2">
      <c r="A278" s="79"/>
      <c r="B278" s="74"/>
      <c r="C278" s="53"/>
      <c r="D278" s="13" t="str">
        <f t="shared" si="555"/>
        <v/>
      </c>
      <c r="E278" s="53"/>
      <c r="F278" s="13" t="str">
        <f t="shared" si="556"/>
        <v/>
      </c>
      <c r="G278" s="53"/>
      <c r="H278" s="50" t="str">
        <f t="shared" si="557"/>
        <v/>
      </c>
      <c r="I278" s="53"/>
      <c r="J278" s="56" t="str">
        <f t="shared" si="558"/>
        <v/>
      </c>
      <c r="K278" s="54" t="str">
        <f t="shared" si="559"/>
        <v/>
      </c>
      <c r="L278" s="13" t="str">
        <f t="shared" si="560"/>
        <v/>
      </c>
      <c r="M278" s="14" t="str">
        <f t="shared" si="561"/>
        <v/>
      </c>
      <c r="N278" s="15"/>
      <c r="O278" s="2"/>
      <c r="P278" s="79"/>
      <c r="Q278" s="53"/>
      <c r="R278" s="13" t="str">
        <f t="shared" si="537"/>
        <v/>
      </c>
      <c r="S278" s="53"/>
      <c r="T278" s="13" t="str">
        <f t="shared" si="562"/>
        <v/>
      </c>
      <c r="U278" s="53"/>
      <c r="V278" s="50" t="str">
        <f t="shared" si="563"/>
        <v/>
      </c>
      <c r="W278" s="53"/>
      <c r="X278" s="56" t="str">
        <f t="shared" si="564"/>
        <v/>
      </c>
      <c r="Y278" s="54" t="str">
        <f t="shared" si="565"/>
        <v/>
      </c>
      <c r="Z278" s="13" t="str">
        <f t="shared" si="566"/>
        <v/>
      </c>
      <c r="AA278" s="14" t="str">
        <f t="shared" si="567"/>
        <v/>
      </c>
      <c r="AB278" s="15"/>
      <c r="AD278" s="79"/>
      <c r="AE278" s="53"/>
      <c r="AF278" s="13" t="str">
        <f t="shared" si="568"/>
        <v/>
      </c>
      <c r="AG278" s="53"/>
      <c r="AH278" s="13" t="str">
        <f t="shared" si="569"/>
        <v/>
      </c>
      <c r="AI278" s="53"/>
      <c r="AJ278" s="50" t="str">
        <f t="shared" si="570"/>
        <v/>
      </c>
      <c r="AK278" s="53"/>
      <c r="AL278" s="56" t="str">
        <f t="shared" si="571"/>
        <v/>
      </c>
      <c r="AM278" s="54" t="str">
        <f t="shared" si="572"/>
        <v/>
      </c>
      <c r="AN278" s="13" t="str">
        <f t="shared" si="573"/>
        <v/>
      </c>
      <c r="AO278" s="14" t="str">
        <f t="shared" si="574"/>
        <v/>
      </c>
      <c r="AP278" s="15"/>
      <c r="AQ278" s="2"/>
      <c r="AR278" s="79"/>
      <c r="AS278" s="53"/>
      <c r="AT278" s="13" t="str">
        <f t="shared" si="575"/>
        <v/>
      </c>
      <c r="AU278" s="53"/>
      <c r="AV278" s="13" t="str">
        <f t="shared" si="576"/>
        <v/>
      </c>
      <c r="AW278" s="53"/>
      <c r="AX278" s="50" t="str">
        <f t="shared" si="577"/>
        <v/>
      </c>
      <c r="AY278" s="53"/>
      <c r="AZ278" s="56" t="str">
        <f t="shared" si="541"/>
        <v/>
      </c>
      <c r="BA278" s="54" t="str">
        <f t="shared" si="542"/>
        <v/>
      </c>
      <c r="BB278" s="13" t="str">
        <f t="shared" si="578"/>
        <v/>
      </c>
      <c r="BC278" s="14" t="str">
        <f t="shared" si="579"/>
        <v/>
      </c>
      <c r="BD278" s="15"/>
      <c r="BE278" s="2"/>
      <c r="BF278" s="79"/>
      <c r="BG278" s="240"/>
      <c r="BH278" s="53"/>
      <c r="BI278" s="13" t="str">
        <f t="shared" si="580"/>
        <v/>
      </c>
      <c r="BJ278" s="53"/>
      <c r="BK278" s="13" t="str">
        <f t="shared" si="581"/>
        <v/>
      </c>
      <c r="BL278" s="53"/>
      <c r="BM278" s="50" t="str">
        <f t="shared" si="538"/>
        <v/>
      </c>
      <c r="BN278" s="53"/>
      <c r="BO278" s="56" t="str">
        <f t="shared" si="554"/>
        <v/>
      </c>
      <c r="BP278" s="54" t="str">
        <f t="shared" si="553"/>
        <v/>
      </c>
      <c r="BQ278" s="13" t="str">
        <f t="shared" si="582"/>
        <v/>
      </c>
      <c r="BR278" s="14" t="str">
        <f t="shared" si="583"/>
        <v/>
      </c>
      <c r="BS278" s="15"/>
      <c r="BU278" s="16"/>
      <c r="BV278" s="54"/>
      <c r="BW278" s="13"/>
      <c r="BX278" s="13"/>
      <c r="BY278" s="13"/>
      <c r="BZ278" s="13"/>
      <c r="CA278" s="13"/>
      <c r="CB278" s="13"/>
      <c r="CC278" s="13"/>
      <c r="CD278" s="13"/>
      <c r="CE278" s="13"/>
      <c r="CF278" s="14"/>
      <c r="CG278" s="15"/>
      <c r="CH278" s="1"/>
      <c r="CI278" s="16"/>
      <c r="CJ278" s="54"/>
      <c r="CK278" s="13"/>
      <c r="CL278" s="13"/>
      <c r="CM278" s="13"/>
      <c r="CN278" s="13"/>
      <c r="CO278" s="13"/>
      <c r="CP278" s="13"/>
      <c r="CQ278" s="13"/>
      <c r="CR278" s="13"/>
      <c r="CS278" s="13"/>
      <c r="CT278" s="14"/>
      <c r="CU278" s="15"/>
      <c r="CV278" s="1"/>
      <c r="CW278" s="16"/>
      <c r="CX278" s="54"/>
      <c r="CY278" s="13"/>
      <c r="CZ278" s="13"/>
      <c r="DA278" s="13"/>
      <c r="DB278" s="13"/>
      <c r="DC278" s="13"/>
      <c r="DD278" s="13"/>
      <c r="DE278" s="13"/>
      <c r="DF278" s="13"/>
      <c r="DG278" s="13"/>
      <c r="DH278" s="14"/>
      <c r="DI278" s="15"/>
      <c r="DJ278" s="1"/>
      <c r="DK278" s="16"/>
      <c r="DL278" s="54"/>
      <c r="DM278" s="13"/>
      <c r="DN278" s="13"/>
      <c r="DO278" s="13"/>
      <c r="DP278" s="13"/>
      <c r="DQ278" s="13"/>
      <c r="DR278" s="13"/>
      <c r="DS278" s="13"/>
      <c r="DT278" s="13"/>
      <c r="DU278" s="13"/>
      <c r="DV278" s="14"/>
      <c r="DW278" s="15"/>
      <c r="DY278" s="16"/>
      <c r="DZ278" s="54"/>
      <c r="EA278" s="13"/>
      <c r="EB278" s="13"/>
      <c r="EC278" s="13"/>
      <c r="ED278" s="13"/>
      <c r="EE278" s="13"/>
      <c r="EF278" s="13"/>
      <c r="EG278" s="13"/>
      <c r="EH278" s="13"/>
      <c r="EI278" s="13"/>
      <c r="EJ278" s="14"/>
      <c r="EK278" s="15"/>
    </row>
    <row r="279" spans="1:141" ht="15" customHeight="1" x14ac:dyDescent="0.2">
      <c r="A279" s="79"/>
      <c r="B279" s="74"/>
      <c r="C279" s="53"/>
      <c r="D279" s="13" t="str">
        <f t="shared" si="555"/>
        <v/>
      </c>
      <c r="E279" s="53"/>
      <c r="F279" s="13" t="str">
        <f t="shared" si="556"/>
        <v/>
      </c>
      <c r="G279" s="53"/>
      <c r="H279" s="13" t="str">
        <f t="shared" si="557"/>
        <v/>
      </c>
      <c r="I279" s="53"/>
      <c r="J279" s="56" t="str">
        <f t="shared" si="558"/>
        <v/>
      </c>
      <c r="K279" s="13" t="str">
        <f t="shared" si="559"/>
        <v/>
      </c>
      <c r="L279" s="13" t="str">
        <f t="shared" si="560"/>
        <v/>
      </c>
      <c r="M279" s="14" t="str">
        <f t="shared" si="561"/>
        <v/>
      </c>
      <c r="N279" s="15"/>
      <c r="O279" s="2"/>
      <c r="P279" s="79"/>
      <c r="Q279" s="53"/>
      <c r="R279" s="13" t="str">
        <f t="shared" si="537"/>
        <v/>
      </c>
      <c r="S279" s="53"/>
      <c r="T279" s="13" t="str">
        <f t="shared" si="562"/>
        <v/>
      </c>
      <c r="U279" s="53"/>
      <c r="V279" s="13" t="str">
        <f t="shared" si="563"/>
        <v/>
      </c>
      <c r="W279" s="53"/>
      <c r="X279" s="56" t="str">
        <f t="shared" si="564"/>
        <v/>
      </c>
      <c r="Y279" s="13" t="str">
        <f t="shared" si="565"/>
        <v/>
      </c>
      <c r="Z279" s="13" t="str">
        <f t="shared" si="566"/>
        <v/>
      </c>
      <c r="AA279" s="14" t="str">
        <f t="shared" si="567"/>
        <v/>
      </c>
      <c r="AB279" s="15"/>
      <c r="AD279" s="79"/>
      <c r="AE279" s="53"/>
      <c r="AF279" s="13" t="str">
        <f t="shared" si="568"/>
        <v/>
      </c>
      <c r="AG279" s="53"/>
      <c r="AH279" s="13" t="str">
        <f t="shared" si="569"/>
        <v/>
      </c>
      <c r="AI279" s="53"/>
      <c r="AJ279" s="13" t="str">
        <f t="shared" si="570"/>
        <v/>
      </c>
      <c r="AK279" s="53"/>
      <c r="AL279" s="56" t="str">
        <f t="shared" si="571"/>
        <v/>
      </c>
      <c r="AM279" s="13" t="str">
        <f t="shared" si="572"/>
        <v/>
      </c>
      <c r="AN279" s="13" t="str">
        <f t="shared" si="573"/>
        <v/>
      </c>
      <c r="AO279" s="14" t="str">
        <f t="shared" si="574"/>
        <v/>
      </c>
      <c r="AP279" s="15"/>
      <c r="AQ279" s="2"/>
      <c r="AR279" s="79"/>
      <c r="AS279" s="53"/>
      <c r="AT279" s="13" t="str">
        <f t="shared" si="575"/>
        <v/>
      </c>
      <c r="AU279" s="53"/>
      <c r="AV279" s="13" t="str">
        <f t="shared" si="576"/>
        <v/>
      </c>
      <c r="AW279" s="53"/>
      <c r="AX279" s="13" t="str">
        <f t="shared" si="577"/>
        <v/>
      </c>
      <c r="AY279" s="53"/>
      <c r="AZ279" s="56" t="str">
        <f t="shared" si="541"/>
        <v/>
      </c>
      <c r="BA279" s="13" t="str">
        <f t="shared" si="542"/>
        <v/>
      </c>
      <c r="BB279" s="13" t="str">
        <f t="shared" si="578"/>
        <v/>
      </c>
      <c r="BC279" s="14" t="str">
        <f t="shared" si="579"/>
        <v/>
      </c>
      <c r="BD279" s="15"/>
      <c r="BE279" s="2"/>
      <c r="BF279" s="79"/>
      <c r="BG279" s="240"/>
      <c r="BH279" s="53"/>
      <c r="BI279" s="13" t="str">
        <f t="shared" si="580"/>
        <v/>
      </c>
      <c r="BJ279" s="53"/>
      <c r="BK279" s="13" t="str">
        <f t="shared" si="581"/>
        <v/>
      </c>
      <c r="BL279" s="53"/>
      <c r="BM279" s="13" t="str">
        <f t="shared" si="538"/>
        <v/>
      </c>
      <c r="BN279" s="53"/>
      <c r="BO279" s="56" t="str">
        <f t="shared" si="554"/>
        <v/>
      </c>
      <c r="BP279" s="13" t="str">
        <f t="shared" si="553"/>
        <v/>
      </c>
      <c r="BQ279" s="13" t="str">
        <f t="shared" si="582"/>
        <v/>
      </c>
      <c r="BR279" s="14" t="str">
        <f t="shared" si="583"/>
        <v/>
      </c>
      <c r="BS279" s="15"/>
      <c r="BU279" s="16"/>
      <c r="BV279" s="54"/>
      <c r="BW279" s="13"/>
      <c r="BX279" s="13"/>
      <c r="BY279" s="13"/>
      <c r="BZ279" s="13"/>
      <c r="CA279" s="13"/>
      <c r="CB279" s="13"/>
      <c r="CC279" s="13"/>
      <c r="CD279" s="13"/>
      <c r="CE279" s="13"/>
      <c r="CF279" s="14"/>
      <c r="CG279" s="15"/>
      <c r="CH279" s="1"/>
      <c r="CI279" s="16"/>
      <c r="CJ279" s="54"/>
      <c r="CK279" s="13"/>
      <c r="CL279" s="13"/>
      <c r="CM279" s="13"/>
      <c r="CN279" s="13"/>
      <c r="CO279" s="13"/>
      <c r="CP279" s="13"/>
      <c r="CQ279" s="13"/>
      <c r="CR279" s="13"/>
      <c r="CS279" s="13"/>
      <c r="CT279" s="14"/>
      <c r="CU279" s="15"/>
      <c r="CV279" s="1"/>
      <c r="CW279" s="16"/>
      <c r="CX279" s="54"/>
      <c r="CY279" s="13"/>
      <c r="CZ279" s="13"/>
      <c r="DA279" s="13"/>
      <c r="DB279" s="13"/>
      <c r="DC279" s="13"/>
      <c r="DD279" s="13"/>
      <c r="DE279" s="13"/>
      <c r="DF279" s="13"/>
      <c r="DG279" s="13"/>
      <c r="DH279" s="14"/>
      <c r="DI279" s="15"/>
      <c r="DJ279" s="1"/>
      <c r="DK279" s="16"/>
      <c r="DL279" s="54"/>
      <c r="DM279" s="13"/>
      <c r="DN279" s="13"/>
      <c r="DO279" s="13"/>
      <c r="DP279" s="13"/>
      <c r="DQ279" s="13"/>
      <c r="DR279" s="13"/>
      <c r="DS279" s="13"/>
      <c r="DT279" s="13"/>
      <c r="DU279" s="13"/>
      <c r="DV279" s="14"/>
      <c r="DW279" s="15"/>
      <c r="DY279" s="16"/>
      <c r="DZ279" s="54"/>
      <c r="EA279" s="13"/>
      <c r="EB279" s="13"/>
      <c r="EC279" s="13"/>
      <c r="ED279" s="13"/>
      <c r="EE279" s="13"/>
      <c r="EF279" s="13"/>
      <c r="EG279" s="13"/>
      <c r="EH279" s="13"/>
      <c r="EI279" s="13"/>
      <c r="EJ279" s="14"/>
      <c r="EK279" s="15"/>
    </row>
    <row r="280" spans="1:141" ht="15" customHeight="1" thickBot="1" x14ac:dyDescent="0.25">
      <c r="A280" s="160"/>
      <c r="B280" s="161"/>
      <c r="C280" s="162"/>
      <c r="D280" s="163" t="str">
        <f t="shared" si="555"/>
        <v/>
      </c>
      <c r="E280" s="162"/>
      <c r="F280" s="163" t="str">
        <f t="shared" si="556"/>
        <v/>
      </c>
      <c r="G280" s="162"/>
      <c r="H280" s="163" t="str">
        <f t="shared" si="557"/>
        <v/>
      </c>
      <c r="I280" s="162"/>
      <c r="J280" s="164" t="str">
        <f t="shared" si="558"/>
        <v/>
      </c>
      <c r="K280" s="165" t="str">
        <f t="shared" si="559"/>
        <v/>
      </c>
      <c r="L280" s="163" t="str">
        <f t="shared" si="560"/>
        <v/>
      </c>
      <c r="M280" s="166" t="str">
        <f t="shared" si="561"/>
        <v/>
      </c>
      <c r="N280" s="167"/>
      <c r="O280" s="168"/>
      <c r="P280" s="160"/>
      <c r="Q280" s="162"/>
      <c r="R280" s="163" t="str">
        <f t="shared" si="537"/>
        <v/>
      </c>
      <c r="S280" s="162"/>
      <c r="T280" s="163" t="str">
        <f t="shared" si="562"/>
        <v/>
      </c>
      <c r="U280" s="162"/>
      <c r="V280" s="163" t="str">
        <f t="shared" si="563"/>
        <v/>
      </c>
      <c r="W280" s="162"/>
      <c r="X280" s="164" t="str">
        <f t="shared" si="564"/>
        <v/>
      </c>
      <c r="Y280" s="165" t="str">
        <f t="shared" si="565"/>
        <v/>
      </c>
      <c r="Z280" s="163" t="str">
        <f t="shared" si="566"/>
        <v/>
      </c>
      <c r="AA280" s="166" t="str">
        <f t="shared" si="567"/>
        <v/>
      </c>
      <c r="AB280" s="167"/>
      <c r="AC280" s="169"/>
      <c r="AD280" s="160"/>
      <c r="AE280" s="162"/>
      <c r="AF280" s="163" t="str">
        <f t="shared" si="568"/>
        <v/>
      </c>
      <c r="AG280" s="162"/>
      <c r="AH280" s="163" t="str">
        <f t="shared" si="569"/>
        <v/>
      </c>
      <c r="AI280" s="162"/>
      <c r="AJ280" s="163" t="str">
        <f t="shared" si="570"/>
        <v/>
      </c>
      <c r="AK280" s="162"/>
      <c r="AL280" s="164" t="str">
        <f t="shared" si="571"/>
        <v/>
      </c>
      <c r="AM280" s="165" t="str">
        <f t="shared" si="572"/>
        <v/>
      </c>
      <c r="AN280" s="163" t="str">
        <f t="shared" si="573"/>
        <v/>
      </c>
      <c r="AO280" s="166" t="str">
        <f t="shared" si="574"/>
        <v/>
      </c>
      <c r="AP280" s="167"/>
      <c r="AQ280" s="168"/>
      <c r="AR280" s="160"/>
      <c r="AS280" s="162"/>
      <c r="AT280" s="163" t="str">
        <f t="shared" si="575"/>
        <v/>
      </c>
      <c r="AU280" s="162"/>
      <c r="AV280" s="163" t="str">
        <f t="shared" si="576"/>
        <v/>
      </c>
      <c r="AW280" s="162"/>
      <c r="AX280" s="163" t="str">
        <f t="shared" si="577"/>
        <v/>
      </c>
      <c r="AY280" s="162"/>
      <c r="AZ280" s="164" t="str">
        <f t="shared" si="541"/>
        <v/>
      </c>
      <c r="BA280" s="165" t="str">
        <f t="shared" si="542"/>
        <v/>
      </c>
      <c r="BB280" s="163" t="str">
        <f t="shared" si="578"/>
        <v/>
      </c>
      <c r="BC280" s="166" t="str">
        <f t="shared" si="579"/>
        <v/>
      </c>
      <c r="BD280" s="167"/>
      <c r="BE280" s="168"/>
      <c r="BF280" s="160"/>
      <c r="BG280" s="244"/>
      <c r="BH280" s="162"/>
      <c r="BI280" s="163" t="str">
        <f t="shared" si="580"/>
        <v/>
      </c>
      <c r="BJ280" s="162"/>
      <c r="BK280" s="163" t="str">
        <f t="shared" si="581"/>
        <v/>
      </c>
      <c r="BL280" s="162"/>
      <c r="BM280" s="163" t="str">
        <f t="shared" si="538"/>
        <v/>
      </c>
      <c r="BN280" s="162"/>
      <c r="BO280" s="164" t="str">
        <f t="shared" si="554"/>
        <v/>
      </c>
      <c r="BP280" s="165" t="str">
        <f t="shared" si="553"/>
        <v/>
      </c>
      <c r="BQ280" s="163" t="str">
        <f t="shared" si="582"/>
        <v/>
      </c>
      <c r="BR280" s="166" t="str">
        <f t="shared" si="583"/>
        <v/>
      </c>
      <c r="BS280" s="167"/>
      <c r="BT280" s="169"/>
      <c r="BU280" s="170"/>
      <c r="BV280" s="165"/>
      <c r="BW280" s="163"/>
      <c r="BX280" s="163"/>
      <c r="BY280" s="163"/>
      <c r="BZ280" s="163"/>
      <c r="CA280" s="163"/>
      <c r="CB280" s="163"/>
      <c r="CC280" s="163"/>
      <c r="CD280" s="163"/>
      <c r="CE280" s="163"/>
      <c r="CF280" s="166"/>
      <c r="CG280" s="167"/>
      <c r="CH280" s="171"/>
      <c r="CI280" s="170"/>
      <c r="CJ280" s="165"/>
      <c r="CK280" s="163"/>
      <c r="CL280" s="163"/>
      <c r="CM280" s="163"/>
      <c r="CN280" s="163"/>
      <c r="CO280" s="163"/>
      <c r="CP280" s="163"/>
      <c r="CQ280" s="163"/>
      <c r="CR280" s="163"/>
      <c r="CS280" s="163"/>
      <c r="CT280" s="166"/>
      <c r="CU280" s="167"/>
      <c r="CV280" s="171"/>
      <c r="CW280" s="170"/>
      <c r="CX280" s="165"/>
      <c r="CY280" s="163"/>
      <c r="CZ280" s="163"/>
      <c r="DA280" s="163"/>
      <c r="DB280" s="163"/>
      <c r="DC280" s="163"/>
      <c r="DD280" s="163"/>
      <c r="DE280" s="163"/>
      <c r="DF280" s="163"/>
      <c r="DG280" s="163"/>
      <c r="DH280" s="166"/>
      <c r="DI280" s="167"/>
      <c r="DJ280" s="171"/>
      <c r="DK280" s="170"/>
      <c r="DL280" s="165"/>
      <c r="DM280" s="163"/>
      <c r="DN280" s="163"/>
      <c r="DO280" s="163"/>
      <c r="DP280" s="163"/>
      <c r="DQ280" s="163"/>
      <c r="DR280" s="163"/>
      <c r="DS280" s="163"/>
      <c r="DT280" s="163"/>
      <c r="DU280" s="163"/>
      <c r="DV280" s="166"/>
      <c r="DW280" s="167"/>
      <c r="DY280" s="170"/>
      <c r="DZ280" s="165"/>
      <c r="EA280" s="163"/>
      <c r="EB280" s="163"/>
      <c r="EC280" s="163"/>
      <c r="ED280" s="163"/>
      <c r="EE280" s="163"/>
      <c r="EF280" s="163"/>
      <c r="EG280" s="163"/>
      <c r="EH280" s="163"/>
      <c r="EI280" s="163"/>
      <c r="EJ280" s="166"/>
      <c r="EK280" s="167"/>
    </row>
    <row r="281" spans="1:141" ht="15" customHeight="1" thickTop="1" x14ac:dyDescent="0.2">
      <c r="A281" s="59">
        <v>28</v>
      </c>
      <c r="B281" s="74"/>
      <c r="C281" s="172" t="s">
        <v>19</v>
      </c>
      <c r="D281" s="53">
        <f>SUM(D225:D277)*100</f>
        <v>260100</v>
      </c>
      <c r="E281" s="53"/>
      <c r="F281" s="53"/>
      <c r="G281" s="172"/>
      <c r="H281" s="53"/>
      <c r="I281" s="53"/>
      <c r="J281" s="280" t="s">
        <v>21</v>
      </c>
      <c r="K281" s="280"/>
      <c r="L281" s="53">
        <f>SUM(L225:L277)</f>
        <v>46116</v>
      </c>
      <c r="M281" s="53"/>
      <c r="N281" s="84"/>
      <c r="O281" s="2"/>
      <c r="P281" s="79"/>
      <c r="Q281" s="172" t="s">
        <v>19</v>
      </c>
      <c r="R281" s="53">
        <f>SUM(R225:R277)*100</f>
        <v>419100</v>
      </c>
      <c r="S281" s="53"/>
      <c r="T281" s="53"/>
      <c r="U281" s="172"/>
      <c r="V281" s="53"/>
      <c r="W281" s="53"/>
      <c r="X281" s="280" t="s">
        <v>21</v>
      </c>
      <c r="Y281" s="280"/>
      <c r="Z281" s="53">
        <f>SUM(Z225:Z277)</f>
        <v>94210</v>
      </c>
      <c r="AA281" s="53"/>
      <c r="AB281" s="84"/>
      <c r="AD281" s="79"/>
      <c r="AE281" s="172" t="s">
        <v>19</v>
      </c>
      <c r="AF281" s="53">
        <f>SUM(AF225:AF277)*100</f>
        <v>187100</v>
      </c>
      <c r="AG281" s="53"/>
      <c r="AH281" s="53"/>
      <c r="AI281" s="172"/>
      <c r="AJ281" s="53"/>
      <c r="AK281" s="53"/>
      <c r="AL281" s="280" t="s">
        <v>21</v>
      </c>
      <c r="AM281" s="280"/>
      <c r="AN281" s="53">
        <f>SUM(AN225:AN277)</f>
        <v>13991</v>
      </c>
      <c r="AO281" s="53"/>
      <c r="AP281" s="84"/>
      <c r="AQ281" s="2"/>
      <c r="AR281" s="79"/>
      <c r="AS281" s="172" t="s">
        <v>19</v>
      </c>
      <c r="AT281" s="53">
        <f>SUM(AT225:AT277)*100</f>
        <v>267000</v>
      </c>
      <c r="AU281" s="53"/>
      <c r="AV281" s="53"/>
      <c r="AW281" s="172"/>
      <c r="AX281" s="53"/>
      <c r="AY281" s="53"/>
      <c r="AZ281" s="280" t="s">
        <v>21</v>
      </c>
      <c r="BA281" s="280"/>
      <c r="BB281" s="53">
        <f>SUM(BB225:BB277)</f>
        <v>53430</v>
      </c>
      <c r="BC281" s="53"/>
      <c r="BD281" s="84"/>
      <c r="BE281" s="2"/>
      <c r="BF281" s="79"/>
      <c r="BG281" s="240"/>
      <c r="BH281" s="172" t="s">
        <v>19</v>
      </c>
      <c r="BI281" s="53">
        <f>SUM(BI225:BI277)*100</f>
        <v>347500</v>
      </c>
      <c r="BJ281" s="53"/>
      <c r="BK281" s="53"/>
      <c r="BL281" s="172"/>
      <c r="BM281" s="53"/>
      <c r="BN281" s="53"/>
      <c r="BO281" s="280" t="s">
        <v>21</v>
      </c>
      <c r="BP281" s="280"/>
      <c r="BQ281" s="53">
        <f>SUM(BQ225:BQ277)</f>
        <v>30500</v>
      </c>
      <c r="BR281" s="53"/>
      <c r="BS281" s="84"/>
      <c r="BU281" s="79"/>
      <c r="BV281" s="175" t="s">
        <v>19</v>
      </c>
      <c r="BW281" s="53">
        <f>SUM(BW225:BW277)*100</f>
        <v>129400</v>
      </c>
      <c r="BX281" s="53"/>
      <c r="BY281" s="53"/>
      <c r="BZ281" s="172"/>
      <c r="CA281" s="53"/>
      <c r="CB281" s="53"/>
      <c r="CC281" s="53"/>
      <c r="CD281" s="53"/>
      <c r="CE281" s="53"/>
      <c r="CF281" s="53"/>
      <c r="CG281" s="84"/>
      <c r="CH281" s="1"/>
      <c r="CI281" s="79"/>
      <c r="CJ281" s="175" t="s">
        <v>19</v>
      </c>
      <c r="CK281" s="53">
        <f>SUM(CK225:CK277)*100</f>
        <v>1102200</v>
      </c>
      <c r="CL281" s="53"/>
      <c r="CM281" s="53"/>
      <c r="CN281" s="172"/>
      <c r="CO281" s="53"/>
      <c r="CP281" s="53"/>
      <c r="CQ281" s="53"/>
      <c r="CR281" s="53"/>
      <c r="CS281" s="53"/>
      <c r="CT281" s="53"/>
      <c r="CU281" s="84"/>
      <c r="CV281" s="1"/>
      <c r="CW281" s="79"/>
      <c r="CX281" s="175" t="s">
        <v>19</v>
      </c>
      <c r="CY281" s="53">
        <f>SUM(CY225:CY277)*100</f>
        <v>111000</v>
      </c>
      <c r="CZ281" s="53"/>
      <c r="DA281" s="53"/>
      <c r="DB281" s="172"/>
      <c r="DC281" s="53"/>
      <c r="DD281" s="53"/>
      <c r="DE281" s="53"/>
      <c r="DF281" s="53"/>
      <c r="DG281" s="53"/>
      <c r="DH281" s="53"/>
      <c r="DI281" s="84"/>
      <c r="DJ281" s="1"/>
      <c r="DK281" s="79"/>
      <c r="DL281" s="175" t="s">
        <v>19</v>
      </c>
      <c r="DM281" s="53">
        <f>SUM(DM225:DM277)*100</f>
        <v>67400</v>
      </c>
      <c r="DN281" s="53"/>
      <c r="DO281" s="53"/>
      <c r="DP281" s="172"/>
      <c r="DQ281" s="53"/>
      <c r="DR281" s="53"/>
      <c r="DS281" s="53"/>
      <c r="DT281" s="53"/>
      <c r="DU281" s="53"/>
      <c r="DV281" s="53"/>
      <c r="DW281" s="84"/>
      <c r="DY281" s="79"/>
      <c r="DZ281" s="175" t="s">
        <v>19</v>
      </c>
      <c r="EA281" s="53">
        <f>SUM(EA225:EA277)*100</f>
        <v>91500</v>
      </c>
      <c r="EB281" s="53"/>
      <c r="EC281" s="53"/>
      <c r="ED281" s="172"/>
      <c r="EE281" s="53"/>
      <c r="EF281" s="53"/>
      <c r="EG281" s="53"/>
      <c r="EH281" s="53"/>
      <c r="EI281" s="53"/>
      <c r="EJ281" s="53"/>
      <c r="EK281" s="84"/>
    </row>
    <row r="282" spans="1:141" ht="15" customHeight="1" x14ac:dyDescent="0.2">
      <c r="A282" s="94">
        <f>DATEDIF(A$323,A$257,"d")</f>
        <v>28</v>
      </c>
      <c r="B282">
        <f>SUMIF(B224:B277,"&gt;=0")</f>
        <v>29639</v>
      </c>
      <c r="C282" s="5" t="s">
        <v>22</v>
      </c>
      <c r="D282" s="13">
        <f>D281/A282</f>
        <v>9289.2857142857138</v>
      </c>
      <c r="E282" s="13">
        <f>D282*A281</f>
        <v>260100</v>
      </c>
      <c r="F282" s="13"/>
      <c r="G282" s="5"/>
      <c r="H282" s="13"/>
      <c r="I282" s="13"/>
      <c r="J282" s="271" t="s">
        <v>23</v>
      </c>
      <c r="K282" s="271"/>
      <c r="L282" s="13"/>
      <c r="M282" s="36">
        <f>L281/D281</f>
        <v>0.17730103806228373</v>
      </c>
      <c r="N282" s="15"/>
      <c r="O282" s="2"/>
      <c r="P282" s="33"/>
      <c r="Q282" s="5" t="s">
        <v>22</v>
      </c>
      <c r="R282" s="13">
        <f>R281/A282</f>
        <v>14967.857142857143</v>
      </c>
      <c r="S282" s="13">
        <f>R282*A281</f>
        <v>419100</v>
      </c>
      <c r="T282" s="13"/>
      <c r="U282" s="5"/>
      <c r="V282" s="13"/>
      <c r="W282" s="13"/>
      <c r="X282" s="271" t="s">
        <v>23</v>
      </c>
      <c r="Y282" s="271"/>
      <c r="Z282" s="13"/>
      <c r="AA282" s="36">
        <f>Z281/R281</f>
        <v>0.22479121927940826</v>
      </c>
      <c r="AB282" s="15"/>
      <c r="AD282" s="51"/>
      <c r="AE282" s="5" t="s">
        <v>22</v>
      </c>
      <c r="AF282" s="13">
        <f>AF281/A282</f>
        <v>6682.1428571428569</v>
      </c>
      <c r="AG282" s="13">
        <f>AF282*A281</f>
        <v>187100</v>
      </c>
      <c r="AH282" s="13"/>
      <c r="AI282" s="5"/>
      <c r="AJ282" s="13"/>
      <c r="AK282" s="13"/>
      <c r="AL282" s="271" t="s">
        <v>23</v>
      </c>
      <c r="AM282" s="271"/>
      <c r="AN282" s="13"/>
      <c r="AO282" s="36">
        <f>AN281/AF281</f>
        <v>7.4778193479422772E-2</v>
      </c>
      <c r="AP282" s="15"/>
      <c r="AQ282" s="2"/>
      <c r="AR282" s="33"/>
      <c r="AS282" s="5" t="s">
        <v>22</v>
      </c>
      <c r="AT282" s="13">
        <f>AT281/A282</f>
        <v>9535.7142857142862</v>
      </c>
      <c r="AU282" s="13">
        <f>AT282*A281</f>
        <v>267000</v>
      </c>
      <c r="AV282" s="13"/>
      <c r="AW282" s="5"/>
      <c r="AX282" s="13"/>
      <c r="AY282" s="13"/>
      <c r="AZ282" s="271" t="s">
        <v>23</v>
      </c>
      <c r="BA282" s="271"/>
      <c r="BB282" s="13"/>
      <c r="BC282" s="36">
        <f>BB281/AT281</f>
        <v>0.20011235955056181</v>
      </c>
      <c r="BD282" s="15"/>
      <c r="BE282" s="2"/>
      <c r="BF282" s="33"/>
      <c r="BG282" s="8"/>
      <c r="BH282" s="5" t="s">
        <v>22</v>
      </c>
      <c r="BI282" s="13">
        <f>BI281/A282</f>
        <v>12410.714285714286</v>
      </c>
      <c r="BJ282" s="13">
        <f>BI282*A281</f>
        <v>347500</v>
      </c>
      <c r="BK282" s="13"/>
      <c r="BL282" s="5"/>
      <c r="BM282" s="13"/>
      <c r="BN282" s="13"/>
      <c r="BO282" s="271" t="s">
        <v>23</v>
      </c>
      <c r="BP282" s="271"/>
      <c r="BQ282" s="13"/>
      <c r="BR282" s="36">
        <f>BQ281/BI281</f>
        <v>8.7769784172661874E-2</v>
      </c>
      <c r="BS282" s="15"/>
      <c r="BU282" s="16"/>
      <c r="BV282" s="69" t="s">
        <v>22</v>
      </c>
      <c r="BW282" s="13">
        <f>BW281/A282</f>
        <v>4621.4285714285716</v>
      </c>
      <c r="BX282" s="13">
        <f>BW282*A281</f>
        <v>129400</v>
      </c>
      <c r="BY282" s="13"/>
      <c r="BZ282" s="5"/>
      <c r="CA282" s="13"/>
      <c r="CB282" s="13"/>
      <c r="CC282" s="13"/>
      <c r="CD282" s="13"/>
      <c r="CE282" s="13"/>
      <c r="CF282" s="13"/>
      <c r="CG282" s="15"/>
      <c r="CH282" s="1"/>
      <c r="CI282" s="16"/>
      <c r="CJ282" s="69" t="s">
        <v>22</v>
      </c>
      <c r="CK282" s="13">
        <f>CK281/A282</f>
        <v>39364.285714285717</v>
      </c>
      <c r="CL282" s="13">
        <f>CK282*A281</f>
        <v>1102200</v>
      </c>
      <c r="CM282" s="13"/>
      <c r="CN282" s="5"/>
      <c r="CO282" s="13"/>
      <c r="CP282" s="13"/>
      <c r="CQ282" s="13"/>
      <c r="CR282" s="13"/>
      <c r="CS282" s="13"/>
      <c r="CT282" s="13"/>
      <c r="CU282" s="15"/>
      <c r="CV282" s="1"/>
      <c r="CW282" s="16"/>
      <c r="CX282" s="69" t="s">
        <v>22</v>
      </c>
      <c r="CY282" s="13">
        <f>CY281/A282</f>
        <v>3964.2857142857142</v>
      </c>
      <c r="CZ282" s="13">
        <f>CY282*A281</f>
        <v>111000</v>
      </c>
      <c r="DA282" s="13"/>
      <c r="DB282" s="5"/>
      <c r="DC282" s="13"/>
      <c r="DD282" s="13"/>
      <c r="DE282" s="13"/>
      <c r="DF282" s="13"/>
      <c r="DG282" s="13"/>
      <c r="DH282" s="13"/>
      <c r="DI282" s="15"/>
      <c r="DJ282" s="1"/>
      <c r="DK282" s="16"/>
      <c r="DL282" s="69" t="s">
        <v>22</v>
      </c>
      <c r="DM282" s="13">
        <f>DM281/A282</f>
        <v>2407.1428571428573</v>
      </c>
      <c r="DN282" s="13">
        <f>DM282*A281</f>
        <v>67400</v>
      </c>
      <c r="DO282" s="13"/>
      <c r="DP282" s="5"/>
      <c r="DQ282" s="13"/>
      <c r="DR282" s="13"/>
      <c r="DS282" s="13"/>
      <c r="DT282" s="13"/>
      <c r="DU282" s="13"/>
      <c r="DV282" s="13"/>
      <c r="DW282" s="15"/>
      <c r="DY282" s="16"/>
      <c r="DZ282" s="69" t="s">
        <v>22</v>
      </c>
      <c r="EA282" s="13">
        <f>EA281/A282</f>
        <v>3267.8571428571427</v>
      </c>
      <c r="EB282" s="13">
        <f>EA282*A281</f>
        <v>91500</v>
      </c>
      <c r="EC282" s="13"/>
      <c r="ED282" s="5"/>
      <c r="EE282" s="13"/>
      <c r="EF282" s="13"/>
      <c r="EG282" s="13"/>
      <c r="EH282" s="13"/>
      <c r="EI282" s="13"/>
      <c r="EJ282" s="13"/>
      <c r="EK282" s="15"/>
    </row>
    <row r="283" spans="1:141" ht="15" customHeight="1" x14ac:dyDescent="0.2">
      <c r="A283" s="44" t="s">
        <v>22</v>
      </c>
      <c r="B283" s="81">
        <f>B282/A282</f>
        <v>1058.5357142857142</v>
      </c>
      <c r="C283" s="69" t="s">
        <v>25</v>
      </c>
      <c r="D283" s="13">
        <f>D281*0.6</f>
        <v>156060</v>
      </c>
      <c r="E283" s="13"/>
      <c r="F283" s="13"/>
      <c r="G283" s="5"/>
      <c r="H283" s="13"/>
      <c r="I283" s="13"/>
      <c r="J283" s="271" t="s">
        <v>26</v>
      </c>
      <c r="K283" s="271"/>
      <c r="L283" s="13">
        <f>D283-L281</f>
        <v>109944</v>
      </c>
      <c r="M283" s="36">
        <f>L283/D281</f>
        <v>0.42269896193771628</v>
      </c>
      <c r="N283" s="15"/>
      <c r="O283" s="2"/>
      <c r="P283" s="16"/>
      <c r="Q283" s="69" t="s">
        <v>25</v>
      </c>
      <c r="R283" s="13">
        <f>R281*0.6</f>
        <v>251460</v>
      </c>
      <c r="S283" s="13"/>
      <c r="T283" s="13"/>
      <c r="U283" s="5"/>
      <c r="V283" s="13"/>
      <c r="W283" s="13"/>
      <c r="X283" s="271" t="s">
        <v>26</v>
      </c>
      <c r="Y283" s="271"/>
      <c r="Z283" s="13">
        <f>R283-Z281</f>
        <v>157250</v>
      </c>
      <c r="AA283" s="36">
        <f>Z283/R281</f>
        <v>0.37520878072059172</v>
      </c>
      <c r="AB283" s="15"/>
      <c r="AD283" s="16"/>
      <c r="AE283" s="69" t="s">
        <v>25</v>
      </c>
      <c r="AF283" s="13">
        <f>AF281*0.6</f>
        <v>112260</v>
      </c>
      <c r="AG283" s="13"/>
      <c r="AH283" s="13"/>
      <c r="AI283" s="5"/>
      <c r="AJ283" s="13"/>
      <c r="AK283" s="13"/>
      <c r="AL283" s="271" t="s">
        <v>26</v>
      </c>
      <c r="AM283" s="271"/>
      <c r="AN283" s="13">
        <f>AF283-AN281</f>
        <v>98269</v>
      </c>
      <c r="AO283" s="36">
        <f>AN283/AF281</f>
        <v>0.52522180652057726</v>
      </c>
      <c r="AP283" s="15"/>
      <c r="AQ283" s="2"/>
      <c r="AR283" s="16"/>
      <c r="AS283" s="69" t="s">
        <v>25</v>
      </c>
      <c r="AT283" s="13">
        <f>AT281*0.6</f>
        <v>160200</v>
      </c>
      <c r="AU283" s="13"/>
      <c r="AV283" s="13"/>
      <c r="AW283" s="5"/>
      <c r="AX283" s="13"/>
      <c r="AY283" s="13"/>
      <c r="AZ283" s="271" t="s">
        <v>26</v>
      </c>
      <c r="BA283" s="271"/>
      <c r="BB283" s="13">
        <f>AT283-BB281</f>
        <v>106770</v>
      </c>
      <c r="BC283" s="36">
        <f>BB283/AT281</f>
        <v>0.3998876404494382</v>
      </c>
      <c r="BD283" s="15"/>
      <c r="BE283" s="2"/>
      <c r="BF283" s="16"/>
      <c r="BG283" s="235"/>
      <c r="BH283" s="69" t="s">
        <v>25</v>
      </c>
      <c r="BI283" s="13">
        <f>BI281*0.6</f>
        <v>208500</v>
      </c>
      <c r="BJ283" s="13"/>
      <c r="BK283" s="13"/>
      <c r="BL283" s="5"/>
      <c r="BM283" s="13"/>
      <c r="BN283" s="13"/>
      <c r="BO283" s="271" t="s">
        <v>26</v>
      </c>
      <c r="BP283" s="271"/>
      <c r="BQ283" s="13">
        <f>BI283-BQ281</f>
        <v>178000</v>
      </c>
      <c r="BR283" s="36">
        <f>BQ283/BI281</f>
        <v>0.51223021582733808</v>
      </c>
      <c r="BS283" s="15"/>
      <c r="BU283" s="16"/>
      <c r="BV283" s="69" t="s">
        <v>25</v>
      </c>
      <c r="BW283" s="13">
        <f>BW281*0.6</f>
        <v>77640</v>
      </c>
      <c r="BX283" s="13"/>
      <c r="BY283" s="13"/>
      <c r="BZ283" s="5" t="s">
        <v>24</v>
      </c>
      <c r="CA283" s="13">
        <f>SUM(CE225:CE277)</f>
        <v>22016</v>
      </c>
      <c r="CB283" s="36">
        <f>CA283/BW281</f>
        <v>0.17013910355486864</v>
      </c>
      <c r="CC283" s="36"/>
      <c r="CD283" s="13"/>
      <c r="CE283" s="13"/>
      <c r="CF283" s="13"/>
      <c r="CG283" s="15"/>
      <c r="CH283" s="1"/>
      <c r="CI283" s="16"/>
      <c r="CJ283" s="69" t="s">
        <v>25</v>
      </c>
      <c r="CK283" s="13">
        <f>CK281*0.6</f>
        <v>661320</v>
      </c>
      <c r="CL283" s="13"/>
      <c r="CM283" s="13"/>
      <c r="CN283" s="5" t="s">
        <v>24</v>
      </c>
      <c r="CO283" s="13">
        <f>SUM(CS225:CS277)</f>
        <v>196500</v>
      </c>
      <c r="CP283" s="36">
        <f>CO283/CK281</f>
        <v>0.17827980402830701</v>
      </c>
      <c r="CQ283" s="36"/>
      <c r="CR283" s="13"/>
      <c r="CS283" s="13"/>
      <c r="CT283" s="13"/>
      <c r="CU283" s="15"/>
      <c r="CV283" s="1"/>
      <c r="CW283" s="16"/>
      <c r="CX283" s="69" t="s">
        <v>25</v>
      </c>
      <c r="CY283" s="13">
        <f>CY281*0.6</f>
        <v>66600</v>
      </c>
      <c r="CZ283" s="13"/>
      <c r="DA283" s="13"/>
      <c r="DB283" s="5" t="s">
        <v>24</v>
      </c>
      <c r="DC283" s="13">
        <f>SUM(DG225:DG277)</f>
        <v>17600</v>
      </c>
      <c r="DD283" s="36">
        <f>DC283/CY281</f>
        <v>0.15855855855855855</v>
      </c>
      <c r="DE283" s="36"/>
      <c r="DF283" s="13"/>
      <c r="DG283" s="13"/>
      <c r="DH283" s="13"/>
      <c r="DI283" s="15"/>
      <c r="DJ283" s="1"/>
      <c r="DK283" s="16"/>
      <c r="DL283" s="69" t="s">
        <v>25</v>
      </c>
      <c r="DM283" s="13">
        <f>DM281*0.6</f>
        <v>40440</v>
      </c>
      <c r="DN283" s="13"/>
      <c r="DO283" s="13"/>
      <c r="DP283" s="5" t="s">
        <v>24</v>
      </c>
      <c r="DQ283" s="13">
        <f>SUM(DU225:DU277)</f>
        <v>23100</v>
      </c>
      <c r="DR283" s="36">
        <f>DQ283/DM281</f>
        <v>0.34272997032640951</v>
      </c>
      <c r="DS283" s="36"/>
      <c r="DT283" s="13"/>
      <c r="DU283" s="13"/>
      <c r="DV283" s="13"/>
      <c r="DW283" s="15"/>
      <c r="DY283" s="16"/>
      <c r="DZ283" s="69" t="s">
        <v>25</v>
      </c>
      <c r="EA283" s="13">
        <f>EA281*0.6</f>
        <v>54900</v>
      </c>
      <c r="EB283" s="13"/>
      <c r="EC283" s="13"/>
      <c r="ED283" s="5" t="s">
        <v>24</v>
      </c>
      <c r="EE283" s="13">
        <f>SUM(EI225:EI277)</f>
        <v>73400</v>
      </c>
      <c r="EF283" s="36">
        <f>EE283/EA281</f>
        <v>0.80218579234972676</v>
      </c>
      <c r="EG283" s="36"/>
      <c r="EH283" s="13"/>
      <c r="EI283" s="13"/>
      <c r="EJ283" s="13"/>
      <c r="EK283" s="15"/>
    </row>
    <row r="284" spans="1:141" ht="15" customHeight="1" x14ac:dyDescent="0.2">
      <c r="A284" s="79"/>
      <c r="B284" s="74">
        <f>B283*A281</f>
        <v>29639</v>
      </c>
      <c r="C284" s="5" t="s">
        <v>27</v>
      </c>
      <c r="D284" s="13">
        <f>D355</f>
        <v>337300</v>
      </c>
      <c r="E284" s="13"/>
      <c r="F284" s="13"/>
      <c r="G284" s="5"/>
      <c r="H284" s="13"/>
      <c r="I284" s="24"/>
      <c r="J284" s="272" t="s">
        <v>29</v>
      </c>
      <c r="K284" s="272"/>
      <c r="L284" s="53">
        <f>(G257+I257)*K257+(G258+I258)*K258+(G259+I259)*K259+(G260+I260)*K260</f>
        <v>47949</v>
      </c>
      <c r="M284" s="14"/>
      <c r="N284" s="15"/>
      <c r="O284" s="2"/>
      <c r="P284" s="79"/>
      <c r="Q284" s="5" t="s">
        <v>27</v>
      </c>
      <c r="R284" s="13">
        <f>R355</f>
        <v>391600</v>
      </c>
      <c r="S284" s="13"/>
      <c r="T284" s="13"/>
      <c r="U284" s="5"/>
      <c r="V284" s="13"/>
      <c r="W284" s="24"/>
      <c r="X284" s="272" t="s">
        <v>29</v>
      </c>
      <c r="Y284" s="272"/>
      <c r="Z284" s="53">
        <f>(U257+W257)*Y257+(U258+W258)*Y258+(U259+W259)*Y259+(U260+W260)*Y260</f>
        <v>52100</v>
      </c>
      <c r="AA284" s="14"/>
      <c r="AB284" s="15"/>
      <c r="AD284" s="79"/>
      <c r="AE284" s="5" t="s">
        <v>27</v>
      </c>
      <c r="AF284" s="13">
        <f>AF355</f>
        <v>227400</v>
      </c>
      <c r="AG284" s="13"/>
      <c r="AH284" s="13"/>
      <c r="AI284" s="5"/>
      <c r="AJ284" s="13"/>
      <c r="AK284" s="24"/>
      <c r="AL284" s="272" t="s">
        <v>29</v>
      </c>
      <c r="AM284" s="272"/>
      <c r="AN284" s="53">
        <f>(AI257+AK257)*AM257+(AI258+AK258)*AM258+(AI259+AK259)*AM259+(AI260+AK260)*AM260</f>
        <v>34368</v>
      </c>
      <c r="AO284" s="14"/>
      <c r="AP284" s="15"/>
      <c r="AQ284" s="2"/>
      <c r="AR284" s="79"/>
      <c r="AS284" s="5" t="s">
        <v>27</v>
      </c>
      <c r="AT284" s="13">
        <f>AT355</f>
        <v>249700</v>
      </c>
      <c r="AU284" s="13"/>
      <c r="AV284" s="13"/>
      <c r="AW284" s="5"/>
      <c r="AX284" s="13"/>
      <c r="AY284" s="24"/>
      <c r="AZ284" s="272" t="s">
        <v>29</v>
      </c>
      <c r="BA284" s="272"/>
      <c r="BB284" s="53">
        <f>(AW257+AY257)*BA257+(AW258+AY258)*BA258+(AW259+AY259)*BA259+(AW260+AY260)*BA260</f>
        <v>47888</v>
      </c>
      <c r="BC284" s="14"/>
      <c r="BD284" s="15"/>
      <c r="BE284" s="2"/>
      <c r="BF284" s="79"/>
      <c r="BG284" s="240"/>
      <c r="BH284" s="5" t="s">
        <v>27</v>
      </c>
      <c r="BI284" s="13">
        <f>BI355</f>
        <v>0</v>
      </c>
      <c r="BJ284" s="13"/>
      <c r="BK284" s="13"/>
      <c r="BL284" s="5"/>
      <c r="BM284" s="13"/>
      <c r="BN284" s="24"/>
      <c r="BO284" s="272" t="s">
        <v>29</v>
      </c>
      <c r="BP284" s="272"/>
      <c r="BQ284" s="53">
        <f>(BL257+BN257)*BP257+(BL258+BN258)*BP258+(BL259+BN259)*BP259+(BL260+BN260)*BP260</f>
        <v>16500</v>
      </c>
      <c r="BR284" s="14"/>
      <c r="BS284" s="15"/>
      <c r="BU284" s="16"/>
      <c r="BV284" s="69" t="s">
        <v>27</v>
      </c>
      <c r="BW284" s="13">
        <f>BW355</f>
        <v>137400</v>
      </c>
      <c r="BX284" s="13"/>
      <c r="BY284" s="13"/>
      <c r="BZ284" s="5" t="s">
        <v>26</v>
      </c>
      <c r="CA284" s="13">
        <f>BW283-CA283</f>
        <v>55624</v>
      </c>
      <c r="CB284" s="36">
        <f>CA284/BW281</f>
        <v>0.42986089644513137</v>
      </c>
      <c r="CC284" s="36"/>
      <c r="CD284" s="14"/>
      <c r="CE284" s="14"/>
      <c r="CF284" s="14"/>
      <c r="CG284" s="15"/>
      <c r="CH284" s="1"/>
      <c r="CI284" s="16"/>
      <c r="CJ284" s="69" t="s">
        <v>27</v>
      </c>
      <c r="CK284" s="13">
        <f>CK355</f>
        <v>999300</v>
      </c>
      <c r="CL284" s="13"/>
      <c r="CM284" s="13"/>
      <c r="CN284" s="5" t="s">
        <v>26</v>
      </c>
      <c r="CO284" s="13">
        <f>CK283-CO283</f>
        <v>464820</v>
      </c>
      <c r="CP284" s="36">
        <f>CO284/CK281</f>
        <v>0.42172019597169297</v>
      </c>
      <c r="CQ284" s="36"/>
      <c r="CR284" s="14"/>
      <c r="CS284" s="14"/>
      <c r="CT284" s="14"/>
      <c r="CU284" s="15"/>
      <c r="CV284" s="1"/>
      <c r="CW284" s="16"/>
      <c r="CX284" s="69" t="s">
        <v>27</v>
      </c>
      <c r="CY284" s="13">
        <f>CY355</f>
        <v>131000</v>
      </c>
      <c r="CZ284" s="13"/>
      <c r="DA284" s="13"/>
      <c r="DB284" s="5" t="s">
        <v>26</v>
      </c>
      <c r="DC284" s="13">
        <f>CY283-DC283</f>
        <v>49000</v>
      </c>
      <c r="DD284" s="36">
        <f>DC284/CY281</f>
        <v>0.44144144144144143</v>
      </c>
      <c r="DE284" s="36"/>
      <c r="DF284" s="14"/>
      <c r="DG284" s="14"/>
      <c r="DH284" s="14"/>
      <c r="DI284" s="15"/>
      <c r="DJ284" s="1"/>
      <c r="DK284" s="16"/>
      <c r="DL284" s="69" t="s">
        <v>27</v>
      </c>
      <c r="DM284" s="13">
        <f>DM355</f>
        <v>100900</v>
      </c>
      <c r="DN284" s="13"/>
      <c r="DO284" s="13"/>
      <c r="DP284" s="5" t="s">
        <v>26</v>
      </c>
      <c r="DQ284" s="13">
        <f>DM283-DQ283</f>
        <v>17340</v>
      </c>
      <c r="DR284" s="36">
        <f>DQ284/DM281</f>
        <v>0.25727002967359053</v>
      </c>
      <c r="DS284" s="36"/>
      <c r="DT284" s="14"/>
      <c r="DU284" s="14"/>
      <c r="DV284" s="14"/>
      <c r="DW284" s="15"/>
      <c r="DY284" s="16"/>
      <c r="DZ284" s="69" t="s">
        <v>27</v>
      </c>
      <c r="EA284" s="13">
        <f>EA355</f>
        <v>0</v>
      </c>
      <c r="EB284" s="13"/>
      <c r="EC284" s="13"/>
      <c r="ED284" s="5" t="s">
        <v>26</v>
      </c>
      <c r="EE284" s="13">
        <f>EA283-EE283</f>
        <v>-18500</v>
      </c>
      <c r="EF284" s="36">
        <f>EE284/EA281</f>
        <v>-0.20218579234972678</v>
      </c>
      <c r="EG284" s="36"/>
      <c r="EH284" s="14"/>
      <c r="EI284" s="14"/>
      <c r="EJ284" s="14"/>
      <c r="EK284" s="15"/>
    </row>
    <row r="285" spans="1:141" ht="15" customHeight="1" x14ac:dyDescent="0.2">
      <c r="A285" s="273" t="s">
        <v>57</v>
      </c>
      <c r="B285" s="274"/>
      <c r="C285" s="273" t="s">
        <v>62</v>
      </c>
      <c r="D285" s="274"/>
      <c r="E285" s="273" t="s">
        <v>63</v>
      </c>
      <c r="F285" s="275"/>
      <c r="G285" s="5"/>
      <c r="H285" s="13"/>
      <c r="I285" s="24"/>
      <c r="J285" s="99"/>
      <c r="K285" s="102"/>
      <c r="L285" s="53"/>
      <c r="M285" s="14"/>
      <c r="N285" s="15"/>
      <c r="O285" s="2"/>
      <c r="P285" s="85"/>
      <c r="Q285" s="69"/>
      <c r="R285" s="13"/>
      <c r="S285" s="13"/>
      <c r="T285" s="13"/>
      <c r="U285" s="5"/>
      <c r="V285" s="13"/>
      <c r="W285" s="24"/>
      <c r="X285" s="99"/>
      <c r="Y285" s="102"/>
      <c r="Z285" s="53"/>
      <c r="AA285" s="14"/>
      <c r="AB285" s="15"/>
      <c r="AD285" s="85"/>
      <c r="AE285" s="69"/>
      <c r="AF285" s="13"/>
      <c r="AG285" s="13"/>
      <c r="AH285" s="13"/>
      <c r="AI285" s="5"/>
      <c r="AJ285" s="13"/>
      <c r="AK285" s="24"/>
      <c r="AL285" s="99"/>
      <c r="AM285" s="102"/>
      <c r="AN285" s="53"/>
      <c r="AO285" s="14"/>
      <c r="AP285" s="15"/>
      <c r="AQ285" s="2"/>
      <c r="AR285" s="85"/>
      <c r="AS285" s="69"/>
      <c r="AT285" s="13"/>
      <c r="AU285" s="13"/>
      <c r="AV285" s="13"/>
      <c r="AW285" s="5"/>
      <c r="AX285" s="13"/>
      <c r="AY285" s="24"/>
      <c r="AZ285" s="118"/>
      <c r="BA285" s="102"/>
      <c r="BB285" s="53"/>
      <c r="BC285" s="14"/>
      <c r="BD285" s="15"/>
      <c r="BE285" s="2"/>
      <c r="BF285" s="85"/>
      <c r="BG285" s="245"/>
      <c r="BH285" s="69"/>
      <c r="BI285" s="13"/>
      <c r="BJ285" s="13"/>
      <c r="BK285" s="13"/>
      <c r="BL285" s="5"/>
      <c r="BM285" s="13"/>
      <c r="BN285" s="24"/>
      <c r="BO285" s="99"/>
      <c r="BP285" s="102"/>
      <c r="BQ285" s="53"/>
      <c r="BR285" s="14"/>
      <c r="BS285" s="15"/>
      <c r="BU285" s="16"/>
      <c r="BV285" s="54"/>
      <c r="BW285" s="13"/>
      <c r="BX285" s="13"/>
      <c r="BY285" s="13"/>
      <c r="BZ285" s="263" t="s">
        <v>29</v>
      </c>
      <c r="CA285" s="264"/>
      <c r="CB285" s="13">
        <f>(BZ233+CB233)*CD233</f>
        <v>45408</v>
      </c>
      <c r="CC285" s="13"/>
      <c r="CD285" s="14"/>
      <c r="CE285" s="14"/>
      <c r="CF285" s="14"/>
      <c r="CG285" s="15"/>
      <c r="CH285" s="1"/>
      <c r="CI285" s="16"/>
      <c r="CJ285" s="54"/>
      <c r="CK285" s="13"/>
      <c r="CL285" s="13"/>
      <c r="CM285" s="13"/>
      <c r="CN285" s="263" t="s">
        <v>29</v>
      </c>
      <c r="CO285" s="264"/>
      <c r="CP285" s="13">
        <f>(CN233+CP233)*CR233</f>
        <v>55500</v>
      </c>
      <c r="CQ285" s="13"/>
      <c r="CR285" s="14"/>
      <c r="CS285" s="14"/>
      <c r="CT285" s="14"/>
      <c r="CU285" s="15"/>
      <c r="CV285" s="1"/>
      <c r="CW285" s="16"/>
      <c r="CX285" s="54"/>
      <c r="CY285" s="13"/>
      <c r="CZ285" s="13"/>
      <c r="DA285" s="13"/>
      <c r="DB285" s="263" t="s">
        <v>29</v>
      </c>
      <c r="DC285" s="264"/>
      <c r="DD285" s="13">
        <f>(DB233+DD233)*DF233</f>
        <v>53680</v>
      </c>
      <c r="DE285" s="13"/>
      <c r="DF285" s="14"/>
      <c r="DG285" s="14"/>
      <c r="DH285" s="14"/>
      <c r="DI285" s="15"/>
      <c r="DJ285" s="1"/>
      <c r="DK285" s="16"/>
      <c r="DL285" s="54"/>
      <c r="DM285" s="13"/>
      <c r="DN285" s="13"/>
      <c r="DO285" s="13"/>
      <c r="DP285" s="263" t="s">
        <v>29</v>
      </c>
      <c r="DQ285" s="264"/>
      <c r="DR285" s="13">
        <f>(DP233+DR233)*DT233</f>
        <v>19800</v>
      </c>
      <c r="DS285" s="13"/>
      <c r="DT285" s="14"/>
      <c r="DU285" s="14"/>
      <c r="DV285" s="14"/>
      <c r="DW285" s="15"/>
      <c r="DY285" s="16"/>
      <c r="DZ285" s="54"/>
      <c r="EA285" s="13"/>
      <c r="EB285" s="13"/>
      <c r="EC285" s="13"/>
      <c r="ED285" s="263" t="s">
        <v>29</v>
      </c>
      <c r="EE285" s="264"/>
      <c r="EF285" s="13">
        <f>(ED233+EF233)*EH233</f>
        <v>68400</v>
      </c>
      <c r="EG285" s="13"/>
      <c r="EH285" s="14"/>
      <c r="EI285" s="14"/>
      <c r="EJ285" s="14"/>
      <c r="EK285" s="15"/>
    </row>
    <row r="286" spans="1:141" ht="15" customHeight="1" x14ac:dyDescent="0.2">
      <c r="A286" s="265">
        <f>E282+S282+AG282+AU282+BX282+CL282+CZ282+DN282+EB282+BJ282</f>
        <v>2982300</v>
      </c>
      <c r="B286" s="266"/>
      <c r="C286" s="267">
        <f>L281+Z281+AN281+BB281</f>
        <v>207747</v>
      </c>
      <c r="D286" s="268"/>
      <c r="E286" s="267">
        <f>L284+Z284+AN284+BB284+CB285+CP285+DD285+DR285</f>
        <v>356693</v>
      </c>
      <c r="F286" s="268"/>
      <c r="G286" s="5"/>
      <c r="H286" s="13"/>
      <c r="I286" s="24"/>
      <c r="J286" s="99"/>
      <c r="K286" s="102"/>
      <c r="L286" s="53"/>
      <c r="M286" s="14"/>
      <c r="N286" s="15"/>
      <c r="O286" s="2"/>
      <c r="P286" s="85"/>
      <c r="Q286" s="69"/>
      <c r="R286" s="13"/>
      <c r="S286" s="13"/>
      <c r="T286" s="13"/>
      <c r="U286" s="5"/>
      <c r="V286" s="13"/>
      <c r="W286" s="24"/>
      <c r="X286" s="99"/>
      <c r="Y286" s="102"/>
      <c r="Z286" s="53"/>
      <c r="AA286" s="14"/>
      <c r="AB286" s="15"/>
      <c r="AD286" s="85"/>
      <c r="AE286" s="69"/>
      <c r="AF286" s="13"/>
      <c r="AG286" s="13"/>
      <c r="AH286" s="13"/>
      <c r="AI286" s="5"/>
      <c r="AJ286" s="13"/>
      <c r="AK286" s="24"/>
      <c r="AL286" s="99"/>
      <c r="AM286" s="102"/>
      <c r="AN286" s="53"/>
      <c r="AO286" s="14"/>
      <c r="AP286" s="15"/>
      <c r="AQ286" s="2"/>
      <c r="AR286" s="85"/>
      <c r="AS286" s="69"/>
      <c r="AT286" s="13"/>
      <c r="AU286" s="13"/>
      <c r="AV286" s="13"/>
      <c r="AW286" s="5"/>
      <c r="AX286" s="13"/>
      <c r="AY286" s="24"/>
      <c r="AZ286" s="118"/>
      <c r="BA286" s="102"/>
      <c r="BB286" s="53"/>
      <c r="BC286" s="14"/>
      <c r="BD286" s="15"/>
      <c r="BE286" s="2"/>
      <c r="BF286" s="85"/>
      <c r="BG286" s="245"/>
      <c r="BH286" s="69"/>
      <c r="BI286" s="13"/>
      <c r="BJ286" s="13"/>
      <c r="BK286" s="13"/>
      <c r="BL286" s="5"/>
      <c r="BM286" s="13"/>
      <c r="BN286" s="24"/>
      <c r="BO286" s="99"/>
      <c r="BP286" s="102"/>
      <c r="BQ286" s="53"/>
      <c r="BR286" s="14"/>
      <c r="BS286" s="15"/>
      <c r="BU286" s="16"/>
      <c r="BV286" s="54"/>
      <c r="BW286" s="13"/>
      <c r="BX286" s="13"/>
      <c r="BY286" s="13"/>
      <c r="BZ286" s="5"/>
      <c r="CA286" s="13"/>
      <c r="CB286" s="13"/>
      <c r="CC286" s="13"/>
      <c r="CD286" s="14"/>
      <c r="CE286" s="14"/>
      <c r="CF286" s="14"/>
      <c r="CG286" s="15"/>
      <c r="CH286" s="1"/>
      <c r="CI286" s="16"/>
      <c r="CJ286" s="54"/>
      <c r="CK286" s="13"/>
      <c r="CL286" s="13"/>
      <c r="CM286" s="13"/>
      <c r="CN286" s="5"/>
      <c r="CO286" s="13"/>
      <c r="CP286" s="13"/>
      <c r="CQ286" s="13"/>
      <c r="CR286" s="14"/>
      <c r="CS286" s="14"/>
      <c r="CT286" s="14"/>
      <c r="CU286" s="15"/>
      <c r="CV286" s="1"/>
      <c r="CW286" s="16"/>
      <c r="CX286" s="54"/>
      <c r="CY286" s="13"/>
      <c r="CZ286" s="13"/>
      <c r="DA286" s="13"/>
      <c r="DB286" s="5"/>
      <c r="DC286" s="13"/>
      <c r="DD286" s="13"/>
      <c r="DE286" s="13"/>
      <c r="DF286" s="14"/>
      <c r="DG286" s="14"/>
      <c r="DH286" s="14"/>
      <c r="DI286" s="15"/>
      <c r="DJ286" s="1"/>
      <c r="DK286" s="16"/>
      <c r="DL286" s="54"/>
      <c r="DM286" s="13"/>
      <c r="DN286" s="13"/>
      <c r="DO286" s="13"/>
      <c r="DP286" s="5"/>
      <c r="DQ286" s="13"/>
      <c r="DR286" s="13"/>
      <c r="DS286" s="13"/>
      <c r="DT286" s="14"/>
      <c r="DU286" s="14"/>
      <c r="DV286" s="14"/>
      <c r="DW286" s="15"/>
      <c r="DY286" s="16"/>
      <c r="DZ286" s="54"/>
      <c r="EA286" s="13"/>
      <c r="EB286" s="13"/>
      <c r="EC286" s="13"/>
      <c r="ED286" s="5"/>
      <c r="EE286" s="13"/>
      <c r="EF286" s="13"/>
      <c r="EG286" s="13"/>
      <c r="EH286" s="14"/>
      <c r="EI286" s="14"/>
      <c r="EJ286" s="14"/>
      <c r="EK286" s="15"/>
    </row>
    <row r="287" spans="1:141" ht="15" customHeight="1" x14ac:dyDescent="0.2">
      <c r="A287" s="281">
        <f>93000+58000</f>
        <v>151000</v>
      </c>
      <c r="B287" s="282"/>
      <c r="C287" s="98"/>
      <c r="D287" s="106">
        <f>C286/A286</f>
        <v>6.9659993964389905E-2</v>
      </c>
      <c r="E287" s="104"/>
      <c r="F287" s="96"/>
      <c r="G287" s="5"/>
      <c r="H287" s="13"/>
      <c r="I287" s="24"/>
      <c r="J287" s="99"/>
      <c r="K287" s="102"/>
      <c r="L287" s="53"/>
      <c r="M287" s="14"/>
      <c r="N287" s="15"/>
      <c r="O287" s="2"/>
      <c r="P287" s="85"/>
      <c r="Q287" s="69"/>
      <c r="R287" s="13"/>
      <c r="S287" s="13"/>
      <c r="T287" s="13"/>
      <c r="U287" s="5"/>
      <c r="V287" s="13"/>
      <c r="W287" s="24"/>
      <c r="X287" s="99"/>
      <c r="Y287" s="102"/>
      <c r="Z287" s="53"/>
      <c r="AA287" s="14"/>
      <c r="AB287" s="15"/>
      <c r="AD287" s="85"/>
      <c r="AE287" s="69"/>
      <c r="AF287" s="13"/>
      <c r="AG287" s="13"/>
      <c r="AH287" s="13"/>
      <c r="AI287" s="5"/>
      <c r="AJ287" s="13"/>
      <c r="AK287" s="24"/>
      <c r="AL287" s="99"/>
      <c r="AM287" s="102"/>
      <c r="AN287" s="53"/>
      <c r="AO287" s="14"/>
      <c r="AP287" s="15"/>
      <c r="AQ287" s="2"/>
      <c r="AR287" s="85"/>
      <c r="AS287" s="69"/>
      <c r="AT287" s="13"/>
      <c r="AU287" s="13"/>
      <c r="AV287" s="13"/>
      <c r="AW287" s="5"/>
      <c r="AX287" s="13"/>
      <c r="AY287" s="24"/>
      <c r="AZ287" s="118"/>
      <c r="BA287" s="102"/>
      <c r="BB287" s="53"/>
      <c r="BC287" s="14"/>
      <c r="BD287" s="15"/>
      <c r="BE287" s="2"/>
      <c r="BF287" s="85"/>
      <c r="BG287" s="245"/>
      <c r="BH287" s="69"/>
      <c r="BI287" s="13"/>
      <c r="BJ287" s="13"/>
      <c r="BK287" s="13"/>
      <c r="BL287" s="5"/>
      <c r="BM287" s="13"/>
      <c r="BN287" s="24"/>
      <c r="BO287" s="99"/>
      <c r="BP287" s="102"/>
      <c r="BQ287" s="53"/>
      <c r="BR287" s="14"/>
      <c r="BS287" s="15"/>
      <c r="BU287" s="16"/>
      <c r="BV287" s="54"/>
      <c r="BW287" s="13"/>
      <c r="BX287" s="13"/>
      <c r="BY287" s="13"/>
      <c r="BZ287" s="5"/>
      <c r="CA287" s="13"/>
      <c r="CB287" s="36"/>
      <c r="CC287" s="36"/>
      <c r="CD287" s="13"/>
      <c r="CE287" s="13"/>
      <c r="CF287" s="13"/>
      <c r="CG287" s="15"/>
      <c r="CH287" s="1"/>
      <c r="CI287" s="16"/>
      <c r="CJ287" s="54"/>
      <c r="CK287" s="13"/>
      <c r="CL287" s="13"/>
      <c r="CM287" s="13"/>
      <c r="CN287" s="5"/>
      <c r="CO287" s="13"/>
      <c r="CP287" s="36"/>
      <c r="CQ287" s="36"/>
      <c r="CR287" s="13"/>
      <c r="CS287" s="13"/>
      <c r="CT287" s="13"/>
      <c r="CU287" s="15"/>
      <c r="CV287" s="1"/>
      <c r="CW287" s="16"/>
      <c r="CX287" s="54"/>
      <c r="CY287" s="13"/>
      <c r="CZ287" s="13"/>
      <c r="DA287" s="13"/>
      <c r="DB287" s="5"/>
      <c r="DC287" s="13"/>
      <c r="DD287" s="36"/>
      <c r="DE287" s="36"/>
      <c r="DF287" s="13"/>
      <c r="DG287" s="13"/>
      <c r="DH287" s="13"/>
      <c r="DI287" s="15"/>
      <c r="DJ287" s="1"/>
      <c r="DK287" s="16"/>
      <c r="DL287" s="54"/>
      <c r="DM287" s="13"/>
      <c r="DN287" s="13"/>
      <c r="DO287" s="13"/>
      <c r="DP287" s="5"/>
      <c r="DQ287" s="13"/>
      <c r="DR287" s="36"/>
      <c r="DS287" s="36"/>
      <c r="DT287" s="13"/>
      <c r="DU287" s="13"/>
      <c r="DV287" s="13"/>
      <c r="DW287" s="15"/>
      <c r="DY287" s="16"/>
      <c r="DZ287" s="54"/>
      <c r="EA287" s="13"/>
      <c r="EB287" s="13"/>
      <c r="EC287" s="13"/>
      <c r="ED287" s="5"/>
      <c r="EE287" s="13"/>
      <c r="EF287" s="36"/>
      <c r="EG287" s="36"/>
      <c r="EH287" s="13"/>
      <c r="EI287" s="13"/>
      <c r="EJ287" s="13"/>
      <c r="EK287" s="15"/>
    </row>
    <row r="288" spans="1:141" ht="15" customHeight="1" x14ac:dyDescent="0.2">
      <c r="A288" s="153"/>
      <c r="B288" s="154"/>
      <c r="C288" s="98"/>
      <c r="D288" s="96"/>
      <c r="E288" s="5"/>
      <c r="F288" s="13"/>
      <c r="G288" s="5"/>
      <c r="H288" s="13"/>
      <c r="I288" s="13"/>
      <c r="J288" s="68"/>
      <c r="K288" s="82"/>
      <c r="L288" s="14"/>
      <c r="M288" s="14"/>
      <c r="N288" s="15"/>
      <c r="O288" s="2"/>
      <c r="P288" s="86"/>
      <c r="Q288" s="54"/>
      <c r="R288" s="13"/>
      <c r="S288" s="5"/>
      <c r="T288" s="13"/>
      <c r="U288" s="5"/>
      <c r="V288" s="13"/>
      <c r="W288" s="13"/>
      <c r="X288" s="52"/>
      <c r="Y288" s="82"/>
      <c r="Z288" s="14"/>
      <c r="AA288" s="14"/>
      <c r="AB288" s="15"/>
      <c r="AD288" s="86"/>
      <c r="AE288" s="54"/>
      <c r="AF288" s="13"/>
      <c r="AG288" s="5"/>
      <c r="AH288" s="13"/>
      <c r="AI288" s="5"/>
      <c r="AJ288" s="13"/>
      <c r="AK288" s="13"/>
      <c r="AL288" s="68"/>
      <c r="AM288" s="82"/>
      <c r="AN288" s="14"/>
      <c r="AO288" s="14"/>
      <c r="AP288" s="15"/>
      <c r="AQ288" s="2"/>
      <c r="AR288" s="86"/>
      <c r="AS288" s="54"/>
      <c r="AT288" s="13"/>
      <c r="AU288" s="5"/>
      <c r="AV288" s="13"/>
      <c r="AW288" s="5"/>
      <c r="AX288" s="13"/>
      <c r="AY288" s="13"/>
      <c r="AZ288" s="68"/>
      <c r="BA288" s="82"/>
      <c r="BB288" s="14"/>
      <c r="BC288" s="14"/>
      <c r="BD288" s="15"/>
      <c r="BE288" s="2"/>
      <c r="BF288" s="86"/>
      <c r="BG288" s="246"/>
      <c r="BH288" s="54"/>
      <c r="BI288" s="13"/>
      <c r="BJ288" s="5"/>
      <c r="BK288" s="13"/>
      <c r="BL288" s="5"/>
      <c r="BM288" s="13"/>
      <c r="BN288" s="13"/>
      <c r="BO288" s="52"/>
      <c r="BP288" s="82"/>
      <c r="BQ288" s="14"/>
      <c r="BR288" s="14"/>
      <c r="BS288" s="15"/>
      <c r="BU288" s="16"/>
      <c r="BV288" s="13"/>
      <c r="BW288" s="13"/>
      <c r="BX288" s="13"/>
      <c r="BY288" s="13"/>
      <c r="BZ288" s="5"/>
      <c r="CA288" s="13"/>
      <c r="CB288" s="36"/>
      <c r="CC288" s="36"/>
      <c r="CD288" s="13"/>
      <c r="CE288" s="13"/>
      <c r="CF288" s="13"/>
      <c r="CG288" s="15"/>
      <c r="CH288" s="1"/>
      <c r="CI288" s="16"/>
      <c r="CJ288" s="13"/>
      <c r="CK288" s="13"/>
      <c r="CL288" s="13"/>
      <c r="CM288" s="13"/>
      <c r="CN288" s="5"/>
      <c r="CO288" s="13"/>
      <c r="CP288" s="36"/>
      <c r="CQ288" s="36"/>
      <c r="CR288" s="13"/>
      <c r="CS288" s="13"/>
      <c r="CT288" s="13"/>
      <c r="CU288" s="15"/>
      <c r="CV288" s="1"/>
      <c r="CW288" s="16"/>
      <c r="CX288" s="13"/>
      <c r="CY288" s="13"/>
      <c r="CZ288" s="13"/>
      <c r="DA288" s="13"/>
      <c r="DB288" s="5"/>
      <c r="DC288" s="13"/>
      <c r="DD288" s="36"/>
      <c r="DE288" s="36"/>
      <c r="DF288" s="13"/>
      <c r="DG288" s="13"/>
      <c r="DH288" s="13"/>
      <c r="DI288" s="15"/>
      <c r="DJ288" s="1"/>
      <c r="DK288" s="16"/>
      <c r="DL288" s="13"/>
      <c r="DM288" s="13"/>
      <c r="DN288" s="13"/>
      <c r="DO288" s="13"/>
      <c r="DP288" s="5"/>
      <c r="DQ288" s="13"/>
      <c r="DR288" s="36"/>
      <c r="DS288" s="36"/>
      <c r="DT288" s="13"/>
      <c r="DU288" s="13"/>
      <c r="DV288" s="13"/>
      <c r="DW288" s="15"/>
      <c r="DY288" s="16"/>
      <c r="DZ288" s="13"/>
      <c r="EA288" s="13"/>
      <c r="EB288" s="13"/>
      <c r="EC288" s="13"/>
      <c r="ED288" s="5"/>
      <c r="EE288" s="13"/>
      <c r="EF288" s="36"/>
      <c r="EG288" s="36"/>
      <c r="EH288" s="13"/>
      <c r="EI288" s="13"/>
      <c r="EJ288" s="13"/>
      <c r="EK288" s="15"/>
    </row>
    <row r="289" spans="1:141" ht="15" customHeight="1" x14ac:dyDescent="0.2">
      <c r="A289" s="258" t="s">
        <v>28</v>
      </c>
      <c r="B289" s="260"/>
      <c r="C289" s="259"/>
      <c r="D289" s="38">
        <f>SUM(D225,D229,D233,D237,D241,D245,D249,D253,D257,D261,D265,D269,D273)*100</f>
        <v>56600</v>
      </c>
      <c r="E289" s="54"/>
      <c r="F289" s="13"/>
      <c r="G289" s="5">
        <f>D289/H289</f>
        <v>1617.1428571428571</v>
      </c>
      <c r="H289" s="38">
        <f>SUM(H225,H229,H233,H237,H241,H245,H250,H253,H257,H261,H265,H269,H273)</f>
        <v>35</v>
      </c>
      <c r="I289" s="13"/>
      <c r="J289" s="75" t="str">
        <f t="shared" ref="J289:K292" si="584">J225</f>
        <v>ジャグラーボタン</v>
      </c>
      <c r="K289" s="76">
        <f t="shared" si="584"/>
        <v>748</v>
      </c>
      <c r="L289" s="38">
        <f>SUM(L225,L229,L233,L237,L241,L245,L250,L253,L257,L261,L265,L269,L273)</f>
        <v>16720</v>
      </c>
      <c r="M289" s="36">
        <f>L289/D289</f>
        <v>0.29540636042402829</v>
      </c>
      <c r="N289" s="15"/>
      <c r="O289" s="2"/>
      <c r="P289" s="258" t="s">
        <v>28</v>
      </c>
      <c r="Q289" s="259"/>
      <c r="R289" s="38">
        <f>SUM(R225,R229,R233,R237,R241,R245,R250,R253,R257,R261,R265,R269,R273)*100</f>
        <v>77900</v>
      </c>
      <c r="S289" s="54"/>
      <c r="T289" s="13"/>
      <c r="U289" s="5">
        <f>R289/V289</f>
        <v>3895</v>
      </c>
      <c r="V289" s="38">
        <f>SUM(V225,V229,V233,V237,V241,V245,V250,V253,V257,V261,V265,V269,V273)</f>
        <v>20</v>
      </c>
      <c r="W289" s="13"/>
      <c r="X289" s="78" t="str">
        <f t="shared" ref="X289:Y292" si="585">X225</f>
        <v>キティボアバンスクリップ</v>
      </c>
      <c r="Y289" s="76">
        <f t="shared" si="585"/>
        <v>1100</v>
      </c>
      <c r="Z289" s="38">
        <f>SUM(Z225,Z229,Z233,Z237,Z241,Z245,Z250,Z253,Z257,Z261,Z265,Z269,Z273)</f>
        <v>22000</v>
      </c>
      <c r="AA289" s="36">
        <f>Z289/R289</f>
        <v>0.28241335044929394</v>
      </c>
      <c r="AB289" s="15"/>
      <c r="AC289" s="23"/>
      <c r="AD289" s="258" t="s">
        <v>28</v>
      </c>
      <c r="AE289" s="259"/>
      <c r="AF289" s="38">
        <f>SUM(AF225,AF229,AF233,AF237,AF241,AF245,AF249,AF253,AF257,AF261,AF265,AF269,AF273)*100</f>
        <v>40400</v>
      </c>
      <c r="AG289" s="54"/>
      <c r="AH289" s="13"/>
      <c r="AI289" s="5">
        <f>AF289/AJ289</f>
        <v>5771.4285714285716</v>
      </c>
      <c r="AJ289" s="38">
        <f>SUM(AJ225,AJ229,AJ233,AJ237,AJ241,AJ245,AJ250,AJ253,AJ257,AJ261,AJ265,AJ269,AJ273)</f>
        <v>7</v>
      </c>
      <c r="AK289" s="13"/>
      <c r="AL289" s="75" t="str">
        <f t="shared" ref="AL289:AM292" si="586">AL225</f>
        <v>サンリオ型押しケース</v>
      </c>
      <c r="AM289" s="76">
        <f t="shared" si="586"/>
        <v>545</v>
      </c>
      <c r="AN289" s="38">
        <f>SUM(AN225,AN229,AN233,AN237,AN241,AN245,AN250,AN253,AN257,AN261,AN265,AN269,AN273)</f>
        <v>3815</v>
      </c>
      <c r="AO289" s="36">
        <f>AN289/AF289</f>
        <v>9.4430693069306931E-2</v>
      </c>
      <c r="AP289" s="15"/>
      <c r="AQ289" s="2"/>
      <c r="AR289" s="258" t="s">
        <v>28</v>
      </c>
      <c r="AS289" s="259"/>
      <c r="AT289" s="38">
        <f>SUM(AT225,AT229,AT233,AT237,AT241,AT245,AT250,AT253,AT257,AT261,AT265,AT269,AT273)*100</f>
        <v>45500</v>
      </c>
      <c r="AU289" s="54"/>
      <c r="AV289" s="13"/>
      <c r="AW289" s="5">
        <f>AT289/AX289</f>
        <v>5687.5</v>
      </c>
      <c r="AX289" s="38">
        <f>SUM(AX225,AX229,AX233,AX237,AX241,AX245,AX249,AX253,AX257,AX261,AX265,AX269,AX273)</f>
        <v>8</v>
      </c>
      <c r="AY289" s="13"/>
      <c r="AZ289" s="75" t="str">
        <f t="shared" ref="AZ289:BA292" si="587">AZ225</f>
        <v>サンリオヒョウ柄キーケース</v>
      </c>
      <c r="BA289" s="76">
        <f t="shared" si="587"/>
        <v>924</v>
      </c>
      <c r="BB289" s="38">
        <f>SUM(BB225,BB229,BB233,BB237,BB241,BB245,BB250,BB253,BB257,BB261,BB265,BB269,BB273)</f>
        <v>13068</v>
      </c>
      <c r="BC289" s="36">
        <f>BB289/AT289</f>
        <v>0.28720879120879123</v>
      </c>
      <c r="BD289" s="15"/>
      <c r="BE289" s="2"/>
      <c r="BF289" s="258" t="s">
        <v>28</v>
      </c>
      <c r="BG289" s="261"/>
      <c r="BH289" s="259"/>
      <c r="BI289" s="38">
        <f>SUM(BI225,BI229,BI233,BI237,BI241,BI245,BI250,BI253,BI257,BI261,BI265,BI269,BI273)*100</f>
        <v>63800</v>
      </c>
      <c r="BJ289" s="54"/>
      <c r="BK289" s="13"/>
      <c r="BL289" s="5">
        <f>BI289/BM289</f>
        <v>12760</v>
      </c>
      <c r="BM289" s="38">
        <f>SUM(BM225,BM229,BM233,BM237,BM241,BM245,BM250,BM253,BM257,BM261,BM265,BM269,BM273)</f>
        <v>5</v>
      </c>
      <c r="BN289" s="13"/>
      <c r="BO289" s="78">
        <f t="shared" ref="BO289:BP292" si="588">BO225</f>
        <v>0</v>
      </c>
      <c r="BP289" s="76">
        <f t="shared" si="588"/>
        <v>0</v>
      </c>
      <c r="BQ289" s="38">
        <f>SUM(BQ225,BQ229,BQ233,BQ237,BQ241,BQ245,BQ250,BQ253,BQ257,BQ261,BQ265,BQ269,BQ273)</f>
        <v>7000</v>
      </c>
      <c r="BR289" s="36">
        <f>BQ289/BI289</f>
        <v>0.109717868338558</v>
      </c>
      <c r="BS289" s="15"/>
      <c r="BU289" s="16"/>
      <c r="BV289" s="270"/>
      <c r="BW289" s="270"/>
      <c r="BX289" s="10"/>
      <c r="BY289" s="13"/>
      <c r="BZ289" s="5"/>
      <c r="CA289" s="13"/>
      <c r="CB289" s="36"/>
      <c r="CC289" s="36"/>
      <c r="CD289" s="13"/>
      <c r="CE289" s="13"/>
      <c r="CF289" s="13"/>
      <c r="CG289" s="15"/>
      <c r="CH289" s="1"/>
      <c r="CI289" s="16"/>
      <c r="CJ289" s="270"/>
      <c r="CK289" s="270"/>
      <c r="CL289" s="10"/>
      <c r="CM289" s="13"/>
      <c r="CN289" s="5"/>
      <c r="CO289" s="13"/>
      <c r="CP289" s="36"/>
      <c r="CQ289" s="36"/>
      <c r="CR289" s="13"/>
      <c r="CS289" s="13"/>
      <c r="CT289" s="13"/>
      <c r="CU289" s="15"/>
      <c r="CV289" s="1"/>
      <c r="CW289" s="16"/>
      <c r="CX289" s="270"/>
      <c r="CY289" s="270"/>
      <c r="CZ289" s="10"/>
      <c r="DA289" s="13"/>
      <c r="DB289" s="5"/>
      <c r="DC289" s="13"/>
      <c r="DD289" s="36"/>
      <c r="DE289" s="36"/>
      <c r="DF289" s="13"/>
      <c r="DG289" s="13"/>
      <c r="DH289" s="13"/>
      <c r="DI289" s="15"/>
      <c r="DJ289" s="1"/>
      <c r="DK289" s="16"/>
      <c r="DL289" s="270"/>
      <c r="DM289" s="270"/>
      <c r="DN289" s="10"/>
      <c r="DO289" s="13"/>
      <c r="DP289" s="5"/>
      <c r="DQ289" s="13"/>
      <c r="DR289" s="36"/>
      <c r="DS289" s="36"/>
      <c r="DT289" s="13"/>
      <c r="DU289" s="13"/>
      <c r="DV289" s="13"/>
      <c r="DW289" s="15"/>
      <c r="DY289" s="16"/>
      <c r="DZ289" s="270"/>
      <c r="EA289" s="270"/>
      <c r="EB289" s="10"/>
      <c r="EC289" s="13"/>
      <c r="ED289" s="5"/>
      <c r="EE289" s="13"/>
      <c r="EF289" s="36"/>
      <c r="EG289" s="36"/>
      <c r="EH289" s="13"/>
      <c r="EI289" s="13"/>
      <c r="EJ289" s="13"/>
      <c r="EK289" s="15"/>
    </row>
    <row r="290" spans="1:141" x14ac:dyDescent="0.2">
      <c r="A290" s="258" t="s">
        <v>28</v>
      </c>
      <c r="B290" s="260"/>
      <c r="C290" s="259"/>
      <c r="D290" s="38">
        <f>SUM(D226,D230,D234,D238,D242,D246,D250,D254,D258,D262,D266,D270,D274)*100</f>
        <v>67200</v>
      </c>
      <c r="E290" s="54"/>
      <c r="F290" s="13"/>
      <c r="G290" s="5">
        <f>D290/H290</f>
        <v>3733.3333333333335</v>
      </c>
      <c r="H290" s="38">
        <f>SUM(H226,H230,H234,H238,H242,H246,H249,H254,H258,H262,H266,H270,H274)</f>
        <v>18</v>
      </c>
      <c r="I290" s="13"/>
      <c r="J290" s="75" t="str">
        <f t="shared" si="584"/>
        <v>電ブル</v>
      </c>
      <c r="K290" s="76">
        <f t="shared" si="584"/>
        <v>275</v>
      </c>
      <c r="L290" s="38">
        <f>SUM(L226,L230,L234,L238,L242,L246,L249,L254,L258,L262,L266,L270,L274)</f>
        <v>8296</v>
      </c>
      <c r="M290" s="36">
        <f>L290/D290</f>
        <v>0.12345238095238095</v>
      </c>
      <c r="N290" s="15"/>
      <c r="O290" s="2"/>
      <c r="P290" s="258" t="s">
        <v>28</v>
      </c>
      <c r="Q290" s="259"/>
      <c r="R290" s="38">
        <f>SUM(R226,R230,R234,R238,R242,R246,R249,R254,R258,R262,R266,R270,R274)*100</f>
        <v>42500</v>
      </c>
      <c r="S290" s="54"/>
      <c r="T290" s="13"/>
      <c r="U290" s="5">
        <f>R290/V290</f>
        <v>3035.7142857142858</v>
      </c>
      <c r="V290" s="38">
        <f>SUM(V226,V230,V234,V238,V242,V246,V249,V254,V258,V262,V266,V270,V274)</f>
        <v>14</v>
      </c>
      <c r="W290" s="13"/>
      <c r="X290" s="78" t="str">
        <f t="shared" si="585"/>
        <v>ギャルキティマスコット</v>
      </c>
      <c r="Y290" s="76">
        <f t="shared" si="585"/>
        <v>1100</v>
      </c>
      <c r="Z290" s="38">
        <f>SUM(Z226,Z230,Z234,Z238,Z242,Z246,Z249,Z254,Z258,Z262,Z266,Z270,Z274)</f>
        <v>15400</v>
      </c>
      <c r="AA290" s="36">
        <f>Z290/R290</f>
        <v>0.3623529411764706</v>
      </c>
      <c r="AB290" s="15"/>
      <c r="AC290" s="1"/>
      <c r="AD290" s="258" t="s">
        <v>28</v>
      </c>
      <c r="AE290" s="259"/>
      <c r="AF290" s="38">
        <f>SUM(AF226,AF230,AF234,AF238,AF242,AF246,AF250,AF254,AF258,AF262,AF266,AF270,AF274)*100</f>
        <v>43200</v>
      </c>
      <c r="AG290" s="54"/>
      <c r="AH290" s="13"/>
      <c r="AI290" s="5">
        <f>AF290/AJ290</f>
        <v>6171.4285714285716</v>
      </c>
      <c r="AJ290" s="38">
        <f>SUM(AJ226,AJ230,AJ234,AJ238,AJ242,AJ246,AJ249,AJ254,AJ258,AJ262,AJ266,AJ270,AJ274)</f>
        <v>7</v>
      </c>
      <c r="AK290" s="13"/>
      <c r="AL290" s="75" t="str">
        <f t="shared" si="586"/>
        <v>キティししっぽ付きポーチ</v>
      </c>
      <c r="AM290" s="76">
        <f t="shared" si="586"/>
        <v>0</v>
      </c>
      <c r="AN290" s="38">
        <f>SUM(AN226,AN230,AN234,AN238,AN242,AN246,AN249,AN254,AN258,AN262,AN266,AN270,AN274)</f>
        <v>1090</v>
      </c>
      <c r="AO290" s="36">
        <f>AN290/AF290</f>
        <v>2.5231481481481483E-2</v>
      </c>
      <c r="AP290" s="15"/>
      <c r="AQ290" s="2"/>
      <c r="AR290" s="258" t="s">
        <v>28</v>
      </c>
      <c r="AS290" s="259"/>
      <c r="AT290" s="38">
        <f>SUM(AT226,AT230,AT234,AT238,AT242,AT246,AT249,AT254,AT258,AT262,AT266,AT270,AT274)*100</f>
        <v>49800</v>
      </c>
      <c r="AU290" s="54"/>
      <c r="AV290" s="13"/>
      <c r="AW290" s="5">
        <f>AT290/AX290</f>
        <v>3830.7692307692309</v>
      </c>
      <c r="AX290" s="38">
        <f>SUM(AX226,AX230,AX234,AX238,AX242,AX246,AX250,AX254,AX258,AX262,AX266,AX270,AX274)</f>
        <v>13</v>
      </c>
      <c r="AY290" s="13"/>
      <c r="AZ290" s="75" t="str">
        <f t="shared" si="587"/>
        <v>キティフェイスポーチ</v>
      </c>
      <c r="BA290" s="76">
        <f t="shared" si="587"/>
        <v>673</v>
      </c>
      <c r="BB290" s="38">
        <f>SUM(BB226,BB230,BB234,BB238,BB242,BB246,BB249,BB254,BB258,BB262,BB266,BB270,BB274)</f>
        <v>6062</v>
      </c>
      <c r="BC290" s="36">
        <f>BB290/AT290</f>
        <v>0.12172690763052209</v>
      </c>
      <c r="BD290" s="15"/>
      <c r="BE290" s="2"/>
      <c r="BF290" s="258" t="s">
        <v>28</v>
      </c>
      <c r="BG290" s="261"/>
      <c r="BH290" s="259"/>
      <c r="BI290" s="38">
        <f>SUM(BI226,BI230,BI234,BI238,BI242,BI246,BI249,BI254,BI258,BI262,BI266,BI270,BI274)*100</f>
        <v>69200</v>
      </c>
      <c r="BJ290" s="54"/>
      <c r="BK290" s="13"/>
      <c r="BL290" s="5">
        <f>BI290/BM290</f>
        <v>23066.666666666668</v>
      </c>
      <c r="BM290" s="38">
        <f>SUM(BM226,BM230,BM234,BM238,BM242,BM246,BM249,BM254,BM258,BM262,BM266,BM270,BM274)</f>
        <v>3</v>
      </c>
      <c r="BN290" s="13"/>
      <c r="BO290" s="78">
        <f t="shared" si="588"/>
        <v>0</v>
      </c>
      <c r="BP290" s="76">
        <f t="shared" si="588"/>
        <v>0</v>
      </c>
      <c r="BQ290" s="38">
        <f>SUM(BQ226,BQ230,BQ234,BQ238,BQ242,BQ246,BQ249,BQ254,BQ258,BQ262,BQ266,BQ270,BQ274)</f>
        <v>4000</v>
      </c>
      <c r="BR290" s="36">
        <f>BQ290/BI290</f>
        <v>5.7803468208092484E-2</v>
      </c>
      <c r="BS290" s="15"/>
      <c r="BU290" s="16"/>
      <c r="BV290" s="270"/>
      <c r="BW290" s="270"/>
      <c r="BX290" s="13"/>
      <c r="BY290" s="13"/>
      <c r="BZ290" s="5"/>
      <c r="CA290" s="13"/>
      <c r="CB290" s="36"/>
      <c r="CC290" s="36"/>
      <c r="CD290" s="14"/>
      <c r="CE290" s="14"/>
      <c r="CF290" s="14"/>
      <c r="CG290" s="15"/>
      <c r="CH290" s="1"/>
      <c r="CI290" s="16"/>
      <c r="CJ290" s="270"/>
      <c r="CK290" s="270"/>
      <c r="CL290" s="13"/>
      <c r="CM290" s="13"/>
      <c r="CN290" s="5"/>
      <c r="CO290" s="13"/>
      <c r="CP290" s="36"/>
      <c r="CQ290" s="36"/>
      <c r="CR290" s="14"/>
      <c r="CS290" s="14"/>
      <c r="CT290" s="14"/>
      <c r="CU290" s="15"/>
      <c r="CV290" s="1"/>
      <c r="CW290" s="16"/>
      <c r="CX290" s="270"/>
      <c r="CY290" s="270"/>
      <c r="CZ290" s="13"/>
      <c r="DA290" s="13"/>
      <c r="DB290" s="5"/>
      <c r="DC290" s="13"/>
      <c r="DD290" s="36"/>
      <c r="DE290" s="36"/>
      <c r="DF290" s="14"/>
      <c r="DG290" s="14"/>
      <c r="DH290" s="14"/>
      <c r="DI290" s="15"/>
      <c r="DJ290" s="1"/>
      <c r="DK290" s="16"/>
      <c r="DL290" s="270"/>
      <c r="DM290" s="270"/>
      <c r="DN290" s="13"/>
      <c r="DO290" s="13"/>
      <c r="DP290" s="5"/>
      <c r="DQ290" s="13"/>
      <c r="DR290" s="36"/>
      <c r="DS290" s="36"/>
      <c r="DT290" s="14"/>
      <c r="DU290" s="14"/>
      <c r="DV290" s="14"/>
      <c r="DW290" s="15"/>
      <c r="DY290" s="16"/>
      <c r="DZ290" s="270"/>
      <c r="EA290" s="270"/>
      <c r="EB290" s="13"/>
      <c r="EC290" s="13"/>
      <c r="ED290" s="5"/>
      <c r="EE290" s="13"/>
      <c r="EF290" s="36"/>
      <c r="EG290" s="36"/>
      <c r="EH290" s="14"/>
      <c r="EI290" s="14"/>
      <c r="EJ290" s="14"/>
      <c r="EK290" s="15"/>
    </row>
    <row r="291" spans="1:141" x14ac:dyDescent="0.2">
      <c r="A291" s="258" t="s">
        <v>28</v>
      </c>
      <c r="B291" s="260"/>
      <c r="C291" s="259"/>
      <c r="D291" s="38">
        <f>SUM(D227,D231,D235,D239,D243,D247,D251,D255,D259,D263,D267,D271,D275)*100</f>
        <v>59200</v>
      </c>
      <c r="E291" s="54"/>
      <c r="F291" s="13"/>
      <c r="G291" s="5">
        <f>D291/H291</f>
        <v>5381.818181818182</v>
      </c>
      <c r="H291" s="38">
        <f>SUM(H227,H231,H235,H240,H243,H247,H251,H255,H259,H263,H267,H271,H275)</f>
        <v>11</v>
      </c>
      <c r="I291" s="13"/>
      <c r="J291" s="75" t="str">
        <f t="shared" si="584"/>
        <v>ゲーム機イヤホン</v>
      </c>
      <c r="K291" s="76">
        <f t="shared" si="584"/>
        <v>1100</v>
      </c>
      <c r="L291" s="38">
        <f>SUM(L227,L231,L235,L240,L243,L247,L251,L255,L259,L263,L267,L271,L275)</f>
        <v>11900</v>
      </c>
      <c r="M291" s="36">
        <f>L291/D291</f>
        <v>0.20101351351351351</v>
      </c>
      <c r="N291" s="15"/>
      <c r="O291" s="2"/>
      <c r="P291" s="258" t="s">
        <v>28</v>
      </c>
      <c r="Q291" s="259"/>
      <c r="R291" s="38">
        <f>SUM(R227,R231,R235,R239,R243,R247,R251,R255,R259,R263,R267,R271,R275)*100</f>
        <v>45500</v>
      </c>
      <c r="S291" s="54"/>
      <c r="T291" s="13"/>
      <c r="U291" s="5">
        <f>R291/V291</f>
        <v>1421.875</v>
      </c>
      <c r="V291" s="38">
        <f>SUM(V227,V231,V235,V240,V243,V247,V251,V255,V259,V263,V267,V271,V275)</f>
        <v>32</v>
      </c>
      <c r="W291" s="13"/>
      <c r="X291" s="78" t="str">
        <f t="shared" si="585"/>
        <v>サンリオホワイトマスコット</v>
      </c>
      <c r="Y291" s="76">
        <f t="shared" si="585"/>
        <v>660</v>
      </c>
      <c r="Z291" s="38">
        <f>SUM(Z227,Z231,Z235,Z240,Z243,Z247,Z251,Z255,Z259,Z263,Z267,Z271,Z275)</f>
        <v>12060</v>
      </c>
      <c r="AA291" s="36">
        <f>Z291/R291</f>
        <v>0.26505494505494503</v>
      </c>
      <c r="AB291" s="15"/>
      <c r="AC291" s="1"/>
      <c r="AD291" s="258" t="s">
        <v>28</v>
      </c>
      <c r="AE291" s="259"/>
      <c r="AF291" s="38">
        <f>SUM(AF227,AF231,AF235,AF239,AF243,AF247,AF251,AF255,AF259,AF263,AF267,AF271,AF275)*100</f>
        <v>54000</v>
      </c>
      <c r="AG291" s="54"/>
      <c r="AH291" s="13"/>
      <c r="AI291" s="5">
        <f>AF291/AJ291</f>
        <v>7714.2857142857147</v>
      </c>
      <c r="AJ291" s="38">
        <f>SUM(AJ227,AJ231,AJ235,AJ240,AJ243,AJ247,AJ251,AJ255,AJ259,AJ263,AJ267,AJ271,AJ275)</f>
        <v>7</v>
      </c>
      <c r="AK291" s="13"/>
      <c r="AL291" s="75" t="str">
        <f t="shared" si="586"/>
        <v>ゲームアーク</v>
      </c>
      <c r="AM291" s="76">
        <f t="shared" si="586"/>
        <v>682</v>
      </c>
      <c r="AN291" s="38">
        <f>SUM(AN227,AN231,AN235,AN240,AN243,AN247,AN251,AN255,AN259,AN263,AN267,AN271,AN275)</f>
        <v>4928</v>
      </c>
      <c r="AO291" s="36">
        <f>AN291/AF291</f>
        <v>9.1259259259259262E-2</v>
      </c>
      <c r="AP291" s="15"/>
      <c r="AQ291" s="2"/>
      <c r="AR291" s="258" t="s">
        <v>28</v>
      </c>
      <c r="AS291" s="259"/>
      <c r="AT291" s="38">
        <f>SUM(AT227,AT231,AT235,AT239,AT243,AT247,AT251,AT255,AT259,AT263,AT267,AT271,AT275)*100</f>
        <v>126700</v>
      </c>
      <c r="AU291" s="54"/>
      <c r="AV291" s="13"/>
      <c r="AW291" s="5">
        <f>AT291/AX291</f>
        <v>5068</v>
      </c>
      <c r="AX291" s="38">
        <f>SUM(AX227,AX231,AX235,AX239,AX243,AX247,AX251,AX255,AX259,AX263,AX267,AX271,AX275)</f>
        <v>25</v>
      </c>
      <c r="AY291" s="13"/>
      <c r="AZ291" s="75" t="str">
        <f t="shared" si="587"/>
        <v>ラブブキーホルダーおおきめ</v>
      </c>
      <c r="BA291" s="76">
        <f t="shared" si="587"/>
        <v>500</v>
      </c>
      <c r="BB291" s="38">
        <f>SUM(BB227,BB231,BB235,BB240,BB243,BB247,BB251,BB255,BB259,BB263,BB267,BB271,BB275)</f>
        <v>27500</v>
      </c>
      <c r="BC291" s="36">
        <f>BB291/AT291</f>
        <v>0.21704814522494081</v>
      </c>
      <c r="BD291" s="15"/>
      <c r="BE291" s="2"/>
      <c r="BF291" s="258" t="s">
        <v>28</v>
      </c>
      <c r="BG291" s="261"/>
      <c r="BH291" s="259"/>
      <c r="BI291" s="38">
        <f>SUM(BI227,BI231,BI235,BI239,BI243,BI247,BI251,BI255,BI259,BI263,BI267,BI271,BI275)*100</f>
        <v>129000</v>
      </c>
      <c r="BJ291" s="54"/>
      <c r="BK291" s="13"/>
      <c r="BL291" s="5">
        <f>BI291/BM291</f>
        <v>16125</v>
      </c>
      <c r="BM291" s="38">
        <f>SUM(BM227,BM231,BM235,BM240,BM243,BM247,BM251,BM255,BM259,BM263,BM267,BM271,BM275)</f>
        <v>8</v>
      </c>
      <c r="BN291" s="13"/>
      <c r="BO291" s="78">
        <f t="shared" si="588"/>
        <v>0</v>
      </c>
      <c r="BP291" s="76">
        <f t="shared" si="588"/>
        <v>0</v>
      </c>
      <c r="BQ291" s="38">
        <f>SUM(BQ227,BQ231,BQ235,BQ240,BQ243,BQ247,BQ251,BQ255,BQ259,BQ263,BQ267,BQ271,BQ275)</f>
        <v>12000</v>
      </c>
      <c r="BR291" s="36">
        <f>BQ291/BI291</f>
        <v>9.3023255813953487E-2</v>
      </c>
      <c r="BS291" s="15"/>
      <c r="BU291" s="16"/>
      <c r="BV291" s="270"/>
      <c r="BW291" s="270"/>
      <c r="BX291" s="36"/>
      <c r="BY291" s="13"/>
      <c r="BZ291" s="5"/>
      <c r="CA291" s="13"/>
      <c r="CB291" s="36"/>
      <c r="CC291" s="36"/>
      <c r="CD291" s="14"/>
      <c r="CE291" s="14"/>
      <c r="CF291" s="14"/>
      <c r="CG291" s="15"/>
      <c r="CH291" s="1"/>
      <c r="CI291" s="16"/>
      <c r="CJ291" s="270"/>
      <c r="CK291" s="270"/>
      <c r="CL291" s="36"/>
      <c r="CM291" s="13"/>
      <c r="CN291" s="5"/>
      <c r="CO291" s="13"/>
      <c r="CP291" s="36"/>
      <c r="CQ291" s="36"/>
      <c r="CR291" s="14"/>
      <c r="CS291" s="14"/>
      <c r="CT291" s="14"/>
      <c r="CU291" s="15"/>
      <c r="CV291" s="1"/>
      <c r="CW291" s="16"/>
      <c r="CX291" s="270"/>
      <c r="CY291" s="270"/>
      <c r="CZ291" s="36"/>
      <c r="DA291" s="13"/>
      <c r="DB291" s="5"/>
      <c r="DC291" s="13"/>
      <c r="DD291" s="36"/>
      <c r="DE291" s="36"/>
      <c r="DF291" s="14"/>
      <c r="DG291" s="14"/>
      <c r="DH291" s="14"/>
      <c r="DI291" s="15"/>
      <c r="DJ291" s="1"/>
      <c r="DK291" s="16"/>
      <c r="DL291" s="270"/>
      <c r="DM291" s="270"/>
      <c r="DN291" s="36"/>
      <c r="DO291" s="13"/>
      <c r="DP291" s="5"/>
      <c r="DQ291" s="13"/>
      <c r="DR291" s="36"/>
      <c r="DS291" s="36"/>
      <c r="DT291" s="14"/>
      <c r="DU291" s="14"/>
      <c r="DV291" s="14"/>
      <c r="DW291" s="15"/>
      <c r="DY291" s="16"/>
      <c r="DZ291" s="270"/>
      <c r="EA291" s="270"/>
      <c r="EB291" s="36"/>
      <c r="EC291" s="13"/>
      <c r="ED291" s="5"/>
      <c r="EE291" s="13"/>
      <c r="EF291" s="36"/>
      <c r="EG291" s="36"/>
      <c r="EH291" s="14"/>
      <c r="EI291" s="14"/>
      <c r="EJ291" s="14"/>
      <c r="EK291" s="15"/>
    </row>
    <row r="292" spans="1:141" x14ac:dyDescent="0.2">
      <c r="A292" s="258" t="s">
        <v>28</v>
      </c>
      <c r="B292" s="260"/>
      <c r="C292" s="259"/>
      <c r="D292" s="38">
        <f>SUM(D228,D232,D236,D240,D244,D248,D252,D256,D260,D264,D268,D272,D276)*100</f>
        <v>77100</v>
      </c>
      <c r="E292" s="54"/>
      <c r="F292" s="13"/>
      <c r="G292" s="5">
        <f>D292/H292</f>
        <v>5507.1428571428569</v>
      </c>
      <c r="H292" s="38">
        <f>SUM(H228,H232,H236,H239,H244,H248,H252,H256,H260,H264,H268,H272,H276)</f>
        <v>14</v>
      </c>
      <c r="I292" s="13"/>
      <c r="J292" s="75" t="str">
        <f t="shared" si="584"/>
        <v>モンチッチフェイスポーチ</v>
      </c>
      <c r="K292" s="76">
        <f t="shared" si="584"/>
        <v>900</v>
      </c>
      <c r="L292" s="38">
        <f>SUM(L228,L232,L236,L239,L244,L248,L252,L256,L260,L264,L268,L272,L276)</f>
        <v>9200</v>
      </c>
      <c r="M292" s="36">
        <f>L292/D292</f>
        <v>0.11932555123216602</v>
      </c>
      <c r="N292" s="15"/>
      <c r="O292" s="2"/>
      <c r="P292" s="258" t="s">
        <v>28</v>
      </c>
      <c r="Q292" s="259"/>
      <c r="R292" s="38">
        <f>SUM(R228,R232,R236,R240,R244,R248,R252,R256,R260,R264,R268,R272,R276)*100</f>
        <v>253200</v>
      </c>
      <c r="S292" s="54"/>
      <c r="T292" s="13"/>
      <c r="U292" s="5">
        <f>R292/V292</f>
        <v>1223.1884057971015</v>
      </c>
      <c r="V292" s="38">
        <f>SUM(V228,V232,V236,V239,V244,V248,V252,V256,V260,V264,V268,V272,V276)</f>
        <v>207</v>
      </c>
      <c r="W292" s="13"/>
      <c r="X292" s="78" t="str">
        <f t="shared" si="585"/>
        <v>ボンボンドロップ</v>
      </c>
      <c r="Y292" s="76">
        <f t="shared" si="585"/>
        <v>200</v>
      </c>
      <c r="Z292" s="38">
        <f>SUM(Z228,Z232,Z236,Z239,Z244,Z248,Z252,Z256,Z260,Z264,Z268,Z272,Z276)</f>
        <v>44750</v>
      </c>
      <c r="AA292" s="36">
        <f>Z292/R292</f>
        <v>0.17673775671406003</v>
      </c>
      <c r="AB292" s="15"/>
      <c r="AC292" s="1"/>
      <c r="AD292" s="258" t="s">
        <v>28</v>
      </c>
      <c r="AE292" s="259"/>
      <c r="AF292" s="38">
        <f>SUM(AF228,AF232,AF236,AF240,AF244,AF248,AF252,AF256,AF260,AF264,AF268,AF272,AF276)*100</f>
        <v>49500</v>
      </c>
      <c r="AG292" s="54"/>
      <c r="AH292" s="13"/>
      <c r="AI292" s="5">
        <f>AF292/AJ292</f>
        <v>7071.4285714285716</v>
      </c>
      <c r="AJ292" s="38">
        <f>SUM(AJ228,AJ232,AJ236,AJ239,AJ244,AJ248,AJ252,AJ256,AJ260,AJ264,AJ268,AJ272,AJ276)</f>
        <v>7</v>
      </c>
      <c r="AK292" s="13"/>
      <c r="AL292" s="75" t="str">
        <f t="shared" si="586"/>
        <v>モンチッチマスコット2</v>
      </c>
      <c r="AM292" s="76">
        <f t="shared" si="586"/>
        <v>605</v>
      </c>
      <c r="AN292" s="38">
        <f>SUM(AN228,AN232,AN236,AN239,AN244,AN248,AN252,AN256,AN260,AN264,AN268,AN272,AN276)</f>
        <v>4158</v>
      </c>
      <c r="AO292" s="36">
        <f>AN292/AF292</f>
        <v>8.4000000000000005E-2</v>
      </c>
      <c r="AP292" s="15"/>
      <c r="AQ292" s="2"/>
      <c r="AR292" s="258" t="s">
        <v>28</v>
      </c>
      <c r="AS292" s="259"/>
      <c r="AT292" s="38">
        <f>SUM(AT228,AT232,AT236,AT240,AT244,AT248,AT252,AT256,AT260,AT264,AT268,AT272,AT276)*100</f>
        <v>45000</v>
      </c>
      <c r="AU292" s="54"/>
      <c r="AV292" s="13"/>
      <c r="AW292" s="5">
        <f>AT292/AX292</f>
        <v>2250</v>
      </c>
      <c r="AX292" s="38">
        <f>SUM(AX228,AX232,AX236,AX240,AX244,AX248,AX252,AX256,AX260,AX264,AX268,AX272,AX276)</f>
        <v>20</v>
      </c>
      <c r="AY292" s="13"/>
      <c r="AZ292" s="75" t="str">
        <f t="shared" si="587"/>
        <v>ラブブマスコット</v>
      </c>
      <c r="BA292" s="76">
        <f t="shared" si="587"/>
        <v>400</v>
      </c>
      <c r="BB292" s="38">
        <f>SUM(BB228,BB232,BB236,BB239,BB244,BB248,BB252,BB256,BB260,BB264,BB268,BB272,BB276)</f>
        <v>6800</v>
      </c>
      <c r="BC292" s="36">
        <f>BB292/AT292</f>
        <v>0.15111111111111111</v>
      </c>
      <c r="BD292" s="15"/>
      <c r="BE292" s="2"/>
      <c r="BF292" s="258" t="s">
        <v>28</v>
      </c>
      <c r="BG292" s="261"/>
      <c r="BH292" s="259"/>
      <c r="BI292" s="38">
        <f>SUM(BI228,BI232,BI236,BI240,BI244,BI248,BI252,BI256,BI260,BI264,BI268,BI272,BI276)*100</f>
        <v>85500</v>
      </c>
      <c r="BJ292" s="54"/>
      <c r="BK292" s="13"/>
      <c r="BL292" s="5">
        <f>BI292/BM292</f>
        <v>17100</v>
      </c>
      <c r="BM292" s="38">
        <f>SUM(BM228,BM232,BM236,BM239,BM244,BM248,BM252,BM256,BM260,BM264,BM268,BM272,BM276)</f>
        <v>5</v>
      </c>
      <c r="BN292" s="13"/>
      <c r="BO292" s="78">
        <f t="shared" si="588"/>
        <v>0</v>
      </c>
      <c r="BP292" s="76">
        <f t="shared" si="588"/>
        <v>0</v>
      </c>
      <c r="BQ292" s="38">
        <f>SUM(BQ228,BQ232,BQ236,BQ239,BQ244,BQ248,BQ252,BQ256,BQ260,BQ264,BQ268,BQ272,BQ276)</f>
        <v>7500</v>
      </c>
      <c r="BR292" s="36">
        <f>BQ292/BI292</f>
        <v>8.771929824561403E-2</v>
      </c>
      <c r="BS292" s="15"/>
      <c r="BU292" s="40"/>
      <c r="BV292" s="3"/>
      <c r="BW292" s="2"/>
      <c r="BX292" s="41"/>
      <c r="BY292" s="1"/>
      <c r="BZ292" s="3"/>
      <c r="CA292" s="1"/>
      <c r="CB292" s="23"/>
      <c r="CC292" s="23"/>
      <c r="CD292" s="23"/>
      <c r="CE292" s="23"/>
      <c r="CF292" s="23"/>
      <c r="CG292" s="18"/>
      <c r="CH292" s="1"/>
      <c r="CI292" s="40"/>
      <c r="CJ292" s="3"/>
      <c r="CK292" s="2"/>
      <c r="CL292" s="41"/>
      <c r="CM292" s="1"/>
      <c r="CN292" s="3"/>
      <c r="CO292" s="1"/>
      <c r="CP292" s="23"/>
      <c r="CQ292" s="23"/>
      <c r="CR292" s="23"/>
      <c r="CS292" s="23"/>
      <c r="CT292" s="23"/>
      <c r="CU292" s="18"/>
      <c r="CV292" s="1"/>
      <c r="CW292" s="40"/>
      <c r="CX292" s="3"/>
      <c r="CY292" s="2"/>
      <c r="CZ292" s="41"/>
      <c r="DA292" s="1"/>
      <c r="DB292" s="3"/>
      <c r="DC292" s="1"/>
      <c r="DD292" s="23"/>
      <c r="DE292" s="23"/>
      <c r="DF292" s="23"/>
      <c r="DG292" s="23"/>
      <c r="DH292" s="23"/>
      <c r="DI292" s="18"/>
      <c r="DJ292" s="1"/>
      <c r="DK292" s="40"/>
      <c r="DL292" s="3"/>
      <c r="DM292" s="2"/>
      <c r="DN292" s="41"/>
      <c r="DO292" s="1"/>
      <c r="DP292" s="3"/>
      <c r="DQ292" s="1"/>
      <c r="DR292" s="23"/>
      <c r="DS292" s="23"/>
      <c r="DT292" s="23"/>
      <c r="DU292" s="23"/>
      <c r="DV292" s="23"/>
      <c r="DW292" s="18"/>
    </row>
    <row r="293" spans="1:141" x14ac:dyDescent="0.2">
      <c r="A293" s="16"/>
      <c r="B293" s="11"/>
      <c r="C293" s="5" t="s">
        <v>19</v>
      </c>
      <c r="D293" s="13">
        <f>SUM(D289:D292)</f>
        <v>260100</v>
      </c>
      <c r="E293" s="13"/>
      <c r="F293" s="13"/>
      <c r="G293" s="13"/>
      <c r="H293" s="13">
        <f>SUM(H289:H292)</f>
        <v>78</v>
      </c>
      <c r="I293" s="13"/>
      <c r="J293" s="262" t="s">
        <v>31</v>
      </c>
      <c r="K293" s="259"/>
      <c r="L293" s="53">
        <f>SUM(L289:L292)</f>
        <v>46116</v>
      </c>
      <c r="M293" s="83">
        <f>L293/D293</f>
        <v>0.17730103806228373</v>
      </c>
      <c r="N293" s="84"/>
      <c r="O293" s="2"/>
      <c r="P293" s="16"/>
      <c r="Q293" s="5" t="s">
        <v>19</v>
      </c>
      <c r="R293" s="13">
        <f>SUM(R289:R292)</f>
        <v>419100</v>
      </c>
      <c r="S293" s="54"/>
      <c r="T293" s="13"/>
      <c r="U293" s="13"/>
      <c r="V293" s="13">
        <f>SUM(V289:V292)</f>
        <v>273</v>
      </c>
      <c r="W293" s="13"/>
      <c r="X293" s="262" t="s">
        <v>31</v>
      </c>
      <c r="Y293" s="259"/>
      <c r="Z293" s="53">
        <f>SUM(Z289:Z292)</f>
        <v>94210</v>
      </c>
      <c r="AA293" s="83">
        <f>Z293/R293</f>
        <v>0.22479121927940826</v>
      </c>
      <c r="AB293" s="84"/>
      <c r="AC293" s="1"/>
      <c r="AD293" s="16"/>
      <c r="AE293" s="5" t="s">
        <v>19</v>
      </c>
      <c r="AF293" s="13">
        <f>SUM(AF289:AF292)</f>
        <v>187100</v>
      </c>
      <c r="AG293" s="54"/>
      <c r="AH293" s="13"/>
      <c r="AI293" s="13"/>
      <c r="AJ293" s="13">
        <f>SUM(AJ289:AJ292)</f>
        <v>28</v>
      </c>
      <c r="AK293" s="13"/>
      <c r="AL293" s="262" t="s">
        <v>31</v>
      </c>
      <c r="AM293" s="259"/>
      <c r="AN293" s="53">
        <f>SUM(AN289:AN292)</f>
        <v>13991</v>
      </c>
      <c r="AO293" s="83">
        <f>AN293/AF293</f>
        <v>7.4778193479422772E-2</v>
      </c>
      <c r="AP293" s="84"/>
      <c r="AQ293" s="2"/>
      <c r="AR293" s="16"/>
      <c r="AS293" s="5" t="s">
        <v>19</v>
      </c>
      <c r="AT293" s="13">
        <f>SUM(AT289:AT292)</f>
        <v>267000</v>
      </c>
      <c r="AU293" s="54"/>
      <c r="AV293" s="13"/>
      <c r="AW293" s="13"/>
      <c r="AX293" s="13">
        <f>SUM(AX289:AX292)</f>
        <v>66</v>
      </c>
      <c r="AY293" s="13"/>
      <c r="AZ293" s="262" t="s">
        <v>31</v>
      </c>
      <c r="BA293" s="259"/>
      <c r="BB293" s="53">
        <f>SUM(BB289:BB292)</f>
        <v>53430</v>
      </c>
      <c r="BC293" s="83">
        <f>BB293/AT293</f>
        <v>0.20011235955056181</v>
      </c>
      <c r="BD293" s="84"/>
      <c r="BE293" s="2"/>
      <c r="BF293" s="16"/>
      <c r="BG293" s="7"/>
      <c r="BH293" s="5" t="s">
        <v>19</v>
      </c>
      <c r="BI293" s="13">
        <f>SUM(BI289:BI292)</f>
        <v>347500</v>
      </c>
      <c r="BJ293" s="54"/>
      <c r="BK293" s="13"/>
      <c r="BL293" s="13"/>
      <c r="BM293" s="13">
        <f>SUM(BM289:BM292)</f>
        <v>21</v>
      </c>
      <c r="BN293" s="13"/>
      <c r="BO293" s="262" t="s">
        <v>31</v>
      </c>
      <c r="BP293" s="259"/>
      <c r="BQ293" s="53">
        <f>SUM(BQ289:BQ292)</f>
        <v>30500</v>
      </c>
      <c r="BR293" s="83">
        <f>BQ293/BI293</f>
        <v>8.7769784172661874E-2</v>
      </c>
      <c r="BS293" s="84"/>
      <c r="BU293" s="42"/>
      <c r="BV293" s="256"/>
      <c r="BW293" s="256"/>
      <c r="BX293" s="41"/>
      <c r="BY293" s="1"/>
      <c r="BZ293" s="3"/>
      <c r="CA293" s="1"/>
      <c r="CB293" s="23"/>
      <c r="CC293" s="23"/>
      <c r="CD293" s="23"/>
      <c r="CE293" s="23"/>
      <c r="CF293" s="23"/>
      <c r="CG293" s="18"/>
      <c r="CH293" s="1"/>
      <c r="CI293" s="42"/>
      <c r="CJ293" s="256"/>
      <c r="CK293" s="256"/>
      <c r="CL293" s="41"/>
      <c r="CM293" s="1"/>
      <c r="CN293" s="3"/>
      <c r="CO293" s="1"/>
      <c r="CP293" s="23"/>
      <c r="CQ293" s="23"/>
      <c r="CR293" s="23"/>
      <c r="CS293" s="23"/>
      <c r="CT293" s="23"/>
      <c r="CU293" s="18"/>
      <c r="CV293" s="1"/>
      <c r="CW293" s="42"/>
      <c r="CX293" s="256"/>
      <c r="CY293" s="256"/>
      <c r="CZ293" s="41"/>
      <c r="DA293" s="1"/>
      <c r="DB293" s="3"/>
      <c r="DC293" s="1"/>
      <c r="DD293" s="23"/>
      <c r="DE293" s="23"/>
      <c r="DF293" s="23"/>
      <c r="DG293" s="23"/>
      <c r="DH293" s="23"/>
      <c r="DI293" s="18"/>
      <c r="DJ293" s="1"/>
      <c r="DK293" s="42"/>
      <c r="DL293" s="256"/>
      <c r="DM293" s="256"/>
      <c r="DN293" s="41"/>
      <c r="DO293" s="1"/>
      <c r="DP293" s="3"/>
      <c r="DQ293" s="1"/>
      <c r="DR293" s="23"/>
      <c r="DS293" s="23"/>
      <c r="DT293" s="23"/>
      <c r="DU293" s="23"/>
      <c r="DV293" s="23"/>
      <c r="DW293" s="18"/>
    </row>
    <row r="294" spans="1:141" x14ac:dyDescent="0.2">
      <c r="A294" s="85"/>
      <c r="B294" s="101"/>
      <c r="C294" s="35"/>
      <c r="D294" s="54"/>
      <c r="E294" s="24"/>
      <c r="F294" s="54"/>
      <c r="G294" s="5"/>
      <c r="H294" s="13"/>
      <c r="I294" s="24"/>
      <c r="J294" s="99"/>
      <c r="K294" s="100"/>
      <c r="L294" s="76"/>
      <c r="M294" s="14"/>
      <c r="N294" s="15"/>
      <c r="O294" s="2"/>
      <c r="P294" s="79"/>
      <c r="Q294" s="5"/>
      <c r="R294" s="13"/>
      <c r="S294" s="13"/>
      <c r="T294" s="13"/>
      <c r="U294" s="5"/>
      <c r="V294" s="13"/>
      <c r="W294" s="24"/>
      <c r="X294" s="99"/>
      <c r="Y294" s="100"/>
      <c r="Z294" s="76"/>
      <c r="AA294" s="14"/>
      <c r="AB294" s="15"/>
      <c r="AD294" s="79"/>
      <c r="AE294" s="5"/>
      <c r="AF294" s="13"/>
      <c r="AG294" s="13"/>
      <c r="AH294" s="13"/>
      <c r="AI294" s="5"/>
      <c r="AJ294" s="13"/>
      <c r="AK294" s="24"/>
      <c r="AL294" s="99"/>
      <c r="AM294" s="100"/>
      <c r="AN294" s="76"/>
      <c r="AO294" s="14"/>
      <c r="AP294" s="15"/>
      <c r="AQ294" s="2"/>
      <c r="AR294" s="79"/>
      <c r="AS294" s="5"/>
      <c r="AT294" s="13"/>
      <c r="AU294" s="13"/>
      <c r="AV294" s="13"/>
      <c r="AW294" s="5"/>
      <c r="AX294" s="13"/>
      <c r="AY294" s="24"/>
      <c r="AZ294" s="118"/>
      <c r="BA294" s="100"/>
      <c r="BB294" s="76"/>
      <c r="BC294" s="14"/>
      <c r="BD294" s="15"/>
      <c r="BE294" s="2"/>
      <c r="BF294" s="79"/>
      <c r="BG294" s="240"/>
      <c r="BH294" s="5"/>
      <c r="BI294" s="13"/>
      <c r="BJ294" s="13"/>
      <c r="BK294" s="13"/>
      <c r="BL294" s="5"/>
      <c r="BM294" s="13"/>
      <c r="BN294" s="24"/>
      <c r="BO294" s="99"/>
      <c r="BP294" s="100"/>
      <c r="BQ294" s="76"/>
      <c r="BR294" s="14"/>
      <c r="BS294" s="15"/>
      <c r="BU294" s="42"/>
      <c r="BV294" s="3"/>
      <c r="BX294" s="41"/>
      <c r="BY294" s="1"/>
      <c r="BZ294" s="3"/>
      <c r="CA294" s="1"/>
      <c r="CB294" s="23"/>
      <c r="CC294" s="23"/>
      <c r="CD294" s="23"/>
      <c r="CE294" s="23"/>
      <c r="CF294" s="23"/>
      <c r="CG294" s="18"/>
      <c r="CH294" s="1"/>
      <c r="CI294" s="42"/>
      <c r="CJ294" s="3"/>
      <c r="CL294" s="41"/>
      <c r="CM294" s="1"/>
      <c r="CN294" s="3"/>
      <c r="CO294" s="1"/>
      <c r="CP294" s="23"/>
      <c r="CQ294" s="23"/>
      <c r="CR294" s="23"/>
      <c r="CS294" s="23"/>
      <c r="CT294" s="23"/>
      <c r="CU294" s="18"/>
      <c r="CV294" s="1"/>
      <c r="CW294" s="42"/>
      <c r="CX294" s="3"/>
      <c r="CZ294" s="41"/>
      <c r="DA294" s="1"/>
      <c r="DB294" s="3"/>
      <c r="DC294" s="1"/>
      <c r="DD294" s="23"/>
      <c r="DE294" s="23"/>
      <c r="DF294" s="23"/>
      <c r="DG294" s="23"/>
      <c r="DH294" s="23"/>
      <c r="DI294" s="18"/>
      <c r="DJ294" s="1"/>
      <c r="DK294" s="42"/>
      <c r="DL294" s="3"/>
      <c r="DN294" s="41"/>
      <c r="DO294" s="1"/>
      <c r="DP294" s="3"/>
      <c r="DQ294" s="1"/>
      <c r="DR294" s="23"/>
      <c r="DS294" s="23"/>
      <c r="DT294" s="23"/>
      <c r="DU294" s="23"/>
      <c r="DV294" s="23"/>
      <c r="DW294" s="18"/>
    </row>
    <row r="295" spans="1:141" x14ac:dyDescent="0.2">
      <c r="A295" s="257"/>
      <c r="B295" s="257"/>
      <c r="C295" s="257"/>
      <c r="D295" s="257"/>
      <c r="E295" s="257"/>
      <c r="F295" s="257"/>
      <c r="BU295" s="40"/>
      <c r="BV295" s="256"/>
      <c r="BW295" s="256"/>
      <c r="BX295" s="41"/>
      <c r="BY295" s="1"/>
      <c r="BZ295" s="3"/>
      <c r="CA295" s="1"/>
      <c r="CB295" s="23"/>
      <c r="CC295" s="23"/>
      <c r="CD295" s="23"/>
      <c r="CE295" s="23"/>
      <c r="CF295" s="23"/>
      <c r="CG295" s="18"/>
      <c r="CH295" s="1"/>
      <c r="CI295" s="40"/>
      <c r="CJ295" s="256"/>
      <c r="CK295" s="256"/>
      <c r="CL295" s="41"/>
      <c r="CM295" s="1"/>
      <c r="CN295" s="3"/>
      <c r="CO295" s="1"/>
      <c r="CP295" s="23"/>
      <c r="CQ295" s="23"/>
      <c r="CR295" s="23"/>
      <c r="CS295" s="23"/>
      <c r="CT295" s="23"/>
      <c r="CU295" s="18"/>
      <c r="CV295" s="1"/>
      <c r="CW295" s="40"/>
      <c r="CX295" s="256"/>
      <c r="CY295" s="256"/>
      <c r="CZ295" s="41"/>
      <c r="DA295" s="1"/>
      <c r="DB295" s="3"/>
      <c r="DC295" s="1"/>
      <c r="DD295" s="23"/>
      <c r="DE295" s="23"/>
      <c r="DF295" s="23"/>
      <c r="DG295" s="23"/>
      <c r="DH295" s="23"/>
      <c r="DI295" s="18"/>
      <c r="DJ295" s="1"/>
      <c r="DK295" s="40"/>
      <c r="DL295" s="256"/>
      <c r="DM295" s="256"/>
      <c r="DN295" s="41"/>
      <c r="DO295" s="1"/>
      <c r="DP295" s="3"/>
      <c r="DQ295" s="1"/>
      <c r="DR295" s="23"/>
      <c r="DS295" s="23"/>
      <c r="DT295" s="23"/>
      <c r="DU295" s="23"/>
      <c r="DV295" s="23"/>
      <c r="DW295" s="18"/>
    </row>
    <row r="296" spans="1:141" ht="15" customHeight="1" x14ac:dyDescent="0.2">
      <c r="A296" s="257"/>
      <c r="B296" s="257"/>
      <c r="J296"/>
      <c r="BU296" s="40"/>
      <c r="BV296" s="3"/>
      <c r="BX296" s="41"/>
      <c r="BY296" s="1"/>
      <c r="BZ296" s="3"/>
      <c r="CA296" s="1"/>
      <c r="CB296" s="23"/>
      <c r="CC296" s="23"/>
      <c r="CD296" s="23"/>
      <c r="CE296" s="23"/>
      <c r="CF296" s="23"/>
      <c r="CG296" s="18"/>
      <c r="CH296" s="1"/>
      <c r="CI296" s="40"/>
      <c r="CJ296" s="3"/>
      <c r="CL296" s="41"/>
      <c r="CM296" s="1"/>
      <c r="CN296" s="3"/>
      <c r="CO296" s="1"/>
      <c r="CP296" s="23"/>
      <c r="CQ296" s="23"/>
      <c r="CR296" s="23"/>
      <c r="CS296" s="23"/>
      <c r="CT296" s="23"/>
      <c r="CU296" s="18"/>
      <c r="CV296" s="1"/>
      <c r="CW296" s="40"/>
      <c r="CX296" s="3"/>
      <c r="CZ296" s="41"/>
      <c r="DA296" s="1"/>
      <c r="DB296" s="3"/>
      <c r="DC296" s="1"/>
      <c r="DD296" s="23"/>
      <c r="DE296" s="23"/>
      <c r="DF296" s="23"/>
      <c r="DG296" s="23"/>
      <c r="DH296" s="23"/>
      <c r="DI296" s="18"/>
      <c r="DJ296" s="1"/>
      <c r="DK296" s="40"/>
      <c r="DL296" s="3"/>
      <c r="DN296" s="41"/>
      <c r="DO296" s="1"/>
      <c r="DP296" s="3"/>
      <c r="DQ296" s="1"/>
      <c r="DR296" s="23"/>
      <c r="DS296" s="23"/>
      <c r="DT296" s="23"/>
      <c r="DU296" s="23"/>
      <c r="DV296" s="23"/>
      <c r="DW296" s="18"/>
    </row>
    <row r="297" spans="1:141" x14ac:dyDescent="0.2">
      <c r="A297" s="276" t="s">
        <v>42</v>
      </c>
      <c r="B297" s="276"/>
      <c r="C297" s="276"/>
      <c r="D297" s="276"/>
      <c r="E297" s="70" t="s">
        <v>56</v>
      </c>
      <c r="F297" s="70"/>
      <c r="G297" s="70"/>
      <c r="H297" s="70"/>
      <c r="I297" s="70"/>
      <c r="J297" s="71"/>
      <c r="K297" s="70"/>
      <c r="L297" s="70"/>
      <c r="M297" s="70"/>
      <c r="N297" s="72"/>
      <c r="O297" s="2"/>
      <c r="P297" s="276" t="s">
        <v>43</v>
      </c>
      <c r="Q297" s="276"/>
      <c r="R297" s="276"/>
      <c r="S297" s="70" t="s">
        <v>55</v>
      </c>
      <c r="T297" s="70"/>
      <c r="U297" s="70"/>
      <c r="V297" s="70"/>
      <c r="W297" s="70"/>
      <c r="X297" s="73"/>
      <c r="Y297" s="70"/>
      <c r="Z297" s="70"/>
      <c r="AA297" s="70"/>
      <c r="AB297" s="72"/>
      <c r="AC297" s="1"/>
      <c r="AD297" s="276" t="s">
        <v>54</v>
      </c>
      <c r="AE297" s="276"/>
      <c r="AF297" s="276"/>
      <c r="AG297" s="70" t="s">
        <v>52</v>
      </c>
      <c r="AH297" s="70"/>
      <c r="AI297" s="70"/>
      <c r="AJ297" s="70"/>
      <c r="AK297" s="70"/>
      <c r="AL297" s="71"/>
      <c r="AM297" s="70"/>
      <c r="AN297" s="70"/>
      <c r="AO297" s="70"/>
      <c r="AP297" s="72"/>
      <c r="AQ297" s="2"/>
      <c r="AR297" s="276" t="s">
        <v>54</v>
      </c>
      <c r="AS297" s="276"/>
      <c r="AT297" s="276"/>
      <c r="AU297" s="70" t="s">
        <v>53</v>
      </c>
      <c r="AV297" s="70"/>
      <c r="AW297" s="70"/>
      <c r="AX297" s="70"/>
      <c r="AY297" s="70"/>
      <c r="AZ297" s="71"/>
      <c r="BA297" s="70"/>
      <c r="BB297" s="70"/>
      <c r="BC297" s="70"/>
      <c r="BD297" s="72"/>
      <c r="BU297" s="124"/>
      <c r="BV297" s="277" t="s">
        <v>137</v>
      </c>
      <c r="BW297" s="278"/>
      <c r="BX297" s="278"/>
      <c r="BY297" s="278"/>
      <c r="BZ297" s="125"/>
      <c r="CA297" s="125"/>
      <c r="CB297" s="125"/>
      <c r="CC297" s="125"/>
      <c r="CD297" s="125"/>
      <c r="CE297" s="125"/>
      <c r="CF297" s="125"/>
      <c r="CG297" s="125"/>
      <c r="CH297" s="125"/>
      <c r="CI297" s="124"/>
      <c r="CJ297" s="277" t="s">
        <v>138</v>
      </c>
      <c r="CK297" s="278"/>
      <c r="CL297" s="278"/>
      <c r="CM297" s="278"/>
      <c r="CN297" s="125"/>
      <c r="CO297" s="125"/>
      <c r="CP297" s="125"/>
      <c r="CQ297" s="125"/>
      <c r="CR297" s="125"/>
      <c r="CS297" s="125"/>
      <c r="CT297" s="125"/>
      <c r="CU297" s="125"/>
      <c r="CV297" s="125"/>
      <c r="CW297" s="124"/>
      <c r="CX297" s="277" t="s">
        <v>139</v>
      </c>
      <c r="CY297" s="278"/>
      <c r="CZ297" s="278"/>
      <c r="DA297" s="278"/>
      <c r="DB297" s="125"/>
      <c r="DC297" s="125"/>
      <c r="DD297" s="125"/>
      <c r="DE297" s="125"/>
      <c r="DF297" s="125"/>
      <c r="DG297" s="125"/>
      <c r="DH297" s="125"/>
      <c r="DI297" s="125"/>
      <c r="DJ297" s="125"/>
      <c r="DK297" s="124"/>
      <c r="DL297" s="277" t="s">
        <v>140</v>
      </c>
      <c r="DM297" s="278"/>
      <c r="DN297" s="278"/>
      <c r="DO297" s="278"/>
      <c r="DP297" s="125"/>
      <c r="DQ297" s="125"/>
      <c r="DR297" s="125"/>
      <c r="DS297" s="125"/>
      <c r="DT297" s="125"/>
      <c r="DU297" s="125"/>
      <c r="DV297" s="125"/>
      <c r="DW297" s="125"/>
      <c r="DY297" s="124"/>
      <c r="DZ297" s="277" t="s">
        <v>465</v>
      </c>
      <c r="EA297" s="278"/>
      <c r="EB297" s="278"/>
      <c r="EC297" s="278"/>
      <c r="ED297" s="125"/>
      <c r="EE297" s="125"/>
      <c r="EF297" s="125"/>
      <c r="EG297" s="125"/>
      <c r="EH297" s="125"/>
      <c r="EI297" s="125"/>
      <c r="EJ297" s="125"/>
      <c r="EK297" s="125"/>
    </row>
    <row r="298" spans="1:141" x14ac:dyDescent="0.2">
      <c r="A298" s="7" t="s">
        <v>1</v>
      </c>
      <c r="B298" s="4" t="s">
        <v>19</v>
      </c>
      <c r="C298" s="5" t="s">
        <v>2</v>
      </c>
      <c r="D298" s="5" t="s">
        <v>3</v>
      </c>
      <c r="E298" s="6" t="s">
        <v>4</v>
      </c>
      <c r="F298" s="5" t="s">
        <v>3</v>
      </c>
      <c r="G298" s="5" t="s">
        <v>5</v>
      </c>
      <c r="H298" s="5" t="s">
        <v>6</v>
      </c>
      <c r="I298" s="5" t="s">
        <v>7</v>
      </c>
      <c r="J298" s="55" t="s">
        <v>12</v>
      </c>
      <c r="K298" s="5" t="s">
        <v>8</v>
      </c>
      <c r="L298" s="5" t="s">
        <v>6</v>
      </c>
      <c r="M298" s="5" t="s">
        <v>13</v>
      </c>
      <c r="N298" s="5" t="s">
        <v>11</v>
      </c>
      <c r="O298" s="2"/>
      <c r="P298" s="7" t="s">
        <v>1</v>
      </c>
      <c r="Q298" s="5" t="s">
        <v>2</v>
      </c>
      <c r="R298" s="5" t="s">
        <v>3</v>
      </c>
      <c r="S298" s="6" t="s">
        <v>4</v>
      </c>
      <c r="T298" s="5" t="s">
        <v>3</v>
      </c>
      <c r="U298" s="5" t="s">
        <v>5</v>
      </c>
      <c r="V298" s="5" t="s">
        <v>6</v>
      </c>
      <c r="W298" s="5" t="s">
        <v>7</v>
      </c>
      <c r="X298" s="6" t="s">
        <v>12</v>
      </c>
      <c r="Y298" s="5" t="s">
        <v>8</v>
      </c>
      <c r="Z298" s="5" t="s">
        <v>6</v>
      </c>
      <c r="AA298" s="5" t="s">
        <v>13</v>
      </c>
      <c r="AB298" s="5" t="s">
        <v>11</v>
      </c>
      <c r="AC298" s="3"/>
      <c r="AD298" s="7" t="s">
        <v>1</v>
      </c>
      <c r="AE298" s="5" t="s">
        <v>2</v>
      </c>
      <c r="AF298" s="5" t="s">
        <v>3</v>
      </c>
      <c r="AG298" s="6" t="s">
        <v>4</v>
      </c>
      <c r="AH298" s="5" t="s">
        <v>3</v>
      </c>
      <c r="AI298" s="5" t="s">
        <v>5</v>
      </c>
      <c r="AJ298" s="5" t="s">
        <v>6</v>
      </c>
      <c r="AK298" s="5" t="s">
        <v>7</v>
      </c>
      <c r="AL298" s="55" t="s">
        <v>12</v>
      </c>
      <c r="AM298" s="5" t="s">
        <v>8</v>
      </c>
      <c r="AN298" s="5" t="s">
        <v>6</v>
      </c>
      <c r="AO298" s="5" t="s">
        <v>13</v>
      </c>
      <c r="AP298" s="5" t="s">
        <v>11</v>
      </c>
      <c r="AQ298" s="2"/>
      <c r="AR298" s="7" t="s">
        <v>1</v>
      </c>
      <c r="AS298" s="5" t="s">
        <v>2</v>
      </c>
      <c r="AT298" s="5" t="s">
        <v>3</v>
      </c>
      <c r="AU298" s="6" t="s">
        <v>4</v>
      </c>
      <c r="AV298" s="5" t="s">
        <v>3</v>
      </c>
      <c r="AW298" s="5" t="s">
        <v>5</v>
      </c>
      <c r="AX298" s="5" t="s">
        <v>6</v>
      </c>
      <c r="AY298" s="5" t="s">
        <v>7</v>
      </c>
      <c r="AZ298" s="55" t="s">
        <v>12</v>
      </c>
      <c r="BA298" s="5" t="s">
        <v>8</v>
      </c>
      <c r="BB298" s="5" t="s">
        <v>6</v>
      </c>
      <c r="BC298" s="5" t="s">
        <v>13</v>
      </c>
      <c r="BD298" s="5" t="s">
        <v>11</v>
      </c>
      <c r="BU298" s="8" t="s">
        <v>1</v>
      </c>
      <c r="BV298" s="5" t="s">
        <v>2</v>
      </c>
      <c r="BW298" s="5" t="s">
        <v>3</v>
      </c>
      <c r="BX298" s="6" t="s">
        <v>4</v>
      </c>
      <c r="BY298" s="5" t="s">
        <v>3</v>
      </c>
      <c r="BZ298" s="5" t="s">
        <v>5</v>
      </c>
      <c r="CA298" s="5" t="s">
        <v>6</v>
      </c>
      <c r="CB298" s="5" t="s">
        <v>7</v>
      </c>
      <c r="CC298" s="5"/>
      <c r="CD298" s="5" t="s">
        <v>8</v>
      </c>
      <c r="CE298" s="5" t="s">
        <v>9</v>
      </c>
      <c r="CF298" s="5" t="s">
        <v>10</v>
      </c>
      <c r="CG298" s="5" t="s">
        <v>11</v>
      </c>
      <c r="CH298" s="63"/>
      <c r="CI298" s="8" t="s">
        <v>1</v>
      </c>
      <c r="CJ298" s="5" t="s">
        <v>2</v>
      </c>
      <c r="CK298" s="5" t="s">
        <v>3</v>
      </c>
      <c r="CL298" s="6" t="s">
        <v>4</v>
      </c>
      <c r="CM298" s="5" t="s">
        <v>3</v>
      </c>
      <c r="CN298" s="5" t="s">
        <v>5</v>
      </c>
      <c r="CO298" s="5" t="s">
        <v>6</v>
      </c>
      <c r="CP298" s="5" t="s">
        <v>7</v>
      </c>
      <c r="CQ298" s="5"/>
      <c r="CR298" s="5" t="s">
        <v>8</v>
      </c>
      <c r="CS298" s="5" t="s">
        <v>9</v>
      </c>
      <c r="CT298" s="5" t="s">
        <v>10</v>
      </c>
      <c r="CU298" s="5" t="s">
        <v>11</v>
      </c>
      <c r="CV298" s="1"/>
      <c r="CW298" s="8" t="s">
        <v>1</v>
      </c>
      <c r="CX298" s="5" t="s">
        <v>2</v>
      </c>
      <c r="CY298" s="5" t="s">
        <v>3</v>
      </c>
      <c r="CZ298" s="6" t="s">
        <v>4</v>
      </c>
      <c r="DA298" s="5" t="s">
        <v>3</v>
      </c>
      <c r="DB298" s="5" t="s">
        <v>5</v>
      </c>
      <c r="DC298" s="5" t="s">
        <v>6</v>
      </c>
      <c r="DD298" s="5" t="s">
        <v>7</v>
      </c>
      <c r="DE298" s="5"/>
      <c r="DF298" s="5" t="s">
        <v>8</v>
      </c>
      <c r="DG298" s="5" t="s">
        <v>9</v>
      </c>
      <c r="DH298" s="5" t="s">
        <v>10</v>
      </c>
      <c r="DI298" s="5" t="s">
        <v>11</v>
      </c>
      <c r="DJ298" s="63"/>
      <c r="DK298" s="8" t="s">
        <v>1</v>
      </c>
      <c r="DL298" s="5" t="s">
        <v>2</v>
      </c>
      <c r="DM298" s="5" t="s">
        <v>3</v>
      </c>
      <c r="DN298" s="6" t="s">
        <v>4</v>
      </c>
      <c r="DO298" s="5" t="s">
        <v>3</v>
      </c>
      <c r="DP298" s="5" t="s">
        <v>5</v>
      </c>
      <c r="DQ298" s="5" t="s">
        <v>6</v>
      </c>
      <c r="DR298" s="5" t="s">
        <v>7</v>
      </c>
      <c r="DS298" s="5"/>
      <c r="DT298" s="5" t="s">
        <v>8</v>
      </c>
      <c r="DU298" s="5" t="s">
        <v>9</v>
      </c>
      <c r="DV298" s="5" t="s">
        <v>10</v>
      </c>
      <c r="DW298" s="5" t="s">
        <v>11</v>
      </c>
      <c r="DY298" s="8" t="s">
        <v>1</v>
      </c>
      <c r="DZ298" s="5" t="s">
        <v>2</v>
      </c>
      <c r="EA298" s="5" t="s">
        <v>3</v>
      </c>
      <c r="EB298" s="6" t="s">
        <v>4</v>
      </c>
      <c r="EC298" s="5" t="s">
        <v>3</v>
      </c>
      <c r="ED298" s="5" t="s">
        <v>5</v>
      </c>
      <c r="EE298" s="5" t="s">
        <v>6</v>
      </c>
      <c r="EF298" s="5" t="s">
        <v>7</v>
      </c>
      <c r="EG298" s="5"/>
      <c r="EH298" s="5" t="s">
        <v>8</v>
      </c>
      <c r="EI298" s="5" t="s">
        <v>9</v>
      </c>
      <c r="EJ298" s="5" t="s">
        <v>10</v>
      </c>
      <c r="EK298" s="5" t="s">
        <v>11</v>
      </c>
    </row>
    <row r="299" spans="1:141" x14ac:dyDescent="0.2">
      <c r="A299" s="16">
        <v>46039</v>
      </c>
      <c r="B299" s="74">
        <v>1748</v>
      </c>
      <c r="C299" s="53">
        <v>5758</v>
      </c>
      <c r="D299" s="53">
        <v>105</v>
      </c>
      <c r="E299" s="53">
        <v>347</v>
      </c>
      <c r="F299" s="53">
        <v>2</v>
      </c>
      <c r="G299" s="53">
        <v>10</v>
      </c>
      <c r="H299" s="53">
        <v>1</v>
      </c>
      <c r="I299" s="53">
        <v>0</v>
      </c>
      <c r="J299" s="75" t="s">
        <v>411</v>
      </c>
      <c r="K299" s="76">
        <v>748</v>
      </c>
      <c r="L299" s="53">
        <v>748</v>
      </c>
      <c r="M299" s="77">
        <v>7.1238095238095239E-2</v>
      </c>
      <c r="N299" s="15"/>
      <c r="O299" s="2"/>
      <c r="P299" s="16">
        <v>46039</v>
      </c>
      <c r="Q299" s="53">
        <v>5781</v>
      </c>
      <c r="R299" s="53">
        <v>92</v>
      </c>
      <c r="S299" s="53">
        <v>192</v>
      </c>
      <c r="T299" s="53">
        <v>1</v>
      </c>
      <c r="U299" s="53">
        <v>10</v>
      </c>
      <c r="V299" s="53">
        <v>1</v>
      </c>
      <c r="W299" s="53">
        <v>2</v>
      </c>
      <c r="X299" s="75" t="s">
        <v>412</v>
      </c>
      <c r="Y299" s="76">
        <v>1100</v>
      </c>
      <c r="Z299" s="53">
        <v>1100</v>
      </c>
      <c r="AA299" s="77">
        <v>0.11956521739130435</v>
      </c>
      <c r="AB299" s="15"/>
      <c r="AC299" s="1"/>
      <c r="AD299" s="16">
        <v>46039</v>
      </c>
      <c r="AE299" s="53">
        <v>10526</v>
      </c>
      <c r="AF299" s="53">
        <v>43</v>
      </c>
      <c r="AG299" s="53">
        <v>235</v>
      </c>
      <c r="AH299" s="53">
        <v>2</v>
      </c>
      <c r="AI299" s="53">
        <v>18</v>
      </c>
      <c r="AJ299" s="53">
        <v>2</v>
      </c>
      <c r="AK299" s="53">
        <v>7</v>
      </c>
      <c r="AL299" s="75" t="s">
        <v>384</v>
      </c>
      <c r="AM299" s="76">
        <v>545</v>
      </c>
      <c r="AN299" s="53">
        <v>1090</v>
      </c>
      <c r="AO299" s="77">
        <v>0.25348837209302327</v>
      </c>
      <c r="AP299" s="15"/>
      <c r="AQ299" s="2"/>
      <c r="AR299" s="16">
        <v>46039</v>
      </c>
      <c r="AS299" s="53">
        <v>11117</v>
      </c>
      <c r="AT299" s="53">
        <v>37</v>
      </c>
      <c r="AU299" s="53">
        <v>353</v>
      </c>
      <c r="AV299" s="53">
        <v>1</v>
      </c>
      <c r="AW299" s="53">
        <v>11</v>
      </c>
      <c r="AX299" s="53">
        <v>1</v>
      </c>
      <c r="AY299" s="53"/>
      <c r="AZ299" s="75" t="s">
        <v>363</v>
      </c>
      <c r="BA299" s="76">
        <v>924</v>
      </c>
      <c r="BB299" s="53">
        <v>924</v>
      </c>
      <c r="BC299" s="77">
        <v>0.24972972972972973</v>
      </c>
      <c r="BD299" s="15"/>
      <c r="BU299" s="16">
        <v>46039</v>
      </c>
      <c r="BV299" s="76">
        <v>13969</v>
      </c>
      <c r="BW299" s="53">
        <v>226</v>
      </c>
      <c r="BX299" s="53">
        <v>316</v>
      </c>
      <c r="BY299" s="53">
        <v>6</v>
      </c>
      <c r="BZ299" s="53">
        <v>43</v>
      </c>
      <c r="CA299" s="53">
        <v>6</v>
      </c>
      <c r="CB299" s="53">
        <v>12</v>
      </c>
      <c r="CC299" s="53"/>
      <c r="CD299" s="53">
        <v>688</v>
      </c>
      <c r="CE299" s="13">
        <v>4128</v>
      </c>
      <c r="CF299" s="14">
        <v>2.9551148972725319E-3</v>
      </c>
      <c r="CG299" s="91" t="s">
        <v>452</v>
      </c>
      <c r="CH299" s="1"/>
      <c r="CI299" s="16">
        <v>46039</v>
      </c>
      <c r="CJ299" s="76">
        <v>14587</v>
      </c>
      <c r="CK299" s="53">
        <v>474</v>
      </c>
      <c r="CL299" s="53">
        <v>236</v>
      </c>
      <c r="CM299" s="53">
        <v>13</v>
      </c>
      <c r="CN299" s="53">
        <v>0</v>
      </c>
      <c r="CO299" s="53">
        <v>14</v>
      </c>
      <c r="CP299" s="53">
        <v>14</v>
      </c>
      <c r="CQ299" s="53"/>
      <c r="CR299" s="13">
        <v>1500</v>
      </c>
      <c r="CS299" s="13">
        <v>21000</v>
      </c>
      <c r="CT299" s="14">
        <v>0.44303797468354428</v>
      </c>
      <c r="CU299" s="67" t="s">
        <v>441</v>
      </c>
      <c r="CV299" s="1"/>
      <c r="CW299" s="16">
        <v>46039</v>
      </c>
      <c r="CX299" s="76">
        <v>12002</v>
      </c>
      <c r="CY299" s="53">
        <v>68</v>
      </c>
      <c r="CZ299" s="53">
        <v>232</v>
      </c>
      <c r="DA299" s="53">
        <v>2</v>
      </c>
      <c r="DB299" s="53">
        <v>38</v>
      </c>
      <c r="DC299" s="53">
        <v>2</v>
      </c>
      <c r="DD299" s="53"/>
      <c r="DE299" s="53"/>
      <c r="DF299" s="53">
        <v>880</v>
      </c>
      <c r="DG299" s="13">
        <v>1760</v>
      </c>
      <c r="DH299" s="14">
        <v>0.25882352941176473</v>
      </c>
      <c r="DI299" s="15"/>
      <c r="DJ299" s="1"/>
      <c r="DK299" s="16">
        <v>46039</v>
      </c>
      <c r="DL299" s="76">
        <v>9072</v>
      </c>
      <c r="DM299" s="53">
        <v>109</v>
      </c>
      <c r="DN299" s="53">
        <v>263</v>
      </c>
      <c r="DO299" s="53">
        <v>2</v>
      </c>
      <c r="DP299" s="53">
        <v>31</v>
      </c>
      <c r="DQ299" s="53">
        <v>2</v>
      </c>
      <c r="DR299" s="53"/>
      <c r="DS299" s="53"/>
      <c r="DT299" s="13">
        <v>1100</v>
      </c>
      <c r="DU299" s="13">
        <v>2200</v>
      </c>
      <c r="DV299" s="14">
        <v>0.20183486238532111</v>
      </c>
      <c r="DW299" s="22"/>
      <c r="DY299" s="16">
        <v>46039</v>
      </c>
      <c r="DZ299" s="76">
        <v>0</v>
      </c>
      <c r="EA299" s="53"/>
      <c r="EB299" s="53"/>
      <c r="EC299" s="53">
        <v>2</v>
      </c>
      <c r="ED299" s="53">
        <v>0</v>
      </c>
      <c r="EE299" s="53">
        <v>2</v>
      </c>
      <c r="EF299" s="53"/>
      <c r="EG299" s="53"/>
      <c r="EH299" s="13">
        <v>1100</v>
      </c>
      <c r="EI299" s="13">
        <v>2200</v>
      </c>
      <c r="EJ299" s="14">
        <v>0.20183486238532111</v>
      </c>
      <c r="EK299" s="22"/>
    </row>
    <row r="300" spans="1:141" x14ac:dyDescent="0.2">
      <c r="A300" s="16"/>
      <c r="B300" s="11"/>
      <c r="C300" s="13">
        <v>4994</v>
      </c>
      <c r="D300" s="13">
        <v>64</v>
      </c>
      <c r="E300" s="13">
        <v>362</v>
      </c>
      <c r="F300" s="13">
        <v>2</v>
      </c>
      <c r="G300" s="13">
        <v>44</v>
      </c>
      <c r="H300" s="13">
        <v>2</v>
      </c>
      <c r="I300" s="13">
        <v>0</v>
      </c>
      <c r="J300" s="56" t="s">
        <v>393</v>
      </c>
      <c r="K300" s="54">
        <v>1075</v>
      </c>
      <c r="L300" s="13">
        <v>2150</v>
      </c>
      <c r="M300" s="14">
        <v>0.3359375</v>
      </c>
      <c r="N300" s="15" t="s">
        <v>443</v>
      </c>
      <c r="O300" s="2"/>
      <c r="P300" s="16"/>
      <c r="Q300" s="13">
        <v>4314</v>
      </c>
      <c r="R300" s="87">
        <v>6</v>
      </c>
      <c r="S300" s="13">
        <v>133</v>
      </c>
      <c r="T300" s="13">
        <v>1</v>
      </c>
      <c r="U300" s="13">
        <v>4</v>
      </c>
      <c r="V300" s="13">
        <v>1</v>
      </c>
      <c r="W300" s="13">
        <v>12</v>
      </c>
      <c r="X300" s="75" t="s">
        <v>434</v>
      </c>
      <c r="Y300" s="53">
        <v>1100</v>
      </c>
      <c r="Z300" s="13">
        <v>1100</v>
      </c>
      <c r="AA300" s="14">
        <v>1.8333333333333333</v>
      </c>
      <c r="AB300" s="15" t="s">
        <v>442</v>
      </c>
      <c r="AC300" s="1"/>
      <c r="AD300" s="16"/>
      <c r="AE300" s="13">
        <v>10147</v>
      </c>
      <c r="AF300" s="87">
        <v>12</v>
      </c>
      <c r="AG300" s="13">
        <v>220</v>
      </c>
      <c r="AH300" s="13">
        <v>1</v>
      </c>
      <c r="AI300" s="13">
        <v>7</v>
      </c>
      <c r="AJ300" s="13">
        <v>1</v>
      </c>
      <c r="AK300" s="13">
        <v>2</v>
      </c>
      <c r="AL300" s="56" t="s">
        <v>400</v>
      </c>
      <c r="AM300" s="54">
        <v>792</v>
      </c>
      <c r="AN300" s="13">
        <v>792</v>
      </c>
      <c r="AO300" s="14">
        <v>0.66</v>
      </c>
      <c r="AP300" s="15"/>
      <c r="AQ300" s="2"/>
      <c r="AR300" s="16"/>
      <c r="AS300" s="13">
        <v>7756</v>
      </c>
      <c r="AT300" s="13">
        <v>49</v>
      </c>
      <c r="AU300" s="13">
        <v>400</v>
      </c>
      <c r="AV300" s="13">
        <v>1</v>
      </c>
      <c r="AW300" s="13">
        <v>6</v>
      </c>
      <c r="AX300" s="13">
        <v>1</v>
      </c>
      <c r="AY300" s="13">
        <v>8</v>
      </c>
      <c r="AZ300" s="56" t="s">
        <v>166</v>
      </c>
      <c r="BA300" s="54">
        <v>673</v>
      </c>
      <c r="BB300" s="13">
        <v>673</v>
      </c>
      <c r="BC300" s="14">
        <v>0.13734693877551021</v>
      </c>
      <c r="BD300" s="15"/>
      <c r="BU300" s="79">
        <f>IF($A303="","",$A303)</f>
        <v>46044</v>
      </c>
      <c r="BV300" s="17">
        <v>14296</v>
      </c>
      <c r="BW300" s="13">
        <f t="shared" ref="BW300:BW305" si="589">IF(BV300="","",BV300-BV299)</f>
        <v>327</v>
      </c>
      <c r="BX300" s="13">
        <v>329</v>
      </c>
      <c r="BY300" s="13">
        <f t="shared" ref="BY300:BY305" si="590">IF(BX300="","",BX300-BX299)</f>
        <v>13</v>
      </c>
      <c r="BZ300" s="13">
        <v>42</v>
      </c>
      <c r="CA300" s="13">
        <f t="shared" ref="CA300:CA305" si="591">IF(BZ300="","",BZ299+CB299-BZ300)</f>
        <v>13</v>
      </c>
      <c r="CB300" s="13">
        <v>4</v>
      </c>
      <c r="CC300" s="53"/>
      <c r="CD300" s="53">
        <f t="shared" ref="CD300:CD305" si="592">IF(BV300="","",CD299)</f>
        <v>688</v>
      </c>
      <c r="CE300" s="13">
        <f t="shared" ref="CE300:CE305" si="593">IF(CD300="","",CA300*CD300)</f>
        <v>8944</v>
      </c>
      <c r="CF300" s="14">
        <f t="shared" ref="CF300:CF305" si="594">IF(CE300="","",CE300/(BW300*100))</f>
        <v>0.27351681957186547</v>
      </c>
      <c r="CG300" s="15"/>
      <c r="CH300" s="1"/>
      <c r="CI300" s="79">
        <f>IF($A303="","",$A303)</f>
        <v>46044</v>
      </c>
      <c r="CJ300" s="17">
        <v>15816</v>
      </c>
      <c r="CK300" s="13">
        <f t="shared" ref="CK300:CK305" si="595">IF(CJ300="","",CJ300-CJ299)</f>
        <v>1229</v>
      </c>
      <c r="CL300" s="13">
        <v>264</v>
      </c>
      <c r="CM300" s="13">
        <f t="shared" ref="CM300:CM305" si="596">IF(CL300="","",CL300-CL299)</f>
        <v>28</v>
      </c>
      <c r="CN300" s="13">
        <v>0</v>
      </c>
      <c r="CO300" s="13">
        <f t="shared" ref="CO300:CO305" si="597">IF(CN300="","",CN299+CP299-CN300)</f>
        <v>14</v>
      </c>
      <c r="CP300" s="13">
        <v>36</v>
      </c>
      <c r="CQ300" s="53"/>
      <c r="CR300" s="53">
        <f t="shared" ref="CR300:CR305" si="598">IF(CJ300="","",CR299)</f>
        <v>1500</v>
      </c>
      <c r="CS300" s="13">
        <f t="shared" ref="CS300:CS305" si="599">IF(CR300="","",CO300*CR300)</f>
        <v>21000</v>
      </c>
      <c r="CT300" s="14">
        <f t="shared" ref="CT300:CT305" si="600">IF(CS300="","",CS300/(CK300*100))</f>
        <v>0.17087062652563059</v>
      </c>
      <c r="CU300" s="15" t="s">
        <v>453</v>
      </c>
      <c r="CV300" s="1"/>
      <c r="CW300" s="79">
        <f>IF($A303="","",$A303)</f>
        <v>46044</v>
      </c>
      <c r="CX300" s="17">
        <v>12404</v>
      </c>
      <c r="CY300" s="13">
        <f t="shared" ref="CY300:CY305" si="601">IF(CX300="","",CX300-CX299)</f>
        <v>402</v>
      </c>
      <c r="CZ300" s="13">
        <v>233</v>
      </c>
      <c r="DA300" s="13">
        <f t="shared" ref="DA300:DA305" si="602">IF(CZ300="","",CZ300-CZ299)</f>
        <v>1</v>
      </c>
      <c r="DB300" s="13">
        <v>36</v>
      </c>
      <c r="DC300" s="13">
        <f t="shared" ref="DC300:DC305" si="603">IF(DB300="","",DB299+DD299-DB300)</f>
        <v>2</v>
      </c>
      <c r="DD300" s="13">
        <v>12</v>
      </c>
      <c r="DE300" s="53"/>
      <c r="DF300" s="53">
        <f t="shared" ref="DF300:DF305" si="604">IF(CX300="","",DF299)</f>
        <v>880</v>
      </c>
      <c r="DG300" s="13">
        <f t="shared" ref="DG300:DG305" si="605">IF(DF300="","",DC300*DF300)</f>
        <v>1760</v>
      </c>
      <c r="DH300" s="14">
        <f t="shared" ref="DH300:DH305" si="606">IF(DG300="","",DG300/(CY300*100))</f>
        <v>4.3781094527363187E-2</v>
      </c>
      <c r="DI300" s="15" t="s">
        <v>445</v>
      </c>
      <c r="DJ300" s="1"/>
      <c r="DK300" s="79">
        <f>IF($A303="","",$A303)</f>
        <v>46044</v>
      </c>
      <c r="DL300" s="17">
        <v>9269</v>
      </c>
      <c r="DM300" s="13">
        <f t="shared" ref="DM300:DM305" si="607">IF(DL300="","",DL300-DL299)</f>
        <v>197</v>
      </c>
      <c r="DN300" s="13">
        <v>267</v>
      </c>
      <c r="DO300" s="13">
        <f t="shared" ref="DO300:DO305" si="608">IF(DN300="","",DN300-DN299)</f>
        <v>4</v>
      </c>
      <c r="DP300" s="13">
        <v>27</v>
      </c>
      <c r="DQ300" s="13">
        <f t="shared" ref="DQ300:DQ305" si="609">IF(DP300="","",DP299+DR299-DP300)</f>
        <v>4</v>
      </c>
      <c r="DR300" s="13">
        <v>4</v>
      </c>
      <c r="DS300" s="53"/>
      <c r="DT300" s="53">
        <f t="shared" ref="DT300:DT305" si="610">IF(DL300="","",DT299)</f>
        <v>1100</v>
      </c>
      <c r="DU300" s="13">
        <f t="shared" ref="DU300:DU305" si="611">IF(DT300="","",DQ300*DT300)</f>
        <v>4400</v>
      </c>
      <c r="DV300" s="14">
        <f t="shared" ref="DV300:DV305" si="612">IF(DU300="","",DU300/(DM300*100))</f>
        <v>0.2233502538071066</v>
      </c>
      <c r="DW300" s="15"/>
      <c r="DY300" s="79">
        <f>IF($A303="","",$A303)</f>
        <v>46044</v>
      </c>
      <c r="DZ300" s="17">
        <v>0</v>
      </c>
      <c r="EA300" s="13">
        <f t="shared" ref="EA300:EA305" si="613">IF(DZ300="","",DZ300-DZ299)</f>
        <v>0</v>
      </c>
      <c r="EB300" s="17">
        <v>0</v>
      </c>
      <c r="EC300" s="13">
        <f t="shared" ref="EC300:EC305" si="614">IF(EB300="","",EB300-EB299)</f>
        <v>0</v>
      </c>
      <c r="ED300" s="13">
        <v>0</v>
      </c>
      <c r="EE300" s="13">
        <f t="shared" ref="EE300:EE305" si="615">IF(ED300="","",ED299+EF299-ED300)</f>
        <v>0</v>
      </c>
      <c r="EF300" s="13">
        <v>0</v>
      </c>
      <c r="EG300" s="53"/>
      <c r="EH300" s="53">
        <f t="shared" ref="EH300:EH305" si="616">IF(DZ300="","",EH299)</f>
        <v>1100</v>
      </c>
      <c r="EI300" s="13">
        <f t="shared" ref="EI300:EI305" si="617">IF(EH300="","",EE300*EH300)</f>
        <v>0</v>
      </c>
      <c r="EJ300" s="14" t="e">
        <f t="shared" ref="EJ300:EJ305" si="618">IF(EI300="","",EI300/(EA300*100))</f>
        <v>#DIV/0!</v>
      </c>
      <c r="EK300" s="15"/>
    </row>
    <row r="301" spans="1:141" x14ac:dyDescent="0.2">
      <c r="A301" s="16"/>
      <c r="B301" s="11"/>
      <c r="C301" s="13">
        <v>11219</v>
      </c>
      <c r="D301" s="87">
        <v>21</v>
      </c>
      <c r="E301" s="13">
        <v>623</v>
      </c>
      <c r="F301" s="13">
        <v>0</v>
      </c>
      <c r="G301" s="13">
        <v>14</v>
      </c>
      <c r="H301" s="13">
        <v>0</v>
      </c>
      <c r="I301" s="13">
        <v>0</v>
      </c>
      <c r="J301" s="56" t="s">
        <v>423</v>
      </c>
      <c r="K301" s="54">
        <v>1100</v>
      </c>
      <c r="L301" s="13">
        <v>0</v>
      </c>
      <c r="M301" s="14">
        <v>0</v>
      </c>
      <c r="N301" s="15"/>
      <c r="O301" s="2"/>
      <c r="P301" s="16"/>
      <c r="Q301" s="13">
        <v>7732</v>
      </c>
      <c r="R301" s="87">
        <v>17</v>
      </c>
      <c r="S301" s="13">
        <v>157</v>
      </c>
      <c r="T301" s="13">
        <v>2</v>
      </c>
      <c r="U301" s="13">
        <v>6</v>
      </c>
      <c r="V301" s="13">
        <v>2</v>
      </c>
      <c r="W301" s="13">
        <v>6</v>
      </c>
      <c r="X301" s="56" t="s">
        <v>374</v>
      </c>
      <c r="Y301" s="54">
        <v>660</v>
      </c>
      <c r="Z301" s="13">
        <v>1320</v>
      </c>
      <c r="AA301" s="14">
        <v>0.77647058823529413</v>
      </c>
      <c r="AB301" s="15" t="s">
        <v>444</v>
      </c>
      <c r="AC301" s="1"/>
      <c r="AD301" s="16"/>
      <c r="AE301" s="13">
        <v>12054</v>
      </c>
      <c r="AF301" s="13">
        <v>77</v>
      </c>
      <c r="AG301" s="13">
        <v>322</v>
      </c>
      <c r="AH301" s="13">
        <v>4</v>
      </c>
      <c r="AI301" s="13">
        <v>52</v>
      </c>
      <c r="AJ301" s="13">
        <v>4</v>
      </c>
      <c r="AK301" s="13">
        <v>16</v>
      </c>
      <c r="AL301" s="56" t="s">
        <v>375</v>
      </c>
      <c r="AM301" s="54">
        <v>682</v>
      </c>
      <c r="AN301" s="13">
        <v>2728</v>
      </c>
      <c r="AO301" s="14">
        <v>0.35428571428571426</v>
      </c>
      <c r="AP301" s="15"/>
      <c r="AQ301" s="2"/>
      <c r="AR301" s="16"/>
      <c r="AS301" s="13">
        <v>14735</v>
      </c>
      <c r="AT301" s="13">
        <v>76</v>
      </c>
      <c r="AU301" s="13">
        <v>513</v>
      </c>
      <c r="AV301" s="13">
        <v>3</v>
      </c>
      <c r="AW301" s="13">
        <v>24</v>
      </c>
      <c r="AX301" s="13">
        <v>2</v>
      </c>
      <c r="AY301" s="13">
        <v>0</v>
      </c>
      <c r="AZ301" s="56" t="s">
        <v>330</v>
      </c>
      <c r="BA301" s="54">
        <v>500</v>
      </c>
      <c r="BB301" s="13">
        <v>1000</v>
      </c>
      <c r="BC301" s="14">
        <v>0.13157894736842105</v>
      </c>
      <c r="BD301" s="15"/>
      <c r="BU301" s="79">
        <f>IF($A307="","",$A307)</f>
        <v>46048</v>
      </c>
      <c r="BV301" s="17">
        <v>14588</v>
      </c>
      <c r="BW301" s="13">
        <f t="shared" si="589"/>
        <v>292</v>
      </c>
      <c r="BX301" s="13">
        <v>337</v>
      </c>
      <c r="BY301" s="13">
        <f t="shared" si="590"/>
        <v>8</v>
      </c>
      <c r="BZ301" s="13">
        <v>38</v>
      </c>
      <c r="CA301" s="13">
        <f t="shared" si="591"/>
        <v>8</v>
      </c>
      <c r="CB301" s="13">
        <v>11</v>
      </c>
      <c r="CC301" s="53"/>
      <c r="CD301" s="53">
        <f t="shared" si="592"/>
        <v>688</v>
      </c>
      <c r="CE301" s="13">
        <f t="shared" si="593"/>
        <v>5504</v>
      </c>
      <c r="CF301" s="14">
        <f t="shared" si="594"/>
        <v>0.1884931506849315</v>
      </c>
      <c r="CG301" s="15"/>
      <c r="CH301" s="1"/>
      <c r="CI301" s="79">
        <f>IF($A307="","",$A307)</f>
        <v>46048</v>
      </c>
      <c r="CJ301" s="17">
        <v>17407</v>
      </c>
      <c r="CK301" s="13">
        <f t="shared" si="595"/>
        <v>1591</v>
      </c>
      <c r="CL301" s="13">
        <v>281</v>
      </c>
      <c r="CM301" s="13">
        <f t="shared" si="596"/>
        <v>17</v>
      </c>
      <c r="CN301" s="13">
        <v>0</v>
      </c>
      <c r="CO301" s="13">
        <f t="shared" si="597"/>
        <v>36</v>
      </c>
      <c r="CP301" s="13">
        <v>38</v>
      </c>
      <c r="CQ301" s="53"/>
      <c r="CR301" s="53">
        <f t="shared" si="598"/>
        <v>1500</v>
      </c>
      <c r="CS301" s="13">
        <f t="shared" si="599"/>
        <v>54000</v>
      </c>
      <c r="CT301" s="14">
        <f t="shared" si="600"/>
        <v>0.33940917661847897</v>
      </c>
      <c r="CU301" s="15" t="s">
        <v>450</v>
      </c>
      <c r="CV301" s="1"/>
      <c r="CW301" s="79">
        <f>IF($A307="","",$A307)</f>
        <v>46048</v>
      </c>
      <c r="CX301" s="17">
        <v>12709</v>
      </c>
      <c r="CY301" s="13">
        <f t="shared" si="601"/>
        <v>305</v>
      </c>
      <c r="CZ301" s="13">
        <v>242</v>
      </c>
      <c r="DA301" s="13">
        <f t="shared" si="602"/>
        <v>9</v>
      </c>
      <c r="DB301" s="13">
        <v>40</v>
      </c>
      <c r="DC301" s="13">
        <f t="shared" si="603"/>
        <v>8</v>
      </c>
      <c r="DD301" s="13">
        <v>5</v>
      </c>
      <c r="DE301" s="53"/>
      <c r="DF301" s="53">
        <f t="shared" si="604"/>
        <v>880</v>
      </c>
      <c r="DG301" s="13">
        <f t="shared" si="605"/>
        <v>7040</v>
      </c>
      <c r="DH301" s="14">
        <f t="shared" si="606"/>
        <v>0.23081967213114754</v>
      </c>
      <c r="DI301" s="15"/>
      <c r="DJ301" s="1"/>
      <c r="DK301" s="79">
        <f>IF($A307="","",$A307)</f>
        <v>46048</v>
      </c>
      <c r="DL301" s="17">
        <v>9520</v>
      </c>
      <c r="DM301" s="13">
        <f t="shared" si="607"/>
        <v>251</v>
      </c>
      <c r="DN301" s="13">
        <v>273</v>
      </c>
      <c r="DO301" s="13">
        <f t="shared" si="608"/>
        <v>6</v>
      </c>
      <c r="DP301" s="13">
        <v>25</v>
      </c>
      <c r="DQ301" s="13">
        <f t="shared" si="609"/>
        <v>6</v>
      </c>
      <c r="DR301" s="13">
        <v>9</v>
      </c>
      <c r="DS301" s="53"/>
      <c r="DT301" s="53">
        <f t="shared" si="610"/>
        <v>1100</v>
      </c>
      <c r="DU301" s="13">
        <f t="shared" si="611"/>
        <v>6600</v>
      </c>
      <c r="DV301" s="14">
        <f t="shared" si="612"/>
        <v>0.26294820717131473</v>
      </c>
      <c r="DW301" s="15"/>
      <c r="DY301" s="79">
        <f>IF($A307="","",$A307)</f>
        <v>46048</v>
      </c>
      <c r="DZ301" s="17">
        <v>0</v>
      </c>
      <c r="EA301" s="13">
        <f t="shared" si="613"/>
        <v>0</v>
      </c>
      <c r="EB301" s="17">
        <v>0</v>
      </c>
      <c r="EC301" s="13">
        <f t="shared" si="614"/>
        <v>0</v>
      </c>
      <c r="ED301" s="13">
        <v>0</v>
      </c>
      <c r="EE301" s="13">
        <f t="shared" si="615"/>
        <v>0</v>
      </c>
      <c r="EF301" s="13">
        <v>0</v>
      </c>
      <c r="EG301" s="53"/>
      <c r="EH301" s="53">
        <f t="shared" si="616"/>
        <v>1100</v>
      </c>
      <c r="EI301" s="13">
        <f t="shared" si="617"/>
        <v>0</v>
      </c>
      <c r="EJ301" s="14" t="e">
        <f t="shared" si="618"/>
        <v>#DIV/0!</v>
      </c>
      <c r="EK301" s="15"/>
    </row>
    <row r="302" spans="1:141" ht="15" customHeight="1" thickBot="1" x14ac:dyDescent="0.25">
      <c r="A302" s="26"/>
      <c r="B302" s="46"/>
      <c r="C302" s="27">
        <v>6206</v>
      </c>
      <c r="D302" s="27">
        <v>78</v>
      </c>
      <c r="E302" s="27">
        <v>467</v>
      </c>
      <c r="F302" s="27">
        <v>4</v>
      </c>
      <c r="G302" s="27">
        <v>8</v>
      </c>
      <c r="H302" s="27">
        <v>4</v>
      </c>
      <c r="I302" s="27">
        <v>3</v>
      </c>
      <c r="J302" s="57" t="s">
        <v>439</v>
      </c>
      <c r="K302" s="27">
        <v>900</v>
      </c>
      <c r="L302" s="27">
        <v>3600</v>
      </c>
      <c r="M302" s="28">
        <v>0.46153846153846156</v>
      </c>
      <c r="N302" s="15" t="s">
        <v>424</v>
      </c>
      <c r="O302" s="2"/>
      <c r="P302" s="26"/>
      <c r="Q302" s="27">
        <v>7777</v>
      </c>
      <c r="R302" s="27">
        <v>61</v>
      </c>
      <c r="S302" s="27">
        <v>129</v>
      </c>
      <c r="T302" s="27">
        <v>1</v>
      </c>
      <c r="U302" s="27">
        <v>10</v>
      </c>
      <c r="V302" s="27">
        <v>1</v>
      </c>
      <c r="W302" s="27">
        <v>0</v>
      </c>
      <c r="X302" s="57" t="s">
        <v>232</v>
      </c>
      <c r="Y302" s="27">
        <v>286</v>
      </c>
      <c r="Z302" s="27">
        <v>286</v>
      </c>
      <c r="AA302" s="28">
        <v>4.6885245901639346E-2</v>
      </c>
      <c r="AB302" s="142"/>
      <c r="AC302" s="63"/>
      <c r="AD302" s="145"/>
      <c r="AE302" s="27">
        <v>11854</v>
      </c>
      <c r="AF302" s="88">
        <v>52</v>
      </c>
      <c r="AG302" s="27">
        <v>302</v>
      </c>
      <c r="AH302" s="27">
        <v>2</v>
      </c>
      <c r="AI302" s="27">
        <v>14</v>
      </c>
      <c r="AJ302" s="27">
        <v>1</v>
      </c>
      <c r="AK302" s="27"/>
      <c r="AL302" s="108" t="s">
        <v>353</v>
      </c>
      <c r="AM302" s="27">
        <v>605</v>
      </c>
      <c r="AN302" s="27">
        <v>605</v>
      </c>
      <c r="AO302" s="28">
        <v>0.11634615384615385</v>
      </c>
      <c r="AP302" s="15"/>
      <c r="AQ302" s="2"/>
      <c r="AR302" s="26"/>
      <c r="AS302" s="27">
        <v>15178</v>
      </c>
      <c r="AT302" s="27">
        <v>81</v>
      </c>
      <c r="AU302" s="27">
        <v>436</v>
      </c>
      <c r="AV302" s="27">
        <v>1</v>
      </c>
      <c r="AW302" s="27">
        <v>28</v>
      </c>
      <c r="AX302" s="27">
        <v>2</v>
      </c>
      <c r="AY302" s="27">
        <v>9</v>
      </c>
      <c r="AZ302" s="57" t="s">
        <v>293</v>
      </c>
      <c r="BA302" s="27">
        <v>400</v>
      </c>
      <c r="BB302" s="27">
        <v>800</v>
      </c>
      <c r="BC302" s="28">
        <v>9.8765432098765427E-2</v>
      </c>
      <c r="BD302" s="15"/>
      <c r="BU302" s="79">
        <f>IF($A311="","",$A311)</f>
        <v>46052</v>
      </c>
      <c r="BV302" s="17">
        <v>14742</v>
      </c>
      <c r="BW302" s="13">
        <f t="shared" si="589"/>
        <v>154</v>
      </c>
      <c r="BX302" s="13">
        <v>342</v>
      </c>
      <c r="BY302" s="13">
        <f t="shared" si="590"/>
        <v>5</v>
      </c>
      <c r="BZ302" s="13">
        <v>42</v>
      </c>
      <c r="CA302" s="13">
        <f t="shared" si="591"/>
        <v>7</v>
      </c>
      <c r="CB302" s="13">
        <v>0</v>
      </c>
      <c r="CC302" s="53"/>
      <c r="CD302" s="53">
        <f t="shared" si="592"/>
        <v>688</v>
      </c>
      <c r="CE302" s="13">
        <f t="shared" si="593"/>
        <v>4816</v>
      </c>
      <c r="CF302" s="14">
        <f t="shared" si="594"/>
        <v>0.31272727272727274</v>
      </c>
      <c r="CG302" s="15"/>
      <c r="CH302" s="1"/>
      <c r="CI302" s="79">
        <f>IF($A311="","",$A311)</f>
        <v>46052</v>
      </c>
      <c r="CJ302" s="17">
        <v>18361</v>
      </c>
      <c r="CK302" s="13">
        <f t="shared" si="595"/>
        <v>954</v>
      </c>
      <c r="CL302" s="13">
        <v>319</v>
      </c>
      <c r="CM302" s="13">
        <f t="shared" si="596"/>
        <v>38</v>
      </c>
      <c r="CN302" s="13">
        <v>0</v>
      </c>
      <c r="CO302" s="13">
        <f t="shared" si="597"/>
        <v>38</v>
      </c>
      <c r="CP302" s="13">
        <v>24</v>
      </c>
      <c r="CQ302" s="53"/>
      <c r="CR302" s="53">
        <f t="shared" si="598"/>
        <v>1500</v>
      </c>
      <c r="CS302" s="13">
        <f t="shared" si="599"/>
        <v>57000</v>
      </c>
      <c r="CT302" s="14">
        <f t="shared" si="600"/>
        <v>0.59748427672955973</v>
      </c>
      <c r="CU302" s="15" t="s">
        <v>461</v>
      </c>
      <c r="CV302" s="1"/>
      <c r="CW302" s="79">
        <f>IF($A311="","",$A311)</f>
        <v>46052</v>
      </c>
      <c r="CX302" s="17">
        <v>12849</v>
      </c>
      <c r="CY302" s="13">
        <f t="shared" si="601"/>
        <v>140</v>
      </c>
      <c r="CZ302" s="13">
        <v>244</v>
      </c>
      <c r="DA302" s="13">
        <f t="shared" si="602"/>
        <v>2</v>
      </c>
      <c r="DB302" s="13">
        <v>43</v>
      </c>
      <c r="DC302" s="13">
        <f t="shared" si="603"/>
        <v>2</v>
      </c>
      <c r="DD302" s="13">
        <v>13</v>
      </c>
      <c r="DE302" s="53"/>
      <c r="DF302" s="53">
        <f t="shared" si="604"/>
        <v>880</v>
      </c>
      <c r="DG302" s="13">
        <f t="shared" si="605"/>
        <v>1760</v>
      </c>
      <c r="DH302" s="14">
        <f t="shared" si="606"/>
        <v>0.12571428571428572</v>
      </c>
      <c r="DI302" s="15" t="s">
        <v>454</v>
      </c>
      <c r="DJ302" s="1"/>
      <c r="DK302" s="79">
        <f>IF($A311="","",$A311)</f>
        <v>46052</v>
      </c>
      <c r="DL302" s="17">
        <v>9598</v>
      </c>
      <c r="DM302" s="87">
        <f t="shared" si="607"/>
        <v>78</v>
      </c>
      <c r="DN302" s="13">
        <v>275</v>
      </c>
      <c r="DO302" s="13">
        <f t="shared" si="608"/>
        <v>2</v>
      </c>
      <c r="DP302" s="13">
        <v>32</v>
      </c>
      <c r="DQ302" s="13">
        <f t="shared" si="609"/>
        <v>2</v>
      </c>
      <c r="DR302" s="13">
        <v>8</v>
      </c>
      <c r="DS302" s="53"/>
      <c r="DT302" s="53">
        <f t="shared" si="610"/>
        <v>1100</v>
      </c>
      <c r="DU302" s="13">
        <f t="shared" si="611"/>
        <v>2200</v>
      </c>
      <c r="DV302" s="14">
        <f t="shared" si="612"/>
        <v>0.28205128205128205</v>
      </c>
      <c r="DW302" s="15" t="s">
        <v>66</v>
      </c>
      <c r="DY302" s="79">
        <f>IF($A311="","",$A311)</f>
        <v>46052</v>
      </c>
      <c r="DZ302" s="17">
        <v>0</v>
      </c>
      <c r="EA302" s="87">
        <f t="shared" si="613"/>
        <v>0</v>
      </c>
      <c r="EB302" s="17">
        <v>0</v>
      </c>
      <c r="EC302" s="13">
        <f t="shared" si="614"/>
        <v>0</v>
      </c>
      <c r="ED302" s="13">
        <v>0</v>
      </c>
      <c r="EE302" s="13">
        <f t="shared" si="615"/>
        <v>0</v>
      </c>
      <c r="EF302" s="13">
        <v>0</v>
      </c>
      <c r="EG302" s="53"/>
      <c r="EH302" s="53">
        <f t="shared" si="616"/>
        <v>1100</v>
      </c>
      <c r="EI302" s="13">
        <f t="shared" si="617"/>
        <v>0</v>
      </c>
      <c r="EJ302" s="14" t="e">
        <f t="shared" si="618"/>
        <v>#DIV/0!</v>
      </c>
      <c r="EK302" s="15" t="s">
        <v>66</v>
      </c>
    </row>
    <row r="303" spans="1:141" ht="15" customHeight="1" thickTop="1" x14ac:dyDescent="0.2">
      <c r="A303" s="79">
        <v>46044</v>
      </c>
      <c r="B303" s="74">
        <f>IF(A303="","",SUM(D303:D306)+SUM(R303:R306)+SUM(AF303:AF306)+SUM(AT303:AT306)+SUM(BW300,CK300,CY300,DM300))</f>
        <v>4489</v>
      </c>
      <c r="C303" s="53">
        <v>5858</v>
      </c>
      <c r="D303" s="53">
        <f t="shared" ref="D303:D326" si="619">IF(C303="","",C303-C299)</f>
        <v>100</v>
      </c>
      <c r="E303" s="53">
        <v>354</v>
      </c>
      <c r="F303" s="31">
        <f t="shared" ref="F303:F326" si="620">IF(E303="","",E303-E299)</f>
        <v>7</v>
      </c>
      <c r="G303" s="53">
        <v>2</v>
      </c>
      <c r="H303" s="53">
        <f t="shared" ref="H303:H326" si="621">IF(G303="","",G299+I299-G303)</f>
        <v>8</v>
      </c>
      <c r="I303" s="80">
        <v>6</v>
      </c>
      <c r="J303" s="75" t="str">
        <f t="shared" ref="J303:J326" si="622">IF(C303="","",J299)</f>
        <v>ジャグラーボタン</v>
      </c>
      <c r="K303" s="76">
        <f t="shared" ref="K303:K326" si="623">IF(D303="","",K299)</f>
        <v>748</v>
      </c>
      <c r="L303" s="31">
        <f t="shared" ref="L303:L326" si="624">IF(G303="","",H303*K303)</f>
        <v>5984</v>
      </c>
      <c r="M303" s="32">
        <f t="shared" ref="M303:M326" si="625">IF(H303="","",L303/(D303*100))</f>
        <v>0.59840000000000004</v>
      </c>
      <c r="N303" s="15" t="s">
        <v>446</v>
      </c>
      <c r="O303" s="2"/>
      <c r="P303" s="79">
        <f>IF(A303="","",A303)</f>
        <v>46044</v>
      </c>
      <c r="Q303" s="53">
        <v>5958</v>
      </c>
      <c r="R303" s="53">
        <f t="shared" ref="R303:R326" si="626">IF(Q303="","",Q303-Q299)</f>
        <v>177</v>
      </c>
      <c r="S303" s="53">
        <v>202</v>
      </c>
      <c r="T303" s="31">
        <f t="shared" ref="T303:T326" si="627">IF(S303="","",S303-S299)</f>
        <v>10</v>
      </c>
      <c r="U303" s="53">
        <v>1</v>
      </c>
      <c r="V303" s="53">
        <f t="shared" ref="V303:V326" si="628">IF(U303="","",U299+W299-U303)</f>
        <v>11</v>
      </c>
      <c r="W303" s="80">
        <v>11</v>
      </c>
      <c r="X303" s="75" t="str">
        <f>IF(Q303="","",X299)</f>
        <v>キティボアバンスクリップ</v>
      </c>
      <c r="Y303" s="76">
        <f>IF(R303="","",Y299)</f>
        <v>1100</v>
      </c>
      <c r="Z303" s="31">
        <f t="shared" ref="Z303:Z326" si="629">IF(U303="","",V303*Y303)</f>
        <v>12100</v>
      </c>
      <c r="AA303" s="32">
        <f t="shared" ref="AA303:AA326" si="630">IF(V303="","",Z303/(R303*100))</f>
        <v>0.68361581920903958</v>
      </c>
      <c r="AB303" s="15"/>
      <c r="AC303" s="15"/>
      <c r="AD303" s="79">
        <f>IF($A303="","",$A303)</f>
        <v>46044</v>
      </c>
      <c r="AE303" s="53">
        <v>10589</v>
      </c>
      <c r="AF303" s="127">
        <f t="shared" ref="AF303:AF326" si="631">IF(AE303="","",AE303-AE299)</f>
        <v>63</v>
      </c>
      <c r="AG303" s="53">
        <v>237</v>
      </c>
      <c r="AH303" s="31">
        <f t="shared" ref="AH303:AH326" si="632">IF(AG303="","",AG303-AG299)</f>
        <v>2</v>
      </c>
      <c r="AI303" s="53">
        <v>22</v>
      </c>
      <c r="AJ303" s="53">
        <f t="shared" ref="AJ303:AJ326" si="633">IF(AI303="","",AI299+AK299-AI303)</f>
        <v>3</v>
      </c>
      <c r="AK303" s="80">
        <v>6</v>
      </c>
      <c r="AL303" s="135" t="str">
        <f t="shared" ref="AL303:AL319" si="634">IF(AE303="","",AL299)</f>
        <v>サンリオ型押しケース</v>
      </c>
      <c r="AM303" s="76">
        <f t="shared" ref="AM303:AM319" si="635">IF(AF303="","",AM299)</f>
        <v>545</v>
      </c>
      <c r="AN303" s="31">
        <f t="shared" ref="AN303:AN319" si="636">IF(AI303="","",AJ303*AM303)</f>
        <v>1635</v>
      </c>
      <c r="AO303" s="32">
        <f t="shared" ref="AO303:AO326" si="637">IF(AJ303="","",AN303/(AF303*100))</f>
        <v>0.25952380952380955</v>
      </c>
      <c r="AP303" s="15"/>
      <c r="AQ303" s="113"/>
      <c r="AR303" s="79">
        <f>IF($A303="","",$A303)</f>
        <v>46044</v>
      </c>
      <c r="AS303" s="53">
        <v>11263</v>
      </c>
      <c r="AT303" s="53">
        <f t="shared" ref="AT303:AT326" si="638">IF(AS303="","",AS303-AS299)</f>
        <v>146</v>
      </c>
      <c r="AU303" s="53">
        <v>360</v>
      </c>
      <c r="AV303" s="31">
        <f t="shared" ref="AV303:AV326" si="639">IF(AU303="","",AU303-AU299)</f>
        <v>7</v>
      </c>
      <c r="AW303" s="53">
        <v>12</v>
      </c>
      <c r="AX303" s="53">
        <f t="shared" ref="AX303:AX326" si="640">IF(AW303="","",AW299+AY299-AW303)</f>
        <v>-1</v>
      </c>
      <c r="AY303" s="80">
        <v>4</v>
      </c>
      <c r="AZ303" s="75" t="str">
        <f t="shared" ref="AZ303:AZ326" si="641">IF(AS303="","",AZ299)</f>
        <v>サンリオヒョウ柄キーケース</v>
      </c>
      <c r="BA303" s="76">
        <f t="shared" ref="BA303:BA326" si="642">IF(AT303="","",BA299)</f>
        <v>924</v>
      </c>
      <c r="BB303" s="31">
        <f t="shared" ref="BB303:BB326" si="643">IF(AW303="","",AX303*BA303)</f>
        <v>-924</v>
      </c>
      <c r="BC303" s="32">
        <f t="shared" ref="BC303:BC326" si="644">IF(AX303="","",BB303/(AT303*100))</f>
        <v>-6.3287671232876708E-2</v>
      </c>
      <c r="BD303" s="15"/>
      <c r="BU303" s="79">
        <f>IF($A315="","",$A315)</f>
        <v>46055</v>
      </c>
      <c r="BV303" s="17">
        <v>14855</v>
      </c>
      <c r="BW303" s="13">
        <f t="shared" si="589"/>
        <v>113</v>
      </c>
      <c r="BX303" s="13">
        <v>345</v>
      </c>
      <c r="BY303" s="13">
        <f t="shared" si="590"/>
        <v>3</v>
      </c>
      <c r="BZ303" s="13">
        <v>38</v>
      </c>
      <c r="CA303" s="13">
        <f t="shared" si="591"/>
        <v>4</v>
      </c>
      <c r="CB303" s="13">
        <v>0</v>
      </c>
      <c r="CC303" s="53"/>
      <c r="CD303" s="53">
        <f t="shared" si="592"/>
        <v>688</v>
      </c>
      <c r="CE303" s="13">
        <f t="shared" si="593"/>
        <v>2752</v>
      </c>
      <c r="CF303" s="14">
        <f t="shared" si="594"/>
        <v>0.24353982300884955</v>
      </c>
      <c r="CG303" s="15"/>
      <c r="CH303" s="1"/>
      <c r="CI303" s="79">
        <f>IF($A315="","",$A315)</f>
        <v>46055</v>
      </c>
      <c r="CJ303" s="17">
        <v>20523</v>
      </c>
      <c r="CK303" s="13">
        <f t="shared" si="595"/>
        <v>2162</v>
      </c>
      <c r="CL303" s="13">
        <v>328</v>
      </c>
      <c r="CM303" s="13">
        <f t="shared" si="596"/>
        <v>9</v>
      </c>
      <c r="CN303" s="13">
        <v>11</v>
      </c>
      <c r="CO303" s="13">
        <f t="shared" si="597"/>
        <v>13</v>
      </c>
      <c r="CP303" s="13">
        <v>20</v>
      </c>
      <c r="CQ303" s="53"/>
      <c r="CR303" s="53">
        <f t="shared" si="598"/>
        <v>1500</v>
      </c>
      <c r="CS303" s="13">
        <f t="shared" si="599"/>
        <v>19500</v>
      </c>
      <c r="CT303" s="14">
        <f t="shared" si="600"/>
        <v>9.0194264569842739E-2</v>
      </c>
      <c r="CU303" s="15" t="s">
        <v>460</v>
      </c>
      <c r="CV303" s="1"/>
      <c r="CW303" s="79">
        <f>IF($A315="","",$A315)</f>
        <v>46055</v>
      </c>
      <c r="CX303" s="17">
        <v>13019</v>
      </c>
      <c r="CY303" s="13">
        <f t="shared" si="601"/>
        <v>170</v>
      </c>
      <c r="CZ303" s="13">
        <v>246</v>
      </c>
      <c r="DA303" s="13">
        <f t="shared" si="602"/>
        <v>2</v>
      </c>
      <c r="DB303" s="13">
        <v>54</v>
      </c>
      <c r="DC303" s="13">
        <f t="shared" si="603"/>
        <v>2</v>
      </c>
      <c r="DD303" s="13">
        <v>0</v>
      </c>
      <c r="DE303" s="53"/>
      <c r="DF303" s="53">
        <f t="shared" si="604"/>
        <v>880</v>
      </c>
      <c r="DG303" s="13">
        <f t="shared" si="605"/>
        <v>1760</v>
      </c>
      <c r="DH303" s="14">
        <f t="shared" si="606"/>
        <v>0.10352941176470588</v>
      </c>
      <c r="DI303" s="15"/>
      <c r="DJ303" s="1"/>
      <c r="DK303" s="79">
        <f>IF($A315="","",$A315)</f>
        <v>46055</v>
      </c>
      <c r="DL303" s="17">
        <v>9707</v>
      </c>
      <c r="DM303" s="13">
        <f t="shared" si="607"/>
        <v>109</v>
      </c>
      <c r="DN303" s="13">
        <v>278</v>
      </c>
      <c r="DO303" s="13">
        <f t="shared" si="608"/>
        <v>3</v>
      </c>
      <c r="DP303" s="13">
        <v>37</v>
      </c>
      <c r="DQ303" s="13">
        <f t="shared" si="609"/>
        <v>3</v>
      </c>
      <c r="DR303" s="13">
        <v>0</v>
      </c>
      <c r="DS303" s="53"/>
      <c r="DT303" s="53">
        <f t="shared" si="610"/>
        <v>1100</v>
      </c>
      <c r="DU303" s="13">
        <f t="shared" si="611"/>
        <v>3300</v>
      </c>
      <c r="DV303" s="14">
        <f t="shared" si="612"/>
        <v>0.30275229357798167</v>
      </c>
      <c r="DW303" s="15"/>
      <c r="DY303" s="79">
        <f>IF($A315="","",$A315)</f>
        <v>46055</v>
      </c>
      <c r="DZ303" s="17">
        <v>0</v>
      </c>
      <c r="EA303" s="13">
        <f t="shared" si="613"/>
        <v>0</v>
      </c>
      <c r="EB303" s="17">
        <v>0</v>
      </c>
      <c r="EC303" s="13">
        <f t="shared" si="614"/>
        <v>0</v>
      </c>
      <c r="ED303" s="13">
        <v>0</v>
      </c>
      <c r="EE303" s="13">
        <f t="shared" si="615"/>
        <v>0</v>
      </c>
      <c r="EF303" s="13">
        <v>0</v>
      </c>
      <c r="EG303" s="53"/>
      <c r="EH303" s="53">
        <f t="shared" si="616"/>
        <v>1100</v>
      </c>
      <c r="EI303" s="13">
        <f t="shared" si="617"/>
        <v>0</v>
      </c>
      <c r="EJ303" s="14" t="e">
        <f t="shared" si="618"/>
        <v>#DIV/0!</v>
      </c>
      <c r="EK303" s="15"/>
    </row>
    <row r="304" spans="1:141" x14ac:dyDescent="0.2">
      <c r="A304" s="16"/>
      <c r="B304" s="11"/>
      <c r="C304" s="13">
        <v>5240</v>
      </c>
      <c r="D304" s="53">
        <f t="shared" si="619"/>
        <v>246</v>
      </c>
      <c r="E304" s="13">
        <v>364</v>
      </c>
      <c r="F304" s="13">
        <f t="shared" si="620"/>
        <v>2</v>
      </c>
      <c r="G304" s="13">
        <v>40</v>
      </c>
      <c r="H304" s="13">
        <f t="shared" si="621"/>
        <v>4</v>
      </c>
      <c r="I304" s="17">
        <v>0</v>
      </c>
      <c r="J304" s="56" t="str">
        <f t="shared" si="622"/>
        <v>電ブル</v>
      </c>
      <c r="K304" s="54">
        <f t="shared" si="623"/>
        <v>1075</v>
      </c>
      <c r="L304" s="13">
        <f t="shared" si="624"/>
        <v>4300</v>
      </c>
      <c r="M304" s="14">
        <f t="shared" si="625"/>
        <v>0.17479674796747968</v>
      </c>
      <c r="N304" s="15"/>
      <c r="O304" s="2"/>
      <c r="P304" s="16"/>
      <c r="Q304" s="13">
        <v>4418</v>
      </c>
      <c r="R304" s="53">
        <f t="shared" si="626"/>
        <v>104</v>
      </c>
      <c r="S304" s="13">
        <v>138</v>
      </c>
      <c r="T304" s="13">
        <f t="shared" si="627"/>
        <v>5</v>
      </c>
      <c r="U304" s="13">
        <v>9</v>
      </c>
      <c r="V304" s="13">
        <f t="shared" si="628"/>
        <v>7</v>
      </c>
      <c r="W304" s="17">
        <v>6</v>
      </c>
      <c r="X304" s="56" t="s">
        <v>156</v>
      </c>
      <c r="Y304" s="54">
        <f t="shared" ref="Y304:Y309" si="645">IF(R304="","",Y300)</f>
        <v>1100</v>
      </c>
      <c r="Z304" s="13">
        <f t="shared" si="629"/>
        <v>7700</v>
      </c>
      <c r="AA304" s="14">
        <f t="shared" si="630"/>
        <v>0.74038461538461542</v>
      </c>
      <c r="AB304" s="15" t="s">
        <v>447</v>
      </c>
      <c r="AC304" s="15"/>
      <c r="AD304" s="16"/>
      <c r="AE304" s="13">
        <v>10273</v>
      </c>
      <c r="AF304" s="53">
        <f t="shared" si="631"/>
        <v>126</v>
      </c>
      <c r="AG304" s="13">
        <v>221</v>
      </c>
      <c r="AH304" s="13">
        <f t="shared" si="632"/>
        <v>1</v>
      </c>
      <c r="AI304" s="13">
        <v>7</v>
      </c>
      <c r="AJ304" s="13">
        <f t="shared" si="633"/>
        <v>2</v>
      </c>
      <c r="AK304" s="17">
        <v>5</v>
      </c>
      <c r="AL304" s="56" t="str">
        <f t="shared" si="634"/>
        <v>サンリオヒョウ柄フェイス</v>
      </c>
      <c r="AM304" s="54">
        <f t="shared" si="635"/>
        <v>792</v>
      </c>
      <c r="AN304" s="13">
        <f t="shared" si="636"/>
        <v>1584</v>
      </c>
      <c r="AO304" s="14">
        <f t="shared" si="637"/>
        <v>0.12571428571428572</v>
      </c>
      <c r="AP304" s="15"/>
      <c r="AQ304" s="113"/>
      <c r="AR304" s="16"/>
      <c r="AS304" s="13">
        <v>7912</v>
      </c>
      <c r="AT304" s="53">
        <f t="shared" si="638"/>
        <v>156</v>
      </c>
      <c r="AU304" s="13">
        <v>407</v>
      </c>
      <c r="AV304" s="13">
        <f t="shared" si="639"/>
        <v>7</v>
      </c>
      <c r="AW304" s="13">
        <v>8</v>
      </c>
      <c r="AX304" s="13">
        <f t="shared" si="640"/>
        <v>6</v>
      </c>
      <c r="AY304" s="17">
        <v>4</v>
      </c>
      <c r="AZ304" s="56" t="str">
        <f t="shared" si="641"/>
        <v>キティフェイスポーチ</v>
      </c>
      <c r="BA304" s="54">
        <f t="shared" si="642"/>
        <v>673</v>
      </c>
      <c r="BB304" s="13">
        <f t="shared" si="643"/>
        <v>4038</v>
      </c>
      <c r="BC304" s="14">
        <f t="shared" si="644"/>
        <v>0.25884615384615384</v>
      </c>
      <c r="BD304" s="15"/>
      <c r="BU304" s="79">
        <f>IF($A319="","",$A319)</f>
        <v>46059</v>
      </c>
      <c r="BV304" s="17">
        <v>14933</v>
      </c>
      <c r="BW304" s="13">
        <f t="shared" si="589"/>
        <v>78</v>
      </c>
      <c r="BX304" s="13">
        <v>347</v>
      </c>
      <c r="BY304" s="13">
        <f t="shared" si="590"/>
        <v>2</v>
      </c>
      <c r="BZ304" s="13">
        <v>36</v>
      </c>
      <c r="CA304" s="13">
        <f t="shared" si="591"/>
        <v>2</v>
      </c>
      <c r="CB304" s="13">
        <v>4</v>
      </c>
      <c r="CC304" s="53"/>
      <c r="CD304" s="53">
        <f t="shared" si="592"/>
        <v>688</v>
      </c>
      <c r="CE304" s="13">
        <f t="shared" si="593"/>
        <v>1376</v>
      </c>
      <c r="CF304" s="14">
        <f t="shared" si="594"/>
        <v>0.1764102564102564</v>
      </c>
      <c r="CG304" s="15"/>
      <c r="CH304" s="1"/>
      <c r="CI304" s="79">
        <f>IF($A319="","",$A319)</f>
        <v>46059</v>
      </c>
      <c r="CJ304" s="17">
        <v>22356</v>
      </c>
      <c r="CK304" s="13">
        <f t="shared" si="595"/>
        <v>1833</v>
      </c>
      <c r="CL304" s="13">
        <v>339</v>
      </c>
      <c r="CM304" s="13">
        <f t="shared" si="596"/>
        <v>11</v>
      </c>
      <c r="CN304" s="13">
        <v>20</v>
      </c>
      <c r="CO304" s="13">
        <f t="shared" si="597"/>
        <v>11</v>
      </c>
      <c r="CP304" s="13">
        <v>10</v>
      </c>
      <c r="CQ304" s="53"/>
      <c r="CR304" s="53">
        <f t="shared" si="598"/>
        <v>1500</v>
      </c>
      <c r="CS304" s="13">
        <f t="shared" si="599"/>
        <v>16500</v>
      </c>
      <c r="CT304" s="14">
        <f t="shared" si="600"/>
        <v>9.0016366612111293E-2</v>
      </c>
      <c r="CU304" s="15"/>
      <c r="CV304" s="1"/>
      <c r="CW304" s="79">
        <f>IF($A319="","",$A319)</f>
        <v>46059</v>
      </c>
      <c r="CX304" s="17">
        <v>13090</v>
      </c>
      <c r="CY304" s="13">
        <f t="shared" si="601"/>
        <v>71</v>
      </c>
      <c r="CZ304" s="13">
        <v>249</v>
      </c>
      <c r="DA304" s="13">
        <f t="shared" si="602"/>
        <v>3</v>
      </c>
      <c r="DB304" s="13">
        <v>51</v>
      </c>
      <c r="DC304" s="13">
        <f t="shared" si="603"/>
        <v>3</v>
      </c>
      <c r="DD304" s="13">
        <v>4</v>
      </c>
      <c r="DE304" s="53"/>
      <c r="DF304" s="53">
        <f t="shared" si="604"/>
        <v>880</v>
      </c>
      <c r="DG304" s="13">
        <f t="shared" si="605"/>
        <v>2640</v>
      </c>
      <c r="DH304" s="14">
        <f t="shared" si="606"/>
        <v>0.37183098591549296</v>
      </c>
      <c r="DI304" s="15"/>
      <c r="DJ304" s="1"/>
      <c r="DK304" s="79">
        <f>IF($A319="","",$A319)</f>
        <v>46059</v>
      </c>
      <c r="DL304" s="17">
        <v>9845</v>
      </c>
      <c r="DM304" s="13">
        <f t="shared" si="607"/>
        <v>138</v>
      </c>
      <c r="DN304" s="13">
        <v>279</v>
      </c>
      <c r="DO304" s="13">
        <f t="shared" si="608"/>
        <v>1</v>
      </c>
      <c r="DP304" s="13">
        <v>36</v>
      </c>
      <c r="DQ304" s="13">
        <f t="shared" si="609"/>
        <v>1</v>
      </c>
      <c r="DR304" s="13">
        <v>0</v>
      </c>
      <c r="DS304" s="53"/>
      <c r="DT304" s="53">
        <f t="shared" si="610"/>
        <v>1100</v>
      </c>
      <c r="DU304" s="13">
        <f t="shared" si="611"/>
        <v>1100</v>
      </c>
      <c r="DV304" s="14">
        <f t="shared" si="612"/>
        <v>7.9710144927536225E-2</v>
      </c>
      <c r="DW304" s="15"/>
      <c r="DY304" s="79">
        <f>IF($A319="","",$A319)</f>
        <v>46059</v>
      </c>
      <c r="DZ304" s="17">
        <v>0</v>
      </c>
      <c r="EA304" s="13">
        <f t="shared" si="613"/>
        <v>0</v>
      </c>
      <c r="EB304" s="17">
        <v>0</v>
      </c>
      <c r="EC304" s="13">
        <f t="shared" si="614"/>
        <v>0</v>
      </c>
      <c r="ED304" s="13">
        <v>0</v>
      </c>
      <c r="EE304" s="13">
        <f t="shared" si="615"/>
        <v>0</v>
      </c>
      <c r="EF304" s="13">
        <v>0</v>
      </c>
      <c r="EG304" s="53"/>
      <c r="EH304" s="53">
        <f t="shared" si="616"/>
        <v>1100</v>
      </c>
      <c r="EI304" s="13">
        <f t="shared" si="617"/>
        <v>0</v>
      </c>
      <c r="EJ304" s="14" t="e">
        <f t="shared" si="618"/>
        <v>#DIV/0!</v>
      </c>
      <c r="EK304" s="15"/>
    </row>
    <row r="305" spans="1:141" x14ac:dyDescent="0.2">
      <c r="A305" s="16"/>
      <c r="B305" s="11"/>
      <c r="C305" s="13">
        <v>11405</v>
      </c>
      <c r="D305" s="63">
        <f t="shared" si="619"/>
        <v>186</v>
      </c>
      <c r="E305" s="13">
        <v>624</v>
      </c>
      <c r="F305" s="13">
        <f t="shared" si="620"/>
        <v>1</v>
      </c>
      <c r="G305" s="13">
        <v>12</v>
      </c>
      <c r="H305" s="13">
        <f t="shared" si="621"/>
        <v>2</v>
      </c>
      <c r="I305" s="49">
        <v>0</v>
      </c>
      <c r="J305" s="56" t="str">
        <f t="shared" si="622"/>
        <v>ゲーム機イヤホン</v>
      </c>
      <c r="K305" s="13">
        <f t="shared" si="623"/>
        <v>1100</v>
      </c>
      <c r="L305" s="13">
        <f t="shared" si="624"/>
        <v>2200</v>
      </c>
      <c r="M305" s="14">
        <f t="shared" si="625"/>
        <v>0.11827956989247312</v>
      </c>
      <c r="N305" s="15"/>
      <c r="O305" s="2"/>
      <c r="P305" s="16"/>
      <c r="Q305" s="13">
        <v>7788</v>
      </c>
      <c r="R305" s="128">
        <f t="shared" si="626"/>
        <v>56</v>
      </c>
      <c r="S305" s="13">
        <v>158</v>
      </c>
      <c r="T305" s="13">
        <f t="shared" si="627"/>
        <v>1</v>
      </c>
      <c r="U305" s="13">
        <v>11</v>
      </c>
      <c r="V305" s="13">
        <f t="shared" si="628"/>
        <v>1</v>
      </c>
      <c r="W305" s="49">
        <v>6</v>
      </c>
      <c r="X305" s="111" t="str">
        <f>IF(Q305="","",X301)</f>
        <v>サンリオホワイトマスコット</v>
      </c>
      <c r="Y305" s="13">
        <f t="shared" si="645"/>
        <v>660</v>
      </c>
      <c r="Z305" s="13">
        <f t="shared" si="629"/>
        <v>660</v>
      </c>
      <c r="AA305" s="14">
        <f t="shared" si="630"/>
        <v>0.11785714285714285</v>
      </c>
      <c r="AB305" s="15"/>
      <c r="AC305" s="15"/>
      <c r="AD305" s="16"/>
      <c r="AE305" s="13">
        <v>12247</v>
      </c>
      <c r="AF305" s="63">
        <f t="shared" si="631"/>
        <v>193</v>
      </c>
      <c r="AG305" s="13">
        <v>332</v>
      </c>
      <c r="AH305" s="13">
        <f t="shared" si="632"/>
        <v>10</v>
      </c>
      <c r="AI305" s="13">
        <v>56</v>
      </c>
      <c r="AJ305" s="13">
        <f t="shared" si="633"/>
        <v>12</v>
      </c>
      <c r="AK305" s="49">
        <v>22</v>
      </c>
      <c r="AL305" s="56" t="str">
        <f t="shared" si="634"/>
        <v>ゲームアーク</v>
      </c>
      <c r="AM305" s="13">
        <f t="shared" si="635"/>
        <v>682</v>
      </c>
      <c r="AN305" s="13">
        <f t="shared" si="636"/>
        <v>8184</v>
      </c>
      <c r="AO305" s="14">
        <f t="shared" si="637"/>
        <v>0.42404145077720207</v>
      </c>
      <c r="AP305" s="15"/>
      <c r="AQ305" s="113"/>
      <c r="AR305" s="16"/>
      <c r="AS305" s="13">
        <v>14871</v>
      </c>
      <c r="AT305" s="63">
        <f t="shared" si="638"/>
        <v>136</v>
      </c>
      <c r="AU305" s="13">
        <v>514</v>
      </c>
      <c r="AV305" s="13">
        <f t="shared" si="639"/>
        <v>1</v>
      </c>
      <c r="AW305" s="13">
        <v>24</v>
      </c>
      <c r="AX305" s="13">
        <f t="shared" si="640"/>
        <v>0</v>
      </c>
      <c r="AY305" s="49">
        <v>0</v>
      </c>
      <c r="AZ305" s="56" t="str">
        <f t="shared" si="641"/>
        <v>ラブブキーホルダーおおきめ</v>
      </c>
      <c r="BA305" s="13">
        <f t="shared" si="642"/>
        <v>500</v>
      </c>
      <c r="BB305" s="13">
        <f t="shared" si="643"/>
        <v>0</v>
      </c>
      <c r="BC305" s="14">
        <f t="shared" si="644"/>
        <v>0</v>
      </c>
      <c r="BD305" s="15"/>
      <c r="BU305" s="79">
        <f>IF($A323="","",$A323)</f>
        <v>46062</v>
      </c>
      <c r="BV305" s="17">
        <v>15117</v>
      </c>
      <c r="BW305" s="13">
        <f t="shared" si="589"/>
        <v>184</v>
      </c>
      <c r="BX305" s="13">
        <v>352</v>
      </c>
      <c r="BY305" s="13">
        <f t="shared" si="590"/>
        <v>5</v>
      </c>
      <c r="BZ305" s="13">
        <v>35</v>
      </c>
      <c r="CA305" s="13">
        <f t="shared" si="591"/>
        <v>5</v>
      </c>
      <c r="CB305" s="13">
        <v>0</v>
      </c>
      <c r="CC305" s="53"/>
      <c r="CD305" s="53">
        <f t="shared" si="592"/>
        <v>688</v>
      </c>
      <c r="CE305" s="13">
        <f t="shared" si="593"/>
        <v>3440</v>
      </c>
      <c r="CF305" s="14">
        <f t="shared" si="594"/>
        <v>0.18695652173913044</v>
      </c>
      <c r="CG305" s="15"/>
      <c r="CH305" s="1"/>
      <c r="CI305" s="79">
        <f>IF($A323="","",$A323)</f>
        <v>46062</v>
      </c>
      <c r="CJ305" s="17">
        <v>24106</v>
      </c>
      <c r="CK305" s="13">
        <f t="shared" si="595"/>
        <v>1750</v>
      </c>
      <c r="CL305" s="13">
        <v>358</v>
      </c>
      <c r="CM305" s="13">
        <f t="shared" si="596"/>
        <v>19</v>
      </c>
      <c r="CN305" s="13">
        <v>8</v>
      </c>
      <c r="CO305" s="13">
        <f t="shared" si="597"/>
        <v>22</v>
      </c>
      <c r="CP305" s="13">
        <v>17</v>
      </c>
      <c r="CQ305" s="53"/>
      <c r="CR305" s="53">
        <f t="shared" si="598"/>
        <v>1500</v>
      </c>
      <c r="CS305" s="13">
        <f t="shared" si="599"/>
        <v>33000</v>
      </c>
      <c r="CT305" s="14">
        <f t="shared" si="600"/>
        <v>0.18857142857142858</v>
      </c>
      <c r="CU305" s="15"/>
      <c r="CV305" s="1"/>
      <c r="CW305" s="79">
        <f>IF($A323="","",$A323)</f>
        <v>46062</v>
      </c>
      <c r="CX305" s="17">
        <v>13244</v>
      </c>
      <c r="CY305" s="13">
        <f t="shared" si="601"/>
        <v>154</v>
      </c>
      <c r="CZ305" s="13">
        <v>252</v>
      </c>
      <c r="DA305" s="13">
        <f t="shared" si="602"/>
        <v>3</v>
      </c>
      <c r="DB305" s="13">
        <v>52</v>
      </c>
      <c r="DC305" s="13">
        <f t="shared" si="603"/>
        <v>3</v>
      </c>
      <c r="DD305" s="13">
        <v>0</v>
      </c>
      <c r="DE305" s="53"/>
      <c r="DF305" s="53">
        <f t="shared" si="604"/>
        <v>880</v>
      </c>
      <c r="DG305" s="13">
        <f t="shared" si="605"/>
        <v>2640</v>
      </c>
      <c r="DH305" s="14">
        <f t="shared" si="606"/>
        <v>0.17142857142857143</v>
      </c>
      <c r="DI305" s="15"/>
      <c r="DJ305" s="1"/>
      <c r="DK305" s="79">
        <f>IF($A323="","",$A323)</f>
        <v>46062</v>
      </c>
      <c r="DL305" s="17">
        <v>9972</v>
      </c>
      <c r="DM305" s="13">
        <f t="shared" si="607"/>
        <v>127</v>
      </c>
      <c r="DN305" s="13">
        <v>284</v>
      </c>
      <c r="DO305" s="13">
        <f t="shared" si="608"/>
        <v>5</v>
      </c>
      <c r="DP305" s="13">
        <v>31</v>
      </c>
      <c r="DQ305" s="13">
        <f t="shared" si="609"/>
        <v>5</v>
      </c>
      <c r="DR305" s="13">
        <v>6</v>
      </c>
      <c r="DS305" s="53"/>
      <c r="DT305" s="53">
        <f t="shared" si="610"/>
        <v>1100</v>
      </c>
      <c r="DU305" s="13">
        <f t="shared" si="611"/>
        <v>5500</v>
      </c>
      <c r="DV305" s="14">
        <f t="shared" si="612"/>
        <v>0.43307086614173229</v>
      </c>
      <c r="DW305" s="15"/>
      <c r="DY305" s="79">
        <f>IF($A323="","",$A323)</f>
        <v>46062</v>
      </c>
      <c r="DZ305" s="17">
        <v>0</v>
      </c>
      <c r="EA305" s="13">
        <f t="shared" si="613"/>
        <v>0</v>
      </c>
      <c r="EB305" s="17">
        <v>0</v>
      </c>
      <c r="EC305" s="13">
        <f t="shared" si="614"/>
        <v>0</v>
      </c>
      <c r="ED305" s="13">
        <v>0</v>
      </c>
      <c r="EE305" s="13">
        <f t="shared" si="615"/>
        <v>0</v>
      </c>
      <c r="EF305" s="13">
        <v>48</v>
      </c>
      <c r="EG305" s="53"/>
      <c r="EH305" s="53">
        <f t="shared" si="616"/>
        <v>1100</v>
      </c>
      <c r="EI305" s="13">
        <f t="shared" si="617"/>
        <v>0</v>
      </c>
      <c r="EJ305" s="14" t="e">
        <f t="shared" si="618"/>
        <v>#DIV/0!</v>
      </c>
      <c r="EK305" s="15"/>
    </row>
    <row r="306" spans="1:141" ht="15" customHeight="1" thickBot="1" x14ac:dyDescent="0.25">
      <c r="A306" s="26"/>
      <c r="B306" s="46"/>
      <c r="C306" s="27">
        <v>6444</v>
      </c>
      <c r="D306" s="61">
        <f t="shared" si="619"/>
        <v>238</v>
      </c>
      <c r="E306" s="62">
        <v>473</v>
      </c>
      <c r="F306" s="27">
        <f t="shared" si="620"/>
        <v>6</v>
      </c>
      <c r="G306" s="27">
        <v>4</v>
      </c>
      <c r="H306" s="27">
        <f t="shared" si="621"/>
        <v>7</v>
      </c>
      <c r="I306" s="47">
        <v>7</v>
      </c>
      <c r="J306" s="57" t="str">
        <f t="shared" si="622"/>
        <v>モンチッチフェイスポーチ</v>
      </c>
      <c r="K306" s="62">
        <f t="shared" si="623"/>
        <v>900</v>
      </c>
      <c r="L306" s="27">
        <f t="shared" si="624"/>
        <v>6300</v>
      </c>
      <c r="M306" s="28">
        <f t="shared" si="625"/>
        <v>0.26470588235294118</v>
      </c>
      <c r="N306" s="15"/>
      <c r="O306" s="2"/>
      <c r="P306" s="26"/>
      <c r="Q306" s="27">
        <v>7876</v>
      </c>
      <c r="R306" s="61">
        <f t="shared" si="626"/>
        <v>99</v>
      </c>
      <c r="S306" s="62">
        <v>131</v>
      </c>
      <c r="T306" s="27">
        <f t="shared" si="627"/>
        <v>2</v>
      </c>
      <c r="U306" s="27">
        <v>8</v>
      </c>
      <c r="V306" s="27">
        <f t="shared" si="628"/>
        <v>2</v>
      </c>
      <c r="W306" s="47">
        <v>18</v>
      </c>
      <c r="X306" s="108" t="str">
        <f>IF(Q306="","",X302)</f>
        <v>ＡＩマスコット</v>
      </c>
      <c r="Y306" s="62">
        <f t="shared" si="645"/>
        <v>286</v>
      </c>
      <c r="Z306" s="27">
        <f t="shared" si="629"/>
        <v>572</v>
      </c>
      <c r="AA306" s="28">
        <f t="shared" si="630"/>
        <v>5.7777777777777775E-2</v>
      </c>
      <c r="AB306" s="15" t="s">
        <v>448</v>
      </c>
      <c r="AC306" s="15"/>
      <c r="AD306" s="26"/>
      <c r="AE306" s="27">
        <v>11995</v>
      </c>
      <c r="AF306" s="61">
        <f t="shared" si="631"/>
        <v>141</v>
      </c>
      <c r="AG306" s="62">
        <v>305</v>
      </c>
      <c r="AH306" s="27">
        <f t="shared" si="632"/>
        <v>3</v>
      </c>
      <c r="AI306" s="27">
        <v>11</v>
      </c>
      <c r="AJ306" s="27">
        <f t="shared" si="633"/>
        <v>3</v>
      </c>
      <c r="AK306" s="47">
        <v>0</v>
      </c>
      <c r="AL306" s="57" t="str">
        <f t="shared" si="634"/>
        <v>モンチッチマスコット2</v>
      </c>
      <c r="AM306" s="62">
        <f t="shared" si="635"/>
        <v>605</v>
      </c>
      <c r="AN306" s="27">
        <f t="shared" si="636"/>
        <v>1815</v>
      </c>
      <c r="AO306" s="28">
        <f t="shared" si="637"/>
        <v>0.12872340425531914</v>
      </c>
      <c r="AP306" s="15"/>
      <c r="AQ306" s="113"/>
      <c r="AR306" s="26"/>
      <c r="AS306" s="27">
        <v>15345</v>
      </c>
      <c r="AT306" s="61">
        <f t="shared" si="638"/>
        <v>167</v>
      </c>
      <c r="AU306" s="62">
        <v>441</v>
      </c>
      <c r="AV306" s="27">
        <f t="shared" si="639"/>
        <v>5</v>
      </c>
      <c r="AW306" s="27">
        <v>32</v>
      </c>
      <c r="AX306" s="27">
        <f t="shared" si="640"/>
        <v>5</v>
      </c>
      <c r="AY306" s="47">
        <v>0</v>
      </c>
      <c r="AZ306" s="57" t="str">
        <f t="shared" si="641"/>
        <v>ラブブマスコット</v>
      </c>
      <c r="BA306" s="62">
        <f t="shared" si="642"/>
        <v>400</v>
      </c>
      <c r="BB306" s="27">
        <f t="shared" si="643"/>
        <v>2000</v>
      </c>
      <c r="BC306" s="28">
        <f t="shared" si="644"/>
        <v>0.11976047904191617</v>
      </c>
      <c r="BD306" s="15"/>
      <c r="BU306" s="79"/>
      <c r="BV306" s="17"/>
      <c r="BW306" s="13"/>
      <c r="BX306" s="13"/>
      <c r="BY306" s="13"/>
      <c r="BZ306" s="13"/>
      <c r="CA306" s="13"/>
      <c r="CB306" s="13"/>
      <c r="CC306" s="53"/>
      <c r="CD306" s="53"/>
      <c r="CE306" s="13"/>
      <c r="CF306" s="14"/>
      <c r="CG306" s="15"/>
      <c r="CH306" s="1"/>
      <c r="CI306" s="79"/>
      <c r="CJ306" s="17"/>
      <c r="CK306" s="13"/>
      <c r="CL306" s="13"/>
      <c r="CM306" s="13"/>
      <c r="CN306" s="13"/>
      <c r="CO306" s="13"/>
      <c r="CP306" s="13"/>
      <c r="CQ306" s="53"/>
      <c r="CR306" s="53"/>
      <c r="CS306" s="13"/>
      <c r="CT306" s="14"/>
      <c r="CU306" s="15"/>
      <c r="CV306" s="1"/>
      <c r="CW306" s="79"/>
      <c r="CX306" s="17"/>
      <c r="CY306" s="13"/>
      <c r="CZ306" s="13"/>
      <c r="DA306" s="13"/>
      <c r="DB306" s="13"/>
      <c r="DC306" s="13"/>
      <c r="DD306" s="13"/>
      <c r="DE306" s="53"/>
      <c r="DF306" s="53"/>
      <c r="DG306" s="13"/>
      <c r="DH306" s="14"/>
      <c r="DI306" s="15"/>
      <c r="DJ306" s="1"/>
      <c r="DK306" s="79"/>
      <c r="DL306" s="17"/>
      <c r="DM306" s="13"/>
      <c r="DN306" s="13"/>
      <c r="DO306" s="13"/>
      <c r="DP306" s="13"/>
      <c r="DQ306" s="13"/>
      <c r="DR306" s="13"/>
      <c r="DS306" s="53"/>
      <c r="DT306" s="53"/>
      <c r="DU306" s="13"/>
      <c r="DV306" s="14"/>
      <c r="DW306" s="15"/>
      <c r="DY306" s="79"/>
      <c r="DZ306" s="17"/>
      <c r="EA306" s="13"/>
      <c r="EB306" s="13"/>
      <c r="EC306" s="13"/>
      <c r="ED306" s="13"/>
      <c r="EE306" s="13"/>
      <c r="EF306" s="13"/>
      <c r="EG306" s="53"/>
      <c r="EH306" s="53"/>
      <c r="EI306" s="13"/>
      <c r="EJ306" s="14"/>
      <c r="EK306" s="15"/>
    </row>
    <row r="307" spans="1:141" ht="15" customHeight="1" thickTop="1" x14ac:dyDescent="0.2">
      <c r="A307" s="79">
        <v>46048</v>
      </c>
      <c r="B307" s="74">
        <f>IF(A307="","",SUM(D307:D310)+SUM(R307:R310)+SUM(AF307:AF310)+SUM(AT307:AT310)+SUM(BW301,CK301,CY301,DM301))</f>
        <v>4677</v>
      </c>
      <c r="C307" s="53">
        <v>5964</v>
      </c>
      <c r="D307" s="53">
        <f t="shared" si="619"/>
        <v>106</v>
      </c>
      <c r="E307" s="53">
        <v>356</v>
      </c>
      <c r="F307" s="31">
        <f t="shared" si="620"/>
        <v>2</v>
      </c>
      <c r="G307" s="53">
        <v>12</v>
      </c>
      <c r="H307" s="53">
        <f t="shared" si="621"/>
        <v>-4</v>
      </c>
      <c r="I307" s="53">
        <v>18</v>
      </c>
      <c r="J307" s="75" t="str">
        <f t="shared" si="622"/>
        <v>ジャグラーボタン</v>
      </c>
      <c r="K307" s="76">
        <f t="shared" si="623"/>
        <v>748</v>
      </c>
      <c r="L307" s="31">
        <f t="shared" si="624"/>
        <v>-2992</v>
      </c>
      <c r="M307" s="32">
        <f t="shared" si="625"/>
        <v>-0.28226415094339624</v>
      </c>
      <c r="N307" s="15"/>
      <c r="O307" s="2"/>
      <c r="P307" s="79">
        <f>IF(A307="","",A307)</f>
        <v>46048</v>
      </c>
      <c r="Q307" s="53">
        <v>6148</v>
      </c>
      <c r="R307" s="53">
        <f t="shared" si="626"/>
        <v>190</v>
      </c>
      <c r="S307" s="53">
        <v>207</v>
      </c>
      <c r="T307" s="31">
        <f t="shared" si="627"/>
        <v>5</v>
      </c>
      <c r="U307" s="53">
        <v>7</v>
      </c>
      <c r="V307" s="53">
        <f t="shared" si="628"/>
        <v>5</v>
      </c>
      <c r="W307" s="53">
        <v>3</v>
      </c>
      <c r="X307" s="75" t="str">
        <f>IF(Q307="","",X303)</f>
        <v>キティボアバンスクリップ</v>
      </c>
      <c r="Y307" s="76">
        <f t="shared" si="645"/>
        <v>1100</v>
      </c>
      <c r="Z307" s="31">
        <f t="shared" si="629"/>
        <v>5500</v>
      </c>
      <c r="AA307" s="32">
        <f t="shared" si="630"/>
        <v>0.28947368421052633</v>
      </c>
      <c r="AB307" s="15"/>
      <c r="AC307" s="113"/>
      <c r="AD307" s="146">
        <f>IF($A307="","",$A307)</f>
        <v>46048</v>
      </c>
      <c r="AE307" s="53">
        <v>10683</v>
      </c>
      <c r="AF307" s="53">
        <f t="shared" si="631"/>
        <v>94</v>
      </c>
      <c r="AG307" s="53">
        <v>240</v>
      </c>
      <c r="AH307" s="31">
        <f t="shared" si="632"/>
        <v>3</v>
      </c>
      <c r="AI307" s="53">
        <v>25</v>
      </c>
      <c r="AJ307" s="53">
        <f t="shared" si="633"/>
        <v>3</v>
      </c>
      <c r="AK307" s="53">
        <v>0</v>
      </c>
      <c r="AL307" s="75" t="str">
        <f t="shared" si="634"/>
        <v>サンリオ型押しケース</v>
      </c>
      <c r="AM307" s="76">
        <f t="shared" si="635"/>
        <v>545</v>
      </c>
      <c r="AN307" s="31">
        <f t="shared" si="636"/>
        <v>1635</v>
      </c>
      <c r="AO307" s="32">
        <f t="shared" si="637"/>
        <v>0.17393617021276594</v>
      </c>
      <c r="AP307" s="15" t="s">
        <v>220</v>
      </c>
      <c r="AQ307" s="115"/>
      <c r="AR307" s="79">
        <f>IF($A307="","",$A307)</f>
        <v>46048</v>
      </c>
      <c r="AS307" s="53">
        <v>11366</v>
      </c>
      <c r="AT307" s="53">
        <f t="shared" si="638"/>
        <v>103</v>
      </c>
      <c r="AU307" s="53">
        <v>364</v>
      </c>
      <c r="AV307" s="31">
        <f t="shared" si="639"/>
        <v>4</v>
      </c>
      <c r="AW307" s="53">
        <v>12</v>
      </c>
      <c r="AX307" s="53">
        <f t="shared" si="640"/>
        <v>4</v>
      </c>
      <c r="AY307" s="53">
        <v>0</v>
      </c>
      <c r="AZ307" s="75" t="str">
        <f t="shared" si="641"/>
        <v>サンリオヒョウ柄キーケース</v>
      </c>
      <c r="BA307" s="76">
        <f t="shared" si="642"/>
        <v>924</v>
      </c>
      <c r="BB307" s="31">
        <f t="shared" si="643"/>
        <v>3696</v>
      </c>
      <c r="BC307" s="32">
        <f t="shared" si="644"/>
        <v>0.35883495145631067</v>
      </c>
      <c r="BD307" s="15"/>
      <c r="BT307" s="15"/>
      <c r="BU307" s="79"/>
      <c r="BV307" s="17"/>
      <c r="BW307" s="13"/>
      <c r="BX307" s="13"/>
      <c r="BY307" s="13"/>
      <c r="BZ307" s="13"/>
      <c r="CA307" s="13"/>
      <c r="CB307" s="13"/>
      <c r="CC307" s="53"/>
      <c r="CD307" s="53"/>
      <c r="CE307" s="13"/>
      <c r="CF307" s="14"/>
      <c r="CG307" s="43"/>
      <c r="CH307" s="1"/>
      <c r="CI307" s="79"/>
      <c r="CJ307" s="17"/>
      <c r="CK307" s="13"/>
      <c r="CL307" s="13"/>
      <c r="CM307" s="13"/>
      <c r="CN307" s="13"/>
      <c r="CO307" s="13"/>
      <c r="CP307" s="13"/>
      <c r="CQ307" s="53"/>
      <c r="CR307" s="53"/>
      <c r="CS307" s="13"/>
      <c r="CT307" s="14"/>
      <c r="CU307" s="43"/>
      <c r="CV307" s="1"/>
      <c r="CW307" s="79"/>
      <c r="CX307" s="17"/>
      <c r="CY307" s="13"/>
      <c r="CZ307" s="13"/>
      <c r="DA307" s="13"/>
      <c r="DB307" s="13"/>
      <c r="DC307" s="13"/>
      <c r="DD307" s="13"/>
      <c r="DE307" s="53"/>
      <c r="DF307" s="53"/>
      <c r="DG307" s="13"/>
      <c r="DH307" s="14"/>
      <c r="DI307" s="43"/>
      <c r="DJ307" s="1"/>
      <c r="DK307" s="79"/>
      <c r="DL307" s="17"/>
      <c r="DM307" s="13"/>
      <c r="DN307" s="13"/>
      <c r="DO307" s="13"/>
      <c r="DP307" s="13"/>
      <c r="DQ307" s="13"/>
      <c r="DR307" s="13"/>
      <c r="DS307" s="53"/>
      <c r="DT307" s="53"/>
      <c r="DU307" s="13"/>
      <c r="DV307" s="14"/>
      <c r="DW307" s="43"/>
      <c r="DY307" s="79"/>
      <c r="DZ307" s="17"/>
      <c r="EA307" s="13"/>
      <c r="EB307" s="13"/>
      <c r="EC307" s="13"/>
      <c r="ED307" s="13"/>
      <c r="EE307" s="13"/>
      <c r="EF307" s="13"/>
      <c r="EG307" s="53"/>
      <c r="EH307" s="53"/>
      <c r="EI307" s="13"/>
      <c r="EJ307" s="14"/>
      <c r="EK307" s="43"/>
    </row>
    <row r="308" spans="1:141" x14ac:dyDescent="0.2">
      <c r="A308" s="16"/>
      <c r="B308" s="11"/>
      <c r="C308" s="13">
        <v>5439</v>
      </c>
      <c r="D308" s="13">
        <f t="shared" si="619"/>
        <v>199</v>
      </c>
      <c r="E308" s="13">
        <v>372</v>
      </c>
      <c r="F308" s="13">
        <f t="shared" si="620"/>
        <v>8</v>
      </c>
      <c r="G308" s="13">
        <v>32</v>
      </c>
      <c r="H308" s="13">
        <f t="shared" si="621"/>
        <v>8</v>
      </c>
      <c r="I308" s="13">
        <v>18</v>
      </c>
      <c r="J308" s="56" t="str">
        <f t="shared" si="622"/>
        <v>電ブル</v>
      </c>
      <c r="K308" s="54">
        <f t="shared" si="623"/>
        <v>1075</v>
      </c>
      <c r="L308" s="13">
        <f t="shared" si="624"/>
        <v>8600</v>
      </c>
      <c r="M308" s="14">
        <f t="shared" si="625"/>
        <v>0.43216080402010049</v>
      </c>
      <c r="N308" s="15"/>
      <c r="O308" s="2"/>
      <c r="P308" s="16"/>
      <c r="Q308" s="13">
        <v>4438</v>
      </c>
      <c r="R308" s="13">
        <f t="shared" si="626"/>
        <v>20</v>
      </c>
      <c r="S308" s="13">
        <v>139</v>
      </c>
      <c r="T308" s="13">
        <f t="shared" si="627"/>
        <v>1</v>
      </c>
      <c r="U308" s="13">
        <v>14</v>
      </c>
      <c r="V308" s="13">
        <f t="shared" si="628"/>
        <v>1</v>
      </c>
      <c r="W308" s="13">
        <v>2</v>
      </c>
      <c r="X308" s="56" t="str">
        <f>IF(Q308="","",X304)</f>
        <v>ギャルキティマスコット</v>
      </c>
      <c r="Y308" s="54">
        <f t="shared" si="645"/>
        <v>1100</v>
      </c>
      <c r="Z308" s="13">
        <f t="shared" si="629"/>
        <v>1100</v>
      </c>
      <c r="AA308" s="14">
        <f t="shared" si="630"/>
        <v>0.55000000000000004</v>
      </c>
      <c r="AB308" s="15"/>
      <c r="AC308" s="113"/>
      <c r="AD308" s="147"/>
      <c r="AE308" s="13">
        <v>10342</v>
      </c>
      <c r="AF308" s="13">
        <f t="shared" si="631"/>
        <v>69</v>
      </c>
      <c r="AG308" s="13">
        <v>223</v>
      </c>
      <c r="AH308" s="13">
        <f t="shared" si="632"/>
        <v>2</v>
      </c>
      <c r="AI308" s="13">
        <v>10</v>
      </c>
      <c r="AJ308" s="13">
        <f t="shared" si="633"/>
        <v>2</v>
      </c>
      <c r="AK308" s="13">
        <v>0</v>
      </c>
      <c r="AL308" s="56" t="str">
        <f t="shared" si="634"/>
        <v>サンリオヒョウ柄フェイス</v>
      </c>
      <c r="AM308" s="54">
        <f t="shared" si="635"/>
        <v>792</v>
      </c>
      <c r="AN308" s="13">
        <f t="shared" si="636"/>
        <v>1584</v>
      </c>
      <c r="AO308" s="14">
        <f t="shared" si="637"/>
        <v>0.22956521739130434</v>
      </c>
      <c r="AP308" s="15"/>
      <c r="AQ308" s="115"/>
      <c r="AR308" s="16"/>
      <c r="AS308" s="13">
        <v>8024</v>
      </c>
      <c r="AT308" s="13">
        <f t="shared" si="638"/>
        <v>112</v>
      </c>
      <c r="AU308" s="13">
        <v>410</v>
      </c>
      <c r="AV308" s="13">
        <f t="shared" si="639"/>
        <v>3</v>
      </c>
      <c r="AW308" s="13">
        <v>9</v>
      </c>
      <c r="AX308" s="13">
        <f t="shared" si="640"/>
        <v>3</v>
      </c>
      <c r="AY308" s="13">
        <v>2</v>
      </c>
      <c r="AZ308" s="56" t="str">
        <f t="shared" si="641"/>
        <v>キティフェイスポーチ</v>
      </c>
      <c r="BA308" s="54">
        <f t="shared" si="642"/>
        <v>673</v>
      </c>
      <c r="BB308" s="13">
        <f t="shared" si="643"/>
        <v>2019</v>
      </c>
      <c r="BC308" s="14">
        <f t="shared" si="644"/>
        <v>0.18026785714285715</v>
      </c>
      <c r="BD308" s="15"/>
      <c r="BT308" s="15"/>
      <c r="BU308" s="79" t="str">
        <f>IF($A335="","",$A335)</f>
        <v/>
      </c>
      <c r="BV308" s="17"/>
      <c r="BW308" s="13" t="str">
        <f>IF(BV308="","",BV308-BV307)</f>
        <v/>
      </c>
      <c r="BX308" s="13"/>
      <c r="BY308" s="13" t="str">
        <f>IF(BX308="","",BX308-BX307)</f>
        <v/>
      </c>
      <c r="BZ308" s="13"/>
      <c r="CA308" s="13" t="str">
        <f>IF(BZ308="","",BZ307+CB307-BZ308)</f>
        <v/>
      </c>
      <c r="CB308" s="13"/>
      <c r="CC308" s="53"/>
      <c r="CD308" s="53" t="str">
        <f>IF(BV308="","",CD307)</f>
        <v/>
      </c>
      <c r="CE308" s="13" t="str">
        <f>IF(CD308="","",CA308*CD308)</f>
        <v/>
      </c>
      <c r="CF308" s="14" t="str">
        <f>IF(CE308="","",CE308/(BW308*100))</f>
        <v/>
      </c>
      <c r="CG308" s="43"/>
      <c r="CH308" s="1"/>
      <c r="CI308" s="79" t="str">
        <f>IF($A335="","",$A335)</f>
        <v/>
      </c>
      <c r="CJ308" s="17"/>
      <c r="CK308" s="13" t="str">
        <f>IF(CJ308="","",CJ308-CJ307)</f>
        <v/>
      </c>
      <c r="CL308" s="13"/>
      <c r="CM308" s="13" t="str">
        <f>IF(CL308="","",CL308-CL307)</f>
        <v/>
      </c>
      <c r="CN308" s="13"/>
      <c r="CO308" s="13" t="str">
        <f>IF(CN308="","",CN307+CP307-CN308)</f>
        <v/>
      </c>
      <c r="CP308" s="13"/>
      <c r="CQ308" s="53"/>
      <c r="CR308" s="53" t="str">
        <f>IF(CJ308="","",CR307)</f>
        <v/>
      </c>
      <c r="CS308" s="13" t="str">
        <f>IF(CR308="","",CO308*CR308)</f>
        <v/>
      </c>
      <c r="CT308" s="14" t="str">
        <f>IF(CS308="","",CS308/(CK308*100))</f>
        <v/>
      </c>
      <c r="CU308" s="43"/>
      <c r="CV308" s="1"/>
      <c r="CW308" s="79" t="str">
        <f>IF($A335="","",$A335)</f>
        <v/>
      </c>
      <c r="CX308" s="17"/>
      <c r="CY308" s="13" t="str">
        <f>IF(CX308="","",CX308-CX307)</f>
        <v/>
      </c>
      <c r="CZ308" s="13"/>
      <c r="DA308" s="13" t="str">
        <f>IF(CZ308="","",CZ308-CZ307)</f>
        <v/>
      </c>
      <c r="DB308" s="13"/>
      <c r="DC308" s="13" t="str">
        <f>IF(DB308="","",DB307+DD307-DB308)</f>
        <v/>
      </c>
      <c r="DD308" s="13"/>
      <c r="DE308" s="53"/>
      <c r="DF308" s="53" t="str">
        <f>IF(CX308="","",DF307)</f>
        <v/>
      </c>
      <c r="DG308" s="13" t="str">
        <f>IF(DF308="","",DC308*DF308)</f>
        <v/>
      </c>
      <c r="DH308" s="14" t="str">
        <f>IF(DG308="","",DG308/(CY308*100))</f>
        <v/>
      </c>
      <c r="DI308" s="43"/>
      <c r="DJ308" s="1"/>
      <c r="DK308" s="79" t="str">
        <f>IF($A335="","",$A335)</f>
        <v/>
      </c>
      <c r="DL308" s="17"/>
      <c r="DM308" s="13" t="str">
        <f>IF(DL308="","",DL308-DL307)</f>
        <v/>
      </c>
      <c r="DN308" s="13"/>
      <c r="DO308" s="13" t="str">
        <f>IF(DN308="","",DN308-DN307)</f>
        <v/>
      </c>
      <c r="DP308" s="13"/>
      <c r="DQ308" s="13" t="str">
        <f>IF(DP308="","",DP307+DR307-DP308)</f>
        <v/>
      </c>
      <c r="DR308" s="13"/>
      <c r="DS308" s="53"/>
      <c r="DT308" s="53" t="str">
        <f>IF(DL308="","",DT307)</f>
        <v/>
      </c>
      <c r="DU308" s="13" t="str">
        <f>IF(DT308="","",DQ308*DT308)</f>
        <v/>
      </c>
      <c r="DV308" s="14" t="str">
        <f>IF(DU308="","",DU308/(DM308*100))</f>
        <v/>
      </c>
      <c r="DW308" s="43"/>
      <c r="DY308" s="79" t="str">
        <f>IF($A335="","",$A335)</f>
        <v/>
      </c>
      <c r="DZ308" s="17"/>
      <c r="EA308" s="13" t="str">
        <f>IF(DZ308="","",DZ308-DZ307)</f>
        <v/>
      </c>
      <c r="EB308" s="13"/>
      <c r="EC308" s="13" t="str">
        <f>IF(EB308="","",EB308-EB307)</f>
        <v/>
      </c>
      <c r="ED308" s="13"/>
      <c r="EE308" s="13" t="str">
        <f>IF(ED308="","",ED307+EF307-ED308)</f>
        <v/>
      </c>
      <c r="EF308" s="13"/>
      <c r="EG308" s="53"/>
      <c r="EH308" s="53" t="str">
        <f>IF(DZ308="","",EH307)</f>
        <v/>
      </c>
      <c r="EI308" s="13" t="str">
        <f>IF(EH308="","",EE308*EH308)</f>
        <v/>
      </c>
      <c r="EJ308" s="14" t="str">
        <f>IF(EI308="","",EI308/(EA308*100))</f>
        <v/>
      </c>
      <c r="EK308" s="43"/>
    </row>
    <row r="309" spans="1:141" x14ac:dyDescent="0.2">
      <c r="A309" s="16"/>
      <c r="B309" s="11"/>
      <c r="C309" s="13">
        <v>11566</v>
      </c>
      <c r="D309" s="13">
        <f t="shared" si="619"/>
        <v>161</v>
      </c>
      <c r="E309" s="13">
        <v>628</v>
      </c>
      <c r="F309" s="13">
        <f t="shared" si="620"/>
        <v>4</v>
      </c>
      <c r="G309" s="13">
        <v>9</v>
      </c>
      <c r="H309" s="13">
        <f t="shared" si="621"/>
        <v>3</v>
      </c>
      <c r="I309" s="13">
        <v>14</v>
      </c>
      <c r="J309" s="56" t="str">
        <f t="shared" si="622"/>
        <v>ゲーム機イヤホン</v>
      </c>
      <c r="K309" s="13">
        <f t="shared" si="623"/>
        <v>1100</v>
      </c>
      <c r="L309" s="13">
        <f t="shared" si="624"/>
        <v>3300</v>
      </c>
      <c r="M309" s="14">
        <f t="shared" si="625"/>
        <v>0.20496894409937888</v>
      </c>
      <c r="N309" s="15"/>
      <c r="O309" s="2"/>
      <c r="P309" s="16"/>
      <c r="Q309" s="13">
        <v>7867</v>
      </c>
      <c r="R309" s="13">
        <f t="shared" si="626"/>
        <v>79</v>
      </c>
      <c r="S309" s="13">
        <v>162</v>
      </c>
      <c r="T309" s="13">
        <f t="shared" si="627"/>
        <v>4</v>
      </c>
      <c r="U309" s="13">
        <v>13</v>
      </c>
      <c r="V309" s="13">
        <f t="shared" si="628"/>
        <v>4</v>
      </c>
      <c r="W309" s="13">
        <v>1</v>
      </c>
      <c r="X309" s="56" t="str">
        <f>IF(Q309="","",X305)</f>
        <v>サンリオホワイトマスコット</v>
      </c>
      <c r="Y309" s="13">
        <f t="shared" si="645"/>
        <v>660</v>
      </c>
      <c r="Z309" s="13">
        <f t="shared" si="629"/>
        <v>2640</v>
      </c>
      <c r="AA309" s="14">
        <f t="shared" si="630"/>
        <v>0.33417721518987342</v>
      </c>
      <c r="AB309" s="15"/>
      <c r="AC309" s="113"/>
      <c r="AD309" s="147"/>
      <c r="AE309" s="13">
        <v>12381</v>
      </c>
      <c r="AF309" s="13">
        <f t="shared" si="631"/>
        <v>134</v>
      </c>
      <c r="AG309" s="13">
        <v>338</v>
      </c>
      <c r="AH309" s="13">
        <f t="shared" si="632"/>
        <v>6</v>
      </c>
      <c r="AI309" s="13">
        <v>72</v>
      </c>
      <c r="AJ309" s="13">
        <f t="shared" si="633"/>
        <v>6</v>
      </c>
      <c r="AK309" s="13">
        <v>7</v>
      </c>
      <c r="AL309" s="56" t="str">
        <f t="shared" si="634"/>
        <v>ゲームアーク</v>
      </c>
      <c r="AM309" s="13">
        <f t="shared" si="635"/>
        <v>682</v>
      </c>
      <c r="AN309" s="13">
        <f t="shared" si="636"/>
        <v>4092</v>
      </c>
      <c r="AO309" s="14">
        <f t="shared" si="637"/>
        <v>0.30537313432835822</v>
      </c>
      <c r="AP309" s="15"/>
      <c r="AQ309" s="115"/>
      <c r="AR309" s="16"/>
      <c r="AS309" s="13">
        <v>15026</v>
      </c>
      <c r="AT309" s="13">
        <f t="shared" si="638"/>
        <v>155</v>
      </c>
      <c r="AU309" s="13">
        <v>518</v>
      </c>
      <c r="AV309" s="13">
        <f t="shared" si="639"/>
        <v>4</v>
      </c>
      <c r="AW309" s="13">
        <v>20</v>
      </c>
      <c r="AX309" s="13">
        <f t="shared" si="640"/>
        <v>4</v>
      </c>
      <c r="AY309" s="13">
        <v>0</v>
      </c>
      <c r="AZ309" s="56" t="str">
        <f t="shared" si="641"/>
        <v>ラブブキーホルダーおおきめ</v>
      </c>
      <c r="BA309" s="13">
        <f t="shared" si="642"/>
        <v>500</v>
      </c>
      <c r="BB309" s="13">
        <f t="shared" si="643"/>
        <v>2000</v>
      </c>
      <c r="BC309" s="14">
        <f t="shared" si="644"/>
        <v>0.12903225806451613</v>
      </c>
      <c r="BD309" s="15"/>
      <c r="BT309" s="15"/>
      <c r="BU309" s="79" t="str">
        <f>IF($A339="","",$A339)</f>
        <v/>
      </c>
      <c r="BV309" s="17"/>
      <c r="BW309" s="13" t="str">
        <f>IF(BV309="","",BV309-BV308)</f>
        <v/>
      </c>
      <c r="BX309" s="13"/>
      <c r="BY309" s="13" t="str">
        <f>IF(BX309="","",BX309-BX308)</f>
        <v/>
      </c>
      <c r="BZ309" s="13"/>
      <c r="CA309" s="13" t="str">
        <f>IF(BZ309="","",BZ308+CB308-BZ309)</f>
        <v/>
      </c>
      <c r="CB309" s="13"/>
      <c r="CC309" s="53"/>
      <c r="CD309" s="53" t="str">
        <f>IF(BV309="","",CD308)</f>
        <v/>
      </c>
      <c r="CE309" s="13" t="str">
        <f>IF(CD309="","",CA309*CD309)</f>
        <v/>
      </c>
      <c r="CF309" s="14" t="str">
        <f>IF(CE309="","",CE309/(BW309*100))</f>
        <v/>
      </c>
      <c r="CG309" s="43"/>
      <c r="CH309" s="1"/>
      <c r="CI309" s="79" t="str">
        <f>IF($A339="","",$A339)</f>
        <v/>
      </c>
      <c r="CJ309" s="17"/>
      <c r="CK309" s="13" t="str">
        <f>IF(CJ309="","",CJ309-CJ308)</f>
        <v/>
      </c>
      <c r="CL309" s="13"/>
      <c r="CM309" s="13" t="str">
        <f>IF(CL309="","",CL309-CL308)</f>
        <v/>
      </c>
      <c r="CN309" s="13"/>
      <c r="CO309" s="13" t="str">
        <f>IF(CN309="","",CN308+CP308-CN309)</f>
        <v/>
      </c>
      <c r="CP309" s="13"/>
      <c r="CQ309" s="53"/>
      <c r="CR309" s="53" t="str">
        <f>IF(CJ309="","",CR308)</f>
        <v/>
      </c>
      <c r="CS309" s="13" t="str">
        <f>IF(CR309="","",CO309*CR309)</f>
        <v/>
      </c>
      <c r="CT309" s="14" t="str">
        <f>IF(CS309="","",CS309/(CK309*100))</f>
        <v/>
      </c>
      <c r="CU309" s="43"/>
      <c r="CV309" s="1"/>
      <c r="CW309" s="79" t="str">
        <f>IF($A339="","",$A339)</f>
        <v/>
      </c>
      <c r="CX309" s="17"/>
      <c r="CY309" s="13" t="str">
        <f>IF(CX309="","",CX309-CX308)</f>
        <v/>
      </c>
      <c r="CZ309" s="13"/>
      <c r="DA309" s="13" t="str">
        <f>IF(CZ309="","",CZ309-CZ308)</f>
        <v/>
      </c>
      <c r="DB309" s="13"/>
      <c r="DC309" s="13" t="str">
        <f>IF(DB309="","",DB308+DD308-DB309)</f>
        <v/>
      </c>
      <c r="DD309" s="13"/>
      <c r="DE309" s="53"/>
      <c r="DF309" s="53" t="str">
        <f>IF(CX309="","",DF308)</f>
        <v/>
      </c>
      <c r="DG309" s="13" t="str">
        <f>IF(DF309="","",DC309*DF309)</f>
        <v/>
      </c>
      <c r="DH309" s="14" t="str">
        <f>IF(DG309="","",DG309/(CY309*100))</f>
        <v/>
      </c>
      <c r="DI309" s="43"/>
      <c r="DJ309" s="1"/>
      <c r="DK309" s="79" t="str">
        <f>IF($A339="","",$A339)</f>
        <v/>
      </c>
      <c r="DL309" s="17"/>
      <c r="DM309" s="13" t="str">
        <f>IF(DL309="","",DL309-DL308)</f>
        <v/>
      </c>
      <c r="DN309" s="13"/>
      <c r="DO309" s="13" t="str">
        <f>IF(DN309="","",DN309-DN308)</f>
        <v/>
      </c>
      <c r="DP309" s="13"/>
      <c r="DQ309" s="13" t="str">
        <f>IF(DP309="","",DP308+DR308-DP309)</f>
        <v/>
      </c>
      <c r="DR309" s="13"/>
      <c r="DS309" s="53"/>
      <c r="DT309" s="53" t="str">
        <f>IF(DL309="","",DT308)</f>
        <v/>
      </c>
      <c r="DU309" s="13" t="str">
        <f>IF(DT309="","",DQ309*DT309)</f>
        <v/>
      </c>
      <c r="DV309" s="14" t="str">
        <f>IF(DU309="","",DU309/(DM309*100))</f>
        <v/>
      </c>
      <c r="DW309" s="43"/>
      <c r="DY309" s="79" t="str">
        <f>IF($A339="","",$A339)</f>
        <v/>
      </c>
      <c r="DZ309" s="17"/>
      <c r="EA309" s="13" t="str">
        <f>IF(DZ309="","",DZ309-DZ308)</f>
        <v/>
      </c>
      <c r="EB309" s="13"/>
      <c r="EC309" s="13" t="str">
        <f>IF(EB309="","",EB309-EB308)</f>
        <v/>
      </c>
      <c r="ED309" s="13"/>
      <c r="EE309" s="13" t="str">
        <f>IF(ED309="","",ED308+EF308-ED309)</f>
        <v/>
      </c>
      <c r="EF309" s="13"/>
      <c r="EG309" s="53"/>
      <c r="EH309" s="53" t="str">
        <f>IF(DZ309="","",EH308)</f>
        <v/>
      </c>
      <c r="EI309" s="13" t="str">
        <f>IF(EH309="","",EE309*EH309)</f>
        <v/>
      </c>
      <c r="EJ309" s="14" t="str">
        <f>IF(EI309="","",EI309/(EA309*100))</f>
        <v/>
      </c>
      <c r="EK309" s="43"/>
    </row>
    <row r="310" spans="1:141" ht="15" customHeight="1" thickBot="1" x14ac:dyDescent="0.25">
      <c r="A310" s="26"/>
      <c r="B310" s="46"/>
      <c r="C310" s="27">
        <v>6620</v>
      </c>
      <c r="D310" s="27">
        <f t="shared" si="619"/>
        <v>176</v>
      </c>
      <c r="E310" s="27">
        <v>480</v>
      </c>
      <c r="F310" s="27">
        <f t="shared" si="620"/>
        <v>7</v>
      </c>
      <c r="G310" s="27">
        <v>3</v>
      </c>
      <c r="H310" s="27">
        <f t="shared" si="621"/>
        <v>8</v>
      </c>
      <c r="I310" s="27">
        <v>6</v>
      </c>
      <c r="J310" s="57" t="str">
        <f t="shared" si="622"/>
        <v>モンチッチフェイスポーチ</v>
      </c>
      <c r="K310" s="62">
        <f t="shared" si="623"/>
        <v>900</v>
      </c>
      <c r="L310" s="27">
        <f t="shared" si="624"/>
        <v>7200</v>
      </c>
      <c r="M310" s="28">
        <f t="shared" si="625"/>
        <v>0.40909090909090912</v>
      </c>
      <c r="N310" s="15"/>
      <c r="O310" s="2"/>
      <c r="P310" s="26"/>
      <c r="Q310" s="27">
        <v>8158</v>
      </c>
      <c r="R310" s="27">
        <f t="shared" si="626"/>
        <v>282</v>
      </c>
      <c r="S310" s="27">
        <v>158</v>
      </c>
      <c r="T310" s="27">
        <f t="shared" si="627"/>
        <v>27</v>
      </c>
      <c r="U310" s="27">
        <v>33</v>
      </c>
      <c r="V310" s="27">
        <f t="shared" si="628"/>
        <v>-7</v>
      </c>
      <c r="W310" s="27">
        <v>8</v>
      </c>
      <c r="X310" s="57" t="s">
        <v>449</v>
      </c>
      <c r="Y310" s="62">
        <v>300</v>
      </c>
      <c r="Z310" s="27">
        <f t="shared" si="629"/>
        <v>-2100</v>
      </c>
      <c r="AA310" s="28">
        <f t="shared" si="630"/>
        <v>-7.4468085106382975E-2</v>
      </c>
      <c r="AB310" s="15" t="s">
        <v>451</v>
      </c>
      <c r="AC310" s="113"/>
      <c r="AD310" s="145"/>
      <c r="AE310" s="27">
        <v>12177</v>
      </c>
      <c r="AF310" s="27">
        <f t="shared" si="631"/>
        <v>182</v>
      </c>
      <c r="AG310" s="27">
        <v>311</v>
      </c>
      <c r="AH310" s="27">
        <f t="shared" si="632"/>
        <v>6</v>
      </c>
      <c r="AI310" s="27">
        <v>5</v>
      </c>
      <c r="AJ310" s="27">
        <f t="shared" si="633"/>
        <v>6</v>
      </c>
      <c r="AK310" s="27">
        <v>14</v>
      </c>
      <c r="AL310" s="57" t="str">
        <f t="shared" si="634"/>
        <v>モンチッチマスコット2</v>
      </c>
      <c r="AM310" s="62">
        <f t="shared" si="635"/>
        <v>605</v>
      </c>
      <c r="AN310" s="27">
        <f t="shared" si="636"/>
        <v>3630</v>
      </c>
      <c r="AO310" s="28">
        <f t="shared" si="637"/>
        <v>0.19945054945054946</v>
      </c>
      <c r="AP310" s="15"/>
      <c r="AQ310" s="115"/>
      <c r="AR310" s="26"/>
      <c r="AS310" s="27">
        <v>15521</v>
      </c>
      <c r="AT310" s="27">
        <f t="shared" si="638"/>
        <v>176</v>
      </c>
      <c r="AU310" s="27">
        <v>445</v>
      </c>
      <c r="AV310" s="27">
        <f t="shared" si="639"/>
        <v>4</v>
      </c>
      <c r="AW310" s="27">
        <v>28</v>
      </c>
      <c r="AX310" s="27">
        <f t="shared" si="640"/>
        <v>4</v>
      </c>
      <c r="AY310" s="27">
        <v>12</v>
      </c>
      <c r="AZ310" s="57" t="str">
        <f t="shared" si="641"/>
        <v>ラブブマスコット</v>
      </c>
      <c r="BA310" s="62">
        <f t="shared" si="642"/>
        <v>400</v>
      </c>
      <c r="BB310" s="27">
        <f t="shared" si="643"/>
        <v>1600</v>
      </c>
      <c r="BC310" s="28">
        <f t="shared" si="644"/>
        <v>9.0909090909090912E-2</v>
      </c>
      <c r="BD310" s="15"/>
      <c r="BT310" s="15"/>
      <c r="BU310" s="79" t="str">
        <f>IF($A343="","",$A343)</f>
        <v/>
      </c>
      <c r="BV310" s="17"/>
      <c r="BW310" s="13" t="str">
        <f>IF(BV310="","",BV310-BV309)</f>
        <v/>
      </c>
      <c r="BX310" s="13"/>
      <c r="BY310" s="13" t="str">
        <f>IF(BX310="","",BX310-BX309)</f>
        <v/>
      </c>
      <c r="BZ310" s="13"/>
      <c r="CA310" s="13" t="str">
        <f>IF(BZ310="","",BZ309+CB309-BZ310)</f>
        <v/>
      </c>
      <c r="CB310" s="13"/>
      <c r="CC310" s="53"/>
      <c r="CD310" s="53" t="str">
        <f>IF(BV310="","",CD309)</f>
        <v/>
      </c>
      <c r="CE310" s="13" t="str">
        <f>IF(CD310="","",CA310*CD310)</f>
        <v/>
      </c>
      <c r="CF310" s="14" t="str">
        <f>IF(CE310="","",CE310/(BW310*100))</f>
        <v/>
      </c>
      <c r="CG310" s="15"/>
      <c r="CH310" s="1"/>
      <c r="CI310" s="79" t="str">
        <f>IF($A343="","",$A343)</f>
        <v/>
      </c>
      <c r="CJ310" s="17"/>
      <c r="CK310" s="13" t="str">
        <f>IF(CJ310="","",CJ310-CJ309)</f>
        <v/>
      </c>
      <c r="CL310" s="13"/>
      <c r="CM310" s="13" t="str">
        <f>IF(CL310="","",CL310-CL309)</f>
        <v/>
      </c>
      <c r="CN310" s="13"/>
      <c r="CO310" s="13" t="str">
        <f>IF(CN310="","",CN309+CP309-CN310)</f>
        <v/>
      </c>
      <c r="CP310" s="13"/>
      <c r="CQ310" s="53"/>
      <c r="CR310" s="53" t="str">
        <f>IF(CJ310="","",CR309)</f>
        <v/>
      </c>
      <c r="CS310" s="13" t="str">
        <f>IF(CR310="","",CO310*CR310)</f>
        <v/>
      </c>
      <c r="CT310" s="14" t="str">
        <f>IF(CS310="","",CS310/(CK310*100))</f>
        <v/>
      </c>
      <c r="CU310" s="15"/>
      <c r="CV310" s="1"/>
      <c r="CW310" s="79" t="str">
        <f>IF($A343="","",$A343)</f>
        <v/>
      </c>
      <c r="CX310" s="17"/>
      <c r="CY310" s="13" t="str">
        <f>IF(CX310="","",CX310-CX309)</f>
        <v/>
      </c>
      <c r="CZ310" s="13"/>
      <c r="DA310" s="13" t="str">
        <f>IF(CZ310="","",CZ310-CZ309)</f>
        <v/>
      </c>
      <c r="DB310" s="13"/>
      <c r="DC310" s="13" t="str">
        <f>IF(DB310="","",DB309+DD309-DB310)</f>
        <v/>
      </c>
      <c r="DD310" s="13"/>
      <c r="DE310" s="53"/>
      <c r="DF310" s="53" t="str">
        <f>IF(CX310="","",DF309)</f>
        <v/>
      </c>
      <c r="DG310" s="13" t="str">
        <f>IF(DF310="","",DC310*DF310)</f>
        <v/>
      </c>
      <c r="DH310" s="14" t="str">
        <f>IF(DG310="","",DG310/(CY310*100))</f>
        <v/>
      </c>
      <c r="DI310" s="15"/>
      <c r="DJ310" s="1"/>
      <c r="DK310" s="79" t="str">
        <f>IF($A343="","",$A343)</f>
        <v/>
      </c>
      <c r="DL310" s="17"/>
      <c r="DM310" s="13" t="str">
        <f>IF(DL310="","",DL310-DL309)</f>
        <v/>
      </c>
      <c r="DN310" s="13"/>
      <c r="DO310" s="13" t="str">
        <f>IF(DN310="","",DN310-DN309)</f>
        <v/>
      </c>
      <c r="DP310" s="13"/>
      <c r="DQ310" s="13" t="str">
        <f>IF(DP310="","",DP309+DR309-DP310)</f>
        <v/>
      </c>
      <c r="DR310" s="13"/>
      <c r="DS310" s="53"/>
      <c r="DT310" s="53" t="str">
        <f>IF(DL310="","",DT309)</f>
        <v/>
      </c>
      <c r="DU310" s="13" t="str">
        <f>IF(DT310="","",DQ310*DT310)</f>
        <v/>
      </c>
      <c r="DV310" s="14" t="str">
        <f>IF(DU310="","",DU310/(DM310*100))</f>
        <v/>
      </c>
      <c r="DW310" s="15"/>
      <c r="DY310" s="79" t="str">
        <f>IF($A343="","",$A343)</f>
        <v/>
      </c>
      <c r="DZ310" s="17"/>
      <c r="EA310" s="13" t="str">
        <f>IF(DZ310="","",DZ310-DZ309)</f>
        <v/>
      </c>
      <c r="EB310" s="13"/>
      <c r="EC310" s="13" t="str">
        <f>IF(EB310="","",EB310-EB309)</f>
        <v/>
      </c>
      <c r="ED310" s="13"/>
      <c r="EE310" s="13" t="str">
        <f>IF(ED310="","",ED309+EF309-ED310)</f>
        <v/>
      </c>
      <c r="EF310" s="13"/>
      <c r="EG310" s="53"/>
      <c r="EH310" s="53" t="str">
        <f>IF(DZ310="","",EH309)</f>
        <v/>
      </c>
      <c r="EI310" s="13" t="str">
        <f>IF(EH310="","",EE310*EH310)</f>
        <v/>
      </c>
      <c r="EJ310" s="14" t="str">
        <f>IF(EI310="","",EI310/(EA310*100))</f>
        <v/>
      </c>
      <c r="EK310" s="15"/>
    </row>
    <row r="311" spans="1:141" ht="15" customHeight="1" thickTop="1" x14ac:dyDescent="0.2">
      <c r="A311" s="79">
        <v>46052</v>
      </c>
      <c r="B311" s="74">
        <f>IF(A311="","",SUM(D311:D314)+SUM(R311:R314)+SUM(AF311:AF314)+SUM(AT311:AT314)+SUM(BW302,CK302,CY302,DM302))</f>
        <v>3097</v>
      </c>
      <c r="C311" s="53">
        <v>6031</v>
      </c>
      <c r="D311" s="53">
        <f t="shared" si="619"/>
        <v>67</v>
      </c>
      <c r="E311" s="53">
        <v>357</v>
      </c>
      <c r="F311" s="31">
        <f t="shared" si="620"/>
        <v>1</v>
      </c>
      <c r="G311" s="53">
        <v>21</v>
      </c>
      <c r="H311" s="53">
        <f t="shared" si="621"/>
        <v>9</v>
      </c>
      <c r="I311" s="80">
        <v>0</v>
      </c>
      <c r="J311" s="75" t="str">
        <f t="shared" si="622"/>
        <v>ジャグラーボタン</v>
      </c>
      <c r="K311" s="76">
        <f t="shared" si="623"/>
        <v>748</v>
      </c>
      <c r="L311" s="31">
        <f t="shared" si="624"/>
        <v>6732</v>
      </c>
      <c r="M311" s="32">
        <f t="shared" si="625"/>
        <v>1.0047761194029852</v>
      </c>
      <c r="N311" s="15"/>
      <c r="O311" s="2"/>
      <c r="P311" s="79">
        <f>IF(A311="","",A311)</f>
        <v>46052</v>
      </c>
      <c r="Q311" s="53">
        <v>6303</v>
      </c>
      <c r="R311" s="53">
        <f t="shared" si="626"/>
        <v>155</v>
      </c>
      <c r="S311" s="53">
        <v>210</v>
      </c>
      <c r="T311" s="31">
        <f t="shared" si="627"/>
        <v>3</v>
      </c>
      <c r="U311" s="53">
        <v>6</v>
      </c>
      <c r="V311" s="53">
        <f t="shared" si="628"/>
        <v>4</v>
      </c>
      <c r="W311" s="80">
        <v>5</v>
      </c>
      <c r="X311" s="75" t="str">
        <f t="shared" ref="X311:X326" si="646">IF(Q311="","",X307)</f>
        <v>キティボアバンスクリップ</v>
      </c>
      <c r="Y311" s="76">
        <f t="shared" ref="Y311:Y326" si="647">IF(R311="","",Y307)</f>
        <v>1100</v>
      </c>
      <c r="Z311" s="31">
        <f t="shared" si="629"/>
        <v>4400</v>
      </c>
      <c r="AA311" s="32">
        <f t="shared" si="630"/>
        <v>0.28387096774193549</v>
      </c>
      <c r="AB311" s="15"/>
      <c r="AC311" s="113"/>
      <c r="AD311" s="146">
        <f>IF($A311="","",$A311)</f>
        <v>46052</v>
      </c>
      <c r="AE311" s="53">
        <v>10729</v>
      </c>
      <c r="AF311" s="53">
        <f t="shared" si="631"/>
        <v>46</v>
      </c>
      <c r="AG311" s="53">
        <v>241</v>
      </c>
      <c r="AH311" s="31">
        <f t="shared" si="632"/>
        <v>1</v>
      </c>
      <c r="AI311" s="53">
        <v>24</v>
      </c>
      <c r="AJ311" s="53">
        <f t="shared" si="633"/>
        <v>1</v>
      </c>
      <c r="AK311" s="80">
        <v>1</v>
      </c>
      <c r="AL311" s="75" t="str">
        <f t="shared" si="634"/>
        <v>サンリオ型押しケース</v>
      </c>
      <c r="AM311" s="76">
        <f t="shared" si="635"/>
        <v>545</v>
      </c>
      <c r="AN311" s="31">
        <f t="shared" si="636"/>
        <v>545</v>
      </c>
      <c r="AO311" s="32">
        <f t="shared" si="637"/>
        <v>0.11847826086956521</v>
      </c>
      <c r="AP311" s="15"/>
      <c r="AQ311" s="15"/>
      <c r="AR311" s="79">
        <f>IF($A311="","",$A311)</f>
        <v>46052</v>
      </c>
      <c r="AS311" s="53">
        <v>11479</v>
      </c>
      <c r="AT311" s="53">
        <f t="shared" si="638"/>
        <v>113</v>
      </c>
      <c r="AU311" s="53">
        <v>367</v>
      </c>
      <c r="AV311" s="31">
        <f t="shared" si="639"/>
        <v>3</v>
      </c>
      <c r="AW311" s="53">
        <v>9</v>
      </c>
      <c r="AX311" s="53">
        <f t="shared" si="640"/>
        <v>3</v>
      </c>
      <c r="AY311" s="80">
        <v>4</v>
      </c>
      <c r="AZ311" s="75" t="str">
        <f t="shared" si="641"/>
        <v>サンリオヒョウ柄キーケース</v>
      </c>
      <c r="BA311" s="76">
        <f t="shared" si="642"/>
        <v>924</v>
      </c>
      <c r="BB311" s="31">
        <f t="shared" si="643"/>
        <v>2772</v>
      </c>
      <c r="BC311" s="32">
        <f t="shared" si="644"/>
        <v>0.24530973451327434</v>
      </c>
      <c r="BD311" s="15"/>
      <c r="BT311" s="15"/>
      <c r="BU311" s="79" t="str">
        <f>IF($A347="","",$A347)</f>
        <v/>
      </c>
      <c r="BV311" s="17"/>
      <c r="BW311" s="13" t="str">
        <f>IF(BV311="","",BV311-BV310)</f>
        <v/>
      </c>
      <c r="BX311" s="13"/>
      <c r="BY311" s="13" t="str">
        <f>IF(BX311="","",BX311-BX310)</f>
        <v/>
      </c>
      <c r="BZ311" s="13"/>
      <c r="CA311" s="13" t="str">
        <f>IF(BZ311="","",BZ310+CB310-BZ311)</f>
        <v/>
      </c>
      <c r="CB311" s="13"/>
      <c r="CC311" s="53"/>
      <c r="CD311" s="53" t="str">
        <f>IF(BV311="","",CD310)</f>
        <v/>
      </c>
      <c r="CE311" s="13" t="str">
        <f>IF(CD311="","",CA311*CD311)</f>
        <v/>
      </c>
      <c r="CF311" s="14" t="str">
        <f>IF(CE311="","",CE311/(BW311*100))</f>
        <v/>
      </c>
      <c r="CG311" s="15"/>
      <c r="CH311" s="1"/>
      <c r="CI311" s="79" t="str">
        <f>IF($A347="","",$A347)</f>
        <v/>
      </c>
      <c r="CJ311" s="17"/>
      <c r="CK311" s="13" t="str">
        <f>IF(CJ311="","",CJ311-CJ310)</f>
        <v/>
      </c>
      <c r="CL311" s="13"/>
      <c r="CM311" s="13" t="str">
        <f>IF(CL311="","",CL311-CL310)</f>
        <v/>
      </c>
      <c r="CN311" s="13"/>
      <c r="CO311" s="13" t="str">
        <f>IF(CN311="","",CN310+CP310-CN311)</f>
        <v/>
      </c>
      <c r="CP311" s="13"/>
      <c r="CQ311" s="53"/>
      <c r="CR311" s="53" t="str">
        <f>IF(CJ311="","",CR310)</f>
        <v/>
      </c>
      <c r="CS311" s="13" t="str">
        <f>IF(CR311="","",CO311*CR311)</f>
        <v/>
      </c>
      <c r="CT311" s="14" t="str">
        <f>IF(CS311="","",CS311/(CK311*100))</f>
        <v/>
      </c>
      <c r="CU311" s="15"/>
      <c r="CV311" s="1"/>
      <c r="CW311" s="79" t="str">
        <f>IF($A347="","",$A347)</f>
        <v/>
      </c>
      <c r="CX311" s="17"/>
      <c r="CY311" s="13" t="str">
        <f>IF(CX311="","",CX311-CX310)</f>
        <v/>
      </c>
      <c r="CZ311" s="13"/>
      <c r="DA311" s="13" t="str">
        <f>IF(CZ311="","",CZ311-CZ310)</f>
        <v/>
      </c>
      <c r="DB311" s="13"/>
      <c r="DC311" s="13" t="str">
        <f>IF(DB311="","",DB310+DD310-DB311)</f>
        <v/>
      </c>
      <c r="DD311" s="13"/>
      <c r="DE311" s="53"/>
      <c r="DF311" s="53" t="str">
        <f>IF(CX311="","",DF310)</f>
        <v/>
      </c>
      <c r="DG311" s="13" t="str">
        <f>IF(DF311="","",DC311*DF311)</f>
        <v/>
      </c>
      <c r="DH311" s="14" t="str">
        <f>IF(DG311="","",DG311/(CY311*100))</f>
        <v/>
      </c>
      <c r="DI311" s="15"/>
      <c r="DJ311" s="1"/>
      <c r="DK311" s="79" t="str">
        <f>IF($A347="","",$A347)</f>
        <v/>
      </c>
      <c r="DL311" s="17"/>
      <c r="DM311" s="13" t="str">
        <f>IF(DL311="","",DL311-DL310)</f>
        <v/>
      </c>
      <c r="DN311" s="13"/>
      <c r="DO311" s="13" t="str">
        <f>IF(DN311="","",DN311-DN310)</f>
        <v/>
      </c>
      <c r="DP311" s="13"/>
      <c r="DQ311" s="13" t="str">
        <f>IF(DP311="","",DP310+DR310-DP311)</f>
        <v/>
      </c>
      <c r="DR311" s="13"/>
      <c r="DS311" s="53"/>
      <c r="DT311" s="53" t="str">
        <f>IF(DL311="","",DT310)</f>
        <v/>
      </c>
      <c r="DU311" s="13" t="str">
        <f>IF(DT311="","",DQ311*DT311)</f>
        <v/>
      </c>
      <c r="DV311" s="14" t="str">
        <f>IF(DU311="","",DU311/(DM311*100))</f>
        <v/>
      </c>
      <c r="DW311" s="15"/>
      <c r="DY311" s="79" t="str">
        <f>IF($A347="","",$A347)</f>
        <v/>
      </c>
      <c r="DZ311" s="17"/>
      <c r="EA311" s="13" t="str">
        <f>IF(DZ311="","",DZ311-DZ310)</f>
        <v/>
      </c>
      <c r="EB311" s="13"/>
      <c r="EC311" s="13" t="str">
        <f>IF(EB311="","",EB311-EB310)</f>
        <v/>
      </c>
      <c r="ED311" s="13"/>
      <c r="EE311" s="13" t="str">
        <f>IF(ED311="","",ED310+EF310-ED311)</f>
        <v/>
      </c>
      <c r="EF311" s="13"/>
      <c r="EG311" s="53"/>
      <c r="EH311" s="53" t="str">
        <f>IF(DZ311="","",EH310)</f>
        <v/>
      </c>
      <c r="EI311" s="13" t="str">
        <f>IF(EH311="","",EE311*EH311)</f>
        <v/>
      </c>
      <c r="EJ311" s="14" t="str">
        <f>IF(EI311="","",EI311/(EA311*100))</f>
        <v/>
      </c>
      <c r="EK311" s="15"/>
    </row>
    <row r="312" spans="1:141" x14ac:dyDescent="0.2">
      <c r="A312" s="16"/>
      <c r="B312" s="11"/>
      <c r="C312" s="13">
        <v>5560</v>
      </c>
      <c r="D312" s="53">
        <f t="shared" si="619"/>
        <v>121</v>
      </c>
      <c r="E312" s="13">
        <v>374</v>
      </c>
      <c r="F312" s="13">
        <f t="shared" si="620"/>
        <v>2</v>
      </c>
      <c r="G312" s="13">
        <v>48</v>
      </c>
      <c r="H312" s="13">
        <f t="shared" si="621"/>
        <v>2</v>
      </c>
      <c r="I312" s="17">
        <v>0</v>
      </c>
      <c r="J312" s="56" t="str">
        <f t="shared" si="622"/>
        <v>電ブル</v>
      </c>
      <c r="K312" s="54">
        <f t="shared" si="623"/>
        <v>1075</v>
      </c>
      <c r="L312" s="13">
        <f t="shared" si="624"/>
        <v>2150</v>
      </c>
      <c r="M312" s="14">
        <f t="shared" si="625"/>
        <v>0.17768595041322313</v>
      </c>
      <c r="N312" s="15"/>
      <c r="O312" s="2"/>
      <c r="P312" s="16"/>
      <c r="Q312" s="13">
        <v>4468</v>
      </c>
      <c r="R312" s="127">
        <f t="shared" si="626"/>
        <v>30</v>
      </c>
      <c r="S312" s="13">
        <v>142</v>
      </c>
      <c r="T312" s="13">
        <f t="shared" si="627"/>
        <v>3</v>
      </c>
      <c r="U312" s="13">
        <v>14</v>
      </c>
      <c r="V312" s="13">
        <f t="shared" si="628"/>
        <v>2</v>
      </c>
      <c r="W312" s="17">
        <v>2</v>
      </c>
      <c r="X312" s="56" t="str">
        <f t="shared" si="646"/>
        <v>ギャルキティマスコット</v>
      </c>
      <c r="Y312" s="54">
        <f t="shared" si="647"/>
        <v>1100</v>
      </c>
      <c r="Z312" s="13">
        <f t="shared" si="629"/>
        <v>2200</v>
      </c>
      <c r="AA312" s="14">
        <f t="shared" si="630"/>
        <v>0.73333333333333328</v>
      </c>
      <c r="AB312" s="15" t="s">
        <v>456</v>
      </c>
      <c r="AC312" s="113"/>
      <c r="AD312" s="147"/>
      <c r="AE312" s="13">
        <v>10385</v>
      </c>
      <c r="AF312" s="53">
        <f t="shared" si="631"/>
        <v>43</v>
      </c>
      <c r="AG312" s="13">
        <v>224</v>
      </c>
      <c r="AH312" s="13">
        <f t="shared" si="632"/>
        <v>1</v>
      </c>
      <c r="AI312" s="13">
        <v>9</v>
      </c>
      <c r="AJ312" s="13">
        <f t="shared" si="633"/>
        <v>1</v>
      </c>
      <c r="AK312" s="17">
        <v>3</v>
      </c>
      <c r="AL312" s="56" t="str">
        <f t="shared" si="634"/>
        <v>サンリオヒョウ柄フェイス</v>
      </c>
      <c r="AM312" s="54">
        <f t="shared" si="635"/>
        <v>792</v>
      </c>
      <c r="AN312" s="13">
        <f t="shared" si="636"/>
        <v>792</v>
      </c>
      <c r="AO312" s="14">
        <f t="shared" si="637"/>
        <v>0.1841860465116279</v>
      </c>
      <c r="AP312" s="15"/>
      <c r="AQ312" s="15"/>
      <c r="AR312" s="16"/>
      <c r="AS312" s="13">
        <v>8118</v>
      </c>
      <c r="AT312" s="53">
        <f t="shared" si="638"/>
        <v>94</v>
      </c>
      <c r="AU312" s="13">
        <v>413</v>
      </c>
      <c r="AV312" s="13">
        <f t="shared" si="639"/>
        <v>3</v>
      </c>
      <c r="AW312" s="13">
        <v>8</v>
      </c>
      <c r="AX312" s="13">
        <f t="shared" si="640"/>
        <v>3</v>
      </c>
      <c r="AY312" s="17">
        <v>3</v>
      </c>
      <c r="AZ312" s="56" t="str">
        <f t="shared" si="641"/>
        <v>キティフェイスポーチ</v>
      </c>
      <c r="BA312" s="54">
        <f t="shared" si="642"/>
        <v>673</v>
      </c>
      <c r="BB312" s="13">
        <f t="shared" si="643"/>
        <v>2019</v>
      </c>
      <c r="BC312" s="14">
        <f t="shared" si="644"/>
        <v>0.2147872340425532</v>
      </c>
      <c r="BD312" s="15"/>
      <c r="BT312" s="15"/>
      <c r="BU312" s="79" t="str">
        <f>IF($A351="","",$A351)</f>
        <v/>
      </c>
      <c r="BV312" s="13"/>
      <c r="BW312" s="13" t="str">
        <f>IF(BV312="","",BV312-BV311)</f>
        <v/>
      </c>
      <c r="BX312" s="13"/>
      <c r="BY312" s="13" t="str">
        <f>IF(BX312="","",BX312-BX311)</f>
        <v/>
      </c>
      <c r="BZ312" s="13"/>
      <c r="CA312" s="13" t="str">
        <f>IF(BZ312="","",BZ311+CB311-BZ312)</f>
        <v/>
      </c>
      <c r="CB312" s="13"/>
      <c r="CC312" s="53"/>
      <c r="CD312" s="53" t="str">
        <f>IF(BV312="","",CD311)</f>
        <v/>
      </c>
      <c r="CE312" s="13" t="str">
        <f>IF(CD312="","",CA312*CD312)</f>
        <v/>
      </c>
      <c r="CF312" s="14" t="str">
        <f>IF(CE312="","",CE312/(BV312*100))</f>
        <v/>
      </c>
      <c r="CG312" s="67"/>
      <c r="CH312" s="1"/>
      <c r="CI312" s="79" t="str">
        <f>IF($A351="","",$A351)</f>
        <v/>
      </c>
      <c r="CJ312" s="13"/>
      <c r="CK312" s="13" t="str">
        <f>IF(CJ312="","",CJ312-CJ311)</f>
        <v/>
      </c>
      <c r="CL312" s="13"/>
      <c r="CM312" s="13" t="str">
        <f>IF(CL312="","",CL312-CL311)</f>
        <v/>
      </c>
      <c r="CN312" s="13"/>
      <c r="CO312" s="13" t="str">
        <f>IF(CN312="","",CN311+CP311-CN312)</f>
        <v/>
      </c>
      <c r="CP312" s="13"/>
      <c r="CQ312" s="53"/>
      <c r="CR312" s="53" t="str">
        <f>IF(CJ312="","",CR311)</f>
        <v/>
      </c>
      <c r="CS312" s="13" t="str">
        <f>IF(CR312="","",CO312*CR312)</f>
        <v/>
      </c>
      <c r="CT312" s="14" t="str">
        <f>IF(CS312="","",CS312/(CJ312*100))</f>
        <v/>
      </c>
      <c r="CU312" s="67"/>
      <c r="CV312" s="1"/>
      <c r="CW312" s="79" t="str">
        <f>IF($A351="","",$A351)</f>
        <v/>
      </c>
      <c r="CX312" s="13"/>
      <c r="CY312" s="13" t="str">
        <f>IF(CX312="","",CX312-CX311)</f>
        <v/>
      </c>
      <c r="CZ312" s="13"/>
      <c r="DA312" s="13" t="str">
        <f>IF(CZ312="","",CZ312-CZ311)</f>
        <v/>
      </c>
      <c r="DB312" s="13"/>
      <c r="DC312" s="13" t="str">
        <f>IF(DB312="","",DB311+DD311-DB312)</f>
        <v/>
      </c>
      <c r="DD312" s="13"/>
      <c r="DE312" s="53"/>
      <c r="DF312" s="53" t="str">
        <f>IF(CX312="","",DF311)</f>
        <v/>
      </c>
      <c r="DG312" s="13" t="str">
        <f>IF(DF312="","",DC312*DF312)</f>
        <v/>
      </c>
      <c r="DH312" s="14" t="str">
        <f>IF(DG312="","",DG312/(CX312*100))</f>
        <v/>
      </c>
      <c r="DI312" s="67"/>
      <c r="DJ312" s="1"/>
      <c r="DK312" s="79" t="str">
        <f>IF($A351="","",$A351)</f>
        <v/>
      </c>
      <c r="DL312" s="13"/>
      <c r="DM312" s="13" t="str">
        <f>IF(DL312="","",DL312-DL311)</f>
        <v/>
      </c>
      <c r="DN312" s="13"/>
      <c r="DO312" s="13" t="str">
        <f>IF(DN312="","",DN312-DN311)</f>
        <v/>
      </c>
      <c r="DP312" s="13"/>
      <c r="DQ312" s="13" t="str">
        <f>IF(DP312="","",DP311+DR311-DP312)</f>
        <v/>
      </c>
      <c r="DR312" s="13"/>
      <c r="DS312" s="53"/>
      <c r="DT312" s="53" t="str">
        <f>IF(DL312="","",DT311)</f>
        <v/>
      </c>
      <c r="DU312" s="13" t="str">
        <f>IF(DT312="","",DQ312*DT312)</f>
        <v/>
      </c>
      <c r="DV312" s="14" t="str">
        <f>IF(DU312="","",DU312/(DL312*100))</f>
        <v/>
      </c>
      <c r="DW312" s="67"/>
      <c r="DY312" s="79" t="str">
        <f>IF($A351="","",$A351)</f>
        <v/>
      </c>
      <c r="DZ312" s="13"/>
      <c r="EA312" s="13" t="str">
        <f>IF(DZ312="","",DZ312-DZ311)</f>
        <v/>
      </c>
      <c r="EB312" s="13"/>
      <c r="EC312" s="13" t="str">
        <f>IF(EB312="","",EB312-EB311)</f>
        <v/>
      </c>
      <c r="ED312" s="13"/>
      <c r="EE312" s="13" t="str">
        <f>IF(ED312="","",ED311+EF311-ED312)</f>
        <v/>
      </c>
      <c r="EF312" s="13"/>
      <c r="EG312" s="53"/>
      <c r="EH312" s="53" t="str">
        <f>IF(DZ312="","",EH311)</f>
        <v/>
      </c>
      <c r="EI312" s="13" t="str">
        <f>IF(EH312="","",EE312*EH312)</f>
        <v/>
      </c>
      <c r="EJ312" s="14" t="str">
        <f>IF(EI312="","",EI312/(DZ312*100))</f>
        <v/>
      </c>
      <c r="EK312" s="67"/>
    </row>
    <row r="313" spans="1:141" x14ac:dyDescent="0.2">
      <c r="A313" s="33"/>
      <c r="B313" s="48"/>
      <c r="C313" s="34">
        <v>11654</v>
      </c>
      <c r="D313" s="53">
        <f t="shared" si="619"/>
        <v>88</v>
      </c>
      <c r="E313" s="34">
        <v>630</v>
      </c>
      <c r="F313" s="13">
        <f t="shared" si="620"/>
        <v>2</v>
      </c>
      <c r="G313" s="34">
        <v>21</v>
      </c>
      <c r="H313" s="13">
        <f t="shared" si="621"/>
        <v>2</v>
      </c>
      <c r="I313" s="49">
        <v>2</v>
      </c>
      <c r="J313" s="56" t="str">
        <f t="shared" si="622"/>
        <v>ゲーム機イヤホン</v>
      </c>
      <c r="K313" s="13">
        <f t="shared" si="623"/>
        <v>1100</v>
      </c>
      <c r="L313" s="13">
        <f t="shared" si="624"/>
        <v>2200</v>
      </c>
      <c r="M313" s="14">
        <f t="shared" si="625"/>
        <v>0.25</v>
      </c>
      <c r="N313" s="15"/>
      <c r="O313" s="2"/>
      <c r="P313" s="33"/>
      <c r="Q313" s="34">
        <v>7883</v>
      </c>
      <c r="R313" s="127">
        <f t="shared" si="626"/>
        <v>16</v>
      </c>
      <c r="S313" s="34">
        <v>163</v>
      </c>
      <c r="T313" s="13">
        <f t="shared" si="627"/>
        <v>1</v>
      </c>
      <c r="U313" s="34">
        <v>12</v>
      </c>
      <c r="V313" s="13">
        <f t="shared" si="628"/>
        <v>2</v>
      </c>
      <c r="W313" s="49">
        <v>0</v>
      </c>
      <c r="X313" s="56" t="str">
        <f t="shared" si="646"/>
        <v>サンリオホワイトマスコット</v>
      </c>
      <c r="Y313" s="13">
        <f t="shared" si="647"/>
        <v>660</v>
      </c>
      <c r="Z313" s="13">
        <f t="shared" si="629"/>
        <v>1320</v>
      </c>
      <c r="AA313" s="14">
        <f t="shared" si="630"/>
        <v>0.82499999999999996</v>
      </c>
      <c r="AB313" s="15"/>
      <c r="AC313" s="84"/>
      <c r="AD313" s="33"/>
      <c r="AE313" s="34">
        <v>12434</v>
      </c>
      <c r="AF313" s="53">
        <f t="shared" si="631"/>
        <v>53</v>
      </c>
      <c r="AG313" s="34">
        <v>339</v>
      </c>
      <c r="AH313" s="13">
        <f t="shared" si="632"/>
        <v>1</v>
      </c>
      <c r="AI313" s="34">
        <v>78</v>
      </c>
      <c r="AJ313" s="13">
        <f t="shared" si="633"/>
        <v>1</v>
      </c>
      <c r="AK313" s="49">
        <v>2</v>
      </c>
      <c r="AL313" s="56" t="str">
        <f t="shared" si="634"/>
        <v>ゲームアーク</v>
      </c>
      <c r="AM313" s="13">
        <f t="shared" si="635"/>
        <v>682</v>
      </c>
      <c r="AN313" s="13">
        <f t="shared" si="636"/>
        <v>682</v>
      </c>
      <c r="AO313" s="14">
        <f t="shared" si="637"/>
        <v>0.12867924528301886</v>
      </c>
      <c r="AP313" s="15"/>
      <c r="AQ313" s="15"/>
      <c r="AR313" s="33"/>
      <c r="AS313" s="34">
        <v>15068</v>
      </c>
      <c r="AT313" s="53">
        <f t="shared" si="638"/>
        <v>42</v>
      </c>
      <c r="AU313" s="34">
        <v>520</v>
      </c>
      <c r="AV313" s="13">
        <f t="shared" si="639"/>
        <v>2</v>
      </c>
      <c r="AW313" s="34">
        <v>20</v>
      </c>
      <c r="AX313" s="13">
        <f t="shared" si="640"/>
        <v>0</v>
      </c>
      <c r="AY313" s="49">
        <v>0</v>
      </c>
      <c r="AZ313" s="56" t="str">
        <f t="shared" si="641"/>
        <v>ラブブキーホルダーおおきめ</v>
      </c>
      <c r="BA313" s="13">
        <f t="shared" si="642"/>
        <v>500</v>
      </c>
      <c r="BB313" s="13">
        <f t="shared" si="643"/>
        <v>0</v>
      </c>
      <c r="BC313" s="14">
        <f t="shared" si="644"/>
        <v>0</v>
      </c>
      <c r="BD313" s="15"/>
      <c r="BT313" s="15"/>
      <c r="BU313" s="79"/>
      <c r="BV313" s="13"/>
      <c r="BW313" s="13"/>
      <c r="BX313" s="13"/>
      <c r="BY313" s="13"/>
      <c r="BZ313" s="13"/>
      <c r="CA313" s="13"/>
      <c r="CB313" s="13"/>
      <c r="CC313" s="53"/>
      <c r="CD313" s="53"/>
      <c r="CE313" s="13"/>
      <c r="CF313" s="14" t="str">
        <f>IF(CE313="","",CE313/(BV313*100))</f>
        <v/>
      </c>
      <c r="CG313" s="67"/>
      <c r="CH313" s="1"/>
      <c r="CI313" s="79"/>
      <c r="CJ313" s="13"/>
      <c r="CK313" s="13"/>
      <c r="CL313" s="13"/>
      <c r="CM313" s="13"/>
      <c r="CN313" s="13"/>
      <c r="CO313" s="13"/>
      <c r="CP313" s="13"/>
      <c r="CQ313" s="53"/>
      <c r="CR313" s="53"/>
      <c r="CS313" s="13"/>
      <c r="CT313" s="14" t="str">
        <f>IF(CS313="","",CS313/(CJ313*100))</f>
        <v/>
      </c>
      <c r="CU313" s="67"/>
      <c r="CV313" s="1"/>
      <c r="CW313" s="79"/>
      <c r="CX313" s="13"/>
      <c r="CY313" s="13"/>
      <c r="CZ313" s="13"/>
      <c r="DA313" s="13"/>
      <c r="DB313" s="13"/>
      <c r="DC313" s="13"/>
      <c r="DD313" s="13"/>
      <c r="DE313" s="53"/>
      <c r="DF313" s="53"/>
      <c r="DG313" s="13"/>
      <c r="DH313" s="14" t="str">
        <f>IF(DG313="","",DG313/(CX313*100))</f>
        <v/>
      </c>
      <c r="DI313" s="67"/>
      <c r="DJ313" s="1"/>
      <c r="DK313" s="79"/>
      <c r="DL313" s="13"/>
      <c r="DM313" s="13"/>
      <c r="DN313" s="13"/>
      <c r="DO313" s="13"/>
      <c r="DP313" s="13"/>
      <c r="DQ313" s="13"/>
      <c r="DR313" s="13"/>
      <c r="DS313" s="53"/>
      <c r="DT313" s="53"/>
      <c r="DU313" s="13"/>
      <c r="DV313" s="14" t="str">
        <f>IF(DU313="","",DU313/(DL313*100))</f>
        <v/>
      </c>
      <c r="DW313" s="67"/>
      <c r="DY313" s="79"/>
      <c r="DZ313" s="13"/>
      <c r="EA313" s="13"/>
      <c r="EB313" s="13"/>
      <c r="EC313" s="13"/>
      <c r="ED313" s="13"/>
      <c r="EE313" s="13"/>
      <c r="EF313" s="13"/>
      <c r="EG313" s="53"/>
      <c r="EH313" s="53"/>
      <c r="EI313" s="13"/>
      <c r="EJ313" s="14" t="str">
        <f>IF(EI313="","",EI313/(DZ313*100))</f>
        <v/>
      </c>
      <c r="EK313" s="67"/>
    </row>
    <row r="314" spans="1:141" ht="15" customHeight="1" thickBot="1" x14ac:dyDescent="0.25">
      <c r="A314" s="26"/>
      <c r="B314" s="46"/>
      <c r="C314" s="27">
        <v>6842</v>
      </c>
      <c r="D314" s="61">
        <f t="shared" si="619"/>
        <v>222</v>
      </c>
      <c r="E314" s="27">
        <v>482</v>
      </c>
      <c r="F314" s="27">
        <f t="shared" si="620"/>
        <v>2</v>
      </c>
      <c r="G314" s="27">
        <v>5</v>
      </c>
      <c r="H314" s="27">
        <f t="shared" si="621"/>
        <v>4</v>
      </c>
      <c r="I314" s="47">
        <v>3</v>
      </c>
      <c r="J314" s="57" t="str">
        <f t="shared" si="622"/>
        <v>モンチッチフェイスポーチ</v>
      </c>
      <c r="K314" s="62">
        <f t="shared" si="623"/>
        <v>900</v>
      </c>
      <c r="L314" s="27">
        <f t="shared" si="624"/>
        <v>3600</v>
      </c>
      <c r="M314" s="28">
        <f t="shared" si="625"/>
        <v>0.16216216216216217</v>
      </c>
      <c r="N314" s="15"/>
      <c r="O314" s="2"/>
      <c r="P314" s="26"/>
      <c r="Q314" s="27">
        <v>8692</v>
      </c>
      <c r="R314" s="61">
        <f t="shared" si="626"/>
        <v>534</v>
      </c>
      <c r="S314" s="27">
        <v>177</v>
      </c>
      <c r="T314" s="27">
        <f t="shared" si="627"/>
        <v>19</v>
      </c>
      <c r="U314" s="27">
        <v>5</v>
      </c>
      <c r="V314" s="27">
        <f t="shared" si="628"/>
        <v>36</v>
      </c>
      <c r="W314" s="47">
        <v>24</v>
      </c>
      <c r="X314" s="57" t="str">
        <f t="shared" si="646"/>
        <v>ボンボンドロップ</v>
      </c>
      <c r="Y314" s="62">
        <f t="shared" si="647"/>
        <v>300</v>
      </c>
      <c r="Z314" s="27">
        <f t="shared" si="629"/>
        <v>10800</v>
      </c>
      <c r="AA314" s="28">
        <f t="shared" si="630"/>
        <v>0.20224719101123595</v>
      </c>
      <c r="AB314" s="15" t="s">
        <v>457</v>
      </c>
      <c r="AC314" s="15"/>
      <c r="AD314" s="26"/>
      <c r="AE314" s="27">
        <v>12260</v>
      </c>
      <c r="AF314" s="61">
        <f t="shared" si="631"/>
        <v>83</v>
      </c>
      <c r="AG314" s="27">
        <v>311</v>
      </c>
      <c r="AH314" s="27">
        <f t="shared" si="632"/>
        <v>0</v>
      </c>
      <c r="AI314" s="27">
        <v>14</v>
      </c>
      <c r="AJ314" s="27">
        <f t="shared" si="633"/>
        <v>5</v>
      </c>
      <c r="AK314" s="47">
        <v>0</v>
      </c>
      <c r="AL314" s="57" t="str">
        <f t="shared" si="634"/>
        <v>モンチッチマスコット2</v>
      </c>
      <c r="AM314" s="62">
        <f t="shared" si="635"/>
        <v>605</v>
      </c>
      <c r="AN314" s="27">
        <f t="shared" si="636"/>
        <v>3025</v>
      </c>
      <c r="AO314" s="28">
        <f t="shared" si="637"/>
        <v>0.36445783132530118</v>
      </c>
      <c r="AP314" s="15"/>
      <c r="AQ314" s="15"/>
      <c r="AR314" s="26"/>
      <c r="AS314" s="27">
        <v>15585</v>
      </c>
      <c r="AT314" s="61">
        <f t="shared" si="638"/>
        <v>64</v>
      </c>
      <c r="AU314" s="27">
        <v>447</v>
      </c>
      <c r="AV314" s="27">
        <f t="shared" si="639"/>
        <v>2</v>
      </c>
      <c r="AW314" s="27">
        <v>37</v>
      </c>
      <c r="AX314" s="27">
        <f t="shared" si="640"/>
        <v>3</v>
      </c>
      <c r="AY314" s="47">
        <v>0</v>
      </c>
      <c r="AZ314" s="57" t="str">
        <f t="shared" si="641"/>
        <v>ラブブマスコット</v>
      </c>
      <c r="BA314" s="62">
        <f t="shared" si="642"/>
        <v>400</v>
      </c>
      <c r="BB314" s="27">
        <f t="shared" si="643"/>
        <v>1200</v>
      </c>
      <c r="BC314" s="28">
        <f t="shared" si="644"/>
        <v>0.1875</v>
      </c>
      <c r="BD314" s="15"/>
      <c r="BT314" s="15"/>
      <c r="BU314" s="79"/>
      <c r="BV314" s="13"/>
      <c r="BW314" s="13" t="str">
        <f>IF(BV314="","",BV314-BV315)</f>
        <v/>
      </c>
      <c r="BX314" s="13"/>
      <c r="BY314" s="13" t="str">
        <f>IF(BX314="","",BX314-BX315)</f>
        <v/>
      </c>
      <c r="BZ314" s="13"/>
      <c r="CA314" s="13" t="str">
        <f>IF(BZ314="","",BZ315+CB315-BZ314)</f>
        <v/>
      </c>
      <c r="CB314" s="13"/>
      <c r="CC314" s="53"/>
      <c r="CD314" s="53" t="str">
        <f>IF(BV314="","",CD315)</f>
        <v/>
      </c>
      <c r="CE314" s="13" t="str">
        <f t="shared" ref="CE314:CE346" si="648">IF(CD314="","",CA314*CD314)</f>
        <v/>
      </c>
      <c r="CF314" s="14" t="str">
        <f t="shared" ref="CF314:CF346" si="649">IF(CE314="","",CE314/(BW314*100))</f>
        <v/>
      </c>
      <c r="CG314" s="67"/>
      <c r="CH314" s="1"/>
      <c r="CI314" s="79"/>
      <c r="CJ314" s="13"/>
      <c r="CK314" s="13" t="str">
        <f>IF(CJ314="","",CJ314-CJ315)</f>
        <v/>
      </c>
      <c r="CL314" s="13"/>
      <c r="CM314" s="13" t="str">
        <f>IF(CL314="","",CL314-CL315)</f>
        <v/>
      </c>
      <c r="CN314" s="13"/>
      <c r="CO314" s="13" t="str">
        <f>IF(CN314="","",CN315+CP315-CN314)</f>
        <v/>
      </c>
      <c r="CP314" s="13"/>
      <c r="CQ314" s="53"/>
      <c r="CR314" s="53" t="str">
        <f>IF(CJ314="","",CR315)</f>
        <v/>
      </c>
      <c r="CS314" s="13" t="str">
        <f t="shared" ref="CS314:CS346" si="650">IF(CR314="","",CO314*CR314)</f>
        <v/>
      </c>
      <c r="CT314" s="14" t="str">
        <f>IF(CS314="","",CS314/(CK314*100))</f>
        <v/>
      </c>
      <c r="CU314" s="15"/>
      <c r="CV314" s="1"/>
      <c r="CW314" s="79"/>
      <c r="CX314" s="13"/>
      <c r="CY314" s="13" t="str">
        <f>IF(CX314="","",CX314-CX315)</f>
        <v/>
      </c>
      <c r="CZ314" s="13"/>
      <c r="DA314" s="13" t="str">
        <f>IF(CZ314="","",CZ314-CZ315)</f>
        <v/>
      </c>
      <c r="DB314" s="13"/>
      <c r="DC314" s="13" t="str">
        <f>IF(DB314="","",DB315+DD315-DB314)</f>
        <v/>
      </c>
      <c r="DD314" s="13"/>
      <c r="DE314" s="53"/>
      <c r="DF314" s="53" t="str">
        <f>IF(CX314="","",DF315)</f>
        <v/>
      </c>
      <c r="DG314" s="13" t="str">
        <f t="shared" ref="DG314:DG346" si="651">IF(DF314="","",DC314*DF314)</f>
        <v/>
      </c>
      <c r="DH314" s="14" t="str">
        <f t="shared" ref="DH314:DH346" si="652">IF(DG314="","",DG314/(CY314*100))</f>
        <v/>
      </c>
      <c r="DI314" s="15"/>
      <c r="DJ314" s="1"/>
      <c r="DK314" s="79"/>
      <c r="DL314" s="13"/>
      <c r="DM314" s="13" t="str">
        <f>IF(DL314="","",DL314-DL315)</f>
        <v/>
      </c>
      <c r="DN314" s="13"/>
      <c r="DO314" s="13" t="str">
        <f>IF(DN314="","",DN314-DN315)</f>
        <v/>
      </c>
      <c r="DP314" s="13"/>
      <c r="DQ314" s="13" t="str">
        <f>IF(DP314="","",DP315+DR315-DP314)</f>
        <v/>
      </c>
      <c r="DR314" s="13"/>
      <c r="DS314" s="53"/>
      <c r="DT314" s="53" t="str">
        <f>IF(DL314="","",DT315)</f>
        <v/>
      </c>
      <c r="DU314" s="13" t="str">
        <f t="shared" ref="DU314:DU346" si="653">IF(DT314="","",DQ314*DT314)</f>
        <v/>
      </c>
      <c r="DV314" s="14" t="str">
        <f t="shared" ref="DV314:DV346" si="654">IF(DU314="","",DU314/(DM314*100))</f>
        <v/>
      </c>
      <c r="DW314" s="15"/>
      <c r="DY314" s="79"/>
      <c r="DZ314" s="13"/>
      <c r="EA314" s="13" t="str">
        <f>IF(DZ314="","",DZ314-DZ315)</f>
        <v/>
      </c>
      <c r="EB314" s="13"/>
      <c r="EC314" s="13" t="str">
        <f>IF(EB314="","",EB314-EB315)</f>
        <v/>
      </c>
      <c r="ED314" s="13"/>
      <c r="EE314" s="13" t="str">
        <f>IF(ED314="","",ED315+EF315-ED314)</f>
        <v/>
      </c>
      <c r="EF314" s="13"/>
      <c r="EG314" s="53"/>
      <c r="EH314" s="53" t="str">
        <f>IF(DZ314="","",EH315)</f>
        <v/>
      </c>
      <c r="EI314" s="13" t="str">
        <f t="shared" ref="EI314:EI346" si="655">IF(EH314="","",EE314*EH314)</f>
        <v/>
      </c>
      <c r="EJ314" s="14" t="str">
        <f t="shared" ref="EJ314:EJ346" si="656">IF(EI314="","",EI314/(EA314*100))</f>
        <v/>
      </c>
      <c r="EK314" s="15"/>
    </row>
    <row r="315" spans="1:141" ht="15" customHeight="1" thickTop="1" x14ac:dyDescent="0.2">
      <c r="A315" s="79">
        <v>46055</v>
      </c>
      <c r="B315" s="74">
        <f>IF(A315="","",SUM(D315:D318)+SUM(R315:R318)+SUM(AF315:AF318)+SUM(AT315:AT318)+SUM(BW303,CK303,CY303,DM303))</f>
        <v>4463</v>
      </c>
      <c r="C315" s="53">
        <v>6062</v>
      </c>
      <c r="D315" s="53">
        <f t="shared" si="619"/>
        <v>31</v>
      </c>
      <c r="E315" s="53">
        <v>357</v>
      </c>
      <c r="F315" s="31">
        <f t="shared" si="620"/>
        <v>0</v>
      </c>
      <c r="G315" s="53">
        <v>21</v>
      </c>
      <c r="H315" s="53">
        <f t="shared" si="621"/>
        <v>0</v>
      </c>
      <c r="I315" s="80">
        <v>0</v>
      </c>
      <c r="J315" s="75" t="str">
        <f t="shared" si="622"/>
        <v>ジャグラーボタン</v>
      </c>
      <c r="K315" s="76">
        <f t="shared" si="623"/>
        <v>748</v>
      </c>
      <c r="L315" s="31">
        <f t="shared" si="624"/>
        <v>0</v>
      </c>
      <c r="M315" s="32">
        <f t="shared" si="625"/>
        <v>0</v>
      </c>
      <c r="N315" s="15" t="s">
        <v>458</v>
      </c>
      <c r="O315" s="2"/>
      <c r="P315" s="79">
        <f>IF($A315="","",$A315)</f>
        <v>46055</v>
      </c>
      <c r="Q315" s="53">
        <v>6432</v>
      </c>
      <c r="R315" s="53">
        <f t="shared" si="626"/>
        <v>129</v>
      </c>
      <c r="S315" s="53">
        <v>212</v>
      </c>
      <c r="T315" s="31">
        <f t="shared" si="627"/>
        <v>2</v>
      </c>
      <c r="U315" s="53">
        <v>9</v>
      </c>
      <c r="V315" s="53">
        <f t="shared" si="628"/>
        <v>2</v>
      </c>
      <c r="W315" s="80">
        <v>0</v>
      </c>
      <c r="X315" s="75" t="str">
        <f t="shared" si="646"/>
        <v>キティボアバンスクリップ</v>
      </c>
      <c r="Y315" s="76">
        <f t="shared" si="647"/>
        <v>1100</v>
      </c>
      <c r="Z315" s="31">
        <f t="shared" si="629"/>
        <v>2200</v>
      </c>
      <c r="AA315" s="32">
        <f t="shared" si="630"/>
        <v>0.17054263565891473</v>
      </c>
      <c r="AB315" s="15"/>
      <c r="AC315" s="15"/>
      <c r="AD315" s="79">
        <f>IF($A315="","",$A315)</f>
        <v>46055</v>
      </c>
      <c r="AE315" s="53">
        <v>10779</v>
      </c>
      <c r="AF315" s="53">
        <f t="shared" si="631"/>
        <v>50</v>
      </c>
      <c r="AG315" s="53">
        <v>244</v>
      </c>
      <c r="AH315" s="31">
        <f t="shared" si="632"/>
        <v>3</v>
      </c>
      <c r="AI315" s="53">
        <v>22</v>
      </c>
      <c r="AJ315" s="53">
        <f t="shared" si="633"/>
        <v>3</v>
      </c>
      <c r="AK315" s="80">
        <v>0</v>
      </c>
      <c r="AL315" s="75" t="str">
        <f t="shared" si="634"/>
        <v>サンリオ型押しケース</v>
      </c>
      <c r="AM315" s="76">
        <f t="shared" si="635"/>
        <v>545</v>
      </c>
      <c r="AN315" s="31">
        <f t="shared" si="636"/>
        <v>1635</v>
      </c>
      <c r="AO315" s="32">
        <f t="shared" si="637"/>
        <v>0.32700000000000001</v>
      </c>
      <c r="AP315" s="15"/>
      <c r="AQ315" s="15"/>
      <c r="AR315" s="79">
        <f>IF($A315="","",$A315)</f>
        <v>46055</v>
      </c>
      <c r="AS315" s="53">
        <v>11574</v>
      </c>
      <c r="AT315" s="53">
        <f t="shared" si="638"/>
        <v>95</v>
      </c>
      <c r="AU315" s="53">
        <v>368</v>
      </c>
      <c r="AV315" s="31">
        <f t="shared" si="639"/>
        <v>1</v>
      </c>
      <c r="AW315" s="53">
        <v>12</v>
      </c>
      <c r="AX315" s="53">
        <f t="shared" si="640"/>
        <v>1</v>
      </c>
      <c r="AY315" s="80">
        <v>8</v>
      </c>
      <c r="AZ315" s="75" t="str">
        <f t="shared" si="641"/>
        <v>サンリオヒョウ柄キーケース</v>
      </c>
      <c r="BA315" s="76">
        <f t="shared" si="642"/>
        <v>924</v>
      </c>
      <c r="BB315" s="31">
        <f t="shared" si="643"/>
        <v>924</v>
      </c>
      <c r="BC315" s="32">
        <f t="shared" si="644"/>
        <v>9.7263157894736843E-2</v>
      </c>
      <c r="BD315" s="15"/>
      <c r="BT315" s="15"/>
      <c r="BU315" s="79"/>
      <c r="BV315" s="13"/>
      <c r="BW315" s="13" t="str">
        <f>IF(BV315="","",BV315-BV312)</f>
        <v/>
      </c>
      <c r="BX315" s="13"/>
      <c r="BY315" s="13" t="str">
        <f>IF(BX315="","",BX315-BX312)</f>
        <v/>
      </c>
      <c r="BZ315" s="13"/>
      <c r="CA315" s="13" t="str">
        <f>IF(BZ315="","",BZ312+CB312-BZ315)</f>
        <v/>
      </c>
      <c r="CB315" s="13"/>
      <c r="CC315" s="53"/>
      <c r="CD315" s="53" t="str">
        <f>IF(BV315="","",CD312)</f>
        <v/>
      </c>
      <c r="CE315" s="13" t="str">
        <f t="shared" si="648"/>
        <v/>
      </c>
      <c r="CF315" s="14" t="str">
        <f t="shared" si="649"/>
        <v/>
      </c>
      <c r="CG315" s="67"/>
      <c r="CH315" s="1"/>
      <c r="CI315" s="79"/>
      <c r="CJ315" s="13"/>
      <c r="CK315" s="13" t="str">
        <f>IF(CJ315="","",CJ315-CJ312)</f>
        <v/>
      </c>
      <c r="CL315" s="13"/>
      <c r="CM315" s="13" t="str">
        <f>IF(CL315="","",CL315-CL312)</f>
        <v/>
      </c>
      <c r="CN315" s="13"/>
      <c r="CO315" s="13" t="str">
        <f>IF(CN315="","",CN312+CP312-CN315)</f>
        <v/>
      </c>
      <c r="CP315" s="13"/>
      <c r="CQ315" s="53"/>
      <c r="CR315" s="53" t="str">
        <f>IF(CJ315="","",CR312)</f>
        <v/>
      </c>
      <c r="CS315" s="13" t="str">
        <f t="shared" si="650"/>
        <v/>
      </c>
      <c r="CT315" s="14" t="str">
        <f>IF(CS315="","",CS315/(CK315*100))</f>
        <v/>
      </c>
      <c r="CU315" s="15"/>
      <c r="CV315" s="1"/>
      <c r="CW315" s="79"/>
      <c r="CX315" s="13"/>
      <c r="CY315" s="13" t="str">
        <f>IF(CX315="","",CX315-CX312)</f>
        <v/>
      </c>
      <c r="CZ315" s="13"/>
      <c r="DA315" s="13" t="str">
        <f>IF(CZ315="","",CZ315-CZ312)</f>
        <v/>
      </c>
      <c r="DB315" s="13"/>
      <c r="DC315" s="13" t="str">
        <f>IF(DB315="","",DB312+DD312-DB315)</f>
        <v/>
      </c>
      <c r="DD315" s="13"/>
      <c r="DE315" s="53"/>
      <c r="DF315" s="53" t="str">
        <f>IF(CX315="","",DF312)</f>
        <v/>
      </c>
      <c r="DG315" s="13" t="str">
        <f t="shared" si="651"/>
        <v/>
      </c>
      <c r="DH315" s="14" t="str">
        <f t="shared" si="652"/>
        <v/>
      </c>
      <c r="DI315" s="15"/>
      <c r="DJ315" s="1"/>
      <c r="DK315" s="79"/>
      <c r="DL315" s="13"/>
      <c r="DM315" s="13" t="str">
        <f>IF(DL315="","",DL315-DL312)</f>
        <v/>
      </c>
      <c r="DN315" s="13"/>
      <c r="DO315" s="13" t="str">
        <f>IF(DN315="","",DN315-DN312)</f>
        <v/>
      </c>
      <c r="DP315" s="13"/>
      <c r="DQ315" s="13" t="str">
        <f>IF(DP315="","",DP312+DR312-DP315)</f>
        <v/>
      </c>
      <c r="DR315" s="13"/>
      <c r="DS315" s="53"/>
      <c r="DT315" s="53" t="str">
        <f>IF(DL315="","",DT312)</f>
        <v/>
      </c>
      <c r="DU315" s="13" t="str">
        <f t="shared" si="653"/>
        <v/>
      </c>
      <c r="DV315" s="14" t="str">
        <f t="shared" si="654"/>
        <v/>
      </c>
      <c r="DW315" s="15"/>
      <c r="DY315" s="79"/>
      <c r="DZ315" s="13"/>
      <c r="EA315" s="13" t="str">
        <f>IF(DZ315="","",DZ315-DZ312)</f>
        <v/>
      </c>
      <c r="EB315" s="13"/>
      <c r="EC315" s="13" t="str">
        <f>IF(EB315="","",EB315-EB312)</f>
        <v/>
      </c>
      <c r="ED315" s="13"/>
      <c r="EE315" s="13" t="str">
        <f>IF(ED315="","",ED312+EF312-ED315)</f>
        <v/>
      </c>
      <c r="EF315" s="13"/>
      <c r="EG315" s="53"/>
      <c r="EH315" s="53" t="str">
        <f>IF(DZ315="","",EH312)</f>
        <v/>
      </c>
      <c r="EI315" s="13" t="str">
        <f t="shared" si="655"/>
        <v/>
      </c>
      <c r="EJ315" s="14" t="str">
        <f t="shared" si="656"/>
        <v/>
      </c>
      <c r="EK315" s="15"/>
    </row>
    <row r="316" spans="1:141" x14ac:dyDescent="0.2">
      <c r="A316" s="136"/>
      <c r="B316" s="11"/>
      <c r="C316" s="13">
        <v>5645</v>
      </c>
      <c r="D316" s="13">
        <f t="shared" si="619"/>
        <v>85</v>
      </c>
      <c r="E316" s="13">
        <v>377</v>
      </c>
      <c r="F316" s="13">
        <f t="shared" si="620"/>
        <v>3</v>
      </c>
      <c r="G316" s="13">
        <v>44</v>
      </c>
      <c r="H316" s="13">
        <f t="shared" si="621"/>
        <v>4</v>
      </c>
      <c r="I316" s="17">
        <v>15</v>
      </c>
      <c r="J316" s="56" t="str">
        <f t="shared" si="622"/>
        <v>電ブル</v>
      </c>
      <c r="K316" s="54">
        <f t="shared" si="623"/>
        <v>1075</v>
      </c>
      <c r="L316" s="13">
        <f t="shared" si="624"/>
        <v>4300</v>
      </c>
      <c r="M316" s="14">
        <f t="shared" si="625"/>
        <v>0.50588235294117645</v>
      </c>
      <c r="N316" s="15"/>
      <c r="O316" s="2"/>
      <c r="P316" s="79"/>
      <c r="Q316" s="13">
        <v>4468</v>
      </c>
      <c r="R316" s="13">
        <f t="shared" si="626"/>
        <v>0</v>
      </c>
      <c r="S316" s="13">
        <v>143</v>
      </c>
      <c r="T316" s="13">
        <f t="shared" si="627"/>
        <v>1</v>
      </c>
      <c r="U316" s="13">
        <v>10</v>
      </c>
      <c r="V316" s="13">
        <f t="shared" si="628"/>
        <v>6</v>
      </c>
      <c r="W316" s="17">
        <v>0</v>
      </c>
      <c r="X316" s="56" t="str">
        <f t="shared" si="646"/>
        <v>ギャルキティマスコット</v>
      </c>
      <c r="Y316" s="54">
        <f t="shared" si="647"/>
        <v>1100</v>
      </c>
      <c r="Z316" s="13">
        <f t="shared" si="629"/>
        <v>6600</v>
      </c>
      <c r="AA316" s="14" t="e">
        <f t="shared" si="630"/>
        <v>#DIV/0!</v>
      </c>
      <c r="AC316" s="15"/>
      <c r="AD316" s="79"/>
      <c r="AE316" s="13">
        <v>10452</v>
      </c>
      <c r="AF316" s="13">
        <f t="shared" si="631"/>
        <v>67</v>
      </c>
      <c r="AG316" s="13">
        <v>224</v>
      </c>
      <c r="AH316" s="13">
        <f t="shared" si="632"/>
        <v>0</v>
      </c>
      <c r="AI316" s="13">
        <v>11</v>
      </c>
      <c r="AJ316" s="13">
        <f t="shared" si="633"/>
        <v>1</v>
      </c>
      <c r="AK316" s="17">
        <v>-2</v>
      </c>
      <c r="AL316" s="56" t="str">
        <f t="shared" si="634"/>
        <v>サンリオヒョウ柄フェイス</v>
      </c>
      <c r="AM316" s="54">
        <f t="shared" si="635"/>
        <v>792</v>
      </c>
      <c r="AN316" s="13">
        <f t="shared" si="636"/>
        <v>792</v>
      </c>
      <c r="AO316" s="14">
        <f t="shared" si="637"/>
        <v>0.1182089552238806</v>
      </c>
      <c r="AP316" s="15" t="s">
        <v>459</v>
      </c>
      <c r="AQ316" s="15"/>
      <c r="AR316" s="79"/>
      <c r="AS316" s="13">
        <v>8187</v>
      </c>
      <c r="AT316" s="13">
        <f t="shared" si="638"/>
        <v>69</v>
      </c>
      <c r="AU316" s="13">
        <v>415</v>
      </c>
      <c r="AV316" s="13">
        <f t="shared" si="639"/>
        <v>2</v>
      </c>
      <c r="AW316" s="13">
        <v>9</v>
      </c>
      <c r="AX316" s="13">
        <f t="shared" si="640"/>
        <v>2</v>
      </c>
      <c r="AY316" s="17">
        <v>0</v>
      </c>
      <c r="AZ316" s="56" t="str">
        <f t="shared" si="641"/>
        <v>キティフェイスポーチ</v>
      </c>
      <c r="BA316" s="54">
        <f t="shared" si="642"/>
        <v>673</v>
      </c>
      <c r="BB316" s="13">
        <f t="shared" si="643"/>
        <v>1346</v>
      </c>
      <c r="BC316" s="14">
        <f t="shared" si="644"/>
        <v>0.19507246376811593</v>
      </c>
      <c r="BD316" s="15"/>
      <c r="BT316" s="15"/>
      <c r="BU316" s="79"/>
      <c r="BV316" s="13"/>
      <c r="BW316" s="13" t="str">
        <f>IF(BV316="","",BV316-BV314)</f>
        <v/>
      </c>
      <c r="BX316" s="13"/>
      <c r="BY316" s="13" t="str">
        <f>IF(BX316="","",BX316-BX314)</f>
        <v/>
      </c>
      <c r="BZ316" s="13"/>
      <c r="CA316" s="13" t="str">
        <f>IF(BZ316="","",BZ314+CB314-BZ316)</f>
        <v/>
      </c>
      <c r="CB316" s="13"/>
      <c r="CC316" s="53"/>
      <c r="CD316" s="53" t="str">
        <f>IF(BV316="","",CD314)</f>
        <v/>
      </c>
      <c r="CE316" s="13" t="str">
        <f t="shared" si="648"/>
        <v/>
      </c>
      <c r="CF316" s="14" t="str">
        <f t="shared" si="649"/>
        <v/>
      </c>
      <c r="CG316" s="15"/>
      <c r="CH316" s="1"/>
      <c r="CI316" s="79"/>
      <c r="CJ316" s="13"/>
      <c r="CK316" s="13" t="str">
        <f>IF(CJ316="","",CJ316-CJ314)</f>
        <v/>
      </c>
      <c r="CL316" s="13"/>
      <c r="CM316" s="13" t="str">
        <f>IF(CL316="","",CL316-CL314)</f>
        <v/>
      </c>
      <c r="CN316" s="13"/>
      <c r="CO316" s="13" t="str">
        <f>IF(CN316="","",CN314+CP314-CN316)</f>
        <v/>
      </c>
      <c r="CP316" s="13"/>
      <c r="CQ316" s="53"/>
      <c r="CR316" s="53" t="str">
        <f>IF(CJ316="","",CR314)</f>
        <v/>
      </c>
      <c r="CS316" s="13" t="str">
        <f t="shared" si="650"/>
        <v/>
      </c>
      <c r="CT316" s="14" t="str">
        <f>IF(CS316="","",CS316/(CK316*100))</f>
        <v/>
      </c>
      <c r="CU316" s="15"/>
      <c r="CV316" s="1"/>
      <c r="CW316" s="79"/>
      <c r="CX316" s="13"/>
      <c r="CY316" s="13" t="str">
        <f>IF(CX316="","",CX316-CX314)</f>
        <v/>
      </c>
      <c r="CZ316" s="13"/>
      <c r="DA316" s="13" t="str">
        <f>IF(CZ316="","",CZ316-CZ314)</f>
        <v/>
      </c>
      <c r="DB316" s="13"/>
      <c r="DC316" s="13" t="str">
        <f>IF(DB316="","",DB314+DD314-DB316)</f>
        <v/>
      </c>
      <c r="DD316" s="13"/>
      <c r="DE316" s="53"/>
      <c r="DF316" s="53" t="str">
        <f>IF(CX316="","",DF314)</f>
        <v/>
      </c>
      <c r="DG316" s="13" t="str">
        <f t="shared" si="651"/>
        <v/>
      </c>
      <c r="DH316" s="14" t="str">
        <f t="shared" si="652"/>
        <v/>
      </c>
      <c r="DI316" s="15"/>
      <c r="DJ316" s="1"/>
      <c r="DK316" s="79"/>
      <c r="DL316" s="13"/>
      <c r="DM316" s="13" t="str">
        <f>IF(DL316="","",DL316-DL314)</f>
        <v/>
      </c>
      <c r="DN316" s="13"/>
      <c r="DO316" s="13" t="str">
        <f>IF(DN316="","",DN316-DN314)</f>
        <v/>
      </c>
      <c r="DP316" s="13"/>
      <c r="DQ316" s="13" t="str">
        <f>IF(DP316="","",DP314+DR314-DP316)</f>
        <v/>
      </c>
      <c r="DR316" s="13"/>
      <c r="DS316" s="53"/>
      <c r="DT316" s="53" t="str">
        <f>IF(DL316="","",DT314)</f>
        <v/>
      </c>
      <c r="DU316" s="13" t="str">
        <f t="shared" si="653"/>
        <v/>
      </c>
      <c r="DV316" s="14" t="str">
        <f t="shared" si="654"/>
        <v/>
      </c>
      <c r="DW316" s="15"/>
      <c r="DY316" s="79"/>
      <c r="DZ316" s="13"/>
      <c r="EA316" s="13" t="str">
        <f>IF(DZ316="","",DZ316-DZ314)</f>
        <v/>
      </c>
      <c r="EB316" s="13"/>
      <c r="EC316" s="13" t="str">
        <f>IF(EB316="","",EB316-EB314)</f>
        <v/>
      </c>
      <c r="ED316" s="13"/>
      <c r="EE316" s="13" t="str">
        <f>IF(ED316="","",ED314+EF314-ED316)</f>
        <v/>
      </c>
      <c r="EF316" s="13"/>
      <c r="EG316" s="53"/>
      <c r="EH316" s="53" t="str">
        <f>IF(DZ316="","",EH314)</f>
        <v/>
      </c>
      <c r="EI316" s="13" t="str">
        <f t="shared" si="655"/>
        <v/>
      </c>
      <c r="EJ316" s="14" t="str">
        <f t="shared" si="656"/>
        <v/>
      </c>
      <c r="EK316" s="15"/>
    </row>
    <row r="317" spans="1:141" ht="15" customHeight="1" x14ac:dyDescent="0.2">
      <c r="A317" s="79"/>
      <c r="B317" s="11"/>
      <c r="C317" s="34">
        <v>11771</v>
      </c>
      <c r="D317" s="13">
        <f t="shared" si="619"/>
        <v>117</v>
      </c>
      <c r="E317" s="34">
        <v>631</v>
      </c>
      <c r="F317" s="13">
        <f t="shared" si="620"/>
        <v>1</v>
      </c>
      <c r="G317" s="34">
        <v>22</v>
      </c>
      <c r="H317" s="13">
        <f t="shared" si="621"/>
        <v>1</v>
      </c>
      <c r="I317" s="49">
        <v>0</v>
      </c>
      <c r="J317" s="56" t="str">
        <f t="shared" si="622"/>
        <v>ゲーム機イヤホン</v>
      </c>
      <c r="K317" s="13">
        <f t="shared" si="623"/>
        <v>1100</v>
      </c>
      <c r="L317" s="13">
        <f t="shared" si="624"/>
        <v>1100</v>
      </c>
      <c r="M317" s="14">
        <f t="shared" si="625"/>
        <v>9.4017094017094016E-2</v>
      </c>
      <c r="N317" s="15" t="s">
        <v>458</v>
      </c>
      <c r="O317" s="2"/>
      <c r="P317" s="79"/>
      <c r="Q317" s="34">
        <v>7948</v>
      </c>
      <c r="R317" s="13">
        <f t="shared" si="626"/>
        <v>65</v>
      </c>
      <c r="S317" s="34">
        <v>164</v>
      </c>
      <c r="T317" s="13">
        <f t="shared" si="627"/>
        <v>1</v>
      </c>
      <c r="U317" s="34">
        <v>11</v>
      </c>
      <c r="V317" s="13">
        <f t="shared" si="628"/>
        <v>1</v>
      </c>
      <c r="W317" s="49">
        <v>0</v>
      </c>
      <c r="X317" s="56" t="str">
        <f t="shared" si="646"/>
        <v>サンリオホワイトマスコット</v>
      </c>
      <c r="Y317" s="13">
        <f t="shared" si="647"/>
        <v>660</v>
      </c>
      <c r="Z317" s="13">
        <f t="shared" si="629"/>
        <v>660</v>
      </c>
      <c r="AA317" s="14">
        <f t="shared" si="630"/>
        <v>0.10153846153846154</v>
      </c>
      <c r="AB317" s="15"/>
      <c r="AC317" s="15"/>
      <c r="AD317" s="79"/>
      <c r="AE317" s="34">
        <v>12556</v>
      </c>
      <c r="AF317" s="13">
        <f t="shared" si="631"/>
        <v>122</v>
      </c>
      <c r="AG317" s="34">
        <v>345</v>
      </c>
      <c r="AH317" s="13">
        <f t="shared" si="632"/>
        <v>6</v>
      </c>
      <c r="AI317" s="34">
        <v>74</v>
      </c>
      <c r="AJ317" s="13">
        <f t="shared" si="633"/>
        <v>6</v>
      </c>
      <c r="AK317" s="49">
        <v>0</v>
      </c>
      <c r="AL317" s="56" t="str">
        <f t="shared" si="634"/>
        <v>ゲームアーク</v>
      </c>
      <c r="AM317" s="13">
        <f t="shared" si="635"/>
        <v>682</v>
      </c>
      <c r="AN317" s="13">
        <f t="shared" si="636"/>
        <v>4092</v>
      </c>
      <c r="AO317" s="14">
        <f t="shared" si="637"/>
        <v>0.33540983606557379</v>
      </c>
      <c r="AP317" s="15"/>
      <c r="AQ317" s="15"/>
      <c r="AR317" s="79"/>
      <c r="AS317" s="34">
        <v>15140</v>
      </c>
      <c r="AT317" s="13">
        <f t="shared" si="638"/>
        <v>72</v>
      </c>
      <c r="AU317" s="34">
        <v>521</v>
      </c>
      <c r="AV317" s="13">
        <f t="shared" si="639"/>
        <v>1</v>
      </c>
      <c r="AW317" s="34">
        <v>18</v>
      </c>
      <c r="AX317" s="13">
        <f t="shared" si="640"/>
        <v>2</v>
      </c>
      <c r="AY317" s="49">
        <v>0</v>
      </c>
      <c r="AZ317" s="56" t="str">
        <f t="shared" si="641"/>
        <v>ラブブキーホルダーおおきめ</v>
      </c>
      <c r="BA317" s="13">
        <f t="shared" si="642"/>
        <v>500</v>
      </c>
      <c r="BB317" s="13">
        <f t="shared" si="643"/>
        <v>1000</v>
      </c>
      <c r="BC317" s="14">
        <f t="shared" si="644"/>
        <v>0.1388888888888889</v>
      </c>
      <c r="BD317" s="15" t="s">
        <v>458</v>
      </c>
      <c r="BT317" s="15"/>
      <c r="BU317" s="79"/>
      <c r="BV317" s="13"/>
      <c r="BW317" s="13" t="str">
        <f>IF(BV317="","",BV317-#REF!)</f>
        <v/>
      </c>
      <c r="BX317" s="13"/>
      <c r="BY317" s="13" t="str">
        <f>IF(BX317="","",BX317-#REF!)</f>
        <v/>
      </c>
      <c r="BZ317" s="13"/>
      <c r="CA317" s="13" t="str">
        <f>IF(BZ317="","",#REF!+#REF!-BZ317)</f>
        <v/>
      </c>
      <c r="CB317" s="13"/>
      <c r="CC317" s="53"/>
      <c r="CD317" s="53" t="str">
        <f>IF(BV317="","",#REF!)</f>
        <v/>
      </c>
      <c r="CE317" s="13" t="str">
        <f t="shared" si="648"/>
        <v/>
      </c>
      <c r="CF317" s="14" t="str">
        <f t="shared" si="649"/>
        <v/>
      </c>
      <c r="CG317" s="15"/>
      <c r="CH317" s="1"/>
      <c r="CI317" s="79"/>
      <c r="CJ317" s="13"/>
      <c r="CK317" s="13" t="str">
        <f>IF(CJ317="","",CJ317-#REF!)</f>
        <v/>
      </c>
      <c r="CL317" s="13"/>
      <c r="CM317" s="13" t="str">
        <f>IF(CL317="","",CL317-#REF!)</f>
        <v/>
      </c>
      <c r="CN317" s="13"/>
      <c r="CO317" s="13" t="str">
        <f>IF(CN317="","",#REF!+#REF!-CN317)</f>
        <v/>
      </c>
      <c r="CP317" s="13"/>
      <c r="CQ317" s="53"/>
      <c r="CR317" s="53" t="str">
        <f>IF(CJ317="","",#REF!)</f>
        <v/>
      </c>
      <c r="CS317" s="13" t="str">
        <f t="shared" si="650"/>
        <v/>
      </c>
      <c r="CT317" s="14" t="str">
        <f>IF(CS317="","",CS317/(CK317*100))</f>
        <v/>
      </c>
      <c r="CU317" s="15"/>
      <c r="CV317" s="1"/>
      <c r="CW317" s="79"/>
      <c r="CX317" s="13"/>
      <c r="CY317" s="13" t="str">
        <f>IF(CX317="","",CX317-#REF!)</f>
        <v/>
      </c>
      <c r="CZ317" s="13"/>
      <c r="DA317" s="13" t="str">
        <f>IF(CZ317="","",CZ317-#REF!)</f>
        <v/>
      </c>
      <c r="DB317" s="13"/>
      <c r="DC317" s="13" t="str">
        <f>IF(DB317="","",#REF!+#REF!-DB317)</f>
        <v/>
      </c>
      <c r="DD317" s="13"/>
      <c r="DE317" s="53"/>
      <c r="DF317" s="53" t="str">
        <f>IF(CX317="","",#REF!)</f>
        <v/>
      </c>
      <c r="DG317" s="13" t="str">
        <f t="shared" si="651"/>
        <v/>
      </c>
      <c r="DH317" s="14" t="str">
        <f t="shared" si="652"/>
        <v/>
      </c>
      <c r="DI317" s="15"/>
      <c r="DJ317" s="1"/>
      <c r="DK317" s="79"/>
      <c r="DL317" s="13"/>
      <c r="DM317" s="13" t="str">
        <f>IF(DL317="","",DL317-#REF!)</f>
        <v/>
      </c>
      <c r="DN317" s="13"/>
      <c r="DO317" s="13" t="str">
        <f>IF(DN317="","",DN317-#REF!)</f>
        <v/>
      </c>
      <c r="DP317" s="13"/>
      <c r="DQ317" s="13" t="str">
        <f>IF(DP317="","",#REF!+#REF!-DP317)</f>
        <v/>
      </c>
      <c r="DR317" s="13"/>
      <c r="DS317" s="53"/>
      <c r="DT317" s="53" t="str">
        <f>IF(DL317="","",#REF!)</f>
        <v/>
      </c>
      <c r="DU317" s="13" t="str">
        <f t="shared" si="653"/>
        <v/>
      </c>
      <c r="DV317" s="14" t="str">
        <f t="shared" si="654"/>
        <v/>
      </c>
      <c r="DW317" s="15"/>
      <c r="DY317" s="79"/>
      <c r="DZ317" s="13"/>
      <c r="EA317" s="13" t="str">
        <f>IF(DZ317="","",DZ317-#REF!)</f>
        <v/>
      </c>
      <c r="EB317" s="13"/>
      <c r="EC317" s="13" t="str">
        <f>IF(EB317="","",EB317-#REF!)</f>
        <v/>
      </c>
      <c r="ED317" s="13"/>
      <c r="EE317" s="13" t="str">
        <f>IF(ED317="","",#REF!+#REF!-ED317)</f>
        <v/>
      </c>
      <c r="EF317" s="13"/>
      <c r="EG317" s="53"/>
      <c r="EH317" s="53" t="str">
        <f>IF(DZ317="","",#REF!)</f>
        <v/>
      </c>
      <c r="EI317" s="13" t="str">
        <f t="shared" si="655"/>
        <v/>
      </c>
      <c r="EJ317" s="14" t="str">
        <f t="shared" si="656"/>
        <v/>
      </c>
      <c r="EK317" s="15"/>
    </row>
    <row r="318" spans="1:141" ht="15" customHeight="1" thickBot="1" x14ac:dyDescent="0.25">
      <c r="A318" s="26"/>
      <c r="B318" s="46"/>
      <c r="C318" s="27">
        <v>7030</v>
      </c>
      <c r="D318" s="27">
        <f t="shared" si="619"/>
        <v>188</v>
      </c>
      <c r="E318" s="27">
        <v>482</v>
      </c>
      <c r="F318" s="27">
        <f t="shared" si="620"/>
        <v>0</v>
      </c>
      <c r="G318" s="27">
        <v>8</v>
      </c>
      <c r="H318" s="27">
        <f t="shared" si="621"/>
        <v>0</v>
      </c>
      <c r="I318" s="47">
        <v>0</v>
      </c>
      <c r="J318" s="57" t="str">
        <f t="shared" si="622"/>
        <v>モンチッチフェイスポーチ</v>
      </c>
      <c r="K318" s="62">
        <f t="shared" si="623"/>
        <v>900</v>
      </c>
      <c r="L318" s="27">
        <f t="shared" si="624"/>
        <v>0</v>
      </c>
      <c r="M318" s="28">
        <f t="shared" si="625"/>
        <v>0</v>
      </c>
      <c r="N318" s="15"/>
      <c r="O318" s="2"/>
      <c r="P318" s="26"/>
      <c r="Q318" s="27">
        <v>9329</v>
      </c>
      <c r="R318" s="27">
        <f t="shared" si="626"/>
        <v>637</v>
      </c>
      <c r="S318" s="27">
        <v>190</v>
      </c>
      <c r="T318" s="27">
        <f t="shared" si="627"/>
        <v>13</v>
      </c>
      <c r="U318" s="27">
        <v>15</v>
      </c>
      <c r="V318" s="27">
        <f t="shared" si="628"/>
        <v>14</v>
      </c>
      <c r="W318" s="47">
        <v>10</v>
      </c>
      <c r="X318" s="57" t="str">
        <f t="shared" si="646"/>
        <v>ボンボンドロップ</v>
      </c>
      <c r="Y318" s="62">
        <f t="shared" si="647"/>
        <v>300</v>
      </c>
      <c r="Z318" s="27">
        <f t="shared" si="629"/>
        <v>4200</v>
      </c>
      <c r="AA318" s="28">
        <f t="shared" si="630"/>
        <v>6.5934065934065936E-2</v>
      </c>
      <c r="AB318" s="15"/>
      <c r="AC318" s="15"/>
      <c r="AD318" s="26"/>
      <c r="AE318" s="27">
        <v>12361</v>
      </c>
      <c r="AF318" s="27">
        <f t="shared" si="631"/>
        <v>101</v>
      </c>
      <c r="AG318" s="27">
        <v>312</v>
      </c>
      <c r="AH318" s="27">
        <f t="shared" si="632"/>
        <v>1</v>
      </c>
      <c r="AI318" s="27">
        <v>13</v>
      </c>
      <c r="AJ318" s="27">
        <f t="shared" si="633"/>
        <v>1</v>
      </c>
      <c r="AK318" s="47">
        <v>0</v>
      </c>
      <c r="AL318" s="57" t="str">
        <f t="shared" si="634"/>
        <v>モンチッチマスコット2</v>
      </c>
      <c r="AM318" s="62">
        <f t="shared" si="635"/>
        <v>605</v>
      </c>
      <c r="AN318" s="27">
        <f t="shared" si="636"/>
        <v>605</v>
      </c>
      <c r="AO318" s="28">
        <f t="shared" si="637"/>
        <v>5.9900990099009899E-2</v>
      </c>
      <c r="AP318" s="15"/>
      <c r="AQ318" s="15"/>
      <c r="AR318" s="26"/>
      <c r="AS318" s="27">
        <v>15666</v>
      </c>
      <c r="AT318" s="27">
        <f t="shared" si="638"/>
        <v>81</v>
      </c>
      <c r="AU318" s="27">
        <v>450</v>
      </c>
      <c r="AV318" s="27">
        <f t="shared" si="639"/>
        <v>3</v>
      </c>
      <c r="AW318" s="27">
        <v>34</v>
      </c>
      <c r="AX318" s="27">
        <f t="shared" si="640"/>
        <v>3</v>
      </c>
      <c r="AY318" s="47">
        <v>0</v>
      </c>
      <c r="AZ318" s="57" t="str">
        <f t="shared" si="641"/>
        <v>ラブブマスコット</v>
      </c>
      <c r="BA318" s="62">
        <f t="shared" si="642"/>
        <v>400</v>
      </c>
      <c r="BB318" s="27">
        <f t="shared" si="643"/>
        <v>1200</v>
      </c>
      <c r="BC318" s="28">
        <f t="shared" si="644"/>
        <v>0.14814814814814814</v>
      </c>
      <c r="BD318" s="15"/>
      <c r="BT318" s="15"/>
      <c r="BU318" s="79"/>
      <c r="BV318" s="13"/>
      <c r="BW318" s="13" t="str">
        <f>IF(BV318="","",BV318-BV317)</f>
        <v/>
      </c>
      <c r="BX318" s="13"/>
      <c r="BY318" s="13" t="str">
        <f>IF(BX318="","",BX318-BX317)</f>
        <v/>
      </c>
      <c r="BZ318" s="13"/>
      <c r="CA318" s="13" t="str">
        <f>IF(BZ318="","",BZ317+CB317-BZ318)</f>
        <v/>
      </c>
      <c r="CB318" s="13"/>
      <c r="CC318" s="53"/>
      <c r="CD318" s="53" t="str">
        <f>IF(BV318="","",CD317)</f>
        <v/>
      </c>
      <c r="CE318" s="13" t="str">
        <f t="shared" si="648"/>
        <v/>
      </c>
      <c r="CF318" s="14" t="str">
        <f t="shared" si="649"/>
        <v/>
      </c>
      <c r="CG318" s="15"/>
      <c r="CH318" s="1"/>
      <c r="CI318" s="79"/>
      <c r="CJ318" s="13"/>
      <c r="CK318" s="13" t="str">
        <f>IF(CJ318="","",CJ318-CJ317)</f>
        <v/>
      </c>
      <c r="CL318" s="13"/>
      <c r="CM318" s="13" t="str">
        <f>IF(CL318="","",CL318-CL317)</f>
        <v/>
      </c>
      <c r="CN318" s="13"/>
      <c r="CO318" s="13" t="str">
        <f>IF(CN318="","",CN317+CP317-CN318)</f>
        <v/>
      </c>
      <c r="CP318" s="13"/>
      <c r="CQ318" s="53"/>
      <c r="CR318" s="53" t="str">
        <f>IF(CJ318="","",CR317)</f>
        <v/>
      </c>
      <c r="CS318" s="13" t="str">
        <f t="shared" si="650"/>
        <v/>
      </c>
      <c r="CT318" s="14" t="str">
        <f>IF(CS318="","",CS318/(CJ318*100))</f>
        <v/>
      </c>
      <c r="CU318" s="15"/>
      <c r="CV318" s="1"/>
      <c r="CW318" s="79"/>
      <c r="CX318" s="13"/>
      <c r="CY318" s="13" t="str">
        <f>IF(CX318="","",CX318-CX317)</f>
        <v/>
      </c>
      <c r="CZ318" s="13"/>
      <c r="DA318" s="13" t="str">
        <f>IF(CZ318="","",CZ318-CZ317)</f>
        <v/>
      </c>
      <c r="DB318" s="13"/>
      <c r="DC318" s="13" t="str">
        <f>IF(DB318="","",DB317+DD317-DB318)</f>
        <v/>
      </c>
      <c r="DD318" s="13"/>
      <c r="DE318" s="53"/>
      <c r="DF318" s="53" t="str">
        <f>IF(CX318="","",DF317)</f>
        <v/>
      </c>
      <c r="DG318" s="13" t="str">
        <f t="shared" si="651"/>
        <v/>
      </c>
      <c r="DH318" s="14" t="str">
        <f t="shared" si="652"/>
        <v/>
      </c>
      <c r="DI318" s="15"/>
      <c r="DJ318" s="1"/>
      <c r="DK318" s="79"/>
      <c r="DL318" s="13"/>
      <c r="DM318" s="13" t="str">
        <f>IF(DL318="","",DL318-DL317)</f>
        <v/>
      </c>
      <c r="DN318" s="13"/>
      <c r="DO318" s="13" t="str">
        <f>IF(DN318="","",DN318-DN317)</f>
        <v/>
      </c>
      <c r="DP318" s="13"/>
      <c r="DQ318" s="13" t="str">
        <f>IF(DP318="","",DP317+DR317-DP318)</f>
        <v/>
      </c>
      <c r="DR318" s="13"/>
      <c r="DS318" s="53"/>
      <c r="DT318" s="53" t="str">
        <f>IF(DL318="","",DT317)</f>
        <v/>
      </c>
      <c r="DU318" s="13" t="str">
        <f t="shared" si="653"/>
        <v/>
      </c>
      <c r="DV318" s="14" t="str">
        <f t="shared" si="654"/>
        <v/>
      </c>
      <c r="DW318" s="15"/>
      <c r="DY318" s="79"/>
      <c r="DZ318" s="13"/>
      <c r="EA318" s="13" t="str">
        <f>IF(DZ318="","",DZ318-DZ317)</f>
        <v/>
      </c>
      <c r="EB318" s="13"/>
      <c r="EC318" s="13" t="str">
        <f>IF(EB318="","",EB318-EB317)</f>
        <v/>
      </c>
      <c r="ED318" s="13"/>
      <c r="EE318" s="13" t="str">
        <f>IF(ED318="","",ED317+EF317-ED318)</f>
        <v/>
      </c>
      <c r="EF318" s="13"/>
      <c r="EG318" s="53"/>
      <c r="EH318" s="53" t="str">
        <f>IF(DZ318="","",EH317)</f>
        <v/>
      </c>
      <c r="EI318" s="13" t="str">
        <f t="shared" si="655"/>
        <v/>
      </c>
      <c r="EJ318" s="14" t="str">
        <f t="shared" si="656"/>
        <v/>
      </c>
      <c r="EK318" s="15"/>
    </row>
    <row r="319" spans="1:141" ht="15" customHeight="1" thickTop="1" x14ac:dyDescent="0.2">
      <c r="A319" s="79">
        <v>46059</v>
      </c>
      <c r="B319" s="151">
        <f>IF(A319="","",SUM(D319:D322)+SUM(R319:R322)+SUM(AF319:AF322)+SUM(AT319:AT322)+SUM(BW304,CK304,CY304,DM304))</f>
        <v>3212</v>
      </c>
      <c r="C319" s="53">
        <v>6131</v>
      </c>
      <c r="D319" s="53">
        <f t="shared" si="619"/>
        <v>69</v>
      </c>
      <c r="E319" s="53">
        <v>358</v>
      </c>
      <c r="F319" s="31">
        <f t="shared" si="620"/>
        <v>1</v>
      </c>
      <c r="G319" s="53">
        <v>19</v>
      </c>
      <c r="H319" s="53">
        <f t="shared" si="621"/>
        <v>2</v>
      </c>
      <c r="I319" s="80">
        <v>0</v>
      </c>
      <c r="J319" s="75" t="str">
        <f t="shared" si="622"/>
        <v>ジャグラーボタン</v>
      </c>
      <c r="K319" s="76">
        <f t="shared" si="623"/>
        <v>748</v>
      </c>
      <c r="L319" s="31">
        <f t="shared" si="624"/>
        <v>1496</v>
      </c>
      <c r="M319" s="32">
        <f t="shared" si="625"/>
        <v>0.21681159420289856</v>
      </c>
      <c r="N319" s="15"/>
      <c r="O319" s="2"/>
      <c r="P319" s="79">
        <f>IF($A319="","",$A319)</f>
        <v>46059</v>
      </c>
      <c r="Q319" s="53">
        <v>6548</v>
      </c>
      <c r="R319" s="53">
        <f t="shared" si="626"/>
        <v>116</v>
      </c>
      <c r="S319" s="53">
        <v>215</v>
      </c>
      <c r="T319" s="31">
        <f t="shared" si="627"/>
        <v>3</v>
      </c>
      <c r="U319" s="53">
        <v>6</v>
      </c>
      <c r="V319" s="53">
        <f t="shared" si="628"/>
        <v>3</v>
      </c>
      <c r="W319" s="80">
        <v>7</v>
      </c>
      <c r="X319" s="75" t="str">
        <f t="shared" si="646"/>
        <v>キティボアバンスクリップ</v>
      </c>
      <c r="Y319" s="76">
        <f t="shared" si="647"/>
        <v>1100</v>
      </c>
      <c r="Z319" s="31">
        <f t="shared" si="629"/>
        <v>3300</v>
      </c>
      <c r="AA319" s="32">
        <f t="shared" si="630"/>
        <v>0.28448275862068967</v>
      </c>
      <c r="AB319" s="15"/>
      <c r="AC319" s="15"/>
      <c r="AD319" s="79">
        <f>IF($A319="","",$A319)</f>
        <v>46059</v>
      </c>
      <c r="AE319" s="53">
        <v>10818</v>
      </c>
      <c r="AF319" s="53">
        <f t="shared" si="631"/>
        <v>39</v>
      </c>
      <c r="AG319" s="53">
        <v>244</v>
      </c>
      <c r="AH319" s="31">
        <f t="shared" si="632"/>
        <v>0</v>
      </c>
      <c r="AI319" s="53">
        <v>22</v>
      </c>
      <c r="AJ319" s="53">
        <f t="shared" si="633"/>
        <v>0</v>
      </c>
      <c r="AK319" s="80">
        <v>0</v>
      </c>
      <c r="AL319" s="75" t="str">
        <f t="shared" si="634"/>
        <v>サンリオ型押しケース</v>
      </c>
      <c r="AM319" s="76">
        <f t="shared" si="635"/>
        <v>545</v>
      </c>
      <c r="AN319" s="31">
        <f t="shared" si="636"/>
        <v>0</v>
      </c>
      <c r="AO319" s="32">
        <f t="shared" si="637"/>
        <v>0</v>
      </c>
      <c r="AP319" s="15"/>
      <c r="AQ319" s="15"/>
      <c r="AR319" s="79">
        <f>IF($A319="","",$A319)</f>
        <v>46059</v>
      </c>
      <c r="AS319" s="53">
        <v>11667</v>
      </c>
      <c r="AT319" s="53">
        <f t="shared" si="638"/>
        <v>93</v>
      </c>
      <c r="AU319" s="53">
        <v>369</v>
      </c>
      <c r="AV319" s="31">
        <f t="shared" si="639"/>
        <v>1</v>
      </c>
      <c r="AW319" s="53">
        <v>19</v>
      </c>
      <c r="AX319" s="53">
        <f t="shared" si="640"/>
        <v>1</v>
      </c>
      <c r="AY319" s="80">
        <v>1</v>
      </c>
      <c r="AZ319" s="75" t="str">
        <f t="shared" si="641"/>
        <v>サンリオヒョウ柄キーケース</v>
      </c>
      <c r="BA319" s="76">
        <f t="shared" si="642"/>
        <v>924</v>
      </c>
      <c r="BB319" s="31">
        <f t="shared" si="643"/>
        <v>924</v>
      </c>
      <c r="BC319" s="32">
        <f t="shared" si="644"/>
        <v>9.9354838709677415E-2</v>
      </c>
      <c r="BD319" s="15"/>
      <c r="BT319" s="15"/>
      <c r="BU319" s="79"/>
      <c r="BV319" s="13"/>
      <c r="BW319" s="13" t="str">
        <f>IF(BV319="","",BV319-BV318)</f>
        <v/>
      </c>
      <c r="BX319" s="13"/>
      <c r="BY319" s="13" t="str">
        <f>IF(BX319="","",BX319-BX318)</f>
        <v/>
      </c>
      <c r="BZ319" s="13"/>
      <c r="CA319" s="13" t="str">
        <f>IF(BZ319="","",BZ318+CB318-BZ319)</f>
        <v/>
      </c>
      <c r="CB319" s="13"/>
      <c r="CC319" s="53"/>
      <c r="CD319" s="53" t="str">
        <f>IF(BV319="","",CD318)</f>
        <v/>
      </c>
      <c r="CE319" s="13" t="str">
        <f t="shared" si="648"/>
        <v/>
      </c>
      <c r="CF319" s="14" t="str">
        <f t="shared" si="649"/>
        <v/>
      </c>
      <c r="CG319" s="15"/>
      <c r="CH319" s="1"/>
      <c r="CI319" s="79"/>
      <c r="CJ319" s="13"/>
      <c r="CK319" s="13" t="str">
        <f>IF(CJ319="","",CJ319-CJ318)</f>
        <v/>
      </c>
      <c r="CL319" s="13"/>
      <c r="CM319" s="13" t="str">
        <f>IF(CL319="","",CL319-CL318)</f>
        <v/>
      </c>
      <c r="CN319" s="13"/>
      <c r="CO319" s="13" t="str">
        <f>IF(CN319="","",CN318+CP318-CN319)</f>
        <v/>
      </c>
      <c r="CP319" s="13"/>
      <c r="CQ319" s="53"/>
      <c r="CR319" s="53" t="str">
        <f>IF(CJ319="","",CR318)</f>
        <v/>
      </c>
      <c r="CS319" s="13" t="str">
        <f t="shared" si="650"/>
        <v/>
      </c>
      <c r="CT319" s="14" t="str">
        <f>IF(CS319="","",CS319/(CJ319*100))</f>
        <v/>
      </c>
      <c r="CU319" s="15"/>
      <c r="CV319" s="1"/>
      <c r="CW319" s="79"/>
      <c r="CX319" s="13"/>
      <c r="CY319" s="13" t="str">
        <f>IF(CX319="","",CX319-CX318)</f>
        <v/>
      </c>
      <c r="CZ319" s="13"/>
      <c r="DA319" s="13" t="str">
        <f>IF(CZ319="","",CZ319-CZ318)</f>
        <v/>
      </c>
      <c r="DB319" s="13"/>
      <c r="DC319" s="13" t="str">
        <f>IF(DB319="","",DB318+DD318-DB319)</f>
        <v/>
      </c>
      <c r="DD319" s="13"/>
      <c r="DE319" s="53"/>
      <c r="DF319" s="53" t="str">
        <f>IF(CX319="","",DF318)</f>
        <v/>
      </c>
      <c r="DG319" s="13" t="str">
        <f t="shared" si="651"/>
        <v/>
      </c>
      <c r="DH319" s="14" t="str">
        <f t="shared" si="652"/>
        <v/>
      </c>
      <c r="DI319" s="15"/>
      <c r="DJ319" s="1"/>
      <c r="DK319" s="79"/>
      <c r="DL319" s="13"/>
      <c r="DM319" s="13" t="str">
        <f>IF(DL319="","",DL319-DL318)</f>
        <v/>
      </c>
      <c r="DN319" s="13"/>
      <c r="DO319" s="13" t="str">
        <f>IF(DN319="","",DN319-DN318)</f>
        <v/>
      </c>
      <c r="DP319" s="13"/>
      <c r="DQ319" s="13" t="str">
        <f>IF(DP319="","",DP318+DR318-DP319)</f>
        <v/>
      </c>
      <c r="DR319" s="13"/>
      <c r="DS319" s="53"/>
      <c r="DT319" s="53" t="str">
        <f>IF(DL319="","",DT318)</f>
        <v/>
      </c>
      <c r="DU319" s="13" t="str">
        <f t="shared" si="653"/>
        <v/>
      </c>
      <c r="DV319" s="14" t="str">
        <f t="shared" si="654"/>
        <v/>
      </c>
      <c r="DW319" s="15"/>
      <c r="DY319" s="79"/>
      <c r="DZ319" s="13"/>
      <c r="EA319" s="13" t="str">
        <f>IF(DZ319="","",DZ319-DZ318)</f>
        <v/>
      </c>
      <c r="EB319" s="13"/>
      <c r="EC319" s="13" t="str">
        <f>IF(EB319="","",EB319-EB318)</f>
        <v/>
      </c>
      <c r="ED319" s="13"/>
      <c r="EE319" s="13" t="str">
        <f>IF(ED319="","",ED318+EF318-ED319)</f>
        <v/>
      </c>
      <c r="EF319" s="13"/>
      <c r="EG319" s="53"/>
      <c r="EH319" s="53" t="str">
        <f>IF(DZ319="","",EH318)</f>
        <v/>
      </c>
      <c r="EI319" s="13" t="str">
        <f t="shared" si="655"/>
        <v/>
      </c>
      <c r="EJ319" s="14" t="str">
        <f t="shared" si="656"/>
        <v/>
      </c>
      <c r="EK319" s="15"/>
    </row>
    <row r="320" spans="1:141" ht="15" customHeight="1" x14ac:dyDescent="0.2">
      <c r="A320" s="150"/>
      <c r="B320" s="152"/>
      <c r="C320" s="54">
        <v>5704</v>
      </c>
      <c r="D320" s="13">
        <f t="shared" si="619"/>
        <v>59</v>
      </c>
      <c r="E320" s="13">
        <v>381</v>
      </c>
      <c r="F320" s="13">
        <f t="shared" si="620"/>
        <v>4</v>
      </c>
      <c r="G320" s="13">
        <v>55</v>
      </c>
      <c r="H320" s="13">
        <f t="shared" si="621"/>
        <v>4</v>
      </c>
      <c r="I320" s="17">
        <v>0</v>
      </c>
      <c r="J320" s="56" t="str">
        <f t="shared" si="622"/>
        <v>電ブル</v>
      </c>
      <c r="K320" s="54">
        <f t="shared" si="623"/>
        <v>1075</v>
      </c>
      <c r="L320" s="13">
        <f t="shared" si="624"/>
        <v>4300</v>
      </c>
      <c r="M320" s="14">
        <f t="shared" si="625"/>
        <v>0.72881355932203384</v>
      </c>
      <c r="N320" s="15"/>
      <c r="O320" s="2"/>
      <c r="P320" s="16"/>
      <c r="Q320" s="54">
        <v>4468</v>
      </c>
      <c r="R320" s="13">
        <f t="shared" si="626"/>
        <v>0</v>
      </c>
      <c r="S320" s="13">
        <v>143</v>
      </c>
      <c r="T320" s="13">
        <f t="shared" si="627"/>
        <v>0</v>
      </c>
      <c r="U320" s="13">
        <v>8</v>
      </c>
      <c r="V320" s="13">
        <f t="shared" si="628"/>
        <v>2</v>
      </c>
      <c r="W320" s="17">
        <v>4</v>
      </c>
      <c r="X320" s="56" t="str">
        <f t="shared" si="646"/>
        <v>ギャルキティマスコット</v>
      </c>
      <c r="Y320" s="54">
        <f t="shared" si="647"/>
        <v>1100</v>
      </c>
      <c r="Z320" s="13">
        <f t="shared" si="629"/>
        <v>2200</v>
      </c>
      <c r="AA320" s="14" t="e">
        <f t="shared" si="630"/>
        <v>#DIV/0!</v>
      </c>
      <c r="AB320" s="15"/>
      <c r="AC320" s="15"/>
      <c r="AD320" s="16"/>
      <c r="AE320" s="54">
        <v>10460</v>
      </c>
      <c r="AF320" s="13">
        <f t="shared" si="631"/>
        <v>8</v>
      </c>
      <c r="AG320" s="13">
        <v>226</v>
      </c>
      <c r="AH320" s="13">
        <f t="shared" si="632"/>
        <v>2</v>
      </c>
      <c r="AI320" s="13">
        <v>8</v>
      </c>
      <c r="AJ320" s="13">
        <f t="shared" si="633"/>
        <v>1</v>
      </c>
      <c r="AK320" s="17">
        <v>3</v>
      </c>
      <c r="AL320" s="56" t="s">
        <v>462</v>
      </c>
      <c r="AM320" s="177"/>
      <c r="AN320" s="13" t="s">
        <v>455</v>
      </c>
      <c r="AO320" s="14" t="e">
        <f t="shared" si="637"/>
        <v>#VALUE!</v>
      </c>
      <c r="AP320" s="15" t="s">
        <v>463</v>
      </c>
      <c r="AQ320" s="15"/>
      <c r="AR320" s="16"/>
      <c r="AS320" s="54">
        <v>8247</v>
      </c>
      <c r="AT320" s="13">
        <f t="shared" si="638"/>
        <v>60</v>
      </c>
      <c r="AU320" s="13">
        <v>416</v>
      </c>
      <c r="AV320" s="13">
        <f t="shared" si="639"/>
        <v>1</v>
      </c>
      <c r="AW320" s="13">
        <v>8</v>
      </c>
      <c r="AX320" s="13">
        <f t="shared" si="640"/>
        <v>1</v>
      </c>
      <c r="AY320" s="17">
        <v>1</v>
      </c>
      <c r="AZ320" s="56" t="str">
        <f t="shared" si="641"/>
        <v>キティフェイスポーチ</v>
      </c>
      <c r="BA320" s="54">
        <f t="shared" si="642"/>
        <v>673</v>
      </c>
      <c r="BB320" s="13">
        <f t="shared" si="643"/>
        <v>673</v>
      </c>
      <c r="BC320" s="14">
        <f t="shared" si="644"/>
        <v>0.11216666666666666</v>
      </c>
      <c r="BD320" s="15"/>
      <c r="BT320" s="15"/>
      <c r="BU320" s="16"/>
      <c r="BV320" s="54"/>
      <c r="BW320" s="13" t="str">
        <f>IF(BV320="","",BV320-BV319)</f>
        <v/>
      </c>
      <c r="BX320" s="13"/>
      <c r="BY320" s="13" t="str">
        <f>IF(BX320="","",BX320-BX319)</f>
        <v/>
      </c>
      <c r="BZ320" s="13"/>
      <c r="CA320" s="13" t="str">
        <f>IF(BZ320="","",BZ319+CB319-BZ320)</f>
        <v/>
      </c>
      <c r="CB320" s="13"/>
      <c r="CC320" s="13"/>
      <c r="CD320" s="13"/>
      <c r="CE320" s="13" t="str">
        <f t="shared" si="648"/>
        <v/>
      </c>
      <c r="CF320" s="14" t="str">
        <f t="shared" si="649"/>
        <v/>
      </c>
      <c r="CG320" s="15"/>
      <c r="CH320" s="1"/>
      <c r="CI320" s="16"/>
      <c r="CJ320" s="54"/>
      <c r="CK320" s="13" t="str">
        <f>IF(CJ320="","",CJ320-CJ319)</f>
        <v/>
      </c>
      <c r="CL320" s="13"/>
      <c r="CM320" s="13" t="str">
        <f>IF(CL320="","",CL320-CL319)</f>
        <v/>
      </c>
      <c r="CN320" s="13"/>
      <c r="CO320" s="13" t="str">
        <f>IF(CN320="","",CN319+CP319-CN320)</f>
        <v/>
      </c>
      <c r="CP320" s="13"/>
      <c r="CQ320" s="13"/>
      <c r="CR320" s="13"/>
      <c r="CS320" s="13" t="str">
        <f t="shared" si="650"/>
        <v/>
      </c>
      <c r="CT320" s="14" t="str">
        <f t="shared" ref="CT320:CT346" si="657">IF(CS320="","",CS320/(CK320*100))</f>
        <v/>
      </c>
      <c r="CU320" s="15"/>
      <c r="CV320" s="1"/>
      <c r="CW320" s="16"/>
      <c r="CX320" s="54"/>
      <c r="CY320" s="13" t="str">
        <f>IF(CX320="","",CX320-CX319)</f>
        <v/>
      </c>
      <c r="CZ320" s="13"/>
      <c r="DA320" s="13" t="str">
        <f>IF(CZ320="","",CZ320-CZ319)</f>
        <v/>
      </c>
      <c r="DB320" s="13"/>
      <c r="DC320" s="13" t="str">
        <f>IF(DB320="","",DB319+DD319-DB320)</f>
        <v/>
      </c>
      <c r="DD320" s="13"/>
      <c r="DE320" s="13"/>
      <c r="DF320" s="13"/>
      <c r="DG320" s="13" t="str">
        <f t="shared" si="651"/>
        <v/>
      </c>
      <c r="DH320" s="14" t="str">
        <f t="shared" si="652"/>
        <v/>
      </c>
      <c r="DI320" s="15"/>
      <c r="DJ320" s="1"/>
      <c r="DK320" s="16"/>
      <c r="DL320" s="54"/>
      <c r="DM320" s="13" t="str">
        <f>IF(DL320="","",DL320-DL319)</f>
        <v/>
      </c>
      <c r="DN320" s="13"/>
      <c r="DO320" s="13" t="str">
        <f>IF(DN320="","",DN320-DN319)</f>
        <v/>
      </c>
      <c r="DP320" s="13"/>
      <c r="DQ320" s="13" t="str">
        <f>IF(DP320="","",DP319+DR319-DP320)</f>
        <v/>
      </c>
      <c r="DR320" s="13"/>
      <c r="DS320" s="13"/>
      <c r="DT320" s="13"/>
      <c r="DU320" s="13" t="str">
        <f t="shared" si="653"/>
        <v/>
      </c>
      <c r="DV320" s="14" t="str">
        <f t="shared" si="654"/>
        <v/>
      </c>
      <c r="DW320" s="15"/>
      <c r="DY320" s="16"/>
      <c r="DZ320" s="54"/>
      <c r="EA320" s="13" t="str">
        <f>IF(DZ320="","",DZ320-DZ319)</f>
        <v/>
      </c>
      <c r="EB320" s="13"/>
      <c r="EC320" s="13" t="str">
        <f>IF(EB320="","",EB320-EB319)</f>
        <v/>
      </c>
      <c r="ED320" s="13"/>
      <c r="EE320" s="13" t="str">
        <f>IF(ED320="","",ED319+EF319-ED320)</f>
        <v/>
      </c>
      <c r="EF320" s="13"/>
      <c r="EG320" s="13"/>
      <c r="EH320" s="13"/>
      <c r="EI320" s="13" t="str">
        <f t="shared" si="655"/>
        <v/>
      </c>
      <c r="EJ320" s="14" t="str">
        <f t="shared" si="656"/>
        <v/>
      </c>
      <c r="EK320" s="15"/>
    </row>
    <row r="321" spans="1:141" ht="15" customHeight="1" x14ac:dyDescent="0.2">
      <c r="A321" s="16"/>
      <c r="B321" s="74"/>
      <c r="C321" s="34">
        <v>11821</v>
      </c>
      <c r="D321" s="13">
        <f t="shared" si="619"/>
        <v>50</v>
      </c>
      <c r="E321" s="34">
        <v>632</v>
      </c>
      <c r="F321" s="13">
        <f t="shared" si="620"/>
        <v>1</v>
      </c>
      <c r="G321" s="13">
        <v>21</v>
      </c>
      <c r="H321" s="13">
        <f t="shared" si="621"/>
        <v>1</v>
      </c>
      <c r="I321" s="49">
        <v>0</v>
      </c>
      <c r="J321" s="56" t="str">
        <f t="shared" si="622"/>
        <v>ゲーム機イヤホン</v>
      </c>
      <c r="K321" s="13">
        <f t="shared" si="623"/>
        <v>1100</v>
      </c>
      <c r="L321" s="13">
        <f t="shared" si="624"/>
        <v>1100</v>
      </c>
      <c r="M321" s="14">
        <f t="shared" si="625"/>
        <v>0.22</v>
      </c>
      <c r="N321" s="15"/>
      <c r="O321" s="2"/>
      <c r="P321" s="16"/>
      <c r="Q321" s="34">
        <v>7974</v>
      </c>
      <c r="R321" s="13">
        <f t="shared" si="626"/>
        <v>26</v>
      </c>
      <c r="S321" s="34">
        <v>165</v>
      </c>
      <c r="T321" s="13">
        <f t="shared" si="627"/>
        <v>1</v>
      </c>
      <c r="U321" s="13">
        <v>10</v>
      </c>
      <c r="V321" s="13">
        <f t="shared" si="628"/>
        <v>1</v>
      </c>
      <c r="W321" s="49"/>
      <c r="X321" s="56" t="str">
        <f t="shared" si="646"/>
        <v>サンリオホワイトマスコット</v>
      </c>
      <c r="Y321" s="13">
        <f t="shared" si="647"/>
        <v>660</v>
      </c>
      <c r="Z321" s="13">
        <f t="shared" si="629"/>
        <v>660</v>
      </c>
      <c r="AA321" s="14">
        <f t="shared" si="630"/>
        <v>0.25384615384615383</v>
      </c>
      <c r="AB321" s="15"/>
      <c r="AC321" s="15"/>
      <c r="AD321" s="16"/>
      <c r="AE321" s="34">
        <v>12602</v>
      </c>
      <c r="AF321" s="13">
        <f t="shared" si="631"/>
        <v>46</v>
      </c>
      <c r="AG321" s="34">
        <v>346</v>
      </c>
      <c r="AH321" s="13">
        <f t="shared" si="632"/>
        <v>1</v>
      </c>
      <c r="AI321" s="13">
        <v>73</v>
      </c>
      <c r="AJ321" s="13">
        <f t="shared" si="633"/>
        <v>1</v>
      </c>
      <c r="AK321" s="49">
        <v>3</v>
      </c>
      <c r="AL321" s="56" t="str">
        <f t="shared" ref="AL321:AM323" si="658">IF(AE321="","",AL317)</f>
        <v>ゲームアーク</v>
      </c>
      <c r="AM321" s="13">
        <f t="shared" si="658"/>
        <v>682</v>
      </c>
      <c r="AN321" s="13">
        <f t="shared" ref="AN321:AN326" si="659">IF(AI321="","",AJ321*AM321)</f>
        <v>682</v>
      </c>
      <c r="AO321" s="14">
        <f t="shared" si="637"/>
        <v>0.14826086956521739</v>
      </c>
      <c r="AP321" s="15"/>
      <c r="AQ321" s="15"/>
      <c r="AR321" s="16"/>
      <c r="AS321" s="34">
        <v>15171</v>
      </c>
      <c r="AT321" s="13">
        <f t="shared" si="638"/>
        <v>31</v>
      </c>
      <c r="AU321" s="34">
        <v>521</v>
      </c>
      <c r="AV321" s="13">
        <f t="shared" si="639"/>
        <v>0</v>
      </c>
      <c r="AW321" s="13">
        <v>18</v>
      </c>
      <c r="AX321" s="13">
        <f t="shared" si="640"/>
        <v>0</v>
      </c>
      <c r="AY321" s="49">
        <v>0</v>
      </c>
      <c r="AZ321" s="56" t="str">
        <f t="shared" si="641"/>
        <v>ラブブキーホルダーおおきめ</v>
      </c>
      <c r="BA321" s="13">
        <f t="shared" si="642"/>
        <v>500</v>
      </c>
      <c r="BB321" s="13">
        <f t="shared" si="643"/>
        <v>0</v>
      </c>
      <c r="BC321" s="14">
        <f t="shared" si="644"/>
        <v>0</v>
      </c>
      <c r="BD321" s="15"/>
      <c r="BT321" s="15"/>
      <c r="BU321" s="16"/>
      <c r="BV321" s="54"/>
      <c r="BW321" s="13" t="str">
        <f>IF(BV321="","",BV321-BV320)</f>
        <v/>
      </c>
      <c r="BX321" s="13"/>
      <c r="BY321" s="13" t="str">
        <f>IF(BX321="","",BX321-BX320)</f>
        <v/>
      </c>
      <c r="BZ321" s="13"/>
      <c r="CA321" s="13" t="str">
        <f>IF(BZ321="","",BZ320+CB320-BZ321)</f>
        <v/>
      </c>
      <c r="CB321" s="13"/>
      <c r="CC321" s="13"/>
      <c r="CD321" s="13"/>
      <c r="CE321" s="13" t="str">
        <f t="shared" si="648"/>
        <v/>
      </c>
      <c r="CF321" s="14" t="str">
        <f t="shared" si="649"/>
        <v/>
      </c>
      <c r="CG321" s="15"/>
      <c r="CH321" s="1"/>
      <c r="CI321" s="16"/>
      <c r="CJ321" s="54"/>
      <c r="CK321" s="13" t="str">
        <f>IF(CJ321="","",CJ321-CJ320)</f>
        <v/>
      </c>
      <c r="CL321" s="13"/>
      <c r="CM321" s="13" t="str">
        <f>IF(CL321="","",CL321-CL320)</f>
        <v/>
      </c>
      <c r="CN321" s="13"/>
      <c r="CO321" s="13" t="str">
        <f>IF(CN321="","",CN320+CP320-CN321)</f>
        <v/>
      </c>
      <c r="CP321" s="13"/>
      <c r="CQ321" s="13"/>
      <c r="CR321" s="13"/>
      <c r="CS321" s="13" t="str">
        <f t="shared" si="650"/>
        <v/>
      </c>
      <c r="CT321" s="14" t="str">
        <f t="shared" si="657"/>
        <v/>
      </c>
      <c r="CU321" s="15"/>
      <c r="CV321" s="1"/>
      <c r="CW321" s="16"/>
      <c r="CX321" s="54"/>
      <c r="CY321" s="13" t="str">
        <f>IF(CX321="","",CX321-CX320)</f>
        <v/>
      </c>
      <c r="CZ321" s="13"/>
      <c r="DA321" s="13" t="str">
        <f>IF(CZ321="","",CZ321-CZ320)</f>
        <v/>
      </c>
      <c r="DB321" s="13"/>
      <c r="DC321" s="13" t="str">
        <f>IF(DB321="","",DB320+DD320-DB321)</f>
        <v/>
      </c>
      <c r="DD321" s="13"/>
      <c r="DE321" s="13"/>
      <c r="DF321" s="13"/>
      <c r="DG321" s="13" t="str">
        <f t="shared" si="651"/>
        <v/>
      </c>
      <c r="DH321" s="14" t="str">
        <f t="shared" si="652"/>
        <v/>
      </c>
      <c r="DI321" s="15"/>
      <c r="DJ321" s="1"/>
      <c r="DK321" s="16"/>
      <c r="DL321" s="54"/>
      <c r="DM321" s="13" t="str">
        <f>IF(DL321="","",DL321-DL320)</f>
        <v/>
      </c>
      <c r="DN321" s="13"/>
      <c r="DO321" s="13" t="str">
        <f>IF(DN321="","",DN321-DN320)</f>
        <v/>
      </c>
      <c r="DP321" s="13"/>
      <c r="DQ321" s="13" t="str">
        <f>IF(DP321="","",DP320+DR320-DP321)</f>
        <v/>
      </c>
      <c r="DR321" s="13"/>
      <c r="DS321" s="13"/>
      <c r="DT321" s="13"/>
      <c r="DU321" s="13" t="str">
        <f t="shared" si="653"/>
        <v/>
      </c>
      <c r="DV321" s="14" t="str">
        <f t="shared" si="654"/>
        <v/>
      </c>
      <c r="DW321" s="15"/>
      <c r="DY321" s="16"/>
      <c r="DZ321" s="54"/>
      <c r="EA321" s="13" t="str">
        <f>IF(DZ321="","",DZ321-DZ320)</f>
        <v/>
      </c>
      <c r="EB321" s="13"/>
      <c r="EC321" s="13" t="str">
        <f>IF(EB321="","",EB321-EB320)</f>
        <v/>
      </c>
      <c r="ED321" s="13"/>
      <c r="EE321" s="13" t="str">
        <f>IF(ED321="","",ED320+EF320-ED321)</f>
        <v/>
      </c>
      <c r="EF321" s="13"/>
      <c r="EG321" s="13"/>
      <c r="EH321" s="13"/>
      <c r="EI321" s="13" t="str">
        <f t="shared" si="655"/>
        <v/>
      </c>
      <c r="EJ321" s="14" t="str">
        <f t="shared" si="656"/>
        <v/>
      </c>
      <c r="EK321" s="15"/>
    </row>
    <row r="322" spans="1:141" ht="15" customHeight="1" thickBot="1" x14ac:dyDescent="0.25">
      <c r="A322" s="26"/>
      <c r="B322" s="46"/>
      <c r="C322" s="27">
        <v>7209</v>
      </c>
      <c r="D322" s="27">
        <f t="shared" si="619"/>
        <v>179</v>
      </c>
      <c r="E322" s="27">
        <v>482</v>
      </c>
      <c r="F322" s="27">
        <f t="shared" si="620"/>
        <v>0</v>
      </c>
      <c r="G322" s="27">
        <v>8</v>
      </c>
      <c r="H322" s="27">
        <f t="shared" si="621"/>
        <v>0</v>
      </c>
      <c r="I322" s="47">
        <v>0</v>
      </c>
      <c r="J322" s="57" t="str">
        <f t="shared" si="622"/>
        <v>モンチッチフェイスポーチ</v>
      </c>
      <c r="K322" s="62">
        <f t="shared" si="623"/>
        <v>900</v>
      </c>
      <c r="L322" s="27">
        <f t="shared" si="624"/>
        <v>0</v>
      </c>
      <c r="M322" s="28">
        <f t="shared" si="625"/>
        <v>0</v>
      </c>
      <c r="N322" s="15"/>
      <c r="O322" s="2"/>
      <c r="P322" s="26"/>
      <c r="Q322" s="27">
        <v>9570</v>
      </c>
      <c r="R322" s="27">
        <f t="shared" si="626"/>
        <v>241</v>
      </c>
      <c r="S322" s="27">
        <v>200</v>
      </c>
      <c r="T322" s="27">
        <f t="shared" si="627"/>
        <v>10</v>
      </c>
      <c r="U322" s="27">
        <v>15</v>
      </c>
      <c r="V322" s="27">
        <f t="shared" si="628"/>
        <v>10</v>
      </c>
      <c r="W322" s="47">
        <v>18</v>
      </c>
      <c r="X322" s="57" t="str">
        <f t="shared" si="646"/>
        <v>ボンボンドロップ</v>
      </c>
      <c r="Y322" s="62">
        <f t="shared" si="647"/>
        <v>300</v>
      </c>
      <c r="Z322" s="27">
        <f t="shared" si="629"/>
        <v>3000</v>
      </c>
      <c r="AA322" s="28">
        <f t="shared" si="630"/>
        <v>0.12448132780082988</v>
      </c>
      <c r="AB322" s="15"/>
      <c r="AC322" s="15"/>
      <c r="AD322" s="26"/>
      <c r="AE322" s="27">
        <v>12415</v>
      </c>
      <c r="AF322" s="27">
        <f t="shared" si="631"/>
        <v>54</v>
      </c>
      <c r="AG322" s="27">
        <v>313</v>
      </c>
      <c r="AH322" s="27">
        <f t="shared" si="632"/>
        <v>1</v>
      </c>
      <c r="AI322" s="27">
        <v>12</v>
      </c>
      <c r="AJ322" s="27">
        <f t="shared" si="633"/>
        <v>1</v>
      </c>
      <c r="AK322" s="47">
        <v>2</v>
      </c>
      <c r="AL322" s="57" t="str">
        <f t="shared" si="658"/>
        <v>モンチッチマスコット2</v>
      </c>
      <c r="AM322" s="62">
        <f t="shared" si="658"/>
        <v>605</v>
      </c>
      <c r="AN322" s="27">
        <f t="shared" si="659"/>
        <v>605</v>
      </c>
      <c r="AO322" s="28">
        <f t="shared" si="637"/>
        <v>0.11203703703703703</v>
      </c>
      <c r="AP322" s="15"/>
      <c r="AQ322" s="15"/>
      <c r="AR322" s="26"/>
      <c r="AS322" s="27">
        <v>15687</v>
      </c>
      <c r="AT322" s="27">
        <f t="shared" si="638"/>
        <v>21</v>
      </c>
      <c r="AU322" s="27">
        <v>452</v>
      </c>
      <c r="AV322" s="27">
        <f t="shared" si="639"/>
        <v>2</v>
      </c>
      <c r="AW322" s="27">
        <v>31</v>
      </c>
      <c r="AX322" s="27">
        <f t="shared" si="640"/>
        <v>3</v>
      </c>
      <c r="AY322" s="47">
        <v>9</v>
      </c>
      <c r="AZ322" s="57" t="str">
        <f t="shared" si="641"/>
        <v>ラブブマスコット</v>
      </c>
      <c r="BA322" s="62">
        <f t="shared" si="642"/>
        <v>400</v>
      </c>
      <c r="BB322" s="27">
        <f t="shared" si="643"/>
        <v>1200</v>
      </c>
      <c r="BC322" s="28">
        <f t="shared" si="644"/>
        <v>0.5714285714285714</v>
      </c>
      <c r="BD322" s="15"/>
      <c r="BT322" s="15"/>
      <c r="BU322" s="16"/>
      <c r="BV322" s="54"/>
      <c r="BW322" s="13" t="str">
        <f>IF(BV322="","",BV322-BV321)</f>
        <v/>
      </c>
      <c r="BX322" s="13"/>
      <c r="BY322" s="13"/>
      <c r="BZ322" s="13"/>
      <c r="CA322" s="13" t="str">
        <f>IF(BZ322="","",BZ321+CB321-BZ322)</f>
        <v/>
      </c>
      <c r="CB322" s="13"/>
      <c r="CC322" s="13"/>
      <c r="CD322" s="13"/>
      <c r="CE322" s="13" t="str">
        <f t="shared" si="648"/>
        <v/>
      </c>
      <c r="CF322" s="14" t="str">
        <f t="shared" si="649"/>
        <v/>
      </c>
      <c r="CG322" s="15"/>
      <c r="CH322" s="1"/>
      <c r="CI322" s="16"/>
      <c r="CJ322" s="54"/>
      <c r="CK322" s="13" t="str">
        <f>IF(CJ322="","",CJ322-CJ321)</f>
        <v/>
      </c>
      <c r="CL322" s="13"/>
      <c r="CM322" s="13"/>
      <c r="CN322" s="13"/>
      <c r="CO322" s="13" t="str">
        <f>IF(CN322="","",CN321+CP321-CN322)</f>
        <v/>
      </c>
      <c r="CP322" s="13"/>
      <c r="CQ322" s="13"/>
      <c r="CR322" s="13"/>
      <c r="CS322" s="13" t="str">
        <f t="shared" si="650"/>
        <v/>
      </c>
      <c r="CT322" s="14" t="str">
        <f t="shared" si="657"/>
        <v/>
      </c>
      <c r="CU322" s="15"/>
      <c r="CV322" s="1"/>
      <c r="CW322" s="16"/>
      <c r="CX322" s="54"/>
      <c r="CY322" s="13" t="str">
        <f>IF(CX322="","",CX322-CX321)</f>
        <v/>
      </c>
      <c r="CZ322" s="13"/>
      <c r="DA322" s="13"/>
      <c r="DB322" s="13"/>
      <c r="DC322" s="13" t="str">
        <f>IF(DB322="","",DB321+DD321-DB322)</f>
        <v/>
      </c>
      <c r="DD322" s="13"/>
      <c r="DE322" s="13"/>
      <c r="DF322" s="13"/>
      <c r="DG322" s="13" t="str">
        <f t="shared" si="651"/>
        <v/>
      </c>
      <c r="DH322" s="14" t="str">
        <f t="shared" si="652"/>
        <v/>
      </c>
      <c r="DI322" s="15"/>
      <c r="DJ322" s="1"/>
      <c r="DK322" s="16"/>
      <c r="DL322" s="54"/>
      <c r="DM322" s="13" t="str">
        <f>IF(DL322="","",DL322-DL321)</f>
        <v/>
      </c>
      <c r="DN322" s="13"/>
      <c r="DO322" s="13"/>
      <c r="DP322" s="13"/>
      <c r="DQ322" s="13" t="str">
        <f>IF(DP322="","",DP321+DR321-DP322)</f>
        <v/>
      </c>
      <c r="DR322" s="13"/>
      <c r="DS322" s="13"/>
      <c r="DT322" s="13"/>
      <c r="DU322" s="13" t="str">
        <f t="shared" si="653"/>
        <v/>
      </c>
      <c r="DV322" s="14" t="str">
        <f t="shared" si="654"/>
        <v/>
      </c>
      <c r="DW322" s="15"/>
      <c r="DY322" s="16"/>
      <c r="DZ322" s="54"/>
      <c r="EA322" s="13" t="str">
        <f>IF(DZ322="","",DZ322-DZ321)</f>
        <v/>
      </c>
      <c r="EB322" s="13"/>
      <c r="EC322" s="13"/>
      <c r="ED322" s="13"/>
      <c r="EE322" s="13" t="str">
        <f>IF(ED322="","",ED321+EF321-ED322)</f>
        <v/>
      </c>
      <c r="EF322" s="13"/>
      <c r="EG322" s="13"/>
      <c r="EH322" s="13"/>
      <c r="EI322" s="13" t="str">
        <f t="shared" si="655"/>
        <v/>
      </c>
      <c r="EJ322" s="14" t="str">
        <f t="shared" si="656"/>
        <v/>
      </c>
      <c r="EK322" s="15"/>
    </row>
    <row r="323" spans="1:141" ht="15" customHeight="1" thickTop="1" x14ac:dyDescent="0.2">
      <c r="A323" s="16">
        <v>46062</v>
      </c>
      <c r="B323" s="74">
        <f>IF(A323="","",SUM(D323:D326)+SUM(R323:R326)+SUM(AF323:AF326)+SUM(AT323:AT326)+SUM(BW305,CK305,CY305,DM305))</f>
        <v>4060</v>
      </c>
      <c r="C323" s="13">
        <v>6204</v>
      </c>
      <c r="D323" s="53">
        <f t="shared" si="619"/>
        <v>73</v>
      </c>
      <c r="E323" s="13">
        <v>359</v>
      </c>
      <c r="F323" s="31">
        <f t="shared" si="620"/>
        <v>1</v>
      </c>
      <c r="G323" s="13">
        <v>18</v>
      </c>
      <c r="H323" s="53">
        <f t="shared" si="621"/>
        <v>1</v>
      </c>
      <c r="I323" s="17">
        <v>0</v>
      </c>
      <c r="J323" s="75" t="str">
        <f t="shared" si="622"/>
        <v>ジャグラーボタン</v>
      </c>
      <c r="K323" s="76">
        <f t="shared" si="623"/>
        <v>748</v>
      </c>
      <c r="L323" s="31">
        <f t="shared" si="624"/>
        <v>748</v>
      </c>
      <c r="M323" s="32">
        <f t="shared" si="625"/>
        <v>0.10246575342465754</v>
      </c>
      <c r="N323" s="15"/>
      <c r="O323" s="2"/>
      <c r="P323" s="79">
        <f>IF($A323="","",$A323)</f>
        <v>46062</v>
      </c>
      <c r="Q323" s="13">
        <v>6731</v>
      </c>
      <c r="R323" s="53">
        <f t="shared" si="626"/>
        <v>183</v>
      </c>
      <c r="S323" s="13">
        <v>221</v>
      </c>
      <c r="T323" s="31">
        <f t="shared" si="627"/>
        <v>6</v>
      </c>
      <c r="U323" s="13">
        <v>8</v>
      </c>
      <c r="V323" s="53">
        <f t="shared" si="628"/>
        <v>5</v>
      </c>
      <c r="W323" s="17">
        <v>5</v>
      </c>
      <c r="X323" s="75" t="str">
        <f t="shared" si="646"/>
        <v>キティボアバンスクリップ</v>
      </c>
      <c r="Y323" s="76">
        <f t="shared" si="647"/>
        <v>1100</v>
      </c>
      <c r="Z323" s="31">
        <f t="shared" si="629"/>
        <v>5500</v>
      </c>
      <c r="AA323" s="32">
        <f t="shared" si="630"/>
        <v>0.30054644808743169</v>
      </c>
      <c r="AB323" s="15"/>
      <c r="AC323" s="15"/>
      <c r="AD323" s="79">
        <f>IF($A323="","",$A323)</f>
        <v>46062</v>
      </c>
      <c r="AE323" s="13">
        <v>10885</v>
      </c>
      <c r="AF323" s="53">
        <f t="shared" si="631"/>
        <v>67</v>
      </c>
      <c r="AG323" s="13">
        <v>247</v>
      </c>
      <c r="AH323" s="31">
        <f t="shared" si="632"/>
        <v>3</v>
      </c>
      <c r="AI323" s="13">
        <v>19</v>
      </c>
      <c r="AJ323" s="53">
        <f t="shared" si="633"/>
        <v>3</v>
      </c>
      <c r="AK323" s="17">
        <v>0</v>
      </c>
      <c r="AL323" s="75" t="str">
        <f t="shared" si="658"/>
        <v>サンリオ型押しケース</v>
      </c>
      <c r="AM323" s="76">
        <f t="shared" si="658"/>
        <v>545</v>
      </c>
      <c r="AN323" s="31">
        <f t="shared" si="659"/>
        <v>1635</v>
      </c>
      <c r="AO323" s="32">
        <f t="shared" si="637"/>
        <v>0.24402985074626865</v>
      </c>
      <c r="AP323" s="15"/>
      <c r="AQ323" s="15"/>
      <c r="AR323" s="79">
        <f>IF($A323="","",$A323)</f>
        <v>46062</v>
      </c>
      <c r="AS323" s="13">
        <v>11708</v>
      </c>
      <c r="AT323" s="53">
        <f t="shared" si="638"/>
        <v>41</v>
      </c>
      <c r="AU323" s="13">
        <v>371</v>
      </c>
      <c r="AV323" s="31">
        <f t="shared" si="639"/>
        <v>2</v>
      </c>
      <c r="AW323" s="13">
        <v>18</v>
      </c>
      <c r="AX323" s="53">
        <f t="shared" si="640"/>
        <v>2</v>
      </c>
      <c r="AY323" s="17">
        <v>0</v>
      </c>
      <c r="AZ323" s="75" t="str">
        <f t="shared" si="641"/>
        <v>サンリオヒョウ柄キーケース</v>
      </c>
      <c r="BA323" s="76">
        <f t="shared" si="642"/>
        <v>924</v>
      </c>
      <c r="BB323" s="31">
        <f t="shared" si="643"/>
        <v>1848</v>
      </c>
      <c r="BC323" s="32">
        <f t="shared" si="644"/>
        <v>0.45073170731707318</v>
      </c>
      <c r="BD323" s="15"/>
      <c r="BT323" s="15"/>
      <c r="BU323" s="16"/>
      <c r="BV323" s="13"/>
      <c r="BW323" s="13" t="str">
        <f>IF(BV323="","",BV323-BV324)</f>
        <v/>
      </c>
      <c r="BX323" s="13"/>
      <c r="BY323" s="13" t="str">
        <f>IF(BX323="","",BX323-BX324)</f>
        <v/>
      </c>
      <c r="BZ323" s="13"/>
      <c r="CA323" s="13" t="str">
        <f>IF(BZ323="","",BZ324+CB324-BZ323)</f>
        <v/>
      </c>
      <c r="CB323" s="13"/>
      <c r="CC323" s="13"/>
      <c r="CD323" s="13"/>
      <c r="CE323" s="13" t="str">
        <f t="shared" si="648"/>
        <v/>
      </c>
      <c r="CF323" s="14" t="str">
        <f t="shared" si="649"/>
        <v/>
      </c>
      <c r="CG323" s="15"/>
      <c r="CH323" s="1"/>
      <c r="CI323" s="16"/>
      <c r="CJ323" s="13"/>
      <c r="CK323" s="13" t="str">
        <f>IF(CJ323="","",CJ323-CJ324)</f>
        <v/>
      </c>
      <c r="CL323" s="13"/>
      <c r="CM323" s="13" t="str">
        <f>IF(CL323="","",CL323-CL324)</f>
        <v/>
      </c>
      <c r="CN323" s="13"/>
      <c r="CO323" s="13" t="str">
        <f>IF(CN323="","",CN324+CP324-CN323)</f>
        <v/>
      </c>
      <c r="CP323" s="13"/>
      <c r="CQ323" s="13"/>
      <c r="CR323" s="13"/>
      <c r="CS323" s="13" t="str">
        <f t="shared" si="650"/>
        <v/>
      </c>
      <c r="CT323" s="14" t="str">
        <f t="shared" si="657"/>
        <v/>
      </c>
      <c r="CU323" s="15"/>
      <c r="CV323" s="1"/>
      <c r="CW323" s="16"/>
      <c r="CX323" s="13"/>
      <c r="CY323" s="13" t="str">
        <f>IF(CX323="","",CX323-CX324)</f>
        <v/>
      </c>
      <c r="CZ323" s="13"/>
      <c r="DA323" s="13" t="str">
        <f>IF(CZ323="","",CZ323-CZ324)</f>
        <v/>
      </c>
      <c r="DB323" s="13"/>
      <c r="DC323" s="13" t="str">
        <f>IF(DB323="","",DB324+DD324-DB323)</f>
        <v/>
      </c>
      <c r="DD323" s="13"/>
      <c r="DE323" s="13"/>
      <c r="DF323" s="13"/>
      <c r="DG323" s="13" t="str">
        <f t="shared" si="651"/>
        <v/>
      </c>
      <c r="DH323" s="14" t="str">
        <f t="shared" si="652"/>
        <v/>
      </c>
      <c r="DI323" s="15"/>
      <c r="DJ323" s="1"/>
      <c r="DK323" s="16"/>
      <c r="DL323" s="13"/>
      <c r="DM323" s="13" t="str">
        <f>IF(DL323="","",DL323-DL324)</f>
        <v/>
      </c>
      <c r="DN323" s="13"/>
      <c r="DO323" s="13" t="str">
        <f>IF(DN323="","",DN323-DN324)</f>
        <v/>
      </c>
      <c r="DP323" s="13"/>
      <c r="DQ323" s="13" t="str">
        <f>IF(DP323="","",DP324+DR324-DP323)</f>
        <v/>
      </c>
      <c r="DR323" s="13"/>
      <c r="DS323" s="13"/>
      <c r="DT323" s="13"/>
      <c r="DU323" s="13" t="str">
        <f t="shared" si="653"/>
        <v/>
      </c>
      <c r="DV323" s="14" t="str">
        <f t="shared" si="654"/>
        <v/>
      </c>
      <c r="DW323" s="15"/>
      <c r="DY323" s="16"/>
      <c r="DZ323" s="13"/>
      <c r="EA323" s="13" t="str">
        <f>IF(DZ323="","",DZ323-DZ324)</f>
        <v/>
      </c>
      <c r="EB323" s="13"/>
      <c r="EC323" s="13" t="str">
        <f>IF(EB323="","",EB323-EB324)</f>
        <v/>
      </c>
      <c r="ED323" s="13"/>
      <c r="EE323" s="13" t="str">
        <f>IF(ED323="","",ED324+EF324-ED323)</f>
        <v/>
      </c>
      <c r="EF323" s="13"/>
      <c r="EG323" s="13"/>
      <c r="EH323" s="13"/>
      <c r="EI323" s="13" t="str">
        <f t="shared" si="655"/>
        <v/>
      </c>
      <c r="EJ323" s="14" t="str">
        <f t="shared" si="656"/>
        <v/>
      </c>
      <c r="EK323" s="15"/>
    </row>
    <row r="324" spans="1:141" ht="15" customHeight="1" x14ac:dyDescent="0.2">
      <c r="A324" s="79"/>
      <c r="B324" s="11"/>
      <c r="C324" s="53">
        <v>5760</v>
      </c>
      <c r="D324" s="13">
        <f t="shared" si="619"/>
        <v>56</v>
      </c>
      <c r="E324" s="53">
        <v>382</v>
      </c>
      <c r="F324" s="13">
        <f t="shared" si="620"/>
        <v>1</v>
      </c>
      <c r="G324" s="13">
        <v>53</v>
      </c>
      <c r="H324" s="13">
        <f t="shared" si="621"/>
        <v>2</v>
      </c>
      <c r="I324" s="17">
        <v>0</v>
      </c>
      <c r="J324" s="56" t="str">
        <f t="shared" si="622"/>
        <v>電ブル</v>
      </c>
      <c r="K324" s="54">
        <f t="shared" si="623"/>
        <v>1075</v>
      </c>
      <c r="L324" s="13">
        <f t="shared" si="624"/>
        <v>2150</v>
      </c>
      <c r="M324" s="14">
        <f t="shared" si="625"/>
        <v>0.38392857142857145</v>
      </c>
      <c r="N324" s="15"/>
      <c r="O324" s="2"/>
      <c r="P324" s="79" t="str">
        <f>IF(A324="","",A324)</f>
        <v/>
      </c>
      <c r="Q324" s="53">
        <v>4528</v>
      </c>
      <c r="R324" s="13">
        <f t="shared" si="626"/>
        <v>60</v>
      </c>
      <c r="S324" s="53">
        <v>143</v>
      </c>
      <c r="T324" s="13">
        <f t="shared" si="627"/>
        <v>0</v>
      </c>
      <c r="U324" s="13">
        <v>7</v>
      </c>
      <c r="V324" s="13">
        <f t="shared" si="628"/>
        <v>5</v>
      </c>
      <c r="W324" s="17">
        <v>4</v>
      </c>
      <c r="X324" s="56" t="str">
        <f t="shared" si="646"/>
        <v>ギャルキティマスコット</v>
      </c>
      <c r="Y324" s="54">
        <f t="shared" si="647"/>
        <v>1100</v>
      </c>
      <c r="Z324" s="13">
        <f t="shared" si="629"/>
        <v>5500</v>
      </c>
      <c r="AA324" s="14">
        <f t="shared" si="630"/>
        <v>0.91666666666666663</v>
      </c>
      <c r="AB324" s="15"/>
      <c r="AC324" s="15"/>
      <c r="AD324" s="79" t="str">
        <f>IF(O324="","",O324)</f>
        <v/>
      </c>
      <c r="AE324" s="53">
        <v>10595</v>
      </c>
      <c r="AF324" s="13">
        <f t="shared" si="631"/>
        <v>135</v>
      </c>
      <c r="AG324" s="53">
        <v>227</v>
      </c>
      <c r="AH324" s="13">
        <f t="shared" si="632"/>
        <v>1</v>
      </c>
      <c r="AI324" s="13">
        <v>10</v>
      </c>
      <c r="AJ324" s="13">
        <f t="shared" si="633"/>
        <v>1</v>
      </c>
      <c r="AK324" s="17">
        <v>2</v>
      </c>
      <c r="AL324" s="56" t="s">
        <v>464</v>
      </c>
      <c r="AM324" s="54">
        <f>IF(AF324="","",AM320)</f>
        <v>0</v>
      </c>
      <c r="AN324" s="13">
        <f t="shared" si="659"/>
        <v>0</v>
      </c>
      <c r="AO324" s="14">
        <f t="shared" si="637"/>
        <v>0</v>
      </c>
      <c r="AP324" s="15"/>
      <c r="AQ324" s="15"/>
      <c r="AR324" s="79" t="str">
        <f>IF(AC324="","",AC324)</f>
        <v/>
      </c>
      <c r="AS324" s="53">
        <v>8316</v>
      </c>
      <c r="AT324" s="13">
        <f t="shared" si="638"/>
        <v>69</v>
      </c>
      <c r="AU324" s="53">
        <v>422</v>
      </c>
      <c r="AV324" s="13">
        <f t="shared" si="639"/>
        <v>6</v>
      </c>
      <c r="AW324" s="13">
        <v>4</v>
      </c>
      <c r="AX324" s="13">
        <f t="shared" si="640"/>
        <v>5</v>
      </c>
      <c r="AY324" s="17">
        <v>0</v>
      </c>
      <c r="AZ324" s="56" t="str">
        <f t="shared" si="641"/>
        <v>キティフェイスポーチ</v>
      </c>
      <c r="BA324" s="54">
        <f t="shared" si="642"/>
        <v>673</v>
      </c>
      <c r="BB324" s="13">
        <f t="shared" si="643"/>
        <v>3365</v>
      </c>
      <c r="BC324" s="14">
        <f t="shared" si="644"/>
        <v>0.48768115942028983</v>
      </c>
      <c r="BD324" s="15"/>
      <c r="BT324" s="15"/>
      <c r="BU324" s="16"/>
      <c r="BV324" s="13"/>
      <c r="BW324" s="13" t="str">
        <f>IF(BV324="","",BV324-BV322)</f>
        <v/>
      </c>
      <c r="BX324" s="13"/>
      <c r="BY324" s="13" t="str">
        <f>IF(BX324="","",BX324-BX322)</f>
        <v/>
      </c>
      <c r="BZ324" s="13"/>
      <c r="CA324" s="13" t="str">
        <f>IF(BZ324="","",BZ322+CB322-BZ324)</f>
        <v/>
      </c>
      <c r="CB324" s="13"/>
      <c r="CC324" s="13"/>
      <c r="CD324" s="13"/>
      <c r="CE324" s="13" t="str">
        <f t="shared" si="648"/>
        <v/>
      </c>
      <c r="CF324" s="14" t="str">
        <f t="shared" si="649"/>
        <v/>
      </c>
      <c r="CG324" s="15"/>
      <c r="CH324" s="1"/>
      <c r="CI324" s="16"/>
      <c r="CJ324" s="13"/>
      <c r="CK324" s="13" t="str">
        <f>IF(CJ324="","",CJ324-CJ322)</f>
        <v/>
      </c>
      <c r="CL324" s="13"/>
      <c r="CM324" s="13" t="str">
        <f>IF(CL324="","",CL324-CL322)</f>
        <v/>
      </c>
      <c r="CN324" s="13"/>
      <c r="CO324" s="13" t="str">
        <f>IF(CN324="","",CN322+CP322-CN324)</f>
        <v/>
      </c>
      <c r="CP324" s="13"/>
      <c r="CQ324" s="13"/>
      <c r="CR324" s="13"/>
      <c r="CS324" s="13" t="str">
        <f t="shared" si="650"/>
        <v/>
      </c>
      <c r="CT324" s="14" t="str">
        <f t="shared" si="657"/>
        <v/>
      </c>
      <c r="CU324" s="15"/>
      <c r="CV324" s="1"/>
      <c r="CW324" s="16"/>
      <c r="CX324" s="13"/>
      <c r="CY324" s="13" t="str">
        <f>IF(CX324="","",CX324-CX322)</f>
        <v/>
      </c>
      <c r="CZ324" s="13"/>
      <c r="DA324" s="13" t="str">
        <f>IF(CZ324="","",CZ324-CZ322)</f>
        <v/>
      </c>
      <c r="DB324" s="13"/>
      <c r="DC324" s="13" t="str">
        <f>IF(DB324="","",DB322+DD322-DB324)</f>
        <v/>
      </c>
      <c r="DD324" s="13"/>
      <c r="DE324" s="13"/>
      <c r="DF324" s="13"/>
      <c r="DG324" s="13" t="str">
        <f t="shared" si="651"/>
        <v/>
      </c>
      <c r="DH324" s="14" t="str">
        <f t="shared" si="652"/>
        <v/>
      </c>
      <c r="DI324" s="15"/>
      <c r="DJ324" s="1"/>
      <c r="DK324" s="16"/>
      <c r="DL324" s="13"/>
      <c r="DM324" s="13" t="str">
        <f>IF(DL324="","",DL324-DL322)</f>
        <v/>
      </c>
      <c r="DN324" s="13"/>
      <c r="DO324" s="13" t="str">
        <f>IF(DN324="","",DN324-DN322)</f>
        <v/>
      </c>
      <c r="DP324" s="13"/>
      <c r="DQ324" s="13" t="str">
        <f>IF(DP324="","",DP322+DR322-DP324)</f>
        <v/>
      </c>
      <c r="DR324" s="13"/>
      <c r="DS324" s="13"/>
      <c r="DT324" s="13"/>
      <c r="DU324" s="13" t="str">
        <f t="shared" si="653"/>
        <v/>
      </c>
      <c r="DV324" s="14" t="str">
        <f t="shared" si="654"/>
        <v/>
      </c>
      <c r="DW324" s="15"/>
      <c r="DY324" s="16"/>
      <c r="DZ324" s="13"/>
      <c r="EA324" s="13" t="str">
        <f>IF(DZ324="","",DZ324-DZ322)</f>
        <v/>
      </c>
      <c r="EB324" s="13"/>
      <c r="EC324" s="13" t="str">
        <f>IF(EB324="","",EB324-EB322)</f>
        <v/>
      </c>
      <c r="ED324" s="13"/>
      <c r="EE324" s="13" t="str">
        <f>IF(ED324="","",ED322+EF322-ED324)</f>
        <v/>
      </c>
      <c r="EF324" s="13"/>
      <c r="EG324" s="13"/>
      <c r="EH324" s="13"/>
      <c r="EI324" s="13" t="str">
        <f t="shared" si="655"/>
        <v/>
      </c>
      <c r="EJ324" s="14" t="str">
        <f t="shared" si="656"/>
        <v/>
      </c>
      <c r="EK324" s="15"/>
    </row>
    <row r="325" spans="1:141" ht="15" customHeight="1" x14ac:dyDescent="0.2">
      <c r="A325" s="16"/>
      <c r="B325" s="11"/>
      <c r="C325" s="13">
        <v>11901</v>
      </c>
      <c r="D325" s="13">
        <f t="shared" si="619"/>
        <v>80</v>
      </c>
      <c r="E325" s="13">
        <v>635</v>
      </c>
      <c r="F325" s="13">
        <f t="shared" si="620"/>
        <v>3</v>
      </c>
      <c r="G325" s="13">
        <v>18</v>
      </c>
      <c r="H325" s="13">
        <f t="shared" si="621"/>
        <v>3</v>
      </c>
      <c r="I325" s="17">
        <v>0</v>
      </c>
      <c r="J325" s="56" t="str">
        <f t="shared" si="622"/>
        <v>ゲーム機イヤホン</v>
      </c>
      <c r="K325" s="13">
        <f t="shared" si="623"/>
        <v>1100</v>
      </c>
      <c r="L325" s="13">
        <f t="shared" si="624"/>
        <v>3300</v>
      </c>
      <c r="M325" s="14">
        <f t="shared" si="625"/>
        <v>0.41249999999999998</v>
      </c>
      <c r="N325" s="15"/>
      <c r="O325" s="2"/>
      <c r="P325" s="16"/>
      <c r="Q325" s="13">
        <v>8016</v>
      </c>
      <c r="R325" s="13">
        <f t="shared" si="626"/>
        <v>42</v>
      </c>
      <c r="S325" s="13">
        <v>167</v>
      </c>
      <c r="T325" s="13">
        <f t="shared" si="627"/>
        <v>2</v>
      </c>
      <c r="U325" s="13">
        <v>8</v>
      </c>
      <c r="V325" s="13">
        <f t="shared" si="628"/>
        <v>2</v>
      </c>
      <c r="W325" s="17">
        <v>6</v>
      </c>
      <c r="X325" s="56" t="str">
        <f t="shared" si="646"/>
        <v>サンリオホワイトマスコット</v>
      </c>
      <c r="Y325" s="13">
        <f t="shared" si="647"/>
        <v>660</v>
      </c>
      <c r="Z325" s="13">
        <f t="shared" si="629"/>
        <v>1320</v>
      </c>
      <c r="AA325" s="14">
        <f t="shared" si="630"/>
        <v>0.31428571428571428</v>
      </c>
      <c r="AB325" s="15"/>
      <c r="AC325" s="15"/>
      <c r="AD325" s="16"/>
      <c r="AE325" s="13">
        <v>12694</v>
      </c>
      <c r="AF325" s="13">
        <f t="shared" si="631"/>
        <v>92</v>
      </c>
      <c r="AG325" s="13">
        <v>350</v>
      </c>
      <c r="AH325" s="13">
        <f t="shared" si="632"/>
        <v>4</v>
      </c>
      <c r="AI325" s="13">
        <v>12</v>
      </c>
      <c r="AJ325" s="13">
        <f t="shared" si="633"/>
        <v>64</v>
      </c>
      <c r="AK325" s="17">
        <v>4</v>
      </c>
      <c r="AL325" s="56" t="str">
        <f>IF(AE325="","",AL321)</f>
        <v>ゲームアーク</v>
      </c>
      <c r="AM325" s="13">
        <f>IF(AF325="","",AM321)</f>
        <v>682</v>
      </c>
      <c r="AN325" s="13">
        <f t="shared" si="659"/>
        <v>43648</v>
      </c>
      <c r="AO325" s="14">
        <f t="shared" si="637"/>
        <v>4.7443478260869565</v>
      </c>
      <c r="AP325" s="15"/>
      <c r="AQ325" s="15"/>
      <c r="AR325" s="16"/>
      <c r="AS325" s="13">
        <v>15250</v>
      </c>
      <c r="AT325" s="13">
        <f t="shared" si="638"/>
        <v>79</v>
      </c>
      <c r="AU325" s="13">
        <v>525</v>
      </c>
      <c r="AV325" s="13">
        <f t="shared" si="639"/>
        <v>4</v>
      </c>
      <c r="AW325" s="13">
        <v>14</v>
      </c>
      <c r="AX325" s="13">
        <f t="shared" si="640"/>
        <v>4</v>
      </c>
      <c r="AY325" s="17">
        <v>0</v>
      </c>
      <c r="AZ325" s="56" t="str">
        <f t="shared" si="641"/>
        <v>ラブブキーホルダーおおきめ</v>
      </c>
      <c r="BA325" s="13">
        <f t="shared" si="642"/>
        <v>500</v>
      </c>
      <c r="BB325" s="13">
        <f t="shared" si="643"/>
        <v>2000</v>
      </c>
      <c r="BC325" s="14">
        <f t="shared" si="644"/>
        <v>0.25316455696202533</v>
      </c>
      <c r="BD325" s="15"/>
      <c r="BT325" s="15"/>
      <c r="BU325" s="16"/>
      <c r="BV325" s="54"/>
      <c r="BW325" s="13" t="str">
        <f>IF(BV325="","",BV325-BV323)</f>
        <v/>
      </c>
      <c r="BX325" s="13"/>
      <c r="BY325" s="13"/>
      <c r="BZ325" s="13"/>
      <c r="CA325" s="13" t="str">
        <f>IF(BZ325="","",BZ323+CB323-BZ325)</f>
        <v/>
      </c>
      <c r="CB325" s="13"/>
      <c r="CC325" s="13"/>
      <c r="CD325" s="13"/>
      <c r="CE325" s="13" t="str">
        <f t="shared" si="648"/>
        <v/>
      </c>
      <c r="CF325" s="14" t="str">
        <f t="shared" si="649"/>
        <v/>
      </c>
      <c r="CG325" s="15"/>
      <c r="CH325" s="1"/>
      <c r="CI325" s="16"/>
      <c r="CJ325" s="54"/>
      <c r="CK325" s="13" t="str">
        <f>IF(CJ325="","",CJ325-CJ323)</f>
        <v/>
      </c>
      <c r="CL325" s="13"/>
      <c r="CM325" s="13"/>
      <c r="CN325" s="13"/>
      <c r="CO325" s="13" t="str">
        <f>IF(CN325="","",CN323+CP323-CN325)</f>
        <v/>
      </c>
      <c r="CP325" s="13"/>
      <c r="CQ325" s="13"/>
      <c r="CR325" s="13"/>
      <c r="CS325" s="13" t="str">
        <f t="shared" si="650"/>
        <v/>
      </c>
      <c r="CT325" s="14" t="str">
        <f t="shared" si="657"/>
        <v/>
      </c>
      <c r="CU325" s="15"/>
      <c r="CV325" s="1"/>
      <c r="CW325" s="16"/>
      <c r="CX325" s="54"/>
      <c r="CY325" s="13" t="str">
        <f>IF(CX325="","",CX325-CX323)</f>
        <v/>
      </c>
      <c r="CZ325" s="13"/>
      <c r="DA325" s="13"/>
      <c r="DB325" s="13"/>
      <c r="DC325" s="13" t="str">
        <f>IF(DB325="","",DB323+DD323-DB325)</f>
        <v/>
      </c>
      <c r="DD325" s="13"/>
      <c r="DE325" s="13"/>
      <c r="DF325" s="13"/>
      <c r="DG325" s="13" t="str">
        <f t="shared" si="651"/>
        <v/>
      </c>
      <c r="DH325" s="14" t="str">
        <f t="shared" si="652"/>
        <v/>
      </c>
      <c r="DI325" s="15"/>
      <c r="DJ325" s="1"/>
      <c r="DK325" s="16"/>
      <c r="DL325" s="54"/>
      <c r="DM325" s="13" t="str">
        <f>IF(DL325="","",DL325-DL323)</f>
        <v/>
      </c>
      <c r="DN325" s="13"/>
      <c r="DO325" s="13"/>
      <c r="DP325" s="13"/>
      <c r="DQ325" s="13" t="str">
        <f>IF(DP325="","",DP323+DR323-DP325)</f>
        <v/>
      </c>
      <c r="DR325" s="13"/>
      <c r="DS325" s="13"/>
      <c r="DT325" s="13"/>
      <c r="DU325" s="13" t="str">
        <f t="shared" si="653"/>
        <v/>
      </c>
      <c r="DV325" s="14" t="str">
        <f t="shared" si="654"/>
        <v/>
      </c>
      <c r="DW325" s="15"/>
      <c r="DY325" s="16"/>
      <c r="DZ325" s="54"/>
      <c r="EA325" s="13" t="str">
        <f>IF(DZ325="","",DZ325-DZ323)</f>
        <v/>
      </c>
      <c r="EB325" s="13"/>
      <c r="EC325" s="13"/>
      <c r="ED325" s="13"/>
      <c r="EE325" s="13" t="str">
        <f>IF(ED325="","",ED323+EF323-ED325)</f>
        <v/>
      </c>
      <c r="EF325" s="13"/>
      <c r="EG325" s="13"/>
      <c r="EH325" s="13"/>
      <c r="EI325" s="13" t="str">
        <f t="shared" si="655"/>
        <v/>
      </c>
      <c r="EJ325" s="14" t="str">
        <f t="shared" si="656"/>
        <v/>
      </c>
      <c r="EK325" s="15"/>
    </row>
    <row r="326" spans="1:141" ht="15" customHeight="1" thickBot="1" x14ac:dyDescent="0.25">
      <c r="A326" s="26"/>
      <c r="B326" s="46"/>
      <c r="C326" s="27">
        <v>7417</v>
      </c>
      <c r="D326" s="27">
        <f t="shared" si="619"/>
        <v>208</v>
      </c>
      <c r="E326" s="27">
        <v>485</v>
      </c>
      <c r="F326" s="27">
        <f t="shared" si="620"/>
        <v>3</v>
      </c>
      <c r="G326" s="27">
        <v>5</v>
      </c>
      <c r="H326" s="27">
        <f t="shared" si="621"/>
        <v>3</v>
      </c>
      <c r="I326" s="47">
        <v>0</v>
      </c>
      <c r="J326" s="57" t="str">
        <f t="shared" si="622"/>
        <v>モンチッチフェイスポーチ</v>
      </c>
      <c r="K326" s="62">
        <f t="shared" si="623"/>
        <v>900</v>
      </c>
      <c r="L326" s="27">
        <f t="shared" si="624"/>
        <v>2700</v>
      </c>
      <c r="M326" s="28">
        <f t="shared" si="625"/>
        <v>0.12980769230769232</v>
      </c>
      <c r="N326" s="15"/>
      <c r="O326" s="2"/>
      <c r="P326" s="26"/>
      <c r="Q326" s="27">
        <v>10069</v>
      </c>
      <c r="R326" s="27">
        <f t="shared" si="626"/>
        <v>499</v>
      </c>
      <c r="S326" s="27">
        <v>233</v>
      </c>
      <c r="T326" s="27">
        <f t="shared" si="627"/>
        <v>33</v>
      </c>
      <c r="U326" s="27">
        <v>0</v>
      </c>
      <c r="V326" s="27">
        <f t="shared" si="628"/>
        <v>33</v>
      </c>
      <c r="W326" s="47">
        <v>33</v>
      </c>
      <c r="X326" s="57" t="str">
        <f t="shared" si="646"/>
        <v>ボンボンドロップ</v>
      </c>
      <c r="Y326" s="62">
        <f t="shared" si="647"/>
        <v>300</v>
      </c>
      <c r="Z326" s="27">
        <f t="shared" si="629"/>
        <v>9900</v>
      </c>
      <c r="AA326" s="28">
        <f t="shared" si="630"/>
        <v>0.19839679358717435</v>
      </c>
      <c r="AB326" s="15"/>
      <c r="AC326" s="15"/>
      <c r="AD326" s="26"/>
      <c r="AE326" s="27">
        <v>12497</v>
      </c>
      <c r="AF326" s="27">
        <f t="shared" si="631"/>
        <v>82</v>
      </c>
      <c r="AG326" s="27">
        <v>315</v>
      </c>
      <c r="AH326" s="27">
        <f t="shared" si="632"/>
        <v>2</v>
      </c>
      <c r="AI326" s="27">
        <v>12</v>
      </c>
      <c r="AJ326" s="27">
        <f t="shared" si="633"/>
        <v>2</v>
      </c>
      <c r="AK326" s="47">
        <v>0</v>
      </c>
      <c r="AL326" s="57" t="str">
        <f>IF(AE326="","",AL322)</f>
        <v>モンチッチマスコット2</v>
      </c>
      <c r="AM326" s="62">
        <f>IF(AF326="","",AM322)</f>
        <v>605</v>
      </c>
      <c r="AN326" s="27">
        <f t="shared" si="659"/>
        <v>1210</v>
      </c>
      <c r="AO326" s="28">
        <f t="shared" si="637"/>
        <v>0.14756097560975609</v>
      </c>
      <c r="AP326" s="15"/>
      <c r="AQ326" s="15"/>
      <c r="AR326" s="26"/>
      <c r="AS326" s="27">
        <v>15766</v>
      </c>
      <c r="AT326" s="27">
        <f t="shared" si="638"/>
        <v>79</v>
      </c>
      <c r="AU326" s="27">
        <v>454</v>
      </c>
      <c r="AV326" s="27">
        <f t="shared" si="639"/>
        <v>2</v>
      </c>
      <c r="AW326" s="27">
        <v>38</v>
      </c>
      <c r="AX326" s="27">
        <f t="shared" si="640"/>
        <v>2</v>
      </c>
      <c r="AY326" s="47">
        <v>0</v>
      </c>
      <c r="AZ326" s="57" t="str">
        <f t="shared" si="641"/>
        <v>ラブブマスコット</v>
      </c>
      <c r="BA326" s="62">
        <f t="shared" si="642"/>
        <v>400</v>
      </c>
      <c r="BB326" s="27">
        <f t="shared" si="643"/>
        <v>800</v>
      </c>
      <c r="BC326" s="28">
        <f t="shared" si="644"/>
        <v>0.10126582278481013</v>
      </c>
      <c r="BD326" s="15"/>
      <c r="BT326" s="15"/>
      <c r="BU326" s="16"/>
      <c r="BV326" s="54"/>
      <c r="BW326" s="13" t="str">
        <f t="shared" ref="BW326:BW346" si="660">IF(BV326="","",BV326-BV325)</f>
        <v/>
      </c>
      <c r="BX326" s="13"/>
      <c r="BY326" s="13"/>
      <c r="BZ326" s="13"/>
      <c r="CA326" s="13" t="str">
        <f t="shared" ref="CA326:CA346" si="661">IF(BZ326="","",BZ325+CB325-BZ326)</f>
        <v/>
      </c>
      <c r="CB326" s="13"/>
      <c r="CC326" s="13"/>
      <c r="CD326" s="13"/>
      <c r="CE326" s="13" t="str">
        <f t="shared" si="648"/>
        <v/>
      </c>
      <c r="CF326" s="14" t="str">
        <f t="shared" si="649"/>
        <v/>
      </c>
      <c r="CG326" s="15"/>
      <c r="CH326" s="1"/>
      <c r="CI326" s="16"/>
      <c r="CJ326" s="54"/>
      <c r="CK326" s="13" t="str">
        <f t="shared" ref="CK326:CK346" si="662">IF(CJ326="","",CJ326-CJ325)</f>
        <v/>
      </c>
      <c r="CL326" s="13"/>
      <c r="CM326" s="13"/>
      <c r="CN326" s="13"/>
      <c r="CO326" s="13" t="str">
        <f t="shared" ref="CO326:CO346" si="663">IF(CN326="","",CN325+CP325-CN326)</f>
        <v/>
      </c>
      <c r="CP326" s="13"/>
      <c r="CQ326" s="13"/>
      <c r="CR326" s="13"/>
      <c r="CS326" s="13" t="str">
        <f t="shared" si="650"/>
        <v/>
      </c>
      <c r="CT326" s="14" t="str">
        <f t="shared" si="657"/>
        <v/>
      </c>
      <c r="CU326" s="15"/>
      <c r="CV326" s="1"/>
      <c r="CW326" s="16"/>
      <c r="CX326" s="54"/>
      <c r="CY326" s="13" t="str">
        <f t="shared" ref="CY326:CY346" si="664">IF(CX326="","",CX326-CX325)</f>
        <v/>
      </c>
      <c r="CZ326" s="13"/>
      <c r="DA326" s="13"/>
      <c r="DB326" s="13"/>
      <c r="DC326" s="13" t="str">
        <f t="shared" ref="DC326:DC346" si="665">IF(DB326="","",DB325+DD325-DB326)</f>
        <v/>
      </c>
      <c r="DD326" s="13"/>
      <c r="DE326" s="13"/>
      <c r="DF326" s="13"/>
      <c r="DG326" s="13" t="str">
        <f t="shared" si="651"/>
        <v/>
      </c>
      <c r="DH326" s="14" t="str">
        <f t="shared" si="652"/>
        <v/>
      </c>
      <c r="DI326" s="15"/>
      <c r="DJ326" s="1"/>
      <c r="DK326" s="16"/>
      <c r="DL326" s="54"/>
      <c r="DM326" s="13" t="str">
        <f t="shared" ref="DM326:DM346" si="666">IF(DL326="","",DL326-DL325)</f>
        <v/>
      </c>
      <c r="DN326" s="13"/>
      <c r="DO326" s="13"/>
      <c r="DP326" s="13"/>
      <c r="DQ326" s="13" t="str">
        <f t="shared" ref="DQ326:DQ346" si="667">IF(DP326="","",DP325+DR325-DP326)</f>
        <v/>
      </c>
      <c r="DR326" s="13"/>
      <c r="DS326" s="13"/>
      <c r="DT326" s="13"/>
      <c r="DU326" s="13" t="str">
        <f t="shared" si="653"/>
        <v/>
      </c>
      <c r="DV326" s="14" t="str">
        <f t="shared" si="654"/>
        <v/>
      </c>
      <c r="DW326" s="15"/>
      <c r="DY326" s="16"/>
      <c r="DZ326" s="54"/>
      <c r="EA326" s="13" t="str">
        <f t="shared" ref="EA326:EA346" si="668">IF(DZ326="","",DZ326-DZ325)</f>
        <v/>
      </c>
      <c r="EB326" s="13"/>
      <c r="EC326" s="13"/>
      <c r="ED326" s="13"/>
      <c r="EE326" s="13" t="str">
        <f t="shared" ref="EE326:EE346" si="669">IF(ED326="","",ED325+EF325-ED326)</f>
        <v/>
      </c>
      <c r="EF326" s="13"/>
      <c r="EG326" s="13"/>
      <c r="EH326" s="13"/>
      <c r="EI326" s="13" t="str">
        <f t="shared" si="655"/>
        <v/>
      </c>
      <c r="EJ326" s="14" t="str">
        <f t="shared" si="656"/>
        <v/>
      </c>
      <c r="EK326" s="15"/>
    </row>
    <row r="327" spans="1:141" ht="15" customHeight="1" thickTop="1" x14ac:dyDescent="0.2">
      <c r="A327" s="79"/>
      <c r="B327" s="74"/>
      <c r="C327" s="13"/>
      <c r="D327" s="53"/>
      <c r="E327" s="13"/>
      <c r="F327" s="31"/>
      <c r="G327" s="13"/>
      <c r="H327" s="53"/>
      <c r="I327" s="17"/>
      <c r="J327" s="75"/>
      <c r="K327" s="76"/>
      <c r="L327" s="31"/>
      <c r="M327" s="32"/>
      <c r="N327" s="15"/>
      <c r="O327" s="2"/>
      <c r="P327" s="79"/>
      <c r="Q327" s="13"/>
      <c r="R327" s="53"/>
      <c r="S327" s="13"/>
      <c r="T327" s="31"/>
      <c r="U327" s="13"/>
      <c r="V327" s="53"/>
      <c r="W327" s="17"/>
      <c r="X327" s="75"/>
      <c r="Y327" s="76"/>
      <c r="Z327" s="31"/>
      <c r="AA327" s="32"/>
      <c r="AB327" s="15"/>
      <c r="AC327" s="15"/>
      <c r="AD327" s="79"/>
      <c r="AE327" s="13"/>
      <c r="AF327" s="53"/>
      <c r="AG327" s="13"/>
      <c r="AH327" s="31"/>
      <c r="AI327" s="13"/>
      <c r="AJ327" s="53"/>
      <c r="AK327" s="17"/>
      <c r="AL327" s="75"/>
      <c r="AM327" s="76"/>
      <c r="AN327" s="31"/>
      <c r="AO327" s="32"/>
      <c r="AP327" s="15"/>
      <c r="AQ327" s="15"/>
      <c r="AR327" s="79"/>
      <c r="AS327" s="13"/>
      <c r="AT327" s="53"/>
      <c r="AU327" s="13"/>
      <c r="AV327" s="31"/>
      <c r="AW327" s="13"/>
      <c r="AX327" s="53"/>
      <c r="AY327" s="17"/>
      <c r="AZ327" s="75"/>
      <c r="BA327" s="76"/>
      <c r="BB327" s="31"/>
      <c r="BC327" s="32"/>
      <c r="BD327" s="15"/>
      <c r="BT327" s="15"/>
      <c r="BU327" s="16"/>
      <c r="BV327" s="54"/>
      <c r="BW327" s="13" t="str">
        <f t="shared" si="660"/>
        <v/>
      </c>
      <c r="BX327" s="13"/>
      <c r="BY327" s="13"/>
      <c r="BZ327" s="13"/>
      <c r="CA327" s="13" t="str">
        <f t="shared" si="661"/>
        <v/>
      </c>
      <c r="CB327" s="13"/>
      <c r="CC327" s="13"/>
      <c r="CD327" s="13"/>
      <c r="CE327" s="13" t="str">
        <f t="shared" si="648"/>
        <v/>
      </c>
      <c r="CF327" s="14" t="str">
        <f t="shared" si="649"/>
        <v/>
      </c>
      <c r="CG327" s="15"/>
      <c r="CH327" s="1"/>
      <c r="CI327" s="16"/>
      <c r="CJ327" s="54"/>
      <c r="CK327" s="13" t="str">
        <f t="shared" si="662"/>
        <v/>
      </c>
      <c r="CL327" s="13"/>
      <c r="CM327" s="13"/>
      <c r="CN327" s="13"/>
      <c r="CO327" s="13" t="str">
        <f t="shared" si="663"/>
        <v/>
      </c>
      <c r="CP327" s="13"/>
      <c r="CQ327" s="13"/>
      <c r="CR327" s="13"/>
      <c r="CS327" s="13" t="str">
        <f t="shared" si="650"/>
        <v/>
      </c>
      <c r="CT327" s="14" t="str">
        <f t="shared" si="657"/>
        <v/>
      </c>
      <c r="CU327" s="15"/>
      <c r="CV327" s="1"/>
      <c r="CW327" s="16"/>
      <c r="CX327" s="54"/>
      <c r="CY327" s="13" t="str">
        <f t="shared" si="664"/>
        <v/>
      </c>
      <c r="CZ327" s="13"/>
      <c r="DA327" s="13"/>
      <c r="DB327" s="13"/>
      <c r="DC327" s="13" t="str">
        <f t="shared" si="665"/>
        <v/>
      </c>
      <c r="DD327" s="13"/>
      <c r="DE327" s="13"/>
      <c r="DF327" s="13"/>
      <c r="DG327" s="13" t="str">
        <f t="shared" si="651"/>
        <v/>
      </c>
      <c r="DH327" s="14" t="str">
        <f t="shared" si="652"/>
        <v/>
      </c>
      <c r="DI327" s="15"/>
      <c r="DJ327" s="1"/>
      <c r="DK327" s="16"/>
      <c r="DL327" s="54"/>
      <c r="DM327" s="13" t="str">
        <f t="shared" si="666"/>
        <v/>
      </c>
      <c r="DN327" s="13"/>
      <c r="DO327" s="13"/>
      <c r="DP327" s="13"/>
      <c r="DQ327" s="13" t="str">
        <f t="shared" si="667"/>
        <v/>
      </c>
      <c r="DR327" s="13"/>
      <c r="DS327" s="13"/>
      <c r="DT327" s="13"/>
      <c r="DU327" s="13" t="str">
        <f t="shared" si="653"/>
        <v/>
      </c>
      <c r="DV327" s="14" t="str">
        <f t="shared" si="654"/>
        <v/>
      </c>
      <c r="DW327" s="15"/>
      <c r="DY327" s="16"/>
      <c r="DZ327" s="54"/>
      <c r="EA327" s="13" t="str">
        <f t="shared" si="668"/>
        <v/>
      </c>
      <c r="EB327" s="13"/>
      <c r="EC327" s="13"/>
      <c r="ED327" s="13"/>
      <c r="EE327" s="13" t="str">
        <f t="shared" si="669"/>
        <v/>
      </c>
      <c r="EF327" s="13"/>
      <c r="EG327" s="13"/>
      <c r="EH327" s="13"/>
      <c r="EI327" s="13" t="str">
        <f t="shared" si="655"/>
        <v/>
      </c>
      <c r="EJ327" s="14" t="str">
        <f t="shared" si="656"/>
        <v/>
      </c>
      <c r="EK327" s="15"/>
    </row>
    <row r="328" spans="1:141" ht="15" customHeight="1" x14ac:dyDescent="0.2">
      <c r="A328" s="121"/>
      <c r="B328" s="74"/>
      <c r="C328" s="53"/>
      <c r="D328" s="13"/>
      <c r="E328" s="53"/>
      <c r="F328" s="13"/>
      <c r="G328" s="13"/>
      <c r="H328" s="13"/>
      <c r="I328" s="17"/>
      <c r="J328" s="56"/>
      <c r="K328" s="54"/>
      <c r="L328" s="13"/>
      <c r="M328" s="14"/>
      <c r="N328" s="15"/>
      <c r="O328" s="2"/>
      <c r="P328" s="16"/>
      <c r="Q328" s="53"/>
      <c r="R328" s="13"/>
      <c r="S328" s="53"/>
      <c r="T328" s="13"/>
      <c r="U328" s="13"/>
      <c r="V328" s="13"/>
      <c r="W328" s="17"/>
      <c r="X328" s="56"/>
      <c r="Y328" s="54"/>
      <c r="Z328" s="13"/>
      <c r="AA328" s="14"/>
      <c r="AB328" s="176"/>
      <c r="AC328" s="15"/>
      <c r="AD328" s="16"/>
      <c r="AE328" s="53"/>
      <c r="AF328" s="13"/>
      <c r="AG328" s="53"/>
      <c r="AH328" s="13"/>
      <c r="AI328" s="13"/>
      <c r="AJ328" s="13"/>
      <c r="AK328" s="17"/>
      <c r="AL328" s="56"/>
      <c r="AM328" s="54"/>
      <c r="AN328" s="13"/>
      <c r="AO328" s="14"/>
      <c r="AP328" s="15"/>
      <c r="AQ328" s="15"/>
      <c r="AR328" s="16"/>
      <c r="AS328" s="53"/>
      <c r="AT328" s="13"/>
      <c r="AU328" s="53"/>
      <c r="AV328" s="13"/>
      <c r="AW328" s="13"/>
      <c r="AX328" s="13"/>
      <c r="AY328" s="17"/>
      <c r="AZ328" s="56"/>
      <c r="BA328" s="54"/>
      <c r="BB328" s="13"/>
      <c r="BC328" s="14"/>
      <c r="BD328" s="15"/>
      <c r="BT328" s="15"/>
      <c r="BU328" s="16"/>
      <c r="BV328" s="54"/>
      <c r="BW328" s="13" t="str">
        <f t="shared" si="660"/>
        <v/>
      </c>
      <c r="BX328" s="13"/>
      <c r="BY328" s="13"/>
      <c r="BZ328" s="13"/>
      <c r="CA328" s="13" t="str">
        <f t="shared" si="661"/>
        <v/>
      </c>
      <c r="CB328" s="13"/>
      <c r="CC328" s="13"/>
      <c r="CD328" s="13"/>
      <c r="CE328" s="13" t="str">
        <f t="shared" si="648"/>
        <v/>
      </c>
      <c r="CF328" s="14" t="str">
        <f t="shared" si="649"/>
        <v/>
      </c>
      <c r="CG328" s="15"/>
      <c r="CH328" s="1"/>
      <c r="CI328" s="16"/>
      <c r="CJ328" s="54"/>
      <c r="CK328" s="13" t="str">
        <f t="shared" si="662"/>
        <v/>
      </c>
      <c r="CL328" s="13"/>
      <c r="CM328" s="13"/>
      <c r="CN328" s="13"/>
      <c r="CO328" s="13" t="str">
        <f t="shared" si="663"/>
        <v/>
      </c>
      <c r="CP328" s="13"/>
      <c r="CQ328" s="13"/>
      <c r="CR328" s="13"/>
      <c r="CS328" s="13" t="str">
        <f t="shared" si="650"/>
        <v/>
      </c>
      <c r="CT328" s="14" t="str">
        <f t="shared" si="657"/>
        <v/>
      </c>
      <c r="CU328" s="15"/>
      <c r="CV328" s="1"/>
      <c r="CW328" s="16"/>
      <c r="CX328" s="54"/>
      <c r="CY328" s="13" t="str">
        <f t="shared" si="664"/>
        <v/>
      </c>
      <c r="CZ328" s="13"/>
      <c r="DA328" s="13"/>
      <c r="DB328" s="13"/>
      <c r="DC328" s="13" t="str">
        <f t="shared" si="665"/>
        <v/>
      </c>
      <c r="DD328" s="13"/>
      <c r="DE328" s="13"/>
      <c r="DF328" s="13"/>
      <c r="DG328" s="13" t="str">
        <f t="shared" si="651"/>
        <v/>
      </c>
      <c r="DH328" s="14" t="str">
        <f t="shared" si="652"/>
        <v/>
      </c>
      <c r="DI328" s="15"/>
      <c r="DJ328" s="1"/>
      <c r="DK328" s="16"/>
      <c r="DL328" s="54"/>
      <c r="DM328" s="13" t="str">
        <f t="shared" si="666"/>
        <v/>
      </c>
      <c r="DN328" s="13"/>
      <c r="DO328" s="13"/>
      <c r="DP328" s="13"/>
      <c r="DQ328" s="13" t="str">
        <f t="shared" si="667"/>
        <v/>
      </c>
      <c r="DR328" s="13"/>
      <c r="DS328" s="13"/>
      <c r="DT328" s="13"/>
      <c r="DU328" s="13" t="str">
        <f t="shared" si="653"/>
        <v/>
      </c>
      <c r="DV328" s="14" t="str">
        <f t="shared" si="654"/>
        <v/>
      </c>
      <c r="DW328" s="15"/>
      <c r="DY328" s="16"/>
      <c r="DZ328" s="54"/>
      <c r="EA328" s="13" t="str">
        <f t="shared" si="668"/>
        <v/>
      </c>
      <c r="EB328" s="13"/>
      <c r="EC328" s="13"/>
      <c r="ED328" s="13"/>
      <c r="EE328" s="13" t="str">
        <f t="shared" si="669"/>
        <v/>
      </c>
      <c r="EF328" s="13"/>
      <c r="EG328" s="13"/>
      <c r="EH328" s="13"/>
      <c r="EI328" s="13" t="str">
        <f t="shared" si="655"/>
        <v/>
      </c>
      <c r="EJ328" s="14" t="str">
        <f t="shared" si="656"/>
        <v/>
      </c>
      <c r="EK328" s="15"/>
    </row>
    <row r="329" spans="1:141" x14ac:dyDescent="0.2">
      <c r="A329" s="16"/>
      <c r="B329" s="11"/>
      <c r="C329" s="13"/>
      <c r="D329" s="13"/>
      <c r="E329" s="13"/>
      <c r="F329" s="13"/>
      <c r="G329" s="13"/>
      <c r="H329" s="13"/>
      <c r="I329" s="17"/>
      <c r="J329" s="56"/>
      <c r="K329" s="13"/>
      <c r="L329" s="13"/>
      <c r="M329" s="14"/>
      <c r="N329" s="15"/>
      <c r="O329" s="2"/>
      <c r="P329" s="16"/>
      <c r="Q329" s="13"/>
      <c r="R329" s="13"/>
      <c r="S329" s="13"/>
      <c r="T329" s="13"/>
      <c r="U329" s="13"/>
      <c r="V329" s="13"/>
      <c r="W329" s="17"/>
      <c r="X329" s="56"/>
      <c r="Y329" s="13"/>
      <c r="Z329" s="13"/>
      <c r="AA329" s="14"/>
      <c r="AB329" s="15"/>
      <c r="AC329" s="15"/>
      <c r="AD329" s="16"/>
      <c r="AE329" s="13"/>
      <c r="AF329" s="13"/>
      <c r="AG329" s="13"/>
      <c r="AH329" s="13"/>
      <c r="AI329" s="13"/>
      <c r="AJ329" s="13"/>
      <c r="AK329" s="17"/>
      <c r="AL329" s="56"/>
      <c r="AM329" s="13"/>
      <c r="AN329" s="13"/>
      <c r="AO329" s="14"/>
      <c r="AP329" s="15"/>
      <c r="AQ329" s="15"/>
      <c r="AR329" s="16"/>
      <c r="AS329" s="13"/>
      <c r="AT329" s="13"/>
      <c r="AU329" s="13"/>
      <c r="AV329" s="13"/>
      <c r="AW329" s="13"/>
      <c r="AX329" s="13"/>
      <c r="AY329" s="17"/>
      <c r="AZ329" s="56"/>
      <c r="BA329" s="13"/>
      <c r="BB329" s="13"/>
      <c r="BC329" s="14"/>
      <c r="BD329" s="15"/>
      <c r="BT329" s="15"/>
      <c r="BU329" s="16"/>
      <c r="BV329" s="54"/>
      <c r="BW329" s="13" t="str">
        <f t="shared" si="660"/>
        <v/>
      </c>
      <c r="BX329" s="13"/>
      <c r="BY329" s="13"/>
      <c r="BZ329" s="13"/>
      <c r="CA329" s="13" t="str">
        <f t="shared" si="661"/>
        <v/>
      </c>
      <c r="CB329" s="13"/>
      <c r="CC329" s="13"/>
      <c r="CD329" s="13"/>
      <c r="CE329" s="13" t="str">
        <f t="shared" si="648"/>
        <v/>
      </c>
      <c r="CF329" s="14" t="str">
        <f t="shared" si="649"/>
        <v/>
      </c>
      <c r="CG329" s="15"/>
      <c r="CH329" s="1"/>
      <c r="CI329" s="16"/>
      <c r="CJ329" s="54"/>
      <c r="CK329" s="13" t="str">
        <f t="shared" si="662"/>
        <v/>
      </c>
      <c r="CL329" s="13"/>
      <c r="CM329" s="13"/>
      <c r="CN329" s="13"/>
      <c r="CO329" s="13" t="str">
        <f t="shared" si="663"/>
        <v/>
      </c>
      <c r="CP329" s="13"/>
      <c r="CQ329" s="13"/>
      <c r="CR329" s="13"/>
      <c r="CS329" s="13" t="str">
        <f t="shared" si="650"/>
        <v/>
      </c>
      <c r="CT329" s="14" t="str">
        <f t="shared" si="657"/>
        <v/>
      </c>
      <c r="CU329" s="15"/>
      <c r="CV329" s="1"/>
      <c r="CW329" s="16"/>
      <c r="CX329" s="54"/>
      <c r="CY329" s="13" t="str">
        <f t="shared" si="664"/>
        <v/>
      </c>
      <c r="CZ329" s="13"/>
      <c r="DA329" s="13"/>
      <c r="DB329" s="13"/>
      <c r="DC329" s="13" t="str">
        <f t="shared" si="665"/>
        <v/>
      </c>
      <c r="DD329" s="13"/>
      <c r="DE329" s="13"/>
      <c r="DF329" s="13"/>
      <c r="DG329" s="13" t="str">
        <f t="shared" si="651"/>
        <v/>
      </c>
      <c r="DH329" s="14" t="str">
        <f t="shared" si="652"/>
        <v/>
      </c>
      <c r="DI329" s="15"/>
      <c r="DJ329" s="1"/>
      <c r="DK329" s="16"/>
      <c r="DL329" s="54"/>
      <c r="DM329" s="13" t="str">
        <f t="shared" si="666"/>
        <v/>
      </c>
      <c r="DN329" s="13"/>
      <c r="DO329" s="13"/>
      <c r="DP329" s="13"/>
      <c r="DQ329" s="13" t="str">
        <f t="shared" si="667"/>
        <v/>
      </c>
      <c r="DR329" s="13"/>
      <c r="DS329" s="13"/>
      <c r="DT329" s="13"/>
      <c r="DU329" s="13" t="str">
        <f t="shared" si="653"/>
        <v/>
      </c>
      <c r="DV329" s="14" t="str">
        <f t="shared" si="654"/>
        <v/>
      </c>
      <c r="DW329" s="15"/>
      <c r="DY329" s="16"/>
      <c r="DZ329" s="54"/>
      <c r="EA329" s="13" t="str">
        <f t="shared" si="668"/>
        <v/>
      </c>
      <c r="EB329" s="13"/>
      <c r="EC329" s="13"/>
      <c r="ED329" s="13"/>
      <c r="EE329" s="13" t="str">
        <f t="shared" si="669"/>
        <v/>
      </c>
      <c r="EF329" s="13"/>
      <c r="EG329" s="13"/>
      <c r="EH329" s="13"/>
      <c r="EI329" s="13" t="str">
        <f t="shared" si="655"/>
        <v/>
      </c>
      <c r="EJ329" s="14" t="str">
        <f t="shared" si="656"/>
        <v/>
      </c>
      <c r="EK329" s="15"/>
    </row>
    <row r="330" spans="1:141" ht="15" customHeight="1" thickBot="1" x14ac:dyDescent="0.25">
      <c r="A330" s="26"/>
      <c r="B330" s="46"/>
      <c r="C330" s="27"/>
      <c r="D330" s="27"/>
      <c r="E330" s="27"/>
      <c r="F330" s="27"/>
      <c r="G330" s="27"/>
      <c r="H330" s="27"/>
      <c r="I330" s="47"/>
      <c r="J330" s="57"/>
      <c r="K330" s="62"/>
      <c r="L330" s="27"/>
      <c r="M330" s="28"/>
      <c r="N330" s="15"/>
      <c r="O330" s="2"/>
      <c r="P330" s="26"/>
      <c r="Q330" s="27"/>
      <c r="R330" s="27"/>
      <c r="S330" s="27"/>
      <c r="T330" s="27"/>
      <c r="U330" s="27"/>
      <c r="V330" s="27"/>
      <c r="W330" s="47"/>
      <c r="X330" s="57"/>
      <c r="Y330" s="62"/>
      <c r="Z330" s="27"/>
      <c r="AA330" s="28"/>
      <c r="AB330" s="15"/>
      <c r="AC330" s="15"/>
      <c r="AD330" s="26"/>
      <c r="AE330" s="27"/>
      <c r="AF330" s="27"/>
      <c r="AG330" s="27"/>
      <c r="AH330" s="27"/>
      <c r="AI330" s="27"/>
      <c r="AJ330" s="27"/>
      <c r="AK330" s="47"/>
      <c r="AL330" s="57"/>
      <c r="AM330" s="62"/>
      <c r="AN330" s="27"/>
      <c r="AO330" s="28"/>
      <c r="AP330" s="15"/>
      <c r="AQ330" s="15"/>
      <c r="AR330" s="26"/>
      <c r="AS330" s="27"/>
      <c r="AT330" s="27"/>
      <c r="AU330" s="27"/>
      <c r="AV330" s="27"/>
      <c r="AW330" s="27"/>
      <c r="AX330" s="27"/>
      <c r="AY330" s="47"/>
      <c r="AZ330" s="57"/>
      <c r="BA330" s="62"/>
      <c r="BB330" s="27"/>
      <c r="BC330" s="28"/>
      <c r="BD330" s="15"/>
      <c r="BT330" s="15"/>
      <c r="BU330" s="16"/>
      <c r="BV330" s="54"/>
      <c r="BW330" s="13" t="str">
        <f t="shared" si="660"/>
        <v/>
      </c>
      <c r="BX330" s="13"/>
      <c r="BY330" s="13"/>
      <c r="BZ330" s="13"/>
      <c r="CA330" s="13" t="str">
        <f t="shared" si="661"/>
        <v/>
      </c>
      <c r="CB330" s="13"/>
      <c r="CC330" s="13"/>
      <c r="CD330" s="13"/>
      <c r="CE330" s="13" t="str">
        <f t="shared" si="648"/>
        <v/>
      </c>
      <c r="CF330" s="14" t="str">
        <f t="shared" si="649"/>
        <v/>
      </c>
      <c r="CG330" s="15"/>
      <c r="CH330" s="1"/>
      <c r="CI330" s="16"/>
      <c r="CJ330" s="54"/>
      <c r="CK330" s="13" t="str">
        <f t="shared" si="662"/>
        <v/>
      </c>
      <c r="CL330" s="13"/>
      <c r="CM330" s="13"/>
      <c r="CN330" s="13"/>
      <c r="CO330" s="13" t="str">
        <f t="shared" si="663"/>
        <v/>
      </c>
      <c r="CP330" s="13"/>
      <c r="CQ330" s="13"/>
      <c r="CR330" s="13"/>
      <c r="CS330" s="13" t="str">
        <f t="shared" si="650"/>
        <v/>
      </c>
      <c r="CT330" s="14" t="str">
        <f t="shared" si="657"/>
        <v/>
      </c>
      <c r="CU330" s="15"/>
      <c r="CV330" s="1"/>
      <c r="CW330" s="16"/>
      <c r="CX330" s="54"/>
      <c r="CY330" s="13" t="str">
        <f t="shared" si="664"/>
        <v/>
      </c>
      <c r="CZ330" s="13"/>
      <c r="DA330" s="13"/>
      <c r="DB330" s="13"/>
      <c r="DC330" s="13" t="str">
        <f t="shared" si="665"/>
        <v/>
      </c>
      <c r="DD330" s="13"/>
      <c r="DE330" s="13"/>
      <c r="DF330" s="13"/>
      <c r="DG330" s="13" t="str">
        <f t="shared" si="651"/>
        <v/>
      </c>
      <c r="DH330" s="14" t="str">
        <f t="shared" si="652"/>
        <v/>
      </c>
      <c r="DI330" s="15"/>
      <c r="DJ330" s="1"/>
      <c r="DK330" s="16"/>
      <c r="DL330" s="54"/>
      <c r="DM330" s="13" t="str">
        <f t="shared" si="666"/>
        <v/>
      </c>
      <c r="DN330" s="13"/>
      <c r="DO330" s="13"/>
      <c r="DP330" s="13"/>
      <c r="DQ330" s="13" t="str">
        <f t="shared" si="667"/>
        <v/>
      </c>
      <c r="DR330" s="13"/>
      <c r="DS330" s="13"/>
      <c r="DT330" s="13"/>
      <c r="DU330" s="13" t="str">
        <f t="shared" si="653"/>
        <v/>
      </c>
      <c r="DV330" s="14" t="str">
        <f t="shared" si="654"/>
        <v/>
      </c>
      <c r="DW330" s="15"/>
      <c r="DY330" s="16"/>
      <c r="DZ330" s="54"/>
      <c r="EA330" s="13" t="str">
        <f t="shared" si="668"/>
        <v/>
      </c>
      <c r="EB330" s="13"/>
      <c r="EC330" s="13"/>
      <c r="ED330" s="13"/>
      <c r="EE330" s="13" t="str">
        <f t="shared" si="669"/>
        <v/>
      </c>
      <c r="EF330" s="13"/>
      <c r="EG330" s="13"/>
      <c r="EH330" s="13"/>
      <c r="EI330" s="13" t="str">
        <f t="shared" si="655"/>
        <v/>
      </c>
      <c r="EJ330" s="14" t="str">
        <f t="shared" si="656"/>
        <v/>
      </c>
      <c r="EK330" s="15"/>
    </row>
    <row r="331" spans="1:141" ht="15" customHeight="1" thickTop="1" x14ac:dyDescent="0.2">
      <c r="A331" s="79"/>
      <c r="B331" s="74"/>
      <c r="C331" s="13"/>
      <c r="D331" s="53"/>
      <c r="E331" s="13"/>
      <c r="F331" s="31"/>
      <c r="G331" s="13"/>
      <c r="H331" s="53"/>
      <c r="I331" s="80"/>
      <c r="J331" s="75"/>
      <c r="K331" s="76"/>
      <c r="L331" s="31"/>
      <c r="M331" s="32"/>
      <c r="N331" s="15"/>
      <c r="O331" s="2"/>
      <c r="P331" s="79"/>
      <c r="Q331" s="13"/>
      <c r="R331" s="53"/>
      <c r="S331" s="13"/>
      <c r="T331" s="31"/>
      <c r="U331" s="13"/>
      <c r="V331" s="53"/>
      <c r="W331" s="80"/>
      <c r="X331" s="75"/>
      <c r="Y331" s="76"/>
      <c r="Z331" s="31"/>
      <c r="AA331" s="32"/>
      <c r="AB331" s="15"/>
      <c r="AC331" s="15"/>
      <c r="AD331" s="79"/>
      <c r="AE331" s="13"/>
      <c r="AF331" s="53"/>
      <c r="AG331" s="13"/>
      <c r="AH331" s="31"/>
      <c r="AI331" s="13"/>
      <c r="AJ331" s="53"/>
      <c r="AK331" s="80"/>
      <c r="AL331" s="75"/>
      <c r="AM331" s="76"/>
      <c r="AN331" s="31"/>
      <c r="AO331" s="32"/>
      <c r="AP331" s="15"/>
      <c r="AQ331" s="15"/>
      <c r="AR331" s="79"/>
      <c r="AS331" s="13"/>
      <c r="AT331" s="53"/>
      <c r="AU331" s="13"/>
      <c r="AV331" s="31"/>
      <c r="AW331" s="13"/>
      <c r="AX331" s="53"/>
      <c r="AY331" s="80"/>
      <c r="AZ331" s="75"/>
      <c r="BA331" s="76"/>
      <c r="BB331" s="31"/>
      <c r="BC331" s="32"/>
      <c r="BD331" s="15"/>
      <c r="BT331" s="15"/>
      <c r="BU331" s="16"/>
      <c r="BV331" s="54"/>
      <c r="BW331" s="13" t="str">
        <f t="shared" si="660"/>
        <v/>
      </c>
      <c r="BX331" s="13"/>
      <c r="BY331" s="13"/>
      <c r="BZ331" s="13"/>
      <c r="CA331" s="13" t="str">
        <f t="shared" si="661"/>
        <v/>
      </c>
      <c r="CB331" s="13"/>
      <c r="CC331" s="13"/>
      <c r="CD331" s="13"/>
      <c r="CE331" s="13" t="str">
        <f t="shared" si="648"/>
        <v/>
      </c>
      <c r="CF331" s="14" t="str">
        <f t="shared" si="649"/>
        <v/>
      </c>
      <c r="CG331" s="15"/>
      <c r="CH331" s="1"/>
      <c r="CI331" s="16"/>
      <c r="CJ331" s="54"/>
      <c r="CK331" s="13" t="str">
        <f t="shared" si="662"/>
        <v/>
      </c>
      <c r="CL331" s="13"/>
      <c r="CM331" s="13"/>
      <c r="CN331" s="13"/>
      <c r="CO331" s="13" t="str">
        <f t="shared" si="663"/>
        <v/>
      </c>
      <c r="CP331" s="13"/>
      <c r="CQ331" s="13"/>
      <c r="CR331" s="13"/>
      <c r="CS331" s="13" t="str">
        <f t="shared" si="650"/>
        <v/>
      </c>
      <c r="CT331" s="14" t="str">
        <f t="shared" si="657"/>
        <v/>
      </c>
      <c r="CU331" s="15"/>
      <c r="CV331" s="1"/>
      <c r="CW331" s="16"/>
      <c r="CX331" s="54"/>
      <c r="CY331" s="13" t="str">
        <f t="shared" si="664"/>
        <v/>
      </c>
      <c r="CZ331" s="13"/>
      <c r="DA331" s="13"/>
      <c r="DB331" s="13"/>
      <c r="DC331" s="13" t="str">
        <f t="shared" si="665"/>
        <v/>
      </c>
      <c r="DD331" s="13"/>
      <c r="DE331" s="13"/>
      <c r="DF331" s="13"/>
      <c r="DG331" s="13" t="str">
        <f t="shared" si="651"/>
        <v/>
      </c>
      <c r="DH331" s="14" t="str">
        <f t="shared" si="652"/>
        <v/>
      </c>
      <c r="DI331" s="15"/>
      <c r="DJ331" s="1"/>
      <c r="DK331" s="16"/>
      <c r="DL331" s="54"/>
      <c r="DM331" s="13" t="str">
        <f t="shared" si="666"/>
        <v/>
      </c>
      <c r="DN331" s="13"/>
      <c r="DO331" s="13"/>
      <c r="DP331" s="13"/>
      <c r="DQ331" s="13" t="str">
        <f t="shared" si="667"/>
        <v/>
      </c>
      <c r="DR331" s="13"/>
      <c r="DS331" s="13"/>
      <c r="DT331" s="13"/>
      <c r="DU331" s="13" t="str">
        <f t="shared" si="653"/>
        <v/>
      </c>
      <c r="DV331" s="14" t="str">
        <f t="shared" si="654"/>
        <v/>
      </c>
      <c r="DW331" s="15"/>
      <c r="DY331" s="16"/>
      <c r="DZ331" s="54"/>
      <c r="EA331" s="13" t="str">
        <f t="shared" si="668"/>
        <v/>
      </c>
      <c r="EB331" s="13"/>
      <c r="EC331" s="13"/>
      <c r="ED331" s="13"/>
      <c r="EE331" s="13" t="str">
        <f t="shared" si="669"/>
        <v/>
      </c>
      <c r="EF331" s="13"/>
      <c r="EG331" s="13"/>
      <c r="EH331" s="13"/>
      <c r="EI331" s="13" t="str">
        <f t="shared" si="655"/>
        <v/>
      </c>
      <c r="EJ331" s="14" t="str">
        <f t="shared" si="656"/>
        <v/>
      </c>
      <c r="EK331" s="15"/>
    </row>
    <row r="332" spans="1:141" ht="15" customHeight="1" x14ac:dyDescent="0.2">
      <c r="A332" s="133"/>
      <c r="B332" s="11"/>
      <c r="C332" s="53"/>
      <c r="D332" s="13" t="str">
        <f t="shared" ref="D332:D354" si="670">IF(C332="","",C332-C328)</f>
        <v/>
      </c>
      <c r="E332" s="53"/>
      <c r="F332" s="13" t="str">
        <f t="shared" ref="F332:F354" si="671">IF(E332="","",E332-E328)</f>
        <v/>
      </c>
      <c r="G332" s="13"/>
      <c r="H332" s="13" t="str">
        <f t="shared" ref="H332:H354" si="672">IF(G332="","",G328+I328-G332)</f>
        <v/>
      </c>
      <c r="I332" s="17"/>
      <c r="J332" s="56" t="str">
        <f t="shared" ref="J332:J354" si="673">IF(C332="","",J328)</f>
        <v/>
      </c>
      <c r="K332" s="54" t="str">
        <f t="shared" ref="K332:K354" si="674">IF(D332="","",K328)</f>
        <v/>
      </c>
      <c r="L332" s="13" t="str">
        <f t="shared" ref="L332:L354" si="675">IF(G332="","",H332*K332)</f>
        <v/>
      </c>
      <c r="M332" s="14" t="str">
        <f t="shared" ref="M332:M354" si="676">IF(H332="","",L332/(D332*100))</f>
        <v/>
      </c>
      <c r="N332" s="15"/>
      <c r="O332" s="2"/>
      <c r="P332" s="16"/>
      <c r="Q332" s="53"/>
      <c r="R332" s="13" t="str">
        <f t="shared" ref="R332:R354" si="677">IF(Q332="","",Q332-Q328)</f>
        <v/>
      </c>
      <c r="S332" s="53"/>
      <c r="T332" s="13" t="str">
        <f t="shared" ref="T332:T354" si="678">IF(S332="","",S332-S328)</f>
        <v/>
      </c>
      <c r="U332" s="13"/>
      <c r="V332" s="13" t="str">
        <f t="shared" ref="V332:V354" si="679">IF(U332="","",U328+W328-U332)</f>
        <v/>
      </c>
      <c r="W332" s="17"/>
      <c r="X332" s="56" t="str">
        <f t="shared" ref="X332:X354" si="680">IF(Q332="","",X328)</f>
        <v/>
      </c>
      <c r="Y332" s="54" t="str">
        <f t="shared" ref="Y332:Y354" si="681">IF(R332="","",Y328)</f>
        <v/>
      </c>
      <c r="Z332" s="13" t="str">
        <f t="shared" ref="Z332:Z354" si="682">IF(U332="","",V332*Y332)</f>
        <v/>
      </c>
      <c r="AA332" s="14" t="str">
        <f t="shared" ref="AA332:AA354" si="683">IF(V332="","",Z332/(R332*100))</f>
        <v/>
      </c>
      <c r="AB332" s="15"/>
      <c r="AC332" s="15"/>
      <c r="AD332" s="16"/>
      <c r="AE332" s="53"/>
      <c r="AF332" s="13" t="str">
        <f t="shared" ref="AF332:AF354" si="684">IF(AE332="","",AE332-AE328)</f>
        <v/>
      </c>
      <c r="AG332" s="53"/>
      <c r="AH332" s="13" t="str">
        <f t="shared" ref="AH332:AH354" si="685">IF(AG332="","",AG332-AG328)</f>
        <v/>
      </c>
      <c r="AI332" s="13"/>
      <c r="AJ332" s="13" t="str">
        <f t="shared" ref="AJ332:AJ354" si="686">IF(AI332="","",AI328+AK328-AI332)</f>
        <v/>
      </c>
      <c r="AK332" s="17"/>
      <c r="AL332" s="56" t="str">
        <f t="shared" ref="AL332:AL354" si="687">IF(AE332="","",AL328)</f>
        <v/>
      </c>
      <c r="AM332" s="54" t="str">
        <f t="shared" ref="AM332:AM354" si="688">IF(AF332="","",AM328)</f>
        <v/>
      </c>
      <c r="AN332" s="13" t="str">
        <f t="shared" ref="AN332:AN354" si="689">IF(AI332="","",AJ332*AM332)</f>
        <v/>
      </c>
      <c r="AO332" s="14" t="str">
        <f t="shared" ref="AO332:AO354" si="690">IF(AJ332="","",AN332/(AF332*100))</f>
        <v/>
      </c>
      <c r="AP332" s="15"/>
      <c r="AQ332" s="15"/>
      <c r="AR332" s="16"/>
      <c r="AS332" s="53"/>
      <c r="AT332" s="13" t="str">
        <f t="shared" ref="AT332:AT354" si="691">IF(AS332="","",AS332-AS328)</f>
        <v/>
      </c>
      <c r="AU332" s="53"/>
      <c r="AV332" s="13" t="str">
        <f t="shared" ref="AV332:AV354" si="692">IF(AU332="","",AU332-AU328)</f>
        <v/>
      </c>
      <c r="AW332" s="13"/>
      <c r="AX332" s="13" t="str">
        <f t="shared" ref="AX332:AX354" si="693">IF(AW332="","",AW328+AY328-AW332)</f>
        <v/>
      </c>
      <c r="AY332" s="17"/>
      <c r="AZ332" s="56" t="str">
        <f t="shared" ref="AZ332:AZ354" si="694">IF(AS332="","",AZ328)</f>
        <v/>
      </c>
      <c r="BA332" s="54" t="str">
        <f t="shared" ref="BA332:BA354" si="695">IF(AT332="","",BA328)</f>
        <v/>
      </c>
      <c r="BB332" s="13" t="str">
        <f t="shared" ref="BB332:BB354" si="696">IF(AW332="","",AX332*BA332)</f>
        <v/>
      </c>
      <c r="BC332" s="14" t="str">
        <f t="shared" ref="BC332:BC354" si="697">IF(AX332="","",BB332/(AT332*100))</f>
        <v/>
      </c>
      <c r="BD332" s="15"/>
      <c r="BT332" s="15"/>
      <c r="BU332" s="16"/>
      <c r="BV332" s="54"/>
      <c r="BW332" s="13" t="str">
        <f t="shared" si="660"/>
        <v/>
      </c>
      <c r="BX332" s="13"/>
      <c r="BY332" s="13"/>
      <c r="BZ332" s="13"/>
      <c r="CA332" s="13" t="str">
        <f t="shared" si="661"/>
        <v/>
      </c>
      <c r="CB332" s="13"/>
      <c r="CC332" s="13"/>
      <c r="CD332" s="13"/>
      <c r="CE332" s="13" t="str">
        <f t="shared" si="648"/>
        <v/>
      </c>
      <c r="CF332" s="14" t="str">
        <f t="shared" si="649"/>
        <v/>
      </c>
      <c r="CG332" s="15"/>
      <c r="CH332" s="1"/>
      <c r="CI332" s="16"/>
      <c r="CJ332" s="54"/>
      <c r="CK332" s="13" t="str">
        <f t="shared" si="662"/>
        <v/>
      </c>
      <c r="CL332" s="13"/>
      <c r="CM332" s="13"/>
      <c r="CN332" s="13"/>
      <c r="CO332" s="13" t="str">
        <f t="shared" si="663"/>
        <v/>
      </c>
      <c r="CP332" s="13"/>
      <c r="CQ332" s="13"/>
      <c r="CR332" s="13"/>
      <c r="CS332" s="13" t="str">
        <f t="shared" si="650"/>
        <v/>
      </c>
      <c r="CT332" s="14" t="str">
        <f t="shared" si="657"/>
        <v/>
      </c>
      <c r="CU332" s="15"/>
      <c r="CV332" s="1"/>
      <c r="CW332" s="16"/>
      <c r="CX332" s="54"/>
      <c r="CY332" s="13" t="str">
        <f t="shared" si="664"/>
        <v/>
      </c>
      <c r="CZ332" s="13"/>
      <c r="DA332" s="13"/>
      <c r="DB332" s="13"/>
      <c r="DC332" s="13" t="str">
        <f t="shared" si="665"/>
        <v/>
      </c>
      <c r="DD332" s="13"/>
      <c r="DE332" s="13"/>
      <c r="DF332" s="13"/>
      <c r="DG332" s="13" t="str">
        <f t="shared" si="651"/>
        <v/>
      </c>
      <c r="DH332" s="14" t="str">
        <f t="shared" si="652"/>
        <v/>
      </c>
      <c r="DI332" s="15"/>
      <c r="DJ332" s="1"/>
      <c r="DK332" s="16"/>
      <c r="DL332" s="54"/>
      <c r="DM332" s="13" t="str">
        <f t="shared" si="666"/>
        <v/>
      </c>
      <c r="DN332" s="13"/>
      <c r="DO332" s="13"/>
      <c r="DP332" s="13"/>
      <c r="DQ332" s="13" t="str">
        <f t="shared" si="667"/>
        <v/>
      </c>
      <c r="DR332" s="13"/>
      <c r="DS332" s="13"/>
      <c r="DT332" s="13"/>
      <c r="DU332" s="13" t="str">
        <f t="shared" si="653"/>
        <v/>
      </c>
      <c r="DV332" s="14" t="str">
        <f t="shared" si="654"/>
        <v/>
      </c>
      <c r="DW332" s="15"/>
      <c r="DY332" s="16"/>
      <c r="DZ332" s="54"/>
      <c r="EA332" s="13" t="str">
        <f t="shared" si="668"/>
        <v/>
      </c>
      <c r="EB332" s="13"/>
      <c r="EC332" s="13"/>
      <c r="ED332" s="13"/>
      <c r="EE332" s="13" t="str">
        <f t="shared" si="669"/>
        <v/>
      </c>
      <c r="EF332" s="13"/>
      <c r="EG332" s="13"/>
      <c r="EH332" s="13"/>
      <c r="EI332" s="13" t="str">
        <f t="shared" si="655"/>
        <v/>
      </c>
      <c r="EJ332" s="14" t="str">
        <f t="shared" si="656"/>
        <v/>
      </c>
      <c r="EK332" s="15"/>
    </row>
    <row r="333" spans="1:141" ht="15" customHeight="1" x14ac:dyDescent="0.2">
      <c r="A333" s="133"/>
      <c r="B333" s="11"/>
      <c r="C333" s="13"/>
      <c r="D333" s="13" t="str">
        <f t="shared" si="670"/>
        <v/>
      </c>
      <c r="E333" s="13"/>
      <c r="F333" s="13" t="str">
        <f t="shared" si="671"/>
        <v/>
      </c>
      <c r="G333" s="13"/>
      <c r="H333" s="13" t="str">
        <f t="shared" si="672"/>
        <v/>
      </c>
      <c r="I333" s="17"/>
      <c r="J333" s="56" t="str">
        <f t="shared" si="673"/>
        <v/>
      </c>
      <c r="K333" s="13" t="str">
        <f t="shared" si="674"/>
        <v/>
      </c>
      <c r="L333" s="13" t="str">
        <f t="shared" si="675"/>
        <v/>
      </c>
      <c r="M333" s="14" t="str">
        <f t="shared" si="676"/>
        <v/>
      </c>
      <c r="N333" s="15"/>
      <c r="O333" s="2"/>
      <c r="P333" s="16"/>
      <c r="Q333" s="13"/>
      <c r="R333" s="13" t="str">
        <f t="shared" si="677"/>
        <v/>
      </c>
      <c r="S333" s="13"/>
      <c r="T333" s="13" t="str">
        <f t="shared" si="678"/>
        <v/>
      </c>
      <c r="U333" s="13"/>
      <c r="V333" s="13" t="str">
        <f t="shared" si="679"/>
        <v/>
      </c>
      <c r="W333" s="17"/>
      <c r="X333" s="56" t="str">
        <f t="shared" si="680"/>
        <v/>
      </c>
      <c r="Y333" s="13" t="str">
        <f t="shared" si="681"/>
        <v/>
      </c>
      <c r="Z333" s="13" t="str">
        <f t="shared" si="682"/>
        <v/>
      </c>
      <c r="AA333" s="14" t="str">
        <f t="shared" si="683"/>
        <v/>
      </c>
      <c r="AB333" s="15"/>
      <c r="AC333" s="15"/>
      <c r="AD333" s="16"/>
      <c r="AE333" s="13"/>
      <c r="AF333" s="13" t="str">
        <f t="shared" si="684"/>
        <v/>
      </c>
      <c r="AG333" s="13"/>
      <c r="AH333" s="13" t="str">
        <f t="shared" si="685"/>
        <v/>
      </c>
      <c r="AI333" s="13"/>
      <c r="AJ333" s="13" t="str">
        <f t="shared" si="686"/>
        <v/>
      </c>
      <c r="AK333" s="17"/>
      <c r="AL333" s="56" t="str">
        <f t="shared" si="687"/>
        <v/>
      </c>
      <c r="AM333" s="13" t="str">
        <f t="shared" si="688"/>
        <v/>
      </c>
      <c r="AN333" s="13" t="str">
        <f t="shared" si="689"/>
        <v/>
      </c>
      <c r="AO333" s="14" t="str">
        <f t="shared" si="690"/>
        <v/>
      </c>
      <c r="AP333" s="15"/>
      <c r="AQ333" s="15"/>
      <c r="AR333" s="16"/>
      <c r="AS333" s="13"/>
      <c r="AT333" s="13" t="str">
        <f t="shared" si="691"/>
        <v/>
      </c>
      <c r="AU333" s="13"/>
      <c r="AV333" s="13" t="str">
        <f t="shared" si="692"/>
        <v/>
      </c>
      <c r="AW333" s="13"/>
      <c r="AX333" s="13" t="str">
        <f t="shared" si="693"/>
        <v/>
      </c>
      <c r="AY333" s="17"/>
      <c r="AZ333" s="56" t="str">
        <f t="shared" si="694"/>
        <v/>
      </c>
      <c r="BA333" s="13" t="str">
        <f t="shared" si="695"/>
        <v/>
      </c>
      <c r="BB333" s="13" t="str">
        <f t="shared" si="696"/>
        <v/>
      </c>
      <c r="BC333" s="14" t="str">
        <f t="shared" si="697"/>
        <v/>
      </c>
      <c r="BD333" s="15"/>
      <c r="BT333" s="15"/>
      <c r="BU333" s="16"/>
      <c r="BV333" s="54"/>
      <c r="BW333" s="13" t="str">
        <f t="shared" si="660"/>
        <v/>
      </c>
      <c r="BX333" s="13"/>
      <c r="BY333" s="13"/>
      <c r="BZ333" s="13"/>
      <c r="CA333" s="13" t="str">
        <f t="shared" si="661"/>
        <v/>
      </c>
      <c r="CB333" s="13"/>
      <c r="CC333" s="13"/>
      <c r="CD333" s="13"/>
      <c r="CE333" s="13" t="str">
        <f t="shared" si="648"/>
        <v/>
      </c>
      <c r="CF333" s="14" t="str">
        <f t="shared" si="649"/>
        <v/>
      </c>
      <c r="CG333" s="15"/>
      <c r="CH333" s="1"/>
      <c r="CI333" s="16"/>
      <c r="CJ333" s="54"/>
      <c r="CK333" s="13" t="str">
        <f t="shared" si="662"/>
        <v/>
      </c>
      <c r="CL333" s="13"/>
      <c r="CM333" s="13"/>
      <c r="CN333" s="13"/>
      <c r="CO333" s="13" t="str">
        <f t="shared" si="663"/>
        <v/>
      </c>
      <c r="CP333" s="13"/>
      <c r="CQ333" s="13"/>
      <c r="CR333" s="13"/>
      <c r="CS333" s="13" t="str">
        <f t="shared" si="650"/>
        <v/>
      </c>
      <c r="CT333" s="14" t="str">
        <f t="shared" si="657"/>
        <v/>
      </c>
      <c r="CU333" s="15"/>
      <c r="CV333" s="1"/>
      <c r="CW333" s="16"/>
      <c r="CX333" s="54"/>
      <c r="CY333" s="13" t="str">
        <f t="shared" si="664"/>
        <v/>
      </c>
      <c r="CZ333" s="13"/>
      <c r="DA333" s="13"/>
      <c r="DB333" s="13"/>
      <c r="DC333" s="13" t="str">
        <f t="shared" si="665"/>
        <v/>
      </c>
      <c r="DD333" s="13"/>
      <c r="DE333" s="13"/>
      <c r="DF333" s="13"/>
      <c r="DG333" s="13" t="str">
        <f t="shared" si="651"/>
        <v/>
      </c>
      <c r="DH333" s="14" t="str">
        <f t="shared" si="652"/>
        <v/>
      </c>
      <c r="DI333" s="15"/>
      <c r="DJ333" s="1"/>
      <c r="DK333" s="16"/>
      <c r="DL333" s="54"/>
      <c r="DM333" s="13" t="str">
        <f t="shared" si="666"/>
        <v/>
      </c>
      <c r="DN333" s="13"/>
      <c r="DO333" s="13"/>
      <c r="DP333" s="13"/>
      <c r="DQ333" s="13" t="str">
        <f t="shared" si="667"/>
        <v/>
      </c>
      <c r="DR333" s="13"/>
      <c r="DS333" s="13"/>
      <c r="DT333" s="13"/>
      <c r="DU333" s="13" t="str">
        <f t="shared" si="653"/>
        <v/>
      </c>
      <c r="DV333" s="14" t="str">
        <f t="shared" si="654"/>
        <v/>
      </c>
      <c r="DW333" s="15"/>
      <c r="DY333" s="16"/>
      <c r="DZ333" s="54"/>
      <c r="EA333" s="13" t="str">
        <f t="shared" si="668"/>
        <v/>
      </c>
      <c r="EB333" s="13"/>
      <c r="EC333" s="13"/>
      <c r="ED333" s="13"/>
      <c r="EE333" s="13" t="str">
        <f t="shared" si="669"/>
        <v/>
      </c>
      <c r="EF333" s="13"/>
      <c r="EG333" s="13"/>
      <c r="EH333" s="13"/>
      <c r="EI333" s="13" t="str">
        <f t="shared" si="655"/>
        <v/>
      </c>
      <c r="EJ333" s="14" t="str">
        <f t="shared" si="656"/>
        <v/>
      </c>
      <c r="EK333" s="15"/>
    </row>
    <row r="334" spans="1:141" ht="15" customHeight="1" thickBot="1" x14ac:dyDescent="0.25">
      <c r="A334" s="26"/>
      <c r="B334" s="46"/>
      <c r="C334" s="27"/>
      <c r="D334" s="27" t="str">
        <f t="shared" si="670"/>
        <v/>
      </c>
      <c r="E334" s="27"/>
      <c r="F334" s="27" t="str">
        <f t="shared" si="671"/>
        <v/>
      </c>
      <c r="G334" s="27"/>
      <c r="H334" s="27" t="str">
        <f t="shared" si="672"/>
        <v/>
      </c>
      <c r="I334" s="47"/>
      <c r="J334" s="57" t="str">
        <f t="shared" si="673"/>
        <v/>
      </c>
      <c r="K334" s="62" t="str">
        <f t="shared" si="674"/>
        <v/>
      </c>
      <c r="L334" s="27" t="str">
        <f t="shared" si="675"/>
        <v/>
      </c>
      <c r="M334" s="28" t="str">
        <f t="shared" si="676"/>
        <v/>
      </c>
      <c r="N334" s="15"/>
      <c r="O334" s="2"/>
      <c r="P334" s="26"/>
      <c r="Q334" s="27"/>
      <c r="R334" s="27" t="str">
        <f t="shared" si="677"/>
        <v/>
      </c>
      <c r="S334" s="27"/>
      <c r="T334" s="27" t="str">
        <f t="shared" si="678"/>
        <v/>
      </c>
      <c r="U334" s="27"/>
      <c r="V334" s="27" t="str">
        <f t="shared" si="679"/>
        <v/>
      </c>
      <c r="W334" s="47"/>
      <c r="X334" s="57" t="str">
        <f t="shared" si="680"/>
        <v/>
      </c>
      <c r="Y334" s="62" t="str">
        <f t="shared" si="681"/>
        <v/>
      </c>
      <c r="Z334" s="27" t="str">
        <f t="shared" si="682"/>
        <v/>
      </c>
      <c r="AA334" s="28" t="str">
        <f t="shared" si="683"/>
        <v/>
      </c>
      <c r="AB334" s="15"/>
      <c r="AC334" s="15"/>
      <c r="AD334" s="26"/>
      <c r="AE334" s="27"/>
      <c r="AF334" s="27" t="str">
        <f t="shared" si="684"/>
        <v/>
      </c>
      <c r="AG334" s="27"/>
      <c r="AH334" s="27" t="str">
        <f t="shared" si="685"/>
        <v/>
      </c>
      <c r="AI334" s="27"/>
      <c r="AJ334" s="27" t="str">
        <f t="shared" si="686"/>
        <v/>
      </c>
      <c r="AK334" s="47"/>
      <c r="AL334" s="57" t="str">
        <f t="shared" si="687"/>
        <v/>
      </c>
      <c r="AM334" s="62" t="str">
        <f t="shared" si="688"/>
        <v/>
      </c>
      <c r="AN334" s="27" t="str">
        <f t="shared" si="689"/>
        <v/>
      </c>
      <c r="AO334" s="28" t="str">
        <f t="shared" si="690"/>
        <v/>
      </c>
      <c r="AP334" s="15"/>
      <c r="AQ334" s="39"/>
      <c r="AR334" s="26"/>
      <c r="AS334" s="27"/>
      <c r="AT334" s="27" t="str">
        <f t="shared" si="691"/>
        <v/>
      </c>
      <c r="AU334" s="27"/>
      <c r="AV334" s="27" t="str">
        <f t="shared" si="692"/>
        <v/>
      </c>
      <c r="AW334" s="27"/>
      <c r="AX334" s="27" t="str">
        <f t="shared" si="693"/>
        <v/>
      </c>
      <c r="AY334" s="47"/>
      <c r="AZ334" s="57" t="str">
        <f t="shared" si="694"/>
        <v/>
      </c>
      <c r="BA334" s="62" t="str">
        <f t="shared" si="695"/>
        <v/>
      </c>
      <c r="BB334" s="27" t="str">
        <f t="shared" si="696"/>
        <v/>
      </c>
      <c r="BC334" s="28" t="str">
        <f t="shared" si="697"/>
        <v/>
      </c>
      <c r="BD334" s="15"/>
      <c r="BT334" s="39"/>
      <c r="BU334" s="16"/>
      <c r="BV334" s="54"/>
      <c r="BW334" s="13" t="str">
        <f t="shared" si="660"/>
        <v/>
      </c>
      <c r="BX334" s="13"/>
      <c r="BY334" s="13"/>
      <c r="BZ334" s="13"/>
      <c r="CA334" s="13" t="str">
        <f t="shared" si="661"/>
        <v/>
      </c>
      <c r="CB334" s="13"/>
      <c r="CC334" s="13"/>
      <c r="CD334" s="13"/>
      <c r="CE334" s="13" t="str">
        <f t="shared" si="648"/>
        <v/>
      </c>
      <c r="CF334" s="14" t="str">
        <f t="shared" si="649"/>
        <v/>
      </c>
      <c r="CG334" s="15"/>
      <c r="CH334" s="1"/>
      <c r="CI334" s="16"/>
      <c r="CJ334" s="54"/>
      <c r="CK334" s="13" t="str">
        <f t="shared" si="662"/>
        <v/>
      </c>
      <c r="CL334" s="13"/>
      <c r="CM334" s="13"/>
      <c r="CN334" s="13"/>
      <c r="CO334" s="13" t="str">
        <f t="shared" si="663"/>
        <v/>
      </c>
      <c r="CP334" s="13"/>
      <c r="CQ334" s="13"/>
      <c r="CR334" s="13"/>
      <c r="CS334" s="13" t="str">
        <f t="shared" si="650"/>
        <v/>
      </c>
      <c r="CT334" s="14" t="str">
        <f t="shared" si="657"/>
        <v/>
      </c>
      <c r="CU334" s="15"/>
      <c r="CV334" s="1"/>
      <c r="CW334" s="16"/>
      <c r="CX334" s="54"/>
      <c r="CY334" s="13" t="str">
        <f t="shared" si="664"/>
        <v/>
      </c>
      <c r="CZ334" s="13"/>
      <c r="DA334" s="13"/>
      <c r="DB334" s="13"/>
      <c r="DC334" s="13" t="str">
        <f t="shared" si="665"/>
        <v/>
      </c>
      <c r="DD334" s="13"/>
      <c r="DE334" s="13"/>
      <c r="DF334" s="13"/>
      <c r="DG334" s="13" t="str">
        <f t="shared" si="651"/>
        <v/>
      </c>
      <c r="DH334" s="14" t="str">
        <f t="shared" si="652"/>
        <v/>
      </c>
      <c r="DI334" s="15"/>
      <c r="DJ334" s="1"/>
      <c r="DK334" s="16"/>
      <c r="DL334" s="54"/>
      <c r="DM334" s="13" t="str">
        <f t="shared" si="666"/>
        <v/>
      </c>
      <c r="DN334" s="13"/>
      <c r="DO334" s="13"/>
      <c r="DP334" s="13"/>
      <c r="DQ334" s="13" t="str">
        <f t="shared" si="667"/>
        <v/>
      </c>
      <c r="DR334" s="13"/>
      <c r="DS334" s="13"/>
      <c r="DT334" s="13"/>
      <c r="DU334" s="13" t="str">
        <f t="shared" si="653"/>
        <v/>
      </c>
      <c r="DV334" s="14" t="str">
        <f t="shared" si="654"/>
        <v/>
      </c>
      <c r="DW334" s="15"/>
      <c r="DY334" s="16"/>
      <c r="DZ334" s="54"/>
      <c r="EA334" s="13" t="str">
        <f t="shared" si="668"/>
        <v/>
      </c>
      <c r="EB334" s="13"/>
      <c r="EC334" s="13"/>
      <c r="ED334" s="13"/>
      <c r="EE334" s="13" t="str">
        <f t="shared" si="669"/>
        <v/>
      </c>
      <c r="EF334" s="13"/>
      <c r="EG334" s="13"/>
      <c r="EH334" s="13"/>
      <c r="EI334" s="13" t="str">
        <f t="shared" si="655"/>
        <v/>
      </c>
      <c r="EJ334" s="14" t="str">
        <f t="shared" si="656"/>
        <v/>
      </c>
      <c r="EK334" s="15"/>
    </row>
    <row r="335" spans="1:141" ht="15" customHeight="1" thickTop="1" x14ac:dyDescent="0.2">
      <c r="A335" s="158"/>
      <c r="B335" s="74" t="str">
        <f>IF(A335="","",SUM(D335:D338)+SUM(R335:R338)+SUM(AF335:AF338)+SUM(AT335:AT338)+SUM(BW308,CK308,CY308,DM308))</f>
        <v/>
      </c>
      <c r="C335" s="53"/>
      <c r="D335" s="53" t="str">
        <f t="shared" si="670"/>
        <v/>
      </c>
      <c r="E335" s="53"/>
      <c r="F335" s="31" t="str">
        <f t="shared" si="671"/>
        <v/>
      </c>
      <c r="G335" s="53"/>
      <c r="H335" s="53" t="str">
        <f t="shared" si="672"/>
        <v/>
      </c>
      <c r="I335" s="80"/>
      <c r="J335" s="75" t="str">
        <f t="shared" si="673"/>
        <v/>
      </c>
      <c r="K335" s="76" t="str">
        <f t="shared" si="674"/>
        <v/>
      </c>
      <c r="L335" s="31" t="str">
        <f t="shared" si="675"/>
        <v/>
      </c>
      <c r="M335" s="32" t="str">
        <f t="shared" si="676"/>
        <v/>
      </c>
      <c r="N335" s="15"/>
      <c r="O335" s="2"/>
      <c r="P335" s="79" t="str">
        <f>IF($A335="","",$A335)</f>
        <v/>
      </c>
      <c r="Q335" s="53"/>
      <c r="R335" s="53" t="str">
        <f t="shared" si="677"/>
        <v/>
      </c>
      <c r="S335" s="53"/>
      <c r="T335" s="31" t="str">
        <f t="shared" si="678"/>
        <v/>
      </c>
      <c r="U335" s="53"/>
      <c r="V335" s="53" t="str">
        <f t="shared" si="679"/>
        <v/>
      </c>
      <c r="W335" s="80"/>
      <c r="X335" s="75" t="str">
        <f t="shared" si="680"/>
        <v/>
      </c>
      <c r="Y335" s="76" t="str">
        <f t="shared" si="681"/>
        <v/>
      </c>
      <c r="Z335" s="31" t="str">
        <f t="shared" si="682"/>
        <v/>
      </c>
      <c r="AA335" s="32" t="str">
        <f t="shared" si="683"/>
        <v/>
      </c>
      <c r="AB335" s="15"/>
      <c r="AC335" s="15"/>
      <c r="AD335" s="79" t="str">
        <f>IF($A335="","",$A335)</f>
        <v/>
      </c>
      <c r="AE335" s="53"/>
      <c r="AF335" s="53" t="str">
        <f t="shared" si="684"/>
        <v/>
      </c>
      <c r="AG335" s="53"/>
      <c r="AH335" s="31" t="str">
        <f t="shared" si="685"/>
        <v/>
      </c>
      <c r="AI335" s="53"/>
      <c r="AJ335" s="53" t="str">
        <f t="shared" si="686"/>
        <v/>
      </c>
      <c r="AK335" s="80"/>
      <c r="AL335" s="75" t="str">
        <f t="shared" si="687"/>
        <v/>
      </c>
      <c r="AM335" s="76" t="str">
        <f t="shared" si="688"/>
        <v/>
      </c>
      <c r="AN335" s="31" t="str">
        <f t="shared" si="689"/>
        <v/>
      </c>
      <c r="AO335" s="32" t="str">
        <f t="shared" si="690"/>
        <v/>
      </c>
      <c r="AP335" s="15"/>
      <c r="AQ335" s="113"/>
      <c r="AR335" s="79" t="str">
        <f>IF($A335="","",$A335)</f>
        <v/>
      </c>
      <c r="AS335" s="53"/>
      <c r="AT335" s="53" t="str">
        <f t="shared" si="691"/>
        <v/>
      </c>
      <c r="AU335" s="53"/>
      <c r="AV335" s="31" t="str">
        <f t="shared" si="692"/>
        <v/>
      </c>
      <c r="AW335" s="53"/>
      <c r="AX335" s="53" t="str">
        <f t="shared" si="693"/>
        <v/>
      </c>
      <c r="AY335" s="80"/>
      <c r="AZ335" s="75" t="str">
        <f t="shared" si="694"/>
        <v/>
      </c>
      <c r="BA335" s="76" t="str">
        <f t="shared" si="695"/>
        <v/>
      </c>
      <c r="BB335" s="31" t="str">
        <f t="shared" si="696"/>
        <v/>
      </c>
      <c r="BC335" s="32" t="str">
        <f t="shared" si="697"/>
        <v/>
      </c>
      <c r="BD335" s="15"/>
      <c r="BT335" s="113"/>
      <c r="BU335" s="16"/>
      <c r="BV335" s="54"/>
      <c r="BW335" s="13" t="str">
        <f t="shared" si="660"/>
        <v/>
      </c>
      <c r="BX335" s="13"/>
      <c r="BY335" s="13"/>
      <c r="BZ335" s="13"/>
      <c r="CA335" s="13" t="str">
        <f t="shared" si="661"/>
        <v/>
      </c>
      <c r="CB335" s="13"/>
      <c r="CC335" s="13"/>
      <c r="CD335" s="13"/>
      <c r="CE335" s="13" t="str">
        <f t="shared" si="648"/>
        <v/>
      </c>
      <c r="CF335" s="14" t="str">
        <f t="shared" si="649"/>
        <v/>
      </c>
      <c r="CG335" s="15"/>
      <c r="CH335" s="1"/>
      <c r="CI335" s="16"/>
      <c r="CJ335" s="54"/>
      <c r="CK335" s="13" t="str">
        <f t="shared" si="662"/>
        <v/>
      </c>
      <c r="CL335" s="13"/>
      <c r="CM335" s="13"/>
      <c r="CN335" s="13"/>
      <c r="CO335" s="13" t="str">
        <f t="shared" si="663"/>
        <v/>
      </c>
      <c r="CP335" s="13"/>
      <c r="CQ335" s="13"/>
      <c r="CR335" s="13"/>
      <c r="CS335" s="13" t="str">
        <f t="shared" si="650"/>
        <v/>
      </c>
      <c r="CT335" s="14" t="str">
        <f t="shared" si="657"/>
        <v/>
      </c>
      <c r="CU335" s="15"/>
      <c r="CV335" s="1"/>
      <c r="CW335" s="16"/>
      <c r="CX335" s="54"/>
      <c r="CY335" s="13" t="str">
        <f t="shared" si="664"/>
        <v/>
      </c>
      <c r="CZ335" s="13"/>
      <c r="DA335" s="13"/>
      <c r="DB335" s="13"/>
      <c r="DC335" s="13" t="str">
        <f t="shared" si="665"/>
        <v/>
      </c>
      <c r="DD335" s="13"/>
      <c r="DE335" s="13"/>
      <c r="DF335" s="13"/>
      <c r="DG335" s="13" t="str">
        <f t="shared" si="651"/>
        <v/>
      </c>
      <c r="DH335" s="14" t="str">
        <f t="shared" si="652"/>
        <v/>
      </c>
      <c r="DI335" s="15"/>
      <c r="DJ335" s="1"/>
      <c r="DK335" s="16"/>
      <c r="DL335" s="54"/>
      <c r="DM335" s="13" t="str">
        <f t="shared" si="666"/>
        <v/>
      </c>
      <c r="DN335" s="13"/>
      <c r="DO335" s="13"/>
      <c r="DP335" s="13"/>
      <c r="DQ335" s="13" t="str">
        <f t="shared" si="667"/>
        <v/>
      </c>
      <c r="DR335" s="13"/>
      <c r="DS335" s="13"/>
      <c r="DT335" s="13"/>
      <c r="DU335" s="13" t="str">
        <f t="shared" si="653"/>
        <v/>
      </c>
      <c r="DV335" s="14" t="str">
        <f t="shared" si="654"/>
        <v/>
      </c>
      <c r="DW335" s="15"/>
      <c r="DY335" s="16"/>
      <c r="DZ335" s="54"/>
      <c r="EA335" s="13" t="str">
        <f t="shared" si="668"/>
        <v/>
      </c>
      <c r="EB335" s="13"/>
      <c r="EC335" s="13"/>
      <c r="ED335" s="13"/>
      <c r="EE335" s="13" t="str">
        <f t="shared" si="669"/>
        <v/>
      </c>
      <c r="EF335" s="13"/>
      <c r="EG335" s="13"/>
      <c r="EH335" s="13"/>
      <c r="EI335" s="13" t="str">
        <f t="shared" si="655"/>
        <v/>
      </c>
      <c r="EJ335" s="14" t="str">
        <f t="shared" si="656"/>
        <v/>
      </c>
      <c r="EK335" s="15"/>
    </row>
    <row r="336" spans="1:141" x14ac:dyDescent="0.2">
      <c r="A336" s="16"/>
      <c r="B336" s="11"/>
      <c r="C336" s="13"/>
      <c r="D336" s="53" t="str">
        <f t="shared" si="670"/>
        <v/>
      </c>
      <c r="E336" s="13"/>
      <c r="F336" s="13" t="str">
        <f t="shared" si="671"/>
        <v/>
      </c>
      <c r="G336" s="13"/>
      <c r="H336" s="13" t="str">
        <f t="shared" si="672"/>
        <v/>
      </c>
      <c r="I336" s="17"/>
      <c r="J336" s="56" t="str">
        <f t="shared" si="673"/>
        <v/>
      </c>
      <c r="K336" s="54" t="str">
        <f t="shared" si="674"/>
        <v/>
      </c>
      <c r="L336" s="13" t="str">
        <f t="shared" si="675"/>
        <v/>
      </c>
      <c r="M336" s="14" t="str">
        <f t="shared" si="676"/>
        <v/>
      </c>
      <c r="N336" s="15"/>
      <c r="O336" s="2"/>
      <c r="P336" s="16"/>
      <c r="Q336" s="13"/>
      <c r="R336" s="53" t="str">
        <f t="shared" si="677"/>
        <v/>
      </c>
      <c r="S336" s="13"/>
      <c r="T336" s="13" t="str">
        <f t="shared" si="678"/>
        <v/>
      </c>
      <c r="U336" s="13"/>
      <c r="V336" s="13" t="str">
        <f t="shared" si="679"/>
        <v/>
      </c>
      <c r="W336" s="17"/>
      <c r="X336" s="56" t="str">
        <f t="shared" si="680"/>
        <v/>
      </c>
      <c r="Y336" s="54" t="str">
        <f t="shared" si="681"/>
        <v/>
      </c>
      <c r="Z336" s="13" t="str">
        <f t="shared" si="682"/>
        <v/>
      </c>
      <c r="AA336" s="14" t="str">
        <f t="shared" si="683"/>
        <v/>
      </c>
      <c r="AB336" s="15"/>
      <c r="AC336" s="15"/>
      <c r="AD336" s="16"/>
      <c r="AE336" s="13"/>
      <c r="AF336" s="53" t="str">
        <f t="shared" si="684"/>
        <v/>
      </c>
      <c r="AG336" s="13"/>
      <c r="AH336" s="13" t="str">
        <f t="shared" si="685"/>
        <v/>
      </c>
      <c r="AI336" s="13"/>
      <c r="AJ336" s="13" t="str">
        <f t="shared" si="686"/>
        <v/>
      </c>
      <c r="AK336" s="17"/>
      <c r="AL336" s="56" t="str">
        <f t="shared" si="687"/>
        <v/>
      </c>
      <c r="AM336" s="54" t="str">
        <f t="shared" si="688"/>
        <v/>
      </c>
      <c r="AN336" s="13" t="str">
        <f t="shared" si="689"/>
        <v/>
      </c>
      <c r="AO336" s="14" t="str">
        <f t="shared" si="690"/>
        <v/>
      </c>
      <c r="AP336" s="15"/>
      <c r="AQ336" s="113"/>
      <c r="AR336" s="16"/>
      <c r="AS336" s="13"/>
      <c r="AT336" s="53" t="str">
        <f t="shared" si="691"/>
        <v/>
      </c>
      <c r="AU336" s="13"/>
      <c r="AV336" s="13" t="str">
        <f t="shared" si="692"/>
        <v/>
      </c>
      <c r="AW336" s="13"/>
      <c r="AX336" s="13" t="str">
        <f t="shared" si="693"/>
        <v/>
      </c>
      <c r="AY336" s="17"/>
      <c r="AZ336" s="56" t="str">
        <f t="shared" si="694"/>
        <v/>
      </c>
      <c r="BA336" s="54" t="str">
        <f t="shared" si="695"/>
        <v/>
      </c>
      <c r="BB336" s="13" t="str">
        <f t="shared" si="696"/>
        <v/>
      </c>
      <c r="BC336" s="14" t="str">
        <f t="shared" si="697"/>
        <v/>
      </c>
      <c r="BD336" s="15"/>
      <c r="BT336" s="113"/>
      <c r="BU336" s="16"/>
      <c r="BV336" s="54"/>
      <c r="BW336" s="13" t="str">
        <f t="shared" si="660"/>
        <v/>
      </c>
      <c r="BX336" s="13"/>
      <c r="BY336" s="13"/>
      <c r="BZ336" s="13"/>
      <c r="CA336" s="13" t="str">
        <f t="shared" si="661"/>
        <v/>
      </c>
      <c r="CB336" s="13"/>
      <c r="CC336" s="13"/>
      <c r="CD336" s="13"/>
      <c r="CE336" s="13" t="str">
        <f t="shared" si="648"/>
        <v/>
      </c>
      <c r="CF336" s="14" t="str">
        <f t="shared" si="649"/>
        <v/>
      </c>
      <c r="CG336" s="15"/>
      <c r="CH336" s="1"/>
      <c r="CI336" s="16"/>
      <c r="CJ336" s="54"/>
      <c r="CK336" s="13" t="str">
        <f t="shared" si="662"/>
        <v/>
      </c>
      <c r="CL336" s="13"/>
      <c r="CM336" s="13"/>
      <c r="CN336" s="13"/>
      <c r="CO336" s="13" t="str">
        <f t="shared" si="663"/>
        <v/>
      </c>
      <c r="CP336" s="13"/>
      <c r="CQ336" s="13"/>
      <c r="CR336" s="13"/>
      <c r="CS336" s="13" t="str">
        <f t="shared" si="650"/>
        <v/>
      </c>
      <c r="CT336" s="14" t="str">
        <f t="shared" si="657"/>
        <v/>
      </c>
      <c r="CU336" s="15"/>
      <c r="CV336" s="1"/>
      <c r="CW336" s="16"/>
      <c r="CX336" s="54"/>
      <c r="CY336" s="13" t="str">
        <f t="shared" si="664"/>
        <v/>
      </c>
      <c r="CZ336" s="13"/>
      <c r="DA336" s="13"/>
      <c r="DB336" s="13"/>
      <c r="DC336" s="13" t="str">
        <f t="shared" si="665"/>
        <v/>
      </c>
      <c r="DD336" s="13"/>
      <c r="DE336" s="13"/>
      <c r="DF336" s="13"/>
      <c r="DG336" s="13" t="str">
        <f t="shared" si="651"/>
        <v/>
      </c>
      <c r="DH336" s="14" t="str">
        <f t="shared" si="652"/>
        <v/>
      </c>
      <c r="DI336" s="15"/>
      <c r="DJ336" s="1"/>
      <c r="DK336" s="16"/>
      <c r="DL336" s="54"/>
      <c r="DM336" s="13" t="str">
        <f t="shared" si="666"/>
        <v/>
      </c>
      <c r="DN336" s="13"/>
      <c r="DO336" s="13"/>
      <c r="DP336" s="13"/>
      <c r="DQ336" s="13" t="str">
        <f t="shared" si="667"/>
        <v/>
      </c>
      <c r="DR336" s="13"/>
      <c r="DS336" s="13"/>
      <c r="DT336" s="13"/>
      <c r="DU336" s="13" t="str">
        <f t="shared" si="653"/>
        <v/>
      </c>
      <c r="DV336" s="14" t="str">
        <f t="shared" si="654"/>
        <v/>
      </c>
      <c r="DW336" s="15"/>
      <c r="DY336" s="16"/>
      <c r="DZ336" s="54"/>
      <c r="EA336" s="13" t="str">
        <f t="shared" si="668"/>
        <v/>
      </c>
      <c r="EB336" s="13"/>
      <c r="EC336" s="13"/>
      <c r="ED336" s="13"/>
      <c r="EE336" s="13" t="str">
        <f t="shared" si="669"/>
        <v/>
      </c>
      <c r="EF336" s="13"/>
      <c r="EG336" s="13"/>
      <c r="EH336" s="13"/>
      <c r="EI336" s="13" t="str">
        <f t="shared" si="655"/>
        <v/>
      </c>
      <c r="EJ336" s="14" t="str">
        <f t="shared" si="656"/>
        <v/>
      </c>
      <c r="EK336" s="15"/>
    </row>
    <row r="337" spans="1:141" ht="15" customHeight="1" x14ac:dyDescent="0.2">
      <c r="A337" s="149"/>
      <c r="B337" s="11"/>
      <c r="C337" s="13"/>
      <c r="D337" s="63" t="str">
        <f t="shared" si="670"/>
        <v/>
      </c>
      <c r="E337" s="13"/>
      <c r="F337" s="13" t="str">
        <f t="shared" si="671"/>
        <v/>
      </c>
      <c r="G337" s="34"/>
      <c r="H337" s="34" t="str">
        <f t="shared" si="672"/>
        <v/>
      </c>
      <c r="I337" s="49"/>
      <c r="J337" s="56" t="str">
        <f t="shared" si="673"/>
        <v/>
      </c>
      <c r="K337" s="13" t="str">
        <f t="shared" si="674"/>
        <v/>
      </c>
      <c r="L337" s="13" t="str">
        <f t="shared" si="675"/>
        <v/>
      </c>
      <c r="M337" s="14" t="str">
        <f t="shared" si="676"/>
        <v/>
      </c>
      <c r="N337" s="15"/>
      <c r="O337" s="2"/>
      <c r="P337" s="16"/>
      <c r="Q337" s="13"/>
      <c r="R337" s="63" t="str">
        <f t="shared" si="677"/>
        <v/>
      </c>
      <c r="S337" s="13"/>
      <c r="T337" s="13" t="str">
        <f t="shared" si="678"/>
        <v/>
      </c>
      <c r="U337" s="34"/>
      <c r="V337" s="34" t="str">
        <f t="shared" si="679"/>
        <v/>
      </c>
      <c r="W337" s="49"/>
      <c r="X337" s="56" t="str">
        <f t="shared" si="680"/>
        <v/>
      </c>
      <c r="Y337" s="13" t="str">
        <f t="shared" si="681"/>
        <v/>
      </c>
      <c r="Z337" s="13" t="str">
        <f t="shared" si="682"/>
        <v/>
      </c>
      <c r="AA337" s="14" t="str">
        <f t="shared" si="683"/>
        <v/>
      </c>
      <c r="AB337" s="15"/>
      <c r="AC337" s="15"/>
      <c r="AD337" s="16"/>
      <c r="AE337" s="13"/>
      <c r="AF337" s="63" t="str">
        <f t="shared" si="684"/>
        <v/>
      </c>
      <c r="AG337" s="13"/>
      <c r="AH337" s="13" t="str">
        <f t="shared" si="685"/>
        <v/>
      </c>
      <c r="AI337" s="34"/>
      <c r="AJ337" s="34" t="str">
        <f t="shared" si="686"/>
        <v/>
      </c>
      <c r="AK337" s="49"/>
      <c r="AL337" s="56" t="str">
        <f t="shared" si="687"/>
        <v/>
      </c>
      <c r="AM337" s="13" t="str">
        <f t="shared" si="688"/>
        <v/>
      </c>
      <c r="AN337" s="13" t="str">
        <f t="shared" si="689"/>
        <v/>
      </c>
      <c r="AO337" s="14" t="str">
        <f t="shared" si="690"/>
        <v/>
      </c>
      <c r="AP337" s="15"/>
      <c r="AQ337" s="113"/>
      <c r="AR337" s="16"/>
      <c r="AS337" s="13"/>
      <c r="AT337" s="63" t="str">
        <f t="shared" si="691"/>
        <v/>
      </c>
      <c r="AU337" s="13"/>
      <c r="AV337" s="13" t="str">
        <f t="shared" si="692"/>
        <v/>
      </c>
      <c r="AW337" s="34"/>
      <c r="AX337" s="34" t="str">
        <f t="shared" si="693"/>
        <v/>
      </c>
      <c r="AY337" s="49"/>
      <c r="AZ337" s="56" t="str">
        <f t="shared" si="694"/>
        <v/>
      </c>
      <c r="BA337" s="13" t="str">
        <f t="shared" si="695"/>
        <v/>
      </c>
      <c r="BB337" s="13" t="str">
        <f t="shared" si="696"/>
        <v/>
      </c>
      <c r="BC337" s="14" t="str">
        <f t="shared" si="697"/>
        <v/>
      </c>
      <c r="BD337" s="15"/>
      <c r="BT337" s="113"/>
      <c r="BU337" s="16"/>
      <c r="BV337" s="54"/>
      <c r="BW337" s="13" t="str">
        <f t="shared" si="660"/>
        <v/>
      </c>
      <c r="BX337" s="13"/>
      <c r="BY337" s="13"/>
      <c r="BZ337" s="13"/>
      <c r="CA337" s="13" t="str">
        <f t="shared" si="661"/>
        <v/>
      </c>
      <c r="CB337" s="13"/>
      <c r="CC337" s="13"/>
      <c r="CD337" s="13"/>
      <c r="CE337" s="13" t="str">
        <f t="shared" si="648"/>
        <v/>
      </c>
      <c r="CF337" s="14" t="str">
        <f t="shared" si="649"/>
        <v/>
      </c>
      <c r="CG337" s="15"/>
      <c r="CH337" s="1"/>
      <c r="CI337" s="16"/>
      <c r="CJ337" s="54"/>
      <c r="CK337" s="13" t="str">
        <f t="shared" si="662"/>
        <v/>
      </c>
      <c r="CL337" s="13"/>
      <c r="CM337" s="13"/>
      <c r="CN337" s="13"/>
      <c r="CO337" s="13" t="str">
        <f t="shared" si="663"/>
        <v/>
      </c>
      <c r="CP337" s="13"/>
      <c r="CQ337" s="13"/>
      <c r="CR337" s="13"/>
      <c r="CS337" s="13" t="str">
        <f t="shared" si="650"/>
        <v/>
      </c>
      <c r="CT337" s="14" t="str">
        <f t="shared" si="657"/>
        <v/>
      </c>
      <c r="CU337" s="15"/>
      <c r="CV337" s="1"/>
      <c r="CW337" s="16"/>
      <c r="CX337" s="54"/>
      <c r="CY337" s="13" t="str">
        <f t="shared" si="664"/>
        <v/>
      </c>
      <c r="CZ337" s="13"/>
      <c r="DA337" s="13"/>
      <c r="DB337" s="13"/>
      <c r="DC337" s="13" t="str">
        <f t="shared" si="665"/>
        <v/>
      </c>
      <c r="DD337" s="13"/>
      <c r="DE337" s="13"/>
      <c r="DF337" s="13"/>
      <c r="DG337" s="13" t="str">
        <f t="shared" si="651"/>
        <v/>
      </c>
      <c r="DH337" s="14" t="str">
        <f t="shared" si="652"/>
        <v/>
      </c>
      <c r="DI337" s="15"/>
      <c r="DJ337" s="1"/>
      <c r="DK337" s="16"/>
      <c r="DL337" s="54"/>
      <c r="DM337" s="13" t="str">
        <f t="shared" si="666"/>
        <v/>
      </c>
      <c r="DN337" s="13"/>
      <c r="DO337" s="13"/>
      <c r="DP337" s="13"/>
      <c r="DQ337" s="13" t="str">
        <f t="shared" si="667"/>
        <v/>
      </c>
      <c r="DR337" s="13"/>
      <c r="DS337" s="13"/>
      <c r="DT337" s="13"/>
      <c r="DU337" s="13" t="str">
        <f t="shared" si="653"/>
        <v/>
      </c>
      <c r="DV337" s="14" t="str">
        <f t="shared" si="654"/>
        <v/>
      </c>
      <c r="DW337" s="15"/>
      <c r="DY337" s="16"/>
      <c r="DZ337" s="54"/>
      <c r="EA337" s="13" t="str">
        <f t="shared" si="668"/>
        <v/>
      </c>
      <c r="EB337" s="13"/>
      <c r="EC337" s="13"/>
      <c r="ED337" s="13"/>
      <c r="EE337" s="13" t="str">
        <f t="shared" si="669"/>
        <v/>
      </c>
      <c r="EF337" s="13"/>
      <c r="EG337" s="13"/>
      <c r="EH337" s="13"/>
      <c r="EI337" s="13" t="str">
        <f t="shared" si="655"/>
        <v/>
      </c>
      <c r="EJ337" s="14" t="str">
        <f t="shared" si="656"/>
        <v/>
      </c>
      <c r="EK337" s="15"/>
    </row>
    <row r="338" spans="1:141" ht="15" customHeight="1" thickBot="1" x14ac:dyDescent="0.25">
      <c r="A338" s="26"/>
      <c r="B338" s="46"/>
      <c r="C338" s="29"/>
      <c r="D338" s="61" t="str">
        <f t="shared" si="670"/>
        <v/>
      </c>
      <c r="E338" s="62"/>
      <c r="F338" s="29" t="str">
        <f t="shared" si="671"/>
        <v/>
      </c>
      <c r="G338" s="64"/>
      <c r="H338" s="64" t="str">
        <f t="shared" si="672"/>
        <v/>
      </c>
      <c r="I338" s="47"/>
      <c r="J338" s="57" t="str">
        <f t="shared" si="673"/>
        <v/>
      </c>
      <c r="K338" s="62" t="str">
        <f t="shared" si="674"/>
        <v/>
      </c>
      <c r="L338" s="27" t="str">
        <f t="shared" si="675"/>
        <v/>
      </c>
      <c r="M338" s="28" t="str">
        <f t="shared" si="676"/>
        <v/>
      </c>
      <c r="N338" s="15"/>
      <c r="O338" s="2"/>
      <c r="P338" s="26"/>
      <c r="Q338" s="29"/>
      <c r="R338" s="61" t="str">
        <f t="shared" si="677"/>
        <v/>
      </c>
      <c r="S338" s="62"/>
      <c r="T338" s="29" t="str">
        <f t="shared" si="678"/>
        <v/>
      </c>
      <c r="U338" s="64"/>
      <c r="V338" s="64" t="str">
        <f t="shared" si="679"/>
        <v/>
      </c>
      <c r="W338" s="47"/>
      <c r="X338" s="57" t="str">
        <f t="shared" si="680"/>
        <v/>
      </c>
      <c r="Y338" s="62" t="str">
        <f t="shared" si="681"/>
        <v/>
      </c>
      <c r="Z338" s="27" t="str">
        <f t="shared" si="682"/>
        <v/>
      </c>
      <c r="AA338" s="28" t="str">
        <f t="shared" si="683"/>
        <v/>
      </c>
      <c r="AB338" s="15"/>
      <c r="AC338" s="15"/>
      <c r="AD338" s="26"/>
      <c r="AE338" s="29"/>
      <c r="AF338" s="61" t="str">
        <f t="shared" si="684"/>
        <v/>
      </c>
      <c r="AG338" s="62"/>
      <c r="AH338" s="29" t="str">
        <f t="shared" si="685"/>
        <v/>
      </c>
      <c r="AI338" s="64"/>
      <c r="AJ338" s="64" t="str">
        <f t="shared" si="686"/>
        <v/>
      </c>
      <c r="AK338" s="47"/>
      <c r="AL338" s="57" t="str">
        <f t="shared" si="687"/>
        <v/>
      </c>
      <c r="AM338" s="62" t="str">
        <f t="shared" si="688"/>
        <v/>
      </c>
      <c r="AN338" s="27" t="str">
        <f t="shared" si="689"/>
        <v/>
      </c>
      <c r="AO338" s="28" t="str">
        <f t="shared" si="690"/>
        <v/>
      </c>
      <c r="AP338" s="15"/>
      <c r="AQ338" s="113"/>
      <c r="AR338" s="26"/>
      <c r="AS338" s="29"/>
      <c r="AT338" s="61" t="str">
        <f t="shared" si="691"/>
        <v/>
      </c>
      <c r="AU338" s="62"/>
      <c r="AV338" s="29" t="str">
        <f t="shared" si="692"/>
        <v/>
      </c>
      <c r="AW338" s="64"/>
      <c r="AX338" s="64" t="str">
        <f t="shared" si="693"/>
        <v/>
      </c>
      <c r="AY338" s="47"/>
      <c r="AZ338" s="57" t="str">
        <f t="shared" si="694"/>
        <v/>
      </c>
      <c r="BA338" s="62" t="str">
        <f t="shared" si="695"/>
        <v/>
      </c>
      <c r="BB338" s="27" t="str">
        <f t="shared" si="696"/>
        <v/>
      </c>
      <c r="BC338" s="28" t="str">
        <f t="shared" si="697"/>
        <v/>
      </c>
      <c r="BD338" s="15"/>
      <c r="BT338" s="113"/>
      <c r="BU338" s="16"/>
      <c r="BV338" s="54"/>
      <c r="BW338" s="13" t="str">
        <f t="shared" si="660"/>
        <v/>
      </c>
      <c r="BX338" s="13"/>
      <c r="BY338" s="13"/>
      <c r="BZ338" s="13"/>
      <c r="CA338" s="13" t="str">
        <f t="shared" si="661"/>
        <v/>
      </c>
      <c r="CB338" s="13"/>
      <c r="CC338" s="13"/>
      <c r="CD338" s="13"/>
      <c r="CE338" s="13" t="str">
        <f t="shared" si="648"/>
        <v/>
      </c>
      <c r="CF338" s="14" t="str">
        <f t="shared" si="649"/>
        <v/>
      </c>
      <c r="CG338" s="15"/>
      <c r="CH338" s="1"/>
      <c r="CI338" s="16"/>
      <c r="CJ338" s="54"/>
      <c r="CK338" s="13" t="str">
        <f t="shared" si="662"/>
        <v/>
      </c>
      <c r="CL338" s="13"/>
      <c r="CM338" s="13"/>
      <c r="CN338" s="13"/>
      <c r="CO338" s="13" t="str">
        <f t="shared" si="663"/>
        <v/>
      </c>
      <c r="CP338" s="13"/>
      <c r="CQ338" s="13"/>
      <c r="CR338" s="13"/>
      <c r="CS338" s="13" t="str">
        <f t="shared" si="650"/>
        <v/>
      </c>
      <c r="CT338" s="14" t="str">
        <f t="shared" si="657"/>
        <v/>
      </c>
      <c r="CU338" s="15"/>
      <c r="CV338" s="1"/>
      <c r="CW338" s="16"/>
      <c r="CX338" s="54"/>
      <c r="CY338" s="13" t="str">
        <f t="shared" si="664"/>
        <v/>
      </c>
      <c r="CZ338" s="13"/>
      <c r="DA338" s="13"/>
      <c r="DB338" s="13"/>
      <c r="DC338" s="13" t="str">
        <f t="shared" si="665"/>
        <v/>
      </c>
      <c r="DD338" s="13"/>
      <c r="DE338" s="13"/>
      <c r="DF338" s="13"/>
      <c r="DG338" s="13" t="str">
        <f t="shared" si="651"/>
        <v/>
      </c>
      <c r="DH338" s="14" t="str">
        <f t="shared" si="652"/>
        <v/>
      </c>
      <c r="DI338" s="15"/>
      <c r="DJ338" s="1"/>
      <c r="DK338" s="16"/>
      <c r="DL338" s="54"/>
      <c r="DM338" s="13" t="str">
        <f t="shared" si="666"/>
        <v/>
      </c>
      <c r="DN338" s="13"/>
      <c r="DO338" s="13"/>
      <c r="DP338" s="13"/>
      <c r="DQ338" s="13" t="str">
        <f t="shared" si="667"/>
        <v/>
      </c>
      <c r="DR338" s="13"/>
      <c r="DS338" s="13"/>
      <c r="DT338" s="13"/>
      <c r="DU338" s="13" t="str">
        <f t="shared" si="653"/>
        <v/>
      </c>
      <c r="DV338" s="14" t="str">
        <f t="shared" si="654"/>
        <v/>
      </c>
      <c r="DW338" s="15"/>
      <c r="DY338" s="16"/>
      <c r="DZ338" s="54"/>
      <c r="EA338" s="13" t="str">
        <f t="shared" si="668"/>
        <v/>
      </c>
      <c r="EB338" s="13"/>
      <c r="EC338" s="13"/>
      <c r="ED338" s="13"/>
      <c r="EE338" s="13" t="str">
        <f t="shared" si="669"/>
        <v/>
      </c>
      <c r="EF338" s="13"/>
      <c r="EG338" s="13"/>
      <c r="EH338" s="13"/>
      <c r="EI338" s="13" t="str">
        <f t="shared" si="655"/>
        <v/>
      </c>
      <c r="EJ338" s="14" t="str">
        <f t="shared" si="656"/>
        <v/>
      </c>
      <c r="EK338" s="15"/>
    </row>
    <row r="339" spans="1:141" ht="15" customHeight="1" thickTop="1" x14ac:dyDescent="0.2">
      <c r="A339" s="79"/>
      <c r="B339" s="74" t="str">
        <f>IF(A339="","",SUM(D339:D342)+SUM(R339:R342)+SUM(AF339:AF342)+SUM(AT339:AT342)+SUM(BW309,CK309,CY309,DM309))</f>
        <v/>
      </c>
      <c r="C339" s="53"/>
      <c r="D339" s="53" t="str">
        <f t="shared" si="670"/>
        <v/>
      </c>
      <c r="E339" s="53"/>
      <c r="F339" s="31" t="str">
        <f t="shared" si="671"/>
        <v/>
      </c>
      <c r="G339" s="53"/>
      <c r="H339" s="53" t="str">
        <f t="shared" si="672"/>
        <v/>
      </c>
      <c r="I339" s="80"/>
      <c r="J339" s="75" t="str">
        <f t="shared" si="673"/>
        <v/>
      </c>
      <c r="K339" s="76" t="str">
        <f t="shared" si="674"/>
        <v/>
      </c>
      <c r="L339" s="31" t="str">
        <f t="shared" si="675"/>
        <v/>
      </c>
      <c r="M339" s="32" t="str">
        <f t="shared" si="676"/>
        <v/>
      </c>
      <c r="N339" s="15"/>
      <c r="O339" s="2"/>
      <c r="P339" s="79" t="str">
        <f>IF(A339="","",A339)</f>
        <v/>
      </c>
      <c r="Q339" s="53"/>
      <c r="R339" s="53" t="str">
        <f t="shared" si="677"/>
        <v/>
      </c>
      <c r="S339" s="53"/>
      <c r="T339" s="31" t="str">
        <f t="shared" si="678"/>
        <v/>
      </c>
      <c r="U339" s="53"/>
      <c r="V339" s="53" t="str">
        <f t="shared" si="679"/>
        <v/>
      </c>
      <c r="W339" s="80"/>
      <c r="X339" s="75" t="str">
        <f t="shared" si="680"/>
        <v/>
      </c>
      <c r="Y339" s="76" t="str">
        <f t="shared" si="681"/>
        <v/>
      </c>
      <c r="Z339" s="31" t="str">
        <f t="shared" si="682"/>
        <v/>
      </c>
      <c r="AA339" s="32" t="str">
        <f t="shared" si="683"/>
        <v/>
      </c>
      <c r="AB339" s="15"/>
      <c r="AC339" s="15"/>
      <c r="AD339" s="79" t="str">
        <f>IF($A339="","",$A339)</f>
        <v/>
      </c>
      <c r="AE339" s="53"/>
      <c r="AF339" s="53" t="str">
        <f t="shared" si="684"/>
        <v/>
      </c>
      <c r="AG339" s="53"/>
      <c r="AH339" s="31" t="str">
        <f t="shared" si="685"/>
        <v/>
      </c>
      <c r="AI339" s="53"/>
      <c r="AJ339" s="53" t="str">
        <f t="shared" si="686"/>
        <v/>
      </c>
      <c r="AK339" s="80"/>
      <c r="AL339" s="75" t="str">
        <f t="shared" si="687"/>
        <v/>
      </c>
      <c r="AM339" s="76" t="str">
        <f t="shared" si="688"/>
        <v/>
      </c>
      <c r="AN339" s="31" t="str">
        <f t="shared" si="689"/>
        <v/>
      </c>
      <c r="AO339" s="32" t="str">
        <f t="shared" si="690"/>
        <v/>
      </c>
      <c r="AP339" s="15"/>
      <c r="AQ339" s="113"/>
      <c r="AR339" s="79" t="str">
        <f>IF($A339="","",$A339)</f>
        <v/>
      </c>
      <c r="AS339" s="53"/>
      <c r="AT339" s="53" t="str">
        <f t="shared" si="691"/>
        <v/>
      </c>
      <c r="AU339" s="53"/>
      <c r="AV339" s="31" t="str">
        <f t="shared" si="692"/>
        <v/>
      </c>
      <c r="AW339" s="53"/>
      <c r="AX339" s="53" t="str">
        <f t="shared" si="693"/>
        <v/>
      </c>
      <c r="AY339" s="80"/>
      <c r="AZ339" s="75" t="str">
        <f t="shared" si="694"/>
        <v/>
      </c>
      <c r="BA339" s="76" t="str">
        <f t="shared" si="695"/>
        <v/>
      </c>
      <c r="BB339" s="31" t="str">
        <f t="shared" si="696"/>
        <v/>
      </c>
      <c r="BC339" s="32" t="str">
        <f t="shared" si="697"/>
        <v/>
      </c>
      <c r="BD339" s="15"/>
      <c r="BT339" s="113"/>
      <c r="BU339" s="16"/>
      <c r="BV339" s="54"/>
      <c r="BW339" s="13" t="str">
        <f t="shared" si="660"/>
        <v/>
      </c>
      <c r="BX339" s="13"/>
      <c r="BY339" s="13"/>
      <c r="BZ339" s="13"/>
      <c r="CA339" s="13" t="str">
        <f t="shared" si="661"/>
        <v/>
      </c>
      <c r="CB339" s="13"/>
      <c r="CC339" s="13"/>
      <c r="CD339" s="13"/>
      <c r="CE339" s="13" t="str">
        <f t="shared" si="648"/>
        <v/>
      </c>
      <c r="CF339" s="14" t="str">
        <f t="shared" si="649"/>
        <v/>
      </c>
      <c r="CG339" s="15"/>
      <c r="CH339" s="1"/>
      <c r="CI339" s="16"/>
      <c r="CJ339" s="54"/>
      <c r="CK339" s="13" t="str">
        <f t="shared" si="662"/>
        <v/>
      </c>
      <c r="CL339" s="13"/>
      <c r="CM339" s="13"/>
      <c r="CN339" s="13"/>
      <c r="CO339" s="13" t="str">
        <f t="shared" si="663"/>
        <v/>
      </c>
      <c r="CP339" s="13"/>
      <c r="CQ339" s="13"/>
      <c r="CR339" s="13"/>
      <c r="CS339" s="13" t="str">
        <f t="shared" si="650"/>
        <v/>
      </c>
      <c r="CT339" s="14" t="str">
        <f t="shared" si="657"/>
        <v/>
      </c>
      <c r="CU339" s="15"/>
      <c r="CV339" s="1"/>
      <c r="CW339" s="16"/>
      <c r="CX339" s="54"/>
      <c r="CY339" s="13" t="str">
        <f t="shared" si="664"/>
        <v/>
      </c>
      <c r="CZ339" s="13"/>
      <c r="DA339" s="13"/>
      <c r="DB339" s="13"/>
      <c r="DC339" s="13" t="str">
        <f t="shared" si="665"/>
        <v/>
      </c>
      <c r="DD339" s="13"/>
      <c r="DE339" s="13"/>
      <c r="DF339" s="13"/>
      <c r="DG339" s="13" t="str">
        <f t="shared" si="651"/>
        <v/>
      </c>
      <c r="DH339" s="14" t="str">
        <f t="shared" si="652"/>
        <v/>
      </c>
      <c r="DI339" s="15"/>
      <c r="DJ339" s="1"/>
      <c r="DK339" s="16"/>
      <c r="DL339" s="54"/>
      <c r="DM339" s="13" t="str">
        <f t="shared" si="666"/>
        <v/>
      </c>
      <c r="DN339" s="13"/>
      <c r="DO339" s="13"/>
      <c r="DP339" s="13"/>
      <c r="DQ339" s="13" t="str">
        <f t="shared" si="667"/>
        <v/>
      </c>
      <c r="DR339" s="13"/>
      <c r="DS339" s="13"/>
      <c r="DT339" s="13"/>
      <c r="DU339" s="13" t="str">
        <f t="shared" si="653"/>
        <v/>
      </c>
      <c r="DV339" s="14" t="str">
        <f t="shared" si="654"/>
        <v/>
      </c>
      <c r="DW339" s="15"/>
      <c r="DY339" s="16"/>
      <c r="DZ339" s="54"/>
      <c r="EA339" s="13" t="str">
        <f t="shared" si="668"/>
        <v/>
      </c>
      <c r="EB339" s="13"/>
      <c r="EC339" s="13"/>
      <c r="ED339" s="13"/>
      <c r="EE339" s="13" t="str">
        <f t="shared" si="669"/>
        <v/>
      </c>
      <c r="EF339" s="13"/>
      <c r="EG339" s="13"/>
      <c r="EH339" s="13"/>
      <c r="EI339" s="13" t="str">
        <f t="shared" si="655"/>
        <v/>
      </c>
      <c r="EJ339" s="14" t="str">
        <f t="shared" si="656"/>
        <v/>
      </c>
      <c r="EK339" s="15"/>
    </row>
    <row r="340" spans="1:141" ht="15" customHeight="1" x14ac:dyDescent="0.2">
      <c r="A340" s="16"/>
      <c r="B340" s="11"/>
      <c r="C340" s="13"/>
      <c r="D340" s="53" t="str">
        <f t="shared" si="670"/>
        <v/>
      </c>
      <c r="E340" s="13"/>
      <c r="F340" s="13" t="str">
        <f t="shared" si="671"/>
        <v/>
      </c>
      <c r="G340" s="13"/>
      <c r="H340" s="13" t="str">
        <f t="shared" si="672"/>
        <v/>
      </c>
      <c r="I340" s="17"/>
      <c r="J340" s="56" t="str">
        <f t="shared" si="673"/>
        <v/>
      </c>
      <c r="K340" s="54" t="str">
        <f t="shared" si="674"/>
        <v/>
      </c>
      <c r="L340" s="13" t="str">
        <f t="shared" si="675"/>
        <v/>
      </c>
      <c r="M340" s="14" t="str">
        <f t="shared" si="676"/>
        <v/>
      </c>
      <c r="N340" s="15"/>
      <c r="O340" s="2"/>
      <c r="P340" s="16"/>
      <c r="Q340" s="13"/>
      <c r="R340" s="53" t="str">
        <f t="shared" si="677"/>
        <v/>
      </c>
      <c r="S340" s="13"/>
      <c r="T340" s="13" t="str">
        <f t="shared" si="678"/>
        <v/>
      </c>
      <c r="U340" s="13"/>
      <c r="V340" s="13" t="str">
        <f t="shared" si="679"/>
        <v/>
      </c>
      <c r="W340" s="17"/>
      <c r="X340" s="56" t="str">
        <f t="shared" si="680"/>
        <v/>
      </c>
      <c r="Y340" s="54" t="str">
        <f t="shared" si="681"/>
        <v/>
      </c>
      <c r="Z340" s="13" t="str">
        <f t="shared" si="682"/>
        <v/>
      </c>
      <c r="AA340" s="14" t="str">
        <f t="shared" si="683"/>
        <v/>
      </c>
      <c r="AB340" s="15"/>
      <c r="AC340" s="15"/>
      <c r="AD340" s="16"/>
      <c r="AE340" s="13"/>
      <c r="AF340" s="53" t="str">
        <f t="shared" si="684"/>
        <v/>
      </c>
      <c r="AG340" s="13"/>
      <c r="AH340" s="13" t="str">
        <f t="shared" si="685"/>
        <v/>
      </c>
      <c r="AI340" s="13"/>
      <c r="AJ340" s="13" t="str">
        <f t="shared" si="686"/>
        <v/>
      </c>
      <c r="AK340" s="17"/>
      <c r="AL340" s="56" t="str">
        <f t="shared" si="687"/>
        <v/>
      </c>
      <c r="AM340" s="54" t="str">
        <f t="shared" si="688"/>
        <v/>
      </c>
      <c r="AN340" s="13" t="str">
        <f t="shared" si="689"/>
        <v/>
      </c>
      <c r="AO340" s="14" t="str">
        <f t="shared" si="690"/>
        <v/>
      </c>
      <c r="AP340" s="15"/>
      <c r="AQ340" s="113"/>
      <c r="AR340" s="16"/>
      <c r="AS340" s="13"/>
      <c r="AT340" s="53" t="str">
        <f t="shared" si="691"/>
        <v/>
      </c>
      <c r="AU340" s="13"/>
      <c r="AV340" s="13" t="str">
        <f t="shared" si="692"/>
        <v/>
      </c>
      <c r="AW340" s="13"/>
      <c r="AX340" s="13" t="str">
        <f t="shared" si="693"/>
        <v/>
      </c>
      <c r="AY340" s="17"/>
      <c r="AZ340" s="56" t="str">
        <f t="shared" si="694"/>
        <v/>
      </c>
      <c r="BA340" s="54" t="str">
        <f t="shared" si="695"/>
        <v/>
      </c>
      <c r="BB340" s="13" t="str">
        <f t="shared" si="696"/>
        <v/>
      </c>
      <c r="BC340" s="14" t="str">
        <f t="shared" si="697"/>
        <v/>
      </c>
      <c r="BD340" s="15"/>
      <c r="BT340" s="113"/>
      <c r="BU340" s="16"/>
      <c r="BV340" s="54"/>
      <c r="BW340" s="13" t="str">
        <f t="shared" si="660"/>
        <v/>
      </c>
      <c r="BX340" s="13"/>
      <c r="BY340" s="13"/>
      <c r="BZ340" s="13"/>
      <c r="CA340" s="13" t="str">
        <f t="shared" si="661"/>
        <v/>
      </c>
      <c r="CB340" s="13"/>
      <c r="CC340" s="13"/>
      <c r="CD340" s="13"/>
      <c r="CE340" s="13" t="str">
        <f t="shared" si="648"/>
        <v/>
      </c>
      <c r="CF340" s="14" t="str">
        <f t="shared" si="649"/>
        <v/>
      </c>
      <c r="CG340" s="15"/>
      <c r="CH340" s="1"/>
      <c r="CI340" s="16"/>
      <c r="CJ340" s="54"/>
      <c r="CK340" s="13" t="str">
        <f t="shared" si="662"/>
        <v/>
      </c>
      <c r="CL340" s="13"/>
      <c r="CM340" s="13"/>
      <c r="CN340" s="13"/>
      <c r="CO340" s="13" t="str">
        <f t="shared" si="663"/>
        <v/>
      </c>
      <c r="CP340" s="13"/>
      <c r="CQ340" s="13"/>
      <c r="CR340" s="13"/>
      <c r="CS340" s="13" t="str">
        <f t="shared" si="650"/>
        <v/>
      </c>
      <c r="CT340" s="14" t="str">
        <f t="shared" si="657"/>
        <v/>
      </c>
      <c r="CU340" s="15"/>
      <c r="CV340" s="1"/>
      <c r="CW340" s="16"/>
      <c r="CX340" s="54"/>
      <c r="CY340" s="13" t="str">
        <f t="shared" si="664"/>
        <v/>
      </c>
      <c r="CZ340" s="13"/>
      <c r="DA340" s="13"/>
      <c r="DB340" s="13"/>
      <c r="DC340" s="13" t="str">
        <f t="shared" si="665"/>
        <v/>
      </c>
      <c r="DD340" s="13"/>
      <c r="DE340" s="13"/>
      <c r="DF340" s="13"/>
      <c r="DG340" s="13" t="str">
        <f t="shared" si="651"/>
        <v/>
      </c>
      <c r="DH340" s="14" t="str">
        <f t="shared" si="652"/>
        <v/>
      </c>
      <c r="DI340" s="15"/>
      <c r="DJ340" s="1"/>
      <c r="DK340" s="16"/>
      <c r="DL340" s="54"/>
      <c r="DM340" s="13" t="str">
        <f t="shared" si="666"/>
        <v/>
      </c>
      <c r="DN340" s="13"/>
      <c r="DO340" s="13"/>
      <c r="DP340" s="13"/>
      <c r="DQ340" s="13" t="str">
        <f t="shared" si="667"/>
        <v/>
      </c>
      <c r="DR340" s="13"/>
      <c r="DS340" s="13"/>
      <c r="DT340" s="13"/>
      <c r="DU340" s="13" t="str">
        <f t="shared" si="653"/>
        <v/>
      </c>
      <c r="DV340" s="14" t="str">
        <f t="shared" si="654"/>
        <v/>
      </c>
      <c r="DW340" s="15"/>
      <c r="DY340" s="16"/>
      <c r="DZ340" s="54"/>
      <c r="EA340" s="13" t="str">
        <f t="shared" si="668"/>
        <v/>
      </c>
      <c r="EB340" s="13"/>
      <c r="EC340" s="13"/>
      <c r="ED340" s="13"/>
      <c r="EE340" s="13" t="str">
        <f t="shared" si="669"/>
        <v/>
      </c>
      <c r="EF340" s="13"/>
      <c r="EG340" s="13"/>
      <c r="EH340" s="13"/>
      <c r="EI340" s="13" t="str">
        <f t="shared" si="655"/>
        <v/>
      </c>
      <c r="EJ340" s="14" t="str">
        <f t="shared" si="656"/>
        <v/>
      </c>
      <c r="EK340" s="15"/>
    </row>
    <row r="341" spans="1:141" ht="15" customHeight="1" x14ac:dyDescent="0.2">
      <c r="A341" s="16"/>
      <c r="B341" s="11"/>
      <c r="C341" s="13"/>
      <c r="D341" s="63" t="str">
        <f t="shared" si="670"/>
        <v/>
      </c>
      <c r="E341" s="13"/>
      <c r="F341" s="13" t="str">
        <f t="shared" si="671"/>
        <v/>
      </c>
      <c r="G341" s="13"/>
      <c r="H341" s="13" t="str">
        <f t="shared" si="672"/>
        <v/>
      </c>
      <c r="I341" s="17"/>
      <c r="J341" s="56" t="str">
        <f t="shared" si="673"/>
        <v/>
      </c>
      <c r="K341" s="13" t="str">
        <f t="shared" si="674"/>
        <v/>
      </c>
      <c r="L341" s="13" t="str">
        <f t="shared" si="675"/>
        <v/>
      </c>
      <c r="M341" s="14" t="str">
        <f t="shared" si="676"/>
        <v/>
      </c>
      <c r="N341" s="15"/>
      <c r="O341" s="2"/>
      <c r="P341" s="16"/>
      <c r="Q341" s="13"/>
      <c r="R341" s="63" t="str">
        <f t="shared" si="677"/>
        <v/>
      </c>
      <c r="S341" s="13"/>
      <c r="T341" s="13" t="str">
        <f t="shared" si="678"/>
        <v/>
      </c>
      <c r="U341" s="13"/>
      <c r="V341" s="13" t="str">
        <f t="shared" si="679"/>
        <v/>
      </c>
      <c r="W341" s="17"/>
      <c r="X341" s="56" t="str">
        <f t="shared" si="680"/>
        <v/>
      </c>
      <c r="Y341" s="13" t="str">
        <f t="shared" si="681"/>
        <v/>
      </c>
      <c r="Z341" s="13" t="str">
        <f t="shared" si="682"/>
        <v/>
      </c>
      <c r="AA341" s="14" t="str">
        <f t="shared" si="683"/>
        <v/>
      </c>
      <c r="AB341" s="15"/>
      <c r="AC341" s="15"/>
      <c r="AD341" s="16"/>
      <c r="AE341" s="13"/>
      <c r="AF341" s="63" t="str">
        <f t="shared" si="684"/>
        <v/>
      </c>
      <c r="AG341" s="13"/>
      <c r="AH341" s="13" t="str">
        <f t="shared" si="685"/>
        <v/>
      </c>
      <c r="AI341" s="13"/>
      <c r="AJ341" s="13" t="str">
        <f t="shared" si="686"/>
        <v/>
      </c>
      <c r="AK341" s="17"/>
      <c r="AL341" s="56" t="str">
        <f t="shared" si="687"/>
        <v/>
      </c>
      <c r="AM341" s="13" t="str">
        <f t="shared" si="688"/>
        <v/>
      </c>
      <c r="AN341" s="13" t="str">
        <f t="shared" si="689"/>
        <v/>
      </c>
      <c r="AO341" s="14" t="str">
        <f t="shared" si="690"/>
        <v/>
      </c>
      <c r="AP341" s="15"/>
      <c r="AQ341" s="113"/>
      <c r="AR341" s="16"/>
      <c r="AS341" s="13"/>
      <c r="AT341" s="63" t="str">
        <f t="shared" si="691"/>
        <v/>
      </c>
      <c r="AU341" s="13"/>
      <c r="AV341" s="13" t="str">
        <f t="shared" si="692"/>
        <v/>
      </c>
      <c r="AW341" s="13"/>
      <c r="AX341" s="13" t="str">
        <f t="shared" si="693"/>
        <v/>
      </c>
      <c r="AY341" s="17"/>
      <c r="AZ341" s="56" t="str">
        <f t="shared" si="694"/>
        <v/>
      </c>
      <c r="BA341" s="13" t="str">
        <f t="shared" si="695"/>
        <v/>
      </c>
      <c r="BB341" s="13" t="str">
        <f t="shared" si="696"/>
        <v/>
      </c>
      <c r="BC341" s="14" t="str">
        <f t="shared" si="697"/>
        <v/>
      </c>
      <c r="BD341" s="15"/>
      <c r="BT341" s="113"/>
      <c r="BU341" s="16"/>
      <c r="BV341" s="54"/>
      <c r="BW341" s="13" t="str">
        <f t="shared" si="660"/>
        <v/>
      </c>
      <c r="BX341" s="13"/>
      <c r="BY341" s="13"/>
      <c r="BZ341" s="13"/>
      <c r="CA341" s="13" t="str">
        <f t="shared" si="661"/>
        <v/>
      </c>
      <c r="CB341" s="13"/>
      <c r="CC341" s="13"/>
      <c r="CD341" s="13"/>
      <c r="CE341" s="13" t="str">
        <f t="shared" si="648"/>
        <v/>
      </c>
      <c r="CF341" s="14" t="str">
        <f t="shared" si="649"/>
        <v/>
      </c>
      <c r="CG341" s="15"/>
      <c r="CH341" s="1"/>
      <c r="CI341" s="16"/>
      <c r="CJ341" s="54"/>
      <c r="CK341" s="13" t="str">
        <f t="shared" si="662"/>
        <v/>
      </c>
      <c r="CL341" s="13"/>
      <c r="CM341" s="13"/>
      <c r="CN341" s="13"/>
      <c r="CO341" s="13" t="str">
        <f t="shared" si="663"/>
        <v/>
      </c>
      <c r="CP341" s="13"/>
      <c r="CQ341" s="13"/>
      <c r="CR341" s="13"/>
      <c r="CS341" s="13" t="str">
        <f t="shared" si="650"/>
        <v/>
      </c>
      <c r="CT341" s="14" t="str">
        <f t="shared" si="657"/>
        <v/>
      </c>
      <c r="CU341" s="15"/>
      <c r="CV341" s="1"/>
      <c r="CW341" s="16"/>
      <c r="CX341" s="54"/>
      <c r="CY341" s="13" t="str">
        <f t="shared" si="664"/>
        <v/>
      </c>
      <c r="CZ341" s="13"/>
      <c r="DA341" s="13"/>
      <c r="DB341" s="13"/>
      <c r="DC341" s="13" t="str">
        <f t="shared" si="665"/>
        <v/>
      </c>
      <c r="DD341" s="13"/>
      <c r="DE341" s="13"/>
      <c r="DF341" s="13"/>
      <c r="DG341" s="13" t="str">
        <f t="shared" si="651"/>
        <v/>
      </c>
      <c r="DH341" s="14" t="str">
        <f t="shared" si="652"/>
        <v/>
      </c>
      <c r="DI341" s="15"/>
      <c r="DJ341" s="1"/>
      <c r="DK341" s="16"/>
      <c r="DL341" s="54"/>
      <c r="DM341" s="13" t="str">
        <f t="shared" si="666"/>
        <v/>
      </c>
      <c r="DN341" s="13"/>
      <c r="DO341" s="13"/>
      <c r="DP341" s="13"/>
      <c r="DQ341" s="13" t="str">
        <f t="shared" si="667"/>
        <v/>
      </c>
      <c r="DR341" s="13"/>
      <c r="DS341" s="13"/>
      <c r="DT341" s="13"/>
      <c r="DU341" s="13" t="str">
        <f t="shared" si="653"/>
        <v/>
      </c>
      <c r="DV341" s="14" t="str">
        <f t="shared" si="654"/>
        <v/>
      </c>
      <c r="DW341" s="15"/>
      <c r="DY341" s="16"/>
      <c r="DZ341" s="54"/>
      <c r="EA341" s="13" t="str">
        <f t="shared" si="668"/>
        <v/>
      </c>
      <c r="EB341" s="13"/>
      <c r="EC341" s="13"/>
      <c r="ED341" s="13"/>
      <c r="EE341" s="13" t="str">
        <f t="shared" si="669"/>
        <v/>
      </c>
      <c r="EF341" s="13"/>
      <c r="EG341" s="13"/>
      <c r="EH341" s="13"/>
      <c r="EI341" s="13" t="str">
        <f t="shared" si="655"/>
        <v/>
      </c>
      <c r="EJ341" s="14" t="str">
        <f t="shared" si="656"/>
        <v/>
      </c>
      <c r="EK341" s="15"/>
    </row>
    <row r="342" spans="1:141" ht="15" customHeight="1" thickBot="1" x14ac:dyDescent="0.25">
      <c r="A342" s="26"/>
      <c r="B342" s="46"/>
      <c r="C342" s="29"/>
      <c r="D342" s="61" t="str">
        <f t="shared" si="670"/>
        <v/>
      </c>
      <c r="E342" s="62"/>
      <c r="F342" s="27" t="str">
        <f t="shared" si="671"/>
        <v/>
      </c>
      <c r="G342" s="27"/>
      <c r="H342" s="27" t="str">
        <f t="shared" si="672"/>
        <v/>
      </c>
      <c r="I342" s="107"/>
      <c r="J342" s="57" t="str">
        <f t="shared" si="673"/>
        <v/>
      </c>
      <c r="K342" s="62" t="str">
        <f t="shared" si="674"/>
        <v/>
      </c>
      <c r="L342" s="27" t="str">
        <f t="shared" si="675"/>
        <v/>
      </c>
      <c r="M342" s="28" t="str">
        <f t="shared" si="676"/>
        <v/>
      </c>
      <c r="N342" s="15"/>
      <c r="O342" s="2"/>
      <c r="P342" s="26"/>
      <c r="Q342" s="29"/>
      <c r="R342" s="61" t="str">
        <f t="shared" si="677"/>
        <v/>
      </c>
      <c r="S342" s="62"/>
      <c r="T342" s="27" t="str">
        <f t="shared" si="678"/>
        <v/>
      </c>
      <c r="U342" s="27"/>
      <c r="V342" s="27" t="str">
        <f t="shared" si="679"/>
        <v/>
      </c>
      <c r="W342" s="107"/>
      <c r="X342" s="57" t="str">
        <f t="shared" si="680"/>
        <v/>
      </c>
      <c r="Y342" s="62" t="str">
        <f t="shared" si="681"/>
        <v/>
      </c>
      <c r="Z342" s="27" t="str">
        <f t="shared" si="682"/>
        <v/>
      </c>
      <c r="AA342" s="28" t="str">
        <f t="shared" si="683"/>
        <v/>
      </c>
      <c r="AB342" s="15"/>
      <c r="AC342" s="15"/>
      <c r="AD342" s="26"/>
      <c r="AE342" s="29"/>
      <c r="AF342" s="61" t="str">
        <f t="shared" si="684"/>
        <v/>
      </c>
      <c r="AG342" s="62"/>
      <c r="AH342" s="27" t="str">
        <f t="shared" si="685"/>
        <v/>
      </c>
      <c r="AI342" s="27"/>
      <c r="AJ342" s="27" t="str">
        <f t="shared" si="686"/>
        <v/>
      </c>
      <c r="AK342" s="107"/>
      <c r="AL342" s="57" t="str">
        <f t="shared" si="687"/>
        <v/>
      </c>
      <c r="AM342" s="62" t="str">
        <f t="shared" si="688"/>
        <v/>
      </c>
      <c r="AN342" s="27" t="str">
        <f t="shared" si="689"/>
        <v/>
      </c>
      <c r="AO342" s="28" t="str">
        <f t="shared" si="690"/>
        <v/>
      </c>
      <c r="AP342" s="15"/>
      <c r="AQ342" s="113"/>
      <c r="AR342" s="26"/>
      <c r="AS342" s="29"/>
      <c r="AT342" s="61" t="str">
        <f t="shared" si="691"/>
        <v/>
      </c>
      <c r="AU342" s="62"/>
      <c r="AV342" s="27" t="str">
        <f t="shared" si="692"/>
        <v/>
      </c>
      <c r="AW342" s="27"/>
      <c r="AX342" s="27" t="str">
        <f t="shared" si="693"/>
        <v/>
      </c>
      <c r="AY342" s="107"/>
      <c r="AZ342" s="57" t="str">
        <f t="shared" si="694"/>
        <v/>
      </c>
      <c r="BA342" s="62" t="str">
        <f t="shared" si="695"/>
        <v/>
      </c>
      <c r="BB342" s="27" t="str">
        <f t="shared" si="696"/>
        <v/>
      </c>
      <c r="BC342" s="28" t="str">
        <f t="shared" si="697"/>
        <v/>
      </c>
      <c r="BD342" s="15"/>
      <c r="BT342" s="113"/>
      <c r="BU342" s="16"/>
      <c r="BV342" s="54"/>
      <c r="BW342" s="13" t="str">
        <f t="shared" si="660"/>
        <v/>
      </c>
      <c r="BX342" s="13"/>
      <c r="BY342" s="13"/>
      <c r="BZ342" s="13"/>
      <c r="CA342" s="13" t="str">
        <f t="shared" si="661"/>
        <v/>
      </c>
      <c r="CB342" s="13"/>
      <c r="CC342" s="13"/>
      <c r="CD342" s="13"/>
      <c r="CE342" s="13" t="str">
        <f t="shared" si="648"/>
        <v/>
      </c>
      <c r="CF342" s="14" t="str">
        <f t="shared" si="649"/>
        <v/>
      </c>
      <c r="CG342" s="15"/>
      <c r="CH342" s="1"/>
      <c r="CI342" s="16"/>
      <c r="CJ342" s="54"/>
      <c r="CK342" s="13" t="str">
        <f t="shared" si="662"/>
        <v/>
      </c>
      <c r="CL342" s="13"/>
      <c r="CM342" s="13"/>
      <c r="CN342" s="13"/>
      <c r="CO342" s="13" t="str">
        <f t="shared" si="663"/>
        <v/>
      </c>
      <c r="CP342" s="13"/>
      <c r="CQ342" s="13"/>
      <c r="CR342" s="13"/>
      <c r="CS342" s="13" t="str">
        <f t="shared" si="650"/>
        <v/>
      </c>
      <c r="CT342" s="14" t="str">
        <f t="shared" si="657"/>
        <v/>
      </c>
      <c r="CU342" s="15"/>
      <c r="CV342" s="1"/>
      <c r="CW342" s="16"/>
      <c r="CX342" s="54"/>
      <c r="CY342" s="13" t="str">
        <f t="shared" si="664"/>
        <v/>
      </c>
      <c r="CZ342" s="13"/>
      <c r="DA342" s="13"/>
      <c r="DB342" s="13"/>
      <c r="DC342" s="13" t="str">
        <f t="shared" si="665"/>
        <v/>
      </c>
      <c r="DD342" s="13"/>
      <c r="DE342" s="13"/>
      <c r="DF342" s="13"/>
      <c r="DG342" s="13" t="str">
        <f t="shared" si="651"/>
        <v/>
      </c>
      <c r="DH342" s="14" t="str">
        <f t="shared" si="652"/>
        <v/>
      </c>
      <c r="DI342" s="15"/>
      <c r="DJ342" s="1"/>
      <c r="DK342" s="16"/>
      <c r="DL342" s="54"/>
      <c r="DM342" s="13" t="str">
        <f t="shared" si="666"/>
        <v/>
      </c>
      <c r="DN342" s="13"/>
      <c r="DO342" s="13"/>
      <c r="DP342" s="13"/>
      <c r="DQ342" s="13" t="str">
        <f t="shared" si="667"/>
        <v/>
      </c>
      <c r="DR342" s="13"/>
      <c r="DS342" s="13"/>
      <c r="DT342" s="13"/>
      <c r="DU342" s="13" t="str">
        <f t="shared" si="653"/>
        <v/>
      </c>
      <c r="DV342" s="14" t="str">
        <f t="shared" si="654"/>
        <v/>
      </c>
      <c r="DW342" s="15"/>
      <c r="DY342" s="16"/>
      <c r="DZ342" s="54"/>
      <c r="EA342" s="13" t="str">
        <f t="shared" si="668"/>
        <v/>
      </c>
      <c r="EB342" s="13"/>
      <c r="EC342" s="13"/>
      <c r="ED342" s="13"/>
      <c r="EE342" s="13" t="str">
        <f t="shared" si="669"/>
        <v/>
      </c>
      <c r="EF342" s="13"/>
      <c r="EG342" s="13"/>
      <c r="EH342" s="13"/>
      <c r="EI342" s="13" t="str">
        <f t="shared" si="655"/>
        <v/>
      </c>
      <c r="EJ342" s="14" t="str">
        <f t="shared" si="656"/>
        <v/>
      </c>
      <c r="EK342" s="15"/>
    </row>
    <row r="343" spans="1:141" ht="15" customHeight="1" thickTop="1" x14ac:dyDescent="0.2">
      <c r="A343" s="79"/>
      <c r="B343" s="74" t="str">
        <f>IF(A343="","",SUM(D343:D346)+SUM(R343:R346)+SUM(AF343:AF346)+SUM(AT343:AT346)+SUM(BW310,CK310,CY310,DM310))</f>
        <v/>
      </c>
      <c r="C343" s="53"/>
      <c r="D343" s="53" t="str">
        <f t="shared" si="670"/>
        <v/>
      </c>
      <c r="E343" s="53"/>
      <c r="F343" s="31" t="str">
        <f t="shared" si="671"/>
        <v/>
      </c>
      <c r="G343" s="53"/>
      <c r="H343" s="53" t="str">
        <f t="shared" si="672"/>
        <v/>
      </c>
      <c r="I343" s="17"/>
      <c r="J343" s="75" t="str">
        <f t="shared" si="673"/>
        <v/>
      </c>
      <c r="K343" s="76" t="str">
        <f t="shared" si="674"/>
        <v/>
      </c>
      <c r="L343" s="31" t="str">
        <f t="shared" si="675"/>
        <v/>
      </c>
      <c r="M343" s="32" t="str">
        <f t="shared" si="676"/>
        <v/>
      </c>
      <c r="N343" s="15"/>
      <c r="O343" s="2"/>
      <c r="P343" s="79" t="str">
        <f>IF(A343="","",A343)</f>
        <v/>
      </c>
      <c r="Q343" s="53"/>
      <c r="R343" s="53" t="str">
        <f t="shared" si="677"/>
        <v/>
      </c>
      <c r="S343" s="53"/>
      <c r="T343" s="31" t="str">
        <f t="shared" si="678"/>
        <v/>
      </c>
      <c r="U343" s="53"/>
      <c r="V343" s="53" t="str">
        <f t="shared" si="679"/>
        <v/>
      </c>
      <c r="W343" s="17"/>
      <c r="X343" s="75" t="str">
        <f t="shared" si="680"/>
        <v/>
      </c>
      <c r="Y343" s="76" t="str">
        <f t="shared" si="681"/>
        <v/>
      </c>
      <c r="Z343" s="31" t="str">
        <f t="shared" si="682"/>
        <v/>
      </c>
      <c r="AA343" s="32" t="str">
        <f t="shared" si="683"/>
        <v/>
      </c>
      <c r="AB343" s="15"/>
      <c r="AC343" s="15"/>
      <c r="AD343" s="79" t="str">
        <f>IF($A343="","",$A343)</f>
        <v/>
      </c>
      <c r="AE343" s="53"/>
      <c r="AF343" s="53" t="str">
        <f t="shared" si="684"/>
        <v/>
      </c>
      <c r="AG343" s="53"/>
      <c r="AH343" s="31" t="str">
        <f t="shared" si="685"/>
        <v/>
      </c>
      <c r="AI343" s="53"/>
      <c r="AJ343" s="53" t="str">
        <f t="shared" si="686"/>
        <v/>
      </c>
      <c r="AK343" s="17"/>
      <c r="AL343" s="75" t="str">
        <f t="shared" si="687"/>
        <v/>
      </c>
      <c r="AM343" s="76" t="str">
        <f t="shared" si="688"/>
        <v/>
      </c>
      <c r="AN343" s="31" t="str">
        <f t="shared" si="689"/>
        <v/>
      </c>
      <c r="AO343" s="32" t="str">
        <f t="shared" si="690"/>
        <v/>
      </c>
      <c r="AP343" s="15"/>
      <c r="AQ343" s="113"/>
      <c r="AR343" s="79" t="str">
        <f>IF($A343="","",$A343)</f>
        <v/>
      </c>
      <c r="AS343" s="53"/>
      <c r="AT343" s="53" t="str">
        <f t="shared" si="691"/>
        <v/>
      </c>
      <c r="AU343" s="53"/>
      <c r="AV343" s="31" t="str">
        <f t="shared" si="692"/>
        <v/>
      </c>
      <c r="AW343" s="53"/>
      <c r="AX343" s="53" t="str">
        <f t="shared" si="693"/>
        <v/>
      </c>
      <c r="AY343" s="17"/>
      <c r="AZ343" s="75" t="str">
        <f t="shared" si="694"/>
        <v/>
      </c>
      <c r="BA343" s="76" t="str">
        <f t="shared" si="695"/>
        <v/>
      </c>
      <c r="BB343" s="31" t="str">
        <f t="shared" si="696"/>
        <v/>
      </c>
      <c r="BC343" s="32" t="str">
        <f t="shared" si="697"/>
        <v/>
      </c>
      <c r="BD343" s="15"/>
      <c r="BT343" s="113"/>
      <c r="BU343" s="16"/>
      <c r="BV343" s="54"/>
      <c r="BW343" s="13" t="str">
        <f t="shared" si="660"/>
        <v/>
      </c>
      <c r="BX343" s="13"/>
      <c r="BY343" s="13"/>
      <c r="BZ343" s="13"/>
      <c r="CA343" s="13" t="str">
        <f t="shared" si="661"/>
        <v/>
      </c>
      <c r="CB343" s="13"/>
      <c r="CC343" s="13"/>
      <c r="CD343" s="13"/>
      <c r="CE343" s="13" t="str">
        <f t="shared" si="648"/>
        <v/>
      </c>
      <c r="CF343" s="14" t="str">
        <f t="shared" si="649"/>
        <v/>
      </c>
      <c r="CG343" s="15"/>
      <c r="CH343" s="1"/>
      <c r="CI343" s="16"/>
      <c r="CJ343" s="54"/>
      <c r="CK343" s="13" t="str">
        <f t="shared" si="662"/>
        <v/>
      </c>
      <c r="CL343" s="13"/>
      <c r="CM343" s="13"/>
      <c r="CN343" s="13"/>
      <c r="CO343" s="13" t="str">
        <f t="shared" si="663"/>
        <v/>
      </c>
      <c r="CP343" s="13"/>
      <c r="CQ343" s="13"/>
      <c r="CR343" s="13"/>
      <c r="CS343" s="13" t="str">
        <f t="shared" si="650"/>
        <v/>
      </c>
      <c r="CT343" s="14" t="str">
        <f t="shared" si="657"/>
        <v/>
      </c>
      <c r="CU343" s="15"/>
      <c r="CV343" s="1"/>
      <c r="CW343" s="16"/>
      <c r="CX343" s="54"/>
      <c r="CY343" s="13" t="str">
        <f t="shared" si="664"/>
        <v/>
      </c>
      <c r="CZ343" s="13"/>
      <c r="DA343" s="13"/>
      <c r="DB343" s="13"/>
      <c r="DC343" s="13" t="str">
        <f t="shared" si="665"/>
        <v/>
      </c>
      <c r="DD343" s="13"/>
      <c r="DE343" s="13"/>
      <c r="DF343" s="13"/>
      <c r="DG343" s="13" t="str">
        <f t="shared" si="651"/>
        <v/>
      </c>
      <c r="DH343" s="14" t="str">
        <f t="shared" si="652"/>
        <v/>
      </c>
      <c r="DI343" s="15"/>
      <c r="DJ343" s="1"/>
      <c r="DK343" s="16"/>
      <c r="DL343" s="54"/>
      <c r="DM343" s="13" t="str">
        <f t="shared" si="666"/>
        <v/>
      </c>
      <c r="DN343" s="13"/>
      <c r="DO343" s="13"/>
      <c r="DP343" s="13"/>
      <c r="DQ343" s="13" t="str">
        <f t="shared" si="667"/>
        <v/>
      </c>
      <c r="DR343" s="13"/>
      <c r="DS343" s="13"/>
      <c r="DT343" s="13"/>
      <c r="DU343" s="13" t="str">
        <f t="shared" si="653"/>
        <v/>
      </c>
      <c r="DV343" s="14" t="str">
        <f t="shared" si="654"/>
        <v/>
      </c>
      <c r="DW343" s="15"/>
      <c r="DY343" s="16"/>
      <c r="DZ343" s="54"/>
      <c r="EA343" s="13" t="str">
        <f t="shared" si="668"/>
        <v/>
      </c>
      <c r="EB343" s="13"/>
      <c r="EC343" s="13"/>
      <c r="ED343" s="13"/>
      <c r="EE343" s="13" t="str">
        <f t="shared" si="669"/>
        <v/>
      </c>
      <c r="EF343" s="13"/>
      <c r="EG343" s="13"/>
      <c r="EH343" s="13"/>
      <c r="EI343" s="13" t="str">
        <f t="shared" si="655"/>
        <v/>
      </c>
      <c r="EJ343" s="14" t="str">
        <f t="shared" si="656"/>
        <v/>
      </c>
      <c r="EK343" s="15"/>
    </row>
    <row r="344" spans="1:141" ht="15" customHeight="1" x14ac:dyDescent="0.2">
      <c r="A344" s="16"/>
      <c r="B344" s="11"/>
      <c r="C344" s="13"/>
      <c r="D344" s="53" t="str">
        <f t="shared" si="670"/>
        <v/>
      </c>
      <c r="E344" s="13"/>
      <c r="F344" s="13" t="str">
        <f t="shared" si="671"/>
        <v/>
      </c>
      <c r="G344" s="13"/>
      <c r="H344" s="13" t="str">
        <f t="shared" si="672"/>
        <v/>
      </c>
      <c r="I344" s="17"/>
      <c r="J344" s="56" t="str">
        <f t="shared" si="673"/>
        <v/>
      </c>
      <c r="K344" s="54" t="str">
        <f t="shared" si="674"/>
        <v/>
      </c>
      <c r="L344" s="13" t="str">
        <f t="shared" si="675"/>
        <v/>
      </c>
      <c r="M344" s="14" t="str">
        <f t="shared" si="676"/>
        <v/>
      </c>
      <c r="N344" s="15"/>
      <c r="O344" s="2"/>
      <c r="P344" s="16"/>
      <c r="Q344" s="13"/>
      <c r="R344" s="53" t="str">
        <f t="shared" si="677"/>
        <v/>
      </c>
      <c r="S344" s="13"/>
      <c r="T344" s="13" t="str">
        <f t="shared" si="678"/>
        <v/>
      </c>
      <c r="U344" s="13"/>
      <c r="V344" s="13" t="str">
        <f t="shared" si="679"/>
        <v/>
      </c>
      <c r="W344" s="17"/>
      <c r="X344" s="56" t="str">
        <f t="shared" si="680"/>
        <v/>
      </c>
      <c r="Y344" s="54" t="str">
        <f t="shared" si="681"/>
        <v/>
      </c>
      <c r="Z344" s="13" t="str">
        <f t="shared" si="682"/>
        <v/>
      </c>
      <c r="AA344" s="14" t="str">
        <f t="shared" si="683"/>
        <v/>
      </c>
      <c r="AB344" s="15"/>
      <c r="AC344" s="15"/>
      <c r="AD344" s="16"/>
      <c r="AE344" s="13"/>
      <c r="AF344" s="53" t="str">
        <f t="shared" si="684"/>
        <v/>
      </c>
      <c r="AG344" s="13"/>
      <c r="AH344" s="13" t="str">
        <f t="shared" si="685"/>
        <v/>
      </c>
      <c r="AI344" s="13"/>
      <c r="AJ344" s="13" t="str">
        <f t="shared" si="686"/>
        <v/>
      </c>
      <c r="AK344" s="17"/>
      <c r="AL344" s="56" t="str">
        <f t="shared" si="687"/>
        <v/>
      </c>
      <c r="AM344" s="54" t="str">
        <f t="shared" si="688"/>
        <v/>
      </c>
      <c r="AN344" s="13" t="str">
        <f t="shared" si="689"/>
        <v/>
      </c>
      <c r="AO344" s="14" t="str">
        <f t="shared" si="690"/>
        <v/>
      </c>
      <c r="AP344" s="15"/>
      <c r="AQ344" s="113"/>
      <c r="AR344" s="16"/>
      <c r="AS344" s="13"/>
      <c r="AT344" s="53" t="str">
        <f t="shared" si="691"/>
        <v/>
      </c>
      <c r="AU344" s="13"/>
      <c r="AV344" s="13" t="str">
        <f t="shared" si="692"/>
        <v/>
      </c>
      <c r="AW344" s="13"/>
      <c r="AX344" s="13" t="str">
        <f t="shared" si="693"/>
        <v/>
      </c>
      <c r="AY344" s="17"/>
      <c r="AZ344" s="56" t="str">
        <f t="shared" si="694"/>
        <v/>
      </c>
      <c r="BA344" s="54" t="str">
        <f t="shared" si="695"/>
        <v/>
      </c>
      <c r="BB344" s="13" t="str">
        <f t="shared" si="696"/>
        <v/>
      </c>
      <c r="BC344" s="14" t="str">
        <f t="shared" si="697"/>
        <v/>
      </c>
      <c r="BD344" s="15"/>
      <c r="BT344" s="113"/>
      <c r="BU344" s="16"/>
      <c r="BV344" s="54"/>
      <c r="BW344" s="13" t="str">
        <f t="shared" si="660"/>
        <v/>
      </c>
      <c r="BX344" s="13"/>
      <c r="BY344" s="13"/>
      <c r="BZ344" s="13"/>
      <c r="CA344" s="13" t="str">
        <f t="shared" si="661"/>
        <v/>
      </c>
      <c r="CB344" s="13"/>
      <c r="CC344" s="13"/>
      <c r="CD344" s="13"/>
      <c r="CE344" s="13" t="str">
        <f t="shared" si="648"/>
        <v/>
      </c>
      <c r="CF344" s="14" t="str">
        <f t="shared" si="649"/>
        <v/>
      </c>
      <c r="CG344" s="15"/>
      <c r="CH344" s="1"/>
      <c r="CI344" s="16"/>
      <c r="CJ344" s="54"/>
      <c r="CK344" s="13" t="str">
        <f t="shared" si="662"/>
        <v/>
      </c>
      <c r="CL344" s="13"/>
      <c r="CM344" s="13"/>
      <c r="CN344" s="13"/>
      <c r="CO344" s="13" t="str">
        <f t="shared" si="663"/>
        <v/>
      </c>
      <c r="CP344" s="13"/>
      <c r="CQ344" s="13"/>
      <c r="CR344" s="13"/>
      <c r="CS344" s="13" t="str">
        <f t="shared" si="650"/>
        <v/>
      </c>
      <c r="CT344" s="14" t="str">
        <f t="shared" si="657"/>
        <v/>
      </c>
      <c r="CU344" s="15"/>
      <c r="CV344" s="1"/>
      <c r="CW344" s="16"/>
      <c r="CX344" s="54"/>
      <c r="CY344" s="13" t="str">
        <f t="shared" si="664"/>
        <v/>
      </c>
      <c r="CZ344" s="13"/>
      <c r="DA344" s="13"/>
      <c r="DB344" s="13"/>
      <c r="DC344" s="13" t="str">
        <f t="shared" si="665"/>
        <v/>
      </c>
      <c r="DD344" s="13"/>
      <c r="DE344" s="13"/>
      <c r="DF344" s="13"/>
      <c r="DG344" s="13" t="str">
        <f t="shared" si="651"/>
        <v/>
      </c>
      <c r="DH344" s="14" t="str">
        <f t="shared" si="652"/>
        <v/>
      </c>
      <c r="DI344" s="15"/>
      <c r="DJ344" s="1"/>
      <c r="DK344" s="16"/>
      <c r="DL344" s="54"/>
      <c r="DM344" s="13" t="str">
        <f t="shared" si="666"/>
        <v/>
      </c>
      <c r="DN344" s="13"/>
      <c r="DO344" s="13"/>
      <c r="DP344" s="13"/>
      <c r="DQ344" s="13" t="str">
        <f t="shared" si="667"/>
        <v/>
      </c>
      <c r="DR344" s="13"/>
      <c r="DS344" s="13"/>
      <c r="DT344" s="13"/>
      <c r="DU344" s="13" t="str">
        <f t="shared" si="653"/>
        <v/>
      </c>
      <c r="DV344" s="14" t="str">
        <f t="shared" si="654"/>
        <v/>
      </c>
      <c r="DW344" s="15"/>
      <c r="DY344" s="16"/>
      <c r="DZ344" s="54"/>
      <c r="EA344" s="13" t="str">
        <f t="shared" si="668"/>
        <v/>
      </c>
      <c r="EB344" s="13"/>
      <c r="EC344" s="13"/>
      <c r="ED344" s="13"/>
      <c r="EE344" s="13" t="str">
        <f t="shared" si="669"/>
        <v/>
      </c>
      <c r="EF344" s="13"/>
      <c r="EG344" s="13"/>
      <c r="EH344" s="13"/>
      <c r="EI344" s="13" t="str">
        <f t="shared" si="655"/>
        <v/>
      </c>
      <c r="EJ344" s="14" t="str">
        <f t="shared" si="656"/>
        <v/>
      </c>
      <c r="EK344" s="15"/>
    </row>
    <row r="345" spans="1:141" ht="15" customHeight="1" x14ac:dyDescent="0.2">
      <c r="A345" s="16"/>
      <c r="B345" s="11"/>
      <c r="C345" s="13"/>
      <c r="D345" s="63" t="str">
        <f t="shared" si="670"/>
        <v/>
      </c>
      <c r="E345" s="13"/>
      <c r="F345" s="13" t="str">
        <f t="shared" si="671"/>
        <v/>
      </c>
      <c r="G345" s="13"/>
      <c r="H345" s="13" t="str">
        <f t="shared" si="672"/>
        <v/>
      </c>
      <c r="I345" s="17"/>
      <c r="J345" s="56" t="str">
        <f t="shared" si="673"/>
        <v/>
      </c>
      <c r="K345" s="13" t="str">
        <f t="shared" si="674"/>
        <v/>
      </c>
      <c r="L345" s="13" t="str">
        <f t="shared" si="675"/>
        <v/>
      </c>
      <c r="M345" s="14" t="str">
        <f t="shared" si="676"/>
        <v/>
      </c>
      <c r="N345" s="15"/>
      <c r="O345" s="2"/>
      <c r="P345" s="16"/>
      <c r="Q345" s="13"/>
      <c r="R345" s="63" t="str">
        <f t="shared" si="677"/>
        <v/>
      </c>
      <c r="S345" s="13"/>
      <c r="T345" s="13" t="str">
        <f t="shared" si="678"/>
        <v/>
      </c>
      <c r="U345" s="13"/>
      <c r="V345" s="13" t="str">
        <f t="shared" si="679"/>
        <v/>
      </c>
      <c r="W345" s="17"/>
      <c r="X345" s="56" t="str">
        <f t="shared" si="680"/>
        <v/>
      </c>
      <c r="Y345" s="13" t="str">
        <f t="shared" si="681"/>
        <v/>
      </c>
      <c r="Z345" s="13" t="str">
        <f t="shared" si="682"/>
        <v/>
      </c>
      <c r="AA345" s="14" t="str">
        <f t="shared" si="683"/>
        <v/>
      </c>
      <c r="AB345" s="15"/>
      <c r="AC345" s="15"/>
      <c r="AD345" s="16"/>
      <c r="AE345" s="13"/>
      <c r="AF345" s="63" t="str">
        <f t="shared" si="684"/>
        <v/>
      </c>
      <c r="AG345" s="13"/>
      <c r="AH345" s="13" t="str">
        <f t="shared" si="685"/>
        <v/>
      </c>
      <c r="AI345" s="13"/>
      <c r="AJ345" s="13" t="str">
        <f t="shared" si="686"/>
        <v/>
      </c>
      <c r="AK345" s="17"/>
      <c r="AL345" s="56" t="str">
        <f t="shared" si="687"/>
        <v/>
      </c>
      <c r="AM345" s="13" t="str">
        <f t="shared" si="688"/>
        <v/>
      </c>
      <c r="AN345" s="13" t="str">
        <f t="shared" si="689"/>
        <v/>
      </c>
      <c r="AO345" s="14" t="str">
        <f t="shared" si="690"/>
        <v/>
      </c>
      <c r="AP345" s="15"/>
      <c r="AQ345" s="113"/>
      <c r="AR345" s="16"/>
      <c r="AS345" s="13"/>
      <c r="AT345" s="63" t="str">
        <f t="shared" si="691"/>
        <v/>
      </c>
      <c r="AU345" s="13"/>
      <c r="AV345" s="13" t="str">
        <f t="shared" si="692"/>
        <v/>
      </c>
      <c r="AW345" s="13"/>
      <c r="AX345" s="13" t="str">
        <f t="shared" si="693"/>
        <v/>
      </c>
      <c r="AY345" s="17"/>
      <c r="AZ345" s="56" t="str">
        <f t="shared" si="694"/>
        <v/>
      </c>
      <c r="BA345" s="13" t="str">
        <f t="shared" si="695"/>
        <v/>
      </c>
      <c r="BB345" s="13" t="str">
        <f t="shared" si="696"/>
        <v/>
      </c>
      <c r="BC345" s="14" t="str">
        <f t="shared" si="697"/>
        <v/>
      </c>
      <c r="BD345" s="15"/>
      <c r="BT345" s="113"/>
      <c r="BU345" s="16"/>
      <c r="BV345" s="54"/>
      <c r="BW345" s="13" t="str">
        <f t="shared" si="660"/>
        <v/>
      </c>
      <c r="BX345" s="13"/>
      <c r="BY345" s="13"/>
      <c r="BZ345" s="13"/>
      <c r="CA345" s="13" t="str">
        <f t="shared" si="661"/>
        <v/>
      </c>
      <c r="CB345" s="13"/>
      <c r="CC345" s="13"/>
      <c r="CD345" s="13"/>
      <c r="CE345" s="13" t="str">
        <f t="shared" si="648"/>
        <v/>
      </c>
      <c r="CF345" s="14" t="str">
        <f t="shared" si="649"/>
        <v/>
      </c>
      <c r="CG345" s="15"/>
      <c r="CH345" s="1"/>
      <c r="CI345" s="16"/>
      <c r="CJ345" s="54"/>
      <c r="CK345" s="13" t="str">
        <f t="shared" si="662"/>
        <v/>
      </c>
      <c r="CL345" s="13"/>
      <c r="CM345" s="13"/>
      <c r="CN345" s="13"/>
      <c r="CO345" s="13" t="str">
        <f t="shared" si="663"/>
        <v/>
      </c>
      <c r="CP345" s="13"/>
      <c r="CQ345" s="13"/>
      <c r="CR345" s="13"/>
      <c r="CS345" s="13" t="str">
        <f t="shared" si="650"/>
        <v/>
      </c>
      <c r="CT345" s="14" t="str">
        <f t="shared" si="657"/>
        <v/>
      </c>
      <c r="CU345" s="15"/>
      <c r="CV345" s="1"/>
      <c r="CW345" s="16"/>
      <c r="CX345" s="54"/>
      <c r="CY345" s="13" t="str">
        <f t="shared" si="664"/>
        <v/>
      </c>
      <c r="CZ345" s="13"/>
      <c r="DA345" s="13"/>
      <c r="DB345" s="13"/>
      <c r="DC345" s="13" t="str">
        <f t="shared" si="665"/>
        <v/>
      </c>
      <c r="DD345" s="13"/>
      <c r="DE345" s="13"/>
      <c r="DF345" s="13"/>
      <c r="DG345" s="13" t="str">
        <f t="shared" si="651"/>
        <v/>
      </c>
      <c r="DH345" s="14" t="str">
        <f t="shared" si="652"/>
        <v/>
      </c>
      <c r="DI345" s="15"/>
      <c r="DJ345" s="1"/>
      <c r="DK345" s="16"/>
      <c r="DL345" s="54"/>
      <c r="DM345" s="13" t="str">
        <f t="shared" si="666"/>
        <v/>
      </c>
      <c r="DN345" s="13"/>
      <c r="DO345" s="13"/>
      <c r="DP345" s="13"/>
      <c r="DQ345" s="13" t="str">
        <f t="shared" si="667"/>
        <v/>
      </c>
      <c r="DR345" s="13"/>
      <c r="DS345" s="13"/>
      <c r="DT345" s="13"/>
      <c r="DU345" s="13" t="str">
        <f t="shared" si="653"/>
        <v/>
      </c>
      <c r="DV345" s="14" t="str">
        <f t="shared" si="654"/>
        <v/>
      </c>
      <c r="DW345" s="15"/>
      <c r="DY345" s="16"/>
      <c r="DZ345" s="54"/>
      <c r="EA345" s="13" t="str">
        <f t="shared" si="668"/>
        <v/>
      </c>
      <c r="EB345" s="13"/>
      <c r="EC345" s="13"/>
      <c r="ED345" s="13"/>
      <c r="EE345" s="13" t="str">
        <f t="shared" si="669"/>
        <v/>
      </c>
      <c r="EF345" s="13"/>
      <c r="EG345" s="13"/>
      <c r="EH345" s="13"/>
      <c r="EI345" s="13" t="str">
        <f t="shared" si="655"/>
        <v/>
      </c>
      <c r="EJ345" s="14" t="str">
        <f t="shared" si="656"/>
        <v/>
      </c>
      <c r="EK345" s="15"/>
    </row>
    <row r="346" spans="1:141" ht="15" customHeight="1" thickBot="1" x14ac:dyDescent="0.25">
      <c r="A346" s="26"/>
      <c r="B346" s="46"/>
      <c r="C346" s="27"/>
      <c r="D346" s="61" t="str">
        <f t="shared" si="670"/>
        <v/>
      </c>
      <c r="E346" s="62"/>
      <c r="F346" s="27" t="str">
        <f t="shared" si="671"/>
        <v/>
      </c>
      <c r="G346" s="27"/>
      <c r="H346" s="27" t="str">
        <f t="shared" si="672"/>
        <v/>
      </c>
      <c r="I346" s="47"/>
      <c r="J346" s="57" t="str">
        <f t="shared" si="673"/>
        <v/>
      </c>
      <c r="K346" s="62" t="str">
        <f t="shared" si="674"/>
        <v/>
      </c>
      <c r="L346" s="27" t="str">
        <f t="shared" si="675"/>
        <v/>
      </c>
      <c r="M346" s="28" t="str">
        <f t="shared" si="676"/>
        <v/>
      </c>
      <c r="N346" s="15"/>
      <c r="O346" s="2"/>
      <c r="P346" s="26"/>
      <c r="Q346" s="27"/>
      <c r="R346" s="61" t="str">
        <f t="shared" si="677"/>
        <v/>
      </c>
      <c r="S346" s="62"/>
      <c r="T346" s="27" t="str">
        <f t="shared" si="678"/>
        <v/>
      </c>
      <c r="U346" s="27"/>
      <c r="V346" s="27" t="str">
        <f t="shared" si="679"/>
        <v/>
      </c>
      <c r="W346" s="47"/>
      <c r="X346" s="57" t="str">
        <f t="shared" si="680"/>
        <v/>
      </c>
      <c r="Y346" s="62" t="str">
        <f t="shared" si="681"/>
        <v/>
      </c>
      <c r="Z346" s="27" t="str">
        <f t="shared" si="682"/>
        <v/>
      </c>
      <c r="AA346" s="28" t="str">
        <f t="shared" si="683"/>
        <v/>
      </c>
      <c r="AB346" s="15"/>
      <c r="AC346" s="15"/>
      <c r="AD346" s="26"/>
      <c r="AE346" s="27"/>
      <c r="AF346" s="61" t="str">
        <f t="shared" si="684"/>
        <v/>
      </c>
      <c r="AG346" s="62"/>
      <c r="AH346" s="27" t="str">
        <f t="shared" si="685"/>
        <v/>
      </c>
      <c r="AI346" s="27"/>
      <c r="AJ346" s="27" t="str">
        <f t="shared" si="686"/>
        <v/>
      </c>
      <c r="AK346" s="47"/>
      <c r="AL346" s="57" t="str">
        <f t="shared" si="687"/>
        <v/>
      </c>
      <c r="AM346" s="62" t="str">
        <f t="shared" si="688"/>
        <v/>
      </c>
      <c r="AN346" s="27" t="str">
        <f t="shared" si="689"/>
        <v/>
      </c>
      <c r="AO346" s="28" t="str">
        <f t="shared" si="690"/>
        <v/>
      </c>
      <c r="AP346" s="15"/>
      <c r="AQ346" s="113"/>
      <c r="AR346" s="26"/>
      <c r="AS346" s="27"/>
      <c r="AT346" s="61" t="str">
        <f t="shared" si="691"/>
        <v/>
      </c>
      <c r="AU346" s="62"/>
      <c r="AV346" s="27" t="str">
        <f t="shared" si="692"/>
        <v/>
      </c>
      <c r="AW346" s="27"/>
      <c r="AX346" s="27" t="str">
        <f t="shared" si="693"/>
        <v/>
      </c>
      <c r="AY346" s="47"/>
      <c r="AZ346" s="57" t="str">
        <f t="shared" si="694"/>
        <v/>
      </c>
      <c r="BA346" s="62" t="str">
        <f t="shared" si="695"/>
        <v/>
      </c>
      <c r="BB346" s="27" t="str">
        <f t="shared" si="696"/>
        <v/>
      </c>
      <c r="BC346" s="28" t="str">
        <f t="shared" si="697"/>
        <v/>
      </c>
      <c r="BD346" s="15"/>
      <c r="BT346" s="113"/>
      <c r="BU346" s="16"/>
      <c r="BV346" s="54"/>
      <c r="BW346" s="13" t="str">
        <f t="shared" si="660"/>
        <v/>
      </c>
      <c r="BX346" s="13"/>
      <c r="BY346" s="13"/>
      <c r="BZ346" s="13"/>
      <c r="CA346" s="13" t="str">
        <f t="shared" si="661"/>
        <v/>
      </c>
      <c r="CB346" s="13"/>
      <c r="CC346" s="13"/>
      <c r="CD346" s="13"/>
      <c r="CE346" s="13" t="str">
        <f t="shared" si="648"/>
        <v/>
      </c>
      <c r="CF346" s="14" t="str">
        <f t="shared" si="649"/>
        <v/>
      </c>
      <c r="CG346" s="15"/>
      <c r="CH346" s="1"/>
      <c r="CI346" s="16"/>
      <c r="CJ346" s="54"/>
      <c r="CK346" s="13" t="str">
        <f t="shared" si="662"/>
        <v/>
      </c>
      <c r="CL346" s="13"/>
      <c r="CM346" s="13"/>
      <c r="CN346" s="13"/>
      <c r="CO346" s="13" t="str">
        <f t="shared" si="663"/>
        <v/>
      </c>
      <c r="CP346" s="13"/>
      <c r="CQ346" s="13"/>
      <c r="CR346" s="13"/>
      <c r="CS346" s="13" t="str">
        <f t="shared" si="650"/>
        <v/>
      </c>
      <c r="CT346" s="14" t="str">
        <f t="shared" si="657"/>
        <v/>
      </c>
      <c r="CU346" s="15"/>
      <c r="CV346" s="1"/>
      <c r="CW346" s="16"/>
      <c r="CX346" s="54"/>
      <c r="CY346" s="13" t="str">
        <f t="shared" si="664"/>
        <v/>
      </c>
      <c r="CZ346" s="13"/>
      <c r="DA346" s="13"/>
      <c r="DB346" s="13"/>
      <c r="DC346" s="13" t="str">
        <f t="shared" si="665"/>
        <v/>
      </c>
      <c r="DD346" s="13"/>
      <c r="DE346" s="13"/>
      <c r="DF346" s="13"/>
      <c r="DG346" s="13" t="str">
        <f t="shared" si="651"/>
        <v/>
      </c>
      <c r="DH346" s="14" t="str">
        <f t="shared" si="652"/>
        <v/>
      </c>
      <c r="DI346" s="15"/>
      <c r="DJ346" s="1"/>
      <c r="DK346" s="16"/>
      <c r="DL346" s="54"/>
      <c r="DM346" s="13" t="str">
        <f t="shared" si="666"/>
        <v/>
      </c>
      <c r="DN346" s="13"/>
      <c r="DO346" s="13"/>
      <c r="DP346" s="13"/>
      <c r="DQ346" s="13" t="str">
        <f t="shared" si="667"/>
        <v/>
      </c>
      <c r="DR346" s="13"/>
      <c r="DS346" s="13"/>
      <c r="DT346" s="13"/>
      <c r="DU346" s="13" t="str">
        <f t="shared" si="653"/>
        <v/>
      </c>
      <c r="DV346" s="14" t="str">
        <f t="shared" si="654"/>
        <v/>
      </c>
      <c r="DW346" s="15"/>
      <c r="DY346" s="16"/>
      <c r="DZ346" s="54"/>
      <c r="EA346" s="13" t="str">
        <f t="shared" si="668"/>
        <v/>
      </c>
      <c r="EB346" s="13"/>
      <c r="EC346" s="13"/>
      <c r="ED346" s="13"/>
      <c r="EE346" s="13" t="str">
        <f t="shared" si="669"/>
        <v/>
      </c>
      <c r="EF346" s="13"/>
      <c r="EG346" s="13"/>
      <c r="EH346" s="13"/>
      <c r="EI346" s="13" t="str">
        <f t="shared" si="655"/>
        <v/>
      </c>
      <c r="EJ346" s="14" t="str">
        <f t="shared" si="656"/>
        <v/>
      </c>
      <c r="EK346" s="15"/>
    </row>
    <row r="347" spans="1:141" ht="15" customHeight="1" thickTop="1" x14ac:dyDescent="0.2">
      <c r="A347" s="79"/>
      <c r="B347" s="74" t="str">
        <f>IF(A347="","",SUM(D347:D350)+SUM(R347:R350)+SUM(AF347:AF350)+SUM(AT347:AT350)+SUM(BW311,CK311,CY311,DM311))</f>
        <v/>
      </c>
      <c r="C347" s="53"/>
      <c r="D347" s="53" t="str">
        <f t="shared" si="670"/>
        <v/>
      </c>
      <c r="E347" s="53"/>
      <c r="F347" s="31" t="str">
        <f t="shared" si="671"/>
        <v/>
      </c>
      <c r="G347" s="53"/>
      <c r="H347" s="53" t="str">
        <f t="shared" si="672"/>
        <v/>
      </c>
      <c r="I347" s="53"/>
      <c r="J347" s="75" t="str">
        <f t="shared" si="673"/>
        <v/>
      </c>
      <c r="K347" s="76" t="str">
        <f t="shared" si="674"/>
        <v/>
      </c>
      <c r="L347" s="31" t="str">
        <f t="shared" si="675"/>
        <v/>
      </c>
      <c r="M347" s="32" t="str">
        <f t="shared" si="676"/>
        <v/>
      </c>
      <c r="N347" s="15"/>
      <c r="O347" s="2"/>
      <c r="P347" s="79" t="str">
        <f>IF(A347="","",A347)</f>
        <v/>
      </c>
      <c r="Q347" s="53"/>
      <c r="R347" s="53" t="str">
        <f t="shared" si="677"/>
        <v/>
      </c>
      <c r="S347" s="53"/>
      <c r="T347" s="31" t="str">
        <f t="shared" si="678"/>
        <v/>
      </c>
      <c r="U347" s="53"/>
      <c r="V347" s="53" t="str">
        <f t="shared" si="679"/>
        <v/>
      </c>
      <c r="W347" s="53"/>
      <c r="X347" s="75" t="str">
        <f t="shared" si="680"/>
        <v/>
      </c>
      <c r="Y347" s="76" t="str">
        <f t="shared" si="681"/>
        <v/>
      </c>
      <c r="Z347" s="31" t="str">
        <f t="shared" si="682"/>
        <v/>
      </c>
      <c r="AA347" s="32" t="str">
        <f t="shared" si="683"/>
        <v/>
      </c>
      <c r="AB347" s="15"/>
      <c r="AD347" s="79" t="str">
        <f>IF($A347="","",$A347)</f>
        <v/>
      </c>
      <c r="AE347" s="53"/>
      <c r="AF347" s="53" t="str">
        <f t="shared" si="684"/>
        <v/>
      </c>
      <c r="AG347" s="53"/>
      <c r="AH347" s="31" t="str">
        <f t="shared" si="685"/>
        <v/>
      </c>
      <c r="AI347" s="53"/>
      <c r="AJ347" s="53" t="str">
        <f t="shared" si="686"/>
        <v/>
      </c>
      <c r="AK347" s="53"/>
      <c r="AL347" s="75" t="str">
        <f t="shared" si="687"/>
        <v/>
      </c>
      <c r="AM347" s="76" t="str">
        <f t="shared" si="688"/>
        <v/>
      </c>
      <c r="AN347" s="31" t="str">
        <f t="shared" si="689"/>
        <v/>
      </c>
      <c r="AO347" s="32" t="str">
        <f t="shared" si="690"/>
        <v/>
      </c>
      <c r="AP347" s="15"/>
      <c r="AQ347" s="115"/>
      <c r="AR347" s="79" t="str">
        <f>IF($A347="","",$A347)</f>
        <v/>
      </c>
      <c r="AS347" s="53"/>
      <c r="AT347" s="53" t="str">
        <f t="shared" si="691"/>
        <v/>
      </c>
      <c r="AU347" s="53"/>
      <c r="AV347" s="31" t="str">
        <f t="shared" si="692"/>
        <v/>
      </c>
      <c r="AW347" s="53"/>
      <c r="AX347" s="53" t="str">
        <f t="shared" si="693"/>
        <v/>
      </c>
      <c r="AY347" s="53"/>
      <c r="AZ347" s="75" t="str">
        <f t="shared" si="694"/>
        <v/>
      </c>
      <c r="BA347" s="76" t="str">
        <f t="shared" si="695"/>
        <v/>
      </c>
      <c r="BB347" s="31" t="str">
        <f t="shared" si="696"/>
        <v/>
      </c>
      <c r="BC347" s="32" t="str">
        <f t="shared" si="697"/>
        <v/>
      </c>
      <c r="BD347" s="15"/>
      <c r="BT347" s="114"/>
      <c r="BU347" s="16"/>
      <c r="BV347" s="54"/>
      <c r="BW347" s="13"/>
      <c r="BX347" s="13"/>
      <c r="BY347" s="13"/>
      <c r="BZ347" s="13"/>
      <c r="CA347" s="13"/>
      <c r="CB347" s="13"/>
      <c r="CC347" s="13"/>
      <c r="CD347" s="13"/>
      <c r="CE347" s="13"/>
      <c r="CF347" s="14"/>
      <c r="CG347" s="15"/>
      <c r="CH347" s="1"/>
      <c r="CI347" s="16"/>
      <c r="CJ347" s="54"/>
      <c r="CK347" s="13"/>
      <c r="CL347" s="13"/>
      <c r="CM347" s="13"/>
      <c r="CN347" s="13"/>
      <c r="CO347" s="13"/>
      <c r="CP347" s="13"/>
      <c r="CQ347" s="13"/>
      <c r="CR347" s="13"/>
      <c r="CS347" s="13"/>
      <c r="CT347" s="14"/>
      <c r="CU347" s="15"/>
      <c r="CV347" s="1"/>
      <c r="CW347" s="16"/>
      <c r="CX347" s="54"/>
      <c r="CY347" s="13"/>
      <c r="CZ347" s="13"/>
      <c r="DA347" s="13"/>
      <c r="DB347" s="13"/>
      <c r="DC347" s="13"/>
      <c r="DD347" s="13"/>
      <c r="DE347" s="13"/>
      <c r="DF347" s="13"/>
      <c r="DG347" s="13"/>
      <c r="DH347" s="14"/>
      <c r="DI347" s="15"/>
      <c r="DJ347" s="1"/>
      <c r="DK347" s="16"/>
      <c r="DL347" s="54"/>
      <c r="DM347" s="13"/>
      <c r="DN347" s="13"/>
      <c r="DO347" s="13"/>
      <c r="DP347" s="13"/>
      <c r="DQ347" s="13"/>
      <c r="DR347" s="13"/>
      <c r="DS347" s="13"/>
      <c r="DT347" s="13"/>
      <c r="DU347" s="13"/>
      <c r="DV347" s="14"/>
      <c r="DW347" s="15"/>
      <c r="DY347" s="16"/>
      <c r="DZ347" s="54"/>
      <c r="EA347" s="13"/>
      <c r="EB347" s="13"/>
      <c r="EC347" s="13"/>
      <c r="ED347" s="13"/>
      <c r="EE347" s="13"/>
      <c r="EF347" s="13"/>
      <c r="EG347" s="13"/>
      <c r="EH347" s="13"/>
      <c r="EI347" s="13"/>
      <c r="EJ347" s="14"/>
      <c r="EK347" s="15"/>
    </row>
    <row r="348" spans="1:141" ht="15" customHeight="1" x14ac:dyDescent="0.2">
      <c r="A348" s="16"/>
      <c r="B348" s="11"/>
      <c r="C348" s="13"/>
      <c r="D348" s="13" t="str">
        <f t="shared" si="670"/>
        <v/>
      </c>
      <c r="E348" s="13"/>
      <c r="F348" s="13" t="str">
        <f t="shared" si="671"/>
        <v/>
      </c>
      <c r="G348" s="13"/>
      <c r="H348" s="50" t="str">
        <f t="shared" si="672"/>
        <v/>
      </c>
      <c r="I348" s="13"/>
      <c r="J348" s="56" t="str">
        <f t="shared" si="673"/>
        <v/>
      </c>
      <c r="K348" s="54" t="str">
        <f t="shared" si="674"/>
        <v/>
      </c>
      <c r="L348" s="13" t="str">
        <f t="shared" si="675"/>
        <v/>
      </c>
      <c r="M348" s="14" t="str">
        <f t="shared" si="676"/>
        <v/>
      </c>
      <c r="N348" s="15"/>
      <c r="O348" s="2"/>
      <c r="P348" s="16"/>
      <c r="Q348" s="13"/>
      <c r="R348" s="13" t="str">
        <f t="shared" si="677"/>
        <v/>
      </c>
      <c r="S348" s="13"/>
      <c r="T348" s="13" t="str">
        <f t="shared" si="678"/>
        <v/>
      </c>
      <c r="U348" s="13"/>
      <c r="V348" s="50" t="str">
        <f t="shared" si="679"/>
        <v/>
      </c>
      <c r="W348" s="13"/>
      <c r="X348" s="56" t="str">
        <f t="shared" si="680"/>
        <v/>
      </c>
      <c r="Y348" s="54" t="str">
        <f t="shared" si="681"/>
        <v/>
      </c>
      <c r="Z348" s="13" t="str">
        <f t="shared" si="682"/>
        <v/>
      </c>
      <c r="AA348" s="14" t="str">
        <f t="shared" si="683"/>
        <v/>
      </c>
      <c r="AB348" s="15"/>
      <c r="AD348" s="16"/>
      <c r="AE348" s="13"/>
      <c r="AF348" s="13" t="str">
        <f t="shared" si="684"/>
        <v/>
      </c>
      <c r="AG348" s="13"/>
      <c r="AH348" s="13" t="str">
        <f t="shared" si="685"/>
        <v/>
      </c>
      <c r="AI348" s="13"/>
      <c r="AJ348" s="50" t="str">
        <f t="shared" si="686"/>
        <v/>
      </c>
      <c r="AK348" s="13"/>
      <c r="AL348" s="56" t="str">
        <f t="shared" si="687"/>
        <v/>
      </c>
      <c r="AM348" s="54" t="str">
        <f t="shared" si="688"/>
        <v/>
      </c>
      <c r="AN348" s="13" t="str">
        <f t="shared" si="689"/>
        <v/>
      </c>
      <c r="AO348" s="14" t="str">
        <f t="shared" si="690"/>
        <v/>
      </c>
      <c r="AP348" s="15"/>
      <c r="AQ348" s="115"/>
      <c r="AR348" s="16"/>
      <c r="AS348" s="13"/>
      <c r="AT348" s="13" t="str">
        <f t="shared" si="691"/>
        <v/>
      </c>
      <c r="AU348" s="13"/>
      <c r="AV348" s="13" t="str">
        <f t="shared" si="692"/>
        <v/>
      </c>
      <c r="AW348" s="13"/>
      <c r="AX348" s="50" t="str">
        <f t="shared" si="693"/>
        <v/>
      </c>
      <c r="AY348" s="13"/>
      <c r="AZ348" s="56" t="str">
        <f t="shared" si="694"/>
        <v/>
      </c>
      <c r="BA348" s="54" t="str">
        <f t="shared" si="695"/>
        <v/>
      </c>
      <c r="BB348" s="13" t="str">
        <f t="shared" si="696"/>
        <v/>
      </c>
      <c r="BC348" s="14" t="str">
        <f t="shared" si="697"/>
        <v/>
      </c>
      <c r="BD348" s="15"/>
      <c r="BT348" s="114"/>
      <c r="BU348" s="16"/>
      <c r="BV348" s="54"/>
      <c r="BW348" s="13" t="str">
        <f>IF(BV348="","",BV348-#REF!)</f>
        <v/>
      </c>
      <c r="BX348" s="13"/>
      <c r="BY348" s="13"/>
      <c r="BZ348" s="13"/>
      <c r="CA348" s="13" t="str">
        <f>IF(BZ348="","",#REF!+#REF!-BZ348)</f>
        <v/>
      </c>
      <c r="CB348" s="13"/>
      <c r="CC348" s="13"/>
      <c r="CD348" s="13"/>
      <c r="CE348" s="13" t="str">
        <f>IF(CD348="","",CA348*CD348)</f>
        <v/>
      </c>
      <c r="CF348" s="14" t="str">
        <f>IF(CE348="","",CE348/(BW348*100))</f>
        <v/>
      </c>
      <c r="CG348" s="15"/>
      <c r="CH348" s="1"/>
      <c r="CI348" s="16"/>
      <c r="CJ348" s="54"/>
      <c r="CK348" s="13" t="str">
        <f>IF(CJ348="","",CJ348-#REF!)</f>
        <v/>
      </c>
      <c r="CL348" s="13"/>
      <c r="CM348" s="13"/>
      <c r="CN348" s="13"/>
      <c r="CO348" s="13" t="str">
        <f>IF(CN348="","",#REF!+#REF!-CN348)</f>
        <v/>
      </c>
      <c r="CP348" s="13"/>
      <c r="CQ348" s="13"/>
      <c r="CR348" s="13"/>
      <c r="CS348" s="13" t="str">
        <f>IF(CR348="","",CO348*CR348)</f>
        <v/>
      </c>
      <c r="CT348" s="14" t="str">
        <f>IF(CS348="","",CS348/(CK348*100))</f>
        <v/>
      </c>
      <c r="CU348" s="15"/>
      <c r="CV348" s="1"/>
      <c r="CW348" s="16"/>
      <c r="CX348" s="54"/>
      <c r="CY348" s="13" t="str">
        <f>IF(CX348="","",CX348-#REF!)</f>
        <v/>
      </c>
      <c r="CZ348" s="13"/>
      <c r="DA348" s="13"/>
      <c r="DB348" s="13"/>
      <c r="DC348" s="13" t="str">
        <f>IF(DB348="","",#REF!+#REF!-DB348)</f>
        <v/>
      </c>
      <c r="DD348" s="13"/>
      <c r="DE348" s="13"/>
      <c r="DF348" s="13"/>
      <c r="DG348" s="13" t="str">
        <f>IF(DF348="","",DC348*DF348)</f>
        <v/>
      </c>
      <c r="DH348" s="14" t="str">
        <f>IF(DG348="","",DG348/(CY348*100))</f>
        <v/>
      </c>
      <c r="DI348" s="15"/>
      <c r="DJ348" s="1"/>
      <c r="DK348" s="16"/>
      <c r="DL348" s="54"/>
      <c r="DM348" s="13" t="str">
        <f>IF(DL348="","",DL348-#REF!)</f>
        <v/>
      </c>
      <c r="DN348" s="13"/>
      <c r="DO348" s="13"/>
      <c r="DP348" s="13"/>
      <c r="DQ348" s="13" t="str">
        <f>IF(DP348="","",#REF!+#REF!-DP348)</f>
        <v/>
      </c>
      <c r="DR348" s="13"/>
      <c r="DS348" s="13"/>
      <c r="DT348" s="13"/>
      <c r="DU348" s="13" t="str">
        <f>IF(DT348="","",DQ348*DT348)</f>
        <v/>
      </c>
      <c r="DV348" s="14" t="str">
        <f>IF(DU348="","",DU348/(DM348*100))</f>
        <v/>
      </c>
      <c r="DW348" s="15"/>
      <c r="DY348" s="16"/>
      <c r="DZ348" s="54"/>
      <c r="EA348" s="13" t="str">
        <f>IF(DZ348="","",DZ348-#REF!)</f>
        <v/>
      </c>
      <c r="EB348" s="13"/>
      <c r="EC348" s="13"/>
      <c r="ED348" s="13"/>
      <c r="EE348" s="13" t="str">
        <f>IF(ED348="","",#REF!+#REF!-ED348)</f>
        <v/>
      </c>
      <c r="EF348" s="13"/>
      <c r="EG348" s="13"/>
      <c r="EH348" s="13"/>
      <c r="EI348" s="13" t="str">
        <f>IF(EH348="","",EE348*EH348)</f>
        <v/>
      </c>
      <c r="EJ348" s="14" t="str">
        <f>IF(EI348="","",EI348/(EA348*100))</f>
        <v/>
      </c>
      <c r="EK348" s="15"/>
    </row>
    <row r="349" spans="1:141" ht="15" customHeight="1" x14ac:dyDescent="0.2">
      <c r="A349" s="16"/>
      <c r="B349" s="11"/>
      <c r="C349" s="13"/>
      <c r="D349" s="13" t="str">
        <f t="shared" si="670"/>
        <v/>
      </c>
      <c r="E349" s="13"/>
      <c r="F349" s="13" t="str">
        <f t="shared" si="671"/>
        <v/>
      </c>
      <c r="G349" s="13"/>
      <c r="H349" s="13" t="str">
        <f t="shared" si="672"/>
        <v/>
      </c>
      <c r="I349" s="13"/>
      <c r="J349" s="56" t="str">
        <f t="shared" si="673"/>
        <v/>
      </c>
      <c r="K349" s="13" t="str">
        <f t="shared" si="674"/>
        <v/>
      </c>
      <c r="L349" s="13" t="str">
        <f t="shared" si="675"/>
        <v/>
      </c>
      <c r="M349" s="14" t="str">
        <f t="shared" si="676"/>
        <v/>
      </c>
      <c r="N349" s="15"/>
      <c r="O349" s="2"/>
      <c r="P349" s="16"/>
      <c r="Q349" s="13"/>
      <c r="R349" s="13" t="str">
        <f t="shared" si="677"/>
        <v/>
      </c>
      <c r="S349" s="13"/>
      <c r="T349" s="13" t="str">
        <f t="shared" si="678"/>
        <v/>
      </c>
      <c r="U349" s="13"/>
      <c r="V349" s="13" t="str">
        <f t="shared" si="679"/>
        <v/>
      </c>
      <c r="W349" s="13"/>
      <c r="X349" s="56" t="str">
        <f t="shared" si="680"/>
        <v/>
      </c>
      <c r="Y349" s="13" t="str">
        <f t="shared" si="681"/>
        <v/>
      </c>
      <c r="Z349" s="13" t="str">
        <f t="shared" si="682"/>
        <v/>
      </c>
      <c r="AA349" s="14" t="str">
        <f t="shared" si="683"/>
        <v/>
      </c>
      <c r="AB349" s="15"/>
      <c r="AD349" s="16"/>
      <c r="AE349" s="13"/>
      <c r="AF349" s="13" t="str">
        <f t="shared" si="684"/>
        <v/>
      </c>
      <c r="AG349" s="13"/>
      <c r="AH349" s="13" t="str">
        <f t="shared" si="685"/>
        <v/>
      </c>
      <c r="AI349" s="13"/>
      <c r="AJ349" s="13" t="str">
        <f t="shared" si="686"/>
        <v/>
      </c>
      <c r="AK349" s="13"/>
      <c r="AL349" s="56" t="str">
        <f t="shared" si="687"/>
        <v/>
      </c>
      <c r="AM349" s="13" t="str">
        <f t="shared" si="688"/>
        <v/>
      </c>
      <c r="AN349" s="13" t="str">
        <f t="shared" si="689"/>
        <v/>
      </c>
      <c r="AO349" s="14" t="str">
        <f t="shared" si="690"/>
        <v/>
      </c>
      <c r="AP349" s="15"/>
      <c r="AQ349" s="115"/>
      <c r="AR349" s="16"/>
      <c r="AS349" s="13"/>
      <c r="AT349" s="13" t="str">
        <f t="shared" si="691"/>
        <v/>
      </c>
      <c r="AU349" s="13"/>
      <c r="AV349" s="13" t="str">
        <f t="shared" si="692"/>
        <v/>
      </c>
      <c r="AW349" s="13"/>
      <c r="AX349" s="13" t="str">
        <f t="shared" si="693"/>
        <v/>
      </c>
      <c r="AY349" s="13"/>
      <c r="AZ349" s="56" t="str">
        <f t="shared" si="694"/>
        <v/>
      </c>
      <c r="BA349" s="13" t="str">
        <f t="shared" si="695"/>
        <v/>
      </c>
      <c r="BB349" s="13" t="str">
        <f t="shared" si="696"/>
        <v/>
      </c>
      <c r="BC349" s="14" t="str">
        <f t="shared" si="697"/>
        <v/>
      </c>
      <c r="BD349" s="15"/>
      <c r="BU349" s="16"/>
      <c r="BV349" s="54"/>
      <c r="BW349" s="13" t="str">
        <f>IF(BV349="","",BV349-BV348)</f>
        <v/>
      </c>
      <c r="BX349" s="13"/>
      <c r="BY349" s="13"/>
      <c r="BZ349" s="13"/>
      <c r="CA349" s="13" t="str">
        <f>IF(BZ349="","",BZ348+CB348-BZ349)</f>
        <v/>
      </c>
      <c r="CB349" s="13"/>
      <c r="CC349" s="13"/>
      <c r="CD349" s="13"/>
      <c r="CE349" s="13" t="str">
        <f>IF(CD349="","",CA349*CD349)</f>
        <v/>
      </c>
      <c r="CF349" s="14" t="str">
        <f>IF(CE349="","",CE349/(BW349*100))</f>
        <v/>
      </c>
      <c r="CG349" s="15"/>
      <c r="CH349" s="1"/>
      <c r="CI349" s="16"/>
      <c r="CJ349" s="54"/>
      <c r="CK349" s="13" t="str">
        <f>IF(CJ349="","",CJ349-CJ348)</f>
        <v/>
      </c>
      <c r="CL349" s="13"/>
      <c r="CM349" s="13"/>
      <c r="CN349" s="13"/>
      <c r="CO349" s="13" t="str">
        <f>IF(CN349="","",CN348+CP348-CN349)</f>
        <v/>
      </c>
      <c r="CP349" s="13"/>
      <c r="CQ349" s="13"/>
      <c r="CR349" s="13"/>
      <c r="CS349" s="13" t="str">
        <f>IF(CR349="","",CO349*CR349)</f>
        <v/>
      </c>
      <c r="CT349" s="14" t="str">
        <f>IF(CS349="","",CS349/(CK349*100))</f>
        <v/>
      </c>
      <c r="CU349" s="15"/>
      <c r="CV349" s="1"/>
      <c r="CW349" s="16"/>
      <c r="CX349" s="54"/>
      <c r="CY349" s="13" t="str">
        <f>IF(CX349="","",CX349-CX348)</f>
        <v/>
      </c>
      <c r="CZ349" s="13"/>
      <c r="DA349" s="13"/>
      <c r="DB349" s="13"/>
      <c r="DC349" s="13" t="str">
        <f>IF(DB349="","",DB348+DD348-DB349)</f>
        <v/>
      </c>
      <c r="DD349" s="13"/>
      <c r="DE349" s="13"/>
      <c r="DF349" s="13"/>
      <c r="DG349" s="13" t="str">
        <f>IF(DF349="","",DC349*DF349)</f>
        <v/>
      </c>
      <c r="DH349" s="14" t="str">
        <f>IF(DG349="","",DG349/(CY349*100))</f>
        <v/>
      </c>
      <c r="DI349" s="15"/>
      <c r="DJ349" s="1"/>
      <c r="DK349" s="16"/>
      <c r="DL349" s="54"/>
      <c r="DM349" s="13" t="str">
        <f>IF(DL349="","",DL349-DL348)</f>
        <v/>
      </c>
      <c r="DN349" s="13"/>
      <c r="DO349" s="13"/>
      <c r="DP349" s="13"/>
      <c r="DQ349" s="13" t="str">
        <f>IF(DP349="","",DP348+DR348-DP349)</f>
        <v/>
      </c>
      <c r="DR349" s="13"/>
      <c r="DS349" s="13"/>
      <c r="DT349" s="13"/>
      <c r="DU349" s="13" t="str">
        <f>IF(DT349="","",DQ349*DT349)</f>
        <v/>
      </c>
      <c r="DV349" s="14" t="str">
        <f>IF(DU349="","",DU349/(DM349*100))</f>
        <v/>
      </c>
      <c r="DW349" s="15"/>
      <c r="DY349" s="16"/>
      <c r="DZ349" s="54"/>
      <c r="EA349" s="13" t="str">
        <f>IF(DZ349="","",DZ349-DZ348)</f>
        <v/>
      </c>
      <c r="EB349" s="13"/>
      <c r="EC349" s="13"/>
      <c r="ED349" s="13"/>
      <c r="EE349" s="13" t="str">
        <f>IF(ED349="","",ED348+EF348-ED349)</f>
        <v/>
      </c>
      <c r="EF349" s="13"/>
      <c r="EG349" s="13"/>
      <c r="EH349" s="13"/>
      <c r="EI349" s="13" t="str">
        <f>IF(EH349="","",EE349*EH349)</f>
        <v/>
      </c>
      <c r="EJ349" s="14" t="str">
        <f>IF(EI349="","",EI349/(EA349*100))</f>
        <v/>
      </c>
      <c r="EK349" s="15"/>
    </row>
    <row r="350" spans="1:141" ht="15" customHeight="1" thickBot="1" x14ac:dyDescent="0.25">
      <c r="A350" s="26"/>
      <c r="B350" s="46"/>
      <c r="C350" s="27"/>
      <c r="D350" s="27" t="str">
        <f t="shared" si="670"/>
        <v/>
      </c>
      <c r="E350" s="27"/>
      <c r="F350" s="27" t="str">
        <f t="shared" si="671"/>
        <v/>
      </c>
      <c r="G350" s="27"/>
      <c r="H350" s="27" t="str">
        <f t="shared" si="672"/>
        <v/>
      </c>
      <c r="I350" s="27"/>
      <c r="J350" s="57" t="str">
        <f t="shared" si="673"/>
        <v/>
      </c>
      <c r="K350" s="62" t="str">
        <f t="shared" si="674"/>
        <v/>
      </c>
      <c r="L350" s="27" t="str">
        <f t="shared" si="675"/>
        <v/>
      </c>
      <c r="M350" s="28" t="str">
        <f t="shared" si="676"/>
        <v/>
      </c>
      <c r="N350" s="15"/>
      <c r="O350" s="2"/>
      <c r="P350" s="26"/>
      <c r="Q350" s="27"/>
      <c r="R350" s="27" t="str">
        <f t="shared" si="677"/>
        <v/>
      </c>
      <c r="S350" s="27"/>
      <c r="T350" s="27" t="str">
        <f t="shared" si="678"/>
        <v/>
      </c>
      <c r="U350" s="27"/>
      <c r="V350" s="27" t="str">
        <f t="shared" si="679"/>
        <v/>
      </c>
      <c r="W350" s="27"/>
      <c r="X350" s="57" t="str">
        <f t="shared" si="680"/>
        <v/>
      </c>
      <c r="Y350" s="62" t="str">
        <f t="shared" si="681"/>
        <v/>
      </c>
      <c r="Z350" s="27" t="str">
        <f t="shared" si="682"/>
        <v/>
      </c>
      <c r="AA350" s="28" t="str">
        <f t="shared" si="683"/>
        <v/>
      </c>
      <c r="AB350" s="15"/>
      <c r="AD350" s="26"/>
      <c r="AE350" s="27"/>
      <c r="AF350" s="27" t="str">
        <f t="shared" si="684"/>
        <v/>
      </c>
      <c r="AG350" s="27"/>
      <c r="AH350" s="27" t="str">
        <f t="shared" si="685"/>
        <v/>
      </c>
      <c r="AI350" s="27"/>
      <c r="AJ350" s="27" t="str">
        <f t="shared" si="686"/>
        <v/>
      </c>
      <c r="AK350" s="27"/>
      <c r="AL350" s="57" t="str">
        <f t="shared" si="687"/>
        <v/>
      </c>
      <c r="AM350" s="62" t="str">
        <f t="shared" si="688"/>
        <v/>
      </c>
      <c r="AN350" s="27" t="str">
        <f t="shared" si="689"/>
        <v/>
      </c>
      <c r="AO350" s="28" t="str">
        <f t="shared" si="690"/>
        <v/>
      </c>
      <c r="AP350" s="15"/>
      <c r="AQ350" s="115"/>
      <c r="AR350" s="26"/>
      <c r="AS350" s="27"/>
      <c r="AT350" s="27" t="str">
        <f t="shared" si="691"/>
        <v/>
      </c>
      <c r="AU350" s="27"/>
      <c r="AV350" s="27" t="str">
        <f t="shared" si="692"/>
        <v/>
      </c>
      <c r="AW350" s="27"/>
      <c r="AX350" s="27" t="str">
        <f t="shared" si="693"/>
        <v/>
      </c>
      <c r="AY350" s="27"/>
      <c r="AZ350" s="57" t="str">
        <f t="shared" si="694"/>
        <v/>
      </c>
      <c r="BA350" s="62" t="str">
        <f t="shared" si="695"/>
        <v/>
      </c>
      <c r="BB350" s="27" t="str">
        <f t="shared" si="696"/>
        <v/>
      </c>
      <c r="BC350" s="28" t="str">
        <f t="shared" si="697"/>
        <v/>
      </c>
      <c r="BD350" s="15"/>
      <c r="BU350" s="16"/>
      <c r="BV350" s="54"/>
      <c r="BW350" s="13" t="str">
        <f>IF(BV350="","",BV350-BV349)</f>
        <v/>
      </c>
      <c r="BX350" s="13"/>
      <c r="BY350" s="13"/>
      <c r="BZ350" s="13"/>
      <c r="CA350" s="13" t="str">
        <f>IF(BZ350="","",BZ349+CB349-BZ350)</f>
        <v/>
      </c>
      <c r="CB350" s="13"/>
      <c r="CC350" s="13"/>
      <c r="CD350" s="13"/>
      <c r="CE350" s="13" t="str">
        <f>IF(CD350="","",CA350*CD350)</f>
        <v/>
      </c>
      <c r="CF350" s="14" t="str">
        <f>IF(CE350="","",CE350/(BW350*100))</f>
        <v/>
      </c>
      <c r="CG350" s="15"/>
      <c r="CH350" s="1"/>
      <c r="CI350" s="16"/>
      <c r="CJ350" s="54"/>
      <c r="CK350" s="13" t="str">
        <f>IF(CJ350="","",CJ350-CJ349)</f>
        <v/>
      </c>
      <c r="CL350" s="13"/>
      <c r="CM350" s="13"/>
      <c r="CN350" s="13"/>
      <c r="CO350" s="13" t="str">
        <f>IF(CN350="","",CN349+CP349-CN350)</f>
        <v/>
      </c>
      <c r="CP350" s="13"/>
      <c r="CQ350" s="13"/>
      <c r="CR350" s="13"/>
      <c r="CS350" s="13" t="str">
        <f>IF(CR350="","",CO350*CR350)</f>
        <v/>
      </c>
      <c r="CT350" s="14" t="str">
        <f>IF(CS350="","",CS350/(CK350*100))</f>
        <v/>
      </c>
      <c r="CU350" s="15"/>
      <c r="CV350" s="1"/>
      <c r="CW350" s="16"/>
      <c r="CX350" s="54"/>
      <c r="CY350" s="13" t="str">
        <f>IF(CX350="","",CX350-CX349)</f>
        <v/>
      </c>
      <c r="CZ350" s="13"/>
      <c r="DA350" s="13"/>
      <c r="DB350" s="13"/>
      <c r="DC350" s="13" t="str">
        <f>IF(DB350="","",DB349+DD349-DB350)</f>
        <v/>
      </c>
      <c r="DD350" s="13"/>
      <c r="DE350" s="13"/>
      <c r="DF350" s="13"/>
      <c r="DG350" s="13" t="str">
        <f>IF(DF350="","",DC350*DF350)</f>
        <v/>
      </c>
      <c r="DH350" s="14" t="str">
        <f>IF(DG350="","",DG350/(CY350*100))</f>
        <v/>
      </c>
      <c r="DI350" s="15"/>
      <c r="DJ350" s="1"/>
      <c r="DK350" s="16"/>
      <c r="DL350" s="54"/>
      <c r="DM350" s="13" t="str">
        <f>IF(DL350="","",DL350-DL349)</f>
        <v/>
      </c>
      <c r="DN350" s="13"/>
      <c r="DO350" s="13"/>
      <c r="DP350" s="13"/>
      <c r="DQ350" s="13" t="str">
        <f>IF(DP350="","",DP349+DR349-DP350)</f>
        <v/>
      </c>
      <c r="DR350" s="13"/>
      <c r="DS350" s="13"/>
      <c r="DT350" s="13"/>
      <c r="DU350" s="13" t="str">
        <f>IF(DT350="","",DQ350*DT350)</f>
        <v/>
      </c>
      <c r="DV350" s="14" t="str">
        <f>IF(DU350="","",DU350/(DM350*100))</f>
        <v/>
      </c>
      <c r="DW350" s="15"/>
      <c r="DY350" s="16"/>
      <c r="DZ350" s="54"/>
      <c r="EA350" s="13" t="str">
        <f>IF(DZ350="","",DZ350-DZ349)</f>
        <v/>
      </c>
      <c r="EB350" s="13"/>
      <c r="EC350" s="13"/>
      <c r="ED350" s="13"/>
      <c r="EE350" s="13" t="str">
        <f>IF(ED350="","",ED349+EF349-ED350)</f>
        <v/>
      </c>
      <c r="EF350" s="13"/>
      <c r="EG350" s="13"/>
      <c r="EH350" s="13"/>
      <c r="EI350" s="13" t="str">
        <f>IF(EH350="","",EE350*EH350)</f>
        <v/>
      </c>
      <c r="EJ350" s="14" t="str">
        <f>IF(EI350="","",EI350/(EA350*100))</f>
        <v/>
      </c>
      <c r="EK350" s="15"/>
    </row>
    <row r="351" spans="1:141" ht="15" customHeight="1" thickTop="1" x14ac:dyDescent="0.2">
      <c r="A351" s="79"/>
      <c r="B351" s="74" t="str">
        <f>IF(A351="","",SUM(D351:D354)+SUM(R351:R354)+SUM(AF351:AF354)+SUM(AT351:AT354)+SUM(BW312,CK312,CY312,DM312))</f>
        <v/>
      </c>
      <c r="C351" s="53"/>
      <c r="D351" s="53" t="str">
        <f t="shared" si="670"/>
        <v/>
      </c>
      <c r="E351" s="53"/>
      <c r="F351" s="31" t="str">
        <f t="shared" si="671"/>
        <v/>
      </c>
      <c r="G351" s="53"/>
      <c r="H351" s="53" t="str">
        <f t="shared" si="672"/>
        <v/>
      </c>
      <c r="I351" s="53"/>
      <c r="J351" s="75" t="str">
        <f t="shared" si="673"/>
        <v/>
      </c>
      <c r="K351" s="76" t="str">
        <f t="shared" si="674"/>
        <v/>
      </c>
      <c r="L351" s="31" t="str">
        <f t="shared" si="675"/>
        <v/>
      </c>
      <c r="M351" s="32" t="str">
        <f t="shared" si="676"/>
        <v/>
      </c>
      <c r="N351" s="15"/>
      <c r="O351" s="2"/>
      <c r="P351" s="79" t="str">
        <f>IF(A351="","",A351)</f>
        <v/>
      </c>
      <c r="Q351" s="53"/>
      <c r="R351" s="53" t="str">
        <f t="shared" si="677"/>
        <v/>
      </c>
      <c r="S351" s="53"/>
      <c r="T351" s="31" t="str">
        <f t="shared" si="678"/>
        <v/>
      </c>
      <c r="U351" s="53"/>
      <c r="V351" s="53" t="str">
        <f t="shared" si="679"/>
        <v/>
      </c>
      <c r="W351" s="53"/>
      <c r="X351" s="75" t="str">
        <f t="shared" si="680"/>
        <v/>
      </c>
      <c r="Y351" s="76" t="str">
        <f t="shared" si="681"/>
        <v/>
      </c>
      <c r="Z351" s="31" t="str">
        <f t="shared" si="682"/>
        <v/>
      </c>
      <c r="AA351" s="32" t="str">
        <f t="shared" si="683"/>
        <v/>
      </c>
      <c r="AB351" s="15"/>
      <c r="AD351" s="79" t="str">
        <f>IF($A351="","",$A351)</f>
        <v/>
      </c>
      <c r="AE351" s="53"/>
      <c r="AF351" s="53" t="str">
        <f t="shared" si="684"/>
        <v/>
      </c>
      <c r="AG351" s="53"/>
      <c r="AH351" s="31" t="str">
        <f t="shared" si="685"/>
        <v/>
      </c>
      <c r="AI351" s="53"/>
      <c r="AJ351" s="53" t="str">
        <f t="shared" si="686"/>
        <v/>
      </c>
      <c r="AK351" s="53"/>
      <c r="AL351" s="75" t="str">
        <f t="shared" si="687"/>
        <v/>
      </c>
      <c r="AM351" s="76" t="str">
        <f t="shared" si="688"/>
        <v/>
      </c>
      <c r="AN351" s="31" t="str">
        <f t="shared" si="689"/>
        <v/>
      </c>
      <c r="AO351" s="32" t="str">
        <f t="shared" si="690"/>
        <v/>
      </c>
      <c r="AP351" s="15"/>
      <c r="AQ351" s="2"/>
      <c r="AR351" s="79" t="str">
        <f>IF($A351="","",$A351)</f>
        <v/>
      </c>
      <c r="AS351" s="53"/>
      <c r="AT351" s="53" t="str">
        <f t="shared" si="691"/>
        <v/>
      </c>
      <c r="AU351" s="53"/>
      <c r="AV351" s="31" t="str">
        <f t="shared" si="692"/>
        <v/>
      </c>
      <c r="AW351" s="53"/>
      <c r="AX351" s="53" t="str">
        <f t="shared" si="693"/>
        <v/>
      </c>
      <c r="AY351" s="53"/>
      <c r="AZ351" s="75" t="str">
        <f t="shared" si="694"/>
        <v/>
      </c>
      <c r="BA351" s="76" t="str">
        <f t="shared" si="695"/>
        <v/>
      </c>
      <c r="BB351" s="31" t="str">
        <f t="shared" si="696"/>
        <v/>
      </c>
      <c r="BC351" s="32" t="str">
        <f t="shared" si="697"/>
        <v/>
      </c>
      <c r="BD351" s="15"/>
      <c r="BU351" s="16"/>
      <c r="BV351" s="54"/>
      <c r="BW351" s="13"/>
      <c r="BX351" s="13"/>
      <c r="BY351" s="13"/>
      <c r="BZ351" s="13"/>
      <c r="CA351" s="13" t="str">
        <f>IF(BZ351="","",BZ350+CB350-BZ351)</f>
        <v/>
      </c>
      <c r="CB351" s="13"/>
      <c r="CC351" s="13"/>
      <c r="CD351" s="13"/>
      <c r="CE351" s="13" t="str">
        <f>IF(CD351="","",CA351*CD351)</f>
        <v/>
      </c>
      <c r="CF351" s="14" t="str">
        <f>IF(CE351="","",CE351/(BW351*100))</f>
        <v/>
      </c>
      <c r="CG351" s="15"/>
      <c r="CH351" s="1"/>
      <c r="CI351" s="16"/>
      <c r="CJ351" s="54"/>
      <c r="CK351" s="13"/>
      <c r="CL351" s="13"/>
      <c r="CM351" s="13"/>
      <c r="CN351" s="13"/>
      <c r="CO351" s="13" t="str">
        <f>IF(CN351="","",CN350+CP350-CN351)</f>
        <v/>
      </c>
      <c r="CP351" s="13"/>
      <c r="CQ351" s="13"/>
      <c r="CR351" s="13"/>
      <c r="CS351" s="13" t="str">
        <f>IF(CR351="","",CO351*CR351)</f>
        <v/>
      </c>
      <c r="CT351" s="14" t="str">
        <f>IF(CS351="","",CS351/(CK351*100))</f>
        <v/>
      </c>
      <c r="CU351" s="15"/>
      <c r="CV351" s="1"/>
      <c r="CW351" s="16"/>
      <c r="CX351" s="54"/>
      <c r="CY351" s="13"/>
      <c r="CZ351" s="13"/>
      <c r="DA351" s="13"/>
      <c r="DB351" s="13"/>
      <c r="DC351" s="13" t="str">
        <f>IF(DB351="","",DB350+DD350-DB351)</f>
        <v/>
      </c>
      <c r="DD351" s="13"/>
      <c r="DE351" s="13"/>
      <c r="DF351" s="13"/>
      <c r="DG351" s="13" t="str">
        <f>IF(DF351="","",DC351*DF351)</f>
        <v/>
      </c>
      <c r="DH351" s="14" t="str">
        <f>IF(DG351="","",DG351/(CY351*100))</f>
        <v/>
      </c>
      <c r="DI351" s="15"/>
      <c r="DJ351" s="1"/>
      <c r="DK351" s="16"/>
      <c r="DL351" s="54"/>
      <c r="DM351" s="13"/>
      <c r="DN351" s="13"/>
      <c r="DO351" s="13"/>
      <c r="DP351" s="13"/>
      <c r="DQ351" s="13" t="str">
        <f>IF(DP351="","",DP350+DR350-DP351)</f>
        <v/>
      </c>
      <c r="DR351" s="13"/>
      <c r="DS351" s="13"/>
      <c r="DT351" s="13"/>
      <c r="DU351" s="13" t="str">
        <f>IF(DT351="","",DQ351*DT351)</f>
        <v/>
      </c>
      <c r="DV351" s="14" t="str">
        <f>IF(DU351="","",DU351/(DM351*100))</f>
        <v/>
      </c>
      <c r="DW351" s="15"/>
      <c r="DY351" s="16"/>
      <c r="DZ351" s="54"/>
      <c r="EA351" s="13"/>
      <c r="EB351" s="13"/>
      <c r="EC351" s="13"/>
      <c r="ED351" s="13"/>
      <c r="EE351" s="13" t="str">
        <f>IF(ED351="","",ED350+EF350-ED351)</f>
        <v/>
      </c>
      <c r="EF351" s="13"/>
      <c r="EG351" s="13"/>
      <c r="EH351" s="13"/>
      <c r="EI351" s="13" t="str">
        <f>IF(EH351="","",EE351*EH351)</f>
        <v/>
      </c>
      <c r="EJ351" s="14" t="str">
        <f>IF(EI351="","",EI351/(EA351*100))</f>
        <v/>
      </c>
      <c r="EK351" s="15"/>
    </row>
    <row r="352" spans="1:141" ht="15" customHeight="1" x14ac:dyDescent="0.2">
      <c r="A352" s="79"/>
      <c r="B352" s="74"/>
      <c r="C352" s="53"/>
      <c r="D352" s="13" t="str">
        <f t="shared" si="670"/>
        <v/>
      </c>
      <c r="E352" s="53"/>
      <c r="F352" s="13" t="str">
        <f t="shared" si="671"/>
        <v/>
      </c>
      <c r="G352" s="53"/>
      <c r="H352" s="50" t="str">
        <f t="shared" si="672"/>
        <v/>
      </c>
      <c r="I352" s="53"/>
      <c r="J352" s="56" t="str">
        <f t="shared" si="673"/>
        <v/>
      </c>
      <c r="K352" s="54" t="str">
        <f t="shared" si="674"/>
        <v/>
      </c>
      <c r="L352" s="13" t="str">
        <f t="shared" si="675"/>
        <v/>
      </c>
      <c r="M352" s="14" t="str">
        <f t="shared" si="676"/>
        <v/>
      </c>
      <c r="N352" s="15"/>
      <c r="O352" s="2"/>
      <c r="P352" s="79"/>
      <c r="Q352" s="53"/>
      <c r="R352" s="13" t="str">
        <f t="shared" si="677"/>
        <v/>
      </c>
      <c r="S352" s="53"/>
      <c r="T352" s="13" t="str">
        <f t="shared" si="678"/>
        <v/>
      </c>
      <c r="U352" s="53"/>
      <c r="V352" s="50" t="str">
        <f t="shared" si="679"/>
        <v/>
      </c>
      <c r="W352" s="53"/>
      <c r="X352" s="56" t="str">
        <f t="shared" si="680"/>
        <v/>
      </c>
      <c r="Y352" s="54" t="str">
        <f t="shared" si="681"/>
        <v/>
      </c>
      <c r="Z352" s="13" t="str">
        <f t="shared" si="682"/>
        <v/>
      </c>
      <c r="AA352" s="14" t="str">
        <f t="shared" si="683"/>
        <v/>
      </c>
      <c r="AB352" s="15"/>
      <c r="AD352" s="79"/>
      <c r="AE352" s="53"/>
      <c r="AF352" s="13" t="str">
        <f t="shared" si="684"/>
        <v/>
      </c>
      <c r="AG352" s="53"/>
      <c r="AH352" s="13" t="str">
        <f t="shared" si="685"/>
        <v/>
      </c>
      <c r="AI352" s="53"/>
      <c r="AJ352" s="50" t="str">
        <f t="shared" si="686"/>
        <v/>
      </c>
      <c r="AK352" s="53"/>
      <c r="AL352" s="56" t="str">
        <f t="shared" si="687"/>
        <v/>
      </c>
      <c r="AM352" s="54" t="str">
        <f t="shared" si="688"/>
        <v/>
      </c>
      <c r="AN352" s="13" t="str">
        <f t="shared" si="689"/>
        <v/>
      </c>
      <c r="AO352" s="14" t="str">
        <f t="shared" si="690"/>
        <v/>
      </c>
      <c r="AP352" s="15"/>
      <c r="AQ352" s="2"/>
      <c r="AR352" s="79"/>
      <c r="AS352" s="53"/>
      <c r="AT352" s="13" t="str">
        <f t="shared" si="691"/>
        <v/>
      </c>
      <c r="AU352" s="53"/>
      <c r="AV352" s="13" t="str">
        <f t="shared" si="692"/>
        <v/>
      </c>
      <c r="AW352" s="53"/>
      <c r="AX352" s="50" t="str">
        <f t="shared" si="693"/>
        <v/>
      </c>
      <c r="AY352" s="53"/>
      <c r="AZ352" s="56" t="str">
        <f t="shared" si="694"/>
        <v/>
      </c>
      <c r="BA352" s="54" t="str">
        <f t="shared" si="695"/>
        <v/>
      </c>
      <c r="BB352" s="13" t="str">
        <f t="shared" si="696"/>
        <v/>
      </c>
      <c r="BC352" s="14" t="str">
        <f t="shared" si="697"/>
        <v/>
      </c>
      <c r="BD352" s="15"/>
      <c r="BU352" s="16"/>
      <c r="BV352" s="54"/>
      <c r="BW352" s="13"/>
      <c r="BX352" s="13"/>
      <c r="BY352" s="13"/>
      <c r="BZ352" s="13"/>
      <c r="CA352" s="13"/>
      <c r="CB352" s="13"/>
      <c r="CC352" s="13"/>
      <c r="CD352" s="13"/>
      <c r="CE352" s="13"/>
      <c r="CF352" s="14"/>
      <c r="CG352" s="15"/>
      <c r="CH352" s="1"/>
      <c r="CI352" s="16"/>
      <c r="CJ352" s="54"/>
      <c r="CK352" s="13"/>
      <c r="CL352" s="13"/>
      <c r="CM352" s="13"/>
      <c r="CN352" s="13"/>
      <c r="CO352" s="13"/>
      <c r="CP352" s="13"/>
      <c r="CQ352" s="13"/>
      <c r="CR352" s="13"/>
      <c r="CS352" s="13"/>
      <c r="CT352" s="14"/>
      <c r="CU352" s="15"/>
      <c r="CV352" s="1"/>
      <c r="CW352" s="16"/>
      <c r="CX352" s="54"/>
      <c r="CY352" s="13"/>
      <c r="CZ352" s="13"/>
      <c r="DA352" s="13"/>
      <c r="DB352" s="13"/>
      <c r="DC352" s="13"/>
      <c r="DD352" s="13"/>
      <c r="DE352" s="13"/>
      <c r="DF352" s="13"/>
      <c r="DG352" s="13"/>
      <c r="DH352" s="14"/>
      <c r="DI352" s="15"/>
      <c r="DJ352" s="1"/>
      <c r="DK352" s="16"/>
      <c r="DL352" s="54"/>
      <c r="DM352" s="13"/>
      <c r="DN352" s="13"/>
      <c r="DO352" s="13"/>
      <c r="DP352" s="13"/>
      <c r="DQ352" s="13"/>
      <c r="DR352" s="13"/>
      <c r="DS352" s="13"/>
      <c r="DT352" s="13"/>
      <c r="DU352" s="13"/>
      <c r="DV352" s="14"/>
      <c r="DW352" s="15"/>
      <c r="DY352" s="16"/>
      <c r="DZ352" s="54"/>
      <c r="EA352" s="13"/>
      <c r="EB352" s="13"/>
      <c r="EC352" s="13"/>
      <c r="ED352" s="13"/>
      <c r="EE352" s="13"/>
      <c r="EF352" s="13"/>
      <c r="EG352" s="13"/>
      <c r="EH352" s="13"/>
      <c r="EI352" s="13"/>
      <c r="EJ352" s="14"/>
      <c r="EK352" s="15"/>
    </row>
    <row r="353" spans="1:141" ht="15" customHeight="1" x14ac:dyDescent="0.2">
      <c r="A353" s="79"/>
      <c r="B353" s="74"/>
      <c r="C353" s="53"/>
      <c r="D353" s="13" t="str">
        <f t="shared" si="670"/>
        <v/>
      </c>
      <c r="E353" s="53"/>
      <c r="F353" s="13" t="str">
        <f t="shared" si="671"/>
        <v/>
      </c>
      <c r="G353" s="53"/>
      <c r="H353" s="13" t="str">
        <f t="shared" si="672"/>
        <v/>
      </c>
      <c r="I353" s="53"/>
      <c r="J353" s="56" t="str">
        <f t="shared" si="673"/>
        <v/>
      </c>
      <c r="K353" s="13" t="str">
        <f t="shared" si="674"/>
        <v/>
      </c>
      <c r="L353" s="13" t="str">
        <f t="shared" si="675"/>
        <v/>
      </c>
      <c r="M353" s="14" t="str">
        <f t="shared" si="676"/>
        <v/>
      </c>
      <c r="N353" s="15"/>
      <c r="O353" s="2"/>
      <c r="P353" s="79"/>
      <c r="Q353" s="53"/>
      <c r="R353" s="13" t="str">
        <f t="shared" si="677"/>
        <v/>
      </c>
      <c r="S353" s="53"/>
      <c r="T353" s="13" t="str">
        <f t="shared" si="678"/>
        <v/>
      </c>
      <c r="U353" s="53"/>
      <c r="V353" s="13" t="str">
        <f t="shared" si="679"/>
        <v/>
      </c>
      <c r="W353" s="53"/>
      <c r="X353" s="56" t="str">
        <f t="shared" si="680"/>
        <v/>
      </c>
      <c r="Y353" s="13" t="str">
        <f t="shared" si="681"/>
        <v/>
      </c>
      <c r="Z353" s="13" t="str">
        <f t="shared" si="682"/>
        <v/>
      </c>
      <c r="AA353" s="14" t="str">
        <f t="shared" si="683"/>
        <v/>
      </c>
      <c r="AB353" s="15"/>
      <c r="AD353" s="79"/>
      <c r="AE353" s="53"/>
      <c r="AF353" s="13" t="str">
        <f t="shared" si="684"/>
        <v/>
      </c>
      <c r="AG353" s="53"/>
      <c r="AH353" s="13" t="str">
        <f t="shared" si="685"/>
        <v/>
      </c>
      <c r="AI353" s="53"/>
      <c r="AJ353" s="13" t="str">
        <f t="shared" si="686"/>
        <v/>
      </c>
      <c r="AK353" s="53"/>
      <c r="AL353" s="56" t="str">
        <f t="shared" si="687"/>
        <v/>
      </c>
      <c r="AM353" s="13" t="str">
        <f t="shared" si="688"/>
        <v/>
      </c>
      <c r="AN353" s="13" t="str">
        <f t="shared" si="689"/>
        <v/>
      </c>
      <c r="AO353" s="14" t="str">
        <f t="shared" si="690"/>
        <v/>
      </c>
      <c r="AP353" s="15"/>
      <c r="AQ353" s="2"/>
      <c r="AR353" s="79"/>
      <c r="AS353" s="53"/>
      <c r="AT353" s="13" t="str">
        <f t="shared" si="691"/>
        <v/>
      </c>
      <c r="AU353" s="53"/>
      <c r="AV353" s="13" t="str">
        <f t="shared" si="692"/>
        <v/>
      </c>
      <c r="AW353" s="53"/>
      <c r="AX353" s="13" t="str">
        <f t="shared" si="693"/>
        <v/>
      </c>
      <c r="AY353" s="53"/>
      <c r="AZ353" s="56" t="str">
        <f t="shared" si="694"/>
        <v/>
      </c>
      <c r="BA353" s="13" t="str">
        <f t="shared" si="695"/>
        <v/>
      </c>
      <c r="BB353" s="13" t="str">
        <f t="shared" si="696"/>
        <v/>
      </c>
      <c r="BC353" s="14" t="str">
        <f t="shared" si="697"/>
        <v/>
      </c>
      <c r="BD353" s="15"/>
      <c r="BU353" s="16"/>
      <c r="BV353" s="54"/>
      <c r="BW353" s="13"/>
      <c r="BX353" s="13"/>
      <c r="BY353" s="13"/>
      <c r="BZ353" s="13"/>
      <c r="CA353" s="13"/>
      <c r="CB353" s="13"/>
      <c r="CC353" s="13"/>
      <c r="CD353" s="13"/>
      <c r="CE353" s="13"/>
      <c r="CF353" s="14"/>
      <c r="CG353" s="15"/>
      <c r="CH353" s="1"/>
      <c r="CI353" s="16"/>
      <c r="CJ353" s="54"/>
      <c r="CK353" s="13"/>
      <c r="CL353" s="13"/>
      <c r="CM353" s="13"/>
      <c r="CN353" s="13"/>
      <c r="CO353" s="13"/>
      <c r="CP353" s="13"/>
      <c r="CQ353" s="13"/>
      <c r="CR353" s="13"/>
      <c r="CS353" s="13"/>
      <c r="CT353" s="14"/>
      <c r="CU353" s="15"/>
      <c r="CV353" s="1"/>
      <c r="CW353" s="16"/>
      <c r="CX353" s="54"/>
      <c r="CY353" s="13"/>
      <c r="CZ353" s="13"/>
      <c r="DA353" s="13"/>
      <c r="DB353" s="13"/>
      <c r="DC353" s="13"/>
      <c r="DD353" s="13"/>
      <c r="DE353" s="13"/>
      <c r="DF353" s="13"/>
      <c r="DG353" s="13"/>
      <c r="DH353" s="14"/>
      <c r="DI353" s="15"/>
      <c r="DJ353" s="1"/>
      <c r="DK353" s="16"/>
      <c r="DL353" s="54"/>
      <c r="DM353" s="13"/>
      <c r="DN353" s="13"/>
      <c r="DO353" s="13"/>
      <c r="DP353" s="13"/>
      <c r="DQ353" s="13"/>
      <c r="DR353" s="13"/>
      <c r="DS353" s="13"/>
      <c r="DT353" s="13"/>
      <c r="DU353" s="13"/>
      <c r="DV353" s="14"/>
      <c r="DW353" s="15"/>
      <c r="DY353" s="16"/>
      <c r="DZ353" s="54"/>
      <c r="EA353" s="13"/>
      <c r="EB353" s="13"/>
      <c r="EC353" s="13"/>
      <c r="ED353" s="13"/>
      <c r="EE353" s="13"/>
      <c r="EF353" s="13"/>
      <c r="EG353" s="13"/>
      <c r="EH353" s="13"/>
      <c r="EI353" s="13"/>
      <c r="EJ353" s="14"/>
      <c r="EK353" s="15"/>
    </row>
    <row r="354" spans="1:141" ht="15" customHeight="1" thickBot="1" x14ac:dyDescent="0.25">
      <c r="A354" s="160"/>
      <c r="B354" s="161"/>
      <c r="C354" s="162"/>
      <c r="D354" s="163" t="str">
        <f t="shared" si="670"/>
        <v/>
      </c>
      <c r="E354" s="162"/>
      <c r="F354" s="163" t="str">
        <f t="shared" si="671"/>
        <v/>
      </c>
      <c r="G354" s="162"/>
      <c r="H354" s="163" t="str">
        <f t="shared" si="672"/>
        <v/>
      </c>
      <c r="I354" s="162"/>
      <c r="J354" s="164" t="str">
        <f t="shared" si="673"/>
        <v/>
      </c>
      <c r="K354" s="165" t="str">
        <f t="shared" si="674"/>
        <v/>
      </c>
      <c r="L354" s="163" t="str">
        <f t="shared" si="675"/>
        <v/>
      </c>
      <c r="M354" s="166" t="str">
        <f t="shared" si="676"/>
        <v/>
      </c>
      <c r="N354" s="167"/>
      <c r="O354" s="168"/>
      <c r="P354" s="160"/>
      <c r="Q354" s="162"/>
      <c r="R354" s="163" t="str">
        <f t="shared" si="677"/>
        <v/>
      </c>
      <c r="S354" s="162"/>
      <c r="T354" s="163" t="str">
        <f t="shared" si="678"/>
        <v/>
      </c>
      <c r="U354" s="162"/>
      <c r="V354" s="163" t="str">
        <f t="shared" si="679"/>
        <v/>
      </c>
      <c r="W354" s="162"/>
      <c r="X354" s="164" t="str">
        <f t="shared" si="680"/>
        <v/>
      </c>
      <c r="Y354" s="165" t="str">
        <f t="shared" si="681"/>
        <v/>
      </c>
      <c r="Z354" s="163" t="str">
        <f t="shared" si="682"/>
        <v/>
      </c>
      <c r="AA354" s="166" t="str">
        <f t="shared" si="683"/>
        <v/>
      </c>
      <c r="AB354" s="167"/>
      <c r="AC354" s="169"/>
      <c r="AD354" s="160"/>
      <c r="AE354" s="162"/>
      <c r="AF354" s="163" t="str">
        <f t="shared" si="684"/>
        <v/>
      </c>
      <c r="AG354" s="162"/>
      <c r="AH354" s="163" t="str">
        <f t="shared" si="685"/>
        <v/>
      </c>
      <c r="AI354" s="162"/>
      <c r="AJ354" s="163" t="str">
        <f t="shared" si="686"/>
        <v/>
      </c>
      <c r="AK354" s="162"/>
      <c r="AL354" s="164" t="str">
        <f t="shared" si="687"/>
        <v/>
      </c>
      <c r="AM354" s="165" t="str">
        <f t="shared" si="688"/>
        <v/>
      </c>
      <c r="AN354" s="163" t="str">
        <f t="shared" si="689"/>
        <v/>
      </c>
      <c r="AO354" s="166" t="str">
        <f t="shared" si="690"/>
        <v/>
      </c>
      <c r="AP354" s="167"/>
      <c r="AQ354" s="168"/>
      <c r="AR354" s="160"/>
      <c r="AS354" s="162"/>
      <c r="AT354" s="163" t="str">
        <f t="shared" si="691"/>
        <v/>
      </c>
      <c r="AU354" s="162"/>
      <c r="AV354" s="163" t="str">
        <f t="shared" si="692"/>
        <v/>
      </c>
      <c r="AW354" s="162"/>
      <c r="AX354" s="163" t="str">
        <f t="shared" si="693"/>
        <v/>
      </c>
      <c r="AY354" s="162"/>
      <c r="AZ354" s="164" t="str">
        <f t="shared" si="694"/>
        <v/>
      </c>
      <c r="BA354" s="165" t="str">
        <f t="shared" si="695"/>
        <v/>
      </c>
      <c r="BB354" s="163" t="str">
        <f t="shared" si="696"/>
        <v/>
      </c>
      <c r="BC354" s="166" t="str">
        <f t="shared" si="697"/>
        <v/>
      </c>
      <c r="BD354" s="167"/>
      <c r="BT354" s="169"/>
      <c r="BU354" s="170"/>
      <c r="BV354" s="165"/>
      <c r="BW354" s="163"/>
      <c r="BX354" s="163"/>
      <c r="BY354" s="163"/>
      <c r="BZ354" s="163"/>
      <c r="CA354" s="163"/>
      <c r="CB354" s="163"/>
      <c r="CC354" s="163"/>
      <c r="CD354" s="163"/>
      <c r="CE354" s="163"/>
      <c r="CF354" s="166"/>
      <c r="CG354" s="167"/>
      <c r="CH354" s="171"/>
      <c r="CI354" s="170"/>
      <c r="CJ354" s="165"/>
      <c r="CK354" s="163"/>
      <c r="CL354" s="163"/>
      <c r="CM354" s="163"/>
      <c r="CN354" s="163"/>
      <c r="CO354" s="163"/>
      <c r="CP354" s="163"/>
      <c r="CQ354" s="163"/>
      <c r="CR354" s="163"/>
      <c r="CS354" s="163"/>
      <c r="CT354" s="166"/>
      <c r="CU354" s="167"/>
      <c r="CV354" s="171"/>
      <c r="CW354" s="170"/>
      <c r="CX354" s="165"/>
      <c r="CY354" s="163"/>
      <c r="CZ354" s="163"/>
      <c r="DA354" s="163"/>
      <c r="DB354" s="163"/>
      <c r="DC354" s="163"/>
      <c r="DD354" s="163"/>
      <c r="DE354" s="163"/>
      <c r="DF354" s="163"/>
      <c r="DG354" s="163"/>
      <c r="DH354" s="166"/>
      <c r="DI354" s="167"/>
      <c r="DJ354" s="171"/>
      <c r="DK354" s="170"/>
      <c r="DL354" s="165"/>
      <c r="DM354" s="163"/>
      <c r="DN354" s="163"/>
      <c r="DO354" s="163"/>
      <c r="DP354" s="163"/>
      <c r="DQ354" s="163"/>
      <c r="DR354" s="163"/>
      <c r="DS354" s="163"/>
      <c r="DT354" s="163"/>
      <c r="DU354" s="163"/>
      <c r="DV354" s="166"/>
      <c r="DW354" s="167"/>
      <c r="DY354" s="170"/>
      <c r="DZ354" s="165"/>
      <c r="EA354" s="163"/>
      <c r="EB354" s="163"/>
      <c r="EC354" s="163"/>
      <c r="ED354" s="163"/>
      <c r="EE354" s="163"/>
      <c r="EF354" s="163"/>
      <c r="EG354" s="163"/>
      <c r="EH354" s="163"/>
      <c r="EI354" s="163"/>
      <c r="EJ354" s="166"/>
      <c r="EK354" s="167"/>
    </row>
    <row r="355" spans="1:141" ht="15" customHeight="1" thickTop="1" x14ac:dyDescent="0.2">
      <c r="A355" s="59">
        <v>26</v>
      </c>
      <c r="B355" s="74"/>
      <c r="C355" s="172" t="s">
        <v>19</v>
      </c>
      <c r="D355" s="53">
        <f>SUM(D299:D351)*100</f>
        <v>337300</v>
      </c>
      <c r="E355" s="53"/>
      <c r="F355" s="53"/>
      <c r="G355" s="172"/>
      <c r="H355" s="53"/>
      <c r="I355" s="53"/>
      <c r="J355" s="280" t="s">
        <v>21</v>
      </c>
      <c r="K355" s="280"/>
      <c r="L355" s="53">
        <f>SUM(L299:L351)</f>
        <v>77266</v>
      </c>
      <c r="M355" s="53"/>
      <c r="N355" s="84"/>
      <c r="O355" s="2"/>
      <c r="P355" s="79"/>
      <c r="Q355" s="172" t="s">
        <v>19</v>
      </c>
      <c r="R355" s="53">
        <f>SUM(R299:R351)*100</f>
        <v>391600</v>
      </c>
      <c r="S355" s="53"/>
      <c r="T355" s="53"/>
      <c r="U355" s="172"/>
      <c r="V355" s="53"/>
      <c r="W355" s="53"/>
      <c r="X355" s="280" t="s">
        <v>21</v>
      </c>
      <c r="Y355" s="280"/>
      <c r="Z355" s="53">
        <f>SUM(Z299:Z351)</f>
        <v>95738</v>
      </c>
      <c r="AA355" s="53"/>
      <c r="AB355" s="84"/>
      <c r="AD355" s="79"/>
      <c r="AE355" s="172" t="s">
        <v>19</v>
      </c>
      <c r="AF355" s="53">
        <f>SUM(AF299:AF351)*100</f>
        <v>227400</v>
      </c>
      <c r="AG355" s="53"/>
      <c r="AH355" s="53"/>
      <c r="AI355" s="172"/>
      <c r="AJ355" s="53"/>
      <c r="AK355" s="53"/>
      <c r="AL355" s="280" t="s">
        <v>21</v>
      </c>
      <c r="AM355" s="280"/>
      <c r="AN355" s="53">
        <f>SUM(AN299:AN351)</f>
        <v>89322</v>
      </c>
      <c r="AO355" s="53"/>
      <c r="AP355" s="84"/>
      <c r="AQ355" s="2"/>
      <c r="AR355" s="79"/>
      <c r="AS355" s="172" t="s">
        <v>19</v>
      </c>
      <c r="AT355" s="53">
        <f>SUM(AT299:AT351)*100</f>
        <v>249700</v>
      </c>
      <c r="AU355" s="53"/>
      <c r="AV355" s="53"/>
      <c r="AW355" s="172"/>
      <c r="AX355" s="53"/>
      <c r="AY355" s="53"/>
      <c r="AZ355" s="280" t="s">
        <v>21</v>
      </c>
      <c r="BA355" s="280"/>
      <c r="BB355" s="53">
        <f>SUM(BB299:BB351)</f>
        <v>39097</v>
      </c>
      <c r="BC355" s="53"/>
      <c r="BD355" s="84"/>
      <c r="BU355" s="79"/>
      <c r="BV355" s="175" t="s">
        <v>19</v>
      </c>
      <c r="BW355" s="53">
        <f>SUM(BW299:BW351)*100</f>
        <v>137400</v>
      </c>
      <c r="BX355" s="53"/>
      <c r="BY355" s="53"/>
      <c r="BZ355" s="172"/>
      <c r="CA355" s="53"/>
      <c r="CB355" s="53"/>
      <c r="CC355" s="53"/>
      <c r="CD355" s="53"/>
      <c r="CE355" s="53"/>
      <c r="CF355" s="53"/>
      <c r="CG355" s="84"/>
      <c r="CH355" s="1"/>
      <c r="CI355" s="79"/>
      <c r="CJ355" s="175" t="s">
        <v>19</v>
      </c>
      <c r="CK355" s="53">
        <f>SUM(CK299:CK351)*100</f>
        <v>999300</v>
      </c>
      <c r="CL355" s="53"/>
      <c r="CM355" s="53"/>
      <c r="CN355" s="172"/>
      <c r="CO355" s="53"/>
      <c r="CP355" s="53"/>
      <c r="CQ355" s="53"/>
      <c r="CR355" s="53"/>
      <c r="CS355" s="53"/>
      <c r="CT355" s="53"/>
      <c r="CU355" s="84"/>
      <c r="CV355" s="1"/>
      <c r="CW355" s="79"/>
      <c r="CX355" s="175" t="s">
        <v>19</v>
      </c>
      <c r="CY355" s="53">
        <f>SUM(CY299:CY351)*100</f>
        <v>131000</v>
      </c>
      <c r="CZ355" s="53"/>
      <c r="DA355" s="53"/>
      <c r="DB355" s="172"/>
      <c r="DC355" s="53"/>
      <c r="DD355" s="53"/>
      <c r="DE355" s="53"/>
      <c r="DF355" s="53"/>
      <c r="DG355" s="53"/>
      <c r="DH355" s="53"/>
      <c r="DI355" s="84"/>
      <c r="DJ355" s="1"/>
      <c r="DK355" s="79"/>
      <c r="DL355" s="175" t="s">
        <v>19</v>
      </c>
      <c r="DM355" s="53">
        <f>SUM(DM299:DM351)*100</f>
        <v>100900</v>
      </c>
      <c r="DN355" s="53"/>
      <c r="DO355" s="53"/>
      <c r="DP355" s="172"/>
      <c r="DQ355" s="53"/>
      <c r="DR355" s="53"/>
      <c r="DS355" s="53"/>
      <c r="DT355" s="53"/>
      <c r="DU355" s="53"/>
      <c r="DV355" s="53"/>
      <c r="DW355" s="84"/>
      <c r="DY355" s="79"/>
      <c r="DZ355" s="175" t="s">
        <v>19</v>
      </c>
      <c r="EA355" s="53">
        <f>SUM(EA299:EA351)*100</f>
        <v>0</v>
      </c>
      <c r="EB355" s="53"/>
      <c r="EC355" s="53"/>
      <c r="ED355" s="172"/>
      <c r="EE355" s="53"/>
      <c r="EF355" s="53"/>
      <c r="EG355" s="53"/>
      <c r="EH355" s="53"/>
      <c r="EI355" s="53"/>
      <c r="EJ355" s="53"/>
      <c r="EK355" s="84"/>
    </row>
    <row r="356" spans="1:141" ht="15" customHeight="1" x14ac:dyDescent="0.2">
      <c r="A356" s="94">
        <f>DATEDIF(A$421,A$323,"d")</f>
        <v>26</v>
      </c>
      <c r="B356">
        <f>SUMIF(B298:B351,"&gt;=0")</f>
        <v>25746</v>
      </c>
      <c r="C356" s="5" t="s">
        <v>22</v>
      </c>
      <c r="D356" s="13">
        <f>D355/A356</f>
        <v>12973.076923076924</v>
      </c>
      <c r="E356" s="13">
        <f>D356*A355</f>
        <v>337300</v>
      </c>
      <c r="F356" s="13"/>
      <c r="G356" s="5"/>
      <c r="H356" s="13"/>
      <c r="I356" s="13"/>
      <c r="J356" s="271" t="s">
        <v>23</v>
      </c>
      <c r="K356" s="271"/>
      <c r="L356" s="13"/>
      <c r="M356" s="36">
        <f>L355/D355</f>
        <v>0.2290720426919656</v>
      </c>
      <c r="N356" s="15"/>
      <c r="O356" s="2"/>
      <c r="P356" s="33"/>
      <c r="Q356" s="5" t="s">
        <v>22</v>
      </c>
      <c r="R356" s="13">
        <f>R355/A356</f>
        <v>15061.538461538461</v>
      </c>
      <c r="S356" s="13">
        <f>R356*A355</f>
        <v>391600</v>
      </c>
      <c r="T356" s="13"/>
      <c r="U356" s="5"/>
      <c r="V356" s="13"/>
      <c r="W356" s="13"/>
      <c r="X356" s="271" t="s">
        <v>23</v>
      </c>
      <c r="Y356" s="271"/>
      <c r="Z356" s="13"/>
      <c r="AA356" s="36">
        <f>Z355/R355</f>
        <v>0.24447906026557711</v>
      </c>
      <c r="AB356" s="15"/>
      <c r="AD356" s="51"/>
      <c r="AE356" s="5" t="s">
        <v>22</v>
      </c>
      <c r="AF356" s="13">
        <f>AF355/A356</f>
        <v>8746.1538461538457</v>
      </c>
      <c r="AG356" s="13">
        <f>AF356*A355</f>
        <v>227400</v>
      </c>
      <c r="AH356" s="13"/>
      <c r="AI356" s="5"/>
      <c r="AJ356" s="13"/>
      <c r="AK356" s="13"/>
      <c r="AL356" s="271" t="s">
        <v>23</v>
      </c>
      <c r="AM356" s="271"/>
      <c r="AN356" s="13"/>
      <c r="AO356" s="36">
        <f>AN355/AF355</f>
        <v>0.39279683377308705</v>
      </c>
      <c r="AP356" s="15"/>
      <c r="AQ356" s="2"/>
      <c r="AR356" s="33"/>
      <c r="AS356" s="5" t="s">
        <v>22</v>
      </c>
      <c r="AT356" s="13">
        <f>AT355/A356</f>
        <v>9603.8461538461543</v>
      </c>
      <c r="AU356" s="13">
        <f>AT356*A355</f>
        <v>249700</v>
      </c>
      <c r="AV356" s="13"/>
      <c r="AW356" s="5"/>
      <c r="AX356" s="13"/>
      <c r="AY356" s="13"/>
      <c r="AZ356" s="271" t="s">
        <v>23</v>
      </c>
      <c r="BA356" s="271"/>
      <c r="BB356" s="13"/>
      <c r="BC356" s="36">
        <f>BB355/AT355</f>
        <v>0.15657589106928313</v>
      </c>
      <c r="BD356" s="15"/>
      <c r="BU356" s="16"/>
      <c r="BV356" s="69" t="s">
        <v>22</v>
      </c>
      <c r="BW356" s="13">
        <f>BW355/A356</f>
        <v>5284.6153846153848</v>
      </c>
      <c r="BX356" s="13">
        <f>BW356*A355</f>
        <v>137400</v>
      </c>
      <c r="BY356" s="13"/>
      <c r="BZ356" s="5"/>
      <c r="CA356" s="13"/>
      <c r="CB356" s="13"/>
      <c r="CC356" s="13"/>
      <c r="CD356" s="13"/>
      <c r="CE356" s="13"/>
      <c r="CF356" s="13"/>
      <c r="CG356" s="15"/>
      <c r="CH356" s="1"/>
      <c r="CI356" s="16"/>
      <c r="CJ356" s="69" t="s">
        <v>22</v>
      </c>
      <c r="CK356" s="13">
        <f>CK355/A356</f>
        <v>38434.615384615383</v>
      </c>
      <c r="CL356" s="13">
        <f>CK356*A355</f>
        <v>999300</v>
      </c>
      <c r="CM356" s="13"/>
      <c r="CN356" s="5"/>
      <c r="CO356" s="13"/>
      <c r="CP356" s="13"/>
      <c r="CQ356" s="13"/>
      <c r="CR356" s="13"/>
      <c r="CS356" s="13"/>
      <c r="CT356" s="13"/>
      <c r="CU356" s="15"/>
      <c r="CV356" s="1"/>
      <c r="CW356" s="16"/>
      <c r="CX356" s="69" t="s">
        <v>22</v>
      </c>
      <c r="CY356" s="13">
        <f>CY355/A356</f>
        <v>5038.4615384615381</v>
      </c>
      <c r="CZ356" s="13">
        <f>CY356*A355</f>
        <v>130999.99999999999</v>
      </c>
      <c r="DA356" s="13"/>
      <c r="DB356" s="5"/>
      <c r="DC356" s="13"/>
      <c r="DD356" s="13"/>
      <c r="DE356" s="13"/>
      <c r="DF356" s="13"/>
      <c r="DG356" s="13"/>
      <c r="DH356" s="13"/>
      <c r="DI356" s="15"/>
      <c r="DJ356" s="1"/>
      <c r="DK356" s="16"/>
      <c r="DL356" s="69" t="s">
        <v>22</v>
      </c>
      <c r="DM356" s="13">
        <f>DM355/A356</f>
        <v>3880.7692307692309</v>
      </c>
      <c r="DN356" s="13">
        <f>DM356*A355</f>
        <v>100900</v>
      </c>
      <c r="DO356" s="13"/>
      <c r="DP356" s="5"/>
      <c r="DQ356" s="13"/>
      <c r="DR356" s="13"/>
      <c r="DS356" s="13"/>
      <c r="DT356" s="13"/>
      <c r="DU356" s="13"/>
      <c r="DV356" s="13"/>
      <c r="DW356" s="15"/>
      <c r="DY356" s="16"/>
      <c r="DZ356" s="69" t="s">
        <v>22</v>
      </c>
      <c r="EA356" s="13" t="e">
        <f>EA355/N356</f>
        <v>#DIV/0!</v>
      </c>
      <c r="EB356" s="13" t="e">
        <f>EA356*N355</f>
        <v>#DIV/0!</v>
      </c>
      <c r="EC356" s="13"/>
      <c r="ED356" s="5"/>
      <c r="EE356" s="13"/>
      <c r="EF356" s="13"/>
      <c r="EG356" s="13"/>
      <c r="EH356" s="13"/>
      <c r="EI356" s="13"/>
      <c r="EJ356" s="13"/>
      <c r="EK356" s="15"/>
    </row>
    <row r="357" spans="1:141" ht="15" customHeight="1" x14ac:dyDescent="0.2">
      <c r="A357" s="44" t="s">
        <v>22</v>
      </c>
      <c r="B357" s="81">
        <f>B356/A356</f>
        <v>990.23076923076928</v>
      </c>
      <c r="C357" s="69" t="s">
        <v>25</v>
      </c>
      <c r="D357" s="13">
        <f>D355*0.6</f>
        <v>202380</v>
      </c>
      <c r="E357" s="13"/>
      <c r="F357" s="13"/>
      <c r="G357" s="5"/>
      <c r="H357" s="13"/>
      <c r="I357" s="13"/>
      <c r="J357" s="271" t="s">
        <v>26</v>
      </c>
      <c r="K357" s="271"/>
      <c r="L357" s="13">
        <f>D357-L355</f>
        <v>125114</v>
      </c>
      <c r="M357" s="36">
        <f>L357/D355</f>
        <v>0.37092795730803441</v>
      </c>
      <c r="N357" s="15"/>
      <c r="O357" s="2"/>
      <c r="P357" s="16"/>
      <c r="Q357" s="69" t="s">
        <v>25</v>
      </c>
      <c r="R357" s="13">
        <f>R355*0.6</f>
        <v>234960</v>
      </c>
      <c r="S357" s="13"/>
      <c r="T357" s="13"/>
      <c r="U357" s="5"/>
      <c r="V357" s="13"/>
      <c r="W357" s="13"/>
      <c r="X357" s="271" t="s">
        <v>26</v>
      </c>
      <c r="Y357" s="271"/>
      <c r="Z357" s="13">
        <f>R357-Z355</f>
        <v>139222</v>
      </c>
      <c r="AA357" s="36">
        <f>Z357/R355</f>
        <v>0.35552093973442289</v>
      </c>
      <c r="AB357" s="15"/>
      <c r="AD357" s="16"/>
      <c r="AE357" s="69" t="s">
        <v>25</v>
      </c>
      <c r="AF357" s="13">
        <f>AF355*0.6</f>
        <v>136440</v>
      </c>
      <c r="AG357" s="13"/>
      <c r="AH357" s="13"/>
      <c r="AI357" s="5"/>
      <c r="AJ357" s="13"/>
      <c r="AK357" s="13"/>
      <c r="AL357" s="271" t="s">
        <v>26</v>
      </c>
      <c r="AM357" s="271"/>
      <c r="AN357" s="13">
        <f>AF357-AN355</f>
        <v>47118</v>
      </c>
      <c r="AO357" s="36">
        <f>AN357/AF355</f>
        <v>0.20720316622691293</v>
      </c>
      <c r="AP357" s="15"/>
      <c r="AQ357" s="2"/>
      <c r="AR357" s="16"/>
      <c r="AS357" s="69" t="s">
        <v>25</v>
      </c>
      <c r="AT357" s="13">
        <f>AT355*0.6</f>
        <v>149820</v>
      </c>
      <c r="AU357" s="13"/>
      <c r="AV357" s="13"/>
      <c r="AW357" s="5"/>
      <c r="AX357" s="13"/>
      <c r="AY357" s="13"/>
      <c r="AZ357" s="271" t="s">
        <v>26</v>
      </c>
      <c r="BA357" s="271"/>
      <c r="BB357" s="13">
        <f>AT357-BB355</f>
        <v>110723</v>
      </c>
      <c r="BC357" s="36">
        <f>BB357/AT355</f>
        <v>0.44342410893071688</v>
      </c>
      <c r="BD357" s="15"/>
      <c r="BU357" s="16"/>
      <c r="BV357" s="69" t="s">
        <v>25</v>
      </c>
      <c r="BW357" s="13">
        <f>BW355*0.6</f>
        <v>82440</v>
      </c>
      <c r="BX357" s="13"/>
      <c r="BY357" s="13"/>
      <c r="BZ357" s="5" t="s">
        <v>24</v>
      </c>
      <c r="CA357" s="13">
        <f>SUM(CE299:CE351)</f>
        <v>30960</v>
      </c>
      <c r="CB357" s="36">
        <f>CA357/BW355</f>
        <v>0.22532751091703057</v>
      </c>
      <c r="CC357" s="36"/>
      <c r="CD357" s="13"/>
      <c r="CE357" s="13"/>
      <c r="CF357" s="13"/>
      <c r="CG357" s="15"/>
      <c r="CH357" s="1"/>
      <c r="CI357" s="16"/>
      <c r="CJ357" s="69" t="s">
        <v>25</v>
      </c>
      <c r="CK357" s="13">
        <f>CK355*0.6</f>
        <v>599580</v>
      </c>
      <c r="CL357" s="13"/>
      <c r="CM357" s="13"/>
      <c r="CN357" s="5" t="s">
        <v>24</v>
      </c>
      <c r="CO357" s="13">
        <f>SUM(CS299:CS351)</f>
        <v>222000</v>
      </c>
      <c r="CP357" s="36">
        <f>CO357/CK355</f>
        <v>0.22215550885619934</v>
      </c>
      <c r="CQ357" s="36"/>
      <c r="CR357" s="13"/>
      <c r="CS357" s="13"/>
      <c r="CT357" s="13"/>
      <c r="CU357" s="15"/>
      <c r="CV357" s="1"/>
      <c r="CW357" s="16"/>
      <c r="CX357" s="69" t="s">
        <v>25</v>
      </c>
      <c r="CY357" s="13">
        <f>CY355*0.6</f>
        <v>78600</v>
      </c>
      <c r="CZ357" s="13"/>
      <c r="DA357" s="13"/>
      <c r="DB357" s="5" t="s">
        <v>24</v>
      </c>
      <c r="DC357" s="13">
        <f>SUM(DG299:DG351)</f>
        <v>19360</v>
      </c>
      <c r="DD357" s="36">
        <f>DC357/CY355</f>
        <v>0.14778625954198474</v>
      </c>
      <c r="DE357" s="36"/>
      <c r="DF357" s="13"/>
      <c r="DG357" s="13"/>
      <c r="DH357" s="13"/>
      <c r="DI357" s="15"/>
      <c r="DJ357" s="1"/>
      <c r="DK357" s="16"/>
      <c r="DL357" s="69" t="s">
        <v>25</v>
      </c>
      <c r="DM357" s="13">
        <f>DM355*0.6</f>
        <v>60540</v>
      </c>
      <c r="DN357" s="13"/>
      <c r="DO357" s="13"/>
      <c r="DP357" s="5" t="s">
        <v>24</v>
      </c>
      <c r="DQ357" s="13">
        <f>SUM(DU299:DU351)</f>
        <v>25300</v>
      </c>
      <c r="DR357" s="36">
        <f>DQ357/DM355</f>
        <v>0.25074331020812685</v>
      </c>
      <c r="DS357" s="36"/>
      <c r="DT357" s="13"/>
      <c r="DU357" s="13"/>
      <c r="DV357" s="13"/>
      <c r="DW357" s="15"/>
      <c r="DY357" s="16"/>
      <c r="DZ357" s="69" t="s">
        <v>25</v>
      </c>
      <c r="EA357" s="13">
        <f>EA355*0.6</f>
        <v>0</v>
      </c>
      <c r="EB357" s="13"/>
      <c r="EC357" s="13"/>
      <c r="ED357" s="5" t="s">
        <v>24</v>
      </c>
      <c r="EE357" s="13">
        <f>SUM(EI299:EI351)</f>
        <v>2200</v>
      </c>
      <c r="EF357" s="36" t="e">
        <f>EE357/EA355</f>
        <v>#DIV/0!</v>
      </c>
      <c r="EG357" s="36"/>
      <c r="EH357" s="13"/>
      <c r="EI357" s="13"/>
      <c r="EJ357" s="13"/>
      <c r="EK357" s="15"/>
    </row>
    <row r="358" spans="1:141" ht="15" customHeight="1" x14ac:dyDescent="0.2">
      <c r="A358" s="79"/>
      <c r="B358" s="74">
        <f>B357*A355</f>
        <v>25746</v>
      </c>
      <c r="C358" s="5" t="s">
        <v>27</v>
      </c>
      <c r="D358" s="13">
        <f>D429</f>
        <v>478400</v>
      </c>
      <c r="E358" s="13"/>
      <c r="F358" s="13"/>
      <c r="G358" s="5"/>
      <c r="H358" s="13"/>
      <c r="I358" s="24"/>
      <c r="J358" s="272" t="s">
        <v>29</v>
      </c>
      <c r="K358" s="272"/>
      <c r="L358" s="53" t="e">
        <f>(G331+I331)*K331+(G332+I332)*K332+(G333+I333)*K333+(G334+I334)*K334</f>
        <v>#VALUE!</v>
      </c>
      <c r="M358" s="14"/>
      <c r="N358" s="15"/>
      <c r="O358" s="2"/>
      <c r="P358" s="79"/>
      <c r="Q358" s="5" t="s">
        <v>27</v>
      </c>
      <c r="R358" s="13">
        <f>R429</f>
        <v>403500</v>
      </c>
      <c r="S358" s="13"/>
      <c r="T358" s="13"/>
      <c r="U358" s="5"/>
      <c r="V358" s="13"/>
      <c r="W358" s="24"/>
      <c r="X358" s="272" t="s">
        <v>29</v>
      </c>
      <c r="Y358" s="272"/>
      <c r="Z358" s="53" t="e">
        <f>(U331+W331)*Y331+(U332+W332)*Y332+(U333+W333)*Y333+(U334+W334)*Y334</f>
        <v>#VALUE!</v>
      </c>
      <c r="AA358" s="14"/>
      <c r="AB358" s="15"/>
      <c r="AD358" s="79"/>
      <c r="AE358" s="5" t="s">
        <v>27</v>
      </c>
      <c r="AF358" s="13">
        <f>AF429</f>
        <v>437800</v>
      </c>
      <c r="AG358" s="13"/>
      <c r="AH358" s="13"/>
      <c r="AI358" s="5"/>
      <c r="AJ358" s="13"/>
      <c r="AK358" s="24"/>
      <c r="AL358" s="272" t="s">
        <v>29</v>
      </c>
      <c r="AM358" s="272"/>
      <c r="AN358" s="53" t="e">
        <f>(AI331+AK331)*AM331+(AI332+AK332)*AM332+(AI333+AK333)*AM333+(AI334+AK334)*AM334</f>
        <v>#VALUE!</v>
      </c>
      <c r="AO358" s="14"/>
      <c r="AP358" s="15"/>
      <c r="AQ358" s="2"/>
      <c r="AR358" s="79"/>
      <c r="AS358" s="5" t="s">
        <v>27</v>
      </c>
      <c r="AT358" s="13">
        <f>AT429</f>
        <v>461000</v>
      </c>
      <c r="AU358" s="13"/>
      <c r="AV358" s="13"/>
      <c r="AW358" s="5"/>
      <c r="AX358" s="13"/>
      <c r="AY358" s="24"/>
      <c r="AZ358" s="272" t="s">
        <v>29</v>
      </c>
      <c r="BA358" s="272"/>
      <c r="BB358" s="53" t="e">
        <f>(AW331+AY331)*BA331+(AW332+AY332)*BA332+(AW333+AY333)*BA333+(AW334+AY334)*BA334</f>
        <v>#VALUE!</v>
      </c>
      <c r="BC358" s="14"/>
      <c r="BD358" s="15"/>
      <c r="BU358" s="16"/>
      <c r="BV358" s="69" t="s">
        <v>27</v>
      </c>
      <c r="BW358" s="13">
        <f>BW429</f>
        <v>232500</v>
      </c>
      <c r="BX358" s="13"/>
      <c r="BY358" s="13"/>
      <c r="BZ358" s="5" t="s">
        <v>26</v>
      </c>
      <c r="CA358" s="13">
        <f>BW357-CA357</f>
        <v>51480</v>
      </c>
      <c r="CB358" s="36">
        <f>CA358/BW355</f>
        <v>0.37467248908296941</v>
      </c>
      <c r="CC358" s="36"/>
      <c r="CD358" s="14"/>
      <c r="CE358" s="14"/>
      <c r="CF358" s="14"/>
      <c r="CG358" s="15"/>
      <c r="CH358" s="1"/>
      <c r="CI358" s="16"/>
      <c r="CJ358" s="69" t="s">
        <v>27</v>
      </c>
      <c r="CK358" s="13">
        <f>CK429</f>
        <v>379100</v>
      </c>
      <c r="CL358" s="13"/>
      <c r="CM358" s="13"/>
      <c r="CN358" s="5" t="s">
        <v>26</v>
      </c>
      <c r="CO358" s="13">
        <f>CK357-CO357</f>
        <v>377580</v>
      </c>
      <c r="CP358" s="36">
        <f>CO358/CK355</f>
        <v>0.37784449114380064</v>
      </c>
      <c r="CQ358" s="36"/>
      <c r="CR358" s="14"/>
      <c r="CS358" s="14"/>
      <c r="CT358" s="14"/>
      <c r="CU358" s="15"/>
      <c r="CV358" s="1"/>
      <c r="CW358" s="16"/>
      <c r="CX358" s="69" t="s">
        <v>27</v>
      </c>
      <c r="CY358" s="13">
        <f>CY429</f>
        <v>167500</v>
      </c>
      <c r="CZ358" s="13"/>
      <c r="DA358" s="13"/>
      <c r="DB358" s="5" t="s">
        <v>26</v>
      </c>
      <c r="DC358" s="13">
        <f>CY357-DC357</f>
        <v>59240</v>
      </c>
      <c r="DD358" s="36">
        <f>DC358/CY355</f>
        <v>0.45221374045801527</v>
      </c>
      <c r="DE358" s="36"/>
      <c r="DF358" s="14"/>
      <c r="DG358" s="14"/>
      <c r="DH358" s="14"/>
      <c r="DI358" s="15"/>
      <c r="DJ358" s="1"/>
      <c r="DK358" s="16"/>
      <c r="DL358" s="69" t="s">
        <v>27</v>
      </c>
      <c r="DM358" s="13">
        <f>DM429</f>
        <v>111100</v>
      </c>
      <c r="DN358" s="13"/>
      <c r="DO358" s="13"/>
      <c r="DP358" s="5" t="s">
        <v>26</v>
      </c>
      <c r="DQ358" s="13">
        <f>DM357-DQ357</f>
        <v>35240</v>
      </c>
      <c r="DR358" s="36">
        <f>DQ358/DM355</f>
        <v>0.34925668979187313</v>
      </c>
      <c r="DS358" s="36"/>
      <c r="DT358" s="14"/>
      <c r="DU358" s="14"/>
      <c r="DV358" s="14"/>
      <c r="DW358" s="15"/>
      <c r="DY358" s="16"/>
      <c r="DZ358" s="69" t="s">
        <v>27</v>
      </c>
      <c r="EA358" s="13">
        <f>EA429</f>
        <v>0</v>
      </c>
      <c r="EB358" s="13"/>
      <c r="EC358" s="13"/>
      <c r="ED358" s="5" t="s">
        <v>26</v>
      </c>
      <c r="EE358" s="13">
        <f>EA357-EE357</f>
        <v>-2200</v>
      </c>
      <c r="EF358" s="36" t="e">
        <f>EE358/EA355</f>
        <v>#DIV/0!</v>
      </c>
      <c r="EG358" s="36"/>
      <c r="EH358" s="14"/>
      <c r="EI358" s="14"/>
      <c r="EJ358" s="14"/>
      <c r="EK358" s="15"/>
    </row>
    <row r="359" spans="1:141" ht="15" customHeight="1" x14ac:dyDescent="0.2">
      <c r="A359" s="273" t="s">
        <v>57</v>
      </c>
      <c r="B359" s="274"/>
      <c r="C359" s="273" t="s">
        <v>62</v>
      </c>
      <c r="D359" s="274"/>
      <c r="E359" s="273" t="s">
        <v>63</v>
      </c>
      <c r="F359" s="275"/>
      <c r="G359" s="5"/>
      <c r="H359" s="13"/>
      <c r="I359" s="24"/>
      <c r="J359" s="99"/>
      <c r="K359" s="102"/>
      <c r="L359" s="53"/>
      <c r="M359" s="14"/>
      <c r="N359" s="15"/>
      <c r="O359" s="2"/>
      <c r="P359" s="85"/>
      <c r="Q359" s="69"/>
      <c r="R359" s="13"/>
      <c r="S359" s="13"/>
      <c r="T359" s="13"/>
      <c r="U359" s="5"/>
      <c r="V359" s="13"/>
      <c r="W359" s="24"/>
      <c r="X359" s="99"/>
      <c r="Y359" s="102"/>
      <c r="Z359" s="53"/>
      <c r="AA359" s="14"/>
      <c r="AB359" s="15"/>
      <c r="AD359" s="85"/>
      <c r="AE359" s="69"/>
      <c r="AF359" s="13"/>
      <c r="AG359" s="13"/>
      <c r="AH359" s="13"/>
      <c r="AI359" s="5"/>
      <c r="AJ359" s="13"/>
      <c r="AK359" s="24"/>
      <c r="AL359" s="99"/>
      <c r="AM359" s="102"/>
      <c r="AN359" s="53"/>
      <c r="AO359" s="14"/>
      <c r="AP359" s="15"/>
      <c r="AQ359" s="2"/>
      <c r="AR359" s="85"/>
      <c r="AS359" s="69"/>
      <c r="AT359" s="13"/>
      <c r="AU359" s="13"/>
      <c r="AV359" s="13"/>
      <c r="AW359" s="5"/>
      <c r="AX359" s="13"/>
      <c r="AY359" s="24"/>
      <c r="AZ359" s="118"/>
      <c r="BA359" s="102"/>
      <c r="BB359" s="53"/>
      <c r="BC359" s="14"/>
      <c r="BD359" s="15"/>
      <c r="BU359" s="16"/>
      <c r="BV359" s="54"/>
      <c r="BW359" s="13"/>
      <c r="BX359" s="13"/>
      <c r="BY359" s="13"/>
      <c r="BZ359" s="263" t="s">
        <v>29</v>
      </c>
      <c r="CA359" s="264"/>
      <c r="CB359" s="13">
        <f>(BZ307+CB307)*CD307</f>
        <v>0</v>
      </c>
      <c r="CC359" s="13"/>
      <c r="CD359" s="14"/>
      <c r="CE359" s="14"/>
      <c r="CF359" s="14"/>
      <c r="CG359" s="15"/>
      <c r="CH359" s="1"/>
      <c r="CI359" s="16"/>
      <c r="CJ359" s="54"/>
      <c r="CK359" s="13"/>
      <c r="CL359" s="13"/>
      <c r="CM359" s="13"/>
      <c r="CN359" s="263" t="s">
        <v>29</v>
      </c>
      <c r="CO359" s="264"/>
      <c r="CP359" s="13">
        <f>(CN307+CP307)*CR307</f>
        <v>0</v>
      </c>
      <c r="CQ359" s="13"/>
      <c r="CR359" s="14"/>
      <c r="CS359" s="14"/>
      <c r="CT359" s="14"/>
      <c r="CU359" s="15"/>
      <c r="CV359" s="1"/>
      <c r="CW359" s="16"/>
      <c r="CX359" s="54"/>
      <c r="CY359" s="13"/>
      <c r="CZ359" s="13"/>
      <c r="DA359" s="13"/>
      <c r="DB359" s="263" t="s">
        <v>29</v>
      </c>
      <c r="DC359" s="264"/>
      <c r="DD359" s="13">
        <f>(DB307+DD307)*DF307</f>
        <v>0</v>
      </c>
      <c r="DE359" s="13"/>
      <c r="DF359" s="14"/>
      <c r="DG359" s="14"/>
      <c r="DH359" s="14"/>
      <c r="DI359" s="15"/>
      <c r="DJ359" s="1"/>
      <c r="DK359" s="16"/>
      <c r="DL359" s="54"/>
      <c r="DM359" s="13"/>
      <c r="DN359" s="13"/>
      <c r="DO359" s="13"/>
      <c r="DP359" s="263" t="s">
        <v>29</v>
      </c>
      <c r="DQ359" s="264"/>
      <c r="DR359" s="13">
        <f>(DP307+DR307)*DT307</f>
        <v>0</v>
      </c>
      <c r="DS359" s="13"/>
      <c r="DT359" s="14"/>
      <c r="DU359" s="14"/>
      <c r="DV359" s="14"/>
      <c r="DW359" s="15"/>
      <c r="DY359" s="16"/>
      <c r="DZ359" s="54"/>
      <c r="EA359" s="13"/>
      <c r="EB359" s="13"/>
      <c r="EC359" s="13"/>
      <c r="ED359" s="263" t="s">
        <v>29</v>
      </c>
      <c r="EE359" s="264"/>
      <c r="EF359" s="13">
        <f>(ED307+EF307)*EH307</f>
        <v>0</v>
      </c>
      <c r="EG359" s="13"/>
      <c r="EH359" s="14"/>
      <c r="EI359" s="14"/>
      <c r="EJ359" s="14"/>
      <c r="EK359" s="15"/>
    </row>
    <row r="360" spans="1:141" ht="15" customHeight="1" x14ac:dyDescent="0.2">
      <c r="A360" s="265">
        <f>E356+S356+AG356+AU356+BX356+CL356+CZ356+DN356</f>
        <v>2574600</v>
      </c>
      <c r="B360" s="266"/>
      <c r="C360" s="267">
        <f>L355+Z355+AN355+BB355</f>
        <v>301423</v>
      </c>
      <c r="D360" s="268"/>
      <c r="E360" s="267" t="e">
        <f>L358+Z358+AN358+BB358+CB359+CP359+DD359+DR359</f>
        <v>#VALUE!</v>
      </c>
      <c r="F360" s="268"/>
      <c r="G360" s="5"/>
      <c r="H360" s="13"/>
      <c r="I360" s="24"/>
      <c r="J360" s="99"/>
      <c r="K360" s="102"/>
      <c r="L360" s="53"/>
      <c r="M360" s="14"/>
      <c r="N360" s="15"/>
      <c r="O360" s="2"/>
      <c r="P360" s="85"/>
      <c r="Q360" s="69"/>
      <c r="R360" s="13"/>
      <c r="S360" s="13"/>
      <c r="T360" s="13"/>
      <c r="U360" s="5"/>
      <c r="V360" s="13"/>
      <c r="W360" s="24"/>
      <c r="X360" s="99"/>
      <c r="Y360" s="102"/>
      <c r="Z360" s="53"/>
      <c r="AA360" s="14"/>
      <c r="AB360" s="15"/>
      <c r="AD360" s="85"/>
      <c r="AE360" s="69"/>
      <c r="AF360" s="13"/>
      <c r="AG360" s="13"/>
      <c r="AH360" s="13"/>
      <c r="AI360" s="5"/>
      <c r="AJ360" s="13"/>
      <c r="AK360" s="24"/>
      <c r="AL360" s="99"/>
      <c r="AM360" s="102"/>
      <c r="AN360" s="53"/>
      <c r="AO360" s="14"/>
      <c r="AP360" s="15"/>
      <c r="AQ360" s="2"/>
      <c r="AR360" s="85"/>
      <c r="AS360" s="69"/>
      <c r="AT360" s="13"/>
      <c r="AU360" s="13"/>
      <c r="AV360" s="13"/>
      <c r="AW360" s="5"/>
      <c r="AX360" s="13"/>
      <c r="AY360" s="24"/>
      <c r="AZ360" s="118"/>
      <c r="BA360" s="102"/>
      <c r="BB360" s="53"/>
      <c r="BC360" s="14"/>
      <c r="BD360" s="15"/>
      <c r="BU360" s="16"/>
      <c r="BV360" s="54"/>
      <c r="BW360" s="13"/>
      <c r="BX360" s="13"/>
      <c r="BY360" s="13"/>
      <c r="BZ360" s="5"/>
      <c r="CA360" s="13"/>
      <c r="CB360" s="13"/>
      <c r="CC360" s="13"/>
      <c r="CD360" s="14"/>
      <c r="CE360" s="14"/>
      <c r="CF360" s="14"/>
      <c r="CG360" s="15"/>
      <c r="CH360" s="1"/>
      <c r="CI360" s="16"/>
      <c r="CJ360" s="54"/>
      <c r="CK360" s="13"/>
      <c r="CL360" s="13"/>
      <c r="CM360" s="13"/>
      <c r="CN360" s="5"/>
      <c r="CO360" s="13"/>
      <c r="CP360" s="13"/>
      <c r="CQ360" s="13"/>
      <c r="CR360" s="14"/>
      <c r="CS360" s="14"/>
      <c r="CT360" s="14"/>
      <c r="CU360" s="15"/>
      <c r="CV360" s="1"/>
      <c r="CW360" s="16"/>
      <c r="CX360" s="54"/>
      <c r="CY360" s="13"/>
      <c r="CZ360" s="13"/>
      <c r="DA360" s="13"/>
      <c r="DB360" s="5"/>
      <c r="DC360" s="13"/>
      <c r="DD360" s="13"/>
      <c r="DE360" s="13"/>
      <c r="DF360" s="14"/>
      <c r="DG360" s="14"/>
      <c r="DH360" s="14"/>
      <c r="DI360" s="15"/>
      <c r="DJ360" s="1"/>
      <c r="DK360" s="16"/>
      <c r="DL360" s="54"/>
      <c r="DM360" s="13"/>
      <c r="DN360" s="13"/>
      <c r="DO360" s="13"/>
      <c r="DP360" s="5"/>
      <c r="DQ360" s="13"/>
      <c r="DR360" s="13"/>
      <c r="DS360" s="13"/>
      <c r="DT360" s="14"/>
      <c r="DU360" s="14"/>
      <c r="DV360" s="14"/>
      <c r="DW360" s="15"/>
      <c r="DY360" s="16"/>
      <c r="DZ360" s="54"/>
      <c r="EA360" s="13"/>
      <c r="EB360" s="13"/>
      <c r="EC360" s="13"/>
      <c r="ED360" s="5"/>
      <c r="EE360" s="13"/>
      <c r="EF360" s="13"/>
      <c r="EG360" s="13"/>
      <c r="EH360" s="14"/>
      <c r="EI360" s="14"/>
      <c r="EJ360" s="14"/>
      <c r="EK360" s="15"/>
    </row>
    <row r="361" spans="1:141" ht="15" customHeight="1" x14ac:dyDescent="0.2">
      <c r="A361" s="281">
        <v>206000</v>
      </c>
      <c r="B361" s="282"/>
      <c r="C361" s="98"/>
      <c r="D361" s="106">
        <f>C360/A360</f>
        <v>0.11707566223879437</v>
      </c>
      <c r="E361" s="104"/>
      <c r="F361" s="96"/>
      <c r="G361" s="5"/>
      <c r="H361" s="13"/>
      <c r="I361" s="24"/>
      <c r="J361" s="99"/>
      <c r="K361" s="102"/>
      <c r="L361" s="53"/>
      <c r="M361" s="14"/>
      <c r="N361" s="15"/>
      <c r="O361" s="2"/>
      <c r="P361" s="85"/>
      <c r="Q361" s="69"/>
      <c r="R361" s="13"/>
      <c r="S361" s="13"/>
      <c r="T361" s="13"/>
      <c r="U361" s="5"/>
      <c r="V361" s="13"/>
      <c r="W361" s="24"/>
      <c r="X361" s="99"/>
      <c r="Y361" s="102"/>
      <c r="Z361" s="53"/>
      <c r="AA361" s="14"/>
      <c r="AB361" s="15"/>
      <c r="AD361" s="85"/>
      <c r="AE361" s="69"/>
      <c r="AF361" s="13"/>
      <c r="AG361" s="13"/>
      <c r="AH361" s="13"/>
      <c r="AI361" s="5"/>
      <c r="AJ361" s="13"/>
      <c r="AK361" s="24"/>
      <c r="AL361" s="99"/>
      <c r="AM361" s="102"/>
      <c r="AN361" s="53"/>
      <c r="AO361" s="14"/>
      <c r="AP361" s="15"/>
      <c r="AQ361" s="2"/>
      <c r="AR361" s="85"/>
      <c r="AS361" s="69"/>
      <c r="AT361" s="13"/>
      <c r="AU361" s="13"/>
      <c r="AV361" s="13"/>
      <c r="AW361" s="5"/>
      <c r="AX361" s="13"/>
      <c r="AY361" s="24"/>
      <c r="AZ361" s="118"/>
      <c r="BA361" s="102"/>
      <c r="BB361" s="53"/>
      <c r="BC361" s="14"/>
      <c r="BD361" s="15"/>
      <c r="BU361" s="16"/>
      <c r="BV361" s="54"/>
      <c r="BW361" s="13"/>
      <c r="BX361" s="13"/>
      <c r="BY361" s="13"/>
      <c r="BZ361" s="5"/>
      <c r="CA361" s="13"/>
      <c r="CB361" s="36"/>
      <c r="CC361" s="36"/>
      <c r="CD361" s="13"/>
      <c r="CE361" s="13"/>
      <c r="CF361" s="13"/>
      <c r="CG361" s="15"/>
      <c r="CH361" s="1"/>
      <c r="CI361" s="16"/>
      <c r="CJ361" s="54"/>
      <c r="CK361" s="13"/>
      <c r="CL361" s="13"/>
      <c r="CM361" s="13"/>
      <c r="CN361" s="5"/>
      <c r="CO361" s="13"/>
      <c r="CP361" s="36"/>
      <c r="CQ361" s="36"/>
      <c r="CR361" s="13"/>
      <c r="CS361" s="13"/>
      <c r="CT361" s="13"/>
      <c r="CU361" s="15"/>
      <c r="CV361" s="1"/>
      <c r="CW361" s="16"/>
      <c r="CX361" s="54"/>
      <c r="CY361" s="13"/>
      <c r="CZ361" s="13"/>
      <c r="DA361" s="13"/>
      <c r="DB361" s="5"/>
      <c r="DC361" s="13"/>
      <c r="DD361" s="36"/>
      <c r="DE361" s="36"/>
      <c r="DF361" s="13"/>
      <c r="DG361" s="13"/>
      <c r="DH361" s="13"/>
      <c r="DI361" s="15"/>
      <c r="DJ361" s="1"/>
      <c r="DK361" s="16"/>
      <c r="DL361" s="54"/>
      <c r="DM361" s="13"/>
      <c r="DN361" s="13"/>
      <c r="DO361" s="13"/>
      <c r="DP361" s="5"/>
      <c r="DQ361" s="13"/>
      <c r="DR361" s="36"/>
      <c r="DS361" s="36"/>
      <c r="DT361" s="13"/>
      <c r="DU361" s="13"/>
      <c r="DV361" s="13"/>
      <c r="DW361" s="15"/>
      <c r="DY361" s="16"/>
      <c r="DZ361" s="54"/>
      <c r="EA361" s="13"/>
      <c r="EB361" s="13"/>
      <c r="EC361" s="13"/>
      <c r="ED361" s="5"/>
      <c r="EE361" s="13"/>
      <c r="EF361" s="36"/>
      <c r="EG361" s="36"/>
      <c r="EH361" s="13"/>
      <c r="EI361" s="13"/>
      <c r="EJ361" s="13"/>
      <c r="EK361" s="15"/>
    </row>
    <row r="362" spans="1:141" ht="15" customHeight="1" x14ac:dyDescent="0.2">
      <c r="A362" s="153"/>
      <c r="B362" s="154"/>
      <c r="C362" s="98"/>
      <c r="D362" s="96"/>
      <c r="E362" s="5"/>
      <c r="F362" s="13"/>
      <c r="G362" s="5"/>
      <c r="H362" s="13"/>
      <c r="I362" s="13"/>
      <c r="J362" s="68"/>
      <c r="K362" s="82"/>
      <c r="L362" s="14"/>
      <c r="M362" s="14"/>
      <c r="N362" s="15"/>
      <c r="O362" s="2"/>
      <c r="P362" s="86"/>
      <c r="Q362" s="54"/>
      <c r="R362" s="13"/>
      <c r="S362" s="5"/>
      <c r="T362" s="13"/>
      <c r="U362" s="5"/>
      <c r="V362" s="13"/>
      <c r="W362" s="13"/>
      <c r="X362" s="52"/>
      <c r="Y362" s="82"/>
      <c r="Z362" s="14"/>
      <c r="AA362" s="14"/>
      <c r="AB362" s="15"/>
      <c r="AD362" s="86"/>
      <c r="AE362" s="54"/>
      <c r="AF362" s="13"/>
      <c r="AG362" s="5"/>
      <c r="AH362" s="13"/>
      <c r="AI362" s="5"/>
      <c r="AJ362" s="13"/>
      <c r="AK362" s="13"/>
      <c r="AL362" s="68"/>
      <c r="AM362" s="82"/>
      <c r="AN362" s="14"/>
      <c r="AO362" s="14"/>
      <c r="AP362" s="15"/>
      <c r="AQ362" s="2"/>
      <c r="AR362" s="86"/>
      <c r="AS362" s="54"/>
      <c r="AT362" s="13"/>
      <c r="AU362" s="5"/>
      <c r="AV362" s="13"/>
      <c r="AW362" s="5"/>
      <c r="AX362" s="13"/>
      <c r="AY362" s="13"/>
      <c r="AZ362" s="68"/>
      <c r="BA362" s="82"/>
      <c r="BB362" s="14"/>
      <c r="BC362" s="14"/>
      <c r="BD362" s="15"/>
      <c r="BU362" s="16"/>
      <c r="BV362" s="13"/>
      <c r="BW362" s="13"/>
      <c r="BX362" s="13"/>
      <c r="BY362" s="13"/>
      <c r="BZ362" s="5"/>
      <c r="CA362" s="13"/>
      <c r="CB362" s="36"/>
      <c r="CC362" s="36"/>
      <c r="CD362" s="13"/>
      <c r="CE362" s="13"/>
      <c r="CF362" s="13"/>
      <c r="CG362" s="15"/>
      <c r="CH362" s="1"/>
      <c r="CI362" s="16"/>
      <c r="CJ362" s="13"/>
      <c r="CK362" s="13"/>
      <c r="CL362" s="13"/>
      <c r="CM362" s="13"/>
      <c r="CN362" s="5"/>
      <c r="CO362" s="13"/>
      <c r="CP362" s="36"/>
      <c r="CQ362" s="36"/>
      <c r="CR362" s="13"/>
      <c r="CS362" s="13"/>
      <c r="CT362" s="13"/>
      <c r="CU362" s="15"/>
      <c r="CV362" s="1"/>
      <c r="CW362" s="16"/>
      <c r="CX362" s="13"/>
      <c r="CY362" s="13"/>
      <c r="CZ362" s="13"/>
      <c r="DA362" s="13"/>
      <c r="DB362" s="5"/>
      <c r="DC362" s="13"/>
      <c r="DD362" s="36"/>
      <c r="DE362" s="36"/>
      <c r="DF362" s="13"/>
      <c r="DG362" s="13"/>
      <c r="DH362" s="13"/>
      <c r="DI362" s="15"/>
      <c r="DJ362" s="1"/>
      <c r="DK362" s="16"/>
      <c r="DL362" s="13"/>
      <c r="DM362" s="13"/>
      <c r="DN362" s="13"/>
      <c r="DO362" s="13"/>
      <c r="DP362" s="5"/>
      <c r="DQ362" s="13"/>
      <c r="DR362" s="36"/>
      <c r="DS362" s="36"/>
      <c r="DT362" s="13"/>
      <c r="DU362" s="13"/>
      <c r="DV362" s="13"/>
      <c r="DW362" s="15"/>
      <c r="DY362" s="16"/>
      <c r="DZ362" s="13"/>
      <c r="EA362" s="13"/>
      <c r="EB362" s="13"/>
      <c r="EC362" s="13"/>
      <c r="ED362" s="5"/>
      <c r="EE362" s="13"/>
      <c r="EF362" s="36"/>
      <c r="EG362" s="36"/>
      <c r="EH362" s="13"/>
      <c r="EI362" s="13"/>
      <c r="EJ362" s="13"/>
      <c r="EK362" s="15"/>
    </row>
    <row r="363" spans="1:141" ht="15" customHeight="1" x14ac:dyDescent="0.2">
      <c r="A363" s="258" t="s">
        <v>28</v>
      </c>
      <c r="B363" s="260"/>
      <c r="C363" s="259"/>
      <c r="D363" s="38">
        <f>SUM(D299,D303,D307,D311,D315,D319,D323,D327,D331,D335,D339,D343,D347)*100</f>
        <v>55100</v>
      </c>
      <c r="E363" s="54"/>
      <c r="F363" s="13"/>
      <c r="G363" s="5">
        <f>D363/H363</f>
        <v>3061.1111111111113</v>
      </c>
      <c r="H363" s="38">
        <f>SUM(H299,H303,H307,H311,H315,H319,H324,H327,H331,H335,H339,H343,H347)</f>
        <v>18</v>
      </c>
      <c r="I363" s="13"/>
      <c r="J363" s="75" t="str">
        <f t="shared" ref="J363:K366" si="698">J299</f>
        <v>ジャグラーボタン</v>
      </c>
      <c r="K363" s="76">
        <f t="shared" si="698"/>
        <v>748</v>
      </c>
      <c r="L363" s="38">
        <f>SUM(L299,L303,L307,L311,L315,L319,L324,L327,L331,L335,L339,L343,L347)</f>
        <v>14118</v>
      </c>
      <c r="M363" s="36">
        <f>L363/D363</f>
        <v>0.25622504537205082</v>
      </c>
      <c r="N363" s="15"/>
      <c r="O363" s="2"/>
      <c r="P363" s="258" t="s">
        <v>28</v>
      </c>
      <c r="Q363" s="259"/>
      <c r="R363" s="38">
        <f>SUM(R299,R303,R307,R311,R315,R319,R324,R327,R331,R335,R339,R343,R347)*100</f>
        <v>91900</v>
      </c>
      <c r="S363" s="54"/>
      <c r="T363" s="13"/>
      <c r="U363" s="5">
        <f>R363/V363</f>
        <v>2964.516129032258</v>
      </c>
      <c r="V363" s="38">
        <f>SUM(V299,V303,V307,V311,V315,V319,V324,V327,V331,V335,V339,V343,V347)</f>
        <v>31</v>
      </c>
      <c r="W363" s="13"/>
      <c r="X363" s="78" t="str">
        <f t="shared" ref="X363:Y366" si="699">X299</f>
        <v>キティボアバンスクリップ</v>
      </c>
      <c r="Y363" s="76">
        <f t="shared" si="699"/>
        <v>1100</v>
      </c>
      <c r="Z363" s="38">
        <f>SUM(Z299,Z303,Z307,Z311,Z315,Z319,Z324,Z327,Z331,Z335,Z339,Z343,Z347)</f>
        <v>34100</v>
      </c>
      <c r="AA363" s="36">
        <f>Z363/R363</f>
        <v>0.37105549510337321</v>
      </c>
      <c r="AB363" s="15"/>
      <c r="AC363" s="23"/>
      <c r="AD363" s="258" t="s">
        <v>28</v>
      </c>
      <c r="AE363" s="259"/>
      <c r="AF363" s="38">
        <f>SUM(AF299,AF303,AF307,AF311,AF315,AF319,AF323,AF327,AF331,AF335,AF339,AF343,AF347)*100</f>
        <v>40200</v>
      </c>
      <c r="AG363" s="54"/>
      <c r="AH363" s="13"/>
      <c r="AI363" s="5">
        <f>AF363/AJ363</f>
        <v>3092.3076923076924</v>
      </c>
      <c r="AJ363" s="38">
        <f>SUM(AJ299,AJ303,AJ307,AJ311,AJ315,AJ319,AJ324,AJ327,AJ331,AJ335,AJ339,AJ343,AJ347)</f>
        <v>13</v>
      </c>
      <c r="AK363" s="13"/>
      <c r="AL363" s="75" t="str">
        <f t="shared" ref="AL363:AM366" si="700">AL299</f>
        <v>サンリオ型押しケース</v>
      </c>
      <c r="AM363" s="76">
        <f t="shared" si="700"/>
        <v>545</v>
      </c>
      <c r="AN363" s="38">
        <f>SUM(AN299,AN303,AN307,AN311,AN315,AN319,AN324,AN327,AN331,AN335,AN339,AN343,AN347)</f>
        <v>6540</v>
      </c>
      <c r="AO363" s="36">
        <f>AN363/AF363</f>
        <v>0.16268656716417909</v>
      </c>
      <c r="AP363" s="15"/>
      <c r="AQ363" s="2"/>
      <c r="AR363" s="258" t="s">
        <v>28</v>
      </c>
      <c r="AS363" s="259"/>
      <c r="AT363" s="38">
        <f>SUM(AT299,AT303,AT307,AT311,AT315,AT319,AT324,AT327,AT331,AT335,AT339,AT343,AT347)*100</f>
        <v>65600</v>
      </c>
      <c r="AU363" s="54"/>
      <c r="AV363" s="13"/>
      <c r="AW363" s="5">
        <f>AT363/AX363</f>
        <v>5963.636363636364</v>
      </c>
      <c r="AX363" s="38">
        <f>SUM(AX299,AX303,AX307,AX311,AX315,AX319,AX323,AX327,AX331,AX335,AX339,AX343,AX347)</f>
        <v>11</v>
      </c>
      <c r="AY363" s="13"/>
      <c r="AZ363" s="75" t="str">
        <f t="shared" ref="AZ363:BA366" si="701">AZ299</f>
        <v>サンリオヒョウ柄キーケース</v>
      </c>
      <c r="BA363" s="76">
        <f t="shared" si="701"/>
        <v>924</v>
      </c>
      <c r="BB363" s="38">
        <f>SUM(BB299,BB303,BB307,BB311,BB315,BB319,BB324,BB327,BB331,BB335,BB339,BB343,BB347)</f>
        <v>11681</v>
      </c>
      <c r="BC363" s="36">
        <f>BB363/AT363</f>
        <v>0.17806402439024391</v>
      </c>
      <c r="BD363" s="15"/>
      <c r="BU363" s="16"/>
      <c r="BV363" s="270"/>
      <c r="BW363" s="270"/>
      <c r="BX363" s="10"/>
      <c r="BY363" s="13"/>
      <c r="BZ363" s="5"/>
      <c r="CA363" s="13"/>
      <c r="CB363" s="36"/>
      <c r="CC363" s="36"/>
      <c r="CD363" s="13"/>
      <c r="CE363" s="13"/>
      <c r="CF363" s="13"/>
      <c r="CG363" s="15"/>
      <c r="CH363" s="1"/>
      <c r="CI363" s="16"/>
      <c r="CJ363" s="270"/>
      <c r="CK363" s="270"/>
      <c r="CL363" s="10"/>
      <c r="CM363" s="13"/>
      <c r="CN363" s="5"/>
      <c r="CO363" s="13"/>
      <c r="CP363" s="36"/>
      <c r="CQ363" s="36"/>
      <c r="CR363" s="13"/>
      <c r="CS363" s="13"/>
      <c r="CT363" s="13"/>
      <c r="CU363" s="15"/>
      <c r="CV363" s="1"/>
      <c r="CW363" s="16"/>
      <c r="CX363" s="270"/>
      <c r="CY363" s="270"/>
      <c r="CZ363" s="10"/>
      <c r="DA363" s="13"/>
      <c r="DB363" s="5"/>
      <c r="DC363" s="13"/>
      <c r="DD363" s="36"/>
      <c r="DE363" s="36"/>
      <c r="DF363" s="13"/>
      <c r="DG363" s="13"/>
      <c r="DH363" s="13"/>
      <c r="DI363" s="15"/>
      <c r="DJ363" s="1"/>
      <c r="DK363" s="16"/>
      <c r="DL363" s="270"/>
      <c r="DM363" s="270"/>
      <c r="DN363" s="10"/>
      <c r="DO363" s="13"/>
      <c r="DP363" s="5"/>
      <c r="DQ363" s="13"/>
      <c r="DR363" s="36"/>
      <c r="DS363" s="36"/>
      <c r="DT363" s="13"/>
      <c r="DU363" s="13"/>
      <c r="DV363" s="13"/>
      <c r="DW363" s="15"/>
      <c r="DY363" s="16"/>
      <c r="DZ363" s="270"/>
      <c r="EA363" s="270"/>
      <c r="EB363" s="10"/>
      <c r="EC363" s="13"/>
      <c r="ED363" s="5"/>
      <c r="EE363" s="13"/>
      <c r="EF363" s="36"/>
      <c r="EG363" s="36"/>
      <c r="EH363" s="13"/>
      <c r="EI363" s="13"/>
      <c r="EJ363" s="13"/>
      <c r="EK363" s="15"/>
    </row>
    <row r="364" spans="1:141" x14ac:dyDescent="0.2">
      <c r="A364" s="258" t="s">
        <v>28</v>
      </c>
      <c r="B364" s="260"/>
      <c r="C364" s="259"/>
      <c r="D364" s="38">
        <f>SUM(D300,D304,D308,D312,D316,D320,D324,D328,D332,D336,D340,D344,D348)*100</f>
        <v>83000</v>
      </c>
      <c r="E364" s="54"/>
      <c r="F364" s="13"/>
      <c r="G364" s="5">
        <f>D364/H364</f>
        <v>3320</v>
      </c>
      <c r="H364" s="38">
        <f>SUM(H300,H304,H308,H312,H316,H320,H323,H328,H332,H336,H340,H344,H348)</f>
        <v>25</v>
      </c>
      <c r="I364" s="13"/>
      <c r="J364" s="75" t="str">
        <f t="shared" si="698"/>
        <v>電ブル</v>
      </c>
      <c r="K364" s="76">
        <f t="shared" si="698"/>
        <v>1075</v>
      </c>
      <c r="L364" s="38">
        <f>SUM(L300,L304,L308,L312,L316,L320,L323,L328,L332,L336,L340,L344,L348)</f>
        <v>26548</v>
      </c>
      <c r="M364" s="36">
        <f>L364/D364</f>
        <v>0.31985542168674697</v>
      </c>
      <c r="N364" s="15"/>
      <c r="O364" s="2"/>
      <c r="P364" s="258" t="s">
        <v>28</v>
      </c>
      <c r="Q364" s="259"/>
      <c r="R364" s="38">
        <f>SUM(R300,R304,R308,R312,R316,R320,R323,R328,R332,R336,R340,R344,R348)*100</f>
        <v>34300</v>
      </c>
      <c r="S364" s="54"/>
      <c r="T364" s="13"/>
      <c r="U364" s="5">
        <f>R364/V364</f>
        <v>1429.1666666666667</v>
      </c>
      <c r="V364" s="38">
        <f>SUM(V300,V304,V308,V312,V316,V320,V323,V328,V332,V336,V340,V344,V348)</f>
        <v>24</v>
      </c>
      <c r="W364" s="13"/>
      <c r="X364" s="78" t="str">
        <f t="shared" si="699"/>
        <v>北斗の拳ボタン</v>
      </c>
      <c r="Y364" s="76">
        <f t="shared" si="699"/>
        <v>1100</v>
      </c>
      <c r="Z364" s="38">
        <f>SUM(Z300,Z304,Z308,Z312,Z316,Z320,Z323,Z328,Z332,Z336,Z340,Z344,Z348)</f>
        <v>26400</v>
      </c>
      <c r="AA364" s="36">
        <f>Z364/R364</f>
        <v>0.76967930029154519</v>
      </c>
      <c r="AB364" s="15"/>
      <c r="AC364" s="1"/>
      <c r="AD364" s="258" t="s">
        <v>28</v>
      </c>
      <c r="AE364" s="259"/>
      <c r="AF364" s="38">
        <f>SUM(AF300,AF304,AF308,AF312,AF316,AF320,AF324,AF328,AF332,AF336,AF340,AF344,AF348)*100</f>
        <v>46000</v>
      </c>
      <c r="AG364" s="54"/>
      <c r="AH364" s="13"/>
      <c r="AI364" s="5">
        <f>AF364/AJ364</f>
        <v>4181.818181818182</v>
      </c>
      <c r="AJ364" s="38">
        <f>SUM(AJ300,AJ304,AJ308,AJ312,AJ316,AJ320,AJ323,AJ328,AJ332,AJ336,AJ340,AJ344,AJ348)</f>
        <v>11</v>
      </c>
      <c r="AK364" s="13"/>
      <c r="AL364" s="75" t="str">
        <f t="shared" si="700"/>
        <v>サンリオヒョウ柄フェイス</v>
      </c>
      <c r="AM364" s="76">
        <f t="shared" si="700"/>
        <v>792</v>
      </c>
      <c r="AN364" s="38">
        <f>SUM(AN300,AN304,AN308,AN312,AN316,AN320,AN323,AN328,AN332,AN336,AN340,AN344,AN348)</f>
        <v>7179</v>
      </c>
      <c r="AO364" s="36">
        <f>AN364/AF364</f>
        <v>0.15606521739130436</v>
      </c>
      <c r="AP364" s="15"/>
      <c r="AQ364" s="2"/>
      <c r="AR364" s="258" t="s">
        <v>28</v>
      </c>
      <c r="AS364" s="259"/>
      <c r="AT364" s="38">
        <f>SUM(AT300,AT304,AT308,AT312,AT316,AT320,AT323,AT328,AT332,AT336,AT340,AT344,AT348)*100</f>
        <v>58100</v>
      </c>
      <c r="AU364" s="54"/>
      <c r="AV364" s="13"/>
      <c r="AW364" s="5">
        <f>AT364/AX364</f>
        <v>2766.6666666666665</v>
      </c>
      <c r="AX364" s="38">
        <f>SUM(AX300,AX304,AX308,AX312,AX316,AX320,AX324,AX328,AX332,AX336,AX340,AX344,AX348)</f>
        <v>21</v>
      </c>
      <c r="AY364" s="13"/>
      <c r="AZ364" s="75" t="str">
        <f t="shared" si="701"/>
        <v>キティフェイスポーチ</v>
      </c>
      <c r="BA364" s="76">
        <f t="shared" si="701"/>
        <v>673</v>
      </c>
      <c r="BB364" s="38">
        <f>SUM(BB300,BB304,BB308,BB312,BB316,BB320,BB323,BB328,BB332,BB336,BB340,BB344,BB348)</f>
        <v>12616</v>
      </c>
      <c r="BC364" s="36">
        <f>BB364/AT364</f>
        <v>0.21714285714285714</v>
      </c>
      <c r="BD364" s="15"/>
      <c r="BU364" s="16"/>
      <c r="BV364" s="270"/>
      <c r="BW364" s="270"/>
      <c r="BX364" s="13"/>
      <c r="BY364" s="13"/>
      <c r="BZ364" s="5"/>
      <c r="CA364" s="13"/>
      <c r="CB364" s="36"/>
      <c r="CC364" s="36"/>
      <c r="CD364" s="14"/>
      <c r="CE364" s="14"/>
      <c r="CF364" s="14"/>
      <c r="CG364" s="15"/>
      <c r="CH364" s="1"/>
      <c r="CI364" s="16"/>
      <c r="CJ364" s="270"/>
      <c r="CK364" s="270"/>
      <c r="CL364" s="13"/>
      <c r="CM364" s="13"/>
      <c r="CN364" s="5"/>
      <c r="CO364" s="13"/>
      <c r="CP364" s="36"/>
      <c r="CQ364" s="36"/>
      <c r="CR364" s="14"/>
      <c r="CS364" s="14"/>
      <c r="CT364" s="14"/>
      <c r="CU364" s="15"/>
      <c r="CV364" s="1"/>
      <c r="CW364" s="16"/>
      <c r="CX364" s="270"/>
      <c r="CY364" s="270"/>
      <c r="CZ364" s="13"/>
      <c r="DA364" s="13"/>
      <c r="DB364" s="5"/>
      <c r="DC364" s="13"/>
      <c r="DD364" s="36"/>
      <c r="DE364" s="36"/>
      <c r="DF364" s="14"/>
      <c r="DG364" s="14"/>
      <c r="DH364" s="14"/>
      <c r="DI364" s="15"/>
      <c r="DJ364" s="1"/>
      <c r="DK364" s="16"/>
      <c r="DL364" s="270"/>
      <c r="DM364" s="270"/>
      <c r="DN364" s="13"/>
      <c r="DO364" s="13"/>
      <c r="DP364" s="5"/>
      <c r="DQ364" s="13"/>
      <c r="DR364" s="36"/>
      <c r="DS364" s="36"/>
      <c r="DT364" s="14"/>
      <c r="DU364" s="14"/>
      <c r="DV364" s="14"/>
      <c r="DW364" s="15"/>
      <c r="DY364" s="16"/>
      <c r="DZ364" s="270"/>
      <c r="EA364" s="270"/>
      <c r="EB364" s="13"/>
      <c r="EC364" s="13"/>
      <c r="ED364" s="5"/>
      <c r="EE364" s="13"/>
      <c r="EF364" s="36"/>
      <c r="EG364" s="36"/>
      <c r="EH364" s="14"/>
      <c r="EI364" s="14"/>
      <c r="EJ364" s="14"/>
      <c r="EK364" s="15"/>
    </row>
    <row r="365" spans="1:141" x14ac:dyDescent="0.2">
      <c r="A365" s="258" t="s">
        <v>28</v>
      </c>
      <c r="B365" s="260"/>
      <c r="C365" s="259"/>
      <c r="D365" s="38">
        <f>SUM(D301,D305,D309,D313,D317,D321,D325,D329,D333,D337,D341,D345,D349)*100</f>
        <v>70300</v>
      </c>
      <c r="E365" s="54"/>
      <c r="F365" s="13"/>
      <c r="G365" s="5">
        <f>D365/H365</f>
        <v>5021.4285714285716</v>
      </c>
      <c r="H365" s="38">
        <f>SUM(H301,H305,H309,H314,H317,H321,H325,H329,H333,H337,H341,H345,H349)</f>
        <v>14</v>
      </c>
      <c r="I365" s="13"/>
      <c r="J365" s="75" t="str">
        <f t="shared" si="698"/>
        <v>ゲーム機イヤホン</v>
      </c>
      <c r="K365" s="76">
        <f t="shared" si="698"/>
        <v>1100</v>
      </c>
      <c r="L365" s="38">
        <f>SUM(L301,L305,L309,L314,L317,L321,L325,L329,L333,L337,L341,L345,L349)</f>
        <v>14600</v>
      </c>
      <c r="M365" s="36">
        <f>L365/D365</f>
        <v>0.20768136557610242</v>
      </c>
      <c r="N365" s="15"/>
      <c r="O365" s="2"/>
      <c r="P365" s="258" t="s">
        <v>28</v>
      </c>
      <c r="Q365" s="259"/>
      <c r="R365" s="38">
        <f>SUM(R301,R305,R309,R313,R317,R321,R325,R329,R333,R337,R341,R345,R349)*100</f>
        <v>30100</v>
      </c>
      <c r="S365" s="54"/>
      <c r="T365" s="13"/>
      <c r="U365" s="5">
        <f>R365/V365</f>
        <v>640.42553191489367</v>
      </c>
      <c r="V365" s="38">
        <f>SUM(V301,V305,V309,V314,V317,V321,V325,V329,V333,V337,V341,V345,V349)</f>
        <v>47</v>
      </c>
      <c r="W365" s="13"/>
      <c r="X365" s="78" t="str">
        <f t="shared" si="699"/>
        <v>サンリオホワイトマスコット</v>
      </c>
      <c r="Y365" s="76">
        <f t="shared" si="699"/>
        <v>660</v>
      </c>
      <c r="Z365" s="38">
        <f>SUM(Z301,Z305,Z309,Z314,Z317,Z321,Z325,Z329,Z333,Z337,Z341,Z345,Z349)</f>
        <v>18060</v>
      </c>
      <c r="AA365" s="36">
        <f>Z365/R365</f>
        <v>0.6</v>
      </c>
      <c r="AB365" s="15"/>
      <c r="AC365" s="1"/>
      <c r="AD365" s="258" t="s">
        <v>28</v>
      </c>
      <c r="AE365" s="259"/>
      <c r="AF365" s="38">
        <f>SUM(AF301,AF305,AF309,AF313,AF317,AF321,AF325,AF329,AF333,AF337,AF341,AF345,AF349)*100</f>
        <v>71700</v>
      </c>
      <c r="AG365" s="54"/>
      <c r="AH365" s="13"/>
      <c r="AI365" s="5">
        <f>AF365/AJ365</f>
        <v>731.63265306122446</v>
      </c>
      <c r="AJ365" s="38">
        <f>SUM(AJ301,AJ305,AJ309,AJ314,AJ317,AJ321,AJ325,AJ329,AJ333,AJ337,AJ341,AJ345,AJ349)</f>
        <v>98</v>
      </c>
      <c r="AK365" s="13"/>
      <c r="AL365" s="75" t="str">
        <f t="shared" si="700"/>
        <v>ゲームアーク</v>
      </c>
      <c r="AM365" s="76">
        <f t="shared" si="700"/>
        <v>682</v>
      </c>
      <c r="AN365" s="38">
        <f>SUM(AN301,AN305,AN309,AN314,AN317,AN321,AN325,AN329,AN333,AN337,AN341,AN345,AN349)</f>
        <v>66451</v>
      </c>
      <c r="AO365" s="36">
        <f>AN365/AF365</f>
        <v>0.92679218967921895</v>
      </c>
      <c r="AP365" s="15"/>
      <c r="AQ365" s="2"/>
      <c r="AR365" s="258" t="s">
        <v>28</v>
      </c>
      <c r="AS365" s="259"/>
      <c r="AT365" s="38">
        <f>SUM(AT301,AT305,AT309,AT313,AT317,AT321,AT325,AT329,AT333,AT337,AT341,AT345,AT349)*100</f>
        <v>59100</v>
      </c>
      <c r="AU365" s="54"/>
      <c r="AV365" s="13"/>
      <c r="AW365" s="5">
        <f>AT365/AX365</f>
        <v>4925</v>
      </c>
      <c r="AX365" s="38">
        <f>SUM(AX301,AX305,AX309,AX313,AX317,AX321,AX325,AX329,AX333,AX337,AX341,AX345,AX349)</f>
        <v>12</v>
      </c>
      <c r="AY365" s="13"/>
      <c r="AZ365" s="75" t="str">
        <f t="shared" si="701"/>
        <v>ラブブキーホルダーおおきめ</v>
      </c>
      <c r="BA365" s="76">
        <f t="shared" si="701"/>
        <v>500</v>
      </c>
      <c r="BB365" s="38">
        <f>SUM(BB301,BB305,BB309,BB314,BB317,BB321,BB325,BB329,BB333,BB337,BB341,BB345,BB349)</f>
        <v>7200</v>
      </c>
      <c r="BC365" s="36">
        <f>BB365/AT365</f>
        <v>0.12182741116751269</v>
      </c>
      <c r="BD365" s="15"/>
      <c r="BU365" s="16"/>
      <c r="BV365" s="270"/>
      <c r="BW365" s="270"/>
      <c r="BX365" s="36"/>
      <c r="BY365" s="13"/>
      <c r="BZ365" s="5"/>
      <c r="CA365" s="13"/>
      <c r="CB365" s="36"/>
      <c r="CC365" s="36"/>
      <c r="CD365" s="14"/>
      <c r="CE365" s="14"/>
      <c r="CF365" s="14"/>
      <c r="CG365" s="15"/>
      <c r="CH365" s="1"/>
      <c r="CI365" s="16"/>
      <c r="CJ365" s="270"/>
      <c r="CK365" s="270"/>
      <c r="CL365" s="36"/>
      <c r="CM365" s="13"/>
      <c r="CN365" s="5"/>
      <c r="CO365" s="13"/>
      <c r="CP365" s="36"/>
      <c r="CQ365" s="36"/>
      <c r="CR365" s="14"/>
      <c r="CS365" s="14"/>
      <c r="CT365" s="14"/>
      <c r="CU365" s="15"/>
      <c r="CV365" s="1"/>
      <c r="CW365" s="16"/>
      <c r="CX365" s="270"/>
      <c r="CY365" s="270"/>
      <c r="CZ365" s="36"/>
      <c r="DA365" s="13"/>
      <c r="DB365" s="5"/>
      <c r="DC365" s="13"/>
      <c r="DD365" s="36"/>
      <c r="DE365" s="36"/>
      <c r="DF365" s="14"/>
      <c r="DG365" s="14"/>
      <c r="DH365" s="14"/>
      <c r="DI365" s="15"/>
      <c r="DJ365" s="1"/>
      <c r="DK365" s="16"/>
      <c r="DL365" s="270"/>
      <c r="DM365" s="270"/>
      <c r="DN365" s="36"/>
      <c r="DO365" s="13"/>
      <c r="DP365" s="5"/>
      <c r="DQ365" s="13"/>
      <c r="DR365" s="36"/>
      <c r="DS365" s="36"/>
      <c r="DT365" s="14"/>
      <c r="DU365" s="14"/>
      <c r="DV365" s="14"/>
      <c r="DW365" s="15"/>
      <c r="DY365" s="16"/>
      <c r="DZ365" s="270"/>
      <c r="EA365" s="270"/>
      <c r="EB365" s="36"/>
      <c r="EC365" s="13"/>
      <c r="ED365" s="5"/>
      <c r="EE365" s="13"/>
      <c r="EF365" s="36"/>
      <c r="EG365" s="36"/>
      <c r="EH365" s="14"/>
      <c r="EI365" s="14"/>
      <c r="EJ365" s="14"/>
      <c r="EK365" s="15"/>
    </row>
    <row r="366" spans="1:141" x14ac:dyDescent="0.2">
      <c r="A366" s="258" t="s">
        <v>28</v>
      </c>
      <c r="B366" s="260"/>
      <c r="C366" s="259"/>
      <c r="D366" s="38">
        <f>SUM(D302,D306,D310,D314,D318,D322,D326,D330,D334,D338,D342,D346,D350)*100</f>
        <v>128900</v>
      </c>
      <c r="E366" s="54"/>
      <c r="F366" s="13"/>
      <c r="G366" s="5">
        <f>D366/H366</f>
        <v>5370.833333333333</v>
      </c>
      <c r="H366" s="38">
        <f>SUM(H302,H306,H310,H313,H318,H322,H326,H330,H334,H338,H342,H346,H350)</f>
        <v>24</v>
      </c>
      <c r="I366" s="13"/>
      <c r="J366" s="75" t="str">
        <f t="shared" si="698"/>
        <v>モンチッチフェイスポーチ</v>
      </c>
      <c r="K366" s="76">
        <f t="shared" si="698"/>
        <v>900</v>
      </c>
      <c r="L366" s="38">
        <f>SUM(L302,L306,L310,L313,L318,L322,L326,L330,L334,L338,L342,L346,L350)</f>
        <v>22000</v>
      </c>
      <c r="M366" s="36">
        <f>L366/D366</f>
        <v>0.17067494181536075</v>
      </c>
      <c r="N366" s="15"/>
      <c r="O366" s="2"/>
      <c r="P366" s="258" t="s">
        <v>28</v>
      </c>
      <c r="Q366" s="259"/>
      <c r="R366" s="38">
        <f>SUM(R302,R306,R310,R314,R318,R322,R326,R330,R334,R338,R342,R346,R350)*100</f>
        <v>235300</v>
      </c>
      <c r="S366" s="54"/>
      <c r="T366" s="13"/>
      <c r="U366" s="5">
        <f>R366/V366</f>
        <v>4278.181818181818</v>
      </c>
      <c r="V366" s="38">
        <f>SUM(V302,V306,V310,V313,V318,V322,V326,V330,V334,V338,V342,V346,V350)</f>
        <v>55</v>
      </c>
      <c r="W366" s="13"/>
      <c r="X366" s="78" t="str">
        <f t="shared" si="699"/>
        <v>ＡＩマスコット</v>
      </c>
      <c r="Y366" s="76">
        <f t="shared" si="699"/>
        <v>286</v>
      </c>
      <c r="Z366" s="38">
        <f>SUM(Z302,Z306,Z310,Z313,Z318,Z322,Z326,Z330,Z334,Z338,Z342,Z346,Z350)</f>
        <v>17178</v>
      </c>
      <c r="AA366" s="36">
        <f>Z366/R366</f>
        <v>7.3004674883127924E-2</v>
      </c>
      <c r="AB366" s="15"/>
      <c r="AC366" s="1"/>
      <c r="AD366" s="258" t="s">
        <v>28</v>
      </c>
      <c r="AE366" s="259"/>
      <c r="AF366" s="38">
        <f>SUM(AF302,AF306,AF310,AF314,AF318,AF322,AF326,AF330,AF334,AF338,AF342,AF346,AF350)*100</f>
        <v>69500</v>
      </c>
      <c r="AG366" s="54"/>
      <c r="AH366" s="13"/>
      <c r="AI366" s="5">
        <f>AF366/AJ366</f>
        <v>4633.333333333333</v>
      </c>
      <c r="AJ366" s="38">
        <f>SUM(AJ302,AJ306,AJ310,AJ313,AJ318,AJ322,AJ326,AJ330,AJ334,AJ338,AJ342,AJ346,AJ350)</f>
        <v>15</v>
      </c>
      <c r="AK366" s="13"/>
      <c r="AL366" s="75" t="str">
        <f t="shared" si="700"/>
        <v>モンチッチマスコット2</v>
      </c>
      <c r="AM366" s="76">
        <f t="shared" si="700"/>
        <v>605</v>
      </c>
      <c r="AN366" s="38">
        <f>SUM(AN302,AN306,AN310,AN313,AN318,AN322,AN326,AN330,AN334,AN338,AN342,AN346,AN350)</f>
        <v>9152</v>
      </c>
      <c r="AO366" s="36">
        <f>AN366/AF366</f>
        <v>0.13168345323741007</v>
      </c>
      <c r="AP366" s="15"/>
      <c r="AQ366" s="2"/>
      <c r="AR366" s="258" t="s">
        <v>28</v>
      </c>
      <c r="AS366" s="259"/>
      <c r="AT366" s="38">
        <f>SUM(AT302,AT306,AT310,AT314,AT318,AT322,AT326,AT330,AT334,AT338,AT342,AT346,AT350)*100</f>
        <v>66900</v>
      </c>
      <c r="AU366" s="54"/>
      <c r="AV366" s="13"/>
      <c r="AW366" s="5">
        <f>AT366/AX366</f>
        <v>3040.909090909091</v>
      </c>
      <c r="AX366" s="38">
        <f>SUM(AX302,AX306,AX310,AX314,AX318,AX322,AX326,AX330,AX334,AX338,AX342,AX346,AX350)</f>
        <v>22</v>
      </c>
      <c r="AY366" s="13"/>
      <c r="AZ366" s="75" t="str">
        <f t="shared" si="701"/>
        <v>ラブブマスコット</v>
      </c>
      <c r="BA366" s="76">
        <f t="shared" si="701"/>
        <v>400</v>
      </c>
      <c r="BB366" s="38">
        <f>SUM(BB302,BB306,BB310,BB313,BB318,BB322,BB326,BB330,BB334,BB338,BB342,BB346,BB350)</f>
        <v>7600</v>
      </c>
      <c r="BC366" s="36">
        <f>BB366/AT366</f>
        <v>0.11360239162929746</v>
      </c>
      <c r="BD366" s="15"/>
      <c r="BU366" s="40"/>
      <c r="BV366" s="3"/>
      <c r="BW366" s="2"/>
      <c r="BX366" s="41"/>
      <c r="BY366" s="1"/>
      <c r="BZ366" s="3"/>
      <c r="CA366" s="1"/>
      <c r="CB366" s="23"/>
      <c r="CC366" s="23"/>
      <c r="CD366" s="23"/>
      <c r="CE366" s="23"/>
      <c r="CF366" s="23"/>
      <c r="CG366" s="18"/>
      <c r="CH366" s="1"/>
      <c r="CI366" s="40"/>
      <c r="CJ366" s="3"/>
      <c r="CK366" s="2"/>
      <c r="CL366" s="41"/>
      <c r="CM366" s="1"/>
      <c r="CN366" s="3"/>
      <c r="CO366" s="1"/>
      <c r="CP366" s="23"/>
      <c r="CQ366" s="23"/>
      <c r="CR366" s="23"/>
      <c r="CS366" s="23"/>
      <c r="CT366" s="23"/>
      <c r="CU366" s="18"/>
      <c r="CV366" s="1"/>
      <c r="CW366" s="40"/>
      <c r="CX366" s="3"/>
      <c r="CY366" s="2"/>
      <c r="CZ366" s="41"/>
      <c r="DA366" s="1"/>
      <c r="DB366" s="3"/>
      <c r="DC366" s="1"/>
      <c r="DD366" s="23"/>
      <c r="DE366" s="23"/>
      <c r="DF366" s="23"/>
      <c r="DG366" s="23"/>
      <c r="DH366" s="23"/>
      <c r="DI366" s="18"/>
      <c r="DJ366" s="1"/>
      <c r="DK366" s="40"/>
      <c r="DL366" s="3"/>
      <c r="DM366" s="2"/>
      <c r="DN366" s="41"/>
      <c r="DO366" s="1"/>
      <c r="DP366" s="3"/>
      <c r="DQ366" s="1"/>
      <c r="DR366" s="23"/>
      <c r="DS366" s="23"/>
      <c r="DT366" s="23"/>
      <c r="DU366" s="23"/>
      <c r="DV366" s="23"/>
      <c r="DW366" s="18"/>
    </row>
    <row r="367" spans="1:141" x14ac:dyDescent="0.2">
      <c r="A367" s="16"/>
      <c r="B367" s="11"/>
      <c r="C367" s="5" t="s">
        <v>19</v>
      </c>
      <c r="D367" s="13">
        <f>SUM(D363:D366)</f>
        <v>337300</v>
      </c>
      <c r="E367" s="13"/>
      <c r="F367" s="13"/>
      <c r="G367" s="13"/>
      <c r="H367" s="13">
        <f>SUM(H363:H366)</f>
        <v>81</v>
      </c>
      <c r="I367" s="13"/>
      <c r="J367" s="262" t="s">
        <v>31</v>
      </c>
      <c r="K367" s="259"/>
      <c r="L367" s="53">
        <f>SUM(L363:L366)</f>
        <v>77266</v>
      </c>
      <c r="M367" s="83">
        <f>L367/D367</f>
        <v>0.2290720426919656</v>
      </c>
      <c r="N367" s="84"/>
      <c r="O367" s="2"/>
      <c r="P367" s="16"/>
      <c r="Q367" s="5" t="s">
        <v>19</v>
      </c>
      <c r="R367" s="13">
        <f>SUM(R363:R366)</f>
        <v>391600</v>
      </c>
      <c r="S367" s="54"/>
      <c r="T367" s="13"/>
      <c r="U367" s="13"/>
      <c r="V367" s="13">
        <f>SUM(V363:V366)</f>
        <v>157</v>
      </c>
      <c r="W367" s="13"/>
      <c r="X367" s="262" t="s">
        <v>31</v>
      </c>
      <c r="Y367" s="259"/>
      <c r="Z367" s="53">
        <f>SUM(Z363:Z366)</f>
        <v>95738</v>
      </c>
      <c r="AA367" s="83">
        <f>Z367/R367</f>
        <v>0.24447906026557711</v>
      </c>
      <c r="AB367" s="84"/>
      <c r="AC367" s="1"/>
      <c r="AD367" s="16"/>
      <c r="AE367" s="5" t="s">
        <v>19</v>
      </c>
      <c r="AF367" s="13">
        <f>SUM(AF363:AF366)</f>
        <v>227400</v>
      </c>
      <c r="AG367" s="54"/>
      <c r="AH367" s="13"/>
      <c r="AI367" s="13"/>
      <c r="AJ367" s="13">
        <f>SUM(AJ363:AJ366)</f>
        <v>137</v>
      </c>
      <c r="AK367" s="13"/>
      <c r="AL367" s="262" t="s">
        <v>31</v>
      </c>
      <c r="AM367" s="259"/>
      <c r="AN367" s="53">
        <f>SUM(AN363:AN366)</f>
        <v>89322</v>
      </c>
      <c r="AO367" s="83">
        <f>AN367/AF367</f>
        <v>0.39279683377308705</v>
      </c>
      <c r="AP367" s="84"/>
      <c r="AQ367" s="2"/>
      <c r="AR367" s="16"/>
      <c r="AS367" s="5" t="s">
        <v>19</v>
      </c>
      <c r="AT367" s="13">
        <f>SUM(AT363:AT366)</f>
        <v>249700</v>
      </c>
      <c r="AU367" s="54"/>
      <c r="AV367" s="13"/>
      <c r="AW367" s="13"/>
      <c r="AX367" s="13">
        <f>SUM(AX363:AX366)</f>
        <v>66</v>
      </c>
      <c r="AY367" s="13"/>
      <c r="AZ367" s="262" t="s">
        <v>31</v>
      </c>
      <c r="BA367" s="259"/>
      <c r="BB367" s="53">
        <f>SUM(BB363:BB366)</f>
        <v>39097</v>
      </c>
      <c r="BC367" s="83">
        <f>BB367/AT367</f>
        <v>0.15657589106928313</v>
      </c>
      <c r="BD367" s="84"/>
      <c r="BU367" s="42"/>
      <c r="BV367" s="256"/>
      <c r="BW367" s="256"/>
      <c r="BX367" s="41"/>
      <c r="BY367" s="1"/>
      <c r="BZ367" s="3"/>
      <c r="CA367" s="1"/>
      <c r="CB367" s="23"/>
      <c r="CC367" s="23"/>
      <c r="CD367" s="23"/>
      <c r="CE367" s="23"/>
      <c r="CF367" s="23"/>
      <c r="CG367" s="18"/>
      <c r="CH367" s="1"/>
      <c r="CI367" s="42"/>
      <c r="CJ367" s="256"/>
      <c r="CK367" s="256"/>
      <c r="CL367" s="41"/>
      <c r="CM367" s="1"/>
      <c r="CN367" s="3"/>
      <c r="CO367" s="1"/>
      <c r="CP367" s="23"/>
      <c r="CQ367" s="23"/>
      <c r="CR367" s="23"/>
      <c r="CS367" s="23"/>
      <c r="CT367" s="23"/>
      <c r="CU367" s="18"/>
      <c r="CV367" s="1"/>
      <c r="CW367" s="42"/>
      <c r="CX367" s="256"/>
      <c r="CY367" s="256"/>
      <c r="CZ367" s="41"/>
      <c r="DA367" s="1"/>
      <c r="DB367" s="3"/>
      <c r="DC367" s="1"/>
      <c r="DD367" s="23"/>
      <c r="DE367" s="23"/>
      <c r="DF367" s="23"/>
      <c r="DG367" s="23"/>
      <c r="DH367" s="23"/>
      <c r="DI367" s="18"/>
      <c r="DJ367" s="1"/>
      <c r="DK367" s="42"/>
      <c r="DL367" s="256"/>
      <c r="DM367" s="256"/>
      <c r="DN367" s="41"/>
      <c r="DO367" s="1"/>
      <c r="DP367" s="3"/>
      <c r="DQ367" s="1"/>
      <c r="DR367" s="23"/>
      <c r="DS367" s="23"/>
      <c r="DT367" s="23"/>
      <c r="DU367" s="23"/>
      <c r="DV367" s="23"/>
      <c r="DW367" s="18"/>
    </row>
    <row r="368" spans="1:141" x14ac:dyDescent="0.2">
      <c r="A368" s="85"/>
      <c r="B368" s="101"/>
      <c r="C368" s="35"/>
      <c r="D368" s="54"/>
      <c r="E368" s="24"/>
      <c r="F368" s="54"/>
      <c r="G368" s="5"/>
      <c r="H368" s="13"/>
      <c r="I368" s="24"/>
      <c r="J368" s="99"/>
      <c r="K368" s="100"/>
      <c r="L368" s="76"/>
      <c r="M368" s="14"/>
      <c r="N368" s="15"/>
      <c r="O368" s="2"/>
      <c r="P368" s="79"/>
      <c r="Q368" s="5"/>
      <c r="R368" s="13"/>
      <c r="S368" s="13"/>
      <c r="T368" s="13"/>
      <c r="U368" s="5"/>
      <c r="V368" s="13"/>
      <c r="W368" s="24"/>
      <c r="X368" s="99"/>
      <c r="Y368" s="100"/>
      <c r="Z368" s="76"/>
      <c r="AA368" s="14"/>
      <c r="AB368" s="15"/>
      <c r="AD368" s="79"/>
      <c r="AE368" s="5"/>
      <c r="AF368" s="13"/>
      <c r="AG368" s="13"/>
      <c r="AH368" s="13"/>
      <c r="AI368" s="5"/>
      <c r="AJ368" s="13"/>
      <c r="AK368" s="24"/>
      <c r="AL368" s="99"/>
      <c r="AM368" s="100"/>
      <c r="AN368" s="76"/>
      <c r="AO368" s="14"/>
      <c r="AP368" s="15"/>
      <c r="AQ368" s="2"/>
      <c r="AR368" s="79"/>
      <c r="AS368" s="5"/>
      <c r="AT368" s="13"/>
      <c r="AU368" s="13"/>
      <c r="AV368" s="13"/>
      <c r="AW368" s="5"/>
      <c r="AX368" s="13"/>
      <c r="AY368" s="24"/>
      <c r="AZ368" s="118"/>
      <c r="BA368" s="100"/>
      <c r="BB368" s="76"/>
      <c r="BC368" s="14"/>
      <c r="BD368" s="15"/>
      <c r="BU368" s="42"/>
      <c r="BV368" s="3"/>
      <c r="BX368" s="41"/>
      <c r="BY368" s="1"/>
      <c r="BZ368" s="3"/>
      <c r="CA368" s="1"/>
      <c r="CB368" s="23"/>
      <c r="CC368" s="23"/>
      <c r="CD368" s="23"/>
      <c r="CE368" s="23"/>
      <c r="CF368" s="23"/>
      <c r="CG368" s="18"/>
      <c r="CH368" s="1"/>
      <c r="CI368" s="42"/>
      <c r="CJ368" s="3"/>
      <c r="CL368" s="41"/>
      <c r="CM368" s="1"/>
      <c r="CN368" s="3"/>
      <c r="CO368" s="1"/>
      <c r="CP368" s="23"/>
      <c r="CQ368" s="23"/>
      <c r="CR368" s="23"/>
      <c r="CS368" s="23"/>
      <c r="CT368" s="23"/>
      <c r="CU368" s="18"/>
      <c r="CV368" s="1"/>
      <c r="CW368" s="42"/>
      <c r="CX368" s="3"/>
      <c r="CZ368" s="41"/>
      <c r="DA368" s="1"/>
      <c r="DB368" s="3"/>
      <c r="DC368" s="1"/>
      <c r="DD368" s="23"/>
      <c r="DE368" s="23"/>
      <c r="DF368" s="23"/>
      <c r="DG368" s="23"/>
      <c r="DH368" s="23"/>
      <c r="DI368" s="18"/>
      <c r="DJ368" s="1"/>
      <c r="DK368" s="42"/>
      <c r="DL368" s="3"/>
      <c r="DN368" s="41"/>
      <c r="DO368" s="1"/>
      <c r="DP368" s="3"/>
      <c r="DQ368" s="1"/>
      <c r="DR368" s="23"/>
      <c r="DS368" s="23"/>
      <c r="DT368" s="23"/>
      <c r="DU368" s="23"/>
      <c r="DV368" s="23"/>
      <c r="DW368" s="18"/>
    </row>
    <row r="369" spans="1:127" x14ac:dyDescent="0.2">
      <c r="A369" s="257"/>
      <c r="B369" s="257"/>
      <c r="C369" s="257"/>
      <c r="D369" s="257"/>
      <c r="E369" s="257"/>
      <c r="F369" s="257"/>
      <c r="BU369" s="40"/>
      <c r="BV369" s="256"/>
      <c r="BW369" s="256"/>
      <c r="BX369" s="41"/>
      <c r="BY369" s="1"/>
      <c r="BZ369" s="3"/>
      <c r="CA369" s="1"/>
      <c r="CB369" s="23"/>
      <c r="CC369" s="23"/>
      <c r="CD369" s="23"/>
      <c r="CE369" s="23"/>
      <c r="CF369" s="23"/>
      <c r="CG369" s="18"/>
      <c r="CH369" s="1"/>
      <c r="CI369" s="40"/>
      <c r="CJ369" s="256"/>
      <c r="CK369" s="256"/>
      <c r="CL369" s="41"/>
      <c r="CM369" s="1"/>
      <c r="CN369" s="3"/>
      <c r="CO369" s="1"/>
      <c r="CP369" s="23"/>
      <c r="CQ369" s="23"/>
      <c r="CR369" s="23"/>
      <c r="CS369" s="23"/>
      <c r="CT369" s="23"/>
      <c r="CU369" s="18"/>
      <c r="CV369" s="1"/>
      <c r="CW369" s="40"/>
      <c r="CX369" s="256"/>
      <c r="CY369" s="256"/>
      <c r="CZ369" s="41"/>
      <c r="DA369" s="1"/>
      <c r="DB369" s="3"/>
      <c r="DC369" s="1"/>
      <c r="DD369" s="23"/>
      <c r="DE369" s="23"/>
      <c r="DF369" s="23"/>
      <c r="DG369" s="23"/>
      <c r="DH369" s="23"/>
      <c r="DI369" s="18"/>
      <c r="DJ369" s="1"/>
      <c r="DK369" s="40"/>
      <c r="DL369" s="256"/>
      <c r="DM369" s="256"/>
      <c r="DN369" s="41"/>
      <c r="DO369" s="1"/>
      <c r="DP369" s="3"/>
      <c r="DQ369" s="1"/>
      <c r="DR369" s="23"/>
      <c r="DS369" s="23"/>
      <c r="DT369" s="23"/>
      <c r="DU369" s="23"/>
      <c r="DV369" s="23"/>
      <c r="DW369" s="18"/>
    </row>
    <row r="370" spans="1:127" ht="15" customHeight="1" x14ac:dyDescent="0.2">
      <c r="A370" s="257"/>
      <c r="B370" s="257"/>
      <c r="J370"/>
      <c r="BU370" s="40"/>
      <c r="BV370" s="3"/>
      <c r="BX370" s="41"/>
      <c r="BY370" s="1"/>
      <c r="BZ370" s="3"/>
      <c r="CA370" s="1"/>
      <c r="CB370" s="23"/>
      <c r="CC370" s="23"/>
      <c r="CD370" s="23"/>
      <c r="CE370" s="23"/>
      <c r="CF370" s="23"/>
      <c r="CG370" s="18"/>
      <c r="CH370" s="1"/>
      <c r="CI370" s="40"/>
      <c r="CJ370" s="3"/>
      <c r="CL370" s="41"/>
      <c r="CM370" s="1"/>
      <c r="CN370" s="3"/>
      <c r="CO370" s="1"/>
      <c r="CP370" s="23"/>
      <c r="CQ370" s="23"/>
      <c r="CR370" s="23"/>
      <c r="CS370" s="23"/>
      <c r="CT370" s="23"/>
      <c r="CU370" s="18"/>
      <c r="CV370" s="1"/>
      <c r="CW370" s="40"/>
      <c r="CX370" s="3"/>
      <c r="CZ370" s="41"/>
      <c r="DA370" s="1"/>
      <c r="DB370" s="3"/>
      <c r="DC370" s="1"/>
      <c r="DD370" s="23"/>
      <c r="DE370" s="23"/>
      <c r="DF370" s="23"/>
      <c r="DG370" s="23"/>
      <c r="DH370" s="23"/>
      <c r="DI370" s="18"/>
      <c r="DJ370" s="1"/>
      <c r="DK370" s="40"/>
      <c r="DL370" s="3"/>
      <c r="DN370" s="41"/>
      <c r="DO370" s="1"/>
      <c r="DP370" s="3"/>
      <c r="DQ370" s="1"/>
      <c r="DR370" s="23"/>
      <c r="DS370" s="23"/>
      <c r="DT370" s="23"/>
      <c r="DU370" s="23"/>
      <c r="DV370" s="23"/>
      <c r="DW370" s="18"/>
    </row>
    <row r="371" spans="1:127" x14ac:dyDescent="0.2">
      <c r="A371" s="276" t="s">
        <v>42</v>
      </c>
      <c r="B371" s="276"/>
      <c r="C371" s="276"/>
      <c r="D371" s="276"/>
      <c r="E371" s="70" t="s">
        <v>56</v>
      </c>
      <c r="F371" s="70"/>
      <c r="G371" s="70"/>
      <c r="H371" s="70"/>
      <c r="I371" s="70"/>
      <c r="J371" s="71"/>
      <c r="K371" s="70"/>
      <c r="L371" s="70"/>
      <c r="M371" s="70"/>
      <c r="N371" s="72"/>
      <c r="O371" s="2"/>
      <c r="P371" s="276" t="s">
        <v>43</v>
      </c>
      <c r="Q371" s="276"/>
      <c r="R371" s="276"/>
      <c r="S371" s="70" t="s">
        <v>55</v>
      </c>
      <c r="T371" s="70"/>
      <c r="U371" s="70"/>
      <c r="V371" s="70"/>
      <c r="W371" s="70"/>
      <c r="X371" s="73"/>
      <c r="Y371" s="70"/>
      <c r="Z371" s="70"/>
      <c r="AA371" s="70"/>
      <c r="AB371" s="72"/>
      <c r="AC371" s="1"/>
      <c r="AD371" s="276" t="s">
        <v>54</v>
      </c>
      <c r="AE371" s="276"/>
      <c r="AF371" s="276"/>
      <c r="AG371" s="70" t="s">
        <v>52</v>
      </c>
      <c r="AH371" s="70"/>
      <c r="AI371" s="70"/>
      <c r="AJ371" s="70"/>
      <c r="AK371" s="70"/>
      <c r="AL371" s="71"/>
      <c r="AM371" s="70"/>
      <c r="AN371" s="70"/>
      <c r="AO371" s="70"/>
      <c r="AP371" s="72"/>
      <c r="AQ371" s="2"/>
      <c r="AR371" s="276" t="s">
        <v>54</v>
      </c>
      <c r="AS371" s="276"/>
      <c r="AT371" s="276"/>
      <c r="AU371" s="70" t="s">
        <v>53</v>
      </c>
      <c r="AV371" s="70"/>
      <c r="AW371" s="70"/>
      <c r="AX371" s="70"/>
      <c r="AY371" s="70"/>
      <c r="AZ371" s="71"/>
      <c r="BA371" s="70"/>
      <c r="BB371" s="70"/>
      <c r="BC371" s="70"/>
      <c r="BD371" s="72"/>
      <c r="BU371" s="124"/>
      <c r="BV371" s="277" t="s">
        <v>137</v>
      </c>
      <c r="BW371" s="278"/>
      <c r="BX371" s="278"/>
      <c r="BY371" s="278"/>
      <c r="BZ371" s="125"/>
      <c r="CA371" s="125"/>
      <c r="CB371" s="125"/>
      <c r="CC371" s="125"/>
      <c r="CD371" s="125"/>
      <c r="CE371" s="125"/>
      <c r="CF371" s="125"/>
      <c r="CG371" s="125"/>
      <c r="CH371" s="125"/>
      <c r="CI371" s="124"/>
      <c r="CJ371" s="277" t="s">
        <v>138</v>
      </c>
      <c r="CK371" s="278"/>
      <c r="CL371" s="278"/>
      <c r="CM371" s="278"/>
      <c r="CN371" s="125"/>
      <c r="CO371" s="125"/>
      <c r="CP371" s="125"/>
      <c r="CQ371" s="125"/>
      <c r="CR371" s="125"/>
      <c r="CS371" s="125"/>
      <c r="CT371" s="125"/>
      <c r="CU371" s="125"/>
      <c r="CV371" s="125"/>
      <c r="CW371" s="124"/>
      <c r="CX371" s="277" t="s">
        <v>139</v>
      </c>
      <c r="CY371" s="278"/>
      <c r="CZ371" s="278"/>
      <c r="DA371" s="278"/>
      <c r="DB371" s="125"/>
      <c r="DC371" s="125"/>
      <c r="DD371" s="125"/>
      <c r="DE371" s="125"/>
      <c r="DF371" s="125"/>
      <c r="DG371" s="125"/>
      <c r="DH371" s="125"/>
      <c r="DI371" s="125"/>
      <c r="DJ371" s="125"/>
      <c r="DK371" s="124"/>
      <c r="DL371" s="277" t="s">
        <v>140</v>
      </c>
      <c r="DM371" s="278"/>
      <c r="DN371" s="278"/>
      <c r="DO371" s="278"/>
      <c r="DP371" s="125"/>
      <c r="DQ371" s="125"/>
      <c r="DR371" s="125"/>
      <c r="DS371" s="125"/>
      <c r="DT371" s="125"/>
      <c r="DU371" s="125"/>
      <c r="DV371" s="125"/>
      <c r="DW371" s="125"/>
    </row>
    <row r="372" spans="1:127" x14ac:dyDescent="0.2">
      <c r="A372" s="7" t="s">
        <v>1</v>
      </c>
      <c r="B372" s="4" t="s">
        <v>19</v>
      </c>
      <c r="C372" s="5" t="s">
        <v>2</v>
      </c>
      <c r="D372" s="5" t="s">
        <v>3</v>
      </c>
      <c r="E372" s="6" t="s">
        <v>4</v>
      </c>
      <c r="F372" s="5" t="s">
        <v>3</v>
      </c>
      <c r="G372" s="5" t="s">
        <v>5</v>
      </c>
      <c r="H372" s="5" t="s">
        <v>6</v>
      </c>
      <c r="I372" s="5" t="s">
        <v>7</v>
      </c>
      <c r="J372" s="55" t="s">
        <v>12</v>
      </c>
      <c r="K372" s="5" t="s">
        <v>8</v>
      </c>
      <c r="L372" s="5" t="s">
        <v>6</v>
      </c>
      <c r="M372" s="5" t="s">
        <v>13</v>
      </c>
      <c r="N372" s="5" t="s">
        <v>11</v>
      </c>
      <c r="O372" s="2"/>
      <c r="P372" s="7" t="s">
        <v>1</v>
      </c>
      <c r="Q372" s="5" t="s">
        <v>2</v>
      </c>
      <c r="R372" s="5" t="s">
        <v>3</v>
      </c>
      <c r="S372" s="6" t="s">
        <v>4</v>
      </c>
      <c r="T372" s="5" t="s">
        <v>3</v>
      </c>
      <c r="U372" s="5" t="s">
        <v>5</v>
      </c>
      <c r="V372" s="5" t="s">
        <v>6</v>
      </c>
      <c r="W372" s="5" t="s">
        <v>7</v>
      </c>
      <c r="X372" s="6" t="s">
        <v>12</v>
      </c>
      <c r="Y372" s="5" t="s">
        <v>8</v>
      </c>
      <c r="Z372" s="5" t="s">
        <v>6</v>
      </c>
      <c r="AA372" s="5" t="s">
        <v>13</v>
      </c>
      <c r="AB372" s="5" t="s">
        <v>11</v>
      </c>
      <c r="AC372" s="3"/>
      <c r="AD372" s="7" t="s">
        <v>1</v>
      </c>
      <c r="AE372" s="5" t="s">
        <v>2</v>
      </c>
      <c r="AF372" s="5" t="s">
        <v>3</v>
      </c>
      <c r="AG372" s="6" t="s">
        <v>4</v>
      </c>
      <c r="AH372" s="5" t="s">
        <v>3</v>
      </c>
      <c r="AI372" s="5" t="s">
        <v>5</v>
      </c>
      <c r="AJ372" s="5" t="s">
        <v>6</v>
      </c>
      <c r="AK372" s="5" t="s">
        <v>7</v>
      </c>
      <c r="AL372" s="55" t="s">
        <v>12</v>
      </c>
      <c r="AM372" s="5" t="s">
        <v>8</v>
      </c>
      <c r="AN372" s="5" t="s">
        <v>6</v>
      </c>
      <c r="AO372" s="5" t="s">
        <v>13</v>
      </c>
      <c r="AP372" s="5" t="s">
        <v>11</v>
      </c>
      <c r="AQ372" s="2"/>
      <c r="AR372" s="7" t="s">
        <v>1</v>
      </c>
      <c r="AS372" s="5" t="s">
        <v>2</v>
      </c>
      <c r="AT372" s="5" t="s">
        <v>3</v>
      </c>
      <c r="AU372" s="6" t="s">
        <v>4</v>
      </c>
      <c r="AV372" s="5" t="s">
        <v>3</v>
      </c>
      <c r="AW372" s="5" t="s">
        <v>5</v>
      </c>
      <c r="AX372" s="5" t="s">
        <v>6</v>
      </c>
      <c r="AY372" s="5" t="s">
        <v>7</v>
      </c>
      <c r="AZ372" s="55" t="s">
        <v>12</v>
      </c>
      <c r="BA372" s="5" t="s">
        <v>8</v>
      </c>
      <c r="BB372" s="5" t="s">
        <v>6</v>
      </c>
      <c r="BC372" s="5" t="s">
        <v>13</v>
      </c>
      <c r="BD372" s="5" t="s">
        <v>11</v>
      </c>
      <c r="BU372" s="8" t="s">
        <v>1</v>
      </c>
      <c r="BV372" s="5" t="s">
        <v>2</v>
      </c>
      <c r="BW372" s="5" t="s">
        <v>3</v>
      </c>
      <c r="BX372" s="6" t="s">
        <v>4</v>
      </c>
      <c r="BY372" s="5" t="s">
        <v>3</v>
      </c>
      <c r="BZ372" s="5" t="s">
        <v>5</v>
      </c>
      <c r="CA372" s="5" t="s">
        <v>6</v>
      </c>
      <c r="CB372" s="5" t="s">
        <v>7</v>
      </c>
      <c r="CC372" s="5"/>
      <c r="CD372" s="5" t="s">
        <v>8</v>
      </c>
      <c r="CE372" s="5" t="s">
        <v>9</v>
      </c>
      <c r="CF372" s="5" t="s">
        <v>10</v>
      </c>
      <c r="CG372" s="5" t="s">
        <v>11</v>
      </c>
      <c r="CH372" s="63"/>
      <c r="CI372" s="8" t="s">
        <v>1</v>
      </c>
      <c r="CJ372" s="5" t="s">
        <v>2</v>
      </c>
      <c r="CK372" s="5" t="s">
        <v>3</v>
      </c>
      <c r="CL372" s="6" t="s">
        <v>4</v>
      </c>
      <c r="CM372" s="5" t="s">
        <v>3</v>
      </c>
      <c r="CN372" s="5" t="s">
        <v>5</v>
      </c>
      <c r="CO372" s="5" t="s">
        <v>6</v>
      </c>
      <c r="CP372" s="5" t="s">
        <v>7</v>
      </c>
      <c r="CQ372" s="5"/>
      <c r="CR372" s="5" t="s">
        <v>8</v>
      </c>
      <c r="CS372" s="5" t="s">
        <v>9</v>
      </c>
      <c r="CT372" s="5" t="s">
        <v>10</v>
      </c>
      <c r="CU372" s="5" t="s">
        <v>11</v>
      </c>
      <c r="CV372" s="1"/>
      <c r="CW372" s="8" t="s">
        <v>1</v>
      </c>
      <c r="CX372" s="5" t="s">
        <v>2</v>
      </c>
      <c r="CY372" s="5" t="s">
        <v>3</v>
      </c>
      <c r="CZ372" s="6" t="s">
        <v>4</v>
      </c>
      <c r="DA372" s="5" t="s">
        <v>3</v>
      </c>
      <c r="DB372" s="5" t="s">
        <v>5</v>
      </c>
      <c r="DC372" s="5" t="s">
        <v>6</v>
      </c>
      <c r="DD372" s="5" t="s">
        <v>7</v>
      </c>
      <c r="DE372" s="5"/>
      <c r="DF372" s="5" t="s">
        <v>8</v>
      </c>
      <c r="DG372" s="5" t="s">
        <v>9</v>
      </c>
      <c r="DH372" s="5" t="s">
        <v>10</v>
      </c>
      <c r="DI372" s="5" t="s">
        <v>11</v>
      </c>
      <c r="DJ372" s="63"/>
      <c r="DK372" s="8" t="s">
        <v>1</v>
      </c>
      <c r="DL372" s="5" t="s">
        <v>2</v>
      </c>
      <c r="DM372" s="5" t="s">
        <v>3</v>
      </c>
      <c r="DN372" s="6" t="s">
        <v>4</v>
      </c>
      <c r="DO372" s="5" t="s">
        <v>3</v>
      </c>
      <c r="DP372" s="5" t="s">
        <v>5</v>
      </c>
      <c r="DQ372" s="5" t="s">
        <v>6</v>
      </c>
      <c r="DR372" s="5" t="s">
        <v>7</v>
      </c>
      <c r="DS372" s="5"/>
      <c r="DT372" s="5" t="s">
        <v>8</v>
      </c>
      <c r="DU372" s="5" t="s">
        <v>9</v>
      </c>
      <c r="DV372" s="5" t="s">
        <v>10</v>
      </c>
      <c r="DW372" s="5" t="s">
        <v>11</v>
      </c>
    </row>
    <row r="373" spans="1:127" x14ac:dyDescent="0.2">
      <c r="A373" s="16">
        <v>46010</v>
      </c>
      <c r="B373" s="74">
        <v>812</v>
      </c>
      <c r="C373" s="53">
        <v>4379</v>
      </c>
      <c r="D373" s="53">
        <v>56</v>
      </c>
      <c r="E373" s="53">
        <v>323</v>
      </c>
      <c r="F373" s="53">
        <v>1</v>
      </c>
      <c r="G373" s="53">
        <v>8</v>
      </c>
      <c r="H373" s="53">
        <v>1</v>
      </c>
      <c r="I373" s="53">
        <v>1</v>
      </c>
      <c r="J373" s="75" t="s">
        <v>383</v>
      </c>
      <c r="K373" s="76">
        <v>0</v>
      </c>
      <c r="L373" s="53">
        <v>0</v>
      </c>
      <c r="M373" s="77">
        <v>0</v>
      </c>
      <c r="N373" s="15"/>
      <c r="O373" s="2"/>
      <c r="P373" s="16">
        <v>46010</v>
      </c>
      <c r="Q373" s="53">
        <v>4174</v>
      </c>
      <c r="R373" s="53">
        <v>7</v>
      </c>
      <c r="S373" s="53">
        <v>139</v>
      </c>
      <c r="T373" s="53">
        <v>1</v>
      </c>
      <c r="U373" s="53">
        <v>13</v>
      </c>
      <c r="V373" s="53">
        <v>1</v>
      </c>
      <c r="W373" s="53">
        <v>4</v>
      </c>
      <c r="X373" s="75" t="s">
        <v>36</v>
      </c>
      <c r="Y373" s="76">
        <v>1100</v>
      </c>
      <c r="Z373" s="53">
        <v>1100</v>
      </c>
      <c r="AA373" s="77">
        <v>1.5714285714285714</v>
      </c>
      <c r="AB373" s="15" t="s">
        <v>399</v>
      </c>
      <c r="AC373" s="1"/>
      <c r="AD373" s="16">
        <v>46010</v>
      </c>
      <c r="AE373" s="53">
        <v>9429</v>
      </c>
      <c r="AF373" s="53">
        <v>23</v>
      </c>
      <c r="AG373" s="53">
        <v>214</v>
      </c>
      <c r="AH373" s="53">
        <v>1</v>
      </c>
      <c r="AI373" s="53">
        <v>11</v>
      </c>
      <c r="AJ373" s="53">
        <v>1</v>
      </c>
      <c r="AK373" s="53">
        <v>0</v>
      </c>
      <c r="AL373" s="75" t="s">
        <v>384</v>
      </c>
      <c r="AM373" s="76">
        <v>545</v>
      </c>
      <c r="AN373" s="53">
        <v>1100</v>
      </c>
      <c r="AO373" s="77">
        <v>0.47826086956521741</v>
      </c>
      <c r="AP373" s="15"/>
      <c r="AQ373" s="2"/>
      <c r="AR373" s="16">
        <v>46010</v>
      </c>
      <c r="AS373" s="53">
        <v>10220</v>
      </c>
      <c r="AT373" s="53">
        <v>40</v>
      </c>
      <c r="AU373" s="53">
        <v>320</v>
      </c>
      <c r="AV373" s="53">
        <v>2</v>
      </c>
      <c r="AW373" s="53">
        <v>14</v>
      </c>
      <c r="AX373" s="53">
        <v>0</v>
      </c>
      <c r="AY373" s="53">
        <v>0</v>
      </c>
      <c r="AZ373" s="75" t="s">
        <v>363</v>
      </c>
      <c r="BA373" s="76">
        <v>924</v>
      </c>
      <c r="BB373" s="53">
        <v>0</v>
      </c>
      <c r="BC373" s="77">
        <v>0</v>
      </c>
      <c r="BD373" s="15"/>
      <c r="BU373" s="16">
        <v>46010</v>
      </c>
      <c r="BV373" s="76">
        <v>11466</v>
      </c>
      <c r="BW373" s="53">
        <v>48</v>
      </c>
      <c r="BX373" s="53">
        <v>261</v>
      </c>
      <c r="BY373" s="53">
        <v>0</v>
      </c>
      <c r="BZ373" s="53">
        <v>41</v>
      </c>
      <c r="CA373" s="53">
        <v>1</v>
      </c>
      <c r="CB373" s="53">
        <v>0</v>
      </c>
      <c r="CC373" s="53"/>
      <c r="CD373" s="53">
        <v>688</v>
      </c>
      <c r="CE373" s="13">
        <v>688</v>
      </c>
      <c r="CF373" s="14">
        <v>0.14333333333333334</v>
      </c>
      <c r="CG373" s="91" t="s">
        <v>401</v>
      </c>
      <c r="CH373" s="1"/>
      <c r="CI373" s="16">
        <v>46010</v>
      </c>
      <c r="CJ373" s="76">
        <v>10364</v>
      </c>
      <c r="CK373" s="53">
        <v>42</v>
      </c>
      <c r="CL373" s="53">
        <v>157</v>
      </c>
      <c r="CM373" s="53">
        <v>0</v>
      </c>
      <c r="CN373" s="53">
        <v>9</v>
      </c>
      <c r="CO373" s="53">
        <v>0</v>
      </c>
      <c r="CP373" s="53">
        <v>0</v>
      </c>
      <c r="CQ373" s="53"/>
      <c r="CR373" s="13">
        <v>715</v>
      </c>
      <c r="CS373" s="13">
        <v>0</v>
      </c>
      <c r="CT373" s="14">
        <v>0</v>
      </c>
      <c r="CU373" s="67" t="s">
        <v>403</v>
      </c>
      <c r="CV373" s="1"/>
      <c r="CW373" s="16">
        <v>46010</v>
      </c>
      <c r="CX373" s="76">
        <v>10330</v>
      </c>
      <c r="CY373" s="53">
        <v>71</v>
      </c>
      <c r="CZ373" s="53">
        <v>202</v>
      </c>
      <c r="DA373" s="53">
        <v>0</v>
      </c>
      <c r="DB373" s="53">
        <v>31</v>
      </c>
      <c r="DC373" s="53">
        <v>0</v>
      </c>
      <c r="DD373" s="53">
        <v>8</v>
      </c>
      <c r="DE373" s="53"/>
      <c r="DF373" s="53">
        <v>880</v>
      </c>
      <c r="DG373" s="13">
        <v>0</v>
      </c>
      <c r="DH373" s="14">
        <v>0</v>
      </c>
      <c r="DI373" s="15" t="s">
        <v>402</v>
      </c>
      <c r="DJ373" s="1"/>
      <c r="DK373" s="16">
        <v>46010</v>
      </c>
      <c r="DL373" s="76">
        <v>7904</v>
      </c>
      <c r="DM373" s="53">
        <v>52</v>
      </c>
      <c r="DN373" s="53">
        <v>244</v>
      </c>
      <c r="DO373" s="53">
        <v>1</v>
      </c>
      <c r="DP373" s="53">
        <v>33</v>
      </c>
      <c r="DQ373" s="53">
        <v>1</v>
      </c>
      <c r="DR373" s="53">
        <v>0</v>
      </c>
      <c r="DS373" s="53"/>
      <c r="DT373" s="13">
        <v>1100</v>
      </c>
      <c r="DU373" s="13">
        <v>1100</v>
      </c>
      <c r="DV373" s="14">
        <v>0.21153846153846154</v>
      </c>
      <c r="DW373" s="22" t="s">
        <v>66</v>
      </c>
    </row>
    <row r="374" spans="1:127" x14ac:dyDescent="0.2">
      <c r="A374" s="16"/>
      <c r="B374" s="11"/>
      <c r="C374" s="13">
        <v>3562</v>
      </c>
      <c r="D374" s="13">
        <v>66</v>
      </c>
      <c r="E374" s="13">
        <v>341</v>
      </c>
      <c r="F374" s="13">
        <v>0</v>
      </c>
      <c r="G374" s="13">
        <v>36</v>
      </c>
      <c r="H374" s="13">
        <v>1</v>
      </c>
      <c r="I374" s="13">
        <v>6</v>
      </c>
      <c r="J374" s="56" t="s">
        <v>393</v>
      </c>
      <c r="K374" s="54">
        <v>1075</v>
      </c>
      <c r="L374" s="13">
        <v>1075</v>
      </c>
      <c r="M374" s="14">
        <v>0.16287878787878787</v>
      </c>
      <c r="N374" s="15" t="s">
        <v>152</v>
      </c>
      <c r="O374" s="2"/>
      <c r="P374" s="16"/>
      <c r="Q374" s="13">
        <v>3625</v>
      </c>
      <c r="R374" s="13">
        <v>36</v>
      </c>
      <c r="S374" s="13">
        <v>113</v>
      </c>
      <c r="T374" s="13">
        <v>0</v>
      </c>
      <c r="U374" s="13">
        <v>22</v>
      </c>
      <c r="V374" s="13">
        <v>2</v>
      </c>
      <c r="W374" s="13">
        <v>6</v>
      </c>
      <c r="X374" s="75" t="s">
        <v>377</v>
      </c>
      <c r="Y374" s="53">
        <v>1100</v>
      </c>
      <c r="Z374" s="13">
        <v>2200</v>
      </c>
      <c r="AA374" s="14">
        <v>0.61111111111111116</v>
      </c>
      <c r="AB374" s="15"/>
      <c r="AC374" s="1"/>
      <c r="AD374" s="16"/>
      <c r="AE374" s="13">
        <v>9059</v>
      </c>
      <c r="AF374" s="13">
        <v>36</v>
      </c>
      <c r="AG374" s="13">
        <v>205</v>
      </c>
      <c r="AH374" s="13">
        <v>0</v>
      </c>
      <c r="AI374" s="13">
        <v>9</v>
      </c>
      <c r="AJ374" s="13">
        <v>0</v>
      </c>
      <c r="AK374" s="13">
        <v>0</v>
      </c>
      <c r="AL374" s="56" t="s">
        <v>400</v>
      </c>
      <c r="AM374" s="54">
        <v>792</v>
      </c>
      <c r="AN374" s="13">
        <v>0</v>
      </c>
      <c r="AO374" s="14">
        <v>0</v>
      </c>
      <c r="AP374" s="15"/>
      <c r="AQ374" s="2"/>
      <c r="AR374" s="16"/>
      <c r="AS374" s="13">
        <v>6928</v>
      </c>
      <c r="AT374" s="13">
        <v>9</v>
      </c>
      <c r="AU374" s="13">
        <v>356</v>
      </c>
      <c r="AV374" s="13">
        <v>2</v>
      </c>
      <c r="AW374" s="13">
        <v>7</v>
      </c>
      <c r="AX374" s="13">
        <v>6</v>
      </c>
      <c r="AY374" s="13">
        <v>0</v>
      </c>
      <c r="AZ374" s="56" t="s">
        <v>164</v>
      </c>
      <c r="BA374" s="54">
        <v>1000</v>
      </c>
      <c r="BB374" s="13">
        <v>6000</v>
      </c>
      <c r="BC374" s="14">
        <v>6.666666666666667</v>
      </c>
      <c r="BD374" s="15"/>
      <c r="BU374" s="79">
        <f>IF($A377="","",$A377)</f>
        <v>46013</v>
      </c>
      <c r="BV374" s="17">
        <v>11777</v>
      </c>
      <c r="BW374" s="13">
        <f t="shared" ref="BW374:BW385" si="702">IF(BV374="","",BV374-BV373)</f>
        <v>311</v>
      </c>
      <c r="BX374" s="13">
        <v>266</v>
      </c>
      <c r="BY374" s="13">
        <f t="shared" ref="BY374:BY385" si="703">IF(BX374="","",BX374-BX373)</f>
        <v>5</v>
      </c>
      <c r="BZ374" s="13">
        <v>36</v>
      </c>
      <c r="CA374" s="13">
        <f t="shared" ref="CA374:CA385" si="704">IF(BZ374="","",BZ373+CB373-BZ374)</f>
        <v>5</v>
      </c>
      <c r="CB374" s="13">
        <v>0</v>
      </c>
      <c r="CC374" s="53"/>
      <c r="CD374" s="53">
        <f t="shared" ref="CD374:CD385" si="705">IF(BV374="","",CD373)</f>
        <v>688</v>
      </c>
      <c r="CE374" s="13">
        <f t="shared" ref="CE374:CE385" si="706">IF(CD374="","",CA374*CD374)</f>
        <v>3440</v>
      </c>
      <c r="CF374" s="14">
        <f t="shared" ref="CF374:CF385" si="707">IF(CE374="","",CE374/(BW374*100))</f>
        <v>0.11061093247588424</v>
      </c>
      <c r="CG374" s="15"/>
      <c r="CH374" s="1"/>
      <c r="CI374" s="79">
        <f>IF($A377="","",$A377)</f>
        <v>46013</v>
      </c>
      <c r="CJ374" s="17">
        <v>10531</v>
      </c>
      <c r="CK374" s="13">
        <f t="shared" ref="CK374:CK385" si="708">IF(CJ374="","",CJ374-CJ373)</f>
        <v>167</v>
      </c>
      <c r="CL374" s="13">
        <v>160</v>
      </c>
      <c r="CM374" s="13">
        <f t="shared" ref="CM374:CM385" si="709">IF(CL374="","",CL374-CL373)</f>
        <v>3</v>
      </c>
      <c r="CN374" s="13">
        <v>2</v>
      </c>
      <c r="CO374" s="13">
        <f t="shared" ref="CO374:CO385" si="710">IF(CN374="","",CN373+CP373-CN374)</f>
        <v>7</v>
      </c>
      <c r="CP374" s="13">
        <v>6</v>
      </c>
      <c r="CQ374" s="53"/>
      <c r="CR374" s="53">
        <f>IF(CJ374="","",CR373)</f>
        <v>715</v>
      </c>
      <c r="CS374" s="13">
        <f t="shared" ref="CS374:CS385" si="711">IF(CR374="","",CO374*CR374)</f>
        <v>5005</v>
      </c>
      <c r="CT374" s="14">
        <f t="shared" ref="CT374:CT385" si="712">IF(CS374="","",CS374/(CK374*100))</f>
        <v>0.29970059880239519</v>
      </c>
      <c r="CU374" s="15"/>
      <c r="CV374" s="1"/>
      <c r="CW374" s="79">
        <f>IF($A377="","",$A377)</f>
        <v>46013</v>
      </c>
      <c r="CX374" s="17">
        <v>10502</v>
      </c>
      <c r="CY374" s="13">
        <f t="shared" ref="CY374:CY385" si="713">IF(CX374="","",CX374-CX373)</f>
        <v>172</v>
      </c>
      <c r="CZ374" s="13">
        <v>204</v>
      </c>
      <c r="DA374" s="13">
        <f t="shared" ref="DA374:DA385" si="714">IF(CZ374="","",CZ374-CZ373)</f>
        <v>2</v>
      </c>
      <c r="DB374" s="13">
        <v>36</v>
      </c>
      <c r="DC374" s="13">
        <f t="shared" ref="DC374:DC385" si="715">IF(DB374="","",DB373+DD373-DB374)</f>
        <v>3</v>
      </c>
      <c r="DD374" s="13">
        <v>4</v>
      </c>
      <c r="DE374" s="53"/>
      <c r="DF374" s="53">
        <f t="shared" ref="DF374:DF385" si="716">IF(CX374="","",DF373)</f>
        <v>880</v>
      </c>
      <c r="DG374" s="13">
        <f t="shared" ref="DG374:DG385" si="717">IF(DF374="","",DC374*DF374)</f>
        <v>2640</v>
      </c>
      <c r="DH374" s="14">
        <f t="shared" ref="DH374:DH385" si="718">IF(DG374="","",DG374/(CY374*100))</f>
        <v>0.15348837209302327</v>
      </c>
      <c r="DI374" s="15"/>
      <c r="DJ374" s="1"/>
      <c r="DK374" s="79">
        <f>IF($A377="","",$A377)</f>
        <v>46013</v>
      </c>
      <c r="DL374" s="17">
        <v>8002</v>
      </c>
      <c r="DM374" s="13">
        <f t="shared" ref="DM374:DM385" si="719">IF(DL374="","",DL374-DL373)</f>
        <v>98</v>
      </c>
      <c r="DN374" s="13">
        <v>244</v>
      </c>
      <c r="DO374" s="13">
        <f t="shared" ref="DO374:DO385" si="720">IF(DN374="","",DN374-DN373)</f>
        <v>0</v>
      </c>
      <c r="DP374" s="13">
        <v>33</v>
      </c>
      <c r="DQ374" s="13">
        <f t="shared" ref="DQ374:DQ385" si="721">IF(DP374="","",DP373+DR373-DP374)</f>
        <v>0</v>
      </c>
      <c r="DR374" s="13">
        <v>0</v>
      </c>
      <c r="DS374" s="53"/>
      <c r="DT374" s="53">
        <f t="shared" ref="DT374:DT385" si="722">IF(DL374="","",DT373)</f>
        <v>1100</v>
      </c>
      <c r="DU374" s="13">
        <f t="shared" ref="DU374:DU385" si="723">IF(DT374="","",DQ374*DT374)</f>
        <v>0</v>
      </c>
      <c r="DV374" s="14">
        <f t="shared" ref="DV374:DV385" si="724">IF(DU374="","",DU374/(DM374*100))</f>
        <v>0</v>
      </c>
      <c r="DW374" s="15"/>
    </row>
    <row r="375" spans="1:127" x14ac:dyDescent="0.2">
      <c r="A375" s="16"/>
      <c r="B375" s="11"/>
      <c r="C375" s="13">
        <v>10212</v>
      </c>
      <c r="D375" s="13">
        <v>53</v>
      </c>
      <c r="E375" s="13">
        <v>589</v>
      </c>
      <c r="F375" s="13">
        <v>0</v>
      </c>
      <c r="G375" s="13">
        <v>126</v>
      </c>
      <c r="H375" s="13">
        <v>5</v>
      </c>
      <c r="I375" s="13">
        <v>7</v>
      </c>
      <c r="J375" s="56" t="s">
        <v>171</v>
      </c>
      <c r="K375" s="54">
        <v>200</v>
      </c>
      <c r="L375" s="13">
        <v>1000</v>
      </c>
      <c r="M375" s="14">
        <v>0.18867924528301888</v>
      </c>
      <c r="N375" s="15"/>
      <c r="O375" s="2"/>
      <c r="P375" s="16"/>
      <c r="Q375" s="13">
        <v>7092</v>
      </c>
      <c r="R375" s="13">
        <v>20</v>
      </c>
      <c r="S375" s="13">
        <v>127</v>
      </c>
      <c r="T375" s="13">
        <v>0</v>
      </c>
      <c r="U375" s="13">
        <v>8</v>
      </c>
      <c r="V375" s="13">
        <v>0</v>
      </c>
      <c r="W375" s="13">
        <v>6</v>
      </c>
      <c r="X375" s="56" t="s">
        <v>374</v>
      </c>
      <c r="Y375" s="54">
        <v>660</v>
      </c>
      <c r="Z375" s="13">
        <v>0</v>
      </c>
      <c r="AA375" s="14">
        <v>0</v>
      </c>
      <c r="AB375" s="15"/>
      <c r="AC375" s="1"/>
      <c r="AD375" s="16"/>
      <c r="AE375" s="13">
        <v>10761</v>
      </c>
      <c r="AF375" s="13">
        <v>8</v>
      </c>
      <c r="AG375" s="13">
        <v>294</v>
      </c>
      <c r="AH375" s="13">
        <v>0</v>
      </c>
      <c r="AI375" s="13">
        <v>56</v>
      </c>
      <c r="AJ375" s="13">
        <v>0</v>
      </c>
      <c r="AK375" s="13">
        <v>6</v>
      </c>
      <c r="AL375" s="56" t="s">
        <v>375</v>
      </c>
      <c r="AM375" s="54">
        <v>682</v>
      </c>
      <c r="AN375" s="13">
        <v>0</v>
      </c>
      <c r="AO375" s="14">
        <v>0</v>
      </c>
      <c r="AP375" s="15" t="s">
        <v>109</v>
      </c>
      <c r="AQ375" s="2"/>
      <c r="AR375" s="16"/>
      <c r="AS375" s="13">
        <v>13312</v>
      </c>
      <c r="AT375" s="13">
        <v>52</v>
      </c>
      <c r="AU375" s="13">
        <v>467</v>
      </c>
      <c r="AV375" s="13">
        <v>1</v>
      </c>
      <c r="AW375" s="13">
        <v>19</v>
      </c>
      <c r="AX375" s="13">
        <v>1</v>
      </c>
      <c r="AY375" s="13">
        <v>2</v>
      </c>
      <c r="AZ375" s="56" t="s">
        <v>330</v>
      </c>
      <c r="BA375" s="54">
        <v>500</v>
      </c>
      <c r="BB375" s="13">
        <v>500</v>
      </c>
      <c r="BC375" s="14">
        <v>9.6153846153846159E-2</v>
      </c>
      <c r="BD375" s="15"/>
      <c r="BU375" s="79">
        <f>IF($A381="","",$A381)</f>
        <v>46017</v>
      </c>
      <c r="BV375" s="17">
        <v>11919</v>
      </c>
      <c r="BW375" s="13">
        <f t="shared" si="702"/>
        <v>142</v>
      </c>
      <c r="BX375" s="13">
        <v>270</v>
      </c>
      <c r="BY375" s="13">
        <f t="shared" si="703"/>
        <v>4</v>
      </c>
      <c r="BZ375" s="13">
        <v>32</v>
      </c>
      <c r="CA375" s="13">
        <f t="shared" si="704"/>
        <v>4</v>
      </c>
      <c r="CB375" s="13">
        <v>4</v>
      </c>
      <c r="CC375" s="53"/>
      <c r="CD375" s="53">
        <f t="shared" si="705"/>
        <v>688</v>
      </c>
      <c r="CE375" s="13">
        <f t="shared" si="706"/>
        <v>2752</v>
      </c>
      <c r="CF375" s="14">
        <f t="shared" si="707"/>
        <v>0.19380281690140846</v>
      </c>
      <c r="CG375" s="15" t="s">
        <v>405</v>
      </c>
      <c r="CH375" s="1"/>
      <c r="CI375" s="79">
        <f>IF($A381="","",$A381)</f>
        <v>46017</v>
      </c>
      <c r="CJ375" s="17">
        <v>10724</v>
      </c>
      <c r="CK375" s="13">
        <f t="shared" si="708"/>
        <v>193</v>
      </c>
      <c r="CL375" s="13">
        <v>162</v>
      </c>
      <c r="CM375" s="13">
        <f t="shared" si="709"/>
        <v>2</v>
      </c>
      <c r="CN375" s="13">
        <v>5</v>
      </c>
      <c r="CO375" s="13">
        <f t="shared" si="710"/>
        <v>3</v>
      </c>
      <c r="CP375" s="13">
        <v>2</v>
      </c>
      <c r="CQ375" s="53"/>
      <c r="CR375" s="53">
        <f>IF(CJ375="","",CR374)</f>
        <v>715</v>
      </c>
      <c r="CS375" s="13">
        <f t="shared" si="711"/>
        <v>2145</v>
      </c>
      <c r="CT375" s="14">
        <f t="shared" si="712"/>
        <v>0.11113989637305699</v>
      </c>
      <c r="CU375" s="15"/>
      <c r="CV375" s="1"/>
      <c r="CW375" s="79">
        <f>IF($A381="","",$A381)</f>
        <v>46017</v>
      </c>
      <c r="CX375" s="17">
        <v>10684</v>
      </c>
      <c r="CY375" s="13">
        <f t="shared" si="713"/>
        <v>182</v>
      </c>
      <c r="CZ375" s="13">
        <v>208</v>
      </c>
      <c r="DA375" s="13">
        <f t="shared" si="714"/>
        <v>4</v>
      </c>
      <c r="DB375" s="13">
        <v>36</v>
      </c>
      <c r="DC375" s="13">
        <f t="shared" si="715"/>
        <v>4</v>
      </c>
      <c r="DD375" s="13">
        <v>4</v>
      </c>
      <c r="DE375" s="53"/>
      <c r="DF375" s="53">
        <f t="shared" si="716"/>
        <v>880</v>
      </c>
      <c r="DG375" s="13">
        <f t="shared" si="717"/>
        <v>3520</v>
      </c>
      <c r="DH375" s="14">
        <f t="shared" si="718"/>
        <v>0.19340659340659341</v>
      </c>
      <c r="DI375" s="15" t="s">
        <v>406</v>
      </c>
      <c r="DJ375" s="1"/>
      <c r="DK375" s="79">
        <f>IF($A381="","",$A381)</f>
        <v>46017</v>
      </c>
      <c r="DL375" s="17">
        <v>8158</v>
      </c>
      <c r="DM375" s="13">
        <f t="shared" si="719"/>
        <v>156</v>
      </c>
      <c r="DN375" s="13">
        <v>246</v>
      </c>
      <c r="DO375" s="13">
        <f t="shared" si="720"/>
        <v>2</v>
      </c>
      <c r="DP375" s="13">
        <v>31</v>
      </c>
      <c r="DQ375" s="13">
        <f t="shared" si="721"/>
        <v>2</v>
      </c>
      <c r="DR375" s="13">
        <v>8</v>
      </c>
      <c r="DS375" s="53"/>
      <c r="DT375" s="53">
        <f t="shared" si="722"/>
        <v>1100</v>
      </c>
      <c r="DU375" s="13">
        <f t="shared" si="723"/>
        <v>2200</v>
      </c>
      <c r="DV375" s="14">
        <f t="shared" si="724"/>
        <v>0.14102564102564102</v>
      </c>
      <c r="DW375" s="15"/>
    </row>
    <row r="376" spans="1:127" ht="15" customHeight="1" thickBot="1" x14ac:dyDescent="0.25">
      <c r="A376" s="26"/>
      <c r="B376" s="46"/>
      <c r="C376" s="27">
        <v>5231</v>
      </c>
      <c r="D376" s="27">
        <v>84</v>
      </c>
      <c r="E376" s="27">
        <v>421</v>
      </c>
      <c r="F376" s="27">
        <v>2</v>
      </c>
      <c r="G376" s="27">
        <v>38</v>
      </c>
      <c r="H376" s="27">
        <v>2</v>
      </c>
      <c r="I376" s="27">
        <v>5</v>
      </c>
      <c r="J376" s="57" t="s">
        <v>44</v>
      </c>
      <c r="K376" s="27">
        <v>900</v>
      </c>
      <c r="L376" s="27">
        <v>1800</v>
      </c>
      <c r="M376" s="28">
        <v>0.21428571428571427</v>
      </c>
      <c r="N376" s="15"/>
      <c r="O376" s="2"/>
      <c r="P376" s="26"/>
      <c r="Q376" s="27">
        <v>6608</v>
      </c>
      <c r="R376" s="27">
        <v>43</v>
      </c>
      <c r="S376" s="27">
        <v>114</v>
      </c>
      <c r="T376" s="27">
        <v>2</v>
      </c>
      <c r="U376" s="27">
        <v>5</v>
      </c>
      <c r="V376" s="27">
        <v>3</v>
      </c>
      <c r="W376" s="27">
        <v>12</v>
      </c>
      <c r="X376" s="57" t="s">
        <v>232</v>
      </c>
      <c r="Y376" s="27">
        <v>286</v>
      </c>
      <c r="Z376" s="27">
        <v>858</v>
      </c>
      <c r="AA376" s="28">
        <v>0.19953488372093023</v>
      </c>
      <c r="AB376" s="142"/>
      <c r="AC376" s="63"/>
      <c r="AD376" s="145"/>
      <c r="AE376" s="27">
        <v>10858</v>
      </c>
      <c r="AF376" s="90">
        <v>21</v>
      </c>
      <c r="AG376" s="27">
        <v>284</v>
      </c>
      <c r="AH376" s="27">
        <v>0</v>
      </c>
      <c r="AI376" s="27">
        <v>11</v>
      </c>
      <c r="AJ376" s="27">
        <v>0</v>
      </c>
      <c r="AK376" s="27">
        <v>2</v>
      </c>
      <c r="AL376" s="108" t="s">
        <v>353</v>
      </c>
      <c r="AM376" s="27">
        <v>605</v>
      </c>
      <c r="AN376" s="27">
        <v>0</v>
      </c>
      <c r="AO376" s="28">
        <v>0</v>
      </c>
      <c r="AP376" s="15"/>
      <c r="AQ376" s="2"/>
      <c r="AR376" s="26"/>
      <c r="AS376" s="27">
        <v>13619</v>
      </c>
      <c r="AT376" s="27">
        <v>45</v>
      </c>
      <c r="AU376" s="27">
        <v>397</v>
      </c>
      <c r="AV376" s="27">
        <v>0</v>
      </c>
      <c r="AW376" s="27">
        <v>27</v>
      </c>
      <c r="AX376" s="27">
        <v>0</v>
      </c>
      <c r="AY376" s="27">
        <v>0</v>
      </c>
      <c r="AZ376" s="57" t="s">
        <v>293</v>
      </c>
      <c r="BA376" s="27">
        <v>400</v>
      </c>
      <c r="BB376" s="27">
        <v>0</v>
      </c>
      <c r="BC376" s="28">
        <v>0</v>
      </c>
      <c r="BD376" s="15"/>
      <c r="BU376" s="79">
        <f>IF($A385="","",$A385)</f>
        <v>46020</v>
      </c>
      <c r="BV376" s="17">
        <v>12219</v>
      </c>
      <c r="BW376" s="13">
        <f t="shared" si="702"/>
        <v>300</v>
      </c>
      <c r="BX376" s="13">
        <v>275</v>
      </c>
      <c r="BY376" s="13">
        <f t="shared" si="703"/>
        <v>5</v>
      </c>
      <c r="BZ376" s="13">
        <v>31</v>
      </c>
      <c r="CA376" s="13">
        <f t="shared" si="704"/>
        <v>5</v>
      </c>
      <c r="CB376" s="13">
        <v>4</v>
      </c>
      <c r="CC376" s="53"/>
      <c r="CD376" s="53">
        <f t="shared" si="705"/>
        <v>688</v>
      </c>
      <c r="CE376" s="13">
        <f t="shared" si="706"/>
        <v>3440</v>
      </c>
      <c r="CF376" s="14">
        <f t="shared" si="707"/>
        <v>0.11466666666666667</v>
      </c>
      <c r="CG376" s="15"/>
      <c r="CH376" s="1"/>
      <c r="CI376" s="79">
        <f>IF($A385="","",$A385)</f>
        <v>46020</v>
      </c>
      <c r="CJ376" s="17">
        <v>10829</v>
      </c>
      <c r="CK376" s="13">
        <f t="shared" si="708"/>
        <v>105</v>
      </c>
      <c r="CL376" s="13">
        <v>165</v>
      </c>
      <c r="CM376" s="13">
        <f t="shared" si="709"/>
        <v>3</v>
      </c>
      <c r="CN376" s="13">
        <v>6</v>
      </c>
      <c r="CO376" s="13">
        <f t="shared" si="710"/>
        <v>1</v>
      </c>
      <c r="CP376" s="13">
        <v>4</v>
      </c>
      <c r="CQ376" s="53"/>
      <c r="CR376" s="53">
        <f>IF(CJ376="","",CR375)</f>
        <v>715</v>
      </c>
      <c r="CS376" s="13">
        <f t="shared" si="711"/>
        <v>715</v>
      </c>
      <c r="CT376" s="14">
        <f t="shared" si="712"/>
        <v>6.8095238095238098E-2</v>
      </c>
      <c r="CU376" s="15" t="s">
        <v>413</v>
      </c>
      <c r="CV376" s="1"/>
      <c r="CW376" s="79">
        <f>IF($A385="","",$A385)</f>
        <v>46020</v>
      </c>
      <c r="CX376" s="17">
        <v>10819</v>
      </c>
      <c r="CY376" s="13">
        <f t="shared" si="713"/>
        <v>135</v>
      </c>
      <c r="CZ376" s="13">
        <v>209</v>
      </c>
      <c r="DA376" s="13">
        <f t="shared" si="714"/>
        <v>1</v>
      </c>
      <c r="DB376" s="13">
        <v>39</v>
      </c>
      <c r="DC376" s="13">
        <f t="shared" si="715"/>
        <v>1</v>
      </c>
      <c r="DD376" s="13">
        <v>0</v>
      </c>
      <c r="DE376" s="53"/>
      <c r="DF376" s="53">
        <f t="shared" si="716"/>
        <v>880</v>
      </c>
      <c r="DG376" s="13">
        <f t="shared" si="717"/>
        <v>880</v>
      </c>
      <c r="DH376" s="14">
        <f t="shared" si="718"/>
        <v>6.5185185185185179E-2</v>
      </c>
      <c r="DI376" s="15"/>
      <c r="DJ376" s="1"/>
      <c r="DK376" s="79">
        <f>IF($A385="","",$A385)</f>
        <v>46020</v>
      </c>
      <c r="DL376" s="17">
        <v>8239</v>
      </c>
      <c r="DM376" s="13">
        <f t="shared" si="719"/>
        <v>81</v>
      </c>
      <c r="DN376" s="13">
        <v>246</v>
      </c>
      <c r="DO376" s="13">
        <f t="shared" si="720"/>
        <v>0</v>
      </c>
      <c r="DP376" s="13">
        <v>39</v>
      </c>
      <c r="DQ376" s="13">
        <f t="shared" si="721"/>
        <v>0</v>
      </c>
      <c r="DR376" s="13">
        <v>2</v>
      </c>
      <c r="DS376" s="53"/>
      <c r="DT376" s="53">
        <f t="shared" si="722"/>
        <v>1100</v>
      </c>
      <c r="DU376" s="13">
        <f t="shared" si="723"/>
        <v>0</v>
      </c>
      <c r="DV376" s="14">
        <f t="shared" si="724"/>
        <v>0</v>
      </c>
      <c r="DW376" s="15"/>
    </row>
    <row r="377" spans="1:127" ht="15" customHeight="1" thickTop="1" x14ac:dyDescent="0.2">
      <c r="A377" s="79">
        <v>46013</v>
      </c>
      <c r="B377" s="74">
        <f>IF(A377="","",SUM(D377:D380)+SUM(R377:R380)+SUM(AF377:AF380)+SUM(AT377:AT380)+SUM(BW374,CK374,CY374,DM374))</f>
        <v>2317</v>
      </c>
      <c r="C377" s="53">
        <v>4436</v>
      </c>
      <c r="D377" s="53">
        <f t="shared" ref="D377:D424" si="725">IF(C377="","",C377-C373)</f>
        <v>57</v>
      </c>
      <c r="E377" s="53">
        <v>324</v>
      </c>
      <c r="F377" s="31">
        <f t="shared" ref="F377:F424" si="726">IF(E377="","",E377-E373)</f>
        <v>1</v>
      </c>
      <c r="G377" s="53">
        <v>8</v>
      </c>
      <c r="H377" s="53">
        <f t="shared" ref="H377:H424" si="727">IF(G377="","",G373+I373-G377)</f>
        <v>1</v>
      </c>
      <c r="I377" s="80">
        <v>0</v>
      </c>
      <c r="J377" s="75" t="str">
        <f t="shared" ref="J377:K384" si="728">IF(C377="","",J373)</f>
        <v>キティヒョウ柄ポーチ</v>
      </c>
      <c r="K377" s="76">
        <f t="shared" si="728"/>
        <v>0</v>
      </c>
      <c r="L377" s="31">
        <f t="shared" ref="L377:L424" si="729">IF(G377="","",H377*K377)</f>
        <v>0</v>
      </c>
      <c r="M377" s="32">
        <f t="shared" ref="M377:M424" si="730">IF(H377="","",L377/(D377*100))</f>
        <v>0</v>
      </c>
      <c r="N377" s="15"/>
      <c r="O377" s="2"/>
      <c r="P377" s="79">
        <f>IF(A377="","",A377)</f>
        <v>46013</v>
      </c>
      <c r="Q377" s="53">
        <v>4226</v>
      </c>
      <c r="R377" s="53">
        <f t="shared" ref="R377:R424" si="731">IF(Q377="","",Q377-Q373)</f>
        <v>52</v>
      </c>
      <c r="S377" s="53">
        <v>146</v>
      </c>
      <c r="T377" s="31">
        <f t="shared" ref="T377:T424" si="732">IF(S377="","",S377-S373)</f>
        <v>7</v>
      </c>
      <c r="U377" s="53">
        <v>10</v>
      </c>
      <c r="V377" s="53">
        <f t="shared" ref="V377:V424" si="733">IF(U377="","",U373+W373-U377)</f>
        <v>7</v>
      </c>
      <c r="W377" s="80">
        <v>0</v>
      </c>
      <c r="X377" s="75" t="str">
        <f t="shared" ref="X377:X388" si="734">IF(Q377="","",X373)</f>
        <v>ジャグラーイヤホン</v>
      </c>
      <c r="Y377" s="76">
        <f t="shared" ref="Y377:Y388" si="735">IF(R377="","",Y373)</f>
        <v>1100</v>
      </c>
      <c r="Z377" s="31">
        <f t="shared" ref="Z377:Z424" si="736">IF(U377="","",V377*Y377)</f>
        <v>7700</v>
      </c>
      <c r="AA377" s="32">
        <f t="shared" ref="AA377:AA424" si="737">IF(V377="","",Z377/(R377*100))</f>
        <v>1.4807692307692308</v>
      </c>
      <c r="AB377" s="15" t="s">
        <v>109</v>
      </c>
      <c r="AC377" s="15"/>
      <c r="AD377" s="79">
        <f>IF($A377="","",$A377)</f>
        <v>46013</v>
      </c>
      <c r="AE377" s="53">
        <v>9555</v>
      </c>
      <c r="AF377" s="53">
        <f t="shared" ref="AF377:AF424" si="738">IF(AE377="","",AE377-AE373)</f>
        <v>126</v>
      </c>
      <c r="AG377" s="53">
        <v>216</v>
      </c>
      <c r="AH377" s="31">
        <f t="shared" ref="AH377:AH424" si="739">IF(AG377="","",AG377-AG373)</f>
        <v>2</v>
      </c>
      <c r="AI377" s="53">
        <v>11</v>
      </c>
      <c r="AJ377" s="53">
        <f t="shared" ref="AJ377:AJ424" si="740">IF(AI377="","",AI373+AK373-AI377)</f>
        <v>0</v>
      </c>
      <c r="AK377" s="80">
        <v>0</v>
      </c>
      <c r="AL377" s="75" t="str">
        <f t="shared" ref="AL377:AL424" si="741">IF(AE377="","",AL373)</f>
        <v>サンリオ型押しケース</v>
      </c>
      <c r="AM377" s="76">
        <f t="shared" ref="AM377:AM424" si="742">IF(AF377="","",AM373)</f>
        <v>545</v>
      </c>
      <c r="AN377" s="31">
        <f t="shared" ref="AN377:AN424" si="743">IF(AI377="","",AJ377*AM377)</f>
        <v>0</v>
      </c>
      <c r="AO377" s="32">
        <f t="shared" ref="AO377:AO424" si="744">IF(AJ377="","",AN377/(AF377*100))</f>
        <v>0</v>
      </c>
      <c r="AP377" s="15"/>
      <c r="AQ377" s="113"/>
      <c r="AR377" s="79">
        <f>IF($A377="","",$A377)</f>
        <v>46013</v>
      </c>
      <c r="AS377" s="53">
        <v>10280</v>
      </c>
      <c r="AT377" s="53">
        <f t="shared" ref="AT377:AT424" si="745">IF(AS377="","",AS377-AS373)</f>
        <v>60</v>
      </c>
      <c r="AU377" s="53">
        <v>324</v>
      </c>
      <c r="AV377" s="31">
        <f t="shared" ref="AV377:AV424" si="746">IF(AU377="","",AU377-AU373)</f>
        <v>4</v>
      </c>
      <c r="AW377" s="53">
        <v>13</v>
      </c>
      <c r="AX377" s="53">
        <f t="shared" ref="AX377:AX424" si="747">IF(AW377="","",AW373+AY373-AW377)</f>
        <v>1</v>
      </c>
      <c r="AY377" s="80">
        <v>4</v>
      </c>
      <c r="AZ377" s="75" t="str">
        <f t="shared" ref="AZ377:AZ385" si="748">IF(AS377="","",AZ373)</f>
        <v>サンリオヒョウ柄キーケース</v>
      </c>
      <c r="BA377" s="76">
        <f t="shared" ref="BA377:BA385" si="749">IF(AT377="","",BA373)</f>
        <v>924</v>
      </c>
      <c r="BB377" s="31">
        <f t="shared" ref="BB377:BB424" si="750">IF(AW377="","",AX377*BA377)</f>
        <v>924</v>
      </c>
      <c r="BC377" s="32">
        <f t="shared" ref="BC377:BC424" si="751">IF(AX377="","",BB377/(AT377*100))</f>
        <v>0.154</v>
      </c>
      <c r="BD377" s="15"/>
      <c r="BU377" s="79">
        <f>IF($A389="","",$A389)</f>
        <v>46022</v>
      </c>
      <c r="BV377" s="17">
        <v>12360</v>
      </c>
      <c r="BW377" s="13">
        <f t="shared" si="702"/>
        <v>141</v>
      </c>
      <c r="BX377" s="13">
        <v>277</v>
      </c>
      <c r="BY377" s="13">
        <f t="shared" si="703"/>
        <v>2</v>
      </c>
      <c r="BZ377" s="13">
        <v>32</v>
      </c>
      <c r="CA377" s="13">
        <f t="shared" si="704"/>
        <v>3</v>
      </c>
      <c r="CB377" s="13">
        <v>14</v>
      </c>
      <c r="CC377" s="53"/>
      <c r="CD377" s="53">
        <f t="shared" si="705"/>
        <v>688</v>
      </c>
      <c r="CE377" s="13">
        <f t="shared" si="706"/>
        <v>2064</v>
      </c>
      <c r="CF377" s="14">
        <f t="shared" si="707"/>
        <v>0.14638297872340425</v>
      </c>
      <c r="CG377" s="15"/>
      <c r="CH377" s="1"/>
      <c r="CI377" s="79">
        <f>IF($A389="","",$A389)</f>
        <v>46022</v>
      </c>
      <c r="CJ377" s="17">
        <v>10918</v>
      </c>
      <c r="CK377" s="13">
        <f t="shared" si="708"/>
        <v>89</v>
      </c>
      <c r="CL377" s="13">
        <v>165</v>
      </c>
      <c r="CM377" s="13">
        <f t="shared" si="709"/>
        <v>0</v>
      </c>
      <c r="CN377" s="13">
        <v>10</v>
      </c>
      <c r="CO377" s="13">
        <f t="shared" si="710"/>
        <v>0</v>
      </c>
      <c r="CP377" s="13">
        <v>0</v>
      </c>
      <c r="CQ377" s="53"/>
      <c r="CR377" s="53">
        <f>IF(CJ377="","",CR376)</f>
        <v>715</v>
      </c>
      <c r="CS377" s="13">
        <f t="shared" si="711"/>
        <v>0</v>
      </c>
      <c r="CT377" s="14">
        <f t="shared" si="712"/>
        <v>0</v>
      </c>
      <c r="CU377" s="15"/>
      <c r="CV377" s="1"/>
      <c r="CW377" s="79">
        <f>IF($A389="","",$A389)</f>
        <v>46022</v>
      </c>
      <c r="CX377" s="17">
        <v>10914</v>
      </c>
      <c r="CY377" s="13">
        <f t="shared" si="713"/>
        <v>95</v>
      </c>
      <c r="CZ377" s="13">
        <v>211</v>
      </c>
      <c r="DA377" s="13">
        <f t="shared" si="714"/>
        <v>2</v>
      </c>
      <c r="DB377" s="13">
        <v>36</v>
      </c>
      <c r="DC377" s="13">
        <f t="shared" si="715"/>
        <v>3</v>
      </c>
      <c r="DD377" s="13">
        <v>6</v>
      </c>
      <c r="DE377" s="53"/>
      <c r="DF377" s="53">
        <f t="shared" si="716"/>
        <v>880</v>
      </c>
      <c r="DG377" s="13">
        <f t="shared" si="717"/>
        <v>2640</v>
      </c>
      <c r="DH377" s="14">
        <f t="shared" si="718"/>
        <v>0.27789473684210525</v>
      </c>
      <c r="DI377" s="15"/>
      <c r="DJ377" s="1"/>
      <c r="DK377" s="79">
        <f>IF($A389="","",$A389)</f>
        <v>46022</v>
      </c>
      <c r="DL377" s="17">
        <v>8310</v>
      </c>
      <c r="DM377" s="13">
        <f t="shared" si="719"/>
        <v>71</v>
      </c>
      <c r="DN377" s="13">
        <v>246</v>
      </c>
      <c r="DO377" s="13">
        <f t="shared" si="720"/>
        <v>0</v>
      </c>
      <c r="DP377" s="13">
        <v>41</v>
      </c>
      <c r="DQ377" s="13">
        <f t="shared" si="721"/>
        <v>0</v>
      </c>
      <c r="DR377" s="13">
        <v>0</v>
      </c>
      <c r="DS377" s="53"/>
      <c r="DT377" s="53">
        <f t="shared" si="722"/>
        <v>1100</v>
      </c>
      <c r="DU377" s="13">
        <f t="shared" si="723"/>
        <v>0</v>
      </c>
      <c r="DV377" s="14">
        <f t="shared" si="724"/>
        <v>0</v>
      </c>
      <c r="DW377" s="15" t="s">
        <v>417</v>
      </c>
    </row>
    <row r="378" spans="1:127" x14ac:dyDescent="0.2">
      <c r="A378" s="16"/>
      <c r="B378" s="11"/>
      <c r="C378" s="13">
        <v>3623</v>
      </c>
      <c r="D378" s="53">
        <f t="shared" si="725"/>
        <v>61</v>
      </c>
      <c r="E378" s="13">
        <v>342</v>
      </c>
      <c r="F378" s="13">
        <f t="shared" si="726"/>
        <v>1</v>
      </c>
      <c r="G378" s="13">
        <v>40</v>
      </c>
      <c r="H378" s="13">
        <f t="shared" si="727"/>
        <v>2</v>
      </c>
      <c r="I378" s="17">
        <v>0</v>
      </c>
      <c r="J378" s="56" t="str">
        <f t="shared" si="728"/>
        <v>電ブル</v>
      </c>
      <c r="K378" s="54">
        <f t="shared" si="728"/>
        <v>1075</v>
      </c>
      <c r="L378" s="13">
        <f t="shared" si="729"/>
        <v>2150</v>
      </c>
      <c r="M378" s="14">
        <f t="shared" si="730"/>
        <v>0.35245901639344263</v>
      </c>
      <c r="N378" s="15"/>
      <c r="O378" s="2"/>
      <c r="P378" s="16"/>
      <c r="Q378" s="13">
        <v>3720</v>
      </c>
      <c r="R378" s="53">
        <f t="shared" si="731"/>
        <v>95</v>
      </c>
      <c r="S378" s="13">
        <v>117</v>
      </c>
      <c r="T378" s="13">
        <f t="shared" si="732"/>
        <v>4</v>
      </c>
      <c r="U378" s="13">
        <v>24</v>
      </c>
      <c r="V378" s="13">
        <f t="shared" si="733"/>
        <v>4</v>
      </c>
      <c r="W378" s="17">
        <v>10</v>
      </c>
      <c r="X378" s="56" t="str">
        <f t="shared" si="734"/>
        <v>押忍番長ボタン</v>
      </c>
      <c r="Y378" s="54">
        <f t="shared" si="735"/>
        <v>1100</v>
      </c>
      <c r="Z378" s="13">
        <f t="shared" si="736"/>
        <v>4400</v>
      </c>
      <c r="AA378" s="14">
        <f t="shared" si="737"/>
        <v>0.4631578947368421</v>
      </c>
      <c r="AB378" s="15"/>
      <c r="AC378" s="15"/>
      <c r="AD378" s="16"/>
      <c r="AE378" s="13">
        <v>9152</v>
      </c>
      <c r="AF378" s="53">
        <f t="shared" si="738"/>
        <v>93</v>
      </c>
      <c r="AG378" s="13">
        <v>206</v>
      </c>
      <c r="AH378" s="13">
        <f t="shared" si="739"/>
        <v>1</v>
      </c>
      <c r="AI378" s="13">
        <v>8</v>
      </c>
      <c r="AJ378" s="13">
        <f t="shared" si="740"/>
        <v>1</v>
      </c>
      <c r="AK378" s="17">
        <v>1</v>
      </c>
      <c r="AL378" s="56" t="str">
        <f t="shared" si="741"/>
        <v>サンリオヒョウ柄フェイス</v>
      </c>
      <c r="AM378" s="54">
        <f t="shared" si="742"/>
        <v>792</v>
      </c>
      <c r="AN378" s="13">
        <f t="shared" si="743"/>
        <v>792</v>
      </c>
      <c r="AO378" s="14">
        <f t="shared" si="744"/>
        <v>8.5161290322580643E-2</v>
      </c>
      <c r="AP378" s="15"/>
      <c r="AQ378" s="113"/>
      <c r="AR378" s="16"/>
      <c r="AS378" s="13">
        <v>6969</v>
      </c>
      <c r="AT378" s="53">
        <f t="shared" si="745"/>
        <v>41</v>
      </c>
      <c r="AU378" s="13">
        <v>363</v>
      </c>
      <c r="AV378" s="13">
        <f t="shared" si="746"/>
        <v>7</v>
      </c>
      <c r="AW378" s="13">
        <v>4</v>
      </c>
      <c r="AX378" s="13">
        <f t="shared" si="747"/>
        <v>3</v>
      </c>
      <c r="AY378" s="17">
        <v>10</v>
      </c>
      <c r="AZ378" s="56" t="str">
        <f t="shared" si="748"/>
        <v>ねこアイシャドウ</v>
      </c>
      <c r="BA378" s="54">
        <f t="shared" si="749"/>
        <v>1000</v>
      </c>
      <c r="BB378" s="13">
        <f t="shared" si="750"/>
        <v>3000</v>
      </c>
      <c r="BC378" s="14">
        <f t="shared" si="751"/>
        <v>0.73170731707317072</v>
      </c>
      <c r="BD378" s="15"/>
      <c r="BU378" s="79">
        <f>IF($A393="","",$A393)</f>
        <v>46024</v>
      </c>
      <c r="BV378" s="17">
        <v>12622</v>
      </c>
      <c r="BW378" s="13">
        <f t="shared" si="702"/>
        <v>262</v>
      </c>
      <c r="BX378" s="13">
        <v>287</v>
      </c>
      <c r="BY378" s="13">
        <f t="shared" si="703"/>
        <v>10</v>
      </c>
      <c r="BZ378" s="13">
        <v>36</v>
      </c>
      <c r="CA378" s="13">
        <f t="shared" si="704"/>
        <v>10</v>
      </c>
      <c r="CB378" s="13">
        <v>0</v>
      </c>
      <c r="CC378" s="53"/>
      <c r="CD378" s="53">
        <f t="shared" si="705"/>
        <v>688</v>
      </c>
      <c r="CE378" s="13">
        <f t="shared" si="706"/>
        <v>6880</v>
      </c>
      <c r="CF378" s="14">
        <f t="shared" si="707"/>
        <v>0.26259541984732826</v>
      </c>
      <c r="CG378" s="15"/>
      <c r="CH378" s="1"/>
      <c r="CI378" s="79">
        <f>IF($A393="","",$A393)</f>
        <v>46024</v>
      </c>
      <c r="CJ378" s="17">
        <v>11034</v>
      </c>
      <c r="CK378" s="13">
        <f t="shared" si="708"/>
        <v>116</v>
      </c>
      <c r="CL378" s="13">
        <v>166</v>
      </c>
      <c r="CM378" s="13">
        <f t="shared" si="709"/>
        <v>1</v>
      </c>
      <c r="CN378" s="13">
        <v>8</v>
      </c>
      <c r="CO378" s="13">
        <f t="shared" si="710"/>
        <v>2</v>
      </c>
      <c r="CP378" s="13">
        <v>0</v>
      </c>
      <c r="CQ378" s="53"/>
      <c r="CR378" s="53">
        <f>IF(CJ378="","",CR377)</f>
        <v>715</v>
      </c>
      <c r="CS378" s="13">
        <f t="shared" si="711"/>
        <v>1430</v>
      </c>
      <c r="CT378" s="14">
        <f t="shared" si="712"/>
        <v>0.12327586206896551</v>
      </c>
      <c r="CU378" s="15" t="s">
        <v>420</v>
      </c>
      <c r="CV378" s="1"/>
      <c r="CW378" s="79">
        <f>IF($A393="","",$A393)</f>
        <v>46024</v>
      </c>
      <c r="CX378" s="17">
        <v>11272</v>
      </c>
      <c r="CY378" s="13">
        <f t="shared" si="713"/>
        <v>358</v>
      </c>
      <c r="CZ378" s="13">
        <v>217</v>
      </c>
      <c r="DA378" s="13">
        <f t="shared" si="714"/>
        <v>6</v>
      </c>
      <c r="DB378" s="13">
        <v>36</v>
      </c>
      <c r="DC378" s="13">
        <f t="shared" si="715"/>
        <v>6</v>
      </c>
      <c r="DD378" s="13">
        <v>6</v>
      </c>
      <c r="DE378" s="53"/>
      <c r="DF378" s="53">
        <f t="shared" si="716"/>
        <v>880</v>
      </c>
      <c r="DG378" s="13">
        <f t="shared" si="717"/>
        <v>5280</v>
      </c>
      <c r="DH378" s="14">
        <f t="shared" si="718"/>
        <v>0.14748603351955308</v>
      </c>
      <c r="DI378" s="15"/>
      <c r="DJ378" s="1"/>
      <c r="DK378" s="79">
        <f>IF($A393="","",$A393)</f>
        <v>46024</v>
      </c>
      <c r="DL378" s="17">
        <v>8422</v>
      </c>
      <c r="DM378" s="13">
        <f t="shared" si="719"/>
        <v>112</v>
      </c>
      <c r="DN378" s="13">
        <v>251</v>
      </c>
      <c r="DO378" s="13">
        <f t="shared" si="720"/>
        <v>5</v>
      </c>
      <c r="DP378" s="13">
        <v>36</v>
      </c>
      <c r="DQ378" s="13">
        <f t="shared" si="721"/>
        <v>5</v>
      </c>
      <c r="DR378" s="13">
        <v>0</v>
      </c>
      <c r="DS378" s="53"/>
      <c r="DT378" s="53">
        <f t="shared" si="722"/>
        <v>1100</v>
      </c>
      <c r="DU378" s="13">
        <f t="shared" si="723"/>
        <v>5500</v>
      </c>
      <c r="DV378" s="14">
        <f t="shared" si="724"/>
        <v>0.49107142857142855</v>
      </c>
      <c r="DW378" s="15"/>
    </row>
    <row r="379" spans="1:127" x14ac:dyDescent="0.2">
      <c r="A379" s="16"/>
      <c r="B379" s="11"/>
      <c r="C379" s="13">
        <v>10297</v>
      </c>
      <c r="D379" s="63">
        <f t="shared" si="725"/>
        <v>85</v>
      </c>
      <c r="E379" s="13">
        <v>592</v>
      </c>
      <c r="F379" s="13">
        <f t="shared" si="726"/>
        <v>3</v>
      </c>
      <c r="G379" s="13">
        <v>130</v>
      </c>
      <c r="H379" s="13">
        <f t="shared" si="727"/>
        <v>3</v>
      </c>
      <c r="I379" s="49">
        <v>0</v>
      </c>
      <c r="J379" s="56" t="str">
        <f t="shared" si="728"/>
        <v>AIモンスタラバー</v>
      </c>
      <c r="K379" s="13">
        <f t="shared" si="728"/>
        <v>200</v>
      </c>
      <c r="L379" s="13">
        <f t="shared" si="729"/>
        <v>600</v>
      </c>
      <c r="M379" s="14">
        <f t="shared" si="730"/>
        <v>7.0588235294117646E-2</v>
      </c>
      <c r="N379" s="15"/>
      <c r="O379" s="2"/>
      <c r="P379" s="16"/>
      <c r="Q379" s="13">
        <v>7166</v>
      </c>
      <c r="R379" s="63">
        <f t="shared" si="731"/>
        <v>74</v>
      </c>
      <c r="S379" s="13">
        <v>130</v>
      </c>
      <c r="T379" s="13">
        <f t="shared" si="732"/>
        <v>3</v>
      </c>
      <c r="U379" s="13">
        <v>11</v>
      </c>
      <c r="V379" s="13">
        <f t="shared" si="733"/>
        <v>3</v>
      </c>
      <c r="W379" s="49">
        <v>10</v>
      </c>
      <c r="X379" s="56" t="str">
        <f t="shared" si="734"/>
        <v>サンリオホワイトマスコット</v>
      </c>
      <c r="Y379" s="13">
        <f t="shared" si="735"/>
        <v>660</v>
      </c>
      <c r="Z379" s="13">
        <f t="shared" si="736"/>
        <v>1980</v>
      </c>
      <c r="AA379" s="14">
        <f t="shared" si="737"/>
        <v>0.26756756756756755</v>
      </c>
      <c r="AB379" s="15"/>
      <c r="AC379" s="15"/>
      <c r="AD379" s="16"/>
      <c r="AE379" s="13">
        <v>10912</v>
      </c>
      <c r="AF379" s="63">
        <f t="shared" si="738"/>
        <v>151</v>
      </c>
      <c r="AG379" s="13">
        <v>296</v>
      </c>
      <c r="AH379" s="13">
        <f t="shared" si="739"/>
        <v>2</v>
      </c>
      <c r="AI379" s="13">
        <v>60</v>
      </c>
      <c r="AJ379" s="13">
        <f t="shared" si="740"/>
        <v>2</v>
      </c>
      <c r="AK379" s="49">
        <v>0</v>
      </c>
      <c r="AL379" s="56" t="str">
        <f t="shared" si="741"/>
        <v>ゲームアーク</v>
      </c>
      <c r="AM379" s="13">
        <f t="shared" si="742"/>
        <v>682</v>
      </c>
      <c r="AN379" s="13">
        <f t="shared" si="743"/>
        <v>1364</v>
      </c>
      <c r="AO379" s="14">
        <f t="shared" si="744"/>
        <v>9.0331125827814565E-2</v>
      </c>
      <c r="AP379" s="15"/>
      <c r="AQ379" s="113"/>
      <c r="AR379" s="16"/>
      <c r="AS379" s="13">
        <v>13546</v>
      </c>
      <c r="AT379" s="63">
        <f t="shared" si="745"/>
        <v>234</v>
      </c>
      <c r="AU379" s="13">
        <v>470</v>
      </c>
      <c r="AV379" s="13">
        <f t="shared" si="746"/>
        <v>3</v>
      </c>
      <c r="AW379" s="13">
        <v>18</v>
      </c>
      <c r="AX379" s="13">
        <f t="shared" si="747"/>
        <v>3</v>
      </c>
      <c r="AY379" s="49">
        <v>14</v>
      </c>
      <c r="AZ379" s="56" t="str">
        <f t="shared" si="748"/>
        <v>ラブブキーホルダーおおきめ</v>
      </c>
      <c r="BA379" s="13">
        <f t="shared" si="749"/>
        <v>500</v>
      </c>
      <c r="BB379" s="13">
        <f t="shared" si="750"/>
        <v>1500</v>
      </c>
      <c r="BC379" s="14">
        <f t="shared" si="751"/>
        <v>6.4102564102564097E-2</v>
      </c>
      <c r="BD379" s="15"/>
      <c r="BU379" s="79">
        <f>IF($A397="","",$A397)</f>
        <v>46025</v>
      </c>
      <c r="BV379" s="17">
        <v>12848</v>
      </c>
      <c r="BW379" s="13">
        <f t="shared" si="702"/>
        <v>226</v>
      </c>
      <c r="BX379" s="13">
        <v>292</v>
      </c>
      <c r="BY379" s="13">
        <f t="shared" si="703"/>
        <v>5</v>
      </c>
      <c r="BZ379" s="13">
        <v>31</v>
      </c>
      <c r="CA379" s="13">
        <f t="shared" si="704"/>
        <v>5</v>
      </c>
      <c r="CB379" s="13">
        <v>0</v>
      </c>
      <c r="CC379" s="53"/>
      <c r="CD379" s="53">
        <f t="shared" si="705"/>
        <v>688</v>
      </c>
      <c r="CE379" s="13">
        <f t="shared" si="706"/>
        <v>3440</v>
      </c>
      <c r="CF379" s="14">
        <f t="shared" si="707"/>
        <v>0.15221238938053097</v>
      </c>
      <c r="CG379" s="15"/>
      <c r="CH379" s="1"/>
      <c r="CI379" s="79">
        <f>IF($A397="","",$A397)</f>
        <v>46025</v>
      </c>
      <c r="CJ379" s="17">
        <v>11511</v>
      </c>
      <c r="CK379" s="13">
        <f t="shared" si="708"/>
        <v>477</v>
      </c>
      <c r="CL379" s="13">
        <v>172</v>
      </c>
      <c r="CM379" s="13">
        <f t="shared" si="709"/>
        <v>6</v>
      </c>
      <c r="CN379" s="13">
        <v>1</v>
      </c>
      <c r="CO379" s="13">
        <f t="shared" si="710"/>
        <v>7</v>
      </c>
      <c r="CP379" s="13">
        <v>6</v>
      </c>
      <c r="CQ379" s="53"/>
      <c r="CR379" s="53">
        <v>1500</v>
      </c>
      <c r="CS379" s="13">
        <f t="shared" si="711"/>
        <v>10500</v>
      </c>
      <c r="CT379" s="14">
        <f t="shared" si="712"/>
        <v>0.22012578616352202</v>
      </c>
      <c r="CU379" s="15" t="s">
        <v>421</v>
      </c>
      <c r="CV379" s="1"/>
      <c r="CW379" s="79">
        <f>IF($A397="","",$A397)</f>
        <v>46025</v>
      </c>
      <c r="CX379" s="17">
        <v>11384</v>
      </c>
      <c r="CY379" s="13">
        <f t="shared" si="713"/>
        <v>112</v>
      </c>
      <c r="CZ379" s="13">
        <v>219</v>
      </c>
      <c r="DA379" s="13">
        <f t="shared" si="714"/>
        <v>2</v>
      </c>
      <c r="DB379" s="13">
        <v>40</v>
      </c>
      <c r="DC379" s="13">
        <f t="shared" si="715"/>
        <v>2</v>
      </c>
      <c r="DD379" s="13">
        <v>0</v>
      </c>
      <c r="DE379" s="53"/>
      <c r="DF379" s="53">
        <f t="shared" si="716"/>
        <v>880</v>
      </c>
      <c r="DG379" s="13">
        <f t="shared" si="717"/>
        <v>1760</v>
      </c>
      <c r="DH379" s="14">
        <f t="shared" si="718"/>
        <v>0.15714285714285714</v>
      </c>
      <c r="DI379" s="15"/>
      <c r="DJ379" s="1"/>
      <c r="DK379" s="79">
        <f>IF($A397="","",$A397)</f>
        <v>46025</v>
      </c>
      <c r="DL379" s="17">
        <v>8482</v>
      </c>
      <c r="DM379" s="13">
        <f t="shared" si="719"/>
        <v>60</v>
      </c>
      <c r="DN379" s="13">
        <v>252</v>
      </c>
      <c r="DO379" s="13">
        <f t="shared" si="720"/>
        <v>1</v>
      </c>
      <c r="DP379" s="13">
        <v>35</v>
      </c>
      <c r="DQ379" s="13">
        <f t="shared" si="721"/>
        <v>1</v>
      </c>
      <c r="DR379" s="13">
        <v>0</v>
      </c>
      <c r="DS379" s="53"/>
      <c r="DT379" s="53">
        <f t="shared" si="722"/>
        <v>1100</v>
      </c>
      <c r="DU379" s="13">
        <f t="shared" si="723"/>
        <v>1100</v>
      </c>
      <c r="DV379" s="14">
        <f t="shared" si="724"/>
        <v>0.18333333333333332</v>
      </c>
      <c r="DW379" s="15"/>
    </row>
    <row r="380" spans="1:127" ht="15" customHeight="1" thickBot="1" x14ac:dyDescent="0.25">
      <c r="A380" s="26"/>
      <c r="B380" s="46"/>
      <c r="C380" s="27">
        <v>5320</v>
      </c>
      <c r="D380" s="61">
        <f t="shared" si="725"/>
        <v>89</v>
      </c>
      <c r="E380" s="62">
        <v>428</v>
      </c>
      <c r="F380" s="27">
        <f t="shared" si="726"/>
        <v>7</v>
      </c>
      <c r="G380" s="27">
        <v>35</v>
      </c>
      <c r="H380" s="27">
        <f t="shared" si="727"/>
        <v>8</v>
      </c>
      <c r="I380" s="47">
        <v>18</v>
      </c>
      <c r="J380" s="57" t="str">
        <f t="shared" si="728"/>
        <v>NICIマスコット</v>
      </c>
      <c r="K380" s="62">
        <f t="shared" si="728"/>
        <v>900</v>
      </c>
      <c r="L380" s="27">
        <f t="shared" si="729"/>
        <v>7200</v>
      </c>
      <c r="M380" s="28">
        <f t="shared" si="730"/>
        <v>0.8089887640449438</v>
      </c>
      <c r="N380" s="15"/>
      <c r="O380" s="2"/>
      <c r="P380" s="26"/>
      <c r="Q380" s="27">
        <v>6733</v>
      </c>
      <c r="R380" s="61">
        <f t="shared" si="731"/>
        <v>125</v>
      </c>
      <c r="S380" s="62">
        <v>114</v>
      </c>
      <c r="T380" s="27">
        <f t="shared" si="732"/>
        <v>0</v>
      </c>
      <c r="U380" s="27">
        <v>16</v>
      </c>
      <c r="V380" s="27">
        <f t="shared" si="733"/>
        <v>1</v>
      </c>
      <c r="W380" s="47">
        <v>0</v>
      </c>
      <c r="X380" s="57" t="str">
        <f t="shared" si="734"/>
        <v>ＡＩマスコット</v>
      </c>
      <c r="Y380" s="62">
        <f t="shared" si="735"/>
        <v>286</v>
      </c>
      <c r="Z380" s="27">
        <f t="shared" si="736"/>
        <v>286</v>
      </c>
      <c r="AA380" s="28">
        <f t="shared" si="737"/>
        <v>2.2880000000000001E-2</v>
      </c>
      <c r="AB380" s="15"/>
      <c r="AC380" s="15"/>
      <c r="AD380" s="26"/>
      <c r="AE380" s="27">
        <v>10944</v>
      </c>
      <c r="AF380" s="61">
        <f t="shared" si="738"/>
        <v>86</v>
      </c>
      <c r="AG380" s="62">
        <v>286</v>
      </c>
      <c r="AH380" s="27">
        <f t="shared" si="739"/>
        <v>2</v>
      </c>
      <c r="AI380" s="27">
        <v>11</v>
      </c>
      <c r="AJ380" s="27">
        <f t="shared" si="740"/>
        <v>2</v>
      </c>
      <c r="AK380" s="47">
        <v>0</v>
      </c>
      <c r="AL380" s="57" t="str">
        <f t="shared" si="741"/>
        <v>モンチッチマスコット2</v>
      </c>
      <c r="AM380" s="62">
        <f t="shared" si="742"/>
        <v>605</v>
      </c>
      <c r="AN380" s="27">
        <f t="shared" si="743"/>
        <v>1210</v>
      </c>
      <c r="AO380" s="28">
        <f t="shared" si="744"/>
        <v>0.14069767441860465</v>
      </c>
      <c r="AP380" s="15"/>
      <c r="AQ380" s="113"/>
      <c r="AR380" s="26"/>
      <c r="AS380" s="27">
        <v>13759</v>
      </c>
      <c r="AT380" s="61">
        <f t="shared" si="745"/>
        <v>140</v>
      </c>
      <c r="AU380" s="62">
        <v>398</v>
      </c>
      <c r="AV380" s="27">
        <f t="shared" si="746"/>
        <v>1</v>
      </c>
      <c r="AW380" s="27">
        <v>26</v>
      </c>
      <c r="AX380" s="27">
        <f t="shared" si="747"/>
        <v>1</v>
      </c>
      <c r="AY380" s="47">
        <v>12</v>
      </c>
      <c r="AZ380" s="57" t="str">
        <f t="shared" si="748"/>
        <v>ラブブマスコット</v>
      </c>
      <c r="BA380" s="62">
        <f t="shared" si="749"/>
        <v>400</v>
      </c>
      <c r="BB380" s="27">
        <f t="shared" si="750"/>
        <v>400</v>
      </c>
      <c r="BC380" s="28">
        <f t="shared" si="751"/>
        <v>2.8571428571428571E-2</v>
      </c>
      <c r="BD380" s="15"/>
      <c r="BU380" s="79">
        <f>IF($A401="","",$A401)</f>
        <v>46026</v>
      </c>
      <c r="BV380" s="17">
        <v>12960</v>
      </c>
      <c r="BW380" s="13">
        <f t="shared" si="702"/>
        <v>112</v>
      </c>
      <c r="BX380" s="13">
        <v>294</v>
      </c>
      <c r="BY380" s="13">
        <f t="shared" si="703"/>
        <v>2</v>
      </c>
      <c r="BZ380" s="13">
        <v>29</v>
      </c>
      <c r="CA380" s="13">
        <f t="shared" si="704"/>
        <v>2</v>
      </c>
      <c r="CB380" s="13">
        <v>0</v>
      </c>
      <c r="CC380" s="53"/>
      <c r="CD380" s="53">
        <f t="shared" si="705"/>
        <v>688</v>
      </c>
      <c r="CE380" s="13">
        <f t="shared" si="706"/>
        <v>1376</v>
      </c>
      <c r="CF380" s="14">
        <f t="shared" si="707"/>
        <v>0.12285714285714286</v>
      </c>
      <c r="CG380" s="15"/>
      <c r="CH380" s="1"/>
      <c r="CI380" s="79">
        <f>IF($A401="","",$A401)</f>
        <v>46026</v>
      </c>
      <c r="CJ380" s="17">
        <v>11818</v>
      </c>
      <c r="CK380" s="13">
        <f t="shared" si="708"/>
        <v>307</v>
      </c>
      <c r="CL380" s="13">
        <v>179</v>
      </c>
      <c r="CM380" s="13">
        <f t="shared" si="709"/>
        <v>7</v>
      </c>
      <c r="CN380" s="13">
        <v>0</v>
      </c>
      <c r="CO380" s="13">
        <f t="shared" si="710"/>
        <v>7</v>
      </c>
      <c r="CP380" s="13">
        <v>5</v>
      </c>
      <c r="CQ380" s="53"/>
      <c r="CR380" s="53">
        <f t="shared" ref="CR380:CR385" si="752">IF(CJ380="","",CR379)</f>
        <v>1500</v>
      </c>
      <c r="CS380" s="13">
        <f t="shared" si="711"/>
        <v>10500</v>
      </c>
      <c r="CT380" s="14">
        <f t="shared" si="712"/>
        <v>0.34201954397394135</v>
      </c>
      <c r="CU380" s="15" t="s">
        <v>426</v>
      </c>
      <c r="CV380" s="1"/>
      <c r="CW380" s="79">
        <f>IF($A401="","",$A401)</f>
        <v>46026</v>
      </c>
      <c r="CX380" s="17">
        <v>11499</v>
      </c>
      <c r="CY380" s="13">
        <f t="shared" si="713"/>
        <v>115</v>
      </c>
      <c r="CZ380" s="13">
        <v>220</v>
      </c>
      <c r="DA380" s="13">
        <f t="shared" si="714"/>
        <v>1</v>
      </c>
      <c r="DB380" s="13">
        <v>39</v>
      </c>
      <c r="DC380" s="13">
        <f t="shared" si="715"/>
        <v>1</v>
      </c>
      <c r="DD380" s="13">
        <v>0</v>
      </c>
      <c r="DE380" s="53"/>
      <c r="DF380" s="53">
        <f t="shared" si="716"/>
        <v>880</v>
      </c>
      <c r="DG380" s="13">
        <f t="shared" si="717"/>
        <v>880</v>
      </c>
      <c r="DH380" s="14">
        <f t="shared" si="718"/>
        <v>7.6521739130434779E-2</v>
      </c>
      <c r="DI380" s="15"/>
      <c r="DJ380" s="1"/>
      <c r="DK380" s="79">
        <f>IF($A401="","",$A401)</f>
        <v>46026</v>
      </c>
      <c r="DL380" s="17">
        <v>8543</v>
      </c>
      <c r="DM380" s="13">
        <f t="shared" si="719"/>
        <v>61</v>
      </c>
      <c r="DN380" s="13">
        <v>253</v>
      </c>
      <c r="DO380" s="13">
        <f t="shared" si="720"/>
        <v>1</v>
      </c>
      <c r="DP380" s="13">
        <v>34</v>
      </c>
      <c r="DQ380" s="13">
        <f t="shared" si="721"/>
        <v>1</v>
      </c>
      <c r="DR380" s="13">
        <v>0</v>
      </c>
      <c r="DS380" s="53"/>
      <c r="DT380" s="53">
        <f t="shared" si="722"/>
        <v>1100</v>
      </c>
      <c r="DU380" s="13">
        <f t="shared" si="723"/>
        <v>1100</v>
      </c>
      <c r="DV380" s="14">
        <f t="shared" si="724"/>
        <v>0.18032786885245902</v>
      </c>
      <c r="DW380" s="15" t="s">
        <v>425</v>
      </c>
    </row>
    <row r="381" spans="1:127" ht="15" customHeight="1" thickTop="1" x14ac:dyDescent="0.2">
      <c r="A381" s="79">
        <v>46017</v>
      </c>
      <c r="B381" s="74">
        <f>IF(A381="","",SUM(D381:D384)+SUM(R381:R384)+SUM(AF381:AF384)+SUM(AT381:AT384)+SUM(BW375,CK375,CY375,DM375))</f>
        <v>2685</v>
      </c>
      <c r="C381" s="53">
        <v>4557</v>
      </c>
      <c r="D381" s="53">
        <f t="shared" si="725"/>
        <v>121</v>
      </c>
      <c r="E381" s="53">
        <v>327</v>
      </c>
      <c r="F381" s="31">
        <f t="shared" si="726"/>
        <v>3</v>
      </c>
      <c r="G381" s="53">
        <v>5</v>
      </c>
      <c r="H381" s="53">
        <f t="shared" si="727"/>
        <v>3</v>
      </c>
      <c r="I381" s="53">
        <v>8</v>
      </c>
      <c r="J381" s="75" t="str">
        <f t="shared" si="728"/>
        <v>キティヒョウ柄ポーチ</v>
      </c>
      <c r="K381" s="76">
        <f t="shared" si="728"/>
        <v>0</v>
      </c>
      <c r="L381" s="31">
        <f t="shared" si="729"/>
        <v>0</v>
      </c>
      <c r="M381" s="32">
        <f t="shared" si="730"/>
        <v>0</v>
      </c>
      <c r="N381" s="15" t="s">
        <v>407</v>
      </c>
      <c r="O381" s="2"/>
      <c r="P381" s="79">
        <f>IF(A381="","",A381)</f>
        <v>46017</v>
      </c>
      <c r="Q381" s="53">
        <v>4281</v>
      </c>
      <c r="R381" s="53">
        <f t="shared" si="731"/>
        <v>55</v>
      </c>
      <c r="S381" s="53">
        <v>154</v>
      </c>
      <c r="T381" s="31">
        <f t="shared" si="732"/>
        <v>8</v>
      </c>
      <c r="U381" s="53">
        <v>3</v>
      </c>
      <c r="V381" s="53">
        <f t="shared" si="733"/>
        <v>7</v>
      </c>
      <c r="W381" s="53">
        <v>8</v>
      </c>
      <c r="X381" s="75" t="str">
        <f t="shared" si="734"/>
        <v>ジャグラーイヤホン</v>
      </c>
      <c r="Y381" s="76">
        <f t="shared" si="735"/>
        <v>1100</v>
      </c>
      <c r="Z381" s="31">
        <f t="shared" si="736"/>
        <v>7700</v>
      </c>
      <c r="AA381" s="32">
        <f t="shared" si="737"/>
        <v>1.4</v>
      </c>
      <c r="AB381" s="15" t="s">
        <v>408</v>
      </c>
      <c r="AC381" s="113"/>
      <c r="AD381" s="146">
        <f>IF($A381="","",$A381)</f>
        <v>46017</v>
      </c>
      <c r="AE381" s="53">
        <v>9690</v>
      </c>
      <c r="AF381" s="53">
        <f t="shared" si="738"/>
        <v>135</v>
      </c>
      <c r="AG381" s="53">
        <v>217</v>
      </c>
      <c r="AH381" s="31">
        <f t="shared" si="739"/>
        <v>1</v>
      </c>
      <c r="AI381" s="53">
        <v>10</v>
      </c>
      <c r="AJ381" s="53">
        <f t="shared" si="740"/>
        <v>1</v>
      </c>
      <c r="AK381" s="53">
        <v>2</v>
      </c>
      <c r="AL381" s="75" t="str">
        <f t="shared" si="741"/>
        <v>サンリオ型押しケース</v>
      </c>
      <c r="AM381" s="76">
        <f t="shared" si="742"/>
        <v>545</v>
      </c>
      <c r="AN381" s="31">
        <f t="shared" si="743"/>
        <v>545</v>
      </c>
      <c r="AO381" s="32">
        <f t="shared" si="744"/>
        <v>4.0370370370370369E-2</v>
      </c>
      <c r="AP381" s="15"/>
      <c r="AQ381" s="115"/>
      <c r="AR381" s="79">
        <f>IF($A381="","",$A381)</f>
        <v>46017</v>
      </c>
      <c r="AS381" s="53">
        <v>10428</v>
      </c>
      <c r="AT381" s="53">
        <f t="shared" si="745"/>
        <v>148</v>
      </c>
      <c r="AU381" s="53">
        <v>329</v>
      </c>
      <c r="AV381" s="31">
        <f t="shared" si="746"/>
        <v>5</v>
      </c>
      <c r="AW381" s="53">
        <v>11</v>
      </c>
      <c r="AX381" s="53">
        <f t="shared" si="747"/>
        <v>6</v>
      </c>
      <c r="AY381" s="53">
        <v>6</v>
      </c>
      <c r="AZ381" s="75" t="str">
        <f t="shared" si="748"/>
        <v>サンリオヒョウ柄キーケース</v>
      </c>
      <c r="BA381" s="76">
        <f t="shared" si="749"/>
        <v>924</v>
      </c>
      <c r="BB381" s="31">
        <f t="shared" si="750"/>
        <v>5544</v>
      </c>
      <c r="BC381" s="32">
        <f t="shared" si="751"/>
        <v>0.3745945945945946</v>
      </c>
      <c r="BD381" s="15"/>
      <c r="BT381" s="15"/>
      <c r="BU381" s="79">
        <f>IF($A405="","",$A405)</f>
        <v>46027</v>
      </c>
      <c r="BV381" s="17">
        <v>13064</v>
      </c>
      <c r="BW381" s="13">
        <f t="shared" si="702"/>
        <v>104</v>
      </c>
      <c r="BX381" s="13">
        <v>296</v>
      </c>
      <c r="BY381" s="13">
        <f t="shared" si="703"/>
        <v>2</v>
      </c>
      <c r="BZ381" s="13">
        <v>27</v>
      </c>
      <c r="CA381" s="13">
        <f t="shared" si="704"/>
        <v>2</v>
      </c>
      <c r="CB381" s="13">
        <v>12</v>
      </c>
      <c r="CC381" s="53"/>
      <c r="CD381" s="53">
        <f t="shared" si="705"/>
        <v>688</v>
      </c>
      <c r="CE381" s="13">
        <f t="shared" si="706"/>
        <v>1376</v>
      </c>
      <c r="CF381" s="14">
        <f t="shared" si="707"/>
        <v>0.13230769230769232</v>
      </c>
      <c r="CG381" s="43"/>
      <c r="CH381" s="1"/>
      <c r="CI381" s="79">
        <f>IF($A405="","",$A405)</f>
        <v>46027</v>
      </c>
      <c r="CJ381" s="17">
        <v>12076</v>
      </c>
      <c r="CK381" s="13">
        <f t="shared" si="708"/>
        <v>258</v>
      </c>
      <c r="CL381" s="13">
        <v>184</v>
      </c>
      <c r="CM381" s="13">
        <f t="shared" si="709"/>
        <v>5</v>
      </c>
      <c r="CN381" s="13">
        <v>0</v>
      </c>
      <c r="CO381" s="13">
        <f t="shared" si="710"/>
        <v>5</v>
      </c>
      <c r="CP381" s="13">
        <v>10</v>
      </c>
      <c r="CQ381" s="53"/>
      <c r="CR381" s="53">
        <f t="shared" si="752"/>
        <v>1500</v>
      </c>
      <c r="CS381" s="13">
        <f t="shared" si="711"/>
        <v>7500</v>
      </c>
      <c r="CT381" s="14">
        <f t="shared" si="712"/>
        <v>0.29069767441860467</v>
      </c>
      <c r="CU381" s="43" t="s">
        <v>427</v>
      </c>
      <c r="CV381" s="1"/>
      <c r="CW381" s="79">
        <f>IF($A405="","",$A405)</f>
        <v>46027</v>
      </c>
      <c r="CX381" s="17">
        <v>11581</v>
      </c>
      <c r="CY381" s="13">
        <f t="shared" si="713"/>
        <v>82</v>
      </c>
      <c r="CZ381" s="13">
        <v>223</v>
      </c>
      <c r="DA381" s="13">
        <f t="shared" si="714"/>
        <v>3</v>
      </c>
      <c r="DB381" s="13">
        <v>36</v>
      </c>
      <c r="DC381" s="13">
        <f t="shared" si="715"/>
        <v>3</v>
      </c>
      <c r="DD381" s="13">
        <v>5</v>
      </c>
      <c r="DE381" s="53"/>
      <c r="DF381" s="53">
        <f t="shared" si="716"/>
        <v>880</v>
      </c>
      <c r="DG381" s="13">
        <f t="shared" si="717"/>
        <v>2640</v>
      </c>
      <c r="DH381" s="14">
        <f t="shared" si="718"/>
        <v>0.32195121951219513</v>
      </c>
      <c r="DI381" s="43"/>
      <c r="DJ381" s="1"/>
      <c r="DK381" s="79">
        <f>IF($A405="","",$A405)</f>
        <v>46027</v>
      </c>
      <c r="DL381" s="17">
        <v>8623</v>
      </c>
      <c r="DM381" s="13">
        <f t="shared" si="719"/>
        <v>80</v>
      </c>
      <c r="DN381" s="13">
        <v>256</v>
      </c>
      <c r="DO381" s="13">
        <f t="shared" si="720"/>
        <v>3</v>
      </c>
      <c r="DP381" s="13">
        <v>31</v>
      </c>
      <c r="DQ381" s="13">
        <f t="shared" si="721"/>
        <v>3</v>
      </c>
      <c r="DR381" s="13">
        <v>0</v>
      </c>
      <c r="DS381" s="53"/>
      <c r="DT381" s="53">
        <f t="shared" si="722"/>
        <v>1100</v>
      </c>
      <c r="DU381" s="13">
        <f t="shared" si="723"/>
        <v>3300</v>
      </c>
      <c r="DV381" s="14">
        <f t="shared" si="724"/>
        <v>0.41249999999999998</v>
      </c>
      <c r="DW381" s="43"/>
    </row>
    <row r="382" spans="1:127" x14ac:dyDescent="0.2">
      <c r="A382" s="16"/>
      <c r="B382" s="11"/>
      <c r="C382" s="13">
        <v>3953</v>
      </c>
      <c r="D382" s="13">
        <f t="shared" si="725"/>
        <v>330</v>
      </c>
      <c r="E382" s="13">
        <v>343</v>
      </c>
      <c r="F382" s="13">
        <f t="shared" si="726"/>
        <v>1</v>
      </c>
      <c r="G382" s="13">
        <v>38</v>
      </c>
      <c r="H382" s="13">
        <f t="shared" si="727"/>
        <v>2</v>
      </c>
      <c r="I382" s="13">
        <v>8</v>
      </c>
      <c r="J382" s="56" t="str">
        <f t="shared" si="728"/>
        <v>電ブル</v>
      </c>
      <c r="K382" s="54">
        <f t="shared" si="728"/>
        <v>1075</v>
      </c>
      <c r="L382" s="13">
        <f t="shared" si="729"/>
        <v>2150</v>
      </c>
      <c r="M382" s="14">
        <f t="shared" si="730"/>
        <v>6.5151515151515155E-2</v>
      </c>
      <c r="N382" s="15"/>
      <c r="O382" s="2"/>
      <c r="P382" s="16"/>
      <c r="Q382" s="13">
        <v>3806</v>
      </c>
      <c r="R382" s="13">
        <f t="shared" si="731"/>
        <v>86</v>
      </c>
      <c r="S382" s="13">
        <v>119</v>
      </c>
      <c r="T382" s="13">
        <f t="shared" si="732"/>
        <v>2</v>
      </c>
      <c r="U382" s="13">
        <v>32</v>
      </c>
      <c r="V382" s="13">
        <f t="shared" si="733"/>
        <v>2</v>
      </c>
      <c r="W382" s="13">
        <v>0</v>
      </c>
      <c r="X382" s="56" t="str">
        <f t="shared" si="734"/>
        <v>押忍番長ボタン</v>
      </c>
      <c r="Y382" s="54">
        <f t="shared" si="735"/>
        <v>1100</v>
      </c>
      <c r="Z382" s="13">
        <f t="shared" si="736"/>
        <v>2200</v>
      </c>
      <c r="AA382" s="14">
        <f t="shared" si="737"/>
        <v>0.2558139534883721</v>
      </c>
      <c r="AB382" s="15"/>
      <c r="AC382" s="113"/>
      <c r="AD382" s="147"/>
      <c r="AE382" s="13">
        <v>9308</v>
      </c>
      <c r="AF382" s="13">
        <f t="shared" si="738"/>
        <v>156</v>
      </c>
      <c r="AG382" s="13">
        <v>208</v>
      </c>
      <c r="AH382" s="13">
        <f t="shared" si="739"/>
        <v>2</v>
      </c>
      <c r="AI382" s="13">
        <v>6</v>
      </c>
      <c r="AJ382" s="13">
        <f t="shared" si="740"/>
        <v>3</v>
      </c>
      <c r="AK382" s="13">
        <v>6</v>
      </c>
      <c r="AL382" s="56" t="str">
        <f t="shared" si="741"/>
        <v>サンリオヒョウ柄フェイス</v>
      </c>
      <c r="AM382" s="54">
        <f t="shared" si="742"/>
        <v>792</v>
      </c>
      <c r="AN382" s="13">
        <f t="shared" si="743"/>
        <v>2376</v>
      </c>
      <c r="AO382" s="14">
        <f t="shared" si="744"/>
        <v>0.15230769230769231</v>
      </c>
      <c r="AP382" s="15"/>
      <c r="AQ382" s="115"/>
      <c r="AR382" s="16"/>
      <c r="AS382" s="13">
        <v>7060</v>
      </c>
      <c r="AT382" s="13">
        <f t="shared" si="745"/>
        <v>91</v>
      </c>
      <c r="AU382" s="13">
        <v>378</v>
      </c>
      <c r="AV382" s="13">
        <f t="shared" si="746"/>
        <v>15</v>
      </c>
      <c r="AW382" s="13">
        <v>5</v>
      </c>
      <c r="AX382" s="13">
        <f t="shared" si="747"/>
        <v>9</v>
      </c>
      <c r="AY382" s="13">
        <v>7</v>
      </c>
      <c r="AZ382" s="56" t="str">
        <f t="shared" si="748"/>
        <v>ねこアイシャドウ</v>
      </c>
      <c r="BA382" s="54">
        <f t="shared" si="749"/>
        <v>1000</v>
      </c>
      <c r="BB382" s="13">
        <f t="shared" si="750"/>
        <v>9000</v>
      </c>
      <c r="BC382" s="14">
        <f t="shared" si="751"/>
        <v>0.98901098901098905</v>
      </c>
      <c r="BD382" s="15" t="s">
        <v>404</v>
      </c>
      <c r="BT382" s="15"/>
      <c r="BU382" s="79">
        <f>IF($A409="","",$A409)</f>
        <v>46030</v>
      </c>
      <c r="BV382" s="17">
        <v>13319</v>
      </c>
      <c r="BW382" s="13">
        <f t="shared" si="702"/>
        <v>255</v>
      </c>
      <c r="BX382" s="13">
        <v>303</v>
      </c>
      <c r="BY382" s="13">
        <f t="shared" si="703"/>
        <v>7</v>
      </c>
      <c r="BZ382" s="13">
        <v>32</v>
      </c>
      <c r="CA382" s="13">
        <f t="shared" si="704"/>
        <v>7</v>
      </c>
      <c r="CB382" s="13">
        <v>4</v>
      </c>
      <c r="CC382" s="53"/>
      <c r="CD382" s="53">
        <f t="shared" si="705"/>
        <v>688</v>
      </c>
      <c r="CE382" s="13">
        <f t="shared" si="706"/>
        <v>4816</v>
      </c>
      <c r="CF382" s="14">
        <f t="shared" si="707"/>
        <v>0.18886274509803921</v>
      </c>
      <c r="CG382" s="43"/>
      <c r="CH382" s="1"/>
      <c r="CI382" s="79">
        <f>IF($A409="","",$A409)</f>
        <v>46030</v>
      </c>
      <c r="CJ382" s="17">
        <v>12702</v>
      </c>
      <c r="CK382" s="13">
        <f t="shared" si="708"/>
        <v>626</v>
      </c>
      <c r="CL382" s="13">
        <v>194</v>
      </c>
      <c r="CM382" s="13">
        <f t="shared" si="709"/>
        <v>10</v>
      </c>
      <c r="CN382" s="13">
        <v>0</v>
      </c>
      <c r="CO382" s="13">
        <f t="shared" si="710"/>
        <v>10</v>
      </c>
      <c r="CP382" s="13">
        <v>12</v>
      </c>
      <c r="CQ382" s="53"/>
      <c r="CR382" s="53">
        <f t="shared" si="752"/>
        <v>1500</v>
      </c>
      <c r="CS382" s="13">
        <f t="shared" si="711"/>
        <v>15000</v>
      </c>
      <c r="CT382" s="14">
        <f t="shared" si="712"/>
        <v>0.23961661341853036</v>
      </c>
      <c r="CU382" s="43"/>
      <c r="CV382" s="1"/>
      <c r="CW382" s="79">
        <f>IF($A409="","",$A409)</f>
        <v>46030</v>
      </c>
      <c r="CX382" s="17">
        <v>11727</v>
      </c>
      <c r="CY382" s="13">
        <f t="shared" si="713"/>
        <v>146</v>
      </c>
      <c r="CZ382" s="13">
        <v>225</v>
      </c>
      <c r="DA382" s="13">
        <f t="shared" si="714"/>
        <v>2</v>
      </c>
      <c r="DB382" s="13">
        <v>39</v>
      </c>
      <c r="DC382" s="13">
        <f t="shared" si="715"/>
        <v>2</v>
      </c>
      <c r="DD382" s="13">
        <v>4</v>
      </c>
      <c r="DE382" s="53"/>
      <c r="DF382" s="53">
        <f t="shared" si="716"/>
        <v>880</v>
      </c>
      <c r="DG382" s="13">
        <f t="shared" si="717"/>
        <v>1760</v>
      </c>
      <c r="DH382" s="14">
        <f t="shared" si="718"/>
        <v>0.12054794520547946</v>
      </c>
      <c r="DI382" s="43"/>
      <c r="DJ382" s="1"/>
      <c r="DK382" s="79">
        <f>IF($A409="","",$A409)</f>
        <v>46030</v>
      </c>
      <c r="DL382" s="17">
        <v>8741</v>
      </c>
      <c r="DM382" s="13">
        <f t="shared" si="719"/>
        <v>118</v>
      </c>
      <c r="DN382" s="13">
        <v>257</v>
      </c>
      <c r="DO382" s="13">
        <f t="shared" si="720"/>
        <v>1</v>
      </c>
      <c r="DP382" s="13">
        <v>30</v>
      </c>
      <c r="DQ382" s="13">
        <f t="shared" si="721"/>
        <v>1</v>
      </c>
      <c r="DR382" s="13">
        <v>0</v>
      </c>
      <c r="DS382" s="53"/>
      <c r="DT382" s="53">
        <f t="shared" si="722"/>
        <v>1100</v>
      </c>
      <c r="DU382" s="13">
        <f t="shared" si="723"/>
        <v>1100</v>
      </c>
      <c r="DV382" s="14">
        <f t="shared" si="724"/>
        <v>9.3220338983050849E-2</v>
      </c>
      <c r="DW382" s="43"/>
    </row>
    <row r="383" spans="1:127" x14ac:dyDescent="0.2">
      <c r="A383" s="16"/>
      <c r="B383" s="11"/>
      <c r="C383" s="13">
        <v>10381</v>
      </c>
      <c r="D383" s="13">
        <f t="shared" si="725"/>
        <v>84</v>
      </c>
      <c r="E383" s="13">
        <v>595</v>
      </c>
      <c r="F383" s="13">
        <f t="shared" si="726"/>
        <v>3</v>
      </c>
      <c r="G383" s="13">
        <v>120</v>
      </c>
      <c r="H383" s="13">
        <f t="shared" si="727"/>
        <v>10</v>
      </c>
      <c r="I383" s="13">
        <v>0</v>
      </c>
      <c r="J383" s="56" t="str">
        <f t="shared" si="728"/>
        <v>AIモンスタラバー</v>
      </c>
      <c r="K383" s="13">
        <f t="shared" si="728"/>
        <v>200</v>
      </c>
      <c r="L383" s="13">
        <f t="shared" si="729"/>
        <v>2000</v>
      </c>
      <c r="M383" s="14">
        <f t="shared" si="730"/>
        <v>0.23809523809523808</v>
      </c>
      <c r="N383" s="15"/>
      <c r="O383" s="2"/>
      <c r="P383" s="16"/>
      <c r="Q383" s="13">
        <v>7257</v>
      </c>
      <c r="R383" s="13">
        <f t="shared" si="731"/>
        <v>91</v>
      </c>
      <c r="S383" s="13">
        <v>133</v>
      </c>
      <c r="T383" s="13">
        <f t="shared" si="732"/>
        <v>3</v>
      </c>
      <c r="U383" s="13">
        <v>18</v>
      </c>
      <c r="V383" s="13">
        <f t="shared" si="733"/>
        <v>3</v>
      </c>
      <c r="W383" s="13">
        <v>0</v>
      </c>
      <c r="X383" s="56" t="str">
        <f t="shared" si="734"/>
        <v>サンリオホワイトマスコット</v>
      </c>
      <c r="Y383" s="13">
        <f t="shared" si="735"/>
        <v>660</v>
      </c>
      <c r="Z383" s="13">
        <f t="shared" si="736"/>
        <v>1980</v>
      </c>
      <c r="AA383" s="14">
        <f t="shared" si="737"/>
        <v>0.21758241758241759</v>
      </c>
      <c r="AB383" s="15"/>
      <c r="AC383" s="113"/>
      <c r="AD383" s="147"/>
      <c r="AE383" s="13">
        <v>10995</v>
      </c>
      <c r="AF383" s="13">
        <f t="shared" si="738"/>
        <v>83</v>
      </c>
      <c r="AG383" s="13">
        <v>298</v>
      </c>
      <c r="AH383" s="13">
        <f t="shared" si="739"/>
        <v>2</v>
      </c>
      <c r="AI383" s="13">
        <v>58</v>
      </c>
      <c r="AJ383" s="13">
        <f t="shared" si="740"/>
        <v>2</v>
      </c>
      <c r="AK383" s="13">
        <v>0</v>
      </c>
      <c r="AL383" s="56" t="str">
        <f t="shared" si="741"/>
        <v>ゲームアーク</v>
      </c>
      <c r="AM383" s="13">
        <f t="shared" si="742"/>
        <v>682</v>
      </c>
      <c r="AN383" s="13">
        <f t="shared" si="743"/>
        <v>1364</v>
      </c>
      <c r="AO383" s="14">
        <f t="shared" si="744"/>
        <v>0.16433734939759037</v>
      </c>
      <c r="AP383" s="15"/>
      <c r="AQ383" s="115"/>
      <c r="AR383" s="16"/>
      <c r="AS383" s="13">
        <v>13672</v>
      </c>
      <c r="AT383" s="13">
        <f t="shared" si="745"/>
        <v>126</v>
      </c>
      <c r="AU383" s="13">
        <v>474</v>
      </c>
      <c r="AV383" s="13">
        <f t="shared" si="746"/>
        <v>4</v>
      </c>
      <c r="AW383" s="13">
        <v>29</v>
      </c>
      <c r="AX383" s="13">
        <f t="shared" si="747"/>
        <v>3</v>
      </c>
      <c r="AY383" s="13">
        <v>0</v>
      </c>
      <c r="AZ383" s="56" t="str">
        <f t="shared" si="748"/>
        <v>ラブブキーホルダーおおきめ</v>
      </c>
      <c r="BA383" s="13">
        <f t="shared" si="749"/>
        <v>500</v>
      </c>
      <c r="BB383" s="13">
        <f t="shared" si="750"/>
        <v>1500</v>
      </c>
      <c r="BC383" s="14">
        <f t="shared" si="751"/>
        <v>0.11904761904761904</v>
      </c>
      <c r="BD383" s="15"/>
      <c r="BT383" s="15"/>
      <c r="BU383" s="79">
        <f>IF($A413="","",$A413)</f>
        <v>46032</v>
      </c>
      <c r="BV383" s="17">
        <v>13361</v>
      </c>
      <c r="BW383" s="13">
        <f t="shared" si="702"/>
        <v>42</v>
      </c>
      <c r="BX383" s="13">
        <v>303</v>
      </c>
      <c r="BY383" s="13">
        <f t="shared" si="703"/>
        <v>0</v>
      </c>
      <c r="BZ383" s="13">
        <v>36</v>
      </c>
      <c r="CA383" s="13">
        <f t="shared" si="704"/>
        <v>0</v>
      </c>
      <c r="CB383" s="13">
        <v>12</v>
      </c>
      <c r="CC383" s="53"/>
      <c r="CD383" s="53">
        <f t="shared" si="705"/>
        <v>688</v>
      </c>
      <c r="CE383" s="13">
        <f t="shared" si="706"/>
        <v>0</v>
      </c>
      <c r="CF383" s="14">
        <f t="shared" si="707"/>
        <v>0</v>
      </c>
      <c r="CG383" s="43"/>
      <c r="CH383" s="1"/>
      <c r="CI383" s="79">
        <f>IF($A413="","",$A413)</f>
        <v>46032</v>
      </c>
      <c r="CJ383" s="17">
        <v>13252</v>
      </c>
      <c r="CK383" s="13">
        <f t="shared" si="708"/>
        <v>550</v>
      </c>
      <c r="CL383" s="13">
        <v>203</v>
      </c>
      <c r="CM383" s="13">
        <f t="shared" si="709"/>
        <v>9</v>
      </c>
      <c r="CN383" s="13">
        <v>0</v>
      </c>
      <c r="CO383" s="13">
        <f t="shared" si="710"/>
        <v>12</v>
      </c>
      <c r="CP383" s="13">
        <v>10</v>
      </c>
      <c r="CQ383" s="53"/>
      <c r="CR383" s="53">
        <f t="shared" si="752"/>
        <v>1500</v>
      </c>
      <c r="CS383" s="13">
        <f t="shared" si="711"/>
        <v>18000</v>
      </c>
      <c r="CT383" s="14">
        <f t="shared" si="712"/>
        <v>0.32727272727272727</v>
      </c>
      <c r="CU383" s="43" t="s">
        <v>432</v>
      </c>
      <c r="CV383" s="1"/>
      <c r="CW383" s="79">
        <f>IF($A413="","",$A413)</f>
        <v>46032</v>
      </c>
      <c r="CX383" s="17">
        <v>11784</v>
      </c>
      <c r="CY383" s="13">
        <f t="shared" si="713"/>
        <v>57</v>
      </c>
      <c r="CZ383" s="13">
        <v>228</v>
      </c>
      <c r="DA383" s="13">
        <f t="shared" si="714"/>
        <v>3</v>
      </c>
      <c r="DB383" s="13">
        <v>40</v>
      </c>
      <c r="DC383" s="13">
        <f t="shared" si="715"/>
        <v>3</v>
      </c>
      <c r="DD383" s="13">
        <v>0</v>
      </c>
      <c r="DE383" s="53"/>
      <c r="DF383" s="53">
        <f t="shared" si="716"/>
        <v>880</v>
      </c>
      <c r="DG383" s="13">
        <f t="shared" si="717"/>
        <v>2640</v>
      </c>
      <c r="DH383" s="14">
        <f t="shared" si="718"/>
        <v>0.4631578947368421</v>
      </c>
      <c r="DI383" s="43"/>
      <c r="DJ383" s="1"/>
      <c r="DK383" s="79">
        <f>IF($A413="","",$A413)</f>
        <v>46032</v>
      </c>
      <c r="DL383" s="17">
        <v>8803</v>
      </c>
      <c r="DM383" s="13">
        <f t="shared" si="719"/>
        <v>62</v>
      </c>
      <c r="DN383" s="13">
        <v>258</v>
      </c>
      <c r="DO383" s="13">
        <f t="shared" si="720"/>
        <v>1</v>
      </c>
      <c r="DP383" s="13">
        <v>29</v>
      </c>
      <c r="DQ383" s="13">
        <f t="shared" si="721"/>
        <v>1</v>
      </c>
      <c r="DR383" s="13"/>
      <c r="DS383" s="53"/>
      <c r="DT383" s="53">
        <f t="shared" si="722"/>
        <v>1100</v>
      </c>
      <c r="DU383" s="13">
        <f t="shared" si="723"/>
        <v>1100</v>
      </c>
      <c r="DV383" s="14">
        <f t="shared" si="724"/>
        <v>0.17741935483870969</v>
      </c>
      <c r="DW383" s="156" t="s">
        <v>435</v>
      </c>
    </row>
    <row r="384" spans="1:127" ht="15" customHeight="1" thickBot="1" x14ac:dyDescent="0.25">
      <c r="A384" s="26"/>
      <c r="B384" s="46"/>
      <c r="C384" s="27">
        <v>5446</v>
      </c>
      <c r="D384" s="27">
        <f t="shared" si="725"/>
        <v>126</v>
      </c>
      <c r="E384" s="27">
        <v>434</v>
      </c>
      <c r="F384" s="27">
        <f t="shared" si="726"/>
        <v>6</v>
      </c>
      <c r="G384" s="27">
        <v>46</v>
      </c>
      <c r="H384" s="27">
        <f t="shared" si="727"/>
        <v>7</v>
      </c>
      <c r="I384" s="27">
        <v>8</v>
      </c>
      <c r="J384" s="57" t="str">
        <f t="shared" si="728"/>
        <v>NICIマスコット</v>
      </c>
      <c r="K384" s="62">
        <f t="shared" si="728"/>
        <v>900</v>
      </c>
      <c r="L384" s="27">
        <f t="shared" si="729"/>
        <v>6300</v>
      </c>
      <c r="M384" s="28">
        <f t="shared" si="730"/>
        <v>0.5</v>
      </c>
      <c r="N384" s="15"/>
      <c r="O384" s="2"/>
      <c r="P384" s="26"/>
      <c r="Q384" s="27">
        <v>6886</v>
      </c>
      <c r="R384" s="27">
        <f t="shared" si="731"/>
        <v>153</v>
      </c>
      <c r="S384" s="27">
        <v>117</v>
      </c>
      <c r="T384" s="27">
        <f t="shared" si="732"/>
        <v>3</v>
      </c>
      <c r="U384" s="27">
        <v>11</v>
      </c>
      <c r="V384" s="27">
        <f t="shared" si="733"/>
        <v>5</v>
      </c>
      <c r="W384" s="27">
        <v>6</v>
      </c>
      <c r="X384" s="57" t="str">
        <f t="shared" si="734"/>
        <v>ＡＩマスコット</v>
      </c>
      <c r="Y384" s="62">
        <f t="shared" si="735"/>
        <v>286</v>
      </c>
      <c r="Z384" s="27">
        <f t="shared" si="736"/>
        <v>1430</v>
      </c>
      <c r="AA384" s="28">
        <f t="shared" si="737"/>
        <v>9.34640522875817E-2</v>
      </c>
      <c r="AB384" s="15"/>
      <c r="AC384" s="113"/>
      <c r="AD384" s="145"/>
      <c r="AE384" s="27">
        <v>11020</v>
      </c>
      <c r="AF384" s="27">
        <f t="shared" si="738"/>
        <v>76</v>
      </c>
      <c r="AG384" s="27">
        <v>287</v>
      </c>
      <c r="AH384" s="27">
        <f t="shared" si="739"/>
        <v>1</v>
      </c>
      <c r="AI384" s="27">
        <v>10</v>
      </c>
      <c r="AJ384" s="27">
        <f t="shared" si="740"/>
        <v>1</v>
      </c>
      <c r="AK384" s="27">
        <v>6</v>
      </c>
      <c r="AL384" s="57" t="str">
        <f t="shared" si="741"/>
        <v>モンチッチマスコット2</v>
      </c>
      <c r="AM384" s="62">
        <f t="shared" si="742"/>
        <v>605</v>
      </c>
      <c r="AN384" s="27">
        <f t="shared" si="743"/>
        <v>605</v>
      </c>
      <c r="AO384" s="28">
        <f t="shared" si="744"/>
        <v>7.9605263157894735E-2</v>
      </c>
      <c r="AP384" s="15"/>
      <c r="AQ384" s="115"/>
      <c r="AR384" s="26"/>
      <c r="AS384" s="27">
        <v>13910</v>
      </c>
      <c r="AT384" s="27">
        <f t="shared" si="745"/>
        <v>151</v>
      </c>
      <c r="AU384" s="27">
        <v>405</v>
      </c>
      <c r="AV384" s="27">
        <f t="shared" si="746"/>
        <v>7</v>
      </c>
      <c r="AW384" s="27">
        <v>32</v>
      </c>
      <c r="AX384" s="27">
        <f t="shared" si="747"/>
        <v>6</v>
      </c>
      <c r="AY384" s="27">
        <v>0</v>
      </c>
      <c r="AZ384" s="57" t="str">
        <f t="shared" si="748"/>
        <v>ラブブマスコット</v>
      </c>
      <c r="BA384" s="62">
        <f t="shared" si="749"/>
        <v>400</v>
      </c>
      <c r="BB384" s="27">
        <f t="shared" si="750"/>
        <v>2400</v>
      </c>
      <c r="BC384" s="28">
        <f t="shared" si="751"/>
        <v>0.15894039735099338</v>
      </c>
      <c r="BD384" s="15"/>
      <c r="BT384" s="15"/>
      <c r="BU384" s="79">
        <f>IF($A417="","",$A417)</f>
        <v>46034</v>
      </c>
      <c r="BV384" s="17">
        <v>13624</v>
      </c>
      <c r="BW384" s="13">
        <f t="shared" si="702"/>
        <v>263</v>
      </c>
      <c r="BX384" s="13">
        <v>309</v>
      </c>
      <c r="BY384" s="13">
        <f t="shared" si="703"/>
        <v>6</v>
      </c>
      <c r="BZ384" s="13">
        <v>42</v>
      </c>
      <c r="CA384" s="13">
        <f t="shared" si="704"/>
        <v>6</v>
      </c>
      <c r="CB384" s="13"/>
      <c r="CC384" s="53"/>
      <c r="CD384" s="53">
        <f t="shared" si="705"/>
        <v>688</v>
      </c>
      <c r="CE384" s="13">
        <f t="shared" si="706"/>
        <v>4128</v>
      </c>
      <c r="CF384" s="14">
        <f t="shared" si="707"/>
        <v>0.15695817490494296</v>
      </c>
      <c r="CG384" s="15"/>
      <c r="CH384" s="1"/>
      <c r="CI384" s="79">
        <f>IF($A417="","",$A417)</f>
        <v>46034</v>
      </c>
      <c r="CJ384" s="17">
        <v>13510</v>
      </c>
      <c r="CK384" s="13">
        <f t="shared" si="708"/>
        <v>258</v>
      </c>
      <c r="CL384" s="13">
        <v>212</v>
      </c>
      <c r="CM384" s="13">
        <f t="shared" si="709"/>
        <v>9</v>
      </c>
      <c r="CN384" s="13">
        <v>0</v>
      </c>
      <c r="CO384" s="13">
        <f t="shared" si="710"/>
        <v>10</v>
      </c>
      <c r="CP384" s="13">
        <v>12</v>
      </c>
      <c r="CQ384" s="53"/>
      <c r="CR384" s="53">
        <f t="shared" si="752"/>
        <v>1500</v>
      </c>
      <c r="CS384" s="13">
        <f t="shared" si="711"/>
        <v>15000</v>
      </c>
      <c r="CT384" s="14">
        <f t="shared" si="712"/>
        <v>0.58139534883720934</v>
      </c>
      <c r="CU384" s="15" t="s">
        <v>436</v>
      </c>
      <c r="CV384" s="1"/>
      <c r="CW384" s="79">
        <f>IF($A417="","",$A417)</f>
        <v>46034</v>
      </c>
      <c r="CX384" s="17">
        <v>11855</v>
      </c>
      <c r="CY384" s="13">
        <f t="shared" si="713"/>
        <v>71</v>
      </c>
      <c r="CZ384" s="13">
        <v>229</v>
      </c>
      <c r="DA384" s="13">
        <f t="shared" si="714"/>
        <v>1</v>
      </c>
      <c r="DB384" s="13">
        <v>39</v>
      </c>
      <c r="DC384" s="13">
        <f t="shared" si="715"/>
        <v>1</v>
      </c>
      <c r="DD384" s="13">
        <v>2</v>
      </c>
      <c r="DE384" s="53"/>
      <c r="DF384" s="53">
        <f t="shared" si="716"/>
        <v>880</v>
      </c>
      <c r="DG384" s="13">
        <f t="shared" si="717"/>
        <v>880</v>
      </c>
      <c r="DH384" s="14">
        <f t="shared" si="718"/>
        <v>0.12394366197183099</v>
      </c>
      <c r="DI384" s="15"/>
      <c r="DJ384" s="1"/>
      <c r="DK384" s="79">
        <f>IF($A417="","",$A417)</f>
        <v>46034</v>
      </c>
      <c r="DL384" s="17">
        <v>8883</v>
      </c>
      <c r="DM384" s="13">
        <f t="shared" si="719"/>
        <v>80</v>
      </c>
      <c r="DN384" s="13">
        <v>259</v>
      </c>
      <c r="DO384" s="13">
        <f t="shared" si="720"/>
        <v>1</v>
      </c>
      <c r="DP384" s="13">
        <v>28</v>
      </c>
      <c r="DQ384" s="13">
        <f t="shared" si="721"/>
        <v>1</v>
      </c>
      <c r="DR384" s="13">
        <v>0</v>
      </c>
      <c r="DS384" s="53"/>
      <c r="DT384" s="53">
        <f t="shared" si="722"/>
        <v>1100</v>
      </c>
      <c r="DU384" s="13">
        <f t="shared" si="723"/>
        <v>1100</v>
      </c>
      <c r="DV384" s="14">
        <f t="shared" si="724"/>
        <v>0.13750000000000001</v>
      </c>
      <c r="DW384" s="15"/>
    </row>
    <row r="385" spans="1:127" ht="15" customHeight="1" thickTop="1" x14ac:dyDescent="0.2">
      <c r="A385" s="79">
        <v>46020</v>
      </c>
      <c r="B385" s="74">
        <f>IF(A385="","",SUM(D385:D388)+SUM(R385:R388)+SUM(AF385:AF388)+SUM(AT385:AT388)+SUM(BW376,CK376,CY376,DM376))</f>
        <v>2168</v>
      </c>
      <c r="C385" s="53">
        <v>4623</v>
      </c>
      <c r="D385" s="53">
        <f t="shared" si="725"/>
        <v>66</v>
      </c>
      <c r="E385" s="53">
        <v>328</v>
      </c>
      <c r="F385" s="31">
        <f t="shared" si="726"/>
        <v>1</v>
      </c>
      <c r="G385" s="53">
        <v>12</v>
      </c>
      <c r="H385" s="53">
        <f t="shared" si="727"/>
        <v>1</v>
      </c>
      <c r="I385" s="80">
        <v>0</v>
      </c>
      <c r="J385" s="75" t="s">
        <v>411</v>
      </c>
      <c r="K385" s="76">
        <v>748</v>
      </c>
      <c r="L385" s="31">
        <f t="shared" si="729"/>
        <v>748</v>
      </c>
      <c r="M385" s="32">
        <f t="shared" si="730"/>
        <v>0.11333333333333333</v>
      </c>
      <c r="N385" s="15" t="s">
        <v>409</v>
      </c>
      <c r="O385" s="2"/>
      <c r="P385" s="79">
        <f>IF(A385="","",A385)</f>
        <v>46020</v>
      </c>
      <c r="Q385" s="53">
        <v>4326</v>
      </c>
      <c r="R385" s="127">
        <f t="shared" si="731"/>
        <v>45</v>
      </c>
      <c r="S385" s="53">
        <v>155</v>
      </c>
      <c r="T385" s="31">
        <f t="shared" si="732"/>
        <v>1</v>
      </c>
      <c r="U385" s="53">
        <v>11</v>
      </c>
      <c r="V385" s="53">
        <f t="shared" si="733"/>
        <v>0</v>
      </c>
      <c r="W385" s="80">
        <v>1</v>
      </c>
      <c r="X385" s="75" t="str">
        <f t="shared" si="734"/>
        <v>ジャグラーイヤホン</v>
      </c>
      <c r="Y385" s="76">
        <f t="shared" si="735"/>
        <v>1100</v>
      </c>
      <c r="Z385" s="31">
        <f t="shared" si="736"/>
        <v>0</v>
      </c>
      <c r="AA385" s="32">
        <f t="shared" si="737"/>
        <v>0</v>
      </c>
      <c r="AB385" s="15" t="s">
        <v>414</v>
      </c>
      <c r="AC385" s="113"/>
      <c r="AD385" s="146">
        <f>IF($A385="","",$A385)</f>
        <v>46020</v>
      </c>
      <c r="AE385" s="53">
        <v>9793</v>
      </c>
      <c r="AF385" s="53">
        <f t="shared" si="738"/>
        <v>103</v>
      </c>
      <c r="AG385" s="53">
        <v>219</v>
      </c>
      <c r="AH385" s="31">
        <f t="shared" si="739"/>
        <v>2</v>
      </c>
      <c r="AI385" s="53">
        <v>10</v>
      </c>
      <c r="AJ385" s="53">
        <f t="shared" si="740"/>
        <v>2</v>
      </c>
      <c r="AK385" s="80">
        <v>4</v>
      </c>
      <c r="AL385" s="75" t="str">
        <f t="shared" si="741"/>
        <v>サンリオ型押しケース</v>
      </c>
      <c r="AM385" s="76">
        <f t="shared" si="742"/>
        <v>545</v>
      </c>
      <c r="AN385" s="31">
        <f t="shared" si="743"/>
        <v>1090</v>
      </c>
      <c r="AO385" s="32">
        <f t="shared" si="744"/>
        <v>0.10582524271844661</v>
      </c>
      <c r="AP385" s="15"/>
      <c r="AQ385" s="15"/>
      <c r="AR385" s="79">
        <f>IF($A385="","",$A385)</f>
        <v>46020</v>
      </c>
      <c r="AS385" s="53">
        <v>10507</v>
      </c>
      <c r="AT385" s="53">
        <f t="shared" si="745"/>
        <v>79</v>
      </c>
      <c r="AU385" s="53">
        <v>333</v>
      </c>
      <c r="AV385" s="31">
        <f t="shared" si="746"/>
        <v>4</v>
      </c>
      <c r="AW385" s="53">
        <v>15</v>
      </c>
      <c r="AX385" s="53">
        <f t="shared" si="747"/>
        <v>2</v>
      </c>
      <c r="AY385" s="80">
        <v>0</v>
      </c>
      <c r="AZ385" s="75" t="str">
        <f t="shared" si="748"/>
        <v>サンリオヒョウ柄キーケース</v>
      </c>
      <c r="BA385" s="76">
        <f t="shared" si="749"/>
        <v>924</v>
      </c>
      <c r="BB385" s="31">
        <f t="shared" si="750"/>
        <v>1848</v>
      </c>
      <c r="BC385" s="32">
        <f t="shared" si="751"/>
        <v>0.23392405063291138</v>
      </c>
      <c r="BD385" s="15"/>
      <c r="BT385" s="15"/>
      <c r="BU385" s="79">
        <f>IF($A421="","",$A421)</f>
        <v>46036</v>
      </c>
      <c r="BV385" s="17">
        <v>13743</v>
      </c>
      <c r="BW385" s="13">
        <f t="shared" si="702"/>
        <v>119</v>
      </c>
      <c r="BX385" s="13">
        <v>310</v>
      </c>
      <c r="BY385" s="13">
        <f t="shared" si="703"/>
        <v>1</v>
      </c>
      <c r="BZ385" s="13">
        <v>41</v>
      </c>
      <c r="CA385" s="13">
        <f t="shared" si="704"/>
        <v>1</v>
      </c>
      <c r="CB385" s="13">
        <v>8</v>
      </c>
      <c r="CC385" s="53"/>
      <c r="CD385" s="53">
        <f t="shared" si="705"/>
        <v>688</v>
      </c>
      <c r="CE385" s="13">
        <f t="shared" si="706"/>
        <v>688</v>
      </c>
      <c r="CF385" s="14">
        <f t="shared" si="707"/>
        <v>5.7815126050420169E-2</v>
      </c>
      <c r="CG385" s="15"/>
      <c r="CH385" s="1"/>
      <c r="CI385" s="79">
        <f>IF($A421="","",$A421)</f>
        <v>46036</v>
      </c>
      <c r="CJ385" s="17">
        <v>14113</v>
      </c>
      <c r="CK385" s="13">
        <f t="shared" si="708"/>
        <v>603</v>
      </c>
      <c r="CL385" s="13">
        <v>223</v>
      </c>
      <c r="CM385" s="13">
        <f t="shared" si="709"/>
        <v>11</v>
      </c>
      <c r="CN385" s="13">
        <v>0</v>
      </c>
      <c r="CO385" s="13">
        <f t="shared" si="710"/>
        <v>12</v>
      </c>
      <c r="CP385" s="13">
        <v>14</v>
      </c>
      <c r="CQ385" s="53"/>
      <c r="CR385" s="53">
        <f t="shared" si="752"/>
        <v>1500</v>
      </c>
      <c r="CS385" s="13">
        <f t="shared" si="711"/>
        <v>18000</v>
      </c>
      <c r="CT385" s="14">
        <f t="shared" si="712"/>
        <v>0.29850746268656714</v>
      </c>
      <c r="CU385" s="15" t="s">
        <v>440</v>
      </c>
      <c r="CV385" s="1"/>
      <c r="CW385" s="79">
        <f>IF($A421="","",$A421)</f>
        <v>46036</v>
      </c>
      <c r="CX385" s="17">
        <v>11934</v>
      </c>
      <c r="CY385" s="13">
        <f t="shared" si="713"/>
        <v>79</v>
      </c>
      <c r="CZ385" s="13">
        <v>230</v>
      </c>
      <c r="DA385" s="13">
        <f t="shared" si="714"/>
        <v>1</v>
      </c>
      <c r="DB385" s="13">
        <v>40</v>
      </c>
      <c r="DC385" s="13">
        <f t="shared" si="715"/>
        <v>1</v>
      </c>
      <c r="DD385" s="13">
        <v>0</v>
      </c>
      <c r="DE385" s="53"/>
      <c r="DF385" s="53">
        <f t="shared" si="716"/>
        <v>880</v>
      </c>
      <c r="DG385" s="13">
        <f t="shared" si="717"/>
        <v>880</v>
      </c>
      <c r="DH385" s="14">
        <f t="shared" si="718"/>
        <v>0.11139240506329114</v>
      </c>
      <c r="DI385" s="15"/>
      <c r="DJ385" s="1"/>
      <c r="DK385" s="79">
        <f>IF($A421="","",$A421)</f>
        <v>46036</v>
      </c>
      <c r="DL385" s="17">
        <v>8963</v>
      </c>
      <c r="DM385" s="13">
        <f t="shared" si="719"/>
        <v>80</v>
      </c>
      <c r="DN385" s="13">
        <v>261</v>
      </c>
      <c r="DO385" s="13">
        <f t="shared" si="720"/>
        <v>2</v>
      </c>
      <c r="DP385" s="13">
        <v>26</v>
      </c>
      <c r="DQ385" s="13">
        <f t="shared" si="721"/>
        <v>2</v>
      </c>
      <c r="DR385" s="13">
        <v>7</v>
      </c>
      <c r="DS385" s="53"/>
      <c r="DT385" s="53">
        <f t="shared" si="722"/>
        <v>1100</v>
      </c>
      <c r="DU385" s="13">
        <f t="shared" si="723"/>
        <v>2200</v>
      </c>
      <c r="DV385" s="14">
        <f t="shared" si="724"/>
        <v>0.27500000000000002</v>
      </c>
      <c r="DW385" s="15"/>
    </row>
    <row r="386" spans="1:127" x14ac:dyDescent="0.2">
      <c r="A386" s="16"/>
      <c r="B386" s="11"/>
      <c r="C386" s="13">
        <v>4106</v>
      </c>
      <c r="D386" s="53">
        <f t="shared" si="725"/>
        <v>153</v>
      </c>
      <c r="E386" s="13">
        <v>348</v>
      </c>
      <c r="F386" s="13">
        <f t="shared" si="726"/>
        <v>5</v>
      </c>
      <c r="G386" s="13">
        <v>40</v>
      </c>
      <c r="H386" s="13">
        <f t="shared" si="727"/>
        <v>6</v>
      </c>
      <c r="I386" s="17">
        <v>0</v>
      </c>
      <c r="J386" s="56" t="str">
        <f t="shared" ref="J386:K388" si="753">IF(C386="","",J382)</f>
        <v>電ブル</v>
      </c>
      <c r="K386" s="54">
        <f t="shared" si="753"/>
        <v>1075</v>
      </c>
      <c r="L386" s="13">
        <f t="shared" si="729"/>
        <v>6450</v>
      </c>
      <c r="M386" s="14">
        <f t="shared" si="730"/>
        <v>0.42156862745098039</v>
      </c>
      <c r="N386" s="15"/>
      <c r="O386" s="2"/>
      <c r="P386" s="16"/>
      <c r="Q386" s="13">
        <v>3856</v>
      </c>
      <c r="R386" s="53">
        <f t="shared" si="731"/>
        <v>50</v>
      </c>
      <c r="S386" s="13">
        <v>120</v>
      </c>
      <c r="T386" s="13">
        <f t="shared" si="732"/>
        <v>1</v>
      </c>
      <c r="U386" s="13">
        <v>30</v>
      </c>
      <c r="V386" s="13">
        <f t="shared" si="733"/>
        <v>2</v>
      </c>
      <c r="W386" s="17">
        <v>0</v>
      </c>
      <c r="X386" s="56" t="str">
        <f t="shared" si="734"/>
        <v>押忍番長ボタン</v>
      </c>
      <c r="Y386" s="54">
        <f t="shared" si="735"/>
        <v>1100</v>
      </c>
      <c r="Z386" s="13">
        <f t="shared" si="736"/>
        <v>2200</v>
      </c>
      <c r="AA386" s="14">
        <f t="shared" si="737"/>
        <v>0.44</v>
      </c>
      <c r="AB386" s="15"/>
      <c r="AC386" s="113"/>
      <c r="AD386" s="147"/>
      <c r="AE386" s="13">
        <v>9423</v>
      </c>
      <c r="AF386" s="53">
        <f t="shared" si="738"/>
        <v>115</v>
      </c>
      <c r="AG386" s="13">
        <v>210</v>
      </c>
      <c r="AH386" s="13">
        <f t="shared" si="739"/>
        <v>2</v>
      </c>
      <c r="AI386" s="13">
        <v>10</v>
      </c>
      <c r="AJ386" s="13">
        <f t="shared" si="740"/>
        <v>2</v>
      </c>
      <c r="AK386" s="17">
        <v>4</v>
      </c>
      <c r="AL386" s="56" t="str">
        <f t="shared" si="741"/>
        <v>サンリオヒョウ柄フェイス</v>
      </c>
      <c r="AM386" s="54">
        <f t="shared" si="742"/>
        <v>792</v>
      </c>
      <c r="AN386" s="13">
        <f t="shared" si="743"/>
        <v>1584</v>
      </c>
      <c r="AO386" s="14">
        <f t="shared" si="744"/>
        <v>0.13773913043478261</v>
      </c>
      <c r="AP386" s="15"/>
      <c r="AQ386" s="15"/>
      <c r="AR386" s="16"/>
      <c r="AS386" s="13">
        <v>7116</v>
      </c>
      <c r="AT386" s="53">
        <f t="shared" si="745"/>
        <v>56</v>
      </c>
      <c r="AU386" s="13">
        <v>381</v>
      </c>
      <c r="AV386" s="13">
        <f t="shared" si="746"/>
        <v>3</v>
      </c>
      <c r="AW386" s="13">
        <v>9</v>
      </c>
      <c r="AX386" s="13">
        <f t="shared" si="747"/>
        <v>3</v>
      </c>
      <c r="AY386" s="17">
        <v>0</v>
      </c>
      <c r="AZ386" s="56" t="s">
        <v>166</v>
      </c>
      <c r="BA386" s="54">
        <v>673</v>
      </c>
      <c r="BB386" s="13">
        <f t="shared" si="750"/>
        <v>2019</v>
      </c>
      <c r="BC386" s="14">
        <f t="shared" si="751"/>
        <v>0.36053571428571429</v>
      </c>
      <c r="BD386" s="15" t="s">
        <v>410</v>
      </c>
      <c r="BT386" s="15"/>
      <c r="BU386" s="79"/>
      <c r="BV386" s="13"/>
      <c r="BW386" s="13"/>
      <c r="BX386" s="13"/>
      <c r="BY386" s="13"/>
      <c r="BZ386" s="13"/>
      <c r="CA386" s="13"/>
      <c r="CB386" s="13"/>
      <c r="CC386" s="53"/>
      <c r="CD386" s="53"/>
      <c r="CE386" s="13"/>
      <c r="CF386" s="14"/>
      <c r="CG386" s="67"/>
      <c r="CH386" s="1"/>
      <c r="CI386" s="79"/>
      <c r="CJ386" s="13"/>
      <c r="CK386" s="13"/>
      <c r="CL386" s="13"/>
      <c r="CM386" s="13"/>
      <c r="CN386" s="13"/>
      <c r="CO386" s="13"/>
      <c r="CP386" s="13"/>
      <c r="CQ386" s="53"/>
      <c r="CR386" s="53"/>
      <c r="CS386" s="13"/>
      <c r="CT386" s="14"/>
      <c r="CU386" s="15"/>
      <c r="CV386" s="1"/>
      <c r="CW386" s="79"/>
      <c r="CX386" s="13"/>
      <c r="CY386" s="13"/>
      <c r="CZ386" s="13"/>
      <c r="DA386" s="13"/>
      <c r="DB386" s="13"/>
      <c r="DC386" s="13"/>
      <c r="DD386" s="13"/>
      <c r="DE386" s="53"/>
      <c r="DF386" s="53"/>
      <c r="DG386" s="13"/>
      <c r="DH386" s="14"/>
      <c r="DI386" s="15"/>
      <c r="DJ386" s="1"/>
      <c r="DK386" s="79"/>
      <c r="DL386" s="13"/>
      <c r="DM386" s="13"/>
      <c r="DN386" s="13"/>
      <c r="DO386" s="13"/>
      <c r="DP386" s="13"/>
      <c r="DQ386" s="13"/>
      <c r="DR386" s="13"/>
      <c r="DS386" s="53"/>
      <c r="DT386" s="53"/>
      <c r="DU386" s="13"/>
      <c r="DV386" s="14"/>
      <c r="DW386" s="15"/>
    </row>
    <row r="387" spans="1:127" x14ac:dyDescent="0.2">
      <c r="A387" s="33"/>
      <c r="B387" s="48"/>
      <c r="C387" s="34">
        <v>10423</v>
      </c>
      <c r="D387" s="127">
        <f t="shared" si="725"/>
        <v>42</v>
      </c>
      <c r="E387" s="34">
        <v>596</v>
      </c>
      <c r="F387" s="13">
        <f t="shared" si="726"/>
        <v>1</v>
      </c>
      <c r="G387" s="34">
        <v>110</v>
      </c>
      <c r="H387" s="13">
        <f t="shared" si="727"/>
        <v>10</v>
      </c>
      <c r="I387" s="49">
        <v>0</v>
      </c>
      <c r="J387" s="56" t="str">
        <f t="shared" si="753"/>
        <v>AIモンスタラバー</v>
      </c>
      <c r="K387" s="13">
        <f t="shared" si="753"/>
        <v>200</v>
      </c>
      <c r="L387" s="13">
        <f t="shared" si="729"/>
        <v>2000</v>
      </c>
      <c r="M387" s="14">
        <f t="shared" si="730"/>
        <v>0.47619047619047616</v>
      </c>
      <c r="N387" s="15"/>
      <c r="O387" s="2"/>
      <c r="P387" s="33"/>
      <c r="Q387" s="34">
        <v>7333</v>
      </c>
      <c r="R387" s="53">
        <f t="shared" si="731"/>
        <v>76</v>
      </c>
      <c r="S387" s="34">
        <v>135</v>
      </c>
      <c r="T387" s="13">
        <f t="shared" si="732"/>
        <v>2</v>
      </c>
      <c r="U387" s="34">
        <v>16</v>
      </c>
      <c r="V387" s="13">
        <f t="shared" si="733"/>
        <v>2</v>
      </c>
      <c r="W387" s="49">
        <v>1</v>
      </c>
      <c r="X387" s="56" t="str">
        <f t="shared" si="734"/>
        <v>サンリオホワイトマスコット</v>
      </c>
      <c r="Y387" s="13">
        <f t="shared" si="735"/>
        <v>660</v>
      </c>
      <c r="Z387" s="13">
        <f t="shared" si="736"/>
        <v>1320</v>
      </c>
      <c r="AA387" s="14">
        <f t="shared" si="737"/>
        <v>0.1736842105263158</v>
      </c>
      <c r="AB387" s="15"/>
      <c r="AC387" s="84"/>
      <c r="AD387" s="33"/>
      <c r="AE387" s="34">
        <v>11117</v>
      </c>
      <c r="AF387" s="53">
        <f t="shared" si="738"/>
        <v>122</v>
      </c>
      <c r="AG387" s="34">
        <v>300</v>
      </c>
      <c r="AH387" s="13">
        <f t="shared" si="739"/>
        <v>2</v>
      </c>
      <c r="AI387" s="34">
        <v>56</v>
      </c>
      <c r="AJ387" s="13">
        <f t="shared" si="740"/>
        <v>2</v>
      </c>
      <c r="AK387" s="49">
        <v>4</v>
      </c>
      <c r="AL387" s="56" t="str">
        <f t="shared" si="741"/>
        <v>ゲームアーク</v>
      </c>
      <c r="AM387" s="13">
        <f t="shared" si="742"/>
        <v>682</v>
      </c>
      <c r="AN387" s="13">
        <f t="shared" si="743"/>
        <v>1364</v>
      </c>
      <c r="AO387" s="14">
        <f t="shared" si="744"/>
        <v>0.11180327868852459</v>
      </c>
      <c r="AP387" s="15"/>
      <c r="AQ387" s="15"/>
      <c r="AR387" s="33"/>
      <c r="AS387" s="34">
        <v>13786</v>
      </c>
      <c r="AT387" s="53">
        <f t="shared" si="745"/>
        <v>114</v>
      </c>
      <c r="AU387" s="34">
        <v>477</v>
      </c>
      <c r="AV387" s="13">
        <f t="shared" si="746"/>
        <v>3</v>
      </c>
      <c r="AW387" s="34">
        <v>26</v>
      </c>
      <c r="AX387" s="13">
        <f t="shared" si="747"/>
        <v>3</v>
      </c>
      <c r="AY387" s="49">
        <v>0</v>
      </c>
      <c r="AZ387" s="56" t="str">
        <f t="shared" ref="AZ387:AZ424" si="754">IF(AS387="","",AZ383)</f>
        <v>ラブブキーホルダーおおきめ</v>
      </c>
      <c r="BA387" s="13">
        <f t="shared" ref="BA387:BA424" si="755">IF(AT387="","",BA383)</f>
        <v>500</v>
      </c>
      <c r="BB387" s="13">
        <f t="shared" si="750"/>
        <v>1500</v>
      </c>
      <c r="BC387" s="14">
        <f t="shared" si="751"/>
        <v>0.13157894736842105</v>
      </c>
      <c r="BD387" s="15"/>
      <c r="BT387" s="15"/>
      <c r="BU387" s="79"/>
      <c r="BV387" s="13"/>
      <c r="BW387" s="13"/>
      <c r="BX387" s="13"/>
      <c r="BY387" s="13"/>
      <c r="BZ387" s="13"/>
      <c r="CA387" s="13"/>
      <c r="CB387" s="13"/>
      <c r="CC387" s="53"/>
      <c r="CD387" s="53"/>
      <c r="CE387" s="13"/>
      <c r="CF387" s="14"/>
      <c r="CG387" s="67"/>
      <c r="CH387" s="1"/>
      <c r="CI387" s="79"/>
      <c r="CJ387" s="13"/>
      <c r="CK387" s="13"/>
      <c r="CL387" s="13"/>
      <c r="CM387" s="13"/>
      <c r="CN387" s="13"/>
      <c r="CO387" s="13"/>
      <c r="CP387" s="13"/>
      <c r="CQ387" s="53"/>
      <c r="CR387" s="53"/>
      <c r="CS387" s="13"/>
      <c r="CT387" s="14"/>
      <c r="CU387" s="15"/>
      <c r="CV387" s="1"/>
      <c r="CW387" s="79"/>
      <c r="CX387" s="13"/>
      <c r="CY387" s="13"/>
      <c r="CZ387" s="13"/>
      <c r="DA387" s="13"/>
      <c r="DB387" s="13"/>
      <c r="DC387" s="13"/>
      <c r="DD387" s="13"/>
      <c r="DE387" s="53"/>
      <c r="DF387" s="53"/>
      <c r="DG387" s="13"/>
      <c r="DH387" s="14"/>
      <c r="DI387" s="15"/>
      <c r="DJ387" s="1"/>
      <c r="DK387" s="79"/>
      <c r="DL387" s="13"/>
      <c r="DM387" s="13"/>
      <c r="DN387" s="13"/>
      <c r="DO387" s="13"/>
      <c r="DP387" s="13"/>
      <c r="DQ387" s="13"/>
      <c r="DR387" s="13"/>
      <c r="DS387" s="53"/>
      <c r="DT387" s="53"/>
      <c r="DU387" s="13"/>
      <c r="DV387" s="14"/>
      <c r="DW387" s="15"/>
    </row>
    <row r="388" spans="1:127" ht="15" customHeight="1" thickBot="1" x14ac:dyDescent="0.25">
      <c r="A388" s="26"/>
      <c r="B388" s="46"/>
      <c r="C388" s="27">
        <v>5533</v>
      </c>
      <c r="D388" s="61">
        <f t="shared" si="725"/>
        <v>87</v>
      </c>
      <c r="E388" s="27">
        <v>437</v>
      </c>
      <c r="F388" s="27">
        <f t="shared" si="726"/>
        <v>3</v>
      </c>
      <c r="G388" s="27">
        <v>50</v>
      </c>
      <c r="H388" s="27">
        <f t="shared" si="727"/>
        <v>4</v>
      </c>
      <c r="I388" s="47">
        <v>0</v>
      </c>
      <c r="J388" s="57" t="str">
        <f t="shared" si="753"/>
        <v>NICIマスコット</v>
      </c>
      <c r="K388" s="62">
        <f t="shared" si="753"/>
        <v>900</v>
      </c>
      <c r="L388" s="27">
        <f t="shared" si="729"/>
        <v>3600</v>
      </c>
      <c r="M388" s="28">
        <f t="shared" si="730"/>
        <v>0.41379310344827586</v>
      </c>
      <c r="N388" s="15"/>
      <c r="O388" s="2"/>
      <c r="P388" s="26"/>
      <c r="Q388" s="27">
        <v>7021</v>
      </c>
      <c r="R388" s="61">
        <f t="shared" si="731"/>
        <v>135</v>
      </c>
      <c r="S388" s="27">
        <v>118</v>
      </c>
      <c r="T388" s="27">
        <f t="shared" si="732"/>
        <v>1</v>
      </c>
      <c r="U388" s="27">
        <v>16</v>
      </c>
      <c r="V388" s="27">
        <f t="shared" si="733"/>
        <v>1</v>
      </c>
      <c r="W388" s="47">
        <v>0</v>
      </c>
      <c r="X388" s="57" t="str">
        <f t="shared" si="734"/>
        <v>ＡＩマスコット</v>
      </c>
      <c r="Y388" s="62">
        <f t="shared" si="735"/>
        <v>286</v>
      </c>
      <c r="Z388" s="27">
        <f t="shared" si="736"/>
        <v>286</v>
      </c>
      <c r="AA388" s="28">
        <f t="shared" si="737"/>
        <v>2.1185185185185185E-2</v>
      </c>
      <c r="AB388" s="15"/>
      <c r="AC388" s="15"/>
      <c r="AD388" s="26"/>
      <c r="AE388" s="27">
        <v>11135</v>
      </c>
      <c r="AF388" s="61">
        <f t="shared" si="738"/>
        <v>115</v>
      </c>
      <c r="AG388" s="27">
        <v>287</v>
      </c>
      <c r="AH388" s="27">
        <f t="shared" si="739"/>
        <v>0</v>
      </c>
      <c r="AI388" s="27">
        <v>16</v>
      </c>
      <c r="AJ388" s="27">
        <f t="shared" si="740"/>
        <v>0</v>
      </c>
      <c r="AK388" s="47">
        <v>0</v>
      </c>
      <c r="AL388" s="57" t="str">
        <f t="shared" si="741"/>
        <v>モンチッチマスコット2</v>
      </c>
      <c r="AM388" s="62">
        <f t="shared" si="742"/>
        <v>605</v>
      </c>
      <c r="AN388" s="27">
        <f t="shared" si="743"/>
        <v>0</v>
      </c>
      <c r="AO388" s="28">
        <f t="shared" si="744"/>
        <v>0</v>
      </c>
      <c r="AP388" s="15"/>
      <c r="AQ388" s="15"/>
      <c r="AR388" s="26"/>
      <c r="AS388" s="27">
        <v>14099</v>
      </c>
      <c r="AT388" s="61">
        <f t="shared" si="745"/>
        <v>189</v>
      </c>
      <c r="AU388" s="27">
        <v>408</v>
      </c>
      <c r="AV388" s="27">
        <f t="shared" si="746"/>
        <v>3</v>
      </c>
      <c r="AW388" s="27">
        <v>28</v>
      </c>
      <c r="AX388" s="27">
        <f t="shared" si="747"/>
        <v>4</v>
      </c>
      <c r="AY388" s="47">
        <v>9</v>
      </c>
      <c r="AZ388" s="57" t="str">
        <f t="shared" si="754"/>
        <v>ラブブマスコット</v>
      </c>
      <c r="BA388" s="62">
        <f t="shared" si="755"/>
        <v>400</v>
      </c>
      <c r="BB388" s="27">
        <f t="shared" si="750"/>
        <v>1600</v>
      </c>
      <c r="BC388" s="28">
        <f t="shared" si="751"/>
        <v>8.4656084656084651E-2</v>
      </c>
      <c r="BD388" s="15"/>
      <c r="BT388" s="15"/>
      <c r="BU388" s="79"/>
      <c r="BV388" s="13"/>
      <c r="BW388" s="13" t="str">
        <f>IF(BV388="","",BV388-BV389)</f>
        <v/>
      </c>
      <c r="BX388" s="13"/>
      <c r="BY388" s="13" t="str">
        <f>IF(BX388="","",BX388-BX389)</f>
        <v/>
      </c>
      <c r="BZ388" s="13"/>
      <c r="CA388" s="13" t="str">
        <f>IF(BZ388="","",BZ389+CB389-BZ388)</f>
        <v/>
      </c>
      <c r="CB388" s="13"/>
      <c r="CC388" s="53"/>
      <c r="CD388" s="53" t="str">
        <f>IF(BV388="","",CD389)</f>
        <v/>
      </c>
      <c r="CE388" s="13" t="str">
        <f t="shared" ref="CE388:CE420" si="756">IF(CD388="","",CA388*CD388)</f>
        <v/>
      </c>
      <c r="CF388" s="14" t="str">
        <f t="shared" ref="CF388:CF420" si="757">IF(CE388="","",CE388/(BW388*100))</f>
        <v/>
      </c>
      <c r="CG388" s="67"/>
      <c r="CH388" s="1"/>
      <c r="CI388" s="79"/>
      <c r="CJ388" s="13"/>
      <c r="CK388" s="13" t="str">
        <f>IF(CJ388="","",CJ388-CJ389)</f>
        <v/>
      </c>
      <c r="CL388" s="13"/>
      <c r="CM388" s="13" t="str">
        <f>IF(CL388="","",CL388-CL389)</f>
        <v/>
      </c>
      <c r="CN388" s="13"/>
      <c r="CO388" s="13" t="str">
        <f>IF(CN388="","",CN389+CP389-CN388)</f>
        <v/>
      </c>
      <c r="CP388" s="13"/>
      <c r="CQ388" s="53"/>
      <c r="CR388" s="53" t="str">
        <f>IF(CJ388="","",CR389)</f>
        <v/>
      </c>
      <c r="CS388" s="13" t="str">
        <f t="shared" ref="CS388:CS420" si="758">IF(CR388="","",CO388*CR388)</f>
        <v/>
      </c>
      <c r="CT388" s="14" t="str">
        <f>IF(CS388="","",CS388/(CK388*100))</f>
        <v/>
      </c>
      <c r="CU388" s="15"/>
      <c r="CV388" s="1"/>
      <c r="CW388" s="79"/>
      <c r="CX388" s="13"/>
      <c r="CY388" s="13" t="str">
        <f>IF(CX388="","",CX388-CX389)</f>
        <v/>
      </c>
      <c r="CZ388" s="13"/>
      <c r="DA388" s="13" t="str">
        <f>IF(CZ388="","",CZ388-CZ389)</f>
        <v/>
      </c>
      <c r="DB388" s="13"/>
      <c r="DC388" s="13" t="str">
        <f>IF(DB388="","",DB389+DD389-DB388)</f>
        <v/>
      </c>
      <c r="DD388" s="13"/>
      <c r="DE388" s="53"/>
      <c r="DF388" s="53" t="str">
        <f>IF(CX388="","",DF389)</f>
        <v/>
      </c>
      <c r="DG388" s="13" t="str">
        <f t="shared" ref="DG388:DG420" si="759">IF(DF388="","",DC388*DF388)</f>
        <v/>
      </c>
      <c r="DH388" s="14" t="str">
        <f t="shared" ref="DH388:DH420" si="760">IF(DG388="","",DG388/(CY388*100))</f>
        <v/>
      </c>
      <c r="DI388" s="15"/>
      <c r="DJ388" s="1"/>
      <c r="DK388" s="79"/>
      <c r="DL388" s="13"/>
      <c r="DM388" s="13" t="str">
        <f>IF(DL388="","",DL388-DL389)</f>
        <v/>
      </c>
      <c r="DN388" s="13"/>
      <c r="DO388" s="13" t="str">
        <f>IF(DN388="","",DN388-DN389)</f>
        <v/>
      </c>
      <c r="DP388" s="13"/>
      <c r="DQ388" s="13" t="str">
        <f>IF(DP388="","",DP389+DR389-DP388)</f>
        <v/>
      </c>
      <c r="DR388" s="13"/>
      <c r="DS388" s="53"/>
      <c r="DT388" s="53" t="str">
        <f>IF(DL388="","",DT389)</f>
        <v/>
      </c>
      <c r="DU388" s="13" t="str">
        <f t="shared" ref="DU388:DU420" si="761">IF(DT388="","",DQ388*DT388)</f>
        <v/>
      </c>
      <c r="DV388" s="14" t="str">
        <f t="shared" ref="DV388:DV420" si="762">IF(DU388="","",DU388/(DM388*100))</f>
        <v/>
      </c>
      <c r="DW388" s="15"/>
    </row>
    <row r="389" spans="1:127" ht="15" customHeight="1" thickTop="1" x14ac:dyDescent="0.2">
      <c r="A389" s="79">
        <v>46022</v>
      </c>
      <c r="B389" s="74">
        <f>IF(A389="","",SUM(D389:D392)+SUM(R389:R392)+SUM(AF389:AF392)+SUM(AT389:AT392)+SUM(BW377,CK377,CY377,DM377))</f>
        <v>2116</v>
      </c>
      <c r="C389" s="53">
        <v>4943</v>
      </c>
      <c r="D389" s="53">
        <f t="shared" si="725"/>
        <v>320</v>
      </c>
      <c r="E389" s="53">
        <v>330</v>
      </c>
      <c r="F389" s="31">
        <f t="shared" si="726"/>
        <v>2</v>
      </c>
      <c r="G389" s="53">
        <v>10</v>
      </c>
      <c r="H389" s="53">
        <f t="shared" si="727"/>
        <v>2</v>
      </c>
      <c r="I389" s="80">
        <v>0</v>
      </c>
      <c r="J389" s="75" t="str">
        <f t="shared" ref="J389:J394" si="763">IF(C389="","",J385)</f>
        <v>ジャグラーボタン</v>
      </c>
      <c r="K389" s="76">
        <v>748</v>
      </c>
      <c r="L389" s="31">
        <f t="shared" si="729"/>
        <v>1496</v>
      </c>
      <c r="M389" s="32">
        <f t="shared" si="730"/>
        <v>4.675E-2</v>
      </c>
      <c r="N389" s="15"/>
      <c r="O389" s="2"/>
      <c r="P389" s="79">
        <f>IF($A389="","",$A389)</f>
        <v>46022</v>
      </c>
      <c r="Q389" s="53">
        <v>4643</v>
      </c>
      <c r="R389" s="53">
        <f t="shared" si="731"/>
        <v>317</v>
      </c>
      <c r="S389" s="53">
        <v>161</v>
      </c>
      <c r="T389" s="31">
        <f t="shared" si="732"/>
        <v>6</v>
      </c>
      <c r="U389" s="53">
        <v>6</v>
      </c>
      <c r="V389" s="53">
        <f t="shared" si="733"/>
        <v>6</v>
      </c>
      <c r="W389" s="80">
        <v>6</v>
      </c>
      <c r="X389" s="75" t="s">
        <v>412</v>
      </c>
      <c r="Y389" s="76">
        <v>1100</v>
      </c>
      <c r="Z389" s="31">
        <f t="shared" si="736"/>
        <v>6600</v>
      </c>
      <c r="AA389" s="32">
        <f t="shared" si="737"/>
        <v>0.20820189274447951</v>
      </c>
      <c r="AB389" s="15"/>
      <c r="AC389" s="15"/>
      <c r="AD389" s="79">
        <f>IF($A389="","",$A389)</f>
        <v>46022</v>
      </c>
      <c r="AE389" s="53">
        <v>9852</v>
      </c>
      <c r="AF389" s="53">
        <f t="shared" si="738"/>
        <v>59</v>
      </c>
      <c r="AG389" s="53">
        <v>220</v>
      </c>
      <c r="AH389" s="31">
        <f t="shared" si="739"/>
        <v>1</v>
      </c>
      <c r="AI389" s="53">
        <v>13</v>
      </c>
      <c r="AJ389" s="53">
        <f t="shared" si="740"/>
        <v>1</v>
      </c>
      <c r="AK389" s="80">
        <v>3</v>
      </c>
      <c r="AL389" s="75" t="str">
        <f t="shared" si="741"/>
        <v>サンリオ型押しケース</v>
      </c>
      <c r="AM389" s="76">
        <f t="shared" si="742"/>
        <v>545</v>
      </c>
      <c r="AN389" s="31">
        <f t="shared" si="743"/>
        <v>545</v>
      </c>
      <c r="AO389" s="32">
        <f t="shared" si="744"/>
        <v>9.2372881355932204E-2</v>
      </c>
      <c r="AP389" s="15"/>
      <c r="AQ389" s="15"/>
      <c r="AR389" s="79">
        <f>IF($A389="","",$A389)</f>
        <v>46022</v>
      </c>
      <c r="AS389" s="53">
        <v>10562</v>
      </c>
      <c r="AT389" s="53">
        <f t="shared" si="745"/>
        <v>55</v>
      </c>
      <c r="AU389" s="53">
        <v>337</v>
      </c>
      <c r="AV389" s="31">
        <f t="shared" si="746"/>
        <v>4</v>
      </c>
      <c r="AW389" s="53">
        <v>13</v>
      </c>
      <c r="AX389" s="53">
        <f t="shared" si="747"/>
        <v>2</v>
      </c>
      <c r="AY389" s="80">
        <v>4</v>
      </c>
      <c r="AZ389" s="75" t="str">
        <f t="shared" si="754"/>
        <v>サンリオヒョウ柄キーケース</v>
      </c>
      <c r="BA389" s="76">
        <f t="shared" si="755"/>
        <v>924</v>
      </c>
      <c r="BB389" s="31">
        <f t="shared" si="750"/>
        <v>1848</v>
      </c>
      <c r="BC389" s="32">
        <f t="shared" si="751"/>
        <v>0.33600000000000002</v>
      </c>
      <c r="BD389" s="15"/>
      <c r="BT389" s="15"/>
      <c r="BU389" s="79"/>
      <c r="BV389" s="13"/>
      <c r="BW389" s="13" t="str">
        <f>IF(BV389="","",BV389-BV386)</f>
        <v/>
      </c>
      <c r="BX389" s="13"/>
      <c r="BY389" s="13" t="str">
        <f>IF(BX389="","",BX389-BX386)</f>
        <v/>
      </c>
      <c r="BZ389" s="13"/>
      <c r="CA389" s="13" t="str">
        <f>IF(BZ389="","",BZ386+CB386-BZ389)</f>
        <v/>
      </c>
      <c r="CB389" s="13"/>
      <c r="CC389" s="53"/>
      <c r="CD389" s="53" t="str">
        <f>IF(BV389="","",CD386)</f>
        <v/>
      </c>
      <c r="CE389" s="13" t="str">
        <f t="shared" si="756"/>
        <v/>
      </c>
      <c r="CF389" s="14" t="str">
        <f t="shared" si="757"/>
        <v/>
      </c>
      <c r="CG389" s="67"/>
      <c r="CH389" s="1"/>
      <c r="CI389" s="79"/>
      <c r="CJ389" s="13"/>
      <c r="CK389" s="13" t="str">
        <f>IF(CJ389="","",CJ389-CJ386)</f>
        <v/>
      </c>
      <c r="CL389" s="13"/>
      <c r="CM389" s="13" t="str">
        <f>IF(CL389="","",CL389-CL386)</f>
        <v/>
      </c>
      <c r="CN389" s="13"/>
      <c r="CO389" s="13" t="str">
        <f>IF(CN389="","",CN386+CP386-CN389)</f>
        <v/>
      </c>
      <c r="CP389" s="13"/>
      <c r="CQ389" s="53"/>
      <c r="CR389" s="53" t="str">
        <f>IF(CJ389="","",CR386)</f>
        <v/>
      </c>
      <c r="CS389" s="13" t="str">
        <f t="shared" si="758"/>
        <v/>
      </c>
      <c r="CT389" s="14" t="str">
        <f>IF(CS389="","",CS389/(CK389*100))</f>
        <v/>
      </c>
      <c r="CU389" s="15"/>
      <c r="CV389" s="1"/>
      <c r="CW389" s="79"/>
      <c r="CX389" s="13"/>
      <c r="CY389" s="13" t="str">
        <f>IF(CX389="","",CX389-CX386)</f>
        <v/>
      </c>
      <c r="CZ389" s="13"/>
      <c r="DA389" s="13" t="str">
        <f>IF(CZ389="","",CZ389-CZ386)</f>
        <v/>
      </c>
      <c r="DB389" s="13"/>
      <c r="DC389" s="13" t="str">
        <f>IF(DB389="","",DB386+DD386-DB389)</f>
        <v/>
      </c>
      <c r="DD389" s="13"/>
      <c r="DE389" s="53"/>
      <c r="DF389" s="53" t="str">
        <f>IF(CX389="","",DF386)</f>
        <v/>
      </c>
      <c r="DG389" s="13" t="str">
        <f t="shared" si="759"/>
        <v/>
      </c>
      <c r="DH389" s="14" t="str">
        <f t="shared" si="760"/>
        <v/>
      </c>
      <c r="DI389" s="15"/>
      <c r="DJ389" s="1"/>
      <c r="DK389" s="79"/>
      <c r="DL389" s="13"/>
      <c r="DM389" s="13" t="str">
        <f>IF(DL389="","",DL389-DL386)</f>
        <v/>
      </c>
      <c r="DN389" s="13"/>
      <c r="DO389" s="13" t="str">
        <f>IF(DN389="","",DN389-DN386)</f>
        <v/>
      </c>
      <c r="DP389" s="13"/>
      <c r="DQ389" s="13" t="str">
        <f>IF(DP389="","",DP386+DR386-DP389)</f>
        <v/>
      </c>
      <c r="DR389" s="13"/>
      <c r="DS389" s="53"/>
      <c r="DT389" s="53" t="str">
        <f>IF(DL389="","",DT386)</f>
        <v/>
      </c>
      <c r="DU389" s="13" t="str">
        <f t="shared" si="761"/>
        <v/>
      </c>
      <c r="DV389" s="14" t="str">
        <f t="shared" si="762"/>
        <v/>
      </c>
      <c r="DW389" s="15"/>
    </row>
    <row r="390" spans="1:127" x14ac:dyDescent="0.2">
      <c r="A390" s="136"/>
      <c r="B390" s="11"/>
      <c r="C390" s="13">
        <v>4221</v>
      </c>
      <c r="D390" s="13">
        <f t="shared" si="725"/>
        <v>115</v>
      </c>
      <c r="E390" s="13">
        <v>350</v>
      </c>
      <c r="F390" s="13">
        <f t="shared" si="726"/>
        <v>2</v>
      </c>
      <c r="G390" s="13">
        <v>38</v>
      </c>
      <c r="H390" s="13">
        <f t="shared" si="727"/>
        <v>2</v>
      </c>
      <c r="I390" s="17">
        <v>0</v>
      </c>
      <c r="J390" s="56" t="str">
        <f t="shared" si="763"/>
        <v>電ブル</v>
      </c>
      <c r="K390" s="54">
        <f>IF(D390="","",K386)</f>
        <v>1075</v>
      </c>
      <c r="L390" s="13">
        <f t="shared" si="729"/>
        <v>2150</v>
      </c>
      <c r="M390" s="14">
        <f t="shared" si="730"/>
        <v>0.18695652173913044</v>
      </c>
      <c r="N390" s="15"/>
      <c r="O390" s="2"/>
      <c r="P390" s="79"/>
      <c r="Q390" s="13">
        <v>3936</v>
      </c>
      <c r="R390" s="13">
        <f t="shared" si="731"/>
        <v>80</v>
      </c>
      <c r="S390" s="13">
        <v>120</v>
      </c>
      <c r="T390" s="13">
        <f t="shared" si="732"/>
        <v>0</v>
      </c>
      <c r="U390" s="13">
        <v>30</v>
      </c>
      <c r="V390" s="13">
        <f t="shared" si="733"/>
        <v>0</v>
      </c>
      <c r="W390" s="17">
        <v>0</v>
      </c>
      <c r="X390" s="56" t="str">
        <f t="shared" ref="X390:X413" si="764">IF(Q390="","",X386)</f>
        <v>押忍番長ボタン</v>
      </c>
      <c r="Y390" s="54">
        <f t="shared" ref="Y390:Y413" si="765">IF(R390="","",Y386)</f>
        <v>1100</v>
      </c>
      <c r="Z390" s="13">
        <f t="shared" si="736"/>
        <v>0</v>
      </c>
      <c r="AA390" s="14">
        <f t="shared" si="737"/>
        <v>0</v>
      </c>
      <c r="AB390" s="15"/>
      <c r="AC390" s="15"/>
      <c r="AD390" s="79"/>
      <c r="AE390" s="13">
        <v>9507</v>
      </c>
      <c r="AF390" s="13">
        <f t="shared" si="738"/>
        <v>84</v>
      </c>
      <c r="AG390" s="13">
        <v>211</v>
      </c>
      <c r="AH390" s="13">
        <f t="shared" si="739"/>
        <v>1</v>
      </c>
      <c r="AI390" s="13">
        <v>13</v>
      </c>
      <c r="AJ390" s="13">
        <f t="shared" si="740"/>
        <v>1</v>
      </c>
      <c r="AK390" s="17">
        <v>2</v>
      </c>
      <c r="AL390" s="56" t="str">
        <f t="shared" si="741"/>
        <v>サンリオヒョウ柄フェイス</v>
      </c>
      <c r="AM390" s="54">
        <f t="shared" si="742"/>
        <v>792</v>
      </c>
      <c r="AN390" s="13">
        <f t="shared" si="743"/>
        <v>792</v>
      </c>
      <c r="AO390" s="14">
        <f t="shared" si="744"/>
        <v>9.4285714285714292E-2</v>
      </c>
      <c r="AP390" s="15"/>
      <c r="AQ390" s="15"/>
      <c r="AR390" s="79"/>
      <c r="AS390" s="13">
        <v>7180</v>
      </c>
      <c r="AT390" s="13">
        <f t="shared" si="745"/>
        <v>64</v>
      </c>
      <c r="AU390" s="13">
        <v>384</v>
      </c>
      <c r="AV390" s="13">
        <f t="shared" si="746"/>
        <v>3</v>
      </c>
      <c r="AW390" s="13">
        <v>7</v>
      </c>
      <c r="AX390" s="13">
        <f t="shared" si="747"/>
        <v>2</v>
      </c>
      <c r="AY390" s="17">
        <v>0</v>
      </c>
      <c r="AZ390" s="56" t="str">
        <f t="shared" si="754"/>
        <v>キティフェイスポーチ</v>
      </c>
      <c r="BA390" s="54">
        <f t="shared" si="755"/>
        <v>673</v>
      </c>
      <c r="BB390" s="13">
        <f t="shared" si="750"/>
        <v>1346</v>
      </c>
      <c r="BC390" s="14">
        <f t="shared" si="751"/>
        <v>0.21031250000000001</v>
      </c>
      <c r="BD390" s="15"/>
      <c r="BT390" s="15"/>
      <c r="BU390" s="79"/>
      <c r="BV390" s="13"/>
      <c r="BW390" s="13" t="str">
        <f>IF(BV390="","",BV390-BV388)</f>
        <v/>
      </c>
      <c r="BX390" s="13"/>
      <c r="BY390" s="13" t="str">
        <f>IF(BX390="","",BX390-BX388)</f>
        <v/>
      </c>
      <c r="BZ390" s="13"/>
      <c r="CA390" s="13" t="str">
        <f>IF(BZ390="","",BZ388+CB388-BZ390)</f>
        <v/>
      </c>
      <c r="CB390" s="13"/>
      <c r="CC390" s="53"/>
      <c r="CD390" s="53" t="str">
        <f>IF(BV390="","",CD388)</f>
        <v/>
      </c>
      <c r="CE390" s="13" t="str">
        <f t="shared" si="756"/>
        <v/>
      </c>
      <c r="CF390" s="14" t="str">
        <f t="shared" si="757"/>
        <v/>
      </c>
      <c r="CG390" s="15"/>
      <c r="CH390" s="1"/>
      <c r="CI390" s="79"/>
      <c r="CJ390" s="13"/>
      <c r="CK390" s="13" t="str">
        <f>IF(CJ390="","",CJ390-CJ388)</f>
        <v/>
      </c>
      <c r="CL390" s="13"/>
      <c r="CM390" s="13" t="str">
        <f>IF(CL390="","",CL390-CL388)</f>
        <v/>
      </c>
      <c r="CN390" s="13"/>
      <c r="CO390" s="13" t="str">
        <f>IF(CN390="","",CN388+CP388-CN390)</f>
        <v/>
      </c>
      <c r="CP390" s="13"/>
      <c r="CQ390" s="53"/>
      <c r="CR390" s="53" t="str">
        <f>IF(CJ390="","",CR388)</f>
        <v/>
      </c>
      <c r="CS390" s="13" t="str">
        <f t="shared" si="758"/>
        <v/>
      </c>
      <c r="CT390" s="14" t="str">
        <f>IF(CS390="","",CS390/(CK390*100))</f>
        <v/>
      </c>
      <c r="CU390" s="15"/>
      <c r="CV390" s="1"/>
      <c r="CW390" s="79"/>
      <c r="CX390" s="13"/>
      <c r="CY390" s="13" t="str">
        <f>IF(CX390="","",CX390-CX388)</f>
        <v/>
      </c>
      <c r="CZ390" s="13"/>
      <c r="DA390" s="13" t="str">
        <f>IF(CZ390="","",CZ390-CZ388)</f>
        <v/>
      </c>
      <c r="DB390" s="13"/>
      <c r="DC390" s="13" t="str">
        <f>IF(DB390="","",DB388+DD388-DB390)</f>
        <v/>
      </c>
      <c r="DD390" s="13"/>
      <c r="DE390" s="53"/>
      <c r="DF390" s="53" t="str">
        <f>IF(CX390="","",DF388)</f>
        <v/>
      </c>
      <c r="DG390" s="13" t="str">
        <f t="shared" si="759"/>
        <v/>
      </c>
      <c r="DH390" s="14" t="str">
        <f t="shared" si="760"/>
        <v/>
      </c>
      <c r="DI390" s="15"/>
      <c r="DJ390" s="1"/>
      <c r="DK390" s="79"/>
      <c r="DL390" s="13"/>
      <c r="DM390" s="13" t="str">
        <f>IF(DL390="","",DL390-DL388)</f>
        <v/>
      </c>
      <c r="DN390" s="13"/>
      <c r="DO390" s="13" t="str">
        <f>IF(DN390="","",DN390-DN388)</f>
        <v/>
      </c>
      <c r="DP390" s="13"/>
      <c r="DQ390" s="13" t="str">
        <f>IF(DP390="","",DP388+DR388-DP390)</f>
        <v/>
      </c>
      <c r="DR390" s="13"/>
      <c r="DS390" s="53"/>
      <c r="DT390" s="53" t="str">
        <f>IF(DL390="","",DT388)</f>
        <v/>
      </c>
      <c r="DU390" s="13" t="str">
        <f t="shared" si="761"/>
        <v/>
      </c>
      <c r="DV390" s="14" t="str">
        <f t="shared" si="762"/>
        <v/>
      </c>
      <c r="DW390" s="15"/>
    </row>
    <row r="391" spans="1:127" ht="15" customHeight="1" x14ac:dyDescent="0.2">
      <c r="A391" s="79"/>
      <c r="B391" s="11"/>
      <c r="C391" s="34">
        <v>10478</v>
      </c>
      <c r="D391" s="13">
        <f t="shared" si="725"/>
        <v>55</v>
      </c>
      <c r="E391" s="34">
        <v>598</v>
      </c>
      <c r="F391" s="13">
        <f t="shared" si="726"/>
        <v>2</v>
      </c>
      <c r="G391" s="34">
        <v>108</v>
      </c>
      <c r="H391" s="13">
        <f t="shared" si="727"/>
        <v>2</v>
      </c>
      <c r="I391" s="49">
        <v>-96</v>
      </c>
      <c r="J391" s="56" t="str">
        <f t="shared" si="763"/>
        <v>AIモンスタラバー</v>
      </c>
      <c r="K391" s="13">
        <f>IF(D391="","",K387)</f>
        <v>200</v>
      </c>
      <c r="L391" s="13">
        <f t="shared" si="729"/>
        <v>400</v>
      </c>
      <c r="M391" s="14">
        <f t="shared" si="730"/>
        <v>7.2727272727272724E-2</v>
      </c>
      <c r="N391" s="15" t="s">
        <v>416</v>
      </c>
      <c r="O391" s="2"/>
      <c r="P391" s="79"/>
      <c r="Q391" s="34">
        <v>7396</v>
      </c>
      <c r="R391" s="13">
        <f t="shared" si="731"/>
        <v>63</v>
      </c>
      <c r="S391" s="34">
        <v>137</v>
      </c>
      <c r="T391" s="13">
        <f t="shared" si="732"/>
        <v>2</v>
      </c>
      <c r="U391" s="34">
        <v>15</v>
      </c>
      <c r="V391" s="13">
        <f t="shared" si="733"/>
        <v>2</v>
      </c>
      <c r="W391" s="49">
        <v>3</v>
      </c>
      <c r="X391" s="56" t="str">
        <f t="shared" si="764"/>
        <v>サンリオホワイトマスコット</v>
      </c>
      <c r="Y391" s="13">
        <f t="shared" si="765"/>
        <v>660</v>
      </c>
      <c r="Z391" s="13">
        <f t="shared" si="736"/>
        <v>1320</v>
      </c>
      <c r="AA391" s="14">
        <f t="shared" si="737"/>
        <v>0.20952380952380953</v>
      </c>
      <c r="AB391" s="15"/>
      <c r="AC391" s="15"/>
      <c r="AD391" s="79"/>
      <c r="AE391" s="34">
        <v>11231</v>
      </c>
      <c r="AF391" s="13">
        <f t="shared" si="738"/>
        <v>114</v>
      </c>
      <c r="AG391" s="34">
        <v>302</v>
      </c>
      <c r="AH391" s="13">
        <f t="shared" si="739"/>
        <v>2</v>
      </c>
      <c r="AI391" s="34">
        <v>58</v>
      </c>
      <c r="AJ391" s="13">
        <f t="shared" si="740"/>
        <v>2</v>
      </c>
      <c r="AK391" s="49">
        <v>3</v>
      </c>
      <c r="AL391" s="56" t="str">
        <f t="shared" si="741"/>
        <v>ゲームアーク</v>
      </c>
      <c r="AM391" s="13">
        <f t="shared" si="742"/>
        <v>682</v>
      </c>
      <c r="AN391" s="13">
        <f t="shared" si="743"/>
        <v>1364</v>
      </c>
      <c r="AO391" s="14">
        <f t="shared" si="744"/>
        <v>0.11964912280701755</v>
      </c>
      <c r="AP391" s="15"/>
      <c r="AQ391" s="15"/>
      <c r="AR391" s="79"/>
      <c r="AS391" s="34">
        <v>13864</v>
      </c>
      <c r="AT391" s="13">
        <f t="shared" si="745"/>
        <v>78</v>
      </c>
      <c r="AU391" s="34">
        <v>480</v>
      </c>
      <c r="AV391" s="13">
        <f t="shared" si="746"/>
        <v>3</v>
      </c>
      <c r="AW391" s="34">
        <v>23</v>
      </c>
      <c r="AX391" s="13">
        <f t="shared" si="747"/>
        <v>3</v>
      </c>
      <c r="AY391" s="49">
        <v>6</v>
      </c>
      <c r="AZ391" s="56" t="str">
        <f t="shared" si="754"/>
        <v>ラブブキーホルダーおおきめ</v>
      </c>
      <c r="BA391" s="13">
        <f t="shared" si="755"/>
        <v>500</v>
      </c>
      <c r="BB391" s="13">
        <f t="shared" si="750"/>
        <v>1500</v>
      </c>
      <c r="BC391" s="14">
        <f t="shared" si="751"/>
        <v>0.19230769230769232</v>
      </c>
      <c r="BD391" s="15"/>
      <c r="BT391" s="15"/>
      <c r="BU391" s="79"/>
      <c r="BV391" s="13"/>
      <c r="BW391" s="13" t="str">
        <f>IF(BV391="","",BV391-#REF!)</f>
        <v/>
      </c>
      <c r="BX391" s="13"/>
      <c r="BY391" s="13" t="str">
        <f>IF(BX391="","",BX391-#REF!)</f>
        <v/>
      </c>
      <c r="BZ391" s="13"/>
      <c r="CA391" s="13" t="str">
        <f>IF(BZ391="","",#REF!+#REF!-BZ391)</f>
        <v/>
      </c>
      <c r="CB391" s="13"/>
      <c r="CC391" s="53"/>
      <c r="CD391" s="53" t="str">
        <f>IF(BV391="","",#REF!)</f>
        <v/>
      </c>
      <c r="CE391" s="13" t="str">
        <f t="shared" si="756"/>
        <v/>
      </c>
      <c r="CF391" s="14" t="str">
        <f t="shared" si="757"/>
        <v/>
      </c>
      <c r="CG391" s="15"/>
      <c r="CH391" s="1"/>
      <c r="CI391" s="79"/>
      <c r="CJ391" s="13"/>
      <c r="CK391" s="13" t="str">
        <f>IF(CJ391="","",CJ391-#REF!)</f>
        <v/>
      </c>
      <c r="CL391" s="13"/>
      <c r="CM391" s="13" t="str">
        <f>IF(CL391="","",CL391-#REF!)</f>
        <v/>
      </c>
      <c r="CN391" s="13"/>
      <c r="CO391" s="13" t="str">
        <f>IF(CN391="","",#REF!+#REF!-CN391)</f>
        <v/>
      </c>
      <c r="CP391" s="13"/>
      <c r="CQ391" s="53"/>
      <c r="CR391" s="53" t="str">
        <f>IF(CJ391="","",#REF!)</f>
        <v/>
      </c>
      <c r="CS391" s="13" t="str">
        <f t="shared" si="758"/>
        <v/>
      </c>
      <c r="CT391" s="14" t="str">
        <f>IF(CS391="","",CS391/(CK391*100))</f>
        <v/>
      </c>
      <c r="CU391" s="15"/>
      <c r="CV391" s="1"/>
      <c r="CW391" s="79"/>
      <c r="CX391" s="13"/>
      <c r="CY391" s="13" t="str">
        <f>IF(CX391="","",CX391-#REF!)</f>
        <v/>
      </c>
      <c r="CZ391" s="13"/>
      <c r="DA391" s="13" t="str">
        <f>IF(CZ391="","",CZ391-#REF!)</f>
        <v/>
      </c>
      <c r="DB391" s="13"/>
      <c r="DC391" s="13" t="str">
        <f>IF(DB391="","",#REF!+#REF!-DB391)</f>
        <v/>
      </c>
      <c r="DD391" s="13"/>
      <c r="DE391" s="53"/>
      <c r="DF391" s="53" t="str">
        <f>IF(CX391="","",#REF!)</f>
        <v/>
      </c>
      <c r="DG391" s="13" t="str">
        <f t="shared" si="759"/>
        <v/>
      </c>
      <c r="DH391" s="14" t="str">
        <f t="shared" si="760"/>
        <v/>
      </c>
      <c r="DI391" s="15"/>
      <c r="DJ391" s="1"/>
      <c r="DK391" s="79"/>
      <c r="DL391" s="13"/>
      <c r="DM391" s="13" t="str">
        <f>IF(DL391="","",DL391-#REF!)</f>
        <v/>
      </c>
      <c r="DN391" s="13"/>
      <c r="DO391" s="13" t="str">
        <f>IF(DN391="","",DN391-#REF!)</f>
        <v/>
      </c>
      <c r="DP391" s="13"/>
      <c r="DQ391" s="13" t="str">
        <f>IF(DP391="","",#REF!+#REF!-DP391)</f>
        <v/>
      </c>
      <c r="DR391" s="13"/>
      <c r="DS391" s="53"/>
      <c r="DT391" s="53" t="str">
        <f>IF(DL391="","",#REF!)</f>
        <v/>
      </c>
      <c r="DU391" s="13" t="str">
        <f t="shared" si="761"/>
        <v/>
      </c>
      <c r="DV391" s="14" t="str">
        <f t="shared" si="762"/>
        <v/>
      </c>
      <c r="DW391" s="15"/>
    </row>
    <row r="392" spans="1:127" ht="15" customHeight="1" thickBot="1" x14ac:dyDescent="0.25">
      <c r="A392" s="26"/>
      <c r="B392" s="46"/>
      <c r="C392" s="27">
        <v>5589</v>
      </c>
      <c r="D392" s="27">
        <f t="shared" si="725"/>
        <v>56</v>
      </c>
      <c r="E392" s="27">
        <v>442</v>
      </c>
      <c r="F392" s="27">
        <f t="shared" si="726"/>
        <v>5</v>
      </c>
      <c r="G392" s="27">
        <v>45</v>
      </c>
      <c r="H392" s="27">
        <f t="shared" si="727"/>
        <v>5</v>
      </c>
      <c r="I392" s="47">
        <v>10</v>
      </c>
      <c r="J392" s="57" t="str">
        <f t="shared" si="763"/>
        <v>NICIマスコット</v>
      </c>
      <c r="K392" s="62">
        <f>IF(D392="","",K388)</f>
        <v>900</v>
      </c>
      <c r="L392" s="27">
        <f t="shared" si="729"/>
        <v>4500</v>
      </c>
      <c r="M392" s="28">
        <f t="shared" si="730"/>
        <v>0.8035714285714286</v>
      </c>
      <c r="N392" s="15" t="s">
        <v>415</v>
      </c>
      <c r="O392" s="2"/>
      <c r="P392" s="26"/>
      <c r="Q392" s="27">
        <v>7101</v>
      </c>
      <c r="R392" s="27">
        <f t="shared" si="731"/>
        <v>80</v>
      </c>
      <c r="S392" s="27">
        <v>120</v>
      </c>
      <c r="T392" s="27">
        <f t="shared" si="732"/>
        <v>2</v>
      </c>
      <c r="U392" s="27">
        <v>14</v>
      </c>
      <c r="V392" s="27">
        <f t="shared" si="733"/>
        <v>2</v>
      </c>
      <c r="W392" s="47">
        <v>0</v>
      </c>
      <c r="X392" s="57" t="str">
        <f t="shared" si="764"/>
        <v>ＡＩマスコット</v>
      </c>
      <c r="Y392" s="62">
        <f t="shared" si="765"/>
        <v>286</v>
      </c>
      <c r="Z392" s="27">
        <f t="shared" si="736"/>
        <v>572</v>
      </c>
      <c r="AA392" s="28">
        <f t="shared" si="737"/>
        <v>7.1499999999999994E-2</v>
      </c>
      <c r="AB392" s="15"/>
      <c r="AC392" s="15"/>
      <c r="AD392" s="26"/>
      <c r="AE392" s="27">
        <v>11219</v>
      </c>
      <c r="AF392" s="27">
        <f t="shared" si="738"/>
        <v>84</v>
      </c>
      <c r="AG392" s="27">
        <v>289</v>
      </c>
      <c r="AH392" s="27">
        <f t="shared" si="739"/>
        <v>2</v>
      </c>
      <c r="AI392" s="27">
        <v>14</v>
      </c>
      <c r="AJ392" s="27">
        <f t="shared" si="740"/>
        <v>2</v>
      </c>
      <c r="AK392" s="47">
        <v>4</v>
      </c>
      <c r="AL392" s="57" t="str">
        <f t="shared" si="741"/>
        <v>モンチッチマスコット2</v>
      </c>
      <c r="AM392" s="62">
        <f t="shared" si="742"/>
        <v>605</v>
      </c>
      <c r="AN392" s="27">
        <f t="shared" si="743"/>
        <v>1210</v>
      </c>
      <c r="AO392" s="28">
        <f t="shared" si="744"/>
        <v>0.14404761904761904</v>
      </c>
      <c r="AP392" s="15"/>
      <c r="AQ392" s="15"/>
      <c r="AR392" s="26"/>
      <c r="AS392" s="27">
        <v>14195</v>
      </c>
      <c r="AT392" s="27">
        <f t="shared" si="745"/>
        <v>96</v>
      </c>
      <c r="AU392" s="27">
        <v>410</v>
      </c>
      <c r="AV392" s="27">
        <f t="shared" si="746"/>
        <v>2</v>
      </c>
      <c r="AW392" s="27">
        <v>34</v>
      </c>
      <c r="AX392" s="27">
        <f t="shared" si="747"/>
        <v>3</v>
      </c>
      <c r="AY392" s="47">
        <v>6</v>
      </c>
      <c r="AZ392" s="57" t="str">
        <f t="shared" si="754"/>
        <v>ラブブマスコット</v>
      </c>
      <c r="BA392" s="62">
        <f t="shared" si="755"/>
        <v>400</v>
      </c>
      <c r="BB392" s="27">
        <f t="shared" si="750"/>
        <v>1200</v>
      </c>
      <c r="BC392" s="28">
        <f t="shared" si="751"/>
        <v>0.125</v>
      </c>
      <c r="BD392" s="15"/>
      <c r="BT392" s="15"/>
      <c r="BU392" s="79"/>
      <c r="BV392" s="13"/>
      <c r="BW392" s="13" t="str">
        <f>IF(BV392="","",BV392-BV391)</f>
        <v/>
      </c>
      <c r="BX392" s="13"/>
      <c r="BY392" s="13" t="str">
        <f>IF(BX392="","",BX392-BX391)</f>
        <v/>
      </c>
      <c r="BZ392" s="13"/>
      <c r="CA392" s="13" t="str">
        <f>IF(BZ392="","",BZ391+CB391-BZ392)</f>
        <v/>
      </c>
      <c r="CB392" s="13"/>
      <c r="CC392" s="53"/>
      <c r="CD392" s="53" t="str">
        <f>IF(BV392="","",CD391)</f>
        <v/>
      </c>
      <c r="CE392" s="13" t="str">
        <f t="shared" si="756"/>
        <v/>
      </c>
      <c r="CF392" s="14" t="str">
        <f t="shared" si="757"/>
        <v/>
      </c>
      <c r="CG392" s="15"/>
      <c r="CH392" s="1"/>
      <c r="CI392" s="79"/>
      <c r="CJ392" s="13"/>
      <c r="CK392" s="13" t="str">
        <f>IF(CJ392="","",CJ392-CJ391)</f>
        <v/>
      </c>
      <c r="CL392" s="13"/>
      <c r="CM392" s="13" t="str">
        <f>IF(CL392="","",CL392-CL391)</f>
        <v/>
      </c>
      <c r="CN392" s="13"/>
      <c r="CO392" s="13" t="str">
        <f>IF(CN392="","",CN391+CP391-CN392)</f>
        <v/>
      </c>
      <c r="CP392" s="13"/>
      <c r="CQ392" s="53"/>
      <c r="CR392" s="53" t="str">
        <f>IF(CJ392="","",CR391)</f>
        <v/>
      </c>
      <c r="CS392" s="13" t="str">
        <f t="shared" si="758"/>
        <v/>
      </c>
      <c r="CT392" s="14" t="str">
        <f>IF(CS392="","",CS392/(CJ392*100))</f>
        <v/>
      </c>
      <c r="CU392" s="15"/>
      <c r="CV392" s="1"/>
      <c r="CW392" s="79"/>
      <c r="CX392" s="13"/>
      <c r="CY392" s="13" t="str">
        <f>IF(CX392="","",CX392-CX391)</f>
        <v/>
      </c>
      <c r="CZ392" s="13"/>
      <c r="DA392" s="13" t="str">
        <f>IF(CZ392="","",CZ392-CZ391)</f>
        <v/>
      </c>
      <c r="DB392" s="13"/>
      <c r="DC392" s="13" t="str">
        <f>IF(DB392="","",DB391+DD391-DB392)</f>
        <v/>
      </c>
      <c r="DD392" s="13"/>
      <c r="DE392" s="53"/>
      <c r="DF392" s="53" t="str">
        <f>IF(CX392="","",DF391)</f>
        <v/>
      </c>
      <c r="DG392" s="13" t="str">
        <f t="shared" si="759"/>
        <v/>
      </c>
      <c r="DH392" s="14" t="str">
        <f t="shared" si="760"/>
        <v/>
      </c>
      <c r="DI392" s="15"/>
      <c r="DJ392" s="1"/>
      <c r="DK392" s="79"/>
      <c r="DL392" s="13"/>
      <c r="DM392" s="13" t="str">
        <f>IF(DL392="","",DL392-DL391)</f>
        <v/>
      </c>
      <c r="DN392" s="13"/>
      <c r="DO392" s="13" t="str">
        <f>IF(DN392="","",DN392-DN391)</f>
        <v/>
      </c>
      <c r="DP392" s="13"/>
      <c r="DQ392" s="13" t="str">
        <f>IF(DP392="","",DP391+DR391-DP392)</f>
        <v/>
      </c>
      <c r="DR392" s="13"/>
      <c r="DS392" s="53"/>
      <c r="DT392" s="53" t="str">
        <f>IF(DL392="","",DT391)</f>
        <v/>
      </c>
      <c r="DU392" s="13" t="str">
        <f t="shared" si="761"/>
        <v/>
      </c>
      <c r="DV392" s="14" t="str">
        <f t="shared" si="762"/>
        <v/>
      </c>
      <c r="DW392" s="15"/>
    </row>
    <row r="393" spans="1:127" ht="15" customHeight="1" thickTop="1" x14ac:dyDescent="0.2">
      <c r="A393" s="79">
        <v>46024</v>
      </c>
      <c r="B393" s="151">
        <f>IF(A393="","",SUM(D393:D396)+SUM(R393:R396)+SUM(AF393:AF396)+SUM(AT393:AT396)+SUM(BW378,CK378,CY378,DM378))</f>
        <v>3187</v>
      </c>
      <c r="C393" s="53">
        <v>5143</v>
      </c>
      <c r="D393" s="53">
        <f t="shared" si="725"/>
        <v>200</v>
      </c>
      <c r="E393" s="53">
        <v>334</v>
      </c>
      <c r="F393" s="31">
        <f t="shared" si="726"/>
        <v>4</v>
      </c>
      <c r="G393" s="53">
        <v>8</v>
      </c>
      <c r="H393" s="53">
        <f t="shared" si="727"/>
        <v>2</v>
      </c>
      <c r="I393" s="80">
        <v>0</v>
      </c>
      <c r="J393" s="75" t="str">
        <f t="shared" si="763"/>
        <v>ジャグラーボタン</v>
      </c>
      <c r="K393" s="76">
        <f>IF(D393="","",K389)</f>
        <v>748</v>
      </c>
      <c r="L393" s="31">
        <f t="shared" si="729"/>
        <v>1496</v>
      </c>
      <c r="M393" s="32">
        <f t="shared" si="730"/>
        <v>7.4800000000000005E-2</v>
      </c>
      <c r="N393" s="157" t="s">
        <v>386</v>
      </c>
      <c r="O393" s="2"/>
      <c r="P393" s="79">
        <f>IF($A393="","",$A393)</f>
        <v>46024</v>
      </c>
      <c r="Q393" s="53">
        <v>4747</v>
      </c>
      <c r="R393" s="53">
        <f t="shared" si="731"/>
        <v>104</v>
      </c>
      <c r="S393" s="53">
        <v>163</v>
      </c>
      <c r="T393" s="31">
        <f t="shared" si="732"/>
        <v>2</v>
      </c>
      <c r="U393" s="53">
        <v>8</v>
      </c>
      <c r="V393" s="53">
        <f t="shared" si="733"/>
        <v>4</v>
      </c>
      <c r="W393" s="80">
        <v>2</v>
      </c>
      <c r="X393" s="75" t="str">
        <f t="shared" si="764"/>
        <v>キティボアバンスクリップ</v>
      </c>
      <c r="Y393" s="76">
        <f t="shared" si="765"/>
        <v>1100</v>
      </c>
      <c r="Z393" s="31">
        <f t="shared" si="736"/>
        <v>4400</v>
      </c>
      <c r="AA393" s="32">
        <f t="shared" si="737"/>
        <v>0.42307692307692307</v>
      </c>
      <c r="AB393" s="15"/>
      <c r="AC393" s="15"/>
      <c r="AD393" s="79">
        <f>IF($A393="","",$A393)</f>
        <v>46024</v>
      </c>
      <c r="AE393" s="53">
        <v>10102</v>
      </c>
      <c r="AF393" s="53">
        <f t="shared" si="738"/>
        <v>250</v>
      </c>
      <c r="AG393" s="53">
        <v>223</v>
      </c>
      <c r="AH393" s="31">
        <f t="shared" si="739"/>
        <v>3</v>
      </c>
      <c r="AI393" s="53">
        <v>14</v>
      </c>
      <c r="AJ393" s="53">
        <f t="shared" si="740"/>
        <v>2</v>
      </c>
      <c r="AK393" s="80">
        <v>0</v>
      </c>
      <c r="AL393" s="75" t="str">
        <f t="shared" si="741"/>
        <v>サンリオ型押しケース</v>
      </c>
      <c r="AM393" s="76">
        <f t="shared" si="742"/>
        <v>545</v>
      </c>
      <c r="AN393" s="31">
        <f t="shared" si="743"/>
        <v>1090</v>
      </c>
      <c r="AO393" s="32">
        <f t="shared" si="744"/>
        <v>4.36E-2</v>
      </c>
      <c r="AP393" s="157" t="s">
        <v>386</v>
      </c>
      <c r="AQ393" s="15"/>
      <c r="AR393" s="79">
        <f>IF($A393="","",$A393)</f>
        <v>46024</v>
      </c>
      <c r="AS393" s="53">
        <v>10653</v>
      </c>
      <c r="AT393" s="53">
        <f t="shared" si="745"/>
        <v>91</v>
      </c>
      <c r="AU393" s="53">
        <v>339</v>
      </c>
      <c r="AV393" s="31">
        <f t="shared" si="746"/>
        <v>2</v>
      </c>
      <c r="AW393" s="53">
        <v>15</v>
      </c>
      <c r="AX393" s="53">
        <f t="shared" si="747"/>
        <v>2</v>
      </c>
      <c r="AY393" s="80">
        <v>1</v>
      </c>
      <c r="AZ393" s="75" t="str">
        <f t="shared" si="754"/>
        <v>サンリオヒョウ柄キーケース</v>
      </c>
      <c r="BA393" s="76">
        <f t="shared" si="755"/>
        <v>924</v>
      </c>
      <c r="BB393" s="31">
        <f t="shared" si="750"/>
        <v>1848</v>
      </c>
      <c r="BC393" s="32">
        <f t="shared" si="751"/>
        <v>0.20307692307692307</v>
      </c>
      <c r="BD393" s="15"/>
      <c r="BT393" s="15"/>
      <c r="BU393" s="79"/>
      <c r="BV393" s="13"/>
      <c r="BW393" s="13" t="str">
        <f>IF(BV393="","",BV393-BV392)</f>
        <v/>
      </c>
      <c r="BX393" s="13"/>
      <c r="BY393" s="13" t="str">
        <f>IF(BX393="","",BX393-BX392)</f>
        <v/>
      </c>
      <c r="BZ393" s="13"/>
      <c r="CA393" s="13" t="str">
        <f>IF(BZ393="","",BZ392+CB392-BZ393)</f>
        <v/>
      </c>
      <c r="CB393" s="13"/>
      <c r="CC393" s="53"/>
      <c r="CD393" s="53" t="str">
        <f>IF(BV393="","",CD392)</f>
        <v/>
      </c>
      <c r="CE393" s="13" t="str">
        <f t="shared" si="756"/>
        <v/>
      </c>
      <c r="CF393" s="14" t="str">
        <f t="shared" si="757"/>
        <v/>
      </c>
      <c r="CG393" s="15"/>
      <c r="CH393" s="1"/>
      <c r="CI393" s="79"/>
      <c r="CJ393" s="13"/>
      <c r="CK393" s="13" t="str">
        <f>IF(CJ393="","",CJ393-CJ392)</f>
        <v/>
      </c>
      <c r="CL393" s="13"/>
      <c r="CM393" s="13" t="str">
        <f>IF(CL393="","",CL393-CL392)</f>
        <v/>
      </c>
      <c r="CN393" s="13"/>
      <c r="CO393" s="13" t="str">
        <f>IF(CN393="","",CN392+CP392-CN393)</f>
        <v/>
      </c>
      <c r="CP393" s="13"/>
      <c r="CQ393" s="53"/>
      <c r="CR393" s="53" t="str">
        <f>IF(CJ393="","",CR392)</f>
        <v/>
      </c>
      <c r="CS393" s="13" t="str">
        <f t="shared" si="758"/>
        <v/>
      </c>
      <c r="CT393" s="14" t="str">
        <f>IF(CS393="","",CS393/(CJ393*100))</f>
        <v/>
      </c>
      <c r="CU393" s="15"/>
      <c r="CV393" s="1"/>
      <c r="CW393" s="79"/>
      <c r="CX393" s="13"/>
      <c r="CY393" s="13" t="str">
        <f>IF(CX393="","",CX393-CX392)</f>
        <v/>
      </c>
      <c r="CZ393" s="13"/>
      <c r="DA393" s="13" t="str">
        <f>IF(CZ393="","",CZ393-CZ392)</f>
        <v/>
      </c>
      <c r="DB393" s="13"/>
      <c r="DC393" s="13" t="str">
        <f>IF(DB393="","",DB392+DD392-DB393)</f>
        <v/>
      </c>
      <c r="DD393" s="13"/>
      <c r="DE393" s="53"/>
      <c r="DF393" s="53" t="str">
        <f>IF(CX393="","",DF392)</f>
        <v/>
      </c>
      <c r="DG393" s="13" t="str">
        <f t="shared" si="759"/>
        <v/>
      </c>
      <c r="DH393" s="14" t="str">
        <f t="shared" si="760"/>
        <v/>
      </c>
      <c r="DI393" s="15"/>
      <c r="DJ393" s="1"/>
      <c r="DK393" s="79"/>
      <c r="DL393" s="13"/>
      <c r="DM393" s="13" t="str">
        <f>IF(DL393="","",DL393-DL392)</f>
        <v/>
      </c>
      <c r="DN393" s="13"/>
      <c r="DO393" s="13" t="str">
        <f>IF(DN393="","",DN393-DN392)</f>
        <v/>
      </c>
      <c r="DP393" s="13"/>
      <c r="DQ393" s="13" t="str">
        <f>IF(DP393="","",DP392+DR392-DP393)</f>
        <v/>
      </c>
      <c r="DR393" s="13"/>
      <c r="DS393" s="53"/>
      <c r="DT393" s="53" t="str">
        <f>IF(DL393="","",DT392)</f>
        <v/>
      </c>
      <c r="DU393" s="13" t="str">
        <f t="shared" si="761"/>
        <v/>
      </c>
      <c r="DV393" s="14" t="str">
        <f t="shared" si="762"/>
        <v/>
      </c>
      <c r="DW393" s="15"/>
    </row>
    <row r="394" spans="1:127" ht="15" customHeight="1" x14ac:dyDescent="0.2">
      <c r="A394" s="150"/>
      <c r="B394" s="152"/>
      <c r="C394" s="54">
        <v>4370</v>
      </c>
      <c r="D394" s="13">
        <f t="shared" si="725"/>
        <v>149</v>
      </c>
      <c r="E394" s="13">
        <v>350</v>
      </c>
      <c r="F394" s="13">
        <f t="shared" si="726"/>
        <v>0</v>
      </c>
      <c r="G394" s="13">
        <v>38</v>
      </c>
      <c r="H394" s="13">
        <f t="shared" si="727"/>
        <v>0</v>
      </c>
      <c r="I394" s="17">
        <v>0</v>
      </c>
      <c r="J394" s="56" t="str">
        <f t="shared" si="763"/>
        <v>電ブル</v>
      </c>
      <c r="K394" s="54">
        <f>IF(D394="","",K390)</f>
        <v>1075</v>
      </c>
      <c r="L394" s="13">
        <f t="shared" si="729"/>
        <v>0</v>
      </c>
      <c r="M394" s="14">
        <f t="shared" si="730"/>
        <v>0</v>
      </c>
      <c r="N394" s="15"/>
      <c r="O394" s="2"/>
      <c r="P394" s="16"/>
      <c r="Q394" s="54">
        <v>4088</v>
      </c>
      <c r="R394" s="13">
        <f t="shared" si="731"/>
        <v>152</v>
      </c>
      <c r="S394" s="13">
        <v>123</v>
      </c>
      <c r="T394" s="13">
        <f t="shared" si="732"/>
        <v>3</v>
      </c>
      <c r="U394" s="13">
        <v>28</v>
      </c>
      <c r="V394" s="13">
        <f t="shared" si="733"/>
        <v>2</v>
      </c>
      <c r="W394" s="17">
        <v>0</v>
      </c>
      <c r="X394" s="56" t="str">
        <f t="shared" si="764"/>
        <v>押忍番長ボタン</v>
      </c>
      <c r="Y394" s="54">
        <f t="shared" si="765"/>
        <v>1100</v>
      </c>
      <c r="Z394" s="13">
        <f t="shared" si="736"/>
        <v>2200</v>
      </c>
      <c r="AA394" s="14">
        <f t="shared" si="737"/>
        <v>0.14473684210526316</v>
      </c>
      <c r="AB394" s="157" t="s">
        <v>386</v>
      </c>
      <c r="AC394" s="15"/>
      <c r="AD394" s="16"/>
      <c r="AE394" s="54">
        <v>9669</v>
      </c>
      <c r="AF394" s="13">
        <f t="shared" si="738"/>
        <v>162</v>
      </c>
      <c r="AG394" s="13">
        <v>213</v>
      </c>
      <c r="AH394" s="13">
        <f t="shared" si="739"/>
        <v>2</v>
      </c>
      <c r="AI394" s="13">
        <v>13</v>
      </c>
      <c r="AJ394" s="13">
        <f t="shared" si="740"/>
        <v>2</v>
      </c>
      <c r="AK394" s="17">
        <v>0</v>
      </c>
      <c r="AL394" s="56" t="str">
        <f t="shared" si="741"/>
        <v>サンリオヒョウ柄フェイス</v>
      </c>
      <c r="AM394" s="54">
        <f t="shared" si="742"/>
        <v>792</v>
      </c>
      <c r="AN394" s="13">
        <f t="shared" si="743"/>
        <v>1584</v>
      </c>
      <c r="AO394" s="14">
        <f t="shared" si="744"/>
        <v>9.7777777777777783E-2</v>
      </c>
      <c r="AP394" s="15"/>
      <c r="AQ394" s="15"/>
      <c r="AR394" s="16"/>
      <c r="AS394" s="54">
        <v>7254</v>
      </c>
      <c r="AT394" s="13">
        <f t="shared" si="745"/>
        <v>74</v>
      </c>
      <c r="AU394" s="13">
        <v>386</v>
      </c>
      <c r="AV394" s="13">
        <f t="shared" si="746"/>
        <v>2</v>
      </c>
      <c r="AW394" s="13">
        <v>5</v>
      </c>
      <c r="AX394" s="13">
        <f t="shared" si="747"/>
        <v>2</v>
      </c>
      <c r="AY394" s="17">
        <v>6</v>
      </c>
      <c r="AZ394" s="56" t="str">
        <f t="shared" si="754"/>
        <v>キティフェイスポーチ</v>
      </c>
      <c r="BA394" s="54">
        <f t="shared" si="755"/>
        <v>673</v>
      </c>
      <c r="BB394" s="13">
        <f t="shared" si="750"/>
        <v>1346</v>
      </c>
      <c r="BC394" s="14">
        <f t="shared" si="751"/>
        <v>0.18189189189189189</v>
      </c>
      <c r="BD394" s="15"/>
      <c r="BT394" s="15"/>
      <c r="BU394" s="16"/>
      <c r="BV394" s="54"/>
      <c r="BW394" s="13" t="str">
        <f>IF(BV394="","",BV394-BV393)</f>
        <v/>
      </c>
      <c r="BX394" s="13"/>
      <c r="BY394" s="13" t="str">
        <f>IF(BX394="","",BX394-BX393)</f>
        <v/>
      </c>
      <c r="BZ394" s="13"/>
      <c r="CA394" s="13" t="str">
        <f>IF(BZ394="","",BZ393+CB393-BZ394)</f>
        <v/>
      </c>
      <c r="CB394" s="13"/>
      <c r="CC394" s="13"/>
      <c r="CD394" s="13"/>
      <c r="CE394" s="13" t="str">
        <f t="shared" si="756"/>
        <v/>
      </c>
      <c r="CF394" s="14" t="str">
        <f t="shared" si="757"/>
        <v/>
      </c>
      <c r="CG394" s="15"/>
      <c r="CH394" s="1"/>
      <c r="CI394" s="16"/>
      <c r="CJ394" s="54"/>
      <c r="CK394" s="13" t="str">
        <f>IF(CJ394="","",CJ394-CJ393)</f>
        <v/>
      </c>
      <c r="CL394" s="13"/>
      <c r="CM394" s="13" t="str">
        <f>IF(CL394="","",CL394-CL393)</f>
        <v/>
      </c>
      <c r="CN394" s="13"/>
      <c r="CO394" s="13" t="str">
        <f>IF(CN394="","",CN393+CP393-CN394)</f>
        <v/>
      </c>
      <c r="CP394" s="13"/>
      <c r="CQ394" s="13"/>
      <c r="CR394" s="13"/>
      <c r="CS394" s="13" t="str">
        <f t="shared" si="758"/>
        <v/>
      </c>
      <c r="CT394" s="14" t="str">
        <f t="shared" ref="CT394:CT420" si="766">IF(CS394="","",CS394/(CK394*100))</f>
        <v/>
      </c>
      <c r="CU394" s="15"/>
      <c r="CV394" s="1"/>
      <c r="CW394" s="16"/>
      <c r="CX394" s="54"/>
      <c r="CY394" s="13" t="str">
        <f>IF(CX394="","",CX394-CX393)</f>
        <v/>
      </c>
      <c r="CZ394" s="13"/>
      <c r="DA394" s="13" t="str">
        <f>IF(CZ394="","",CZ394-CZ393)</f>
        <v/>
      </c>
      <c r="DB394" s="13"/>
      <c r="DC394" s="13" t="str">
        <f>IF(DB394="","",DB393+DD393-DB394)</f>
        <v/>
      </c>
      <c r="DD394" s="13"/>
      <c r="DE394" s="13"/>
      <c r="DF394" s="13"/>
      <c r="DG394" s="13" t="str">
        <f t="shared" si="759"/>
        <v/>
      </c>
      <c r="DH394" s="14" t="str">
        <f t="shared" si="760"/>
        <v/>
      </c>
      <c r="DI394" s="15"/>
      <c r="DJ394" s="1"/>
      <c r="DK394" s="16"/>
      <c r="DL394" s="54"/>
      <c r="DM394" s="13" t="str">
        <f>IF(DL394="","",DL394-DL393)</f>
        <v/>
      </c>
      <c r="DN394" s="13"/>
      <c r="DO394" s="13" t="str">
        <f>IF(DN394="","",DN394-DN393)</f>
        <v/>
      </c>
      <c r="DP394" s="13"/>
      <c r="DQ394" s="13" t="str">
        <f>IF(DP394="","",DP393+DR393-DP394)</f>
        <v/>
      </c>
      <c r="DR394" s="13"/>
      <c r="DS394" s="13"/>
      <c r="DT394" s="13"/>
      <c r="DU394" s="13" t="str">
        <f t="shared" si="761"/>
        <v/>
      </c>
      <c r="DV394" s="14" t="str">
        <f t="shared" si="762"/>
        <v/>
      </c>
      <c r="DW394" s="15"/>
    </row>
    <row r="395" spans="1:127" ht="15" customHeight="1" x14ac:dyDescent="0.2">
      <c r="A395" s="16"/>
      <c r="B395" s="74"/>
      <c r="C395" s="34">
        <v>10544</v>
      </c>
      <c r="D395" s="87">
        <f t="shared" si="725"/>
        <v>66</v>
      </c>
      <c r="E395" s="34">
        <v>611</v>
      </c>
      <c r="F395" s="13">
        <f t="shared" si="726"/>
        <v>13</v>
      </c>
      <c r="G395" s="13">
        <v>0</v>
      </c>
      <c r="H395" s="13">
        <f t="shared" si="727"/>
        <v>12</v>
      </c>
      <c r="I395" s="49">
        <v>18</v>
      </c>
      <c r="J395" s="56" t="s">
        <v>418</v>
      </c>
      <c r="K395" s="13"/>
      <c r="L395" s="13">
        <f t="shared" si="729"/>
        <v>0</v>
      </c>
      <c r="M395" s="14">
        <f t="shared" si="730"/>
        <v>0</v>
      </c>
      <c r="N395" s="15" t="s">
        <v>419</v>
      </c>
      <c r="O395" s="2"/>
      <c r="P395" s="16"/>
      <c r="Q395" s="34">
        <v>7443</v>
      </c>
      <c r="R395" s="87">
        <f t="shared" si="731"/>
        <v>47</v>
      </c>
      <c r="S395" s="34">
        <v>139</v>
      </c>
      <c r="T395" s="13">
        <f t="shared" si="732"/>
        <v>2</v>
      </c>
      <c r="U395" s="13">
        <v>16</v>
      </c>
      <c r="V395" s="13">
        <f t="shared" si="733"/>
        <v>2</v>
      </c>
      <c r="W395" s="49">
        <v>0</v>
      </c>
      <c r="X395" s="56" t="str">
        <f t="shared" si="764"/>
        <v>サンリオホワイトマスコット</v>
      </c>
      <c r="Y395" s="13">
        <f t="shared" si="765"/>
        <v>660</v>
      </c>
      <c r="Z395" s="13">
        <f t="shared" si="736"/>
        <v>1320</v>
      </c>
      <c r="AA395" s="14">
        <f t="shared" si="737"/>
        <v>0.28085106382978725</v>
      </c>
      <c r="AB395" s="15"/>
      <c r="AC395" s="15"/>
      <c r="AD395" s="16"/>
      <c r="AE395" s="34">
        <v>11384</v>
      </c>
      <c r="AF395" s="13">
        <f t="shared" si="738"/>
        <v>153</v>
      </c>
      <c r="AG395" s="34">
        <v>304</v>
      </c>
      <c r="AH395" s="13">
        <f t="shared" si="739"/>
        <v>2</v>
      </c>
      <c r="AI395" s="13">
        <v>58</v>
      </c>
      <c r="AJ395" s="13">
        <f t="shared" si="740"/>
        <v>3</v>
      </c>
      <c r="AK395" s="49">
        <v>0</v>
      </c>
      <c r="AL395" s="56" t="str">
        <f t="shared" si="741"/>
        <v>ゲームアーク</v>
      </c>
      <c r="AM395" s="13">
        <f t="shared" si="742"/>
        <v>682</v>
      </c>
      <c r="AN395" s="13">
        <f t="shared" si="743"/>
        <v>2046</v>
      </c>
      <c r="AO395" s="14">
        <f t="shared" si="744"/>
        <v>0.13372549019607843</v>
      </c>
      <c r="AP395" s="15"/>
      <c r="AQ395" s="15"/>
      <c r="AR395" s="16"/>
      <c r="AS395" s="34">
        <v>14108</v>
      </c>
      <c r="AT395" s="13">
        <f t="shared" si="745"/>
        <v>244</v>
      </c>
      <c r="AU395" s="34">
        <v>490</v>
      </c>
      <c r="AV395" s="13">
        <f t="shared" si="746"/>
        <v>10</v>
      </c>
      <c r="AW395" s="13">
        <v>20</v>
      </c>
      <c r="AX395" s="13">
        <f t="shared" si="747"/>
        <v>9</v>
      </c>
      <c r="AY395" s="49">
        <v>0</v>
      </c>
      <c r="AZ395" s="56" t="str">
        <f t="shared" si="754"/>
        <v>ラブブキーホルダーおおきめ</v>
      </c>
      <c r="BA395" s="13">
        <f t="shared" si="755"/>
        <v>500</v>
      </c>
      <c r="BB395" s="13">
        <f t="shared" si="750"/>
        <v>4500</v>
      </c>
      <c r="BC395" s="14">
        <f t="shared" si="751"/>
        <v>0.18442622950819673</v>
      </c>
      <c r="BD395" s="157" t="s">
        <v>386</v>
      </c>
      <c r="BT395" s="15"/>
      <c r="BU395" s="16"/>
      <c r="BV395" s="54"/>
      <c r="BW395" s="13" t="str">
        <f>IF(BV395="","",BV395-BV394)</f>
        <v/>
      </c>
      <c r="BX395" s="13"/>
      <c r="BY395" s="13" t="str">
        <f>IF(BX395="","",BX395-BX394)</f>
        <v/>
      </c>
      <c r="BZ395" s="13"/>
      <c r="CA395" s="13" t="str">
        <f>IF(BZ395="","",BZ394+CB394-BZ395)</f>
        <v/>
      </c>
      <c r="CB395" s="13"/>
      <c r="CC395" s="13"/>
      <c r="CD395" s="13"/>
      <c r="CE395" s="13" t="str">
        <f t="shared" si="756"/>
        <v/>
      </c>
      <c r="CF395" s="14" t="str">
        <f t="shared" si="757"/>
        <v/>
      </c>
      <c r="CG395" s="15"/>
      <c r="CH395" s="1"/>
      <c r="CI395" s="16"/>
      <c r="CJ395" s="54"/>
      <c r="CK395" s="13" t="str">
        <f>IF(CJ395="","",CJ395-CJ394)</f>
        <v/>
      </c>
      <c r="CL395" s="13"/>
      <c r="CM395" s="13" t="str">
        <f>IF(CL395="","",CL395-CL394)</f>
        <v/>
      </c>
      <c r="CN395" s="13"/>
      <c r="CO395" s="13" t="str">
        <f>IF(CN395="","",CN394+CP394-CN395)</f>
        <v/>
      </c>
      <c r="CP395" s="13"/>
      <c r="CQ395" s="13"/>
      <c r="CR395" s="13"/>
      <c r="CS395" s="13" t="str">
        <f t="shared" si="758"/>
        <v/>
      </c>
      <c r="CT395" s="14" t="str">
        <f t="shared" si="766"/>
        <v/>
      </c>
      <c r="CU395" s="15"/>
      <c r="CV395" s="1"/>
      <c r="CW395" s="16"/>
      <c r="CX395" s="54"/>
      <c r="CY395" s="13" t="str">
        <f>IF(CX395="","",CX395-CX394)</f>
        <v/>
      </c>
      <c r="CZ395" s="13"/>
      <c r="DA395" s="13" t="str">
        <f>IF(CZ395="","",CZ395-CZ394)</f>
        <v/>
      </c>
      <c r="DB395" s="13"/>
      <c r="DC395" s="13" t="str">
        <f>IF(DB395="","",DB394+DD394-DB395)</f>
        <v/>
      </c>
      <c r="DD395" s="13"/>
      <c r="DE395" s="13"/>
      <c r="DF395" s="13"/>
      <c r="DG395" s="13" t="str">
        <f t="shared" si="759"/>
        <v/>
      </c>
      <c r="DH395" s="14" t="str">
        <f t="shared" si="760"/>
        <v/>
      </c>
      <c r="DI395" s="15"/>
      <c r="DJ395" s="1"/>
      <c r="DK395" s="16"/>
      <c r="DL395" s="54"/>
      <c r="DM395" s="13" t="str">
        <f>IF(DL395="","",DL395-DL394)</f>
        <v/>
      </c>
      <c r="DN395" s="13"/>
      <c r="DO395" s="13" t="str">
        <f>IF(DN395="","",DN395-DN394)</f>
        <v/>
      </c>
      <c r="DP395" s="13"/>
      <c r="DQ395" s="13" t="str">
        <f>IF(DP395="","",DP394+DR394-DP395)</f>
        <v/>
      </c>
      <c r="DR395" s="13"/>
      <c r="DS395" s="13"/>
      <c r="DT395" s="13"/>
      <c r="DU395" s="13" t="str">
        <f t="shared" si="761"/>
        <v/>
      </c>
      <c r="DV395" s="14" t="str">
        <f t="shared" si="762"/>
        <v/>
      </c>
      <c r="DW395" s="15"/>
    </row>
    <row r="396" spans="1:127" ht="15" customHeight="1" thickBot="1" x14ac:dyDescent="0.25">
      <c r="A396" s="26"/>
      <c r="B396" s="46"/>
      <c r="C396" s="27">
        <v>5718</v>
      </c>
      <c r="D396" s="27">
        <f t="shared" si="725"/>
        <v>129</v>
      </c>
      <c r="E396" s="27">
        <v>447</v>
      </c>
      <c r="F396" s="27">
        <f t="shared" si="726"/>
        <v>5</v>
      </c>
      <c r="G396" s="27">
        <v>50</v>
      </c>
      <c r="H396" s="27">
        <f t="shared" si="727"/>
        <v>5</v>
      </c>
      <c r="I396" s="47">
        <v>0</v>
      </c>
      <c r="J396" s="57" t="str">
        <f t="shared" ref="J396:K398" si="767">IF(C396="","",J392)</f>
        <v>NICIマスコット</v>
      </c>
      <c r="K396" s="62">
        <f t="shared" si="767"/>
        <v>900</v>
      </c>
      <c r="L396" s="27">
        <f t="shared" si="729"/>
        <v>4500</v>
      </c>
      <c r="M396" s="28">
        <f t="shared" si="730"/>
        <v>0.34883720930232559</v>
      </c>
      <c r="N396" s="157" t="s">
        <v>386</v>
      </c>
      <c r="O396" s="2"/>
      <c r="P396" s="26"/>
      <c r="Q396" s="27">
        <v>7218</v>
      </c>
      <c r="R396" s="27">
        <f t="shared" si="731"/>
        <v>117</v>
      </c>
      <c r="S396" s="27">
        <v>123</v>
      </c>
      <c r="T396" s="27">
        <f t="shared" si="732"/>
        <v>3</v>
      </c>
      <c r="U396" s="27">
        <v>11</v>
      </c>
      <c r="V396" s="27">
        <f t="shared" si="733"/>
        <v>3</v>
      </c>
      <c r="W396" s="47">
        <v>3</v>
      </c>
      <c r="X396" s="57" t="str">
        <f t="shared" si="764"/>
        <v>ＡＩマスコット</v>
      </c>
      <c r="Y396" s="62">
        <f t="shared" si="765"/>
        <v>286</v>
      </c>
      <c r="Z396" s="27">
        <f t="shared" si="736"/>
        <v>858</v>
      </c>
      <c r="AA396" s="28">
        <f t="shared" si="737"/>
        <v>7.3333333333333334E-2</v>
      </c>
      <c r="AB396" s="15"/>
      <c r="AC396" s="15"/>
      <c r="AD396" s="26"/>
      <c r="AE396" s="27">
        <v>11395</v>
      </c>
      <c r="AF396" s="27">
        <f t="shared" si="738"/>
        <v>176</v>
      </c>
      <c r="AG396" s="27">
        <v>292</v>
      </c>
      <c r="AH396" s="27">
        <f t="shared" si="739"/>
        <v>3</v>
      </c>
      <c r="AI396" s="27">
        <v>13</v>
      </c>
      <c r="AJ396" s="27">
        <f t="shared" si="740"/>
        <v>5</v>
      </c>
      <c r="AK396" s="47">
        <v>2</v>
      </c>
      <c r="AL396" s="57" t="str">
        <f t="shared" si="741"/>
        <v>モンチッチマスコット2</v>
      </c>
      <c r="AM396" s="62">
        <f t="shared" si="742"/>
        <v>605</v>
      </c>
      <c r="AN396" s="27">
        <f t="shared" si="743"/>
        <v>3025</v>
      </c>
      <c r="AO396" s="28">
        <f t="shared" si="744"/>
        <v>0.171875</v>
      </c>
      <c r="AP396" s="15"/>
      <c r="AQ396" s="15"/>
      <c r="AR396" s="26"/>
      <c r="AS396" s="27">
        <v>14420</v>
      </c>
      <c r="AT396" s="27">
        <f t="shared" si="745"/>
        <v>225</v>
      </c>
      <c r="AU396" s="27">
        <v>418</v>
      </c>
      <c r="AV396" s="27">
        <f t="shared" si="746"/>
        <v>8</v>
      </c>
      <c r="AW396" s="27">
        <v>30</v>
      </c>
      <c r="AX396" s="27">
        <f t="shared" si="747"/>
        <v>10</v>
      </c>
      <c r="AY396" s="47">
        <v>6</v>
      </c>
      <c r="AZ396" s="57" t="str">
        <f t="shared" si="754"/>
        <v>ラブブマスコット</v>
      </c>
      <c r="BA396" s="62">
        <f t="shared" si="755"/>
        <v>400</v>
      </c>
      <c r="BB396" s="27">
        <f t="shared" si="750"/>
        <v>4000</v>
      </c>
      <c r="BC396" s="28">
        <f t="shared" si="751"/>
        <v>0.17777777777777778</v>
      </c>
      <c r="BD396" s="15"/>
      <c r="BT396" s="15"/>
      <c r="BU396" s="16"/>
      <c r="BV396" s="54"/>
      <c r="BW396" s="13" t="str">
        <f>IF(BV396="","",BV396-BV395)</f>
        <v/>
      </c>
      <c r="BX396" s="13"/>
      <c r="BY396" s="13"/>
      <c r="BZ396" s="13"/>
      <c r="CA396" s="13" t="str">
        <f>IF(BZ396="","",BZ395+CB395-BZ396)</f>
        <v/>
      </c>
      <c r="CB396" s="13"/>
      <c r="CC396" s="13"/>
      <c r="CD396" s="13"/>
      <c r="CE396" s="13" t="str">
        <f t="shared" si="756"/>
        <v/>
      </c>
      <c r="CF396" s="14" t="str">
        <f t="shared" si="757"/>
        <v/>
      </c>
      <c r="CG396" s="15"/>
      <c r="CH396" s="1"/>
      <c r="CI396" s="16"/>
      <c r="CJ396" s="54"/>
      <c r="CK396" s="13" t="str">
        <f>IF(CJ396="","",CJ396-CJ395)</f>
        <v/>
      </c>
      <c r="CL396" s="13"/>
      <c r="CM396" s="13"/>
      <c r="CN396" s="13"/>
      <c r="CO396" s="13" t="str">
        <f>IF(CN396="","",CN395+CP395-CN396)</f>
        <v/>
      </c>
      <c r="CP396" s="13"/>
      <c r="CQ396" s="13"/>
      <c r="CR396" s="13"/>
      <c r="CS396" s="13" t="str">
        <f t="shared" si="758"/>
        <v/>
      </c>
      <c r="CT396" s="14" t="str">
        <f t="shared" si="766"/>
        <v/>
      </c>
      <c r="CU396" s="15"/>
      <c r="CV396" s="1"/>
      <c r="CW396" s="16"/>
      <c r="CX396" s="54"/>
      <c r="CY396" s="13" t="str">
        <f>IF(CX396="","",CX396-CX395)</f>
        <v/>
      </c>
      <c r="CZ396" s="13"/>
      <c r="DA396" s="13"/>
      <c r="DB396" s="13"/>
      <c r="DC396" s="13" t="str">
        <f>IF(DB396="","",DB395+DD395-DB396)</f>
        <v/>
      </c>
      <c r="DD396" s="13"/>
      <c r="DE396" s="13"/>
      <c r="DF396" s="13"/>
      <c r="DG396" s="13" t="str">
        <f t="shared" si="759"/>
        <v/>
      </c>
      <c r="DH396" s="14" t="str">
        <f t="shared" si="760"/>
        <v/>
      </c>
      <c r="DI396" s="15"/>
      <c r="DJ396" s="1"/>
      <c r="DK396" s="16"/>
      <c r="DL396" s="54"/>
      <c r="DM396" s="13" t="str">
        <f>IF(DL396="","",DL396-DL395)</f>
        <v/>
      </c>
      <c r="DN396" s="13"/>
      <c r="DO396" s="13"/>
      <c r="DP396" s="13"/>
      <c r="DQ396" s="13" t="str">
        <f>IF(DP396="","",DP395+DR395-DP396)</f>
        <v/>
      </c>
      <c r="DR396" s="13"/>
      <c r="DS396" s="13"/>
      <c r="DT396" s="13"/>
      <c r="DU396" s="13" t="str">
        <f t="shared" si="761"/>
        <v/>
      </c>
      <c r="DV396" s="14" t="str">
        <f t="shared" si="762"/>
        <v/>
      </c>
      <c r="DW396" s="15"/>
    </row>
    <row r="397" spans="1:127" ht="15" customHeight="1" thickTop="1" x14ac:dyDescent="0.2">
      <c r="A397" s="16">
        <v>46025</v>
      </c>
      <c r="B397" s="74">
        <f>IF(A397="","",SUM(D397:D400)+SUM(R397:R400)+SUM(AF397:AF400)+SUM(AT397:AT400)+SUM(BW379,CK379,CY379,DM379))</f>
        <v>1866</v>
      </c>
      <c r="C397" s="13">
        <v>5184</v>
      </c>
      <c r="D397" s="53">
        <f t="shared" si="725"/>
        <v>41</v>
      </c>
      <c r="E397" s="13">
        <v>335</v>
      </c>
      <c r="F397" s="31">
        <f t="shared" si="726"/>
        <v>1</v>
      </c>
      <c r="G397" s="13">
        <v>7</v>
      </c>
      <c r="H397" s="53">
        <f t="shared" si="727"/>
        <v>1</v>
      </c>
      <c r="I397" s="17">
        <v>9</v>
      </c>
      <c r="J397" s="75" t="str">
        <f t="shared" si="767"/>
        <v>ジャグラーボタン</v>
      </c>
      <c r="K397" s="76">
        <f t="shared" si="767"/>
        <v>748</v>
      </c>
      <c r="L397" s="31">
        <f t="shared" si="729"/>
        <v>748</v>
      </c>
      <c r="M397" s="32">
        <f t="shared" si="730"/>
        <v>0.1824390243902439</v>
      </c>
      <c r="N397" s="15"/>
      <c r="O397" s="2"/>
      <c r="P397" s="79">
        <f>IF($A397="","",$A397)</f>
        <v>46025</v>
      </c>
      <c r="Q397" s="13">
        <v>4892</v>
      </c>
      <c r="R397" s="53">
        <f t="shared" si="731"/>
        <v>145</v>
      </c>
      <c r="S397" s="13">
        <v>167</v>
      </c>
      <c r="T397" s="31">
        <f t="shared" si="732"/>
        <v>4</v>
      </c>
      <c r="U397" s="13">
        <v>8</v>
      </c>
      <c r="V397" s="53">
        <f t="shared" si="733"/>
        <v>2</v>
      </c>
      <c r="W397" s="17">
        <v>0</v>
      </c>
      <c r="X397" s="75" t="str">
        <f t="shared" si="764"/>
        <v>キティボアバンスクリップ</v>
      </c>
      <c r="Y397" s="76">
        <f t="shared" si="765"/>
        <v>1100</v>
      </c>
      <c r="Z397" s="31">
        <f t="shared" si="736"/>
        <v>2200</v>
      </c>
      <c r="AA397" s="32">
        <f t="shared" si="737"/>
        <v>0.15172413793103448</v>
      </c>
      <c r="AB397" s="15"/>
      <c r="AC397" s="15"/>
      <c r="AD397" s="79">
        <f>IF($A397="","",$A397)</f>
        <v>46025</v>
      </c>
      <c r="AE397" s="13">
        <v>10128</v>
      </c>
      <c r="AF397" s="53">
        <f t="shared" si="738"/>
        <v>26</v>
      </c>
      <c r="AG397" s="13">
        <v>224</v>
      </c>
      <c r="AH397" s="31">
        <f t="shared" si="739"/>
        <v>1</v>
      </c>
      <c r="AI397" s="13">
        <v>13</v>
      </c>
      <c r="AJ397" s="53">
        <f t="shared" si="740"/>
        <v>1</v>
      </c>
      <c r="AK397" s="17">
        <v>3</v>
      </c>
      <c r="AL397" s="75" t="str">
        <f t="shared" si="741"/>
        <v>サンリオ型押しケース</v>
      </c>
      <c r="AM397" s="76">
        <f t="shared" si="742"/>
        <v>545</v>
      </c>
      <c r="AN397" s="31">
        <f t="shared" si="743"/>
        <v>545</v>
      </c>
      <c r="AO397" s="32">
        <f t="shared" si="744"/>
        <v>0.20961538461538462</v>
      </c>
      <c r="AP397" s="15"/>
      <c r="AQ397" s="15"/>
      <c r="AR397" s="79">
        <f>IF($A397="","",$A397)</f>
        <v>46025</v>
      </c>
      <c r="AS397" s="13">
        <v>10717</v>
      </c>
      <c r="AT397" s="53">
        <f t="shared" si="745"/>
        <v>64</v>
      </c>
      <c r="AU397" s="13">
        <v>340</v>
      </c>
      <c r="AV397" s="31">
        <f t="shared" si="746"/>
        <v>1</v>
      </c>
      <c r="AW397" s="13">
        <v>15</v>
      </c>
      <c r="AX397" s="53">
        <f t="shared" si="747"/>
        <v>1</v>
      </c>
      <c r="AY397" s="17">
        <v>0</v>
      </c>
      <c r="AZ397" s="75" t="str">
        <f t="shared" si="754"/>
        <v>サンリオヒョウ柄キーケース</v>
      </c>
      <c r="BA397" s="76">
        <f t="shared" si="755"/>
        <v>924</v>
      </c>
      <c r="BB397" s="31">
        <f t="shared" si="750"/>
        <v>924</v>
      </c>
      <c r="BC397" s="32">
        <f t="shared" si="751"/>
        <v>0.144375</v>
      </c>
      <c r="BD397" s="15" t="s">
        <v>422</v>
      </c>
      <c r="BT397" s="15"/>
      <c r="BU397" s="16"/>
      <c r="BV397" s="13"/>
      <c r="BW397" s="13" t="str">
        <f>IF(BV397="","",BV397-BV398)</f>
        <v/>
      </c>
      <c r="BX397" s="13"/>
      <c r="BY397" s="13" t="str">
        <f>IF(BX397="","",BX397-BX398)</f>
        <v/>
      </c>
      <c r="BZ397" s="13"/>
      <c r="CA397" s="13" t="str">
        <f>IF(BZ397="","",BZ398+CB398-BZ397)</f>
        <v/>
      </c>
      <c r="CB397" s="13"/>
      <c r="CC397" s="13"/>
      <c r="CD397" s="13"/>
      <c r="CE397" s="13" t="str">
        <f t="shared" si="756"/>
        <v/>
      </c>
      <c r="CF397" s="14" t="str">
        <f t="shared" si="757"/>
        <v/>
      </c>
      <c r="CG397" s="15"/>
      <c r="CH397" s="1"/>
      <c r="CI397" s="16"/>
      <c r="CJ397" s="13"/>
      <c r="CK397" s="13" t="str">
        <f>IF(CJ397="","",CJ397-CJ398)</f>
        <v/>
      </c>
      <c r="CL397" s="13"/>
      <c r="CM397" s="13" t="str">
        <f>IF(CL397="","",CL397-CL398)</f>
        <v/>
      </c>
      <c r="CN397" s="13"/>
      <c r="CO397" s="13" t="str">
        <f>IF(CN397="","",CN398+CP398-CN397)</f>
        <v/>
      </c>
      <c r="CP397" s="13"/>
      <c r="CQ397" s="13"/>
      <c r="CR397" s="13"/>
      <c r="CS397" s="13" t="str">
        <f t="shared" si="758"/>
        <v/>
      </c>
      <c r="CT397" s="14" t="str">
        <f t="shared" si="766"/>
        <v/>
      </c>
      <c r="CU397" s="15"/>
      <c r="CV397" s="1"/>
      <c r="CW397" s="16"/>
      <c r="CX397" s="13"/>
      <c r="CY397" s="13" t="str">
        <f>IF(CX397="","",CX397-CX398)</f>
        <v/>
      </c>
      <c r="CZ397" s="13"/>
      <c r="DA397" s="13" t="str">
        <f>IF(CZ397="","",CZ397-CZ398)</f>
        <v/>
      </c>
      <c r="DB397" s="13"/>
      <c r="DC397" s="13" t="str">
        <f>IF(DB397="","",DB398+DD398-DB397)</f>
        <v/>
      </c>
      <c r="DD397" s="13"/>
      <c r="DE397" s="13"/>
      <c r="DF397" s="13"/>
      <c r="DG397" s="13" t="str">
        <f t="shared" si="759"/>
        <v/>
      </c>
      <c r="DH397" s="14" t="str">
        <f t="shared" si="760"/>
        <v/>
      </c>
      <c r="DI397" s="15"/>
      <c r="DJ397" s="1"/>
      <c r="DK397" s="16"/>
      <c r="DL397" s="13"/>
      <c r="DM397" s="13" t="str">
        <f>IF(DL397="","",DL397-DL398)</f>
        <v/>
      </c>
      <c r="DN397" s="13"/>
      <c r="DO397" s="13" t="str">
        <f>IF(DN397="","",DN397-DN398)</f>
        <v/>
      </c>
      <c r="DP397" s="13"/>
      <c r="DQ397" s="13" t="str">
        <f>IF(DP397="","",DP398+DR398-DP397)</f>
        <v/>
      </c>
      <c r="DR397" s="13"/>
      <c r="DS397" s="13"/>
      <c r="DT397" s="13"/>
      <c r="DU397" s="13" t="str">
        <f t="shared" si="761"/>
        <v/>
      </c>
      <c r="DV397" s="14" t="str">
        <f t="shared" si="762"/>
        <v/>
      </c>
      <c r="DW397" s="15"/>
    </row>
    <row r="398" spans="1:127" ht="15" customHeight="1" x14ac:dyDescent="0.2">
      <c r="A398" s="79"/>
      <c r="B398" s="11"/>
      <c r="C398" s="53">
        <v>4473</v>
      </c>
      <c r="D398" s="13">
        <f t="shared" si="725"/>
        <v>103</v>
      </c>
      <c r="E398" s="53">
        <v>352</v>
      </c>
      <c r="F398" s="13">
        <f t="shared" si="726"/>
        <v>2</v>
      </c>
      <c r="G398" s="13">
        <v>36</v>
      </c>
      <c r="H398" s="13">
        <f t="shared" si="727"/>
        <v>2</v>
      </c>
      <c r="I398" s="17">
        <v>7</v>
      </c>
      <c r="J398" s="56" t="str">
        <f t="shared" si="767"/>
        <v>電ブル</v>
      </c>
      <c r="K398" s="54">
        <f t="shared" si="767"/>
        <v>1075</v>
      </c>
      <c r="L398" s="13">
        <f t="shared" si="729"/>
        <v>2150</v>
      </c>
      <c r="M398" s="14">
        <f t="shared" si="730"/>
        <v>0.20873786407766989</v>
      </c>
      <c r="N398" s="15"/>
      <c r="O398" s="2"/>
      <c r="P398" s="79" t="str">
        <f>IF(A398="","",A398)</f>
        <v/>
      </c>
      <c r="Q398" s="53">
        <v>4110</v>
      </c>
      <c r="R398" s="87">
        <f t="shared" si="731"/>
        <v>22</v>
      </c>
      <c r="S398" s="53">
        <v>123</v>
      </c>
      <c r="T398" s="13">
        <f t="shared" si="732"/>
        <v>0</v>
      </c>
      <c r="U398" s="13">
        <v>28</v>
      </c>
      <c r="V398" s="13">
        <f t="shared" si="733"/>
        <v>0</v>
      </c>
      <c r="W398" s="17">
        <v>10</v>
      </c>
      <c r="X398" s="56" t="str">
        <f t="shared" si="764"/>
        <v>押忍番長ボタン</v>
      </c>
      <c r="Y398" s="54">
        <f t="shared" si="765"/>
        <v>1100</v>
      </c>
      <c r="Z398" s="13">
        <f t="shared" si="736"/>
        <v>0</v>
      </c>
      <c r="AA398" s="14">
        <f t="shared" si="737"/>
        <v>0</v>
      </c>
      <c r="AB398" s="15"/>
      <c r="AC398" s="15"/>
      <c r="AD398" s="79" t="str">
        <f>IF(O398="","",O398)</f>
        <v/>
      </c>
      <c r="AE398" s="53">
        <v>9702</v>
      </c>
      <c r="AF398" s="13">
        <f t="shared" si="738"/>
        <v>33</v>
      </c>
      <c r="AG398" s="53">
        <v>214</v>
      </c>
      <c r="AH398" s="13">
        <f t="shared" si="739"/>
        <v>1</v>
      </c>
      <c r="AI398" s="13">
        <v>12</v>
      </c>
      <c r="AJ398" s="13">
        <f t="shared" si="740"/>
        <v>1</v>
      </c>
      <c r="AK398" s="17">
        <v>0</v>
      </c>
      <c r="AL398" s="56" t="str">
        <f t="shared" si="741"/>
        <v>サンリオヒョウ柄フェイス</v>
      </c>
      <c r="AM398" s="54">
        <f t="shared" si="742"/>
        <v>792</v>
      </c>
      <c r="AN398" s="13">
        <f t="shared" si="743"/>
        <v>792</v>
      </c>
      <c r="AO398" s="14">
        <f t="shared" si="744"/>
        <v>0.24</v>
      </c>
      <c r="AP398" s="15"/>
      <c r="AQ398" s="15"/>
      <c r="AR398" s="79" t="str">
        <f>IF(AC398="","",AC398)</f>
        <v/>
      </c>
      <c r="AS398" s="53">
        <v>7324</v>
      </c>
      <c r="AT398" s="13">
        <f t="shared" si="745"/>
        <v>70</v>
      </c>
      <c r="AU398" s="53">
        <v>388</v>
      </c>
      <c r="AV398" s="13">
        <f t="shared" si="746"/>
        <v>2</v>
      </c>
      <c r="AW398" s="13">
        <v>9</v>
      </c>
      <c r="AX398" s="13">
        <f t="shared" si="747"/>
        <v>2</v>
      </c>
      <c r="AY398" s="17">
        <v>0</v>
      </c>
      <c r="AZ398" s="56" t="str">
        <f t="shared" si="754"/>
        <v>キティフェイスポーチ</v>
      </c>
      <c r="BA398" s="54">
        <f t="shared" si="755"/>
        <v>673</v>
      </c>
      <c r="BB398" s="13">
        <f t="shared" si="750"/>
        <v>1346</v>
      </c>
      <c r="BC398" s="14">
        <f t="shared" si="751"/>
        <v>0.19228571428571428</v>
      </c>
      <c r="BD398" s="15"/>
      <c r="BT398" s="15"/>
      <c r="BU398" s="16"/>
      <c r="BV398" s="13"/>
      <c r="BW398" s="13" t="str">
        <f>IF(BV398="","",BV398-BV396)</f>
        <v/>
      </c>
      <c r="BX398" s="13"/>
      <c r="BY398" s="13" t="str">
        <f>IF(BX398="","",BX398-BX396)</f>
        <v/>
      </c>
      <c r="BZ398" s="13"/>
      <c r="CA398" s="13" t="str">
        <f>IF(BZ398="","",BZ396+CB396-BZ398)</f>
        <v/>
      </c>
      <c r="CB398" s="13"/>
      <c r="CC398" s="13"/>
      <c r="CD398" s="13"/>
      <c r="CE398" s="13" t="str">
        <f t="shared" si="756"/>
        <v/>
      </c>
      <c r="CF398" s="14" t="str">
        <f t="shared" si="757"/>
        <v/>
      </c>
      <c r="CG398" s="15"/>
      <c r="CH398" s="1"/>
      <c r="CI398" s="16"/>
      <c r="CJ398" s="13"/>
      <c r="CK398" s="13" t="str">
        <f>IF(CJ398="","",CJ398-CJ396)</f>
        <v/>
      </c>
      <c r="CL398" s="13"/>
      <c r="CM398" s="13" t="str">
        <f>IF(CL398="","",CL398-CL396)</f>
        <v/>
      </c>
      <c r="CN398" s="13"/>
      <c r="CO398" s="13" t="str">
        <f>IF(CN398="","",CN396+CP396-CN398)</f>
        <v/>
      </c>
      <c r="CP398" s="13"/>
      <c r="CQ398" s="13"/>
      <c r="CR398" s="13"/>
      <c r="CS398" s="13" t="str">
        <f t="shared" si="758"/>
        <v/>
      </c>
      <c r="CT398" s="14" t="str">
        <f t="shared" si="766"/>
        <v/>
      </c>
      <c r="CU398" s="15"/>
      <c r="CV398" s="1"/>
      <c r="CW398" s="16"/>
      <c r="CX398" s="13"/>
      <c r="CY398" s="13" t="str">
        <f>IF(CX398="","",CX398-CX396)</f>
        <v/>
      </c>
      <c r="CZ398" s="13"/>
      <c r="DA398" s="13" t="str">
        <f>IF(CZ398="","",CZ398-CZ396)</f>
        <v/>
      </c>
      <c r="DB398" s="13"/>
      <c r="DC398" s="13" t="str">
        <f>IF(DB398="","",DB396+DD396-DB398)</f>
        <v/>
      </c>
      <c r="DD398" s="13"/>
      <c r="DE398" s="13"/>
      <c r="DF398" s="13"/>
      <c r="DG398" s="13" t="str">
        <f t="shared" si="759"/>
        <v/>
      </c>
      <c r="DH398" s="14" t="str">
        <f t="shared" si="760"/>
        <v/>
      </c>
      <c r="DI398" s="15"/>
      <c r="DJ398" s="1"/>
      <c r="DK398" s="16"/>
      <c r="DL398" s="13"/>
      <c r="DM398" s="13" t="str">
        <f>IF(DL398="","",DL398-DL396)</f>
        <v/>
      </c>
      <c r="DN398" s="13"/>
      <c r="DO398" s="13" t="str">
        <f>IF(DN398="","",DN398-DN396)</f>
        <v/>
      </c>
      <c r="DP398" s="13"/>
      <c r="DQ398" s="13" t="str">
        <f>IF(DP398="","",DP396+DR396-DP398)</f>
        <v/>
      </c>
      <c r="DR398" s="13"/>
      <c r="DS398" s="13"/>
      <c r="DT398" s="13"/>
      <c r="DU398" s="13" t="str">
        <f t="shared" si="761"/>
        <v/>
      </c>
      <c r="DV398" s="14" t="str">
        <f t="shared" si="762"/>
        <v/>
      </c>
      <c r="DW398" s="15"/>
    </row>
    <row r="399" spans="1:127" ht="15" customHeight="1" x14ac:dyDescent="0.2">
      <c r="A399" s="16"/>
      <c r="B399" s="11"/>
      <c r="C399" s="13">
        <v>10594</v>
      </c>
      <c r="D399" s="13">
        <f t="shared" si="725"/>
        <v>50</v>
      </c>
      <c r="E399" s="13">
        <v>611</v>
      </c>
      <c r="F399" s="13">
        <f t="shared" si="726"/>
        <v>0</v>
      </c>
      <c r="G399" s="13">
        <v>18</v>
      </c>
      <c r="H399" s="13">
        <f t="shared" si="727"/>
        <v>0</v>
      </c>
      <c r="I399" s="17">
        <v>0</v>
      </c>
      <c r="J399" s="56" t="s">
        <v>423</v>
      </c>
      <c r="K399" s="13">
        <v>1100</v>
      </c>
      <c r="L399" s="13">
        <f t="shared" si="729"/>
        <v>0</v>
      </c>
      <c r="M399" s="14">
        <f t="shared" si="730"/>
        <v>0</v>
      </c>
      <c r="N399" s="15"/>
      <c r="O399" s="2"/>
      <c r="P399" s="16"/>
      <c r="Q399" s="13">
        <v>7494</v>
      </c>
      <c r="R399" s="13">
        <f t="shared" si="731"/>
        <v>51</v>
      </c>
      <c r="S399" s="13">
        <v>143</v>
      </c>
      <c r="T399" s="13">
        <f t="shared" si="732"/>
        <v>4</v>
      </c>
      <c r="U399" s="13">
        <v>12</v>
      </c>
      <c r="V399" s="13">
        <f t="shared" si="733"/>
        <v>4</v>
      </c>
      <c r="W399" s="17">
        <v>2</v>
      </c>
      <c r="X399" s="56" t="str">
        <f t="shared" si="764"/>
        <v>サンリオホワイトマスコット</v>
      </c>
      <c r="Y399" s="13">
        <f t="shared" si="765"/>
        <v>660</v>
      </c>
      <c r="Z399" s="13">
        <f t="shared" si="736"/>
        <v>2640</v>
      </c>
      <c r="AA399" s="14">
        <f t="shared" si="737"/>
        <v>0.51764705882352946</v>
      </c>
      <c r="AB399" s="15"/>
      <c r="AC399" s="15"/>
      <c r="AD399" s="16"/>
      <c r="AE399" s="13">
        <v>11475</v>
      </c>
      <c r="AF399" s="13">
        <f t="shared" si="738"/>
        <v>91</v>
      </c>
      <c r="AG399" s="13">
        <v>306</v>
      </c>
      <c r="AH399" s="13">
        <f t="shared" si="739"/>
        <v>2</v>
      </c>
      <c r="AI399" s="13">
        <v>56</v>
      </c>
      <c r="AJ399" s="13">
        <f t="shared" si="740"/>
        <v>2</v>
      </c>
      <c r="AK399" s="17">
        <v>4</v>
      </c>
      <c r="AL399" s="56" t="str">
        <f t="shared" si="741"/>
        <v>ゲームアーク</v>
      </c>
      <c r="AM399" s="13">
        <f t="shared" si="742"/>
        <v>682</v>
      </c>
      <c r="AN399" s="13">
        <f t="shared" si="743"/>
        <v>1364</v>
      </c>
      <c r="AO399" s="14">
        <f t="shared" si="744"/>
        <v>0.1498901098901099</v>
      </c>
      <c r="AP399" s="15"/>
      <c r="AQ399" s="15"/>
      <c r="AR399" s="16"/>
      <c r="AS399" s="13">
        <v>14179</v>
      </c>
      <c r="AT399" s="13">
        <f t="shared" si="745"/>
        <v>71</v>
      </c>
      <c r="AU399" s="13">
        <v>493</v>
      </c>
      <c r="AV399" s="13">
        <f t="shared" si="746"/>
        <v>3</v>
      </c>
      <c r="AW399" s="13">
        <v>16</v>
      </c>
      <c r="AX399" s="13">
        <f t="shared" si="747"/>
        <v>4</v>
      </c>
      <c r="AY399" s="17">
        <v>0</v>
      </c>
      <c r="AZ399" s="56" t="str">
        <f t="shared" si="754"/>
        <v>ラブブキーホルダーおおきめ</v>
      </c>
      <c r="BA399" s="13">
        <f t="shared" si="755"/>
        <v>500</v>
      </c>
      <c r="BB399" s="13">
        <f t="shared" si="750"/>
        <v>2000</v>
      </c>
      <c r="BC399" s="14">
        <f t="shared" si="751"/>
        <v>0.28169014084507044</v>
      </c>
      <c r="BD399" s="157" t="s">
        <v>386</v>
      </c>
      <c r="BT399" s="15"/>
      <c r="BU399" s="16"/>
      <c r="BV399" s="54"/>
      <c r="BW399" s="13" t="str">
        <f>IF(BV399="","",BV399-BV397)</f>
        <v/>
      </c>
      <c r="BX399" s="13"/>
      <c r="BY399" s="13"/>
      <c r="BZ399" s="13"/>
      <c r="CA399" s="13" t="str">
        <f>IF(BZ399="","",BZ397+CB397-BZ399)</f>
        <v/>
      </c>
      <c r="CB399" s="13"/>
      <c r="CC399" s="13"/>
      <c r="CD399" s="13"/>
      <c r="CE399" s="13" t="str">
        <f t="shared" si="756"/>
        <v/>
      </c>
      <c r="CF399" s="14" t="str">
        <f t="shared" si="757"/>
        <v/>
      </c>
      <c r="CG399" s="15"/>
      <c r="CH399" s="1"/>
      <c r="CI399" s="16"/>
      <c r="CJ399" s="54"/>
      <c r="CK399" s="13" t="str">
        <f>IF(CJ399="","",CJ399-CJ397)</f>
        <v/>
      </c>
      <c r="CL399" s="13"/>
      <c r="CM399" s="13"/>
      <c r="CN399" s="13"/>
      <c r="CO399" s="13" t="str">
        <f>IF(CN399="","",CN397+CP397-CN399)</f>
        <v/>
      </c>
      <c r="CP399" s="13"/>
      <c r="CQ399" s="13"/>
      <c r="CR399" s="13"/>
      <c r="CS399" s="13" t="str">
        <f t="shared" si="758"/>
        <v/>
      </c>
      <c r="CT399" s="14" t="str">
        <f t="shared" si="766"/>
        <v/>
      </c>
      <c r="CU399" s="15"/>
      <c r="CV399" s="1"/>
      <c r="CW399" s="16"/>
      <c r="CX399" s="54"/>
      <c r="CY399" s="13" t="str">
        <f>IF(CX399="","",CX399-CX397)</f>
        <v/>
      </c>
      <c r="CZ399" s="13"/>
      <c r="DA399" s="13"/>
      <c r="DB399" s="13"/>
      <c r="DC399" s="13" t="str">
        <f>IF(DB399="","",DB397+DD397-DB399)</f>
        <v/>
      </c>
      <c r="DD399" s="13"/>
      <c r="DE399" s="13"/>
      <c r="DF399" s="13"/>
      <c r="DG399" s="13" t="str">
        <f t="shared" si="759"/>
        <v/>
      </c>
      <c r="DH399" s="14" t="str">
        <f t="shared" si="760"/>
        <v/>
      </c>
      <c r="DI399" s="15"/>
      <c r="DJ399" s="1"/>
      <c r="DK399" s="16"/>
      <c r="DL399" s="54"/>
      <c r="DM399" s="13" t="str">
        <f>IF(DL399="","",DL399-DL397)</f>
        <v/>
      </c>
      <c r="DN399" s="13"/>
      <c r="DO399" s="13"/>
      <c r="DP399" s="13"/>
      <c r="DQ399" s="13" t="str">
        <f>IF(DP399="","",DP397+DR397-DP399)</f>
        <v/>
      </c>
      <c r="DR399" s="13"/>
      <c r="DS399" s="13"/>
      <c r="DT399" s="13"/>
      <c r="DU399" s="13" t="str">
        <f t="shared" si="761"/>
        <v/>
      </c>
      <c r="DV399" s="14" t="str">
        <f t="shared" si="762"/>
        <v/>
      </c>
      <c r="DW399" s="15"/>
    </row>
    <row r="400" spans="1:127" ht="15" customHeight="1" thickBot="1" x14ac:dyDescent="0.25">
      <c r="A400" s="26"/>
      <c r="B400" s="46"/>
      <c r="C400" s="27">
        <v>5750</v>
      </c>
      <c r="D400" s="27">
        <f t="shared" si="725"/>
        <v>32</v>
      </c>
      <c r="E400" s="27">
        <v>449</v>
      </c>
      <c r="F400" s="27">
        <f t="shared" si="726"/>
        <v>2</v>
      </c>
      <c r="G400" s="27">
        <v>48</v>
      </c>
      <c r="H400" s="27">
        <f t="shared" si="727"/>
        <v>2</v>
      </c>
      <c r="I400" s="47">
        <v>0</v>
      </c>
      <c r="J400" s="57" t="str">
        <f t="shared" ref="J400:J411" si="768">IF(C400="","",J396)</f>
        <v>NICIマスコット</v>
      </c>
      <c r="K400" s="62">
        <f t="shared" ref="K400:K411" si="769">IF(D400="","",K396)</f>
        <v>900</v>
      </c>
      <c r="L400" s="27">
        <f t="shared" si="729"/>
        <v>1800</v>
      </c>
      <c r="M400" s="28">
        <f t="shared" si="730"/>
        <v>0.5625</v>
      </c>
      <c r="N400" s="15"/>
      <c r="O400" s="2"/>
      <c r="P400" s="26"/>
      <c r="Q400" s="27">
        <v>7257</v>
      </c>
      <c r="R400" s="27">
        <f t="shared" si="731"/>
        <v>39</v>
      </c>
      <c r="S400" s="27">
        <v>123</v>
      </c>
      <c r="T400" s="27">
        <f t="shared" si="732"/>
        <v>0</v>
      </c>
      <c r="U400" s="27">
        <v>13</v>
      </c>
      <c r="V400" s="27">
        <f t="shared" si="733"/>
        <v>1</v>
      </c>
      <c r="W400" s="47">
        <v>2</v>
      </c>
      <c r="X400" s="57" t="str">
        <f t="shared" si="764"/>
        <v>ＡＩマスコット</v>
      </c>
      <c r="Y400" s="62">
        <f t="shared" si="765"/>
        <v>286</v>
      </c>
      <c r="Z400" s="27">
        <f t="shared" si="736"/>
        <v>286</v>
      </c>
      <c r="AA400" s="28">
        <f t="shared" si="737"/>
        <v>7.3333333333333334E-2</v>
      </c>
      <c r="AB400" s="15"/>
      <c r="AC400" s="15"/>
      <c r="AD400" s="26"/>
      <c r="AE400" s="27">
        <v>11482</v>
      </c>
      <c r="AF400" s="27">
        <f t="shared" si="738"/>
        <v>87</v>
      </c>
      <c r="AG400" s="27">
        <v>293</v>
      </c>
      <c r="AH400" s="27">
        <f t="shared" si="739"/>
        <v>1</v>
      </c>
      <c r="AI400" s="27">
        <v>14</v>
      </c>
      <c r="AJ400" s="27">
        <f t="shared" si="740"/>
        <v>1</v>
      </c>
      <c r="AK400" s="47">
        <v>0</v>
      </c>
      <c r="AL400" s="57" t="str">
        <f t="shared" si="741"/>
        <v>モンチッチマスコット2</v>
      </c>
      <c r="AM400" s="62">
        <f t="shared" si="742"/>
        <v>605</v>
      </c>
      <c r="AN400" s="27">
        <f t="shared" si="743"/>
        <v>605</v>
      </c>
      <c r="AO400" s="28">
        <f t="shared" si="744"/>
        <v>6.9540229885057467E-2</v>
      </c>
      <c r="AP400" s="15"/>
      <c r="AQ400" s="15"/>
      <c r="AR400" s="26"/>
      <c r="AS400" s="27">
        <v>14486</v>
      </c>
      <c r="AT400" s="27">
        <f t="shared" si="745"/>
        <v>66</v>
      </c>
      <c r="AU400" s="27">
        <v>420</v>
      </c>
      <c r="AV400" s="27">
        <f t="shared" si="746"/>
        <v>2</v>
      </c>
      <c r="AW400" s="27">
        <v>34</v>
      </c>
      <c r="AX400" s="27">
        <f t="shared" si="747"/>
        <v>2</v>
      </c>
      <c r="AY400" s="47">
        <v>4</v>
      </c>
      <c r="AZ400" s="57" t="str">
        <f t="shared" si="754"/>
        <v>ラブブマスコット</v>
      </c>
      <c r="BA400" s="62">
        <f t="shared" si="755"/>
        <v>400</v>
      </c>
      <c r="BB400" s="27">
        <f t="shared" si="750"/>
        <v>800</v>
      </c>
      <c r="BC400" s="28">
        <f t="shared" si="751"/>
        <v>0.12121212121212122</v>
      </c>
      <c r="BD400" s="15"/>
      <c r="BT400" s="15"/>
      <c r="BU400" s="16"/>
      <c r="BV400" s="54"/>
      <c r="BW400" s="13" t="str">
        <f t="shared" ref="BW400:BW420" si="770">IF(BV400="","",BV400-BV399)</f>
        <v/>
      </c>
      <c r="BX400" s="13"/>
      <c r="BY400" s="13"/>
      <c r="BZ400" s="13"/>
      <c r="CA400" s="13" t="str">
        <f t="shared" ref="CA400:CA420" si="771">IF(BZ400="","",BZ399+CB399-BZ400)</f>
        <v/>
      </c>
      <c r="CB400" s="13"/>
      <c r="CC400" s="13"/>
      <c r="CD400" s="13"/>
      <c r="CE400" s="13" t="str">
        <f t="shared" si="756"/>
        <v/>
      </c>
      <c r="CF400" s="14" t="str">
        <f t="shared" si="757"/>
        <v/>
      </c>
      <c r="CG400" s="15"/>
      <c r="CH400" s="1"/>
      <c r="CI400" s="16"/>
      <c r="CJ400" s="54"/>
      <c r="CK400" s="13" t="str">
        <f t="shared" ref="CK400:CK420" si="772">IF(CJ400="","",CJ400-CJ399)</f>
        <v/>
      </c>
      <c r="CL400" s="13"/>
      <c r="CM400" s="13"/>
      <c r="CN400" s="13"/>
      <c r="CO400" s="13" t="str">
        <f t="shared" ref="CO400:CO420" si="773">IF(CN400="","",CN399+CP399-CN400)</f>
        <v/>
      </c>
      <c r="CP400" s="13"/>
      <c r="CQ400" s="13"/>
      <c r="CR400" s="13"/>
      <c r="CS400" s="13" t="str">
        <f t="shared" si="758"/>
        <v/>
      </c>
      <c r="CT400" s="14" t="str">
        <f t="shared" si="766"/>
        <v/>
      </c>
      <c r="CU400" s="15"/>
      <c r="CV400" s="1"/>
      <c r="CW400" s="16"/>
      <c r="CX400" s="54"/>
      <c r="CY400" s="13" t="str">
        <f t="shared" ref="CY400:CY420" si="774">IF(CX400="","",CX400-CX399)</f>
        <v/>
      </c>
      <c r="CZ400" s="13"/>
      <c r="DA400" s="13"/>
      <c r="DB400" s="13"/>
      <c r="DC400" s="13" t="str">
        <f t="shared" ref="DC400:DC420" si="775">IF(DB400="","",DB399+DD399-DB400)</f>
        <v/>
      </c>
      <c r="DD400" s="13"/>
      <c r="DE400" s="13"/>
      <c r="DF400" s="13"/>
      <c r="DG400" s="13" t="str">
        <f t="shared" si="759"/>
        <v/>
      </c>
      <c r="DH400" s="14" t="str">
        <f t="shared" si="760"/>
        <v/>
      </c>
      <c r="DI400" s="15"/>
      <c r="DJ400" s="1"/>
      <c r="DK400" s="16"/>
      <c r="DL400" s="54"/>
      <c r="DM400" s="13" t="str">
        <f t="shared" ref="DM400:DM420" si="776">IF(DL400="","",DL400-DL399)</f>
        <v/>
      </c>
      <c r="DN400" s="13"/>
      <c r="DO400" s="13"/>
      <c r="DP400" s="13"/>
      <c r="DQ400" s="13" t="str">
        <f t="shared" ref="DQ400:DQ420" si="777">IF(DP400="","",DP399+DR399-DP400)</f>
        <v/>
      </c>
      <c r="DR400" s="13"/>
      <c r="DS400" s="13"/>
      <c r="DT400" s="13"/>
      <c r="DU400" s="13" t="str">
        <f t="shared" si="761"/>
        <v/>
      </c>
      <c r="DV400" s="14" t="str">
        <f t="shared" si="762"/>
        <v/>
      </c>
      <c r="DW400" s="15"/>
    </row>
    <row r="401" spans="1:127" ht="15" customHeight="1" thickTop="1" x14ac:dyDescent="0.2">
      <c r="A401" s="79">
        <v>46026</v>
      </c>
      <c r="B401" s="74">
        <f>IF(A401="","",SUM(D401:D404)+SUM(R401:R404)+SUM(AF401:AF404)+SUM(AT401:AT404)+SUM(BW380,CK380,CY380,DM380))</f>
        <v>1733</v>
      </c>
      <c r="C401" s="13">
        <v>5281</v>
      </c>
      <c r="D401" s="53">
        <f t="shared" si="725"/>
        <v>97</v>
      </c>
      <c r="E401" s="13">
        <v>336</v>
      </c>
      <c r="F401" s="31">
        <f t="shared" si="726"/>
        <v>1</v>
      </c>
      <c r="G401" s="13">
        <v>14</v>
      </c>
      <c r="H401" s="53">
        <f t="shared" si="727"/>
        <v>2</v>
      </c>
      <c r="I401" s="80">
        <v>1</v>
      </c>
      <c r="J401" s="75" t="str">
        <f t="shared" si="768"/>
        <v>ジャグラーボタン</v>
      </c>
      <c r="K401" s="76">
        <f t="shared" si="769"/>
        <v>748</v>
      </c>
      <c r="L401" s="31">
        <f t="shared" si="729"/>
        <v>1496</v>
      </c>
      <c r="M401" s="32">
        <f t="shared" si="730"/>
        <v>0.15422680412371134</v>
      </c>
      <c r="N401" s="157" t="s">
        <v>386</v>
      </c>
      <c r="O401" s="2"/>
      <c r="P401" s="79">
        <f>IF($A401="","",$A401)</f>
        <v>46026</v>
      </c>
      <c r="Q401" s="13">
        <v>5039</v>
      </c>
      <c r="R401" s="53">
        <f t="shared" si="731"/>
        <v>147</v>
      </c>
      <c r="S401" s="13">
        <v>169</v>
      </c>
      <c r="T401" s="31">
        <f t="shared" si="732"/>
        <v>2</v>
      </c>
      <c r="U401" s="13">
        <v>6</v>
      </c>
      <c r="V401" s="53">
        <f t="shared" si="733"/>
        <v>2</v>
      </c>
      <c r="W401" s="80">
        <v>3</v>
      </c>
      <c r="X401" s="75" t="str">
        <f t="shared" si="764"/>
        <v>キティボアバンスクリップ</v>
      </c>
      <c r="Y401" s="76">
        <f t="shared" si="765"/>
        <v>1100</v>
      </c>
      <c r="Z401" s="31">
        <f t="shared" si="736"/>
        <v>2200</v>
      </c>
      <c r="AA401" s="32">
        <f t="shared" si="737"/>
        <v>0.14965986394557823</v>
      </c>
      <c r="AB401" s="157" t="s">
        <v>386</v>
      </c>
      <c r="AC401" s="15"/>
      <c r="AD401" s="79">
        <f>IF($A401="","",$A401)</f>
        <v>46026</v>
      </c>
      <c r="AE401" s="13">
        <v>10194</v>
      </c>
      <c r="AF401" s="53">
        <f t="shared" si="738"/>
        <v>66</v>
      </c>
      <c r="AG401" s="13">
        <v>225</v>
      </c>
      <c r="AH401" s="31">
        <f t="shared" si="739"/>
        <v>1</v>
      </c>
      <c r="AI401" s="13">
        <v>16</v>
      </c>
      <c r="AJ401" s="53">
        <f t="shared" si="740"/>
        <v>0</v>
      </c>
      <c r="AK401" s="17">
        <v>0</v>
      </c>
      <c r="AL401" s="75" t="str">
        <f t="shared" si="741"/>
        <v>サンリオ型押しケース</v>
      </c>
      <c r="AM401" s="76">
        <f t="shared" si="742"/>
        <v>545</v>
      </c>
      <c r="AN401" s="31">
        <f t="shared" si="743"/>
        <v>0</v>
      </c>
      <c r="AO401" s="32">
        <f t="shared" si="744"/>
        <v>0</v>
      </c>
      <c r="AP401" s="15"/>
      <c r="AQ401" s="15"/>
      <c r="AR401" s="79">
        <f>IF($A401="","",$A401)</f>
        <v>46026</v>
      </c>
      <c r="AS401" s="13">
        <v>10806</v>
      </c>
      <c r="AT401" s="53">
        <f t="shared" si="745"/>
        <v>89</v>
      </c>
      <c r="AU401" s="13">
        <v>342</v>
      </c>
      <c r="AV401" s="31">
        <f t="shared" si="746"/>
        <v>2</v>
      </c>
      <c r="AW401" s="13">
        <v>13</v>
      </c>
      <c r="AX401" s="53">
        <f t="shared" si="747"/>
        <v>2</v>
      </c>
      <c r="AY401" s="17">
        <v>0</v>
      </c>
      <c r="AZ401" s="75" t="str">
        <f t="shared" si="754"/>
        <v>サンリオヒョウ柄キーケース</v>
      </c>
      <c r="BA401" s="76">
        <f t="shared" si="755"/>
        <v>924</v>
      </c>
      <c r="BB401" s="31">
        <f t="shared" si="750"/>
        <v>1848</v>
      </c>
      <c r="BC401" s="32">
        <f t="shared" si="751"/>
        <v>0.20764044943820226</v>
      </c>
      <c r="BD401" s="157" t="s">
        <v>386</v>
      </c>
      <c r="BT401" s="15"/>
      <c r="BU401" s="16"/>
      <c r="BV401" s="54"/>
      <c r="BW401" s="13" t="str">
        <f t="shared" si="770"/>
        <v/>
      </c>
      <c r="BX401" s="13"/>
      <c r="BY401" s="13"/>
      <c r="BZ401" s="13"/>
      <c r="CA401" s="13" t="str">
        <f t="shared" si="771"/>
        <v/>
      </c>
      <c r="CB401" s="13"/>
      <c r="CC401" s="13"/>
      <c r="CD401" s="13"/>
      <c r="CE401" s="13" t="str">
        <f t="shared" si="756"/>
        <v/>
      </c>
      <c r="CF401" s="14" t="str">
        <f t="shared" si="757"/>
        <v/>
      </c>
      <c r="CG401" s="15"/>
      <c r="CH401" s="1"/>
      <c r="CI401" s="16"/>
      <c r="CJ401" s="54"/>
      <c r="CK401" s="13" t="str">
        <f t="shared" si="772"/>
        <v/>
      </c>
      <c r="CL401" s="13"/>
      <c r="CM401" s="13"/>
      <c r="CN401" s="13"/>
      <c r="CO401" s="13" t="str">
        <f t="shared" si="773"/>
        <v/>
      </c>
      <c r="CP401" s="13"/>
      <c r="CQ401" s="13"/>
      <c r="CR401" s="13"/>
      <c r="CS401" s="13" t="str">
        <f t="shared" si="758"/>
        <v/>
      </c>
      <c r="CT401" s="14" t="str">
        <f t="shared" si="766"/>
        <v/>
      </c>
      <c r="CU401" s="15"/>
      <c r="CV401" s="1"/>
      <c r="CW401" s="16"/>
      <c r="CX401" s="54"/>
      <c r="CY401" s="13" t="str">
        <f t="shared" si="774"/>
        <v/>
      </c>
      <c r="CZ401" s="13"/>
      <c r="DA401" s="13"/>
      <c r="DB401" s="13"/>
      <c r="DC401" s="13" t="str">
        <f t="shared" si="775"/>
        <v/>
      </c>
      <c r="DD401" s="13"/>
      <c r="DE401" s="13"/>
      <c r="DF401" s="13"/>
      <c r="DG401" s="13" t="str">
        <f t="shared" si="759"/>
        <v/>
      </c>
      <c r="DH401" s="14" t="str">
        <f t="shared" si="760"/>
        <v/>
      </c>
      <c r="DI401" s="15"/>
      <c r="DJ401" s="1"/>
      <c r="DK401" s="16"/>
      <c r="DL401" s="54"/>
      <c r="DM401" s="13" t="str">
        <f t="shared" si="776"/>
        <v/>
      </c>
      <c r="DN401" s="13"/>
      <c r="DO401" s="13"/>
      <c r="DP401" s="13"/>
      <c r="DQ401" s="13" t="str">
        <f t="shared" si="777"/>
        <v/>
      </c>
      <c r="DR401" s="13"/>
      <c r="DS401" s="13"/>
      <c r="DT401" s="13"/>
      <c r="DU401" s="13" t="str">
        <f t="shared" si="761"/>
        <v/>
      </c>
      <c r="DV401" s="14" t="str">
        <f t="shared" si="762"/>
        <v/>
      </c>
      <c r="DW401" s="15"/>
    </row>
    <row r="402" spans="1:127" ht="15" customHeight="1" x14ac:dyDescent="0.2">
      <c r="A402" s="121"/>
      <c r="B402" s="74"/>
      <c r="C402" s="53">
        <v>4515</v>
      </c>
      <c r="D402" s="13">
        <f t="shared" si="725"/>
        <v>42</v>
      </c>
      <c r="E402" s="53">
        <v>353</v>
      </c>
      <c r="F402" s="13">
        <f t="shared" si="726"/>
        <v>1</v>
      </c>
      <c r="G402" s="13">
        <v>42</v>
      </c>
      <c r="H402" s="13">
        <f t="shared" si="727"/>
        <v>1</v>
      </c>
      <c r="I402" s="17">
        <v>0</v>
      </c>
      <c r="J402" s="56" t="str">
        <f t="shared" si="768"/>
        <v>電ブル</v>
      </c>
      <c r="K402" s="54">
        <f t="shared" si="769"/>
        <v>1075</v>
      </c>
      <c r="L402" s="13">
        <f t="shared" si="729"/>
        <v>1075</v>
      </c>
      <c r="M402" s="14">
        <f t="shared" si="730"/>
        <v>0.25595238095238093</v>
      </c>
      <c r="N402" s="15"/>
      <c r="O402" s="2"/>
      <c r="P402" s="16"/>
      <c r="Q402" s="53">
        <v>4168</v>
      </c>
      <c r="R402" s="13">
        <f t="shared" si="731"/>
        <v>58</v>
      </c>
      <c r="S402" s="53">
        <v>123</v>
      </c>
      <c r="T402" s="13">
        <f t="shared" si="732"/>
        <v>0</v>
      </c>
      <c r="U402" s="13">
        <v>36</v>
      </c>
      <c r="V402" s="13">
        <f t="shared" si="733"/>
        <v>2</v>
      </c>
      <c r="W402" s="17">
        <v>0</v>
      </c>
      <c r="X402" s="56" t="str">
        <f t="shared" si="764"/>
        <v>押忍番長ボタン</v>
      </c>
      <c r="Y402" s="54">
        <f t="shared" si="765"/>
        <v>1100</v>
      </c>
      <c r="Z402" s="13">
        <f t="shared" si="736"/>
        <v>2200</v>
      </c>
      <c r="AA402" s="14">
        <f t="shared" si="737"/>
        <v>0.37931034482758619</v>
      </c>
      <c r="AB402" s="15"/>
      <c r="AC402" s="15"/>
      <c r="AD402" s="16"/>
      <c r="AE402" s="53">
        <v>9766</v>
      </c>
      <c r="AF402" s="13">
        <f t="shared" si="738"/>
        <v>64</v>
      </c>
      <c r="AG402" s="53">
        <v>214</v>
      </c>
      <c r="AH402" s="13">
        <f t="shared" si="739"/>
        <v>0</v>
      </c>
      <c r="AI402" s="13">
        <v>12</v>
      </c>
      <c r="AJ402" s="13">
        <f t="shared" si="740"/>
        <v>0</v>
      </c>
      <c r="AK402" s="17">
        <v>0</v>
      </c>
      <c r="AL402" s="56" t="str">
        <f t="shared" si="741"/>
        <v>サンリオヒョウ柄フェイス</v>
      </c>
      <c r="AM402" s="54">
        <f t="shared" si="742"/>
        <v>792</v>
      </c>
      <c r="AN402" s="13">
        <f t="shared" si="743"/>
        <v>0</v>
      </c>
      <c r="AO402" s="14">
        <f t="shared" si="744"/>
        <v>0</v>
      </c>
      <c r="AP402" s="15"/>
      <c r="AQ402" s="15"/>
      <c r="AR402" s="16"/>
      <c r="AS402" s="53">
        <v>7378</v>
      </c>
      <c r="AT402" s="13">
        <f t="shared" si="745"/>
        <v>54</v>
      </c>
      <c r="AU402" s="53">
        <v>390</v>
      </c>
      <c r="AV402" s="13">
        <f t="shared" si="746"/>
        <v>2</v>
      </c>
      <c r="AW402" s="13">
        <v>7</v>
      </c>
      <c r="AX402" s="13">
        <f t="shared" si="747"/>
        <v>2</v>
      </c>
      <c r="AY402" s="17">
        <v>0</v>
      </c>
      <c r="AZ402" s="56" t="str">
        <f t="shared" si="754"/>
        <v>キティフェイスポーチ</v>
      </c>
      <c r="BA402" s="54">
        <f t="shared" si="755"/>
        <v>673</v>
      </c>
      <c r="BB402" s="13">
        <f t="shared" si="750"/>
        <v>1346</v>
      </c>
      <c r="BC402" s="14">
        <f t="shared" si="751"/>
        <v>0.24925925925925926</v>
      </c>
      <c r="BD402" s="157" t="s">
        <v>386</v>
      </c>
      <c r="BT402" s="15"/>
      <c r="BU402" s="16"/>
      <c r="BV402" s="54"/>
      <c r="BW402" s="13" t="str">
        <f t="shared" si="770"/>
        <v/>
      </c>
      <c r="BX402" s="13"/>
      <c r="BY402" s="13"/>
      <c r="BZ402" s="13"/>
      <c r="CA402" s="13" t="str">
        <f t="shared" si="771"/>
        <v/>
      </c>
      <c r="CB402" s="13"/>
      <c r="CC402" s="13"/>
      <c r="CD402" s="13"/>
      <c r="CE402" s="13" t="str">
        <f t="shared" si="756"/>
        <v/>
      </c>
      <c r="CF402" s="14" t="str">
        <f t="shared" si="757"/>
        <v/>
      </c>
      <c r="CG402" s="15"/>
      <c r="CH402" s="1"/>
      <c r="CI402" s="16"/>
      <c r="CJ402" s="54"/>
      <c r="CK402" s="13" t="str">
        <f t="shared" si="772"/>
        <v/>
      </c>
      <c r="CL402" s="13"/>
      <c r="CM402" s="13"/>
      <c r="CN402" s="13"/>
      <c r="CO402" s="13" t="str">
        <f t="shared" si="773"/>
        <v/>
      </c>
      <c r="CP402" s="13"/>
      <c r="CQ402" s="13"/>
      <c r="CR402" s="13"/>
      <c r="CS402" s="13" t="str">
        <f t="shared" si="758"/>
        <v/>
      </c>
      <c r="CT402" s="14" t="str">
        <f t="shared" si="766"/>
        <v/>
      </c>
      <c r="CU402" s="15"/>
      <c r="CV402" s="1"/>
      <c r="CW402" s="16"/>
      <c r="CX402" s="54"/>
      <c r="CY402" s="13" t="str">
        <f t="shared" si="774"/>
        <v/>
      </c>
      <c r="CZ402" s="13"/>
      <c r="DA402" s="13"/>
      <c r="DB402" s="13"/>
      <c r="DC402" s="13" t="str">
        <f t="shared" si="775"/>
        <v/>
      </c>
      <c r="DD402" s="13"/>
      <c r="DE402" s="13"/>
      <c r="DF402" s="13"/>
      <c r="DG402" s="13" t="str">
        <f t="shared" si="759"/>
        <v/>
      </c>
      <c r="DH402" s="14" t="str">
        <f t="shared" si="760"/>
        <v/>
      </c>
      <c r="DI402" s="15"/>
      <c r="DJ402" s="1"/>
      <c r="DK402" s="16"/>
      <c r="DL402" s="54"/>
      <c r="DM402" s="13" t="str">
        <f t="shared" si="776"/>
        <v/>
      </c>
      <c r="DN402" s="13"/>
      <c r="DO402" s="13"/>
      <c r="DP402" s="13"/>
      <c r="DQ402" s="13" t="str">
        <f t="shared" si="777"/>
        <v/>
      </c>
      <c r="DR402" s="13"/>
      <c r="DS402" s="13"/>
      <c r="DT402" s="13"/>
      <c r="DU402" s="13" t="str">
        <f t="shared" si="761"/>
        <v/>
      </c>
      <c r="DV402" s="14" t="str">
        <f t="shared" si="762"/>
        <v/>
      </c>
      <c r="DW402" s="15"/>
    </row>
    <row r="403" spans="1:127" x14ac:dyDescent="0.2">
      <c r="A403" s="16"/>
      <c r="B403" s="11"/>
      <c r="C403" s="13">
        <v>10656</v>
      </c>
      <c r="D403" s="13">
        <f t="shared" si="725"/>
        <v>62</v>
      </c>
      <c r="E403" s="13">
        <v>611</v>
      </c>
      <c r="F403" s="13">
        <f t="shared" si="726"/>
        <v>0</v>
      </c>
      <c r="G403" s="13">
        <v>18</v>
      </c>
      <c r="H403" s="13">
        <f t="shared" si="727"/>
        <v>0</v>
      </c>
      <c r="I403" s="49">
        <v>0</v>
      </c>
      <c r="J403" s="56" t="str">
        <f t="shared" si="768"/>
        <v>ゲーム機イヤホン</v>
      </c>
      <c r="K403" s="13">
        <f t="shared" si="769"/>
        <v>1100</v>
      </c>
      <c r="L403" s="13">
        <f t="shared" si="729"/>
        <v>0</v>
      </c>
      <c r="M403" s="14">
        <f t="shared" si="730"/>
        <v>0</v>
      </c>
      <c r="N403" s="15"/>
      <c r="O403" s="2"/>
      <c r="P403" s="16"/>
      <c r="Q403" s="13">
        <v>7534</v>
      </c>
      <c r="R403" s="13">
        <f t="shared" si="731"/>
        <v>40</v>
      </c>
      <c r="S403" s="13">
        <v>145</v>
      </c>
      <c r="T403" s="13">
        <f t="shared" si="732"/>
        <v>2</v>
      </c>
      <c r="U403" s="13">
        <v>12</v>
      </c>
      <c r="V403" s="13">
        <f t="shared" si="733"/>
        <v>2</v>
      </c>
      <c r="W403" s="49">
        <v>0</v>
      </c>
      <c r="X403" s="56" t="str">
        <f t="shared" si="764"/>
        <v>サンリオホワイトマスコット</v>
      </c>
      <c r="Y403" s="13">
        <f t="shared" si="765"/>
        <v>660</v>
      </c>
      <c r="Z403" s="13">
        <f t="shared" si="736"/>
        <v>1320</v>
      </c>
      <c r="AA403" s="14">
        <f t="shared" si="737"/>
        <v>0.33</v>
      </c>
      <c r="AB403" s="157" t="s">
        <v>386</v>
      </c>
      <c r="AC403" s="15"/>
      <c r="AD403" s="16"/>
      <c r="AE403" s="13">
        <v>11584</v>
      </c>
      <c r="AF403" s="13">
        <f t="shared" si="738"/>
        <v>109</v>
      </c>
      <c r="AG403" s="13">
        <v>308</v>
      </c>
      <c r="AH403" s="13">
        <f t="shared" si="739"/>
        <v>2</v>
      </c>
      <c r="AI403" s="13">
        <v>58</v>
      </c>
      <c r="AJ403" s="13">
        <f t="shared" si="740"/>
        <v>2</v>
      </c>
      <c r="AK403" s="17">
        <v>0</v>
      </c>
      <c r="AL403" s="56" t="str">
        <f t="shared" si="741"/>
        <v>ゲームアーク</v>
      </c>
      <c r="AM403" s="13">
        <f t="shared" si="742"/>
        <v>682</v>
      </c>
      <c r="AN403" s="13">
        <f t="shared" si="743"/>
        <v>1364</v>
      </c>
      <c r="AO403" s="14">
        <f t="shared" si="744"/>
        <v>0.12513761467889908</v>
      </c>
      <c r="AP403" s="157" t="s">
        <v>386</v>
      </c>
      <c r="AQ403" s="15"/>
      <c r="AR403" s="16"/>
      <c r="AS403" s="13">
        <v>14249</v>
      </c>
      <c r="AT403" s="13">
        <f t="shared" si="745"/>
        <v>70</v>
      </c>
      <c r="AU403" s="13">
        <v>495</v>
      </c>
      <c r="AV403" s="13">
        <f t="shared" si="746"/>
        <v>2</v>
      </c>
      <c r="AW403" s="13">
        <v>16</v>
      </c>
      <c r="AX403" s="13">
        <f t="shared" si="747"/>
        <v>0</v>
      </c>
      <c r="AY403" s="17">
        <v>8</v>
      </c>
      <c r="AZ403" s="56" t="str">
        <f t="shared" si="754"/>
        <v>ラブブキーホルダーおおきめ</v>
      </c>
      <c r="BA403" s="13">
        <f t="shared" si="755"/>
        <v>500</v>
      </c>
      <c r="BB403" s="13">
        <f t="shared" si="750"/>
        <v>0</v>
      </c>
      <c r="BC403" s="14">
        <f t="shared" si="751"/>
        <v>0</v>
      </c>
      <c r="BD403" s="15"/>
      <c r="BT403" s="15"/>
      <c r="BU403" s="16"/>
      <c r="BV403" s="54"/>
      <c r="BW403" s="13" t="str">
        <f t="shared" si="770"/>
        <v/>
      </c>
      <c r="BX403" s="13"/>
      <c r="BY403" s="13"/>
      <c r="BZ403" s="13"/>
      <c r="CA403" s="13" t="str">
        <f t="shared" si="771"/>
        <v/>
      </c>
      <c r="CB403" s="13"/>
      <c r="CC403" s="13"/>
      <c r="CD403" s="13"/>
      <c r="CE403" s="13" t="str">
        <f t="shared" si="756"/>
        <v/>
      </c>
      <c r="CF403" s="14" t="str">
        <f t="shared" si="757"/>
        <v/>
      </c>
      <c r="CG403" s="15"/>
      <c r="CH403" s="1"/>
      <c r="CI403" s="16"/>
      <c r="CJ403" s="54"/>
      <c r="CK403" s="13" t="str">
        <f t="shared" si="772"/>
        <v/>
      </c>
      <c r="CL403" s="13"/>
      <c r="CM403" s="13"/>
      <c r="CN403" s="13"/>
      <c r="CO403" s="13" t="str">
        <f t="shared" si="773"/>
        <v/>
      </c>
      <c r="CP403" s="13"/>
      <c r="CQ403" s="13"/>
      <c r="CR403" s="13"/>
      <c r="CS403" s="13" t="str">
        <f t="shared" si="758"/>
        <v/>
      </c>
      <c r="CT403" s="14" t="str">
        <f t="shared" si="766"/>
        <v/>
      </c>
      <c r="CU403" s="15"/>
      <c r="CV403" s="1"/>
      <c r="CW403" s="16"/>
      <c r="CX403" s="54"/>
      <c r="CY403" s="13" t="str">
        <f t="shared" si="774"/>
        <v/>
      </c>
      <c r="CZ403" s="13"/>
      <c r="DA403" s="13"/>
      <c r="DB403" s="13"/>
      <c r="DC403" s="13" t="str">
        <f t="shared" si="775"/>
        <v/>
      </c>
      <c r="DD403" s="13"/>
      <c r="DE403" s="13"/>
      <c r="DF403" s="13"/>
      <c r="DG403" s="13" t="str">
        <f t="shared" si="759"/>
        <v/>
      </c>
      <c r="DH403" s="14" t="str">
        <f t="shared" si="760"/>
        <v/>
      </c>
      <c r="DI403" s="15"/>
      <c r="DJ403" s="1"/>
      <c r="DK403" s="16"/>
      <c r="DL403" s="54"/>
      <c r="DM403" s="13" t="str">
        <f t="shared" si="776"/>
        <v/>
      </c>
      <c r="DN403" s="13"/>
      <c r="DO403" s="13"/>
      <c r="DP403" s="13"/>
      <c r="DQ403" s="13" t="str">
        <f t="shared" si="777"/>
        <v/>
      </c>
      <c r="DR403" s="13"/>
      <c r="DS403" s="13"/>
      <c r="DT403" s="13"/>
      <c r="DU403" s="13" t="str">
        <f t="shared" si="761"/>
        <v/>
      </c>
      <c r="DV403" s="14" t="str">
        <f t="shared" si="762"/>
        <v/>
      </c>
      <c r="DW403" s="15"/>
    </row>
    <row r="404" spans="1:127" ht="15" customHeight="1" thickBot="1" x14ac:dyDescent="0.25">
      <c r="A404" s="26"/>
      <c r="B404" s="46"/>
      <c r="C404" s="27">
        <v>5769</v>
      </c>
      <c r="D404" s="27">
        <f t="shared" si="725"/>
        <v>19</v>
      </c>
      <c r="E404" s="27">
        <v>451</v>
      </c>
      <c r="F404" s="27">
        <f t="shared" si="726"/>
        <v>2</v>
      </c>
      <c r="G404" s="27">
        <v>46</v>
      </c>
      <c r="H404" s="27">
        <f t="shared" si="727"/>
        <v>2</v>
      </c>
      <c r="I404" s="47">
        <v>0</v>
      </c>
      <c r="J404" s="57" t="str">
        <f t="shared" si="768"/>
        <v>NICIマスコット</v>
      </c>
      <c r="K404" s="62">
        <f t="shared" si="769"/>
        <v>900</v>
      </c>
      <c r="L404" s="27">
        <f t="shared" si="729"/>
        <v>1800</v>
      </c>
      <c r="M404" s="28">
        <f t="shared" si="730"/>
        <v>0.94736842105263153</v>
      </c>
      <c r="N404" s="15" t="s">
        <v>424</v>
      </c>
      <c r="O404" s="2"/>
      <c r="P404" s="26"/>
      <c r="Q404" s="27">
        <v>7352</v>
      </c>
      <c r="R404" s="27">
        <f t="shared" si="731"/>
        <v>95</v>
      </c>
      <c r="S404" s="27">
        <v>123</v>
      </c>
      <c r="T404" s="27">
        <f t="shared" si="732"/>
        <v>0</v>
      </c>
      <c r="U404" s="27">
        <v>15</v>
      </c>
      <c r="V404" s="27">
        <f t="shared" si="733"/>
        <v>0</v>
      </c>
      <c r="W404" s="47">
        <v>0</v>
      </c>
      <c r="X404" s="57" t="str">
        <f t="shared" si="764"/>
        <v>ＡＩマスコット</v>
      </c>
      <c r="Y404" s="62">
        <f t="shared" si="765"/>
        <v>286</v>
      </c>
      <c r="Z404" s="27">
        <f t="shared" si="736"/>
        <v>0</v>
      </c>
      <c r="AA404" s="28">
        <f t="shared" si="737"/>
        <v>0</v>
      </c>
      <c r="AB404" s="15"/>
      <c r="AC404" s="15"/>
      <c r="AD404" s="26"/>
      <c r="AE404" s="27">
        <v>11521</v>
      </c>
      <c r="AF404" s="27">
        <f t="shared" si="738"/>
        <v>39</v>
      </c>
      <c r="AG404" s="27">
        <v>293</v>
      </c>
      <c r="AH404" s="27">
        <f t="shared" si="739"/>
        <v>0</v>
      </c>
      <c r="AI404" s="27">
        <v>14</v>
      </c>
      <c r="AJ404" s="27">
        <f t="shared" si="740"/>
        <v>0</v>
      </c>
      <c r="AK404" s="47">
        <v>0</v>
      </c>
      <c r="AL404" s="57" t="str">
        <f t="shared" si="741"/>
        <v>モンチッチマスコット2</v>
      </c>
      <c r="AM404" s="62">
        <f t="shared" si="742"/>
        <v>605</v>
      </c>
      <c r="AN404" s="27">
        <f t="shared" si="743"/>
        <v>0</v>
      </c>
      <c r="AO404" s="28">
        <f t="shared" si="744"/>
        <v>0</v>
      </c>
      <c r="AP404" s="15"/>
      <c r="AQ404" s="15"/>
      <c r="AR404" s="26"/>
      <c r="AS404" s="27">
        <v>14573</v>
      </c>
      <c r="AT404" s="27">
        <f t="shared" si="745"/>
        <v>87</v>
      </c>
      <c r="AU404" s="27">
        <v>422</v>
      </c>
      <c r="AV404" s="27">
        <f t="shared" si="746"/>
        <v>2</v>
      </c>
      <c r="AW404" s="27">
        <v>35</v>
      </c>
      <c r="AX404" s="27">
        <f t="shared" si="747"/>
        <v>3</v>
      </c>
      <c r="AY404" s="47">
        <v>8</v>
      </c>
      <c r="AZ404" s="57" t="str">
        <f t="shared" si="754"/>
        <v>ラブブマスコット</v>
      </c>
      <c r="BA404" s="62">
        <f t="shared" si="755"/>
        <v>400</v>
      </c>
      <c r="BB404" s="27">
        <f t="shared" si="750"/>
        <v>1200</v>
      </c>
      <c r="BC404" s="28">
        <f t="shared" si="751"/>
        <v>0.13793103448275862</v>
      </c>
      <c r="BD404" s="15"/>
      <c r="BT404" s="15"/>
      <c r="BU404" s="16"/>
      <c r="BV404" s="54"/>
      <c r="BW404" s="13" t="str">
        <f t="shared" si="770"/>
        <v/>
      </c>
      <c r="BX404" s="13"/>
      <c r="BY404" s="13"/>
      <c r="BZ404" s="13"/>
      <c r="CA404" s="13" t="str">
        <f t="shared" si="771"/>
        <v/>
      </c>
      <c r="CB404" s="13"/>
      <c r="CC404" s="13"/>
      <c r="CD404" s="13"/>
      <c r="CE404" s="13" t="str">
        <f t="shared" si="756"/>
        <v/>
      </c>
      <c r="CF404" s="14" t="str">
        <f t="shared" si="757"/>
        <v/>
      </c>
      <c r="CG404" s="15"/>
      <c r="CH404" s="1"/>
      <c r="CI404" s="16"/>
      <c r="CJ404" s="54"/>
      <c r="CK404" s="13" t="str">
        <f t="shared" si="772"/>
        <v/>
      </c>
      <c r="CL404" s="13"/>
      <c r="CM404" s="13"/>
      <c r="CN404" s="13"/>
      <c r="CO404" s="13" t="str">
        <f t="shared" si="773"/>
        <v/>
      </c>
      <c r="CP404" s="13"/>
      <c r="CQ404" s="13"/>
      <c r="CR404" s="13"/>
      <c r="CS404" s="13" t="str">
        <f t="shared" si="758"/>
        <v/>
      </c>
      <c r="CT404" s="14" t="str">
        <f t="shared" si="766"/>
        <v/>
      </c>
      <c r="CU404" s="15"/>
      <c r="CV404" s="1"/>
      <c r="CW404" s="16"/>
      <c r="CX404" s="54"/>
      <c r="CY404" s="13" t="str">
        <f t="shared" si="774"/>
        <v/>
      </c>
      <c r="CZ404" s="13"/>
      <c r="DA404" s="13"/>
      <c r="DB404" s="13"/>
      <c r="DC404" s="13" t="str">
        <f t="shared" si="775"/>
        <v/>
      </c>
      <c r="DD404" s="13"/>
      <c r="DE404" s="13"/>
      <c r="DF404" s="13"/>
      <c r="DG404" s="13" t="str">
        <f t="shared" si="759"/>
        <v/>
      </c>
      <c r="DH404" s="14" t="str">
        <f t="shared" si="760"/>
        <v/>
      </c>
      <c r="DI404" s="15"/>
      <c r="DJ404" s="1"/>
      <c r="DK404" s="16"/>
      <c r="DL404" s="54"/>
      <c r="DM404" s="13" t="str">
        <f t="shared" si="776"/>
        <v/>
      </c>
      <c r="DN404" s="13"/>
      <c r="DO404" s="13"/>
      <c r="DP404" s="13"/>
      <c r="DQ404" s="13" t="str">
        <f t="shared" si="777"/>
        <v/>
      </c>
      <c r="DR404" s="13"/>
      <c r="DS404" s="13"/>
      <c r="DT404" s="13"/>
      <c r="DU404" s="13" t="str">
        <f t="shared" si="761"/>
        <v/>
      </c>
      <c r="DV404" s="14" t="str">
        <f t="shared" si="762"/>
        <v/>
      </c>
      <c r="DW404" s="15"/>
    </row>
    <row r="405" spans="1:127" ht="15" customHeight="1" thickTop="1" x14ac:dyDescent="0.2">
      <c r="A405" s="79">
        <v>46027</v>
      </c>
      <c r="B405" s="74">
        <f>IF(A405="","",SUM(D405:D408)+SUM(R405:R408)+SUM(AF405:AF408)+SUM(AT405:AT408)+SUM(BW381,CK381,CY381,DM381))</f>
        <v>1645</v>
      </c>
      <c r="C405" s="13">
        <v>5369</v>
      </c>
      <c r="D405" s="53">
        <f t="shared" si="725"/>
        <v>88</v>
      </c>
      <c r="E405" s="13">
        <v>337</v>
      </c>
      <c r="F405" s="31">
        <f t="shared" si="726"/>
        <v>1</v>
      </c>
      <c r="G405" s="13">
        <v>14</v>
      </c>
      <c r="H405" s="53">
        <f t="shared" si="727"/>
        <v>1</v>
      </c>
      <c r="I405" s="80">
        <v>0</v>
      </c>
      <c r="J405" s="75" t="str">
        <f t="shared" si="768"/>
        <v>ジャグラーボタン</v>
      </c>
      <c r="K405" s="76">
        <f t="shared" si="769"/>
        <v>748</v>
      </c>
      <c r="L405" s="31">
        <f t="shared" si="729"/>
        <v>748</v>
      </c>
      <c r="M405" s="32">
        <f t="shared" si="730"/>
        <v>8.5000000000000006E-2</v>
      </c>
      <c r="N405" s="15"/>
      <c r="O405" s="2"/>
      <c r="P405" s="79">
        <f>IF($A405="","",$A405)</f>
        <v>46027</v>
      </c>
      <c r="Q405" s="13">
        <v>5134</v>
      </c>
      <c r="R405" s="53">
        <f t="shared" si="731"/>
        <v>95</v>
      </c>
      <c r="S405" s="13">
        <v>170</v>
      </c>
      <c r="T405" s="31">
        <f t="shared" si="732"/>
        <v>1</v>
      </c>
      <c r="U405" s="13">
        <v>7</v>
      </c>
      <c r="V405" s="53">
        <f t="shared" si="733"/>
        <v>2</v>
      </c>
      <c r="W405" s="80">
        <v>2</v>
      </c>
      <c r="X405" s="75" t="str">
        <f t="shared" si="764"/>
        <v>キティボアバンスクリップ</v>
      </c>
      <c r="Y405" s="76">
        <f t="shared" si="765"/>
        <v>1100</v>
      </c>
      <c r="Z405" s="31">
        <f t="shared" si="736"/>
        <v>2200</v>
      </c>
      <c r="AA405" s="32">
        <f t="shared" si="737"/>
        <v>0.23157894736842105</v>
      </c>
      <c r="AB405" s="15"/>
      <c r="AC405" s="15"/>
      <c r="AD405" s="79">
        <f>IF($A405="","",$A405)</f>
        <v>46027</v>
      </c>
      <c r="AE405" s="13">
        <v>10239</v>
      </c>
      <c r="AF405" s="53">
        <f t="shared" si="738"/>
        <v>45</v>
      </c>
      <c r="AG405" s="13">
        <v>225</v>
      </c>
      <c r="AH405" s="31">
        <f t="shared" si="739"/>
        <v>0</v>
      </c>
      <c r="AI405" s="13">
        <v>16</v>
      </c>
      <c r="AJ405" s="53">
        <f t="shared" si="740"/>
        <v>0</v>
      </c>
      <c r="AK405" s="80">
        <v>0</v>
      </c>
      <c r="AL405" s="75" t="str">
        <f t="shared" si="741"/>
        <v>サンリオ型押しケース</v>
      </c>
      <c r="AM405" s="76">
        <f t="shared" si="742"/>
        <v>545</v>
      </c>
      <c r="AN405" s="31">
        <f t="shared" si="743"/>
        <v>0</v>
      </c>
      <c r="AO405" s="32">
        <f t="shared" si="744"/>
        <v>0</v>
      </c>
      <c r="AP405" s="15"/>
      <c r="AQ405" s="15"/>
      <c r="AR405" s="79">
        <f>IF($A405="","",$A405)</f>
        <v>46027</v>
      </c>
      <c r="AS405" s="13">
        <v>10835</v>
      </c>
      <c r="AT405" s="127">
        <f t="shared" si="745"/>
        <v>29</v>
      </c>
      <c r="AU405" s="13">
        <v>345</v>
      </c>
      <c r="AV405" s="31">
        <f t="shared" si="746"/>
        <v>3</v>
      </c>
      <c r="AW405" s="13">
        <v>10</v>
      </c>
      <c r="AX405" s="53">
        <f t="shared" si="747"/>
        <v>3</v>
      </c>
      <c r="AY405" s="80">
        <v>4</v>
      </c>
      <c r="AZ405" s="75" t="str">
        <f t="shared" si="754"/>
        <v>サンリオヒョウ柄キーケース</v>
      </c>
      <c r="BA405" s="76">
        <f t="shared" si="755"/>
        <v>924</v>
      </c>
      <c r="BB405" s="31">
        <f t="shared" si="750"/>
        <v>2772</v>
      </c>
      <c r="BC405" s="32">
        <f t="shared" si="751"/>
        <v>0.95586206896551729</v>
      </c>
      <c r="BD405" s="15"/>
      <c r="BT405" s="15"/>
      <c r="BU405" s="16"/>
      <c r="BV405" s="54"/>
      <c r="BW405" s="13" t="str">
        <f t="shared" si="770"/>
        <v/>
      </c>
      <c r="BX405" s="13"/>
      <c r="BY405" s="13"/>
      <c r="BZ405" s="13"/>
      <c r="CA405" s="13" t="str">
        <f t="shared" si="771"/>
        <v/>
      </c>
      <c r="CB405" s="13"/>
      <c r="CC405" s="13"/>
      <c r="CD405" s="13"/>
      <c r="CE405" s="13" t="str">
        <f t="shared" si="756"/>
        <v/>
      </c>
      <c r="CF405" s="14" t="str">
        <f t="shared" si="757"/>
        <v/>
      </c>
      <c r="CG405" s="15"/>
      <c r="CH405" s="1"/>
      <c r="CI405" s="16"/>
      <c r="CJ405" s="54"/>
      <c r="CK405" s="13" t="str">
        <f t="shared" si="772"/>
        <v/>
      </c>
      <c r="CL405" s="13"/>
      <c r="CM405" s="13"/>
      <c r="CN405" s="13"/>
      <c r="CO405" s="13" t="str">
        <f t="shared" si="773"/>
        <v/>
      </c>
      <c r="CP405" s="13"/>
      <c r="CQ405" s="13"/>
      <c r="CR405" s="13"/>
      <c r="CS405" s="13" t="str">
        <f t="shared" si="758"/>
        <v/>
      </c>
      <c r="CT405" s="14" t="str">
        <f t="shared" si="766"/>
        <v/>
      </c>
      <c r="CU405" s="15"/>
      <c r="CV405" s="1"/>
      <c r="CW405" s="16"/>
      <c r="CX405" s="54"/>
      <c r="CY405" s="13" t="str">
        <f t="shared" si="774"/>
        <v/>
      </c>
      <c r="CZ405" s="13"/>
      <c r="DA405" s="13"/>
      <c r="DB405" s="13"/>
      <c r="DC405" s="13" t="str">
        <f t="shared" si="775"/>
        <v/>
      </c>
      <c r="DD405" s="13"/>
      <c r="DE405" s="13"/>
      <c r="DF405" s="13"/>
      <c r="DG405" s="13" t="str">
        <f t="shared" si="759"/>
        <v/>
      </c>
      <c r="DH405" s="14" t="str">
        <f t="shared" si="760"/>
        <v/>
      </c>
      <c r="DI405" s="15"/>
      <c r="DJ405" s="1"/>
      <c r="DK405" s="16"/>
      <c r="DL405" s="54"/>
      <c r="DM405" s="13" t="str">
        <f t="shared" si="776"/>
        <v/>
      </c>
      <c r="DN405" s="13"/>
      <c r="DO405" s="13"/>
      <c r="DP405" s="13"/>
      <c r="DQ405" s="13" t="str">
        <f t="shared" si="777"/>
        <v/>
      </c>
      <c r="DR405" s="13"/>
      <c r="DS405" s="13"/>
      <c r="DT405" s="13"/>
      <c r="DU405" s="13" t="str">
        <f t="shared" si="761"/>
        <v/>
      </c>
      <c r="DV405" s="14" t="str">
        <f t="shared" si="762"/>
        <v/>
      </c>
      <c r="DW405" s="15"/>
    </row>
    <row r="406" spans="1:127" ht="15" customHeight="1" x14ac:dyDescent="0.2">
      <c r="A406" s="133"/>
      <c r="B406" s="11"/>
      <c r="C406" s="53">
        <v>4585</v>
      </c>
      <c r="D406" s="13">
        <f t="shared" si="725"/>
        <v>70</v>
      </c>
      <c r="E406" s="53">
        <v>354</v>
      </c>
      <c r="F406" s="13">
        <f t="shared" si="726"/>
        <v>1</v>
      </c>
      <c r="G406" s="13">
        <v>40</v>
      </c>
      <c r="H406" s="13">
        <f t="shared" si="727"/>
        <v>2</v>
      </c>
      <c r="I406" s="17">
        <v>0</v>
      </c>
      <c r="J406" s="56" t="str">
        <f t="shared" si="768"/>
        <v>電ブル</v>
      </c>
      <c r="K406" s="54">
        <f t="shared" si="769"/>
        <v>1075</v>
      </c>
      <c r="L406" s="13">
        <f t="shared" si="729"/>
        <v>2150</v>
      </c>
      <c r="M406" s="14">
        <f t="shared" si="730"/>
        <v>0.30714285714285716</v>
      </c>
      <c r="N406" s="15"/>
      <c r="O406" s="2"/>
      <c r="P406" s="16"/>
      <c r="Q406" s="53">
        <v>4258</v>
      </c>
      <c r="R406" s="13">
        <f t="shared" si="731"/>
        <v>90</v>
      </c>
      <c r="S406" s="53">
        <v>127</v>
      </c>
      <c r="T406" s="13">
        <f t="shared" si="732"/>
        <v>4</v>
      </c>
      <c r="U406" s="13">
        <v>32</v>
      </c>
      <c r="V406" s="13">
        <f t="shared" si="733"/>
        <v>4</v>
      </c>
      <c r="W406" s="17">
        <v>0</v>
      </c>
      <c r="X406" s="56" t="str">
        <f t="shared" si="764"/>
        <v>押忍番長ボタン</v>
      </c>
      <c r="Y406" s="54">
        <f t="shared" si="765"/>
        <v>1100</v>
      </c>
      <c r="Z406" s="13">
        <f t="shared" si="736"/>
        <v>4400</v>
      </c>
      <c r="AA406" s="14">
        <f t="shared" si="737"/>
        <v>0.48888888888888887</v>
      </c>
      <c r="AB406" s="15"/>
      <c r="AC406" s="15"/>
      <c r="AD406" s="16"/>
      <c r="AE406" s="53">
        <v>9842</v>
      </c>
      <c r="AF406" s="13">
        <f t="shared" si="738"/>
        <v>76</v>
      </c>
      <c r="AG406" s="53">
        <v>215</v>
      </c>
      <c r="AH406" s="13">
        <f t="shared" si="739"/>
        <v>1</v>
      </c>
      <c r="AI406" s="13">
        <v>11</v>
      </c>
      <c r="AJ406" s="13">
        <f t="shared" si="740"/>
        <v>1</v>
      </c>
      <c r="AK406" s="17">
        <v>0</v>
      </c>
      <c r="AL406" s="56" t="str">
        <f t="shared" si="741"/>
        <v>サンリオヒョウ柄フェイス</v>
      </c>
      <c r="AM406" s="54">
        <f t="shared" si="742"/>
        <v>792</v>
      </c>
      <c r="AN406" s="13">
        <f t="shared" si="743"/>
        <v>792</v>
      </c>
      <c r="AO406" s="14">
        <f t="shared" si="744"/>
        <v>0.10421052631578948</v>
      </c>
      <c r="AP406" s="15"/>
      <c r="AQ406" s="15"/>
      <c r="AR406" s="16"/>
      <c r="AS406" s="53">
        <v>7457</v>
      </c>
      <c r="AT406" s="13">
        <f t="shared" si="745"/>
        <v>79</v>
      </c>
      <c r="AU406" s="53">
        <v>392</v>
      </c>
      <c r="AV406" s="13">
        <f t="shared" si="746"/>
        <v>2</v>
      </c>
      <c r="AW406" s="13">
        <v>5</v>
      </c>
      <c r="AX406" s="13">
        <f t="shared" si="747"/>
        <v>2</v>
      </c>
      <c r="AY406" s="17">
        <v>4</v>
      </c>
      <c r="AZ406" s="56" t="str">
        <f t="shared" si="754"/>
        <v>キティフェイスポーチ</v>
      </c>
      <c r="BA406" s="54">
        <f t="shared" si="755"/>
        <v>673</v>
      </c>
      <c r="BB406" s="13">
        <f t="shared" si="750"/>
        <v>1346</v>
      </c>
      <c r="BC406" s="14">
        <f t="shared" si="751"/>
        <v>0.17037974683544305</v>
      </c>
      <c r="BD406" s="15"/>
      <c r="BT406" s="15"/>
      <c r="BU406" s="16"/>
      <c r="BV406" s="54"/>
      <c r="BW406" s="13" t="str">
        <f t="shared" si="770"/>
        <v/>
      </c>
      <c r="BX406" s="13"/>
      <c r="BY406" s="13"/>
      <c r="BZ406" s="13"/>
      <c r="CA406" s="13" t="str">
        <f t="shared" si="771"/>
        <v/>
      </c>
      <c r="CB406" s="13"/>
      <c r="CC406" s="13"/>
      <c r="CD406" s="13"/>
      <c r="CE406" s="13" t="str">
        <f t="shared" si="756"/>
        <v/>
      </c>
      <c r="CF406" s="14" t="str">
        <f t="shared" si="757"/>
        <v/>
      </c>
      <c r="CG406" s="15"/>
      <c r="CH406" s="1"/>
      <c r="CI406" s="16"/>
      <c r="CJ406" s="54"/>
      <c r="CK406" s="13" t="str">
        <f t="shared" si="772"/>
        <v/>
      </c>
      <c r="CL406" s="13"/>
      <c r="CM406" s="13"/>
      <c r="CN406" s="13"/>
      <c r="CO406" s="13" t="str">
        <f t="shared" si="773"/>
        <v/>
      </c>
      <c r="CP406" s="13"/>
      <c r="CQ406" s="13"/>
      <c r="CR406" s="13"/>
      <c r="CS406" s="13" t="str">
        <f t="shared" si="758"/>
        <v/>
      </c>
      <c r="CT406" s="14" t="str">
        <f t="shared" si="766"/>
        <v/>
      </c>
      <c r="CU406" s="15"/>
      <c r="CV406" s="1"/>
      <c r="CW406" s="16"/>
      <c r="CX406" s="54"/>
      <c r="CY406" s="13" t="str">
        <f t="shared" si="774"/>
        <v/>
      </c>
      <c r="CZ406" s="13"/>
      <c r="DA406" s="13"/>
      <c r="DB406" s="13"/>
      <c r="DC406" s="13" t="str">
        <f t="shared" si="775"/>
        <v/>
      </c>
      <c r="DD406" s="13"/>
      <c r="DE406" s="13"/>
      <c r="DF406" s="13"/>
      <c r="DG406" s="13" t="str">
        <f t="shared" si="759"/>
        <v/>
      </c>
      <c r="DH406" s="14" t="str">
        <f t="shared" si="760"/>
        <v/>
      </c>
      <c r="DI406" s="15"/>
      <c r="DJ406" s="1"/>
      <c r="DK406" s="16"/>
      <c r="DL406" s="54"/>
      <c r="DM406" s="13" t="str">
        <f t="shared" si="776"/>
        <v/>
      </c>
      <c r="DN406" s="13"/>
      <c r="DO406" s="13"/>
      <c r="DP406" s="13"/>
      <c r="DQ406" s="13" t="str">
        <f t="shared" si="777"/>
        <v/>
      </c>
      <c r="DR406" s="13"/>
      <c r="DS406" s="13"/>
      <c r="DT406" s="13"/>
      <c r="DU406" s="13" t="str">
        <f t="shared" si="761"/>
        <v/>
      </c>
      <c r="DV406" s="14" t="str">
        <f t="shared" si="762"/>
        <v/>
      </c>
      <c r="DW406" s="15"/>
    </row>
    <row r="407" spans="1:127" ht="15" customHeight="1" x14ac:dyDescent="0.2">
      <c r="A407" s="133"/>
      <c r="B407" s="11"/>
      <c r="C407" s="13">
        <v>10755</v>
      </c>
      <c r="D407" s="13">
        <f t="shared" si="725"/>
        <v>99</v>
      </c>
      <c r="E407" s="13">
        <v>613</v>
      </c>
      <c r="F407" s="13">
        <f t="shared" si="726"/>
        <v>2</v>
      </c>
      <c r="G407" s="13">
        <v>17</v>
      </c>
      <c r="H407" s="13">
        <f t="shared" si="727"/>
        <v>1</v>
      </c>
      <c r="I407" s="17">
        <v>0</v>
      </c>
      <c r="J407" s="56" t="str">
        <f t="shared" si="768"/>
        <v>ゲーム機イヤホン</v>
      </c>
      <c r="K407" s="13">
        <f t="shared" si="769"/>
        <v>1100</v>
      </c>
      <c r="L407" s="13">
        <f t="shared" si="729"/>
        <v>1100</v>
      </c>
      <c r="M407" s="14">
        <f t="shared" si="730"/>
        <v>0.1111111111111111</v>
      </c>
      <c r="N407" s="15"/>
      <c r="O407" s="2"/>
      <c r="P407" s="16"/>
      <c r="Q407" s="13">
        <v>7612</v>
      </c>
      <c r="R407" s="13">
        <f t="shared" si="731"/>
        <v>78</v>
      </c>
      <c r="S407" s="13">
        <v>147</v>
      </c>
      <c r="T407" s="13">
        <f t="shared" si="732"/>
        <v>2</v>
      </c>
      <c r="U407" s="13">
        <v>10</v>
      </c>
      <c r="V407" s="13">
        <f t="shared" si="733"/>
        <v>2</v>
      </c>
      <c r="W407" s="17">
        <v>0</v>
      </c>
      <c r="X407" s="56" t="str">
        <f t="shared" si="764"/>
        <v>サンリオホワイトマスコット</v>
      </c>
      <c r="Y407" s="13">
        <f t="shared" si="765"/>
        <v>660</v>
      </c>
      <c r="Z407" s="13">
        <f t="shared" si="736"/>
        <v>1320</v>
      </c>
      <c r="AA407" s="14">
        <f t="shared" si="737"/>
        <v>0.16923076923076924</v>
      </c>
      <c r="AB407" s="15"/>
      <c r="AC407" s="15"/>
      <c r="AD407" s="16"/>
      <c r="AE407" s="13">
        <v>11651</v>
      </c>
      <c r="AF407" s="13">
        <f t="shared" si="738"/>
        <v>67</v>
      </c>
      <c r="AG407" s="13">
        <v>310</v>
      </c>
      <c r="AH407" s="13">
        <f t="shared" si="739"/>
        <v>2</v>
      </c>
      <c r="AI407" s="13">
        <v>56</v>
      </c>
      <c r="AJ407" s="13">
        <f t="shared" si="740"/>
        <v>2</v>
      </c>
      <c r="AK407" s="17">
        <v>4</v>
      </c>
      <c r="AL407" s="56" t="str">
        <f t="shared" si="741"/>
        <v>ゲームアーク</v>
      </c>
      <c r="AM407" s="13">
        <f t="shared" si="742"/>
        <v>682</v>
      </c>
      <c r="AN407" s="13">
        <f t="shared" si="743"/>
        <v>1364</v>
      </c>
      <c r="AO407" s="14">
        <f t="shared" si="744"/>
        <v>0.2035820895522388</v>
      </c>
      <c r="AP407" s="15"/>
      <c r="AQ407" s="15"/>
      <c r="AR407" s="16"/>
      <c r="AS407" s="13">
        <v>14316</v>
      </c>
      <c r="AT407" s="13">
        <f t="shared" si="745"/>
        <v>67</v>
      </c>
      <c r="AU407" s="13">
        <v>498</v>
      </c>
      <c r="AV407" s="13">
        <f t="shared" si="746"/>
        <v>3</v>
      </c>
      <c r="AW407" s="13">
        <v>21</v>
      </c>
      <c r="AX407" s="13">
        <f t="shared" si="747"/>
        <v>3</v>
      </c>
      <c r="AY407" s="17">
        <v>0</v>
      </c>
      <c r="AZ407" s="56" t="str">
        <f t="shared" si="754"/>
        <v>ラブブキーホルダーおおきめ</v>
      </c>
      <c r="BA407" s="13">
        <f t="shared" si="755"/>
        <v>500</v>
      </c>
      <c r="BB407" s="13">
        <f t="shared" si="750"/>
        <v>1500</v>
      </c>
      <c r="BC407" s="14">
        <f t="shared" si="751"/>
        <v>0.22388059701492538</v>
      </c>
      <c r="BD407" s="15"/>
      <c r="BT407" s="15"/>
      <c r="BU407" s="16"/>
      <c r="BV407" s="54"/>
      <c r="BW407" s="13" t="str">
        <f t="shared" si="770"/>
        <v/>
      </c>
      <c r="BX407" s="13"/>
      <c r="BY407" s="13"/>
      <c r="BZ407" s="13"/>
      <c r="CA407" s="13" t="str">
        <f t="shared" si="771"/>
        <v/>
      </c>
      <c r="CB407" s="13"/>
      <c r="CC407" s="13"/>
      <c r="CD407" s="13"/>
      <c r="CE407" s="13" t="str">
        <f t="shared" si="756"/>
        <v/>
      </c>
      <c r="CF407" s="14" t="str">
        <f t="shared" si="757"/>
        <v/>
      </c>
      <c r="CG407" s="15"/>
      <c r="CH407" s="1"/>
      <c r="CI407" s="16"/>
      <c r="CJ407" s="54"/>
      <c r="CK407" s="13" t="str">
        <f t="shared" si="772"/>
        <v/>
      </c>
      <c r="CL407" s="13"/>
      <c r="CM407" s="13"/>
      <c r="CN407" s="13"/>
      <c r="CO407" s="13" t="str">
        <f t="shared" si="773"/>
        <v/>
      </c>
      <c r="CP407" s="13"/>
      <c r="CQ407" s="13"/>
      <c r="CR407" s="13"/>
      <c r="CS407" s="13" t="str">
        <f t="shared" si="758"/>
        <v/>
      </c>
      <c r="CT407" s="14" t="str">
        <f t="shared" si="766"/>
        <v/>
      </c>
      <c r="CU407" s="15"/>
      <c r="CV407" s="1"/>
      <c r="CW407" s="16"/>
      <c r="CX407" s="54"/>
      <c r="CY407" s="13" t="str">
        <f t="shared" si="774"/>
        <v/>
      </c>
      <c r="CZ407" s="13"/>
      <c r="DA407" s="13"/>
      <c r="DB407" s="13"/>
      <c r="DC407" s="13" t="str">
        <f t="shared" si="775"/>
        <v/>
      </c>
      <c r="DD407" s="13"/>
      <c r="DE407" s="13"/>
      <c r="DF407" s="13"/>
      <c r="DG407" s="13" t="str">
        <f t="shared" si="759"/>
        <v/>
      </c>
      <c r="DH407" s="14" t="str">
        <f t="shared" si="760"/>
        <v/>
      </c>
      <c r="DI407" s="15"/>
      <c r="DJ407" s="1"/>
      <c r="DK407" s="16"/>
      <c r="DL407" s="54"/>
      <c r="DM407" s="13" t="str">
        <f t="shared" si="776"/>
        <v/>
      </c>
      <c r="DN407" s="13"/>
      <c r="DO407" s="13"/>
      <c r="DP407" s="13"/>
      <c r="DQ407" s="13" t="str">
        <f t="shared" si="777"/>
        <v/>
      </c>
      <c r="DR407" s="13"/>
      <c r="DS407" s="13"/>
      <c r="DT407" s="13"/>
      <c r="DU407" s="13" t="str">
        <f t="shared" si="761"/>
        <v/>
      </c>
      <c r="DV407" s="14" t="str">
        <f t="shared" si="762"/>
        <v/>
      </c>
      <c r="DW407" s="15"/>
    </row>
    <row r="408" spans="1:127" ht="15" customHeight="1" thickBot="1" x14ac:dyDescent="0.25">
      <c r="A408" s="26"/>
      <c r="B408" s="46"/>
      <c r="C408" s="27">
        <v>5788</v>
      </c>
      <c r="D408" s="88">
        <f t="shared" si="725"/>
        <v>19</v>
      </c>
      <c r="E408" s="27">
        <v>452</v>
      </c>
      <c r="F408" s="27">
        <f t="shared" si="726"/>
        <v>1</v>
      </c>
      <c r="G408" s="27">
        <v>45</v>
      </c>
      <c r="H408" s="27">
        <f t="shared" si="727"/>
        <v>1</v>
      </c>
      <c r="I408" s="47">
        <v>-41</v>
      </c>
      <c r="J408" s="57" t="str">
        <f t="shared" si="768"/>
        <v>NICIマスコット</v>
      </c>
      <c r="K408" s="62">
        <f t="shared" si="769"/>
        <v>900</v>
      </c>
      <c r="L408" s="27">
        <f t="shared" si="729"/>
        <v>900</v>
      </c>
      <c r="M408" s="28">
        <f t="shared" si="730"/>
        <v>0.47368421052631576</v>
      </c>
      <c r="N408" s="15" t="s">
        <v>428</v>
      </c>
      <c r="O408" s="2"/>
      <c r="P408" s="26"/>
      <c r="Q408" s="27">
        <v>7433</v>
      </c>
      <c r="R408" s="27">
        <f t="shared" si="731"/>
        <v>81</v>
      </c>
      <c r="S408" s="27">
        <v>123</v>
      </c>
      <c r="T408" s="27">
        <f t="shared" si="732"/>
        <v>0</v>
      </c>
      <c r="U408" s="27">
        <v>15</v>
      </c>
      <c r="V408" s="27">
        <f t="shared" si="733"/>
        <v>0</v>
      </c>
      <c r="W408" s="47">
        <v>0</v>
      </c>
      <c r="X408" s="57" t="str">
        <f t="shared" si="764"/>
        <v>ＡＩマスコット</v>
      </c>
      <c r="Y408" s="62">
        <f t="shared" si="765"/>
        <v>286</v>
      </c>
      <c r="Z408" s="27">
        <f t="shared" si="736"/>
        <v>0</v>
      </c>
      <c r="AA408" s="28">
        <f t="shared" si="737"/>
        <v>0</v>
      </c>
      <c r="AB408" s="15"/>
      <c r="AC408" s="15"/>
      <c r="AD408" s="26"/>
      <c r="AE408" s="27">
        <v>11562</v>
      </c>
      <c r="AF408" s="27">
        <f t="shared" si="738"/>
        <v>41</v>
      </c>
      <c r="AG408" s="27">
        <v>294</v>
      </c>
      <c r="AH408" s="27">
        <f t="shared" si="739"/>
        <v>1</v>
      </c>
      <c r="AI408" s="27">
        <v>13</v>
      </c>
      <c r="AJ408" s="27">
        <f t="shared" si="740"/>
        <v>1</v>
      </c>
      <c r="AK408" s="47">
        <v>0</v>
      </c>
      <c r="AL408" s="57" t="str">
        <f t="shared" si="741"/>
        <v>モンチッチマスコット2</v>
      </c>
      <c r="AM408" s="62">
        <f t="shared" si="742"/>
        <v>605</v>
      </c>
      <c r="AN408" s="27">
        <f t="shared" si="743"/>
        <v>605</v>
      </c>
      <c r="AO408" s="28">
        <f t="shared" si="744"/>
        <v>0.14756097560975609</v>
      </c>
      <c r="AP408" s="15"/>
      <c r="AQ408" s="39"/>
      <c r="AR408" s="26"/>
      <c r="AS408" s="27">
        <v>14670</v>
      </c>
      <c r="AT408" s="27">
        <f t="shared" si="745"/>
        <v>97</v>
      </c>
      <c r="AU408" s="27">
        <v>430</v>
      </c>
      <c r="AV408" s="27">
        <f t="shared" si="746"/>
        <v>8</v>
      </c>
      <c r="AW408" s="27">
        <v>35</v>
      </c>
      <c r="AX408" s="27">
        <f t="shared" si="747"/>
        <v>8</v>
      </c>
      <c r="AY408" s="47">
        <v>0</v>
      </c>
      <c r="AZ408" s="57" t="str">
        <f t="shared" si="754"/>
        <v>ラブブマスコット</v>
      </c>
      <c r="BA408" s="62">
        <f t="shared" si="755"/>
        <v>400</v>
      </c>
      <c r="BB408" s="27">
        <f t="shared" si="750"/>
        <v>3200</v>
      </c>
      <c r="BC408" s="28">
        <f t="shared" si="751"/>
        <v>0.32989690721649484</v>
      </c>
      <c r="BD408" s="15"/>
      <c r="BT408" s="39"/>
      <c r="BU408" s="16"/>
      <c r="BV408" s="54"/>
      <c r="BW408" s="13" t="str">
        <f t="shared" si="770"/>
        <v/>
      </c>
      <c r="BX408" s="13"/>
      <c r="BY408" s="13"/>
      <c r="BZ408" s="13"/>
      <c r="CA408" s="13" t="str">
        <f t="shared" si="771"/>
        <v/>
      </c>
      <c r="CB408" s="13"/>
      <c r="CC408" s="13"/>
      <c r="CD408" s="13"/>
      <c r="CE408" s="13" t="str">
        <f t="shared" si="756"/>
        <v/>
      </c>
      <c r="CF408" s="14" t="str">
        <f t="shared" si="757"/>
        <v/>
      </c>
      <c r="CG408" s="15"/>
      <c r="CH408" s="1"/>
      <c r="CI408" s="16"/>
      <c r="CJ408" s="54"/>
      <c r="CK408" s="13" t="str">
        <f t="shared" si="772"/>
        <v/>
      </c>
      <c r="CL408" s="13"/>
      <c r="CM408" s="13"/>
      <c r="CN408" s="13"/>
      <c r="CO408" s="13" t="str">
        <f t="shared" si="773"/>
        <v/>
      </c>
      <c r="CP408" s="13"/>
      <c r="CQ408" s="13"/>
      <c r="CR408" s="13"/>
      <c r="CS408" s="13" t="str">
        <f t="shared" si="758"/>
        <v/>
      </c>
      <c r="CT408" s="14" t="str">
        <f t="shared" si="766"/>
        <v/>
      </c>
      <c r="CU408" s="15"/>
      <c r="CV408" s="1"/>
      <c r="CW408" s="16"/>
      <c r="CX408" s="54"/>
      <c r="CY408" s="13" t="str">
        <f t="shared" si="774"/>
        <v/>
      </c>
      <c r="CZ408" s="13"/>
      <c r="DA408" s="13"/>
      <c r="DB408" s="13"/>
      <c r="DC408" s="13" t="str">
        <f t="shared" si="775"/>
        <v/>
      </c>
      <c r="DD408" s="13"/>
      <c r="DE408" s="13"/>
      <c r="DF408" s="13"/>
      <c r="DG408" s="13" t="str">
        <f t="shared" si="759"/>
        <v/>
      </c>
      <c r="DH408" s="14" t="str">
        <f t="shared" si="760"/>
        <v/>
      </c>
      <c r="DI408" s="15"/>
      <c r="DJ408" s="1"/>
      <c r="DK408" s="16"/>
      <c r="DL408" s="54"/>
      <c r="DM408" s="13" t="str">
        <f t="shared" si="776"/>
        <v/>
      </c>
      <c r="DN408" s="13"/>
      <c r="DO408" s="13"/>
      <c r="DP408" s="13"/>
      <c r="DQ408" s="13" t="str">
        <f t="shared" si="777"/>
        <v/>
      </c>
      <c r="DR408" s="13"/>
      <c r="DS408" s="13"/>
      <c r="DT408" s="13"/>
      <c r="DU408" s="13" t="str">
        <f t="shared" si="761"/>
        <v/>
      </c>
      <c r="DV408" s="14" t="str">
        <f t="shared" si="762"/>
        <v/>
      </c>
      <c r="DW408" s="15"/>
    </row>
    <row r="409" spans="1:127" ht="15" customHeight="1" thickTop="1" x14ac:dyDescent="0.2">
      <c r="A409" s="158">
        <v>46030</v>
      </c>
      <c r="B409" s="74">
        <f>IF(A409="","",SUM(D409:D412)+SUM(R409:R412)+SUM(AF409:AF412)+SUM(AT409:AT412)+SUM(BW382,CK382,CY382,DM382))</f>
        <v>2625</v>
      </c>
      <c r="C409" s="53">
        <v>5418</v>
      </c>
      <c r="D409" s="53">
        <f t="shared" si="725"/>
        <v>49</v>
      </c>
      <c r="E409" s="53">
        <v>337</v>
      </c>
      <c r="F409" s="31">
        <f t="shared" si="726"/>
        <v>0</v>
      </c>
      <c r="G409" s="53">
        <v>14</v>
      </c>
      <c r="H409" s="53">
        <f t="shared" si="727"/>
        <v>0</v>
      </c>
      <c r="I409" s="80">
        <v>0</v>
      </c>
      <c r="J409" s="75" t="str">
        <f t="shared" si="768"/>
        <v>ジャグラーボタン</v>
      </c>
      <c r="K409" s="76">
        <f t="shared" si="769"/>
        <v>748</v>
      </c>
      <c r="L409" s="31">
        <f t="shared" si="729"/>
        <v>0</v>
      </c>
      <c r="M409" s="32">
        <f t="shared" si="730"/>
        <v>0</v>
      </c>
      <c r="N409" s="15"/>
      <c r="O409" s="2"/>
      <c r="P409" s="79">
        <f>IF($A409="","",$A409)</f>
        <v>46030</v>
      </c>
      <c r="Q409" s="53">
        <v>5285</v>
      </c>
      <c r="R409" s="53">
        <f t="shared" si="731"/>
        <v>151</v>
      </c>
      <c r="S409" s="53">
        <v>174</v>
      </c>
      <c r="T409" s="31">
        <f t="shared" si="732"/>
        <v>4</v>
      </c>
      <c r="U409" s="53">
        <v>5</v>
      </c>
      <c r="V409" s="53">
        <f t="shared" si="733"/>
        <v>4</v>
      </c>
      <c r="W409" s="80">
        <v>4</v>
      </c>
      <c r="X409" s="75" t="str">
        <f t="shared" si="764"/>
        <v>キティボアバンスクリップ</v>
      </c>
      <c r="Y409" s="76">
        <f t="shared" si="765"/>
        <v>1100</v>
      </c>
      <c r="Z409" s="31">
        <f t="shared" si="736"/>
        <v>4400</v>
      </c>
      <c r="AA409" s="32">
        <f t="shared" si="737"/>
        <v>0.29139072847682118</v>
      </c>
      <c r="AB409" s="15"/>
      <c r="AC409" s="15"/>
      <c r="AD409" s="79">
        <f>IF($A409="","",$A409)</f>
        <v>46030</v>
      </c>
      <c r="AE409" s="53">
        <v>10319</v>
      </c>
      <c r="AF409" s="53">
        <f t="shared" si="738"/>
        <v>80</v>
      </c>
      <c r="AG409" s="53">
        <v>229</v>
      </c>
      <c r="AH409" s="31">
        <f t="shared" si="739"/>
        <v>4</v>
      </c>
      <c r="AI409" s="53">
        <v>13</v>
      </c>
      <c r="AJ409" s="53">
        <f t="shared" si="740"/>
        <v>3</v>
      </c>
      <c r="AK409" s="80"/>
      <c r="AL409" s="75" t="str">
        <f t="shared" si="741"/>
        <v>サンリオ型押しケース</v>
      </c>
      <c r="AM409" s="76">
        <f t="shared" si="742"/>
        <v>545</v>
      </c>
      <c r="AN409" s="31">
        <f t="shared" si="743"/>
        <v>1635</v>
      </c>
      <c r="AO409" s="32">
        <f t="shared" si="744"/>
        <v>0.204375</v>
      </c>
      <c r="AP409" s="15"/>
      <c r="AQ409" s="113"/>
      <c r="AR409" s="79">
        <f>IF($A409="","",$A409)</f>
        <v>46030</v>
      </c>
      <c r="AS409" s="53">
        <v>10921</v>
      </c>
      <c r="AT409" s="53">
        <f t="shared" si="745"/>
        <v>86</v>
      </c>
      <c r="AU409" s="53">
        <v>347</v>
      </c>
      <c r="AV409" s="31">
        <f t="shared" si="746"/>
        <v>2</v>
      </c>
      <c r="AW409" s="53">
        <v>11</v>
      </c>
      <c r="AX409" s="53">
        <f t="shared" si="747"/>
        <v>3</v>
      </c>
      <c r="AY409" s="80">
        <v>5</v>
      </c>
      <c r="AZ409" s="75" t="str">
        <f t="shared" si="754"/>
        <v>サンリオヒョウ柄キーケース</v>
      </c>
      <c r="BA409" s="76">
        <f t="shared" si="755"/>
        <v>924</v>
      </c>
      <c r="BB409" s="31">
        <f t="shared" si="750"/>
        <v>2772</v>
      </c>
      <c r="BC409" s="32">
        <f t="shared" si="751"/>
        <v>0.32232558139534884</v>
      </c>
      <c r="BD409" s="15"/>
      <c r="BT409" s="113"/>
      <c r="BU409" s="16"/>
      <c r="BV409" s="54"/>
      <c r="BW409" s="13" t="str">
        <f t="shared" si="770"/>
        <v/>
      </c>
      <c r="BX409" s="13"/>
      <c r="BY409" s="13"/>
      <c r="BZ409" s="13"/>
      <c r="CA409" s="13" t="str">
        <f t="shared" si="771"/>
        <v/>
      </c>
      <c r="CB409" s="13"/>
      <c r="CC409" s="13"/>
      <c r="CD409" s="13"/>
      <c r="CE409" s="13" t="str">
        <f t="shared" si="756"/>
        <v/>
      </c>
      <c r="CF409" s="14" t="str">
        <f t="shared" si="757"/>
        <v/>
      </c>
      <c r="CG409" s="15"/>
      <c r="CH409" s="1"/>
      <c r="CI409" s="16"/>
      <c r="CJ409" s="54"/>
      <c r="CK409" s="13" t="str">
        <f t="shared" si="772"/>
        <v/>
      </c>
      <c r="CL409" s="13"/>
      <c r="CM409" s="13"/>
      <c r="CN409" s="13"/>
      <c r="CO409" s="13" t="str">
        <f t="shared" si="773"/>
        <v/>
      </c>
      <c r="CP409" s="13"/>
      <c r="CQ409" s="13"/>
      <c r="CR409" s="13"/>
      <c r="CS409" s="13" t="str">
        <f t="shared" si="758"/>
        <v/>
      </c>
      <c r="CT409" s="14" t="str">
        <f t="shared" si="766"/>
        <v/>
      </c>
      <c r="CU409" s="15"/>
      <c r="CV409" s="1"/>
      <c r="CW409" s="16"/>
      <c r="CX409" s="54"/>
      <c r="CY409" s="13" t="str">
        <f t="shared" si="774"/>
        <v/>
      </c>
      <c r="CZ409" s="13"/>
      <c r="DA409" s="13"/>
      <c r="DB409" s="13"/>
      <c r="DC409" s="13" t="str">
        <f t="shared" si="775"/>
        <v/>
      </c>
      <c r="DD409" s="13"/>
      <c r="DE409" s="13"/>
      <c r="DF409" s="13"/>
      <c r="DG409" s="13" t="str">
        <f t="shared" si="759"/>
        <v/>
      </c>
      <c r="DH409" s="14" t="str">
        <f t="shared" si="760"/>
        <v/>
      </c>
      <c r="DI409" s="15"/>
      <c r="DJ409" s="1"/>
      <c r="DK409" s="16"/>
      <c r="DL409" s="54"/>
      <c r="DM409" s="13" t="str">
        <f t="shared" si="776"/>
        <v/>
      </c>
      <c r="DN409" s="13"/>
      <c r="DO409" s="13"/>
      <c r="DP409" s="13"/>
      <c r="DQ409" s="13" t="str">
        <f t="shared" si="777"/>
        <v/>
      </c>
      <c r="DR409" s="13"/>
      <c r="DS409" s="13"/>
      <c r="DT409" s="13"/>
      <c r="DU409" s="13" t="str">
        <f t="shared" si="761"/>
        <v/>
      </c>
      <c r="DV409" s="14" t="str">
        <f t="shared" si="762"/>
        <v/>
      </c>
      <c r="DW409" s="15"/>
    </row>
    <row r="410" spans="1:127" x14ac:dyDescent="0.2">
      <c r="A410" s="16"/>
      <c r="B410" s="11"/>
      <c r="C410" s="13">
        <v>4713</v>
      </c>
      <c r="D410" s="53">
        <f t="shared" si="725"/>
        <v>128</v>
      </c>
      <c r="E410" s="13">
        <v>354</v>
      </c>
      <c r="F410" s="13">
        <f t="shared" si="726"/>
        <v>0</v>
      </c>
      <c r="G410" s="13">
        <v>40</v>
      </c>
      <c r="H410" s="13">
        <f t="shared" si="727"/>
        <v>0</v>
      </c>
      <c r="I410" s="17">
        <v>5</v>
      </c>
      <c r="J410" s="56" t="str">
        <f t="shared" si="768"/>
        <v>電ブル</v>
      </c>
      <c r="K410" s="54">
        <f t="shared" si="769"/>
        <v>1075</v>
      </c>
      <c r="L410" s="13">
        <f t="shared" si="729"/>
        <v>0</v>
      </c>
      <c r="M410" s="14">
        <f t="shared" si="730"/>
        <v>0</v>
      </c>
      <c r="N410" s="15"/>
      <c r="O410" s="2"/>
      <c r="P410" s="16"/>
      <c r="Q410" s="13">
        <v>4273</v>
      </c>
      <c r="R410" s="127">
        <f t="shared" si="731"/>
        <v>15</v>
      </c>
      <c r="S410" s="13">
        <v>128</v>
      </c>
      <c r="T410" s="13">
        <f t="shared" si="732"/>
        <v>1</v>
      </c>
      <c r="U410" s="13">
        <v>28</v>
      </c>
      <c r="V410" s="13">
        <f t="shared" si="733"/>
        <v>4</v>
      </c>
      <c r="W410" s="17">
        <v>-19</v>
      </c>
      <c r="X410" s="56" t="str">
        <f t="shared" si="764"/>
        <v>押忍番長ボタン</v>
      </c>
      <c r="Y410" s="54">
        <f t="shared" si="765"/>
        <v>1100</v>
      </c>
      <c r="Z410" s="13">
        <f t="shared" si="736"/>
        <v>4400</v>
      </c>
      <c r="AA410" s="14">
        <f t="shared" si="737"/>
        <v>2.9333333333333331</v>
      </c>
      <c r="AB410" s="15" t="s">
        <v>431</v>
      </c>
      <c r="AC410" s="15"/>
      <c r="AD410" s="16"/>
      <c r="AE410" s="13">
        <v>9930</v>
      </c>
      <c r="AF410" s="53">
        <f t="shared" si="738"/>
        <v>88</v>
      </c>
      <c r="AG410" s="13">
        <v>216</v>
      </c>
      <c r="AH410" s="13">
        <f t="shared" si="739"/>
        <v>1</v>
      </c>
      <c r="AI410" s="13">
        <v>11</v>
      </c>
      <c r="AJ410" s="13">
        <f t="shared" si="740"/>
        <v>0</v>
      </c>
      <c r="AK410" s="17"/>
      <c r="AL410" s="56" t="str">
        <f t="shared" si="741"/>
        <v>サンリオヒョウ柄フェイス</v>
      </c>
      <c r="AM410" s="54">
        <f t="shared" si="742"/>
        <v>792</v>
      </c>
      <c r="AN410" s="13">
        <f t="shared" si="743"/>
        <v>0</v>
      </c>
      <c r="AO410" s="14">
        <f t="shared" si="744"/>
        <v>0</v>
      </c>
      <c r="AP410" s="15"/>
      <c r="AQ410" s="113"/>
      <c r="AR410" s="16"/>
      <c r="AS410" s="13">
        <v>7512</v>
      </c>
      <c r="AT410" s="53">
        <f t="shared" si="745"/>
        <v>55</v>
      </c>
      <c r="AU410" s="13">
        <v>394</v>
      </c>
      <c r="AV410" s="13">
        <f t="shared" si="746"/>
        <v>2</v>
      </c>
      <c r="AW410" s="13">
        <v>7</v>
      </c>
      <c r="AX410" s="13">
        <f t="shared" si="747"/>
        <v>2</v>
      </c>
      <c r="AY410" s="17">
        <v>5</v>
      </c>
      <c r="AZ410" s="56" t="str">
        <f t="shared" si="754"/>
        <v>キティフェイスポーチ</v>
      </c>
      <c r="BA410" s="54">
        <f t="shared" si="755"/>
        <v>673</v>
      </c>
      <c r="BB410" s="13">
        <f t="shared" si="750"/>
        <v>1346</v>
      </c>
      <c r="BC410" s="14">
        <f t="shared" si="751"/>
        <v>0.24472727272727274</v>
      </c>
      <c r="BD410" s="15"/>
      <c r="BT410" s="113"/>
      <c r="BU410" s="16"/>
      <c r="BV410" s="54"/>
      <c r="BW410" s="13" t="str">
        <f t="shared" si="770"/>
        <v/>
      </c>
      <c r="BX410" s="13"/>
      <c r="BY410" s="13"/>
      <c r="BZ410" s="13"/>
      <c r="CA410" s="13" t="str">
        <f t="shared" si="771"/>
        <v/>
      </c>
      <c r="CB410" s="13"/>
      <c r="CC410" s="13"/>
      <c r="CD410" s="13"/>
      <c r="CE410" s="13" t="str">
        <f t="shared" si="756"/>
        <v/>
      </c>
      <c r="CF410" s="14" t="str">
        <f t="shared" si="757"/>
        <v/>
      </c>
      <c r="CG410" s="15"/>
      <c r="CH410" s="1"/>
      <c r="CI410" s="16"/>
      <c r="CJ410" s="54"/>
      <c r="CK410" s="13" t="str">
        <f t="shared" si="772"/>
        <v/>
      </c>
      <c r="CL410" s="13"/>
      <c r="CM410" s="13"/>
      <c r="CN410" s="13"/>
      <c r="CO410" s="13" t="str">
        <f t="shared" si="773"/>
        <v/>
      </c>
      <c r="CP410" s="13"/>
      <c r="CQ410" s="13"/>
      <c r="CR410" s="13"/>
      <c r="CS410" s="13" t="str">
        <f t="shared" si="758"/>
        <v/>
      </c>
      <c r="CT410" s="14" t="str">
        <f t="shared" si="766"/>
        <v/>
      </c>
      <c r="CU410" s="15"/>
      <c r="CV410" s="1"/>
      <c r="CW410" s="16"/>
      <c r="CX410" s="54"/>
      <c r="CY410" s="13" t="str">
        <f t="shared" si="774"/>
        <v/>
      </c>
      <c r="CZ410" s="13"/>
      <c r="DA410" s="13"/>
      <c r="DB410" s="13"/>
      <c r="DC410" s="13" t="str">
        <f t="shared" si="775"/>
        <v/>
      </c>
      <c r="DD410" s="13"/>
      <c r="DE410" s="13"/>
      <c r="DF410" s="13"/>
      <c r="DG410" s="13" t="str">
        <f t="shared" si="759"/>
        <v/>
      </c>
      <c r="DH410" s="14" t="str">
        <f t="shared" si="760"/>
        <v/>
      </c>
      <c r="DI410" s="15"/>
      <c r="DJ410" s="1"/>
      <c r="DK410" s="16"/>
      <c r="DL410" s="54"/>
      <c r="DM410" s="13" t="str">
        <f t="shared" si="776"/>
        <v/>
      </c>
      <c r="DN410" s="13"/>
      <c r="DO410" s="13"/>
      <c r="DP410" s="13"/>
      <c r="DQ410" s="13" t="str">
        <f t="shared" si="777"/>
        <v/>
      </c>
      <c r="DR410" s="13"/>
      <c r="DS410" s="13"/>
      <c r="DT410" s="13"/>
      <c r="DU410" s="13" t="str">
        <f t="shared" si="761"/>
        <v/>
      </c>
      <c r="DV410" s="14" t="str">
        <f t="shared" si="762"/>
        <v/>
      </c>
      <c r="DW410" s="15"/>
    </row>
    <row r="411" spans="1:127" ht="15" customHeight="1" x14ac:dyDescent="0.2">
      <c r="A411" s="149"/>
      <c r="B411" s="11"/>
      <c r="C411" s="13">
        <v>10883</v>
      </c>
      <c r="D411" s="63">
        <f t="shared" si="725"/>
        <v>128</v>
      </c>
      <c r="E411" s="13">
        <v>616</v>
      </c>
      <c r="F411" s="13">
        <f t="shared" si="726"/>
        <v>3</v>
      </c>
      <c r="G411" s="34">
        <v>14</v>
      </c>
      <c r="H411" s="34">
        <f t="shared" si="727"/>
        <v>3</v>
      </c>
      <c r="I411" s="49">
        <v>5</v>
      </c>
      <c r="J411" s="56" t="str">
        <f t="shared" si="768"/>
        <v>ゲーム機イヤホン</v>
      </c>
      <c r="K411" s="13">
        <f t="shared" si="769"/>
        <v>1100</v>
      </c>
      <c r="L411" s="13">
        <f t="shared" si="729"/>
        <v>3300</v>
      </c>
      <c r="M411" s="14">
        <f t="shared" si="730"/>
        <v>0.2578125</v>
      </c>
      <c r="N411" s="15"/>
      <c r="O411" s="2"/>
      <c r="P411" s="16"/>
      <c r="Q411" s="13">
        <v>7646</v>
      </c>
      <c r="R411" s="63">
        <f t="shared" si="731"/>
        <v>34</v>
      </c>
      <c r="S411" s="13">
        <v>150</v>
      </c>
      <c r="T411" s="13">
        <f t="shared" si="732"/>
        <v>3</v>
      </c>
      <c r="U411" s="34">
        <v>7</v>
      </c>
      <c r="V411" s="34">
        <f t="shared" si="733"/>
        <v>3</v>
      </c>
      <c r="W411" s="49">
        <v>6</v>
      </c>
      <c r="X411" s="56" t="str">
        <f t="shared" si="764"/>
        <v>サンリオホワイトマスコット</v>
      </c>
      <c r="Y411" s="13">
        <f t="shared" si="765"/>
        <v>660</v>
      </c>
      <c r="Z411" s="13">
        <f t="shared" si="736"/>
        <v>1980</v>
      </c>
      <c r="AA411" s="14">
        <f t="shared" si="737"/>
        <v>0.58235294117647063</v>
      </c>
      <c r="AB411" s="15"/>
      <c r="AC411" s="15"/>
      <c r="AD411" s="16"/>
      <c r="AE411" s="13">
        <v>11781</v>
      </c>
      <c r="AF411" s="63">
        <f t="shared" si="738"/>
        <v>130</v>
      </c>
      <c r="AG411" s="13">
        <v>313</v>
      </c>
      <c r="AH411" s="13">
        <f t="shared" si="739"/>
        <v>3</v>
      </c>
      <c r="AI411" s="34">
        <v>56</v>
      </c>
      <c r="AJ411" s="34">
        <f t="shared" si="740"/>
        <v>4</v>
      </c>
      <c r="AK411" s="49"/>
      <c r="AL411" s="56" t="str">
        <f t="shared" si="741"/>
        <v>ゲームアーク</v>
      </c>
      <c r="AM411" s="13">
        <f t="shared" si="742"/>
        <v>682</v>
      </c>
      <c r="AN411" s="13">
        <f t="shared" si="743"/>
        <v>2728</v>
      </c>
      <c r="AO411" s="14">
        <f t="shared" si="744"/>
        <v>0.20984615384615385</v>
      </c>
      <c r="AP411" s="15"/>
      <c r="AQ411" s="113"/>
      <c r="AR411" s="16"/>
      <c r="AS411" s="13">
        <v>14440</v>
      </c>
      <c r="AT411" s="63">
        <f t="shared" si="745"/>
        <v>124</v>
      </c>
      <c r="AU411" s="13">
        <v>501</v>
      </c>
      <c r="AV411" s="13">
        <f t="shared" si="746"/>
        <v>3</v>
      </c>
      <c r="AW411" s="34">
        <v>18</v>
      </c>
      <c r="AX411" s="34">
        <f t="shared" si="747"/>
        <v>3</v>
      </c>
      <c r="AY411" s="49">
        <v>8</v>
      </c>
      <c r="AZ411" s="56" t="str">
        <f t="shared" si="754"/>
        <v>ラブブキーホルダーおおきめ</v>
      </c>
      <c r="BA411" s="13">
        <f t="shared" si="755"/>
        <v>500</v>
      </c>
      <c r="BB411" s="13">
        <f t="shared" si="750"/>
        <v>1500</v>
      </c>
      <c r="BC411" s="14">
        <f t="shared" si="751"/>
        <v>0.12096774193548387</v>
      </c>
      <c r="BD411" s="15"/>
      <c r="BT411" s="113"/>
      <c r="BU411" s="16"/>
      <c r="BV411" s="54"/>
      <c r="BW411" s="13" t="str">
        <f t="shared" si="770"/>
        <v/>
      </c>
      <c r="BX411" s="13"/>
      <c r="BY411" s="13"/>
      <c r="BZ411" s="13"/>
      <c r="CA411" s="13" t="str">
        <f t="shared" si="771"/>
        <v/>
      </c>
      <c r="CB411" s="13"/>
      <c r="CC411" s="13"/>
      <c r="CD411" s="13"/>
      <c r="CE411" s="13" t="str">
        <f t="shared" si="756"/>
        <v/>
      </c>
      <c r="CF411" s="14" t="str">
        <f t="shared" si="757"/>
        <v/>
      </c>
      <c r="CG411" s="15"/>
      <c r="CH411" s="1"/>
      <c r="CI411" s="16"/>
      <c r="CJ411" s="54"/>
      <c r="CK411" s="13" t="str">
        <f t="shared" si="772"/>
        <v/>
      </c>
      <c r="CL411" s="13"/>
      <c r="CM411" s="13"/>
      <c r="CN411" s="13"/>
      <c r="CO411" s="13" t="str">
        <f t="shared" si="773"/>
        <v/>
      </c>
      <c r="CP411" s="13"/>
      <c r="CQ411" s="13"/>
      <c r="CR411" s="13"/>
      <c r="CS411" s="13" t="str">
        <f t="shared" si="758"/>
        <v/>
      </c>
      <c r="CT411" s="14" t="str">
        <f t="shared" si="766"/>
        <v/>
      </c>
      <c r="CU411" s="15"/>
      <c r="CV411" s="1"/>
      <c r="CW411" s="16"/>
      <c r="CX411" s="54"/>
      <c r="CY411" s="13" t="str">
        <f t="shared" si="774"/>
        <v/>
      </c>
      <c r="CZ411" s="13"/>
      <c r="DA411" s="13"/>
      <c r="DB411" s="13"/>
      <c r="DC411" s="13" t="str">
        <f t="shared" si="775"/>
        <v/>
      </c>
      <c r="DD411" s="13"/>
      <c r="DE411" s="13"/>
      <c r="DF411" s="13"/>
      <c r="DG411" s="13" t="str">
        <f t="shared" si="759"/>
        <v/>
      </c>
      <c r="DH411" s="14" t="str">
        <f t="shared" si="760"/>
        <v/>
      </c>
      <c r="DI411" s="15"/>
      <c r="DJ411" s="1"/>
      <c r="DK411" s="16"/>
      <c r="DL411" s="54"/>
      <c r="DM411" s="13" t="str">
        <f t="shared" si="776"/>
        <v/>
      </c>
      <c r="DN411" s="13"/>
      <c r="DO411" s="13"/>
      <c r="DP411" s="13"/>
      <c r="DQ411" s="13" t="str">
        <f t="shared" si="777"/>
        <v/>
      </c>
      <c r="DR411" s="13"/>
      <c r="DS411" s="13"/>
      <c r="DT411" s="13"/>
      <c r="DU411" s="13" t="str">
        <f t="shared" si="761"/>
        <v/>
      </c>
      <c r="DV411" s="14" t="str">
        <f t="shared" si="762"/>
        <v/>
      </c>
      <c r="DW411" s="15"/>
    </row>
    <row r="412" spans="1:127" ht="15" customHeight="1" thickBot="1" x14ac:dyDescent="0.25">
      <c r="A412" s="26"/>
      <c r="B412" s="46"/>
      <c r="C412" s="29">
        <v>5873</v>
      </c>
      <c r="D412" s="61">
        <f t="shared" si="725"/>
        <v>85</v>
      </c>
      <c r="E412" s="62">
        <v>456</v>
      </c>
      <c r="F412" s="29">
        <f t="shared" si="726"/>
        <v>4</v>
      </c>
      <c r="G412" s="64">
        <v>0</v>
      </c>
      <c r="H412" s="64">
        <f t="shared" si="727"/>
        <v>4</v>
      </c>
      <c r="I412" s="47">
        <v>6</v>
      </c>
      <c r="J412" s="57" t="s">
        <v>429</v>
      </c>
      <c r="K412" s="62">
        <f t="shared" ref="K412:K424" si="778">IF(D412="","",K408)</f>
        <v>900</v>
      </c>
      <c r="L412" s="27">
        <f t="shared" si="729"/>
        <v>3600</v>
      </c>
      <c r="M412" s="28">
        <f t="shared" si="730"/>
        <v>0.42352941176470588</v>
      </c>
      <c r="N412" s="15" t="s">
        <v>430</v>
      </c>
      <c r="O412" s="2"/>
      <c r="P412" s="26"/>
      <c r="Q412" s="29">
        <v>7511</v>
      </c>
      <c r="R412" s="61">
        <f t="shared" si="731"/>
        <v>78</v>
      </c>
      <c r="S412" s="62">
        <v>124</v>
      </c>
      <c r="T412" s="29">
        <f t="shared" si="732"/>
        <v>1</v>
      </c>
      <c r="U412" s="64">
        <v>13</v>
      </c>
      <c r="V412" s="64">
        <f t="shared" si="733"/>
        <v>2</v>
      </c>
      <c r="W412" s="47">
        <v>2</v>
      </c>
      <c r="X412" s="57" t="str">
        <f t="shared" si="764"/>
        <v>ＡＩマスコット</v>
      </c>
      <c r="Y412" s="62">
        <f t="shared" si="765"/>
        <v>286</v>
      </c>
      <c r="Z412" s="27">
        <f t="shared" si="736"/>
        <v>572</v>
      </c>
      <c r="AA412" s="28">
        <f t="shared" si="737"/>
        <v>7.3333333333333334E-2</v>
      </c>
      <c r="AB412" s="15"/>
      <c r="AC412" s="15"/>
      <c r="AD412" s="26"/>
      <c r="AE412" s="29">
        <v>11656</v>
      </c>
      <c r="AF412" s="61">
        <f t="shared" si="738"/>
        <v>94</v>
      </c>
      <c r="AG412" s="62">
        <v>297</v>
      </c>
      <c r="AH412" s="29">
        <f t="shared" si="739"/>
        <v>3</v>
      </c>
      <c r="AI412" s="64">
        <v>10</v>
      </c>
      <c r="AJ412" s="64">
        <f t="shared" si="740"/>
        <v>3</v>
      </c>
      <c r="AK412" s="47">
        <v>2</v>
      </c>
      <c r="AL412" s="57" t="str">
        <f t="shared" si="741"/>
        <v>モンチッチマスコット2</v>
      </c>
      <c r="AM412" s="62">
        <f t="shared" si="742"/>
        <v>605</v>
      </c>
      <c r="AN412" s="27">
        <f t="shared" si="743"/>
        <v>1815</v>
      </c>
      <c r="AO412" s="28">
        <f t="shared" si="744"/>
        <v>0.19308510638297871</v>
      </c>
      <c r="AP412" s="15"/>
      <c r="AQ412" s="113"/>
      <c r="AR412" s="26"/>
      <c r="AS412" s="29">
        <v>14825</v>
      </c>
      <c r="AT412" s="61">
        <f t="shared" si="745"/>
        <v>155</v>
      </c>
      <c r="AU412" s="62">
        <v>431</v>
      </c>
      <c r="AV412" s="29">
        <f t="shared" si="746"/>
        <v>1</v>
      </c>
      <c r="AW412" s="64">
        <v>34</v>
      </c>
      <c r="AX412" s="64">
        <f t="shared" si="747"/>
        <v>1</v>
      </c>
      <c r="AY412" s="47">
        <v>0</v>
      </c>
      <c r="AZ412" s="57" t="str">
        <f t="shared" si="754"/>
        <v>ラブブマスコット</v>
      </c>
      <c r="BA412" s="62">
        <f t="shared" si="755"/>
        <v>400</v>
      </c>
      <c r="BB412" s="27">
        <f t="shared" si="750"/>
        <v>400</v>
      </c>
      <c r="BC412" s="28">
        <f t="shared" si="751"/>
        <v>2.5806451612903226E-2</v>
      </c>
      <c r="BD412" s="15"/>
      <c r="BT412" s="113"/>
      <c r="BU412" s="16"/>
      <c r="BV412" s="54"/>
      <c r="BW412" s="13" t="str">
        <f t="shared" si="770"/>
        <v/>
      </c>
      <c r="BX412" s="13"/>
      <c r="BY412" s="13"/>
      <c r="BZ412" s="13"/>
      <c r="CA412" s="13" t="str">
        <f t="shared" si="771"/>
        <v/>
      </c>
      <c r="CB412" s="13"/>
      <c r="CC412" s="13"/>
      <c r="CD412" s="13"/>
      <c r="CE412" s="13" t="str">
        <f t="shared" si="756"/>
        <v/>
      </c>
      <c r="CF412" s="14" t="str">
        <f t="shared" si="757"/>
        <v/>
      </c>
      <c r="CG412" s="15"/>
      <c r="CH412" s="1"/>
      <c r="CI412" s="16"/>
      <c r="CJ412" s="54"/>
      <c r="CK412" s="13" t="str">
        <f t="shared" si="772"/>
        <v/>
      </c>
      <c r="CL412" s="13"/>
      <c r="CM412" s="13"/>
      <c r="CN412" s="13"/>
      <c r="CO412" s="13" t="str">
        <f t="shared" si="773"/>
        <v/>
      </c>
      <c r="CP412" s="13"/>
      <c r="CQ412" s="13"/>
      <c r="CR412" s="13"/>
      <c r="CS412" s="13" t="str">
        <f t="shared" si="758"/>
        <v/>
      </c>
      <c r="CT412" s="14" t="str">
        <f t="shared" si="766"/>
        <v/>
      </c>
      <c r="CU412" s="15"/>
      <c r="CV412" s="1"/>
      <c r="CW412" s="16"/>
      <c r="CX412" s="54"/>
      <c r="CY412" s="13" t="str">
        <f t="shared" si="774"/>
        <v/>
      </c>
      <c r="CZ412" s="13"/>
      <c r="DA412" s="13"/>
      <c r="DB412" s="13"/>
      <c r="DC412" s="13" t="str">
        <f t="shared" si="775"/>
        <v/>
      </c>
      <c r="DD412" s="13"/>
      <c r="DE412" s="13"/>
      <c r="DF412" s="13"/>
      <c r="DG412" s="13" t="str">
        <f t="shared" si="759"/>
        <v/>
      </c>
      <c r="DH412" s="14" t="str">
        <f t="shared" si="760"/>
        <v/>
      </c>
      <c r="DI412" s="15"/>
      <c r="DJ412" s="1"/>
      <c r="DK412" s="16"/>
      <c r="DL412" s="54"/>
      <c r="DM412" s="13" t="str">
        <f t="shared" si="776"/>
        <v/>
      </c>
      <c r="DN412" s="13"/>
      <c r="DO412" s="13"/>
      <c r="DP412" s="13"/>
      <c r="DQ412" s="13" t="str">
        <f t="shared" si="777"/>
        <v/>
      </c>
      <c r="DR412" s="13"/>
      <c r="DS412" s="13"/>
      <c r="DT412" s="13"/>
      <c r="DU412" s="13" t="str">
        <f t="shared" si="761"/>
        <v/>
      </c>
      <c r="DV412" s="14" t="str">
        <f t="shared" si="762"/>
        <v/>
      </c>
      <c r="DW412" s="15"/>
    </row>
    <row r="413" spans="1:127" ht="15" customHeight="1" thickTop="1" x14ac:dyDescent="0.2">
      <c r="A413" s="79">
        <v>46032</v>
      </c>
      <c r="B413" s="74">
        <f>IF(A413="","",SUM(D413:D416)+SUM(R413:R416)+SUM(AF413:AF416)+SUM(AT413:AT416)+SUM(BW383,CK383,CY383,DM383))</f>
        <v>1465</v>
      </c>
      <c r="C413" s="53">
        <v>5498</v>
      </c>
      <c r="D413" s="53">
        <f t="shared" si="725"/>
        <v>80</v>
      </c>
      <c r="E413" s="53">
        <v>337</v>
      </c>
      <c r="F413" s="31">
        <f t="shared" si="726"/>
        <v>0</v>
      </c>
      <c r="G413" s="53">
        <v>14</v>
      </c>
      <c r="H413" s="53">
        <f t="shared" si="727"/>
        <v>0</v>
      </c>
      <c r="I413" s="80">
        <v>6</v>
      </c>
      <c r="J413" s="21" t="str">
        <f t="shared" ref="J413:J423" si="779">IF(C413="","",J409)</f>
        <v>ジャグラーボタン</v>
      </c>
      <c r="K413" s="54">
        <f t="shared" si="778"/>
        <v>748</v>
      </c>
      <c r="L413" s="31">
        <f t="shared" si="729"/>
        <v>0</v>
      </c>
      <c r="M413" s="32">
        <f t="shared" si="730"/>
        <v>0</v>
      </c>
      <c r="N413" s="15" t="s">
        <v>220</v>
      </c>
      <c r="O413" s="2"/>
      <c r="P413" s="79">
        <f>IF(A413="","",A413)</f>
        <v>46032</v>
      </c>
      <c r="Q413" s="53">
        <v>5306</v>
      </c>
      <c r="R413" s="53">
        <f t="shared" si="731"/>
        <v>21</v>
      </c>
      <c r="S413" s="53">
        <v>174</v>
      </c>
      <c r="T413" s="31">
        <f t="shared" si="732"/>
        <v>0</v>
      </c>
      <c r="U413" s="53">
        <v>9</v>
      </c>
      <c r="V413" s="53">
        <f t="shared" si="733"/>
        <v>0</v>
      </c>
      <c r="W413" s="80">
        <v>4</v>
      </c>
      <c r="X413" s="21" t="str">
        <f t="shared" si="764"/>
        <v>キティボアバンスクリップ</v>
      </c>
      <c r="Y413" s="54">
        <f t="shared" si="765"/>
        <v>1100</v>
      </c>
      <c r="Z413" s="31">
        <f t="shared" si="736"/>
        <v>0</v>
      </c>
      <c r="AA413" s="32">
        <f t="shared" si="737"/>
        <v>0</v>
      </c>
      <c r="AB413" s="15"/>
      <c r="AC413" s="15"/>
      <c r="AD413" s="79">
        <f>IF($A413="","",$A413)</f>
        <v>46032</v>
      </c>
      <c r="AE413" s="53">
        <v>10368</v>
      </c>
      <c r="AF413" s="53">
        <f t="shared" si="738"/>
        <v>49</v>
      </c>
      <c r="AG413" s="53">
        <v>230</v>
      </c>
      <c r="AH413" s="31">
        <f t="shared" si="739"/>
        <v>1</v>
      </c>
      <c r="AI413" s="53">
        <v>12</v>
      </c>
      <c r="AJ413" s="53">
        <f t="shared" si="740"/>
        <v>1</v>
      </c>
      <c r="AK413" s="17">
        <v>0</v>
      </c>
      <c r="AL413" s="21" t="str">
        <f t="shared" si="741"/>
        <v>サンリオ型押しケース</v>
      </c>
      <c r="AM413" s="54">
        <f t="shared" si="742"/>
        <v>545</v>
      </c>
      <c r="AN413" s="31">
        <f t="shared" si="743"/>
        <v>545</v>
      </c>
      <c r="AO413" s="32">
        <f t="shared" si="744"/>
        <v>0.11122448979591837</v>
      </c>
      <c r="AP413" s="15"/>
      <c r="AQ413" s="113"/>
      <c r="AR413" s="79">
        <f>IF($A413="","",$A413)</f>
        <v>46032</v>
      </c>
      <c r="AS413" s="53">
        <v>10948</v>
      </c>
      <c r="AT413" s="53">
        <f t="shared" si="745"/>
        <v>27</v>
      </c>
      <c r="AU413" s="53">
        <v>348</v>
      </c>
      <c r="AV413" s="31">
        <f t="shared" si="746"/>
        <v>1</v>
      </c>
      <c r="AW413" s="53">
        <v>15</v>
      </c>
      <c r="AX413" s="53">
        <f t="shared" si="747"/>
        <v>1</v>
      </c>
      <c r="AY413" s="17">
        <v>0</v>
      </c>
      <c r="AZ413" s="21" t="str">
        <f t="shared" si="754"/>
        <v>サンリオヒョウ柄キーケース</v>
      </c>
      <c r="BA413" s="54">
        <f t="shared" si="755"/>
        <v>924</v>
      </c>
      <c r="BB413" s="31">
        <f t="shared" si="750"/>
        <v>924</v>
      </c>
      <c r="BC413" s="32">
        <f t="shared" si="751"/>
        <v>0.34222222222222221</v>
      </c>
      <c r="BD413" s="15"/>
      <c r="BT413" s="113"/>
      <c r="BU413" s="16"/>
      <c r="BV413" s="54"/>
      <c r="BW413" s="13" t="str">
        <f t="shared" si="770"/>
        <v/>
      </c>
      <c r="BX413" s="13"/>
      <c r="BY413" s="13"/>
      <c r="BZ413" s="13"/>
      <c r="CA413" s="13" t="str">
        <f t="shared" si="771"/>
        <v/>
      </c>
      <c r="CB413" s="13"/>
      <c r="CC413" s="13"/>
      <c r="CD413" s="13"/>
      <c r="CE413" s="13" t="str">
        <f t="shared" si="756"/>
        <v/>
      </c>
      <c r="CF413" s="14" t="str">
        <f t="shared" si="757"/>
        <v/>
      </c>
      <c r="CG413" s="15"/>
      <c r="CH413" s="1"/>
      <c r="CI413" s="16"/>
      <c r="CJ413" s="54"/>
      <c r="CK413" s="13" t="str">
        <f t="shared" si="772"/>
        <v/>
      </c>
      <c r="CL413" s="13"/>
      <c r="CM413" s="13"/>
      <c r="CN413" s="13"/>
      <c r="CO413" s="13" t="str">
        <f t="shared" si="773"/>
        <v/>
      </c>
      <c r="CP413" s="13"/>
      <c r="CQ413" s="13"/>
      <c r="CR413" s="13"/>
      <c r="CS413" s="13" t="str">
        <f t="shared" si="758"/>
        <v/>
      </c>
      <c r="CT413" s="14" t="str">
        <f t="shared" si="766"/>
        <v/>
      </c>
      <c r="CU413" s="15"/>
      <c r="CV413" s="1"/>
      <c r="CW413" s="16"/>
      <c r="CX413" s="54"/>
      <c r="CY413" s="13" t="str">
        <f t="shared" si="774"/>
        <v/>
      </c>
      <c r="CZ413" s="13"/>
      <c r="DA413" s="13"/>
      <c r="DB413" s="13"/>
      <c r="DC413" s="13" t="str">
        <f t="shared" si="775"/>
        <v/>
      </c>
      <c r="DD413" s="13"/>
      <c r="DE413" s="13"/>
      <c r="DF413" s="13"/>
      <c r="DG413" s="13" t="str">
        <f t="shared" si="759"/>
        <v/>
      </c>
      <c r="DH413" s="14" t="str">
        <f t="shared" si="760"/>
        <v/>
      </c>
      <c r="DI413" s="15"/>
      <c r="DJ413" s="1"/>
      <c r="DK413" s="16"/>
      <c r="DL413" s="54"/>
      <c r="DM413" s="13" t="str">
        <f t="shared" si="776"/>
        <v/>
      </c>
      <c r="DN413" s="13"/>
      <c r="DO413" s="13"/>
      <c r="DP413" s="13"/>
      <c r="DQ413" s="13" t="str">
        <f t="shared" si="777"/>
        <v/>
      </c>
      <c r="DR413" s="13"/>
      <c r="DS413" s="13"/>
      <c r="DT413" s="13"/>
      <c r="DU413" s="13" t="str">
        <f t="shared" si="761"/>
        <v/>
      </c>
      <c r="DV413" s="14" t="str">
        <f t="shared" si="762"/>
        <v/>
      </c>
      <c r="DW413" s="15"/>
    </row>
    <row r="414" spans="1:127" ht="15" customHeight="1" x14ac:dyDescent="0.2">
      <c r="A414" s="16"/>
      <c r="B414" s="11"/>
      <c r="C414" s="13">
        <v>4814</v>
      </c>
      <c r="D414" s="53">
        <f t="shared" si="725"/>
        <v>101</v>
      </c>
      <c r="E414" s="13">
        <v>356</v>
      </c>
      <c r="F414" s="13">
        <f t="shared" si="726"/>
        <v>2</v>
      </c>
      <c r="G414" s="13">
        <v>42</v>
      </c>
      <c r="H414" s="13">
        <f t="shared" si="727"/>
        <v>3</v>
      </c>
      <c r="I414" s="17">
        <v>8</v>
      </c>
      <c r="J414" s="21" t="str">
        <f t="shared" si="779"/>
        <v>電ブル</v>
      </c>
      <c r="K414" s="54">
        <f t="shared" si="778"/>
        <v>1075</v>
      </c>
      <c r="L414" s="13">
        <f t="shared" si="729"/>
        <v>3225</v>
      </c>
      <c r="M414" s="14">
        <f t="shared" si="730"/>
        <v>0.31930693069306931</v>
      </c>
      <c r="N414" s="15"/>
      <c r="O414" s="2"/>
      <c r="P414" s="16"/>
      <c r="Q414" s="13">
        <v>4288</v>
      </c>
      <c r="R414" s="53">
        <f t="shared" si="731"/>
        <v>15</v>
      </c>
      <c r="S414" s="13">
        <v>129</v>
      </c>
      <c r="T414" s="13">
        <f t="shared" si="732"/>
        <v>1</v>
      </c>
      <c r="U414" s="13">
        <v>8</v>
      </c>
      <c r="V414" s="13">
        <f t="shared" si="733"/>
        <v>1</v>
      </c>
      <c r="W414" s="17"/>
      <c r="X414" s="21" t="s">
        <v>434</v>
      </c>
      <c r="Y414" s="54">
        <f t="shared" ref="Y414:Y424" si="780">IF(R414="","",Y410)</f>
        <v>1100</v>
      </c>
      <c r="Z414" s="13">
        <f t="shared" si="736"/>
        <v>1100</v>
      </c>
      <c r="AA414" s="14">
        <f t="shared" si="737"/>
        <v>0.73333333333333328</v>
      </c>
      <c r="AB414" s="157" t="s">
        <v>433</v>
      </c>
      <c r="AC414" s="15"/>
      <c r="AD414" s="16"/>
      <c r="AE414" s="13">
        <v>9995</v>
      </c>
      <c r="AF414" s="53">
        <f t="shared" si="738"/>
        <v>65</v>
      </c>
      <c r="AG414" s="13">
        <v>217</v>
      </c>
      <c r="AH414" s="13">
        <f t="shared" si="739"/>
        <v>1</v>
      </c>
      <c r="AI414" s="13">
        <v>10</v>
      </c>
      <c r="AJ414" s="13">
        <f t="shared" si="740"/>
        <v>1</v>
      </c>
      <c r="AK414" s="17">
        <v>0</v>
      </c>
      <c r="AL414" s="21" t="str">
        <f t="shared" si="741"/>
        <v>サンリオヒョウ柄フェイス</v>
      </c>
      <c r="AM414" s="54">
        <f t="shared" si="742"/>
        <v>792</v>
      </c>
      <c r="AN414" s="13">
        <f t="shared" si="743"/>
        <v>792</v>
      </c>
      <c r="AO414" s="14">
        <f t="shared" si="744"/>
        <v>0.12184615384615384</v>
      </c>
      <c r="AP414" s="15"/>
      <c r="AQ414" s="113"/>
      <c r="AR414" s="16"/>
      <c r="AS414" s="13">
        <v>7557</v>
      </c>
      <c r="AT414" s="53">
        <f t="shared" si="745"/>
        <v>45</v>
      </c>
      <c r="AU414" s="13">
        <v>396</v>
      </c>
      <c r="AV414" s="13">
        <f t="shared" si="746"/>
        <v>2</v>
      </c>
      <c r="AW414" s="13">
        <v>10</v>
      </c>
      <c r="AX414" s="13">
        <f t="shared" si="747"/>
        <v>2</v>
      </c>
      <c r="AY414" s="17">
        <v>0</v>
      </c>
      <c r="AZ414" s="21" t="str">
        <f t="shared" si="754"/>
        <v>キティフェイスポーチ</v>
      </c>
      <c r="BA414" s="54">
        <f t="shared" si="755"/>
        <v>673</v>
      </c>
      <c r="BB414" s="13">
        <f t="shared" si="750"/>
        <v>1346</v>
      </c>
      <c r="BC414" s="14">
        <f t="shared" si="751"/>
        <v>0.29911111111111111</v>
      </c>
      <c r="BD414" s="15"/>
      <c r="BT414" s="113"/>
      <c r="BU414" s="16"/>
      <c r="BV414" s="54"/>
      <c r="BW414" s="13" t="str">
        <f t="shared" si="770"/>
        <v/>
      </c>
      <c r="BX414" s="13"/>
      <c r="BY414" s="13"/>
      <c r="BZ414" s="13"/>
      <c r="CA414" s="13" t="str">
        <f t="shared" si="771"/>
        <v/>
      </c>
      <c r="CB414" s="13"/>
      <c r="CC414" s="13"/>
      <c r="CD414" s="13"/>
      <c r="CE414" s="13" t="str">
        <f t="shared" si="756"/>
        <v/>
      </c>
      <c r="CF414" s="14" t="str">
        <f t="shared" si="757"/>
        <v/>
      </c>
      <c r="CG414" s="15"/>
      <c r="CH414" s="1"/>
      <c r="CI414" s="16"/>
      <c r="CJ414" s="54"/>
      <c r="CK414" s="13" t="str">
        <f t="shared" si="772"/>
        <v/>
      </c>
      <c r="CL414" s="13"/>
      <c r="CM414" s="13"/>
      <c r="CN414" s="13"/>
      <c r="CO414" s="13" t="str">
        <f t="shared" si="773"/>
        <v/>
      </c>
      <c r="CP414" s="13"/>
      <c r="CQ414" s="13"/>
      <c r="CR414" s="13"/>
      <c r="CS414" s="13" t="str">
        <f t="shared" si="758"/>
        <v/>
      </c>
      <c r="CT414" s="14" t="str">
        <f t="shared" si="766"/>
        <v/>
      </c>
      <c r="CU414" s="15"/>
      <c r="CV414" s="1"/>
      <c r="CW414" s="16"/>
      <c r="CX414" s="54"/>
      <c r="CY414" s="13" t="str">
        <f t="shared" si="774"/>
        <v/>
      </c>
      <c r="CZ414" s="13"/>
      <c r="DA414" s="13"/>
      <c r="DB414" s="13"/>
      <c r="DC414" s="13" t="str">
        <f t="shared" si="775"/>
        <v/>
      </c>
      <c r="DD414" s="13"/>
      <c r="DE414" s="13"/>
      <c r="DF414" s="13"/>
      <c r="DG414" s="13" t="str">
        <f t="shared" si="759"/>
        <v/>
      </c>
      <c r="DH414" s="14" t="str">
        <f t="shared" si="760"/>
        <v/>
      </c>
      <c r="DI414" s="15"/>
      <c r="DJ414" s="1"/>
      <c r="DK414" s="16"/>
      <c r="DL414" s="54"/>
      <c r="DM414" s="13" t="str">
        <f t="shared" si="776"/>
        <v/>
      </c>
      <c r="DN414" s="13"/>
      <c r="DO414" s="13"/>
      <c r="DP414" s="13"/>
      <c r="DQ414" s="13" t="str">
        <f t="shared" si="777"/>
        <v/>
      </c>
      <c r="DR414" s="13"/>
      <c r="DS414" s="13"/>
      <c r="DT414" s="13"/>
      <c r="DU414" s="13" t="str">
        <f t="shared" si="761"/>
        <v/>
      </c>
      <c r="DV414" s="14" t="str">
        <f t="shared" si="762"/>
        <v/>
      </c>
      <c r="DW414" s="15"/>
    </row>
    <row r="415" spans="1:127" ht="15" customHeight="1" x14ac:dyDescent="0.2">
      <c r="A415" s="16"/>
      <c r="B415" s="11"/>
      <c r="C415" s="13">
        <v>10996</v>
      </c>
      <c r="D415" s="63">
        <f t="shared" si="725"/>
        <v>113</v>
      </c>
      <c r="E415" s="13">
        <v>616</v>
      </c>
      <c r="F415" s="13">
        <f t="shared" si="726"/>
        <v>0</v>
      </c>
      <c r="G415" s="13">
        <v>19</v>
      </c>
      <c r="H415" s="13">
        <f t="shared" si="727"/>
        <v>0</v>
      </c>
      <c r="I415" s="17"/>
      <c r="J415" s="21" t="str">
        <f t="shared" si="779"/>
        <v>ゲーム機イヤホン</v>
      </c>
      <c r="K415" s="54">
        <f t="shared" si="778"/>
        <v>1100</v>
      </c>
      <c r="L415" s="13">
        <f t="shared" si="729"/>
        <v>0</v>
      </c>
      <c r="M415" s="14">
        <f t="shared" si="730"/>
        <v>0</v>
      </c>
      <c r="N415" s="15"/>
      <c r="O415" s="2"/>
      <c r="P415" s="16"/>
      <c r="Q415" s="13">
        <v>7663</v>
      </c>
      <c r="R415" s="63">
        <f t="shared" si="731"/>
        <v>17</v>
      </c>
      <c r="S415" s="13">
        <v>152</v>
      </c>
      <c r="T415" s="13">
        <f t="shared" si="732"/>
        <v>2</v>
      </c>
      <c r="U415" s="13">
        <v>11</v>
      </c>
      <c r="V415" s="13">
        <f t="shared" si="733"/>
        <v>2</v>
      </c>
      <c r="W415" s="17"/>
      <c r="X415" s="21" t="str">
        <f t="shared" ref="X415:X424" si="781">IF(Q415="","",X411)</f>
        <v>サンリオホワイトマスコット</v>
      </c>
      <c r="Y415" s="54">
        <f t="shared" si="780"/>
        <v>660</v>
      </c>
      <c r="Z415" s="13">
        <f t="shared" si="736"/>
        <v>1320</v>
      </c>
      <c r="AA415" s="14">
        <f t="shared" si="737"/>
        <v>0.77647058823529413</v>
      </c>
      <c r="AB415" s="15"/>
      <c r="AC415" s="15"/>
      <c r="AD415" s="16"/>
      <c r="AE415" s="13">
        <v>11802</v>
      </c>
      <c r="AF415" s="63">
        <f t="shared" si="738"/>
        <v>21</v>
      </c>
      <c r="AG415" s="13">
        <v>314</v>
      </c>
      <c r="AH415" s="13">
        <f t="shared" si="739"/>
        <v>1</v>
      </c>
      <c r="AI415" s="13">
        <v>55</v>
      </c>
      <c r="AJ415" s="13">
        <f t="shared" si="740"/>
        <v>1</v>
      </c>
      <c r="AK415" s="17">
        <v>0</v>
      </c>
      <c r="AL415" s="21" t="str">
        <f t="shared" si="741"/>
        <v>ゲームアーク</v>
      </c>
      <c r="AM415" s="54">
        <f t="shared" si="742"/>
        <v>682</v>
      </c>
      <c r="AN415" s="13">
        <f t="shared" si="743"/>
        <v>682</v>
      </c>
      <c r="AO415" s="14">
        <f t="shared" si="744"/>
        <v>0.32476190476190475</v>
      </c>
      <c r="AP415" s="15"/>
      <c r="AQ415" s="113"/>
      <c r="AR415" s="16"/>
      <c r="AS415" s="13">
        <v>14464</v>
      </c>
      <c r="AT415" s="63">
        <f t="shared" si="745"/>
        <v>24</v>
      </c>
      <c r="AU415" s="13">
        <v>501</v>
      </c>
      <c r="AV415" s="13">
        <f t="shared" si="746"/>
        <v>0</v>
      </c>
      <c r="AW415" s="13">
        <v>26</v>
      </c>
      <c r="AX415" s="13">
        <f t="shared" si="747"/>
        <v>0</v>
      </c>
      <c r="AY415" s="17">
        <v>0</v>
      </c>
      <c r="AZ415" s="21" t="str">
        <f t="shared" si="754"/>
        <v>ラブブキーホルダーおおきめ</v>
      </c>
      <c r="BA415" s="54">
        <f t="shared" si="755"/>
        <v>500</v>
      </c>
      <c r="BB415" s="13">
        <f t="shared" si="750"/>
        <v>0</v>
      </c>
      <c r="BC415" s="14">
        <f t="shared" si="751"/>
        <v>0</v>
      </c>
      <c r="BD415" s="15"/>
      <c r="BT415" s="113"/>
      <c r="BU415" s="16"/>
      <c r="BV415" s="54"/>
      <c r="BW415" s="13" t="str">
        <f t="shared" si="770"/>
        <v/>
      </c>
      <c r="BX415" s="13"/>
      <c r="BY415" s="13"/>
      <c r="BZ415" s="13"/>
      <c r="CA415" s="13" t="str">
        <f t="shared" si="771"/>
        <v/>
      </c>
      <c r="CB415" s="13"/>
      <c r="CC415" s="13"/>
      <c r="CD415" s="13"/>
      <c r="CE415" s="13" t="str">
        <f t="shared" si="756"/>
        <v/>
      </c>
      <c r="CF415" s="14" t="str">
        <f t="shared" si="757"/>
        <v/>
      </c>
      <c r="CG415" s="15"/>
      <c r="CH415" s="1"/>
      <c r="CI415" s="16"/>
      <c r="CJ415" s="54"/>
      <c r="CK415" s="13" t="str">
        <f t="shared" si="772"/>
        <v/>
      </c>
      <c r="CL415" s="13"/>
      <c r="CM415" s="13"/>
      <c r="CN415" s="13"/>
      <c r="CO415" s="13" t="str">
        <f t="shared" si="773"/>
        <v/>
      </c>
      <c r="CP415" s="13"/>
      <c r="CQ415" s="13"/>
      <c r="CR415" s="13"/>
      <c r="CS415" s="13" t="str">
        <f t="shared" si="758"/>
        <v/>
      </c>
      <c r="CT415" s="14" t="str">
        <f t="shared" si="766"/>
        <v/>
      </c>
      <c r="CU415" s="15"/>
      <c r="CV415" s="1"/>
      <c r="CW415" s="16"/>
      <c r="CX415" s="54"/>
      <c r="CY415" s="13" t="str">
        <f t="shared" si="774"/>
        <v/>
      </c>
      <c r="CZ415" s="13"/>
      <c r="DA415" s="13"/>
      <c r="DB415" s="13"/>
      <c r="DC415" s="13" t="str">
        <f t="shared" si="775"/>
        <v/>
      </c>
      <c r="DD415" s="13"/>
      <c r="DE415" s="13"/>
      <c r="DF415" s="13"/>
      <c r="DG415" s="13" t="str">
        <f t="shared" si="759"/>
        <v/>
      </c>
      <c r="DH415" s="14" t="str">
        <f t="shared" si="760"/>
        <v/>
      </c>
      <c r="DI415" s="15"/>
      <c r="DJ415" s="1"/>
      <c r="DK415" s="16"/>
      <c r="DL415" s="54"/>
      <c r="DM415" s="13" t="str">
        <f t="shared" si="776"/>
        <v/>
      </c>
      <c r="DN415" s="13"/>
      <c r="DO415" s="13"/>
      <c r="DP415" s="13"/>
      <c r="DQ415" s="13" t="str">
        <f t="shared" si="777"/>
        <v/>
      </c>
      <c r="DR415" s="13"/>
      <c r="DS415" s="13"/>
      <c r="DT415" s="13"/>
      <c r="DU415" s="13" t="str">
        <f t="shared" si="761"/>
        <v/>
      </c>
      <c r="DV415" s="14" t="str">
        <f t="shared" si="762"/>
        <v/>
      </c>
      <c r="DW415" s="15"/>
    </row>
    <row r="416" spans="1:127" ht="15" customHeight="1" thickBot="1" x14ac:dyDescent="0.25">
      <c r="A416" s="26"/>
      <c r="B416" s="46"/>
      <c r="C416" s="29">
        <v>5926</v>
      </c>
      <c r="D416" s="61">
        <f t="shared" si="725"/>
        <v>53</v>
      </c>
      <c r="E416" s="62">
        <v>457</v>
      </c>
      <c r="F416" s="27">
        <f t="shared" si="726"/>
        <v>1</v>
      </c>
      <c r="G416" s="27">
        <v>5</v>
      </c>
      <c r="H416" s="27">
        <f t="shared" si="727"/>
        <v>1</v>
      </c>
      <c r="I416" s="107">
        <v>1</v>
      </c>
      <c r="J416" s="30" t="str">
        <f t="shared" si="779"/>
        <v>サミュエル</v>
      </c>
      <c r="K416" s="62">
        <f t="shared" si="778"/>
        <v>900</v>
      </c>
      <c r="L416" s="27">
        <f t="shared" si="729"/>
        <v>900</v>
      </c>
      <c r="M416" s="28">
        <f t="shared" si="730"/>
        <v>0.16981132075471697</v>
      </c>
      <c r="N416" s="15"/>
      <c r="O416" s="2"/>
      <c r="P416" s="26"/>
      <c r="Q416" s="29">
        <v>7543</v>
      </c>
      <c r="R416" s="61">
        <f t="shared" si="731"/>
        <v>32</v>
      </c>
      <c r="S416" s="62">
        <v>126</v>
      </c>
      <c r="T416" s="27">
        <f t="shared" si="732"/>
        <v>2</v>
      </c>
      <c r="U416" s="27">
        <v>13</v>
      </c>
      <c r="V416" s="27">
        <f t="shared" si="733"/>
        <v>2</v>
      </c>
      <c r="W416" s="107"/>
      <c r="X416" s="30" t="str">
        <f t="shared" si="781"/>
        <v>ＡＩマスコット</v>
      </c>
      <c r="Y416" s="62">
        <f t="shared" si="780"/>
        <v>286</v>
      </c>
      <c r="Z416" s="27">
        <f t="shared" si="736"/>
        <v>572</v>
      </c>
      <c r="AA416" s="28">
        <f t="shared" si="737"/>
        <v>0.17874999999999999</v>
      </c>
      <c r="AB416" s="15"/>
      <c r="AC416" s="15"/>
      <c r="AD416" s="26"/>
      <c r="AE416" s="29">
        <v>11702</v>
      </c>
      <c r="AF416" s="61">
        <f t="shared" si="738"/>
        <v>46</v>
      </c>
      <c r="AG416" s="62">
        <v>298</v>
      </c>
      <c r="AH416" s="27">
        <f t="shared" si="739"/>
        <v>1</v>
      </c>
      <c r="AI416" s="27">
        <v>11</v>
      </c>
      <c r="AJ416" s="27">
        <f t="shared" si="740"/>
        <v>1</v>
      </c>
      <c r="AK416" s="47">
        <v>0</v>
      </c>
      <c r="AL416" s="30" t="str">
        <f t="shared" si="741"/>
        <v>モンチッチマスコット2</v>
      </c>
      <c r="AM416" s="62">
        <f t="shared" si="742"/>
        <v>605</v>
      </c>
      <c r="AN416" s="27">
        <f t="shared" si="743"/>
        <v>605</v>
      </c>
      <c r="AO416" s="28">
        <f t="shared" si="744"/>
        <v>0.13152173913043477</v>
      </c>
      <c r="AP416" s="15"/>
      <c r="AQ416" s="113"/>
      <c r="AR416" s="26"/>
      <c r="AS416" s="29">
        <v>14870</v>
      </c>
      <c r="AT416" s="61">
        <f t="shared" si="745"/>
        <v>45</v>
      </c>
      <c r="AU416" s="62">
        <v>432</v>
      </c>
      <c r="AV416" s="27">
        <f t="shared" si="746"/>
        <v>1</v>
      </c>
      <c r="AW416" s="27">
        <v>33</v>
      </c>
      <c r="AX416" s="27">
        <f t="shared" si="747"/>
        <v>1</v>
      </c>
      <c r="AY416" s="47">
        <v>0</v>
      </c>
      <c r="AZ416" s="30" t="str">
        <f t="shared" si="754"/>
        <v>ラブブマスコット</v>
      </c>
      <c r="BA416" s="62">
        <f t="shared" si="755"/>
        <v>400</v>
      </c>
      <c r="BB416" s="27">
        <f t="shared" si="750"/>
        <v>400</v>
      </c>
      <c r="BC416" s="28">
        <f t="shared" si="751"/>
        <v>8.8888888888888892E-2</v>
      </c>
      <c r="BD416" s="15"/>
      <c r="BT416" s="113"/>
      <c r="BU416" s="16"/>
      <c r="BV416" s="54"/>
      <c r="BW416" s="13" t="str">
        <f t="shared" si="770"/>
        <v/>
      </c>
      <c r="BX416" s="13"/>
      <c r="BY416" s="13"/>
      <c r="BZ416" s="13"/>
      <c r="CA416" s="13" t="str">
        <f t="shared" si="771"/>
        <v/>
      </c>
      <c r="CB416" s="13"/>
      <c r="CC416" s="13"/>
      <c r="CD416" s="13"/>
      <c r="CE416" s="13" t="str">
        <f t="shared" si="756"/>
        <v/>
      </c>
      <c r="CF416" s="14" t="str">
        <f t="shared" si="757"/>
        <v/>
      </c>
      <c r="CG416" s="15"/>
      <c r="CH416" s="1"/>
      <c r="CI416" s="16"/>
      <c r="CJ416" s="54"/>
      <c r="CK416" s="13" t="str">
        <f t="shared" si="772"/>
        <v/>
      </c>
      <c r="CL416" s="13"/>
      <c r="CM416" s="13"/>
      <c r="CN416" s="13"/>
      <c r="CO416" s="13" t="str">
        <f t="shared" si="773"/>
        <v/>
      </c>
      <c r="CP416" s="13"/>
      <c r="CQ416" s="13"/>
      <c r="CR416" s="13"/>
      <c r="CS416" s="13" t="str">
        <f t="shared" si="758"/>
        <v/>
      </c>
      <c r="CT416" s="14" t="str">
        <f t="shared" si="766"/>
        <v/>
      </c>
      <c r="CU416" s="15"/>
      <c r="CV416" s="1"/>
      <c r="CW416" s="16"/>
      <c r="CX416" s="54"/>
      <c r="CY416" s="13" t="str">
        <f t="shared" si="774"/>
        <v/>
      </c>
      <c r="CZ416" s="13"/>
      <c r="DA416" s="13"/>
      <c r="DB416" s="13"/>
      <c r="DC416" s="13" t="str">
        <f t="shared" si="775"/>
        <v/>
      </c>
      <c r="DD416" s="13"/>
      <c r="DE416" s="13"/>
      <c r="DF416" s="13"/>
      <c r="DG416" s="13" t="str">
        <f t="shared" si="759"/>
        <v/>
      </c>
      <c r="DH416" s="14" t="str">
        <f t="shared" si="760"/>
        <v/>
      </c>
      <c r="DI416" s="15"/>
      <c r="DJ416" s="1"/>
      <c r="DK416" s="16"/>
      <c r="DL416" s="54"/>
      <c r="DM416" s="13" t="str">
        <f t="shared" si="776"/>
        <v/>
      </c>
      <c r="DN416" s="13"/>
      <c r="DO416" s="13"/>
      <c r="DP416" s="13"/>
      <c r="DQ416" s="13" t="str">
        <f t="shared" si="777"/>
        <v/>
      </c>
      <c r="DR416" s="13"/>
      <c r="DS416" s="13"/>
      <c r="DT416" s="13"/>
      <c r="DU416" s="13" t="str">
        <f t="shared" si="761"/>
        <v/>
      </c>
      <c r="DV416" s="14" t="str">
        <f t="shared" si="762"/>
        <v/>
      </c>
      <c r="DW416" s="15"/>
    </row>
    <row r="417" spans="1:127" ht="15" customHeight="1" thickTop="1" x14ac:dyDescent="0.2">
      <c r="A417" s="79">
        <v>46034</v>
      </c>
      <c r="B417" s="74">
        <f>IF(A417="","",SUM(D417:D420)+SUM(R417:R420)+SUM(AF417:AF420)+SUM(AT417:AT420)+SUM(BW384,CK384,CY384,DM384))</f>
        <v>2107</v>
      </c>
      <c r="C417" s="53">
        <v>5600</v>
      </c>
      <c r="D417" s="53">
        <f t="shared" si="725"/>
        <v>102</v>
      </c>
      <c r="E417" s="53">
        <v>342</v>
      </c>
      <c r="F417" s="31">
        <f t="shared" si="726"/>
        <v>5</v>
      </c>
      <c r="G417" s="53">
        <v>14</v>
      </c>
      <c r="H417" s="53">
        <f t="shared" si="727"/>
        <v>6</v>
      </c>
      <c r="I417" s="17">
        <v>0</v>
      </c>
      <c r="J417" s="75" t="str">
        <f t="shared" si="779"/>
        <v>ジャグラーボタン</v>
      </c>
      <c r="K417" s="76">
        <f t="shared" si="778"/>
        <v>748</v>
      </c>
      <c r="L417" s="31">
        <f t="shared" si="729"/>
        <v>4488</v>
      </c>
      <c r="M417" s="32">
        <f t="shared" si="730"/>
        <v>0.44</v>
      </c>
      <c r="N417" s="15"/>
      <c r="O417" s="2"/>
      <c r="P417" s="79">
        <f>IF(A417="","",A417)</f>
        <v>46034</v>
      </c>
      <c r="Q417" s="53">
        <v>5439</v>
      </c>
      <c r="R417" s="53">
        <f t="shared" si="731"/>
        <v>133</v>
      </c>
      <c r="S417" s="53">
        <v>187</v>
      </c>
      <c r="T417" s="31">
        <f t="shared" si="732"/>
        <v>13</v>
      </c>
      <c r="U417" s="53">
        <v>4</v>
      </c>
      <c r="V417" s="53">
        <f t="shared" si="733"/>
        <v>9</v>
      </c>
      <c r="W417" s="17">
        <v>2</v>
      </c>
      <c r="X417" s="75" t="str">
        <f t="shared" si="781"/>
        <v>キティボアバンスクリップ</v>
      </c>
      <c r="Y417" s="76">
        <f t="shared" si="780"/>
        <v>1100</v>
      </c>
      <c r="Z417" s="31">
        <f t="shared" si="736"/>
        <v>9900</v>
      </c>
      <c r="AA417" s="32">
        <f t="shared" si="737"/>
        <v>0.74436090225563911</v>
      </c>
      <c r="AB417" s="15" t="s">
        <v>220</v>
      </c>
      <c r="AC417" s="15"/>
      <c r="AD417" s="79">
        <f>IF($A417="","",$A417)</f>
        <v>46034</v>
      </c>
      <c r="AE417" s="53">
        <v>10415</v>
      </c>
      <c r="AF417" s="53">
        <f t="shared" si="738"/>
        <v>47</v>
      </c>
      <c r="AG417" s="53">
        <v>231</v>
      </c>
      <c r="AH417" s="31">
        <f t="shared" si="739"/>
        <v>1</v>
      </c>
      <c r="AI417" s="53">
        <v>11</v>
      </c>
      <c r="AJ417" s="53">
        <f t="shared" si="740"/>
        <v>1</v>
      </c>
      <c r="AK417" s="17">
        <v>0</v>
      </c>
      <c r="AL417" s="135" t="str">
        <f t="shared" si="741"/>
        <v>サンリオ型押しケース</v>
      </c>
      <c r="AM417" s="76">
        <f t="shared" si="742"/>
        <v>545</v>
      </c>
      <c r="AN417" s="31">
        <f t="shared" si="743"/>
        <v>545</v>
      </c>
      <c r="AO417" s="32">
        <f t="shared" si="744"/>
        <v>0.11595744680851064</v>
      </c>
      <c r="AP417" s="15"/>
      <c r="AQ417" s="113"/>
      <c r="AR417" s="79">
        <f>IF($A417="","",$A417)</f>
        <v>46034</v>
      </c>
      <c r="AS417" s="53">
        <v>11016</v>
      </c>
      <c r="AT417" s="53">
        <f t="shared" si="745"/>
        <v>68</v>
      </c>
      <c r="AU417" s="53">
        <v>351</v>
      </c>
      <c r="AV417" s="31">
        <f t="shared" si="746"/>
        <v>3</v>
      </c>
      <c r="AW417" s="53">
        <v>13</v>
      </c>
      <c r="AX417" s="53">
        <f t="shared" si="747"/>
        <v>2</v>
      </c>
      <c r="AY417" s="17">
        <v>0</v>
      </c>
      <c r="AZ417" s="75" t="str">
        <f t="shared" si="754"/>
        <v>サンリオヒョウ柄キーケース</v>
      </c>
      <c r="BA417" s="76">
        <f t="shared" si="755"/>
        <v>924</v>
      </c>
      <c r="BB417" s="31">
        <f t="shared" si="750"/>
        <v>1848</v>
      </c>
      <c r="BC417" s="32">
        <f t="shared" si="751"/>
        <v>0.27176470588235296</v>
      </c>
      <c r="BD417" s="15"/>
      <c r="BT417" s="113"/>
      <c r="BU417" s="16"/>
      <c r="BV417" s="54"/>
      <c r="BW417" s="13" t="str">
        <f t="shared" si="770"/>
        <v/>
      </c>
      <c r="BX417" s="13"/>
      <c r="BY417" s="13"/>
      <c r="BZ417" s="13"/>
      <c r="CA417" s="13" t="str">
        <f t="shared" si="771"/>
        <v/>
      </c>
      <c r="CB417" s="13"/>
      <c r="CC417" s="13"/>
      <c r="CD417" s="13"/>
      <c r="CE417" s="13" t="str">
        <f t="shared" si="756"/>
        <v/>
      </c>
      <c r="CF417" s="14" t="str">
        <f t="shared" si="757"/>
        <v/>
      </c>
      <c r="CG417" s="15"/>
      <c r="CH417" s="1"/>
      <c r="CI417" s="16"/>
      <c r="CJ417" s="54"/>
      <c r="CK417" s="13" t="str">
        <f t="shared" si="772"/>
        <v/>
      </c>
      <c r="CL417" s="13"/>
      <c r="CM417" s="13"/>
      <c r="CN417" s="13"/>
      <c r="CO417" s="13" t="str">
        <f t="shared" si="773"/>
        <v/>
      </c>
      <c r="CP417" s="13"/>
      <c r="CQ417" s="13"/>
      <c r="CR417" s="13"/>
      <c r="CS417" s="13" t="str">
        <f t="shared" si="758"/>
        <v/>
      </c>
      <c r="CT417" s="14" t="str">
        <f t="shared" si="766"/>
        <v/>
      </c>
      <c r="CU417" s="15"/>
      <c r="CV417" s="1"/>
      <c r="CW417" s="16"/>
      <c r="CX417" s="54"/>
      <c r="CY417" s="13" t="str">
        <f t="shared" si="774"/>
        <v/>
      </c>
      <c r="CZ417" s="13"/>
      <c r="DA417" s="13"/>
      <c r="DB417" s="13"/>
      <c r="DC417" s="13" t="str">
        <f t="shared" si="775"/>
        <v/>
      </c>
      <c r="DD417" s="13"/>
      <c r="DE417" s="13"/>
      <c r="DF417" s="13"/>
      <c r="DG417" s="13" t="str">
        <f t="shared" si="759"/>
        <v/>
      </c>
      <c r="DH417" s="14" t="str">
        <f t="shared" si="760"/>
        <v/>
      </c>
      <c r="DI417" s="15"/>
      <c r="DJ417" s="1"/>
      <c r="DK417" s="16"/>
      <c r="DL417" s="54"/>
      <c r="DM417" s="13" t="str">
        <f t="shared" si="776"/>
        <v/>
      </c>
      <c r="DN417" s="13"/>
      <c r="DO417" s="13"/>
      <c r="DP417" s="13"/>
      <c r="DQ417" s="13" t="str">
        <f t="shared" si="777"/>
        <v/>
      </c>
      <c r="DR417" s="13"/>
      <c r="DS417" s="13"/>
      <c r="DT417" s="13"/>
      <c r="DU417" s="13" t="str">
        <f t="shared" si="761"/>
        <v/>
      </c>
      <c r="DV417" s="14" t="str">
        <f t="shared" si="762"/>
        <v/>
      </c>
      <c r="DW417" s="15"/>
    </row>
    <row r="418" spans="1:127" ht="15" customHeight="1" x14ac:dyDescent="0.2">
      <c r="A418" s="16"/>
      <c r="B418" s="11"/>
      <c r="C418" s="13">
        <v>4897</v>
      </c>
      <c r="D418" s="53">
        <f t="shared" si="725"/>
        <v>83</v>
      </c>
      <c r="E418" s="13">
        <v>360</v>
      </c>
      <c r="F418" s="13">
        <f t="shared" si="726"/>
        <v>4</v>
      </c>
      <c r="G418" s="13">
        <v>46</v>
      </c>
      <c r="H418" s="13">
        <f t="shared" si="727"/>
        <v>4</v>
      </c>
      <c r="I418" s="17">
        <v>0</v>
      </c>
      <c r="J418" s="56" t="str">
        <f t="shared" si="779"/>
        <v>電ブル</v>
      </c>
      <c r="K418" s="54">
        <f t="shared" si="778"/>
        <v>1075</v>
      </c>
      <c r="L418" s="13">
        <f t="shared" si="729"/>
        <v>4300</v>
      </c>
      <c r="M418" s="14">
        <f t="shared" si="730"/>
        <v>0.51807228915662651</v>
      </c>
      <c r="N418" s="15"/>
      <c r="O418" s="2"/>
      <c r="P418" s="16"/>
      <c r="Q418" s="13">
        <v>4295</v>
      </c>
      <c r="R418" s="53">
        <f t="shared" si="731"/>
        <v>7</v>
      </c>
      <c r="S418" s="13">
        <v>129</v>
      </c>
      <c r="T418" s="13">
        <f t="shared" si="732"/>
        <v>0</v>
      </c>
      <c r="U418" s="13">
        <v>8</v>
      </c>
      <c r="V418" s="13">
        <f t="shared" si="733"/>
        <v>0</v>
      </c>
      <c r="W418" s="17">
        <v>0</v>
      </c>
      <c r="X418" s="111" t="str">
        <f t="shared" si="781"/>
        <v>北斗の拳ボタン</v>
      </c>
      <c r="Y418" s="54">
        <f t="shared" si="780"/>
        <v>1100</v>
      </c>
      <c r="Z418" s="13">
        <f t="shared" si="736"/>
        <v>0</v>
      </c>
      <c r="AA418" s="14">
        <f t="shared" si="737"/>
        <v>0</v>
      </c>
      <c r="AB418" s="15"/>
      <c r="AC418" s="15"/>
      <c r="AD418" s="16"/>
      <c r="AE418" s="13">
        <v>10108</v>
      </c>
      <c r="AF418" s="53">
        <f t="shared" si="738"/>
        <v>113</v>
      </c>
      <c r="AG418" s="13">
        <v>219</v>
      </c>
      <c r="AH418" s="13">
        <f t="shared" si="739"/>
        <v>2</v>
      </c>
      <c r="AI418" s="13">
        <v>8</v>
      </c>
      <c r="AJ418" s="13">
        <f t="shared" si="740"/>
        <v>2</v>
      </c>
      <c r="AK418" s="17">
        <v>0</v>
      </c>
      <c r="AL418" s="56" t="str">
        <f t="shared" si="741"/>
        <v>サンリオヒョウ柄フェイス</v>
      </c>
      <c r="AM418" s="54">
        <f t="shared" si="742"/>
        <v>792</v>
      </c>
      <c r="AN418" s="13">
        <f t="shared" si="743"/>
        <v>1584</v>
      </c>
      <c r="AO418" s="14">
        <f t="shared" si="744"/>
        <v>0.14017699115044246</v>
      </c>
      <c r="AP418" s="15"/>
      <c r="AQ418" s="113"/>
      <c r="AR418" s="16"/>
      <c r="AS418" s="13">
        <v>7674</v>
      </c>
      <c r="AT418" s="53">
        <f t="shared" si="745"/>
        <v>117</v>
      </c>
      <c r="AU418" s="13">
        <v>398</v>
      </c>
      <c r="AV418" s="13">
        <f t="shared" si="746"/>
        <v>2</v>
      </c>
      <c r="AW418" s="13">
        <v>8</v>
      </c>
      <c r="AX418" s="13">
        <f t="shared" si="747"/>
        <v>2</v>
      </c>
      <c r="AY418" s="17">
        <v>0</v>
      </c>
      <c r="AZ418" s="56" t="str">
        <f t="shared" si="754"/>
        <v>キティフェイスポーチ</v>
      </c>
      <c r="BA418" s="54">
        <f t="shared" si="755"/>
        <v>673</v>
      </c>
      <c r="BB418" s="13">
        <f t="shared" si="750"/>
        <v>1346</v>
      </c>
      <c r="BC418" s="14">
        <f t="shared" si="751"/>
        <v>0.11504273504273504</v>
      </c>
      <c r="BD418" s="15"/>
      <c r="BT418" s="113"/>
      <c r="BU418" s="16"/>
      <c r="BV418" s="54"/>
      <c r="BW418" s="13" t="str">
        <f t="shared" si="770"/>
        <v/>
      </c>
      <c r="BX418" s="13"/>
      <c r="BY418" s="13"/>
      <c r="BZ418" s="13"/>
      <c r="CA418" s="13" t="str">
        <f t="shared" si="771"/>
        <v/>
      </c>
      <c r="CB418" s="13"/>
      <c r="CC418" s="13"/>
      <c r="CD418" s="13"/>
      <c r="CE418" s="13" t="str">
        <f t="shared" si="756"/>
        <v/>
      </c>
      <c r="CF418" s="14" t="str">
        <f t="shared" si="757"/>
        <v/>
      </c>
      <c r="CG418" s="15"/>
      <c r="CH418" s="1"/>
      <c r="CI418" s="16"/>
      <c r="CJ418" s="54"/>
      <c r="CK418" s="13" t="str">
        <f t="shared" si="772"/>
        <v/>
      </c>
      <c r="CL418" s="13"/>
      <c r="CM418" s="13"/>
      <c r="CN418" s="13"/>
      <c r="CO418" s="13" t="str">
        <f t="shared" si="773"/>
        <v/>
      </c>
      <c r="CP418" s="13"/>
      <c r="CQ418" s="13"/>
      <c r="CR418" s="13"/>
      <c r="CS418" s="13" t="str">
        <f t="shared" si="758"/>
        <v/>
      </c>
      <c r="CT418" s="14" t="str">
        <f t="shared" si="766"/>
        <v/>
      </c>
      <c r="CU418" s="15"/>
      <c r="CV418" s="1"/>
      <c r="CW418" s="16"/>
      <c r="CX418" s="54"/>
      <c r="CY418" s="13" t="str">
        <f t="shared" si="774"/>
        <v/>
      </c>
      <c r="CZ418" s="13"/>
      <c r="DA418" s="13"/>
      <c r="DB418" s="13"/>
      <c r="DC418" s="13" t="str">
        <f t="shared" si="775"/>
        <v/>
      </c>
      <c r="DD418" s="13"/>
      <c r="DE418" s="13"/>
      <c r="DF418" s="13"/>
      <c r="DG418" s="13" t="str">
        <f t="shared" si="759"/>
        <v/>
      </c>
      <c r="DH418" s="14" t="str">
        <f t="shared" si="760"/>
        <v/>
      </c>
      <c r="DI418" s="15"/>
      <c r="DJ418" s="1"/>
      <c r="DK418" s="16"/>
      <c r="DL418" s="54"/>
      <c r="DM418" s="13" t="str">
        <f t="shared" si="776"/>
        <v/>
      </c>
      <c r="DN418" s="13"/>
      <c r="DO418" s="13"/>
      <c r="DP418" s="13"/>
      <c r="DQ418" s="13" t="str">
        <f t="shared" si="777"/>
        <v/>
      </c>
      <c r="DR418" s="13"/>
      <c r="DS418" s="13"/>
      <c r="DT418" s="13"/>
      <c r="DU418" s="13" t="str">
        <f t="shared" si="761"/>
        <v/>
      </c>
      <c r="DV418" s="14" t="str">
        <f t="shared" si="762"/>
        <v/>
      </c>
      <c r="DW418" s="15"/>
    </row>
    <row r="419" spans="1:127" ht="15" customHeight="1" x14ac:dyDescent="0.2">
      <c r="A419" s="16"/>
      <c r="B419" s="11"/>
      <c r="C419" s="13">
        <v>11117</v>
      </c>
      <c r="D419" s="63">
        <f t="shared" si="725"/>
        <v>121</v>
      </c>
      <c r="E419" s="13">
        <v>618</v>
      </c>
      <c r="F419" s="13">
        <f t="shared" si="726"/>
        <v>2</v>
      </c>
      <c r="G419" s="13">
        <v>17</v>
      </c>
      <c r="H419" s="13">
        <f t="shared" si="727"/>
        <v>2</v>
      </c>
      <c r="I419" s="17">
        <v>0</v>
      </c>
      <c r="J419" s="56" t="str">
        <f t="shared" si="779"/>
        <v>ゲーム機イヤホン</v>
      </c>
      <c r="K419" s="13">
        <f t="shared" si="778"/>
        <v>1100</v>
      </c>
      <c r="L419" s="13">
        <f t="shared" si="729"/>
        <v>2200</v>
      </c>
      <c r="M419" s="14">
        <f t="shared" si="730"/>
        <v>0.18181818181818182</v>
      </c>
      <c r="N419" s="15"/>
      <c r="O419" s="2"/>
      <c r="P419" s="16"/>
      <c r="Q419" s="13">
        <v>7690</v>
      </c>
      <c r="R419" s="63">
        <f t="shared" si="731"/>
        <v>27</v>
      </c>
      <c r="S419" s="13">
        <v>155</v>
      </c>
      <c r="T419" s="13">
        <f t="shared" si="732"/>
        <v>3</v>
      </c>
      <c r="U419" s="13">
        <v>8</v>
      </c>
      <c r="V419" s="13">
        <f t="shared" si="733"/>
        <v>3</v>
      </c>
      <c r="W419" s="17">
        <v>0</v>
      </c>
      <c r="X419" s="111" t="str">
        <f t="shared" si="781"/>
        <v>サンリオホワイトマスコット</v>
      </c>
      <c r="Y419" s="13">
        <f t="shared" si="780"/>
        <v>660</v>
      </c>
      <c r="Z419" s="13">
        <f t="shared" si="736"/>
        <v>1980</v>
      </c>
      <c r="AA419" s="14">
        <f t="shared" si="737"/>
        <v>0.73333333333333328</v>
      </c>
      <c r="AB419" s="15"/>
      <c r="AC419" s="15"/>
      <c r="AD419" s="16"/>
      <c r="AE419" s="13">
        <v>11921</v>
      </c>
      <c r="AF419" s="63">
        <f t="shared" si="738"/>
        <v>119</v>
      </c>
      <c r="AG419" s="13">
        <v>316</v>
      </c>
      <c r="AH419" s="13">
        <f t="shared" si="739"/>
        <v>2</v>
      </c>
      <c r="AI419" s="13">
        <v>52</v>
      </c>
      <c r="AJ419" s="13">
        <f t="shared" si="740"/>
        <v>3</v>
      </c>
      <c r="AK419" s="17">
        <v>0</v>
      </c>
      <c r="AL419" s="56" t="str">
        <f t="shared" si="741"/>
        <v>ゲームアーク</v>
      </c>
      <c r="AM419" s="13">
        <f t="shared" si="742"/>
        <v>682</v>
      </c>
      <c r="AN419" s="13">
        <f t="shared" si="743"/>
        <v>2046</v>
      </c>
      <c r="AO419" s="14">
        <f t="shared" si="744"/>
        <v>0.17193277310924371</v>
      </c>
      <c r="AP419" s="15"/>
      <c r="AQ419" s="113"/>
      <c r="AR419" s="16"/>
      <c r="AS419" s="13">
        <v>14586</v>
      </c>
      <c r="AT419" s="63">
        <f t="shared" si="745"/>
        <v>122</v>
      </c>
      <c r="AU419" s="13">
        <v>505</v>
      </c>
      <c r="AV419" s="13">
        <f t="shared" si="746"/>
        <v>4</v>
      </c>
      <c r="AW419" s="13">
        <v>22</v>
      </c>
      <c r="AX419" s="13">
        <f t="shared" si="747"/>
        <v>4</v>
      </c>
      <c r="AY419" s="17">
        <v>0</v>
      </c>
      <c r="AZ419" s="56" t="str">
        <f t="shared" si="754"/>
        <v>ラブブキーホルダーおおきめ</v>
      </c>
      <c r="BA419" s="13">
        <f t="shared" si="755"/>
        <v>500</v>
      </c>
      <c r="BB419" s="13">
        <f t="shared" si="750"/>
        <v>2000</v>
      </c>
      <c r="BC419" s="14">
        <f t="shared" si="751"/>
        <v>0.16393442622950818</v>
      </c>
      <c r="BD419" s="15"/>
      <c r="BT419" s="113"/>
      <c r="BU419" s="16"/>
      <c r="BV419" s="54"/>
      <c r="BW419" s="13" t="str">
        <f t="shared" si="770"/>
        <v/>
      </c>
      <c r="BX419" s="13"/>
      <c r="BY419" s="13"/>
      <c r="BZ419" s="13"/>
      <c r="CA419" s="13" t="str">
        <f t="shared" si="771"/>
        <v/>
      </c>
      <c r="CB419" s="13"/>
      <c r="CC419" s="13"/>
      <c r="CD419" s="13"/>
      <c r="CE419" s="13" t="str">
        <f t="shared" si="756"/>
        <v/>
      </c>
      <c r="CF419" s="14" t="str">
        <f t="shared" si="757"/>
        <v/>
      </c>
      <c r="CG419" s="15"/>
      <c r="CH419" s="1"/>
      <c r="CI419" s="16"/>
      <c r="CJ419" s="54"/>
      <c r="CK419" s="13" t="str">
        <f t="shared" si="772"/>
        <v/>
      </c>
      <c r="CL419" s="13"/>
      <c r="CM419" s="13"/>
      <c r="CN419" s="13"/>
      <c r="CO419" s="13" t="str">
        <f t="shared" si="773"/>
        <v/>
      </c>
      <c r="CP419" s="13"/>
      <c r="CQ419" s="13"/>
      <c r="CR419" s="13"/>
      <c r="CS419" s="13" t="str">
        <f t="shared" si="758"/>
        <v/>
      </c>
      <c r="CT419" s="14" t="str">
        <f t="shared" si="766"/>
        <v/>
      </c>
      <c r="CU419" s="15"/>
      <c r="CV419" s="1"/>
      <c r="CW419" s="16"/>
      <c r="CX419" s="54"/>
      <c r="CY419" s="13" t="str">
        <f t="shared" si="774"/>
        <v/>
      </c>
      <c r="CZ419" s="13"/>
      <c r="DA419" s="13"/>
      <c r="DB419" s="13"/>
      <c r="DC419" s="13" t="str">
        <f t="shared" si="775"/>
        <v/>
      </c>
      <c r="DD419" s="13"/>
      <c r="DE419" s="13"/>
      <c r="DF419" s="13"/>
      <c r="DG419" s="13" t="str">
        <f t="shared" si="759"/>
        <v/>
      </c>
      <c r="DH419" s="14" t="str">
        <f t="shared" si="760"/>
        <v/>
      </c>
      <c r="DI419" s="15"/>
      <c r="DJ419" s="1"/>
      <c r="DK419" s="16"/>
      <c r="DL419" s="54"/>
      <c r="DM419" s="13" t="str">
        <f t="shared" si="776"/>
        <v/>
      </c>
      <c r="DN419" s="13"/>
      <c r="DO419" s="13"/>
      <c r="DP419" s="13"/>
      <c r="DQ419" s="13" t="str">
        <f t="shared" si="777"/>
        <v/>
      </c>
      <c r="DR419" s="13"/>
      <c r="DS419" s="13"/>
      <c r="DT419" s="13"/>
      <c r="DU419" s="13" t="str">
        <f t="shared" si="761"/>
        <v/>
      </c>
      <c r="DV419" s="14" t="str">
        <f t="shared" si="762"/>
        <v/>
      </c>
      <c r="DW419" s="15"/>
    </row>
    <row r="420" spans="1:127" ht="15" customHeight="1" thickBot="1" x14ac:dyDescent="0.25">
      <c r="A420" s="26"/>
      <c r="B420" s="46"/>
      <c r="C420" s="27">
        <v>6019</v>
      </c>
      <c r="D420" s="61">
        <f t="shared" si="725"/>
        <v>93</v>
      </c>
      <c r="E420" s="62">
        <v>462</v>
      </c>
      <c r="F420" s="27">
        <f t="shared" si="726"/>
        <v>5</v>
      </c>
      <c r="G420" s="27">
        <v>0</v>
      </c>
      <c r="H420" s="27">
        <f t="shared" si="727"/>
        <v>6</v>
      </c>
      <c r="I420" s="47">
        <v>5</v>
      </c>
      <c r="J420" s="57" t="str">
        <f t="shared" si="779"/>
        <v>サミュエル</v>
      </c>
      <c r="K420" s="62">
        <f t="shared" si="778"/>
        <v>900</v>
      </c>
      <c r="L420" s="27">
        <f t="shared" si="729"/>
        <v>5400</v>
      </c>
      <c r="M420" s="28">
        <f t="shared" si="730"/>
        <v>0.58064516129032262</v>
      </c>
      <c r="N420" s="15" t="s">
        <v>437</v>
      </c>
      <c r="O420" s="2"/>
      <c r="P420" s="26"/>
      <c r="Q420" s="27">
        <v>7670</v>
      </c>
      <c r="R420" s="61">
        <f t="shared" si="731"/>
        <v>127</v>
      </c>
      <c r="S420" s="62">
        <v>127</v>
      </c>
      <c r="T420" s="27">
        <f t="shared" si="732"/>
        <v>1</v>
      </c>
      <c r="U420" s="27">
        <v>12</v>
      </c>
      <c r="V420" s="27">
        <f t="shared" si="733"/>
        <v>1</v>
      </c>
      <c r="W420" s="47">
        <v>0</v>
      </c>
      <c r="X420" s="57" t="str">
        <f t="shared" si="781"/>
        <v>ＡＩマスコット</v>
      </c>
      <c r="Y420" s="62">
        <f t="shared" si="780"/>
        <v>286</v>
      </c>
      <c r="Z420" s="27">
        <f t="shared" si="736"/>
        <v>286</v>
      </c>
      <c r="AA420" s="28">
        <f t="shared" si="737"/>
        <v>2.2519685039370078E-2</v>
      </c>
      <c r="AB420" s="15"/>
      <c r="AC420" s="15"/>
      <c r="AD420" s="26"/>
      <c r="AE420" s="27">
        <v>11769</v>
      </c>
      <c r="AF420" s="61">
        <f t="shared" si="738"/>
        <v>67</v>
      </c>
      <c r="AG420" s="62">
        <v>299</v>
      </c>
      <c r="AH420" s="27">
        <f t="shared" si="739"/>
        <v>1</v>
      </c>
      <c r="AI420" s="27">
        <v>10</v>
      </c>
      <c r="AJ420" s="27">
        <f t="shared" si="740"/>
        <v>1</v>
      </c>
      <c r="AK420" s="47">
        <v>0</v>
      </c>
      <c r="AL420" s="57" t="str">
        <f t="shared" si="741"/>
        <v>モンチッチマスコット2</v>
      </c>
      <c r="AM420" s="62">
        <f t="shared" si="742"/>
        <v>605</v>
      </c>
      <c r="AN420" s="27">
        <f t="shared" si="743"/>
        <v>605</v>
      </c>
      <c r="AO420" s="28">
        <f t="shared" si="744"/>
        <v>9.029850746268657E-2</v>
      </c>
      <c r="AP420" s="15"/>
      <c r="AQ420" s="113"/>
      <c r="AR420" s="26"/>
      <c r="AS420" s="27">
        <v>14959</v>
      </c>
      <c r="AT420" s="61">
        <f t="shared" si="745"/>
        <v>89</v>
      </c>
      <c r="AU420" s="62">
        <v>433</v>
      </c>
      <c r="AV420" s="27">
        <f t="shared" si="746"/>
        <v>1</v>
      </c>
      <c r="AW420" s="27">
        <v>32</v>
      </c>
      <c r="AX420" s="27">
        <f t="shared" si="747"/>
        <v>1</v>
      </c>
      <c r="AY420" s="47">
        <v>0</v>
      </c>
      <c r="AZ420" s="57" t="str">
        <f t="shared" si="754"/>
        <v>ラブブマスコット</v>
      </c>
      <c r="BA420" s="62">
        <f t="shared" si="755"/>
        <v>400</v>
      </c>
      <c r="BB420" s="27">
        <f t="shared" si="750"/>
        <v>400</v>
      </c>
      <c r="BC420" s="28">
        <f t="shared" si="751"/>
        <v>4.49438202247191E-2</v>
      </c>
      <c r="BD420" s="15"/>
      <c r="BT420" s="113"/>
      <c r="BU420" s="16"/>
      <c r="BV420" s="54"/>
      <c r="BW420" s="13" t="str">
        <f t="shared" si="770"/>
        <v/>
      </c>
      <c r="BX420" s="13"/>
      <c r="BY420" s="13"/>
      <c r="BZ420" s="13"/>
      <c r="CA420" s="13" t="str">
        <f t="shared" si="771"/>
        <v/>
      </c>
      <c r="CB420" s="13"/>
      <c r="CC420" s="13"/>
      <c r="CD420" s="13"/>
      <c r="CE420" s="13" t="str">
        <f t="shared" si="756"/>
        <v/>
      </c>
      <c r="CF420" s="14" t="str">
        <f t="shared" si="757"/>
        <v/>
      </c>
      <c r="CG420" s="15"/>
      <c r="CH420" s="1"/>
      <c r="CI420" s="16"/>
      <c r="CJ420" s="54"/>
      <c r="CK420" s="13" t="str">
        <f t="shared" si="772"/>
        <v/>
      </c>
      <c r="CL420" s="13"/>
      <c r="CM420" s="13"/>
      <c r="CN420" s="13"/>
      <c r="CO420" s="13" t="str">
        <f t="shared" si="773"/>
        <v/>
      </c>
      <c r="CP420" s="13"/>
      <c r="CQ420" s="13"/>
      <c r="CR420" s="13"/>
      <c r="CS420" s="13" t="str">
        <f t="shared" si="758"/>
        <v/>
      </c>
      <c r="CT420" s="14" t="str">
        <f t="shared" si="766"/>
        <v/>
      </c>
      <c r="CU420" s="15"/>
      <c r="CV420" s="1"/>
      <c r="CW420" s="16"/>
      <c r="CX420" s="54"/>
      <c r="CY420" s="13" t="str">
        <f t="shared" si="774"/>
        <v/>
      </c>
      <c r="CZ420" s="13"/>
      <c r="DA420" s="13"/>
      <c r="DB420" s="13"/>
      <c r="DC420" s="13" t="str">
        <f t="shared" si="775"/>
        <v/>
      </c>
      <c r="DD420" s="13"/>
      <c r="DE420" s="13"/>
      <c r="DF420" s="13"/>
      <c r="DG420" s="13" t="str">
        <f t="shared" si="759"/>
        <v/>
      </c>
      <c r="DH420" s="14" t="str">
        <f t="shared" si="760"/>
        <v/>
      </c>
      <c r="DI420" s="15"/>
      <c r="DJ420" s="1"/>
      <c r="DK420" s="16"/>
      <c r="DL420" s="54"/>
      <c r="DM420" s="13" t="str">
        <f t="shared" si="776"/>
        <v/>
      </c>
      <c r="DN420" s="13"/>
      <c r="DO420" s="13"/>
      <c r="DP420" s="13"/>
      <c r="DQ420" s="13" t="str">
        <f t="shared" si="777"/>
        <v/>
      </c>
      <c r="DR420" s="13"/>
      <c r="DS420" s="13"/>
      <c r="DT420" s="13"/>
      <c r="DU420" s="13" t="str">
        <f t="shared" si="761"/>
        <v/>
      </c>
      <c r="DV420" s="14" t="str">
        <f t="shared" si="762"/>
        <v/>
      </c>
      <c r="DW420" s="15"/>
    </row>
    <row r="421" spans="1:127" ht="15" customHeight="1" thickTop="1" x14ac:dyDescent="0.2">
      <c r="A421" s="79">
        <v>46036</v>
      </c>
      <c r="B421" s="74">
        <f>IF(A421="","",SUM(D421:D424)+SUM(R421:R424)+SUM(AF421:AF424)+SUM(AT421:AT424)+SUM(BW385,CK385,CY385,DM385))</f>
        <v>1983</v>
      </c>
      <c r="C421" s="53">
        <v>5653</v>
      </c>
      <c r="D421" s="53">
        <f t="shared" si="725"/>
        <v>53</v>
      </c>
      <c r="E421" s="53">
        <v>345</v>
      </c>
      <c r="F421" s="31">
        <f t="shared" si="726"/>
        <v>3</v>
      </c>
      <c r="G421" s="53">
        <v>11</v>
      </c>
      <c r="H421" s="53">
        <f t="shared" si="727"/>
        <v>3</v>
      </c>
      <c r="I421" s="53">
        <v>0</v>
      </c>
      <c r="J421" s="75" t="str">
        <f t="shared" si="779"/>
        <v>ジャグラーボタン</v>
      </c>
      <c r="K421" s="76">
        <f t="shared" si="778"/>
        <v>748</v>
      </c>
      <c r="L421" s="31">
        <f t="shared" si="729"/>
        <v>2244</v>
      </c>
      <c r="M421" s="32">
        <f t="shared" si="730"/>
        <v>0.42339622641509433</v>
      </c>
      <c r="N421" s="15"/>
      <c r="O421" s="2"/>
      <c r="P421" s="79">
        <f>IF(A421="","",A421)</f>
        <v>46036</v>
      </c>
      <c r="Q421" s="53">
        <v>5689</v>
      </c>
      <c r="R421" s="53">
        <f t="shared" si="731"/>
        <v>250</v>
      </c>
      <c r="S421" s="53">
        <v>191</v>
      </c>
      <c r="T421" s="31">
        <f t="shared" si="732"/>
        <v>4</v>
      </c>
      <c r="U421" s="53">
        <v>1</v>
      </c>
      <c r="V421" s="53">
        <f t="shared" si="733"/>
        <v>5</v>
      </c>
      <c r="W421" s="17">
        <v>10</v>
      </c>
      <c r="X421" s="75" t="str">
        <f t="shared" si="781"/>
        <v>キティボアバンスクリップ</v>
      </c>
      <c r="Y421" s="76">
        <f t="shared" si="780"/>
        <v>1100</v>
      </c>
      <c r="Z421" s="31">
        <f t="shared" si="736"/>
        <v>5500</v>
      </c>
      <c r="AA421" s="32">
        <f t="shared" si="737"/>
        <v>0.22</v>
      </c>
      <c r="AB421" s="15"/>
      <c r="AD421" s="79">
        <f>IF($A421="","",$A421)</f>
        <v>46036</v>
      </c>
      <c r="AE421" s="53">
        <v>10483</v>
      </c>
      <c r="AF421" s="53">
        <f t="shared" si="738"/>
        <v>68</v>
      </c>
      <c r="AG421" s="53">
        <v>233</v>
      </c>
      <c r="AH421" s="31">
        <f t="shared" si="739"/>
        <v>2</v>
      </c>
      <c r="AI421" s="53">
        <v>10</v>
      </c>
      <c r="AJ421" s="53">
        <f t="shared" si="740"/>
        <v>1</v>
      </c>
      <c r="AK421" s="53">
        <v>10</v>
      </c>
      <c r="AL421" s="75" t="str">
        <f t="shared" si="741"/>
        <v>サンリオ型押しケース</v>
      </c>
      <c r="AM421" s="76">
        <f t="shared" si="742"/>
        <v>545</v>
      </c>
      <c r="AN421" s="31">
        <f t="shared" si="743"/>
        <v>545</v>
      </c>
      <c r="AO421" s="32">
        <f t="shared" si="744"/>
        <v>8.0147058823529418E-2</v>
      </c>
      <c r="AP421" s="159" t="s">
        <v>438</v>
      </c>
      <c r="AQ421" s="115"/>
      <c r="AR421" s="79">
        <f>IF($A421="","",$A421)</f>
        <v>46036</v>
      </c>
      <c r="AS421" s="53">
        <v>11080</v>
      </c>
      <c r="AT421" s="53">
        <f t="shared" si="745"/>
        <v>64</v>
      </c>
      <c r="AU421" s="53">
        <v>352</v>
      </c>
      <c r="AV421" s="31">
        <f t="shared" si="746"/>
        <v>1</v>
      </c>
      <c r="AW421" s="53">
        <v>12</v>
      </c>
      <c r="AX421" s="53">
        <f t="shared" si="747"/>
        <v>1</v>
      </c>
      <c r="AY421" s="17">
        <v>0</v>
      </c>
      <c r="AZ421" s="75" t="str">
        <f t="shared" si="754"/>
        <v>サンリオヒョウ柄キーケース</v>
      </c>
      <c r="BA421" s="76">
        <f t="shared" si="755"/>
        <v>924</v>
      </c>
      <c r="BB421" s="31">
        <f t="shared" si="750"/>
        <v>924</v>
      </c>
      <c r="BC421" s="32">
        <f t="shared" si="751"/>
        <v>0.144375</v>
      </c>
      <c r="BD421" s="159" t="s">
        <v>438</v>
      </c>
      <c r="BT421" s="114"/>
      <c r="BU421" s="16"/>
      <c r="BV421" s="54"/>
      <c r="BW421" s="13"/>
      <c r="BX421" s="13"/>
      <c r="BY421" s="13"/>
      <c r="BZ421" s="13"/>
      <c r="CA421" s="13"/>
      <c r="CB421" s="13"/>
      <c r="CC421" s="13"/>
      <c r="CD421" s="13"/>
      <c r="CE421" s="13"/>
      <c r="CF421" s="14"/>
      <c r="CG421" s="15"/>
      <c r="CH421" s="1"/>
      <c r="CI421" s="16"/>
      <c r="CJ421" s="54"/>
      <c r="CK421" s="13"/>
      <c r="CL421" s="13"/>
      <c r="CM421" s="13"/>
      <c r="CN421" s="13"/>
      <c r="CO421" s="13"/>
      <c r="CP421" s="13"/>
      <c r="CQ421" s="13"/>
      <c r="CR421" s="13"/>
      <c r="CS421" s="13"/>
      <c r="CT421" s="14"/>
      <c r="CU421" s="15"/>
      <c r="CV421" s="1"/>
      <c r="CW421" s="16"/>
      <c r="CX421" s="54"/>
      <c r="CY421" s="13"/>
      <c r="CZ421" s="13"/>
      <c r="DA421" s="13"/>
      <c r="DB421" s="13"/>
      <c r="DC421" s="13"/>
      <c r="DD421" s="13"/>
      <c r="DE421" s="13"/>
      <c r="DF421" s="13"/>
      <c r="DG421" s="13"/>
      <c r="DH421" s="14"/>
      <c r="DI421" s="15"/>
      <c r="DJ421" s="1"/>
      <c r="DK421" s="16"/>
      <c r="DL421" s="54"/>
      <c r="DM421" s="13"/>
      <c r="DN421" s="13"/>
      <c r="DO421" s="13"/>
      <c r="DP421" s="13"/>
      <c r="DQ421" s="13"/>
      <c r="DR421" s="13"/>
      <c r="DS421" s="13"/>
      <c r="DT421" s="13"/>
      <c r="DU421" s="13"/>
      <c r="DV421" s="14"/>
      <c r="DW421" s="15"/>
    </row>
    <row r="422" spans="1:127" ht="15" customHeight="1" x14ac:dyDescent="0.2">
      <c r="A422" s="16"/>
      <c r="B422" s="11"/>
      <c r="C422" s="13">
        <v>4930</v>
      </c>
      <c r="D422" s="13">
        <f t="shared" si="725"/>
        <v>33</v>
      </c>
      <c r="E422" s="13">
        <v>360</v>
      </c>
      <c r="F422" s="13">
        <f t="shared" si="726"/>
        <v>0</v>
      </c>
      <c r="G422" s="13">
        <v>46</v>
      </c>
      <c r="H422" s="50">
        <f t="shared" si="727"/>
        <v>0</v>
      </c>
      <c r="I422" s="13">
        <v>0</v>
      </c>
      <c r="J422" s="56" t="str">
        <f t="shared" si="779"/>
        <v>電ブル</v>
      </c>
      <c r="K422" s="54">
        <f t="shared" si="778"/>
        <v>1075</v>
      </c>
      <c r="L422" s="13">
        <f t="shared" si="729"/>
        <v>0</v>
      </c>
      <c r="M422" s="14">
        <f t="shared" si="730"/>
        <v>0</v>
      </c>
      <c r="N422" s="15"/>
      <c r="O422" s="2"/>
      <c r="P422" s="16"/>
      <c r="Q422" s="13">
        <v>4308</v>
      </c>
      <c r="R422" s="13">
        <f t="shared" si="731"/>
        <v>13</v>
      </c>
      <c r="S422" s="13">
        <v>132</v>
      </c>
      <c r="T422" s="13">
        <f t="shared" si="732"/>
        <v>3</v>
      </c>
      <c r="U422" s="13">
        <v>5</v>
      </c>
      <c r="V422" s="50">
        <f t="shared" si="733"/>
        <v>3</v>
      </c>
      <c r="W422" s="17">
        <v>0</v>
      </c>
      <c r="X422" s="111" t="str">
        <f t="shared" si="781"/>
        <v>北斗の拳ボタン</v>
      </c>
      <c r="Y422" s="54">
        <f t="shared" si="780"/>
        <v>1100</v>
      </c>
      <c r="Z422" s="13">
        <f t="shared" si="736"/>
        <v>3300</v>
      </c>
      <c r="AA422" s="14">
        <f t="shared" si="737"/>
        <v>2.5384615384615383</v>
      </c>
      <c r="AB422" s="15"/>
      <c r="AD422" s="16"/>
      <c r="AE422" s="13">
        <v>10135</v>
      </c>
      <c r="AF422" s="13">
        <f t="shared" si="738"/>
        <v>27</v>
      </c>
      <c r="AG422" s="13">
        <v>219</v>
      </c>
      <c r="AH422" s="13">
        <f t="shared" si="739"/>
        <v>0</v>
      </c>
      <c r="AI422" s="13">
        <v>8</v>
      </c>
      <c r="AJ422" s="50">
        <f t="shared" si="740"/>
        <v>0</v>
      </c>
      <c r="AK422" s="13">
        <v>0</v>
      </c>
      <c r="AL422" s="56" t="str">
        <f t="shared" si="741"/>
        <v>サンリオヒョウ柄フェイス</v>
      </c>
      <c r="AM422" s="54">
        <f t="shared" si="742"/>
        <v>792</v>
      </c>
      <c r="AN422" s="13">
        <f t="shared" si="743"/>
        <v>0</v>
      </c>
      <c r="AO422" s="14">
        <f t="shared" si="744"/>
        <v>0</v>
      </c>
      <c r="AP422" s="159" t="s">
        <v>438</v>
      </c>
      <c r="AQ422" s="115"/>
      <c r="AR422" s="16"/>
      <c r="AS422" s="13">
        <v>7707</v>
      </c>
      <c r="AT422" s="13">
        <f t="shared" si="745"/>
        <v>33</v>
      </c>
      <c r="AU422" s="13">
        <v>399</v>
      </c>
      <c r="AV422" s="13">
        <f t="shared" si="746"/>
        <v>1</v>
      </c>
      <c r="AW422" s="13">
        <v>7</v>
      </c>
      <c r="AX422" s="50">
        <f t="shared" si="747"/>
        <v>1</v>
      </c>
      <c r="AY422" s="17">
        <v>0</v>
      </c>
      <c r="AZ422" s="56" t="str">
        <f t="shared" si="754"/>
        <v>キティフェイスポーチ</v>
      </c>
      <c r="BA422" s="54">
        <f t="shared" si="755"/>
        <v>673</v>
      </c>
      <c r="BB422" s="13">
        <f t="shared" si="750"/>
        <v>673</v>
      </c>
      <c r="BC422" s="14">
        <f t="shared" si="751"/>
        <v>0.20393939393939395</v>
      </c>
      <c r="BD422" s="159" t="s">
        <v>438</v>
      </c>
      <c r="BT422" s="114"/>
      <c r="BU422" s="16"/>
      <c r="BV422" s="54"/>
      <c r="BW422" s="13" t="str">
        <f>IF(BV422="","",BV422-#REF!)</f>
        <v/>
      </c>
      <c r="BX422" s="13"/>
      <c r="BY422" s="13"/>
      <c r="BZ422" s="13"/>
      <c r="CA422" s="13" t="str">
        <f>IF(BZ422="","",#REF!+#REF!-BZ422)</f>
        <v/>
      </c>
      <c r="CB422" s="13"/>
      <c r="CC422" s="13"/>
      <c r="CD422" s="13"/>
      <c r="CE422" s="13" t="str">
        <f>IF(CD422="","",CA422*CD422)</f>
        <v/>
      </c>
      <c r="CF422" s="14" t="str">
        <f>IF(CE422="","",CE422/(BW422*100))</f>
        <v/>
      </c>
      <c r="CG422" s="15"/>
      <c r="CH422" s="1"/>
      <c r="CI422" s="16"/>
      <c r="CJ422" s="54"/>
      <c r="CK422" s="13" t="str">
        <f>IF(CJ422="","",CJ422-#REF!)</f>
        <v/>
      </c>
      <c r="CL422" s="13"/>
      <c r="CM422" s="13"/>
      <c r="CN422" s="13"/>
      <c r="CO422" s="13" t="str">
        <f>IF(CN422="","",#REF!+#REF!-CN422)</f>
        <v/>
      </c>
      <c r="CP422" s="13"/>
      <c r="CQ422" s="13"/>
      <c r="CR422" s="13"/>
      <c r="CS422" s="13" t="str">
        <f>IF(CR422="","",CO422*CR422)</f>
        <v/>
      </c>
      <c r="CT422" s="14" t="str">
        <f>IF(CS422="","",CS422/(CK422*100))</f>
        <v/>
      </c>
      <c r="CU422" s="15"/>
      <c r="CV422" s="1"/>
      <c r="CW422" s="16"/>
      <c r="CX422" s="54"/>
      <c r="CY422" s="13" t="str">
        <f>IF(CX422="","",CX422-#REF!)</f>
        <v/>
      </c>
      <c r="CZ422" s="13"/>
      <c r="DA422" s="13"/>
      <c r="DB422" s="13"/>
      <c r="DC422" s="13" t="str">
        <f>IF(DB422="","",#REF!+#REF!-DB422)</f>
        <v/>
      </c>
      <c r="DD422" s="13"/>
      <c r="DE422" s="13"/>
      <c r="DF422" s="13"/>
      <c r="DG422" s="13" t="str">
        <f>IF(DF422="","",DC422*DF422)</f>
        <v/>
      </c>
      <c r="DH422" s="14" t="str">
        <f>IF(DG422="","",DG422/(CY422*100))</f>
        <v/>
      </c>
      <c r="DI422" s="15"/>
      <c r="DJ422" s="1"/>
      <c r="DK422" s="16"/>
      <c r="DL422" s="54"/>
      <c r="DM422" s="13" t="str">
        <f>IF(DL422="","",DL422-#REF!)</f>
        <v/>
      </c>
      <c r="DN422" s="13"/>
      <c r="DO422" s="13"/>
      <c r="DP422" s="13"/>
      <c r="DQ422" s="13" t="str">
        <f>IF(DP422="","",#REF!+#REF!-DP422)</f>
        <v/>
      </c>
      <c r="DR422" s="13"/>
      <c r="DS422" s="13"/>
      <c r="DT422" s="13"/>
      <c r="DU422" s="13" t="str">
        <f>IF(DT422="","",DQ422*DT422)</f>
        <v/>
      </c>
      <c r="DV422" s="14" t="str">
        <f>IF(DU422="","",DU422/(DM422*100))</f>
        <v/>
      </c>
      <c r="DW422" s="15"/>
    </row>
    <row r="423" spans="1:127" ht="15" customHeight="1" x14ac:dyDescent="0.2">
      <c r="A423" s="16"/>
      <c r="B423" s="11"/>
      <c r="C423" s="13">
        <v>11198</v>
      </c>
      <c r="D423" s="13">
        <f t="shared" si="725"/>
        <v>81</v>
      </c>
      <c r="E423" s="13">
        <v>623</v>
      </c>
      <c r="F423" s="13">
        <f t="shared" si="726"/>
        <v>5</v>
      </c>
      <c r="G423" s="13">
        <v>14</v>
      </c>
      <c r="H423" s="13">
        <f t="shared" si="727"/>
        <v>3</v>
      </c>
      <c r="I423" s="13">
        <v>0</v>
      </c>
      <c r="J423" s="56" t="str">
        <f t="shared" si="779"/>
        <v>ゲーム機イヤホン</v>
      </c>
      <c r="K423" s="13">
        <f t="shared" si="778"/>
        <v>1100</v>
      </c>
      <c r="L423" s="13">
        <f t="shared" si="729"/>
        <v>3300</v>
      </c>
      <c r="M423" s="14">
        <f t="shared" si="730"/>
        <v>0.40740740740740738</v>
      </c>
      <c r="N423" s="15"/>
      <c r="O423" s="2"/>
      <c r="P423" s="16"/>
      <c r="Q423" s="13">
        <v>7715</v>
      </c>
      <c r="R423" s="13">
        <f t="shared" si="731"/>
        <v>25</v>
      </c>
      <c r="S423" s="13">
        <v>155</v>
      </c>
      <c r="T423" s="13">
        <f t="shared" si="732"/>
        <v>0</v>
      </c>
      <c r="U423" s="13">
        <v>8</v>
      </c>
      <c r="V423" s="13">
        <f t="shared" si="733"/>
        <v>0</v>
      </c>
      <c r="W423" s="17">
        <v>0</v>
      </c>
      <c r="X423" s="111" t="str">
        <f t="shared" si="781"/>
        <v>サンリオホワイトマスコット</v>
      </c>
      <c r="Y423" s="13">
        <f t="shared" si="780"/>
        <v>660</v>
      </c>
      <c r="Z423" s="13">
        <f t="shared" si="736"/>
        <v>0</v>
      </c>
      <c r="AA423" s="14">
        <f t="shared" si="737"/>
        <v>0</v>
      </c>
      <c r="AB423" s="15"/>
      <c r="AD423" s="16"/>
      <c r="AE423" s="13">
        <v>11977</v>
      </c>
      <c r="AF423" s="13">
        <f t="shared" si="738"/>
        <v>56</v>
      </c>
      <c r="AG423" s="13">
        <v>318</v>
      </c>
      <c r="AH423" s="13">
        <f t="shared" si="739"/>
        <v>2</v>
      </c>
      <c r="AI423" s="13">
        <v>50</v>
      </c>
      <c r="AJ423" s="13">
        <f t="shared" si="740"/>
        <v>2</v>
      </c>
      <c r="AK423" s="13">
        <v>6</v>
      </c>
      <c r="AL423" s="56" t="str">
        <f t="shared" si="741"/>
        <v>ゲームアーク</v>
      </c>
      <c r="AM423" s="13">
        <f t="shared" si="742"/>
        <v>682</v>
      </c>
      <c r="AN423" s="13">
        <f t="shared" si="743"/>
        <v>1364</v>
      </c>
      <c r="AO423" s="14">
        <f t="shared" si="744"/>
        <v>0.24357142857142858</v>
      </c>
      <c r="AP423" s="159" t="s">
        <v>438</v>
      </c>
      <c r="AQ423" s="115"/>
      <c r="AR423" s="16"/>
      <c r="AS423" s="13">
        <v>14659</v>
      </c>
      <c r="AT423" s="13">
        <f t="shared" si="745"/>
        <v>73</v>
      </c>
      <c r="AU423" s="13">
        <v>510</v>
      </c>
      <c r="AV423" s="13">
        <f t="shared" si="746"/>
        <v>5</v>
      </c>
      <c r="AW423" s="13">
        <v>16</v>
      </c>
      <c r="AX423" s="13">
        <f t="shared" si="747"/>
        <v>6</v>
      </c>
      <c r="AY423" s="17">
        <v>10</v>
      </c>
      <c r="AZ423" s="56" t="str">
        <f t="shared" si="754"/>
        <v>ラブブキーホルダーおおきめ</v>
      </c>
      <c r="BA423" s="13">
        <f t="shared" si="755"/>
        <v>500</v>
      </c>
      <c r="BB423" s="13">
        <f t="shared" si="750"/>
        <v>3000</v>
      </c>
      <c r="BC423" s="14">
        <f t="shared" si="751"/>
        <v>0.41095890410958902</v>
      </c>
      <c r="BD423" s="159" t="s">
        <v>438</v>
      </c>
      <c r="BU423" s="16"/>
      <c r="BV423" s="54"/>
      <c r="BW423" s="13" t="str">
        <f>IF(BV423="","",BV423-BV422)</f>
        <v/>
      </c>
      <c r="BX423" s="13"/>
      <c r="BY423" s="13"/>
      <c r="BZ423" s="13"/>
      <c r="CA423" s="13" t="str">
        <f>IF(BZ423="","",BZ422+CB422-BZ423)</f>
        <v/>
      </c>
      <c r="CB423" s="13"/>
      <c r="CC423" s="13"/>
      <c r="CD423" s="13"/>
      <c r="CE423" s="13" t="str">
        <f>IF(CD423="","",CA423*CD423)</f>
        <v/>
      </c>
      <c r="CF423" s="14" t="str">
        <f>IF(CE423="","",CE423/(BW423*100))</f>
        <v/>
      </c>
      <c r="CG423" s="15"/>
      <c r="CH423" s="1"/>
      <c r="CI423" s="16"/>
      <c r="CJ423" s="54"/>
      <c r="CK423" s="13" t="str">
        <f>IF(CJ423="","",CJ423-CJ422)</f>
        <v/>
      </c>
      <c r="CL423" s="13"/>
      <c r="CM423" s="13"/>
      <c r="CN423" s="13"/>
      <c r="CO423" s="13" t="str">
        <f>IF(CN423="","",CN422+CP422-CN423)</f>
        <v/>
      </c>
      <c r="CP423" s="13"/>
      <c r="CQ423" s="13"/>
      <c r="CR423" s="13"/>
      <c r="CS423" s="13" t="str">
        <f>IF(CR423="","",CO423*CR423)</f>
        <v/>
      </c>
      <c r="CT423" s="14" t="str">
        <f>IF(CS423="","",CS423/(CK423*100))</f>
        <v/>
      </c>
      <c r="CU423" s="15"/>
      <c r="CV423" s="1"/>
      <c r="CW423" s="16"/>
      <c r="CX423" s="54"/>
      <c r="CY423" s="13" t="str">
        <f>IF(CX423="","",CX423-CX422)</f>
        <v/>
      </c>
      <c r="CZ423" s="13"/>
      <c r="DA423" s="13"/>
      <c r="DB423" s="13"/>
      <c r="DC423" s="13" t="str">
        <f>IF(DB423="","",DB422+DD422-DB423)</f>
        <v/>
      </c>
      <c r="DD423" s="13"/>
      <c r="DE423" s="13"/>
      <c r="DF423" s="13"/>
      <c r="DG423" s="13" t="str">
        <f>IF(DF423="","",DC423*DF423)</f>
        <v/>
      </c>
      <c r="DH423" s="14" t="str">
        <f>IF(DG423="","",DG423/(CY423*100))</f>
        <v/>
      </c>
      <c r="DI423" s="15"/>
      <c r="DJ423" s="1"/>
      <c r="DK423" s="16"/>
      <c r="DL423" s="54"/>
      <c r="DM423" s="13" t="str">
        <f>IF(DL423="","",DL423-DL422)</f>
        <v/>
      </c>
      <c r="DN423" s="13"/>
      <c r="DO423" s="13"/>
      <c r="DP423" s="13"/>
      <c r="DQ423" s="13" t="str">
        <f>IF(DP423="","",DP422+DR422-DP423)</f>
        <v/>
      </c>
      <c r="DR423" s="13"/>
      <c r="DS423" s="13"/>
      <c r="DT423" s="13"/>
      <c r="DU423" s="13" t="str">
        <f>IF(DT423="","",DQ423*DT423)</f>
        <v/>
      </c>
      <c r="DV423" s="14" t="str">
        <f>IF(DU423="","",DU423/(DM423*100))</f>
        <v/>
      </c>
      <c r="DW423" s="15"/>
    </row>
    <row r="424" spans="1:127" ht="15" customHeight="1" thickBot="1" x14ac:dyDescent="0.25">
      <c r="A424" s="26"/>
      <c r="B424" s="46"/>
      <c r="C424" s="27">
        <v>6128</v>
      </c>
      <c r="D424" s="27">
        <f t="shared" si="725"/>
        <v>109</v>
      </c>
      <c r="E424" s="27">
        <v>463</v>
      </c>
      <c r="F424" s="27">
        <f t="shared" si="726"/>
        <v>1</v>
      </c>
      <c r="G424" s="27">
        <v>4</v>
      </c>
      <c r="H424" s="27">
        <f t="shared" si="727"/>
        <v>1</v>
      </c>
      <c r="I424" s="27">
        <v>8</v>
      </c>
      <c r="J424" s="57" t="s">
        <v>439</v>
      </c>
      <c r="K424" s="62">
        <f t="shared" si="778"/>
        <v>900</v>
      </c>
      <c r="L424" s="27">
        <f t="shared" si="729"/>
        <v>900</v>
      </c>
      <c r="M424" s="28">
        <f t="shared" si="730"/>
        <v>8.2568807339449546E-2</v>
      </c>
      <c r="N424" s="15"/>
      <c r="O424" s="2"/>
      <c r="P424" s="26"/>
      <c r="Q424" s="27">
        <v>7716</v>
      </c>
      <c r="R424" s="27">
        <f t="shared" si="731"/>
        <v>46</v>
      </c>
      <c r="S424" s="27">
        <v>128</v>
      </c>
      <c r="T424" s="27">
        <f t="shared" si="732"/>
        <v>1</v>
      </c>
      <c r="U424" s="27">
        <v>11</v>
      </c>
      <c r="V424" s="27">
        <f t="shared" si="733"/>
        <v>1</v>
      </c>
      <c r="W424" s="47">
        <v>0</v>
      </c>
      <c r="X424" s="57" t="str">
        <f t="shared" si="781"/>
        <v>ＡＩマスコット</v>
      </c>
      <c r="Y424" s="62">
        <f t="shared" si="780"/>
        <v>286</v>
      </c>
      <c r="Z424" s="27">
        <f t="shared" si="736"/>
        <v>286</v>
      </c>
      <c r="AA424" s="28">
        <f t="shared" si="737"/>
        <v>6.217391304347826E-2</v>
      </c>
      <c r="AB424" s="15"/>
      <c r="AD424" s="26"/>
      <c r="AE424" s="27">
        <v>11802</v>
      </c>
      <c r="AF424" s="27">
        <f t="shared" si="738"/>
        <v>33</v>
      </c>
      <c r="AG424" s="27">
        <v>300</v>
      </c>
      <c r="AH424" s="27">
        <f t="shared" si="739"/>
        <v>1</v>
      </c>
      <c r="AI424" s="27">
        <v>9</v>
      </c>
      <c r="AJ424" s="27">
        <f t="shared" si="740"/>
        <v>1</v>
      </c>
      <c r="AK424" s="27">
        <v>6</v>
      </c>
      <c r="AL424" s="57" t="str">
        <f t="shared" si="741"/>
        <v>モンチッチマスコット2</v>
      </c>
      <c r="AM424" s="62">
        <f t="shared" si="742"/>
        <v>605</v>
      </c>
      <c r="AN424" s="27">
        <f t="shared" si="743"/>
        <v>605</v>
      </c>
      <c r="AO424" s="28">
        <f t="shared" si="744"/>
        <v>0.18333333333333332</v>
      </c>
      <c r="AP424" s="159" t="s">
        <v>438</v>
      </c>
      <c r="AQ424" s="115"/>
      <c r="AR424" s="26"/>
      <c r="AS424" s="27">
        <v>15097</v>
      </c>
      <c r="AT424" s="27">
        <f t="shared" si="745"/>
        <v>138</v>
      </c>
      <c r="AU424" s="27">
        <v>435</v>
      </c>
      <c r="AV424" s="27">
        <f t="shared" si="746"/>
        <v>2</v>
      </c>
      <c r="AW424" s="27">
        <v>30</v>
      </c>
      <c r="AX424" s="27">
        <f t="shared" si="747"/>
        <v>2</v>
      </c>
      <c r="AY424" s="47">
        <v>0</v>
      </c>
      <c r="AZ424" s="57" t="str">
        <f t="shared" si="754"/>
        <v>ラブブマスコット</v>
      </c>
      <c r="BA424" s="62">
        <f t="shared" si="755"/>
        <v>400</v>
      </c>
      <c r="BB424" s="27">
        <f t="shared" si="750"/>
        <v>800</v>
      </c>
      <c r="BC424" s="28">
        <f t="shared" si="751"/>
        <v>5.7971014492753624E-2</v>
      </c>
      <c r="BD424" s="159" t="s">
        <v>438</v>
      </c>
      <c r="BU424" s="16"/>
      <c r="BV424" s="54"/>
      <c r="BW424" s="13" t="str">
        <f>IF(BV424="","",BV424-BV423)</f>
        <v/>
      </c>
      <c r="BX424" s="13"/>
      <c r="BY424" s="13"/>
      <c r="BZ424" s="13"/>
      <c r="CA424" s="13" t="str">
        <f>IF(BZ424="","",BZ423+CB423-BZ424)</f>
        <v/>
      </c>
      <c r="CB424" s="13"/>
      <c r="CC424" s="13"/>
      <c r="CD424" s="13"/>
      <c r="CE424" s="13" t="str">
        <f>IF(CD424="","",CA424*CD424)</f>
        <v/>
      </c>
      <c r="CF424" s="14" t="str">
        <f>IF(CE424="","",CE424/(BW424*100))</f>
        <v/>
      </c>
      <c r="CG424" s="15"/>
      <c r="CH424" s="1"/>
      <c r="CI424" s="16"/>
      <c r="CJ424" s="54"/>
      <c r="CK424" s="13" t="str">
        <f>IF(CJ424="","",CJ424-CJ423)</f>
        <v/>
      </c>
      <c r="CL424" s="13"/>
      <c r="CM424" s="13"/>
      <c r="CN424" s="13"/>
      <c r="CO424" s="13" t="str">
        <f>IF(CN424="","",CN423+CP423-CN424)</f>
        <v/>
      </c>
      <c r="CP424" s="13"/>
      <c r="CQ424" s="13"/>
      <c r="CR424" s="13"/>
      <c r="CS424" s="13" t="str">
        <f>IF(CR424="","",CO424*CR424)</f>
        <v/>
      </c>
      <c r="CT424" s="14" t="str">
        <f>IF(CS424="","",CS424/(CK424*100))</f>
        <v/>
      </c>
      <c r="CU424" s="15"/>
      <c r="CV424" s="1"/>
      <c r="CW424" s="16"/>
      <c r="CX424" s="54"/>
      <c r="CY424" s="13" t="str">
        <f>IF(CX424="","",CX424-CX423)</f>
        <v/>
      </c>
      <c r="CZ424" s="13"/>
      <c r="DA424" s="13"/>
      <c r="DB424" s="13"/>
      <c r="DC424" s="13" t="str">
        <f>IF(DB424="","",DB423+DD423-DB424)</f>
        <v/>
      </c>
      <c r="DD424" s="13"/>
      <c r="DE424" s="13"/>
      <c r="DF424" s="13"/>
      <c r="DG424" s="13" t="str">
        <f>IF(DF424="","",DC424*DF424)</f>
        <v/>
      </c>
      <c r="DH424" s="14" t="str">
        <f>IF(DG424="","",DG424/(CY424*100))</f>
        <v/>
      </c>
      <c r="DI424" s="15"/>
      <c r="DJ424" s="1"/>
      <c r="DK424" s="16"/>
      <c r="DL424" s="54"/>
      <c r="DM424" s="13" t="str">
        <f>IF(DL424="","",DL424-DL423)</f>
        <v/>
      </c>
      <c r="DN424" s="13"/>
      <c r="DO424" s="13"/>
      <c r="DP424" s="13"/>
      <c r="DQ424" s="13" t="str">
        <f>IF(DP424="","",DP423+DR423-DP424)</f>
        <v/>
      </c>
      <c r="DR424" s="13"/>
      <c r="DS424" s="13"/>
      <c r="DT424" s="13"/>
      <c r="DU424" s="13" t="str">
        <f>IF(DT424="","",DQ424*DT424)</f>
        <v/>
      </c>
      <c r="DV424" s="14" t="str">
        <f>IF(DU424="","",DU424/(DM424*100))</f>
        <v/>
      </c>
      <c r="DW424" s="15"/>
    </row>
    <row r="425" spans="1:127" ht="15" customHeight="1" thickTop="1" x14ac:dyDescent="0.2">
      <c r="A425" s="79"/>
      <c r="B425" s="74"/>
      <c r="C425" s="53"/>
      <c r="D425" s="53"/>
      <c r="E425" s="53"/>
      <c r="F425" s="31"/>
      <c r="G425" s="53"/>
      <c r="H425" s="53"/>
      <c r="I425" s="53"/>
      <c r="J425" s="75"/>
      <c r="K425" s="76"/>
      <c r="L425" s="31"/>
      <c r="M425" s="32"/>
      <c r="N425" s="15"/>
      <c r="O425" s="2"/>
      <c r="P425" s="79"/>
      <c r="Q425" s="53"/>
      <c r="R425" s="53"/>
      <c r="S425" s="53"/>
      <c r="T425" s="31"/>
      <c r="U425" s="53"/>
      <c r="V425" s="53"/>
      <c r="W425" s="53"/>
      <c r="X425" s="75"/>
      <c r="Y425" s="76"/>
      <c r="Z425" s="31"/>
      <c r="AA425" s="32"/>
      <c r="AB425" s="15"/>
      <c r="AD425" s="79"/>
      <c r="AE425" s="53"/>
      <c r="AF425" s="53"/>
      <c r="AG425" s="53"/>
      <c r="AH425" s="31"/>
      <c r="AI425" s="53"/>
      <c r="AJ425" s="53"/>
      <c r="AK425" s="53"/>
      <c r="AL425" s="75"/>
      <c r="AM425" s="76"/>
      <c r="AN425" s="31"/>
      <c r="AO425" s="32"/>
      <c r="AP425" s="15"/>
      <c r="AQ425" s="2"/>
      <c r="AR425" s="79"/>
      <c r="AS425" s="53"/>
      <c r="AT425" s="53"/>
      <c r="AU425" s="53"/>
      <c r="AV425" s="31"/>
      <c r="AW425" s="53"/>
      <c r="AX425" s="53"/>
      <c r="AY425" s="53"/>
      <c r="AZ425" s="75"/>
      <c r="BA425" s="76"/>
      <c r="BB425" s="31"/>
      <c r="BC425" s="32"/>
      <c r="BD425" s="15"/>
      <c r="BU425" s="16"/>
      <c r="BV425" s="54"/>
      <c r="BW425" s="13"/>
      <c r="BX425" s="13"/>
      <c r="BY425" s="13"/>
      <c r="BZ425" s="13"/>
      <c r="CA425" s="13" t="str">
        <f>IF(BZ425="","",BZ424+CB424-BZ425)</f>
        <v/>
      </c>
      <c r="CB425" s="13"/>
      <c r="CC425" s="13"/>
      <c r="CD425" s="13"/>
      <c r="CE425" s="13" t="str">
        <f>IF(CD425="","",CA425*CD425)</f>
        <v/>
      </c>
      <c r="CF425" s="14" t="str">
        <f>IF(CE425="","",CE425/(BW425*100))</f>
        <v/>
      </c>
      <c r="CG425" s="15"/>
      <c r="CH425" s="1"/>
      <c r="CI425" s="16"/>
      <c r="CJ425" s="54"/>
      <c r="CK425" s="13"/>
      <c r="CL425" s="13"/>
      <c r="CM425" s="13"/>
      <c r="CN425" s="13"/>
      <c r="CO425" s="13" t="str">
        <f>IF(CN425="","",CN424+CP424-CN425)</f>
        <v/>
      </c>
      <c r="CP425" s="13"/>
      <c r="CQ425" s="13"/>
      <c r="CR425" s="13"/>
      <c r="CS425" s="13" t="str">
        <f>IF(CR425="","",CO425*CR425)</f>
        <v/>
      </c>
      <c r="CT425" s="14" t="str">
        <f>IF(CS425="","",CS425/(CK425*100))</f>
        <v/>
      </c>
      <c r="CU425" s="15"/>
      <c r="CV425" s="1"/>
      <c r="CW425" s="16"/>
      <c r="CX425" s="54"/>
      <c r="CY425" s="13"/>
      <c r="CZ425" s="13"/>
      <c r="DA425" s="13"/>
      <c r="DB425" s="13"/>
      <c r="DC425" s="13" t="str">
        <f>IF(DB425="","",DB424+DD424-DB425)</f>
        <v/>
      </c>
      <c r="DD425" s="13"/>
      <c r="DE425" s="13"/>
      <c r="DF425" s="13"/>
      <c r="DG425" s="13" t="str">
        <f>IF(DF425="","",DC425*DF425)</f>
        <v/>
      </c>
      <c r="DH425" s="14" t="str">
        <f>IF(DG425="","",DG425/(CY425*100))</f>
        <v/>
      </c>
      <c r="DI425" s="15"/>
      <c r="DJ425" s="1"/>
      <c r="DK425" s="16"/>
      <c r="DL425" s="54"/>
      <c r="DM425" s="13"/>
      <c r="DN425" s="13"/>
      <c r="DO425" s="13"/>
      <c r="DP425" s="13"/>
      <c r="DQ425" s="13" t="str">
        <f>IF(DP425="","",DP424+DR424-DP425)</f>
        <v/>
      </c>
      <c r="DR425" s="13"/>
      <c r="DS425" s="13"/>
      <c r="DT425" s="13"/>
      <c r="DU425" s="13" t="str">
        <f>IF(DT425="","",DQ425*DT425)</f>
        <v/>
      </c>
      <c r="DV425" s="14" t="str">
        <f>IF(DU425="","",DU425/(DM425*100))</f>
        <v/>
      </c>
      <c r="DW425" s="15"/>
    </row>
    <row r="426" spans="1:127" ht="15" customHeight="1" x14ac:dyDescent="0.2">
      <c r="A426" s="79"/>
      <c r="B426" s="74"/>
      <c r="C426" s="53"/>
      <c r="D426" s="13"/>
      <c r="E426" s="53"/>
      <c r="F426" s="13"/>
      <c r="G426" s="53"/>
      <c r="H426" s="50"/>
      <c r="I426" s="53"/>
      <c r="J426" s="56"/>
      <c r="K426" s="54"/>
      <c r="L426" s="13"/>
      <c r="M426" s="14"/>
      <c r="N426" s="15"/>
      <c r="O426" s="2"/>
      <c r="P426" s="79"/>
      <c r="Q426" s="53"/>
      <c r="R426" s="13"/>
      <c r="S426" s="53"/>
      <c r="T426" s="13"/>
      <c r="U426" s="53"/>
      <c r="V426" s="50"/>
      <c r="W426" s="53"/>
      <c r="X426" s="56"/>
      <c r="Y426" s="54"/>
      <c r="Z426" s="13"/>
      <c r="AA426" s="14"/>
      <c r="AB426" s="15"/>
      <c r="AD426" s="79"/>
      <c r="AE426" s="53"/>
      <c r="AF426" s="13"/>
      <c r="AG426" s="53"/>
      <c r="AH426" s="13"/>
      <c r="AI426" s="53"/>
      <c r="AJ426" s="50"/>
      <c r="AK426" s="53"/>
      <c r="AL426" s="56"/>
      <c r="AM426" s="54"/>
      <c r="AN426" s="13"/>
      <c r="AO426" s="14"/>
      <c r="AP426" s="15"/>
      <c r="AQ426" s="2"/>
      <c r="AR426" s="79"/>
      <c r="AS426" s="53"/>
      <c r="AT426" s="13"/>
      <c r="AU426" s="53"/>
      <c r="AV426" s="13"/>
      <c r="AW426" s="53"/>
      <c r="AX426" s="50"/>
      <c r="AY426" s="53"/>
      <c r="AZ426" s="56"/>
      <c r="BA426" s="54"/>
      <c r="BB426" s="13"/>
      <c r="BC426" s="14"/>
      <c r="BD426" s="15"/>
      <c r="BU426" s="16"/>
      <c r="BV426" s="54"/>
      <c r="BW426" s="13"/>
      <c r="BX426" s="13"/>
      <c r="BY426" s="13"/>
      <c r="BZ426" s="13"/>
      <c r="CA426" s="13"/>
      <c r="CB426" s="13"/>
      <c r="CC426" s="13"/>
      <c r="CD426" s="13"/>
      <c r="CE426" s="13"/>
      <c r="CF426" s="14"/>
      <c r="CG426" s="15"/>
      <c r="CH426" s="1"/>
      <c r="CI426" s="16"/>
      <c r="CJ426" s="54"/>
      <c r="CK426" s="13"/>
      <c r="CL426" s="13"/>
      <c r="CM426" s="13"/>
      <c r="CN426" s="13"/>
      <c r="CO426" s="13"/>
      <c r="CP426" s="13"/>
      <c r="CQ426" s="13"/>
      <c r="CR426" s="13"/>
      <c r="CS426" s="13"/>
      <c r="CT426" s="14"/>
      <c r="CU426" s="15"/>
      <c r="CV426" s="1"/>
      <c r="CW426" s="16"/>
      <c r="CX426" s="54"/>
      <c r="CY426" s="13"/>
      <c r="CZ426" s="13"/>
      <c r="DA426" s="13"/>
      <c r="DB426" s="13"/>
      <c r="DC426" s="13"/>
      <c r="DD426" s="13"/>
      <c r="DE426" s="13"/>
      <c r="DF426" s="13"/>
      <c r="DG426" s="13"/>
      <c r="DH426" s="14"/>
      <c r="DI426" s="15"/>
      <c r="DJ426" s="1"/>
      <c r="DK426" s="16"/>
      <c r="DL426" s="54"/>
      <c r="DM426" s="13"/>
      <c r="DN426" s="13"/>
      <c r="DO426" s="13"/>
      <c r="DP426" s="13"/>
      <c r="DQ426" s="13"/>
      <c r="DR426" s="13"/>
      <c r="DS426" s="13"/>
      <c r="DT426" s="13"/>
      <c r="DU426" s="13"/>
      <c r="DV426" s="14"/>
      <c r="DW426" s="15"/>
    </row>
    <row r="427" spans="1:127" ht="15" customHeight="1" x14ac:dyDescent="0.2">
      <c r="A427" s="79"/>
      <c r="B427" s="74"/>
      <c r="C427" s="53"/>
      <c r="D427" s="13"/>
      <c r="E427" s="53"/>
      <c r="F427" s="13"/>
      <c r="G427" s="53"/>
      <c r="H427" s="13"/>
      <c r="I427" s="53"/>
      <c r="J427" s="56"/>
      <c r="K427" s="13"/>
      <c r="L427" s="13"/>
      <c r="M427" s="14"/>
      <c r="N427" s="15"/>
      <c r="O427" s="2"/>
      <c r="P427" s="79"/>
      <c r="Q427" s="53"/>
      <c r="R427" s="13"/>
      <c r="S427" s="53"/>
      <c r="T427" s="13"/>
      <c r="U427" s="53"/>
      <c r="V427" s="13"/>
      <c r="W427" s="53"/>
      <c r="X427" s="56"/>
      <c r="Y427" s="13"/>
      <c r="Z427" s="13"/>
      <c r="AA427" s="14"/>
      <c r="AB427" s="15"/>
      <c r="AD427" s="79"/>
      <c r="AE427" s="53"/>
      <c r="AF427" s="13"/>
      <c r="AG427" s="53"/>
      <c r="AH427" s="13"/>
      <c r="AI427" s="53"/>
      <c r="AJ427" s="13"/>
      <c r="AK427" s="53"/>
      <c r="AL427" s="56"/>
      <c r="AM427" s="13"/>
      <c r="AN427" s="13"/>
      <c r="AO427" s="14"/>
      <c r="AP427" s="15"/>
      <c r="AQ427" s="2"/>
      <c r="AR427" s="79"/>
      <c r="AS427" s="53"/>
      <c r="AT427" s="13"/>
      <c r="AU427" s="53"/>
      <c r="AV427" s="13"/>
      <c r="AW427" s="53"/>
      <c r="AX427" s="13"/>
      <c r="AY427" s="53"/>
      <c r="AZ427" s="56"/>
      <c r="BA427" s="13"/>
      <c r="BB427" s="13"/>
      <c r="BC427" s="14"/>
      <c r="BD427" s="15"/>
      <c r="BU427" s="16"/>
      <c r="BV427" s="54"/>
      <c r="BW427" s="13"/>
      <c r="BX427" s="13"/>
      <c r="BY427" s="13"/>
      <c r="BZ427" s="13"/>
      <c r="CA427" s="13"/>
      <c r="CB427" s="13"/>
      <c r="CC427" s="13"/>
      <c r="CD427" s="13"/>
      <c r="CE427" s="13"/>
      <c r="CF427" s="14"/>
      <c r="CG427" s="15"/>
      <c r="CH427" s="1"/>
      <c r="CI427" s="16"/>
      <c r="CJ427" s="54"/>
      <c r="CK427" s="13"/>
      <c r="CL427" s="13"/>
      <c r="CM427" s="13"/>
      <c r="CN427" s="13"/>
      <c r="CO427" s="13"/>
      <c r="CP427" s="13"/>
      <c r="CQ427" s="13"/>
      <c r="CR427" s="13"/>
      <c r="CS427" s="13"/>
      <c r="CT427" s="14"/>
      <c r="CU427" s="15"/>
      <c r="CV427" s="1"/>
      <c r="CW427" s="16"/>
      <c r="CX427" s="54"/>
      <c r="CY427" s="13"/>
      <c r="CZ427" s="13"/>
      <c r="DA427" s="13"/>
      <c r="DB427" s="13"/>
      <c r="DC427" s="13"/>
      <c r="DD427" s="13"/>
      <c r="DE427" s="13"/>
      <c r="DF427" s="13"/>
      <c r="DG427" s="13"/>
      <c r="DH427" s="14"/>
      <c r="DI427" s="15"/>
      <c r="DJ427" s="1"/>
      <c r="DK427" s="16"/>
      <c r="DL427" s="54"/>
      <c r="DM427" s="13"/>
      <c r="DN427" s="13"/>
      <c r="DO427" s="13"/>
      <c r="DP427" s="13"/>
      <c r="DQ427" s="13"/>
      <c r="DR427" s="13"/>
      <c r="DS427" s="13"/>
      <c r="DT427" s="13"/>
      <c r="DU427" s="13"/>
      <c r="DV427" s="14"/>
      <c r="DW427" s="15"/>
    </row>
    <row r="428" spans="1:127" ht="15" customHeight="1" thickBot="1" x14ac:dyDescent="0.25">
      <c r="A428" s="160"/>
      <c r="B428" s="161"/>
      <c r="C428" s="162"/>
      <c r="D428" s="163"/>
      <c r="E428" s="162"/>
      <c r="F428" s="163"/>
      <c r="G428" s="162"/>
      <c r="H428" s="163"/>
      <c r="I428" s="162"/>
      <c r="J428" s="164"/>
      <c r="K428" s="165"/>
      <c r="L428" s="163"/>
      <c r="M428" s="166"/>
      <c r="N428" s="167"/>
      <c r="O428" s="168"/>
      <c r="P428" s="160"/>
      <c r="Q428" s="162"/>
      <c r="R428" s="163"/>
      <c r="S428" s="162"/>
      <c r="T428" s="163"/>
      <c r="U428" s="162"/>
      <c r="V428" s="163"/>
      <c r="W428" s="162"/>
      <c r="X428" s="164"/>
      <c r="Y428" s="165"/>
      <c r="Z428" s="163"/>
      <c r="AA428" s="166"/>
      <c r="AB428" s="167"/>
      <c r="AC428" s="169"/>
      <c r="AD428" s="160"/>
      <c r="AE428" s="162"/>
      <c r="AF428" s="163"/>
      <c r="AG428" s="162"/>
      <c r="AH428" s="163"/>
      <c r="AI428" s="162"/>
      <c r="AJ428" s="163"/>
      <c r="AK428" s="162"/>
      <c r="AL428" s="164"/>
      <c r="AM428" s="165"/>
      <c r="AN428" s="163"/>
      <c r="AO428" s="166"/>
      <c r="AP428" s="167"/>
      <c r="AQ428" s="168"/>
      <c r="AR428" s="160"/>
      <c r="AS428" s="162"/>
      <c r="AT428" s="163"/>
      <c r="AU428" s="162"/>
      <c r="AV428" s="163"/>
      <c r="AW428" s="162"/>
      <c r="AX428" s="163"/>
      <c r="AY428" s="162"/>
      <c r="AZ428" s="164"/>
      <c r="BA428" s="165"/>
      <c r="BB428" s="163"/>
      <c r="BC428" s="166"/>
      <c r="BD428" s="167"/>
      <c r="BT428" s="169"/>
      <c r="BU428" s="170"/>
      <c r="BV428" s="165"/>
      <c r="BW428" s="163"/>
      <c r="BX428" s="163"/>
      <c r="BY428" s="163"/>
      <c r="BZ428" s="163"/>
      <c r="CA428" s="163"/>
      <c r="CB428" s="163"/>
      <c r="CC428" s="163"/>
      <c r="CD428" s="163"/>
      <c r="CE428" s="163"/>
      <c r="CF428" s="166"/>
      <c r="CG428" s="167"/>
      <c r="CH428" s="171"/>
      <c r="CI428" s="170"/>
      <c r="CJ428" s="165"/>
      <c r="CK428" s="163"/>
      <c r="CL428" s="163"/>
      <c r="CM428" s="163"/>
      <c r="CN428" s="163"/>
      <c r="CO428" s="163"/>
      <c r="CP428" s="163"/>
      <c r="CQ428" s="163"/>
      <c r="CR428" s="163"/>
      <c r="CS428" s="163"/>
      <c r="CT428" s="166"/>
      <c r="CU428" s="167"/>
      <c r="CV428" s="171"/>
      <c r="CW428" s="170"/>
      <c r="CX428" s="165"/>
      <c r="CY428" s="163"/>
      <c r="CZ428" s="163"/>
      <c r="DA428" s="163"/>
      <c r="DB428" s="163"/>
      <c r="DC428" s="163"/>
      <c r="DD428" s="163"/>
      <c r="DE428" s="163"/>
      <c r="DF428" s="163"/>
      <c r="DG428" s="163"/>
      <c r="DH428" s="166"/>
      <c r="DI428" s="167"/>
      <c r="DJ428" s="171"/>
      <c r="DK428" s="170"/>
      <c r="DL428" s="165"/>
      <c r="DM428" s="163"/>
      <c r="DN428" s="163"/>
      <c r="DO428" s="163"/>
      <c r="DP428" s="163"/>
      <c r="DQ428" s="163"/>
      <c r="DR428" s="163"/>
      <c r="DS428" s="163"/>
      <c r="DT428" s="163"/>
      <c r="DU428" s="163"/>
      <c r="DV428" s="166"/>
      <c r="DW428" s="167"/>
    </row>
    <row r="429" spans="1:127" ht="15" customHeight="1" thickTop="1" x14ac:dyDescent="0.2">
      <c r="A429" s="59">
        <v>28</v>
      </c>
      <c r="B429" s="74"/>
      <c r="C429" s="172" t="s">
        <v>19</v>
      </c>
      <c r="D429" s="53">
        <f>SUM(D373:D425)*100</f>
        <v>478400</v>
      </c>
      <c r="E429" s="53"/>
      <c r="F429" s="53"/>
      <c r="G429" s="172"/>
      <c r="H429" s="53"/>
      <c r="I429" s="53"/>
      <c r="J429" s="280" t="s">
        <v>21</v>
      </c>
      <c r="K429" s="280"/>
      <c r="L429" s="53">
        <f>SUM(L373:L425)</f>
        <v>99439</v>
      </c>
      <c r="M429" s="53"/>
      <c r="N429" s="84"/>
      <c r="O429" s="173"/>
      <c r="P429" s="79"/>
      <c r="Q429" s="172" t="s">
        <v>19</v>
      </c>
      <c r="R429" s="53">
        <f>SUM(R373:R425)*100</f>
        <v>403500</v>
      </c>
      <c r="S429" s="53"/>
      <c r="T429" s="53"/>
      <c r="U429" s="172"/>
      <c r="V429" s="53"/>
      <c r="W429" s="53"/>
      <c r="X429" s="280" t="s">
        <v>21</v>
      </c>
      <c r="Y429" s="280"/>
      <c r="Z429" s="53">
        <f>SUM(Z373:Z425)</f>
        <v>107272</v>
      </c>
      <c r="AA429" s="53"/>
      <c r="AB429" s="84"/>
      <c r="AC429" s="174"/>
      <c r="AD429" s="79"/>
      <c r="AE429" s="172" t="s">
        <v>19</v>
      </c>
      <c r="AF429" s="53">
        <f>SUM(AF373:AF425)*100</f>
        <v>437800</v>
      </c>
      <c r="AG429" s="53"/>
      <c r="AH429" s="53"/>
      <c r="AI429" s="172"/>
      <c r="AJ429" s="53"/>
      <c r="AK429" s="53"/>
      <c r="AL429" s="280" t="s">
        <v>21</v>
      </c>
      <c r="AM429" s="280"/>
      <c r="AN429" s="53">
        <f>SUM(AN373:AN425)</f>
        <v>48577</v>
      </c>
      <c r="AO429" s="53"/>
      <c r="AP429" s="84"/>
      <c r="AQ429" s="173"/>
      <c r="AR429" s="79"/>
      <c r="AS429" s="172" t="s">
        <v>19</v>
      </c>
      <c r="AT429" s="53">
        <f>SUM(AT373:AT425)*100</f>
        <v>461000</v>
      </c>
      <c r="AU429" s="53"/>
      <c r="AV429" s="53"/>
      <c r="AW429" s="172"/>
      <c r="AX429" s="53"/>
      <c r="AY429" s="53"/>
      <c r="AZ429" s="280" t="s">
        <v>21</v>
      </c>
      <c r="BA429" s="280"/>
      <c r="BB429" s="53">
        <f>SUM(BB373:BB425)</f>
        <v>93284</v>
      </c>
      <c r="BC429" s="53"/>
      <c r="BD429" s="84"/>
      <c r="BT429" s="174"/>
      <c r="BU429" s="79"/>
      <c r="BV429" s="175" t="s">
        <v>19</v>
      </c>
      <c r="BW429" s="53">
        <f>SUM(BW373:BW425)*100</f>
        <v>232500</v>
      </c>
      <c r="BX429" s="53"/>
      <c r="BY429" s="53"/>
      <c r="BZ429" s="172"/>
      <c r="CA429" s="53"/>
      <c r="CB429" s="53"/>
      <c r="CC429" s="53"/>
      <c r="CD429" s="53"/>
      <c r="CE429" s="53"/>
      <c r="CF429" s="53"/>
      <c r="CG429" s="84"/>
      <c r="CH429" s="105"/>
      <c r="CI429" s="79"/>
      <c r="CJ429" s="175" t="s">
        <v>19</v>
      </c>
      <c r="CK429" s="53">
        <f>SUM(CK373:CK425)*100</f>
        <v>379100</v>
      </c>
      <c r="CL429" s="53"/>
      <c r="CM429" s="53"/>
      <c r="CN429" s="172"/>
      <c r="CO429" s="53"/>
      <c r="CP429" s="53"/>
      <c r="CQ429" s="53"/>
      <c r="CR429" s="53"/>
      <c r="CS429" s="53"/>
      <c r="CT429" s="53"/>
      <c r="CU429" s="84"/>
      <c r="CV429" s="105"/>
      <c r="CW429" s="79"/>
      <c r="CX429" s="175" t="s">
        <v>19</v>
      </c>
      <c r="CY429" s="53">
        <f>SUM(CY373:CY425)*100</f>
        <v>167500</v>
      </c>
      <c r="CZ429" s="53"/>
      <c r="DA429" s="53"/>
      <c r="DB429" s="172"/>
      <c r="DC429" s="53"/>
      <c r="DD429" s="53"/>
      <c r="DE429" s="53"/>
      <c r="DF429" s="53"/>
      <c r="DG429" s="53"/>
      <c r="DH429" s="53"/>
      <c r="DI429" s="84"/>
      <c r="DJ429" s="105"/>
      <c r="DK429" s="79"/>
      <c r="DL429" s="175" t="s">
        <v>19</v>
      </c>
      <c r="DM429" s="53">
        <f>SUM(DM373:DM425)*100</f>
        <v>111100</v>
      </c>
      <c r="DN429" s="53"/>
      <c r="DO429" s="53"/>
      <c r="DP429" s="172"/>
      <c r="DQ429" s="53"/>
      <c r="DR429" s="53"/>
      <c r="DS429" s="53"/>
      <c r="DT429" s="53"/>
      <c r="DU429" s="53"/>
      <c r="DV429" s="53"/>
      <c r="DW429" s="84"/>
    </row>
    <row r="430" spans="1:127" ht="15" customHeight="1" x14ac:dyDescent="0.2">
      <c r="A430" s="94">
        <f>DATEDIF(A$483,A$421,"d")</f>
        <v>28</v>
      </c>
      <c r="B430">
        <f>SUMIF(B372:B425,"&gt;=0")</f>
        <v>26709</v>
      </c>
      <c r="C430" s="5" t="s">
        <v>22</v>
      </c>
      <c r="D430" s="13">
        <f>D429/A430</f>
        <v>17085.714285714286</v>
      </c>
      <c r="E430" s="13">
        <f>D430*A429</f>
        <v>478400</v>
      </c>
      <c r="F430" s="13"/>
      <c r="G430" s="5"/>
      <c r="H430" s="13"/>
      <c r="I430" s="13"/>
      <c r="J430" s="271" t="s">
        <v>23</v>
      </c>
      <c r="K430" s="271"/>
      <c r="L430" s="13"/>
      <c r="M430" s="36">
        <f>L429/D429</f>
        <v>0.2078574414715719</v>
      </c>
      <c r="N430" s="15"/>
      <c r="O430" s="2"/>
      <c r="P430" s="33"/>
      <c r="Q430" s="5" t="s">
        <v>22</v>
      </c>
      <c r="R430" s="13">
        <f>R429/A430</f>
        <v>14410.714285714286</v>
      </c>
      <c r="S430" s="13">
        <f>R430*A429</f>
        <v>403500</v>
      </c>
      <c r="T430" s="13"/>
      <c r="U430" s="5"/>
      <c r="V430" s="13"/>
      <c r="W430" s="13"/>
      <c r="X430" s="271" t="s">
        <v>23</v>
      </c>
      <c r="Y430" s="271"/>
      <c r="Z430" s="13"/>
      <c r="AA430" s="36">
        <f>Z429/R429</f>
        <v>0.26585377942998761</v>
      </c>
      <c r="AB430" s="15"/>
      <c r="AD430" s="51"/>
      <c r="AE430" s="5" t="s">
        <v>22</v>
      </c>
      <c r="AF430" s="13">
        <f>AF429/A430</f>
        <v>15635.714285714286</v>
      </c>
      <c r="AG430" s="13">
        <f>AF430*A429</f>
        <v>437800</v>
      </c>
      <c r="AH430" s="13"/>
      <c r="AI430" s="5"/>
      <c r="AJ430" s="13"/>
      <c r="AK430" s="13"/>
      <c r="AL430" s="271" t="s">
        <v>23</v>
      </c>
      <c r="AM430" s="271"/>
      <c r="AN430" s="13"/>
      <c r="AO430" s="36">
        <f>AN429/AF429</f>
        <v>0.11095705801735953</v>
      </c>
      <c r="AP430" s="15"/>
      <c r="AQ430" s="2"/>
      <c r="AR430" s="33"/>
      <c r="AS430" s="5" t="s">
        <v>22</v>
      </c>
      <c r="AT430" s="13">
        <f>AT429/A430</f>
        <v>16464.285714285714</v>
      </c>
      <c r="AU430" s="13">
        <f>AT430*A429</f>
        <v>461000</v>
      </c>
      <c r="AV430" s="13"/>
      <c r="AW430" s="5"/>
      <c r="AX430" s="13"/>
      <c r="AY430" s="13"/>
      <c r="AZ430" s="271" t="s">
        <v>23</v>
      </c>
      <c r="BA430" s="271"/>
      <c r="BB430" s="13"/>
      <c r="BC430" s="36">
        <f>BB429/AT429</f>
        <v>0.20235140997830803</v>
      </c>
      <c r="BD430" s="15"/>
      <c r="BU430" s="16"/>
      <c r="BV430" s="69" t="s">
        <v>22</v>
      </c>
      <c r="BW430" s="13">
        <f>BW429/A430</f>
        <v>8303.5714285714294</v>
      </c>
      <c r="BX430" s="13">
        <f>BW430*A429</f>
        <v>232500.00000000003</v>
      </c>
      <c r="BY430" s="13"/>
      <c r="BZ430" s="5"/>
      <c r="CA430" s="13"/>
      <c r="CB430" s="13"/>
      <c r="CC430" s="13"/>
      <c r="CD430" s="13"/>
      <c r="CE430" s="13"/>
      <c r="CF430" s="13"/>
      <c r="CG430" s="15"/>
      <c r="CH430" s="1"/>
      <c r="CI430" s="16"/>
      <c r="CJ430" s="69" t="s">
        <v>22</v>
      </c>
      <c r="CK430" s="13">
        <f>CK429/A430</f>
        <v>13539.285714285714</v>
      </c>
      <c r="CL430" s="13">
        <f>CK430*A429</f>
        <v>379100</v>
      </c>
      <c r="CM430" s="13"/>
      <c r="CN430" s="5"/>
      <c r="CO430" s="13"/>
      <c r="CP430" s="13"/>
      <c r="CQ430" s="13"/>
      <c r="CR430" s="13"/>
      <c r="CS430" s="13"/>
      <c r="CT430" s="13"/>
      <c r="CU430" s="15"/>
      <c r="CV430" s="1"/>
      <c r="CW430" s="16"/>
      <c r="CX430" s="69" t="s">
        <v>22</v>
      </c>
      <c r="CY430" s="13">
        <f>CY429/A430</f>
        <v>5982.1428571428569</v>
      </c>
      <c r="CZ430" s="13">
        <f>CY430*A429</f>
        <v>167500</v>
      </c>
      <c r="DA430" s="13"/>
      <c r="DB430" s="5"/>
      <c r="DC430" s="13"/>
      <c r="DD430" s="13"/>
      <c r="DE430" s="13"/>
      <c r="DF430" s="13"/>
      <c r="DG430" s="13"/>
      <c r="DH430" s="13"/>
      <c r="DI430" s="15"/>
      <c r="DJ430" s="1"/>
      <c r="DK430" s="16"/>
      <c r="DL430" s="69" t="s">
        <v>22</v>
      </c>
      <c r="DM430" s="13">
        <f>DM429/A430</f>
        <v>3967.8571428571427</v>
      </c>
      <c r="DN430" s="13">
        <f>DM430*A429</f>
        <v>111100</v>
      </c>
      <c r="DO430" s="13"/>
      <c r="DP430" s="5"/>
      <c r="DQ430" s="13"/>
      <c r="DR430" s="13"/>
      <c r="DS430" s="13"/>
      <c r="DT430" s="13"/>
      <c r="DU430" s="13"/>
      <c r="DV430" s="13"/>
      <c r="DW430" s="15"/>
    </row>
    <row r="431" spans="1:127" ht="15" customHeight="1" x14ac:dyDescent="0.2">
      <c r="A431" s="44" t="s">
        <v>22</v>
      </c>
      <c r="B431" s="81">
        <f>B430/A430</f>
        <v>953.89285714285711</v>
      </c>
      <c r="C431" s="69" t="s">
        <v>25</v>
      </c>
      <c r="D431" s="13">
        <f>D429*0.6</f>
        <v>287040</v>
      </c>
      <c r="E431" s="13"/>
      <c r="F431" s="13"/>
      <c r="G431" s="5"/>
      <c r="H431" s="13"/>
      <c r="I431" s="13"/>
      <c r="J431" s="271" t="s">
        <v>26</v>
      </c>
      <c r="K431" s="271"/>
      <c r="L431" s="13">
        <f>D431-L429</f>
        <v>187601</v>
      </c>
      <c r="M431" s="36">
        <f>L431/D429</f>
        <v>0.39214255852842811</v>
      </c>
      <c r="N431" s="15"/>
      <c r="O431" s="2"/>
      <c r="P431" s="16"/>
      <c r="Q431" s="69" t="s">
        <v>25</v>
      </c>
      <c r="R431" s="13">
        <f>R429*0.6</f>
        <v>242100</v>
      </c>
      <c r="S431" s="13"/>
      <c r="T431" s="13"/>
      <c r="U431" s="5"/>
      <c r="V431" s="13"/>
      <c r="W431" s="13"/>
      <c r="X431" s="271" t="s">
        <v>26</v>
      </c>
      <c r="Y431" s="271"/>
      <c r="Z431" s="13">
        <f>R431-Z429</f>
        <v>134828</v>
      </c>
      <c r="AA431" s="36">
        <f>Z431/R429</f>
        <v>0.33414622057001236</v>
      </c>
      <c r="AB431" s="15"/>
      <c r="AD431" s="16"/>
      <c r="AE431" s="69" t="s">
        <v>25</v>
      </c>
      <c r="AF431" s="13">
        <f>AF429*0.6</f>
        <v>262680</v>
      </c>
      <c r="AG431" s="13"/>
      <c r="AH431" s="13"/>
      <c r="AI431" s="5"/>
      <c r="AJ431" s="13"/>
      <c r="AK431" s="13"/>
      <c r="AL431" s="271" t="s">
        <v>26</v>
      </c>
      <c r="AM431" s="271"/>
      <c r="AN431" s="13">
        <f>AF431-AN429</f>
        <v>214103</v>
      </c>
      <c r="AO431" s="36">
        <f>AN431/AF429</f>
        <v>0.48904294198264048</v>
      </c>
      <c r="AP431" s="15"/>
      <c r="AQ431" s="2"/>
      <c r="AR431" s="16"/>
      <c r="AS431" s="69" t="s">
        <v>25</v>
      </c>
      <c r="AT431" s="13">
        <f>AT429*0.6</f>
        <v>276600</v>
      </c>
      <c r="AU431" s="13"/>
      <c r="AV431" s="13"/>
      <c r="AW431" s="5"/>
      <c r="AX431" s="13"/>
      <c r="AY431" s="13"/>
      <c r="AZ431" s="271" t="s">
        <v>26</v>
      </c>
      <c r="BA431" s="271"/>
      <c r="BB431" s="13">
        <f>AT431-BB429</f>
        <v>183316</v>
      </c>
      <c r="BC431" s="36">
        <f>BB431/AT429</f>
        <v>0.39764859002169195</v>
      </c>
      <c r="BD431" s="15"/>
      <c r="BU431" s="16"/>
      <c r="BV431" s="69" t="s">
        <v>25</v>
      </c>
      <c r="BW431" s="13">
        <f>BW429*0.6</f>
        <v>139500</v>
      </c>
      <c r="BX431" s="13"/>
      <c r="BY431" s="13"/>
      <c r="BZ431" s="5" t="s">
        <v>24</v>
      </c>
      <c r="CA431" s="13">
        <f>SUM(CE373:CE425)</f>
        <v>35088</v>
      </c>
      <c r="CB431" s="36">
        <f>CA431/BW429</f>
        <v>0.15091612903225807</v>
      </c>
      <c r="CC431" s="36"/>
      <c r="CD431" s="13"/>
      <c r="CE431" s="13"/>
      <c r="CF431" s="13"/>
      <c r="CG431" s="15"/>
      <c r="CH431" s="1"/>
      <c r="CI431" s="16"/>
      <c r="CJ431" s="69" t="s">
        <v>25</v>
      </c>
      <c r="CK431" s="13">
        <f>CK429*0.6</f>
        <v>227460</v>
      </c>
      <c r="CL431" s="13"/>
      <c r="CM431" s="13"/>
      <c r="CN431" s="5" t="s">
        <v>24</v>
      </c>
      <c r="CO431" s="13">
        <f>SUM(CS373:CS425)</f>
        <v>103795</v>
      </c>
      <c r="CP431" s="36">
        <f>CO431/CK429</f>
        <v>0.27379319440780797</v>
      </c>
      <c r="CQ431" s="36"/>
      <c r="CR431" s="13"/>
      <c r="CS431" s="13"/>
      <c r="CT431" s="13"/>
      <c r="CU431" s="15"/>
      <c r="CV431" s="1"/>
      <c r="CW431" s="16"/>
      <c r="CX431" s="69" t="s">
        <v>25</v>
      </c>
      <c r="CY431" s="13">
        <f>CY429*0.6</f>
        <v>100500</v>
      </c>
      <c r="CZ431" s="13"/>
      <c r="DA431" s="13"/>
      <c r="DB431" s="5" t="s">
        <v>24</v>
      </c>
      <c r="DC431" s="13">
        <f>SUM(DG373:DG425)</f>
        <v>26400</v>
      </c>
      <c r="DD431" s="36">
        <f>DC431/CY429</f>
        <v>0.15761194029850747</v>
      </c>
      <c r="DE431" s="36"/>
      <c r="DF431" s="13"/>
      <c r="DG431" s="13"/>
      <c r="DH431" s="13"/>
      <c r="DI431" s="15"/>
      <c r="DJ431" s="1"/>
      <c r="DK431" s="16"/>
      <c r="DL431" s="69" t="s">
        <v>25</v>
      </c>
      <c r="DM431" s="13">
        <f>DM429*0.6</f>
        <v>66660</v>
      </c>
      <c r="DN431" s="13"/>
      <c r="DO431" s="13"/>
      <c r="DP431" s="5" t="s">
        <v>24</v>
      </c>
      <c r="DQ431" s="13">
        <f>SUM(DU373:DU425)</f>
        <v>19800</v>
      </c>
      <c r="DR431" s="36">
        <f>DQ431/DM429</f>
        <v>0.17821782178217821</v>
      </c>
      <c r="DS431" s="36"/>
      <c r="DT431" s="13"/>
      <c r="DU431" s="13"/>
      <c r="DV431" s="13"/>
      <c r="DW431" s="15"/>
    </row>
    <row r="432" spans="1:127" ht="15" customHeight="1" x14ac:dyDescent="0.2">
      <c r="A432" s="79"/>
      <c r="B432" s="74">
        <f>B431*A429</f>
        <v>26709</v>
      </c>
      <c r="C432" s="5" t="s">
        <v>27</v>
      </c>
      <c r="D432" s="13">
        <f>D503</f>
        <v>337500</v>
      </c>
      <c r="E432" s="13"/>
      <c r="F432" s="13"/>
      <c r="G432" s="5"/>
      <c r="H432" s="13"/>
      <c r="I432" s="24"/>
      <c r="J432" s="272" t="s">
        <v>29</v>
      </c>
      <c r="K432" s="272"/>
      <c r="L432" s="53">
        <f>(G405+I405)*K405+(G406+I406)*K406+(G407+I407)*K407+(G408+I408)*K408</f>
        <v>75772</v>
      </c>
      <c r="M432" s="14"/>
      <c r="N432" s="15"/>
      <c r="O432" s="2"/>
      <c r="P432" s="79"/>
      <c r="Q432" s="5" t="s">
        <v>27</v>
      </c>
      <c r="R432" s="13">
        <f>R503</f>
        <v>314600</v>
      </c>
      <c r="S432" s="13"/>
      <c r="T432" s="13"/>
      <c r="U432" s="5"/>
      <c r="V432" s="13"/>
      <c r="W432" s="24"/>
      <c r="X432" s="272" t="s">
        <v>29</v>
      </c>
      <c r="Y432" s="272"/>
      <c r="Z432" s="53">
        <f>(U405+W405)*Y405+(U406+W406)*Y406+(U407+W407)*Y407+(U408+W408)*Y408</f>
        <v>55990</v>
      </c>
      <c r="AA432" s="14"/>
      <c r="AB432" s="15"/>
      <c r="AD432" s="79"/>
      <c r="AE432" s="5" t="s">
        <v>27</v>
      </c>
      <c r="AF432" s="13">
        <f>AF503</f>
        <v>310000</v>
      </c>
      <c r="AG432" s="13"/>
      <c r="AH432" s="13"/>
      <c r="AI432" s="5"/>
      <c r="AJ432" s="13"/>
      <c r="AK432" s="24"/>
      <c r="AL432" s="272" t="s">
        <v>29</v>
      </c>
      <c r="AM432" s="272"/>
      <c r="AN432" s="53">
        <f>(AI405+AK405)*AM405+(AI406+AK406)*AM406+(AI407+AK407)*AM407+(AI408+AK408)*AM408</f>
        <v>66217</v>
      </c>
      <c r="AO432" s="14"/>
      <c r="AP432" s="15"/>
      <c r="AQ432" s="2"/>
      <c r="AR432" s="79"/>
      <c r="AS432" s="5" t="s">
        <v>27</v>
      </c>
      <c r="AT432" s="13">
        <f>AT503</f>
        <v>404600</v>
      </c>
      <c r="AU432" s="13"/>
      <c r="AV432" s="13"/>
      <c r="AW432" s="5"/>
      <c r="AX432" s="13"/>
      <c r="AY432" s="24"/>
      <c r="AZ432" s="272" t="s">
        <v>29</v>
      </c>
      <c r="BA432" s="272"/>
      <c r="BB432" s="53">
        <f>(AW405+AY405)*BA405+(AW406+AY406)*BA406+(AW407+AY407)*BA407+(AW408+AY408)*BA408</f>
        <v>43493</v>
      </c>
      <c r="BC432" s="14"/>
      <c r="BD432" s="15"/>
      <c r="BU432" s="16"/>
      <c r="BV432" s="69" t="s">
        <v>27</v>
      </c>
      <c r="BW432" s="13">
        <f>BW503</f>
        <v>161000</v>
      </c>
      <c r="BX432" s="13"/>
      <c r="BY432" s="13"/>
      <c r="BZ432" s="5" t="s">
        <v>26</v>
      </c>
      <c r="CA432" s="13">
        <f>BW431-CA431</f>
        <v>104412</v>
      </c>
      <c r="CB432" s="36">
        <f>CA432/BW429</f>
        <v>0.44908387096774194</v>
      </c>
      <c r="CC432" s="36"/>
      <c r="CD432" s="14"/>
      <c r="CE432" s="14"/>
      <c r="CF432" s="14"/>
      <c r="CG432" s="15"/>
      <c r="CH432" s="1"/>
      <c r="CI432" s="16"/>
      <c r="CJ432" s="69" t="s">
        <v>27</v>
      </c>
      <c r="CK432" s="13">
        <f>CK503</f>
        <v>140400</v>
      </c>
      <c r="CL432" s="13"/>
      <c r="CM432" s="13"/>
      <c r="CN432" s="5" t="s">
        <v>26</v>
      </c>
      <c r="CO432" s="13">
        <f>CK431-CO431</f>
        <v>123665</v>
      </c>
      <c r="CP432" s="36">
        <f>CO432/CK429</f>
        <v>0.32620680559219201</v>
      </c>
      <c r="CQ432" s="36"/>
      <c r="CR432" s="14"/>
      <c r="CS432" s="14"/>
      <c r="CT432" s="14"/>
      <c r="CU432" s="15"/>
      <c r="CV432" s="1"/>
      <c r="CW432" s="16"/>
      <c r="CX432" s="69" t="s">
        <v>27</v>
      </c>
      <c r="CY432" s="13">
        <f>CY503</f>
        <v>153700</v>
      </c>
      <c r="CZ432" s="13"/>
      <c r="DA432" s="13"/>
      <c r="DB432" s="5" t="s">
        <v>26</v>
      </c>
      <c r="DC432" s="13">
        <f>CY431-DC431</f>
        <v>74100</v>
      </c>
      <c r="DD432" s="36">
        <f>DC432/CY429</f>
        <v>0.44238805970149253</v>
      </c>
      <c r="DE432" s="36"/>
      <c r="DF432" s="14"/>
      <c r="DG432" s="14"/>
      <c r="DH432" s="14"/>
      <c r="DI432" s="15"/>
      <c r="DJ432" s="1"/>
      <c r="DK432" s="16"/>
      <c r="DL432" s="69" t="s">
        <v>27</v>
      </c>
      <c r="DM432" s="13">
        <f>DM503</f>
        <v>122100</v>
      </c>
      <c r="DN432" s="13"/>
      <c r="DO432" s="13"/>
      <c r="DP432" s="5" t="s">
        <v>26</v>
      </c>
      <c r="DQ432" s="13">
        <f>DM431-DQ431</f>
        <v>46860</v>
      </c>
      <c r="DR432" s="36">
        <f>DQ432/DM429</f>
        <v>0.42178217821782177</v>
      </c>
      <c r="DS432" s="36"/>
      <c r="DT432" s="14"/>
      <c r="DU432" s="14"/>
      <c r="DV432" s="14"/>
      <c r="DW432" s="15"/>
    </row>
    <row r="433" spans="1:127" ht="15" customHeight="1" x14ac:dyDescent="0.2">
      <c r="A433" s="273" t="s">
        <v>57</v>
      </c>
      <c r="B433" s="274"/>
      <c r="C433" s="273" t="s">
        <v>62</v>
      </c>
      <c r="D433" s="274"/>
      <c r="E433" s="273" t="s">
        <v>63</v>
      </c>
      <c r="F433" s="275"/>
      <c r="G433" s="5"/>
      <c r="H433" s="13"/>
      <c r="I433" s="24"/>
      <c r="J433" s="99"/>
      <c r="K433" s="102"/>
      <c r="L433" s="53"/>
      <c r="M433" s="14"/>
      <c r="N433" s="15"/>
      <c r="O433" s="2"/>
      <c r="P433" s="85"/>
      <c r="Q433" s="69"/>
      <c r="R433" s="13"/>
      <c r="S433" s="13"/>
      <c r="T433" s="13"/>
      <c r="U433" s="5"/>
      <c r="V433" s="13"/>
      <c r="W433" s="24"/>
      <c r="X433" s="99"/>
      <c r="Y433" s="102"/>
      <c r="Z433" s="53"/>
      <c r="AA433" s="14"/>
      <c r="AB433" s="15"/>
      <c r="AD433" s="85"/>
      <c r="AE433" s="69"/>
      <c r="AF433" s="13"/>
      <c r="AG433" s="13"/>
      <c r="AH433" s="13"/>
      <c r="AI433" s="5"/>
      <c r="AJ433" s="13"/>
      <c r="AK433" s="24"/>
      <c r="AL433" s="99"/>
      <c r="AM433" s="102"/>
      <c r="AN433" s="53"/>
      <c r="AO433" s="14"/>
      <c r="AP433" s="15"/>
      <c r="AQ433" s="2"/>
      <c r="AR433" s="85"/>
      <c r="AS433" s="69"/>
      <c r="AT433" s="13"/>
      <c r="AU433" s="13"/>
      <c r="AV433" s="13"/>
      <c r="AW433" s="5"/>
      <c r="AX433" s="13"/>
      <c r="AY433" s="24"/>
      <c r="AZ433" s="118"/>
      <c r="BA433" s="102"/>
      <c r="BB433" s="53"/>
      <c r="BC433" s="14"/>
      <c r="BD433" s="15"/>
      <c r="BU433" s="16"/>
      <c r="BV433" s="54"/>
      <c r="BW433" s="13"/>
      <c r="BX433" s="13"/>
      <c r="BY433" s="13"/>
      <c r="BZ433" s="263" t="s">
        <v>29</v>
      </c>
      <c r="CA433" s="264"/>
      <c r="CB433" s="13">
        <f>(BZ381+CB381)*CD381</f>
        <v>26832</v>
      </c>
      <c r="CC433" s="13"/>
      <c r="CD433" s="14"/>
      <c r="CE433" s="14"/>
      <c r="CF433" s="14"/>
      <c r="CG433" s="15"/>
      <c r="CH433" s="1"/>
      <c r="CI433" s="16"/>
      <c r="CJ433" s="54"/>
      <c r="CK433" s="13"/>
      <c r="CL433" s="13"/>
      <c r="CM433" s="13"/>
      <c r="CN433" s="263" t="s">
        <v>29</v>
      </c>
      <c r="CO433" s="264"/>
      <c r="CP433" s="13">
        <f>(CN381+CP381)*CR381</f>
        <v>15000</v>
      </c>
      <c r="CQ433" s="13"/>
      <c r="CR433" s="14"/>
      <c r="CS433" s="14"/>
      <c r="CT433" s="14"/>
      <c r="CU433" s="15"/>
      <c r="CV433" s="1"/>
      <c r="CW433" s="16"/>
      <c r="CX433" s="54"/>
      <c r="CY433" s="13"/>
      <c r="CZ433" s="13"/>
      <c r="DA433" s="13"/>
      <c r="DB433" s="263" t="s">
        <v>29</v>
      </c>
      <c r="DC433" s="264"/>
      <c r="DD433" s="13">
        <f>(DB381+DD381)*DF381</f>
        <v>36080</v>
      </c>
      <c r="DE433" s="13"/>
      <c r="DF433" s="14"/>
      <c r="DG433" s="14"/>
      <c r="DH433" s="14"/>
      <c r="DI433" s="15"/>
      <c r="DJ433" s="1"/>
      <c r="DK433" s="16"/>
      <c r="DL433" s="54"/>
      <c r="DM433" s="13"/>
      <c r="DN433" s="13"/>
      <c r="DO433" s="13"/>
      <c r="DP433" s="263" t="s">
        <v>29</v>
      </c>
      <c r="DQ433" s="264"/>
      <c r="DR433" s="13">
        <f>(DP381+DR381)*DT381</f>
        <v>34100</v>
      </c>
      <c r="DS433" s="13"/>
      <c r="DT433" s="14"/>
      <c r="DU433" s="14"/>
      <c r="DV433" s="14"/>
      <c r="DW433" s="15"/>
    </row>
    <row r="434" spans="1:127" ht="15" customHeight="1" x14ac:dyDescent="0.2">
      <c r="A434" s="265">
        <f>E430+S430+AG430+AU430+BX430+CL430+CZ430+DN430</f>
        <v>2670900</v>
      </c>
      <c r="B434" s="266"/>
      <c r="C434" s="267">
        <f>L429+Z429+AN429+BB429</f>
        <v>348572</v>
      </c>
      <c r="D434" s="268"/>
      <c r="E434" s="267">
        <f>L432+Z432+AN432+BB432+CB433+CP433+DD433+DR433</f>
        <v>353484</v>
      </c>
      <c r="F434" s="268"/>
      <c r="G434" s="5"/>
      <c r="H434" s="13"/>
      <c r="I434" s="24"/>
      <c r="J434" s="99"/>
      <c r="K434" s="102"/>
      <c r="L434" s="53"/>
      <c r="M434" s="14"/>
      <c r="N434" s="15"/>
      <c r="O434" s="2"/>
      <c r="P434" s="85"/>
      <c r="Q434" s="69"/>
      <c r="R434" s="13"/>
      <c r="S434" s="13"/>
      <c r="T434" s="13"/>
      <c r="U434" s="5"/>
      <c r="V434" s="13"/>
      <c r="W434" s="24"/>
      <c r="X434" s="99"/>
      <c r="Y434" s="102"/>
      <c r="Z434" s="53"/>
      <c r="AA434" s="14"/>
      <c r="AB434" s="15"/>
      <c r="AD434" s="85"/>
      <c r="AE434" s="69"/>
      <c r="AF434" s="13"/>
      <c r="AG434" s="13"/>
      <c r="AH434" s="13"/>
      <c r="AI434" s="5"/>
      <c r="AJ434" s="13"/>
      <c r="AK434" s="24"/>
      <c r="AL434" s="99"/>
      <c r="AM434" s="102"/>
      <c r="AN434" s="53"/>
      <c r="AO434" s="14"/>
      <c r="AP434" s="15"/>
      <c r="AQ434" s="2"/>
      <c r="AR434" s="85"/>
      <c r="AS434" s="69"/>
      <c r="AT434" s="13"/>
      <c r="AU434" s="13"/>
      <c r="AV434" s="13"/>
      <c r="AW434" s="5"/>
      <c r="AX434" s="13"/>
      <c r="AY434" s="24"/>
      <c r="AZ434" s="118"/>
      <c r="BA434" s="102"/>
      <c r="BB434" s="53"/>
      <c r="BC434" s="14"/>
      <c r="BD434" s="15"/>
      <c r="BU434" s="16"/>
      <c r="BV434" s="54"/>
      <c r="BW434" s="13"/>
      <c r="BX434" s="13"/>
      <c r="BY434" s="13"/>
      <c r="BZ434" s="5"/>
      <c r="CA434" s="13"/>
      <c r="CB434" s="13"/>
      <c r="CC434" s="13"/>
      <c r="CD434" s="14"/>
      <c r="CE434" s="14"/>
      <c r="CF434" s="14"/>
      <c r="CG434" s="15"/>
      <c r="CH434" s="1"/>
      <c r="CI434" s="16"/>
      <c r="CJ434" s="54"/>
      <c r="CK434" s="13"/>
      <c r="CL434" s="13"/>
      <c r="CM434" s="13"/>
      <c r="CN434" s="5"/>
      <c r="CO434" s="13"/>
      <c r="CP434" s="13"/>
      <c r="CQ434" s="13"/>
      <c r="CR434" s="14"/>
      <c r="CS434" s="14"/>
      <c r="CT434" s="14"/>
      <c r="CU434" s="15"/>
      <c r="CV434" s="1"/>
      <c r="CW434" s="16"/>
      <c r="CX434" s="54"/>
      <c r="CY434" s="13"/>
      <c r="CZ434" s="13"/>
      <c r="DA434" s="13"/>
      <c r="DB434" s="5"/>
      <c r="DC434" s="13"/>
      <c r="DD434" s="13"/>
      <c r="DE434" s="13"/>
      <c r="DF434" s="14"/>
      <c r="DG434" s="14"/>
      <c r="DH434" s="14"/>
      <c r="DI434" s="15"/>
      <c r="DJ434" s="1"/>
      <c r="DK434" s="16"/>
      <c r="DL434" s="54"/>
      <c r="DM434" s="13"/>
      <c r="DN434" s="13"/>
      <c r="DO434" s="13"/>
      <c r="DP434" s="5"/>
      <c r="DQ434" s="13"/>
      <c r="DR434" s="13"/>
      <c r="DS434" s="13"/>
      <c r="DT434" s="14"/>
      <c r="DU434" s="14"/>
      <c r="DV434" s="14"/>
      <c r="DW434" s="15"/>
    </row>
    <row r="435" spans="1:127" ht="15" customHeight="1" x14ac:dyDescent="0.2">
      <c r="A435" s="281">
        <v>534000</v>
      </c>
      <c r="B435" s="282"/>
      <c r="C435" s="98"/>
      <c r="D435" s="106">
        <f>C434/A434</f>
        <v>0.13050731963008724</v>
      </c>
      <c r="E435" s="104"/>
      <c r="F435" s="96"/>
      <c r="G435" s="5"/>
      <c r="H435" s="13"/>
      <c r="I435" s="24"/>
      <c r="J435" s="99"/>
      <c r="K435" s="102"/>
      <c r="L435" s="53"/>
      <c r="M435" s="14"/>
      <c r="N435" s="15"/>
      <c r="O435" s="2"/>
      <c r="P435" s="85"/>
      <c r="Q435" s="69"/>
      <c r="R435" s="13"/>
      <c r="S435" s="13"/>
      <c r="T435" s="13"/>
      <c r="U435" s="5"/>
      <c r="V435" s="13"/>
      <c r="W435" s="24"/>
      <c r="X435" s="99"/>
      <c r="Y435" s="102"/>
      <c r="Z435" s="53"/>
      <c r="AA435" s="14"/>
      <c r="AB435" s="15"/>
      <c r="AD435" s="85"/>
      <c r="AE435" s="69"/>
      <c r="AF435" s="13"/>
      <c r="AG435" s="13"/>
      <c r="AH435" s="13"/>
      <c r="AI435" s="5"/>
      <c r="AJ435" s="13"/>
      <c r="AK435" s="24"/>
      <c r="AL435" s="99"/>
      <c r="AM435" s="102"/>
      <c r="AN435" s="53"/>
      <c r="AO435" s="14"/>
      <c r="AP435" s="15"/>
      <c r="AQ435" s="2"/>
      <c r="AR435" s="85"/>
      <c r="AS435" s="69"/>
      <c r="AT435" s="13"/>
      <c r="AU435" s="13"/>
      <c r="AV435" s="13"/>
      <c r="AW435" s="5"/>
      <c r="AX435" s="13"/>
      <c r="AY435" s="24"/>
      <c r="AZ435" s="118"/>
      <c r="BA435" s="102"/>
      <c r="BB435" s="53"/>
      <c r="BC435" s="14"/>
      <c r="BD435" s="15"/>
      <c r="BU435" s="16"/>
      <c r="BV435" s="54"/>
      <c r="BW435" s="13"/>
      <c r="BX435" s="13"/>
      <c r="BY435" s="13"/>
      <c r="BZ435" s="5"/>
      <c r="CA435" s="13"/>
      <c r="CB435" s="36"/>
      <c r="CC435" s="36"/>
      <c r="CD435" s="13"/>
      <c r="CE435" s="13"/>
      <c r="CF435" s="13"/>
      <c r="CG435" s="15"/>
      <c r="CH435" s="1"/>
      <c r="CI435" s="16"/>
      <c r="CJ435" s="54"/>
      <c r="CK435" s="13"/>
      <c r="CL435" s="13"/>
      <c r="CM435" s="13"/>
      <c r="CN435" s="5"/>
      <c r="CO435" s="13"/>
      <c r="CP435" s="36"/>
      <c r="CQ435" s="36"/>
      <c r="CR435" s="13"/>
      <c r="CS435" s="13"/>
      <c r="CT435" s="13"/>
      <c r="CU435" s="15"/>
      <c r="CV435" s="1"/>
      <c r="CW435" s="16"/>
      <c r="CX435" s="54"/>
      <c r="CY435" s="13"/>
      <c r="CZ435" s="13"/>
      <c r="DA435" s="13"/>
      <c r="DB435" s="5"/>
      <c r="DC435" s="13"/>
      <c r="DD435" s="36"/>
      <c r="DE435" s="36"/>
      <c r="DF435" s="13"/>
      <c r="DG435" s="13"/>
      <c r="DH435" s="13"/>
      <c r="DI435" s="15"/>
      <c r="DJ435" s="1"/>
      <c r="DK435" s="16"/>
      <c r="DL435" s="54"/>
      <c r="DM435" s="13"/>
      <c r="DN435" s="13"/>
      <c r="DO435" s="13"/>
      <c r="DP435" s="5"/>
      <c r="DQ435" s="13"/>
      <c r="DR435" s="36"/>
      <c r="DS435" s="36"/>
      <c r="DT435" s="13"/>
      <c r="DU435" s="13"/>
      <c r="DV435" s="13"/>
      <c r="DW435" s="15"/>
    </row>
    <row r="436" spans="1:127" ht="15" customHeight="1" x14ac:dyDescent="0.2">
      <c r="A436" s="153"/>
      <c r="B436" s="154"/>
      <c r="C436" s="98"/>
      <c r="D436" s="96"/>
      <c r="E436" s="5"/>
      <c r="F436" s="13"/>
      <c r="G436" s="5"/>
      <c r="H436" s="13"/>
      <c r="I436" s="13"/>
      <c r="J436" s="68"/>
      <c r="K436" s="82"/>
      <c r="L436" s="14"/>
      <c r="M436" s="14"/>
      <c r="N436" s="15"/>
      <c r="O436" s="2"/>
      <c r="P436" s="86"/>
      <c r="Q436" s="54"/>
      <c r="R436" s="13"/>
      <c r="S436" s="5"/>
      <c r="T436" s="13"/>
      <c r="U436" s="5"/>
      <c r="V436" s="13"/>
      <c r="W436" s="13"/>
      <c r="X436" s="52"/>
      <c r="Y436" s="82"/>
      <c r="Z436" s="14"/>
      <c r="AA436" s="14"/>
      <c r="AB436" s="15"/>
      <c r="AD436" s="86"/>
      <c r="AE436" s="54"/>
      <c r="AF436" s="13"/>
      <c r="AG436" s="5"/>
      <c r="AH436" s="13"/>
      <c r="AI436" s="5"/>
      <c r="AJ436" s="13"/>
      <c r="AK436" s="13"/>
      <c r="AL436" s="68"/>
      <c r="AM436" s="82"/>
      <c r="AN436" s="14"/>
      <c r="AO436" s="14"/>
      <c r="AP436" s="15"/>
      <c r="AQ436" s="2"/>
      <c r="AR436" s="86"/>
      <c r="AS436" s="54"/>
      <c r="AT436" s="13"/>
      <c r="AU436" s="5"/>
      <c r="AV436" s="13"/>
      <c r="AW436" s="5"/>
      <c r="AX436" s="13"/>
      <c r="AY436" s="13"/>
      <c r="AZ436" s="68"/>
      <c r="BA436" s="82"/>
      <c r="BB436" s="14"/>
      <c r="BC436" s="14"/>
      <c r="BD436" s="15"/>
      <c r="BU436" s="16"/>
      <c r="BV436" s="13"/>
      <c r="BW436" s="13"/>
      <c r="BX436" s="13"/>
      <c r="BY436" s="13"/>
      <c r="BZ436" s="5"/>
      <c r="CA436" s="13"/>
      <c r="CB436" s="36"/>
      <c r="CC436" s="36"/>
      <c r="CD436" s="13"/>
      <c r="CE436" s="13"/>
      <c r="CF436" s="13"/>
      <c r="CG436" s="15"/>
      <c r="CH436" s="1"/>
      <c r="CI436" s="16"/>
      <c r="CJ436" s="13"/>
      <c r="CK436" s="13"/>
      <c r="CL436" s="13"/>
      <c r="CM436" s="13"/>
      <c r="CN436" s="5"/>
      <c r="CO436" s="13"/>
      <c r="CP436" s="36"/>
      <c r="CQ436" s="36"/>
      <c r="CR436" s="13"/>
      <c r="CS436" s="13"/>
      <c r="CT436" s="13"/>
      <c r="CU436" s="15"/>
      <c r="CV436" s="1"/>
      <c r="CW436" s="16"/>
      <c r="CX436" s="13"/>
      <c r="CY436" s="13"/>
      <c r="CZ436" s="13"/>
      <c r="DA436" s="13"/>
      <c r="DB436" s="5"/>
      <c r="DC436" s="13"/>
      <c r="DD436" s="36"/>
      <c r="DE436" s="36"/>
      <c r="DF436" s="13"/>
      <c r="DG436" s="13"/>
      <c r="DH436" s="13"/>
      <c r="DI436" s="15"/>
      <c r="DJ436" s="1"/>
      <c r="DK436" s="16"/>
      <c r="DL436" s="13"/>
      <c r="DM436" s="13"/>
      <c r="DN436" s="13"/>
      <c r="DO436" s="13"/>
      <c r="DP436" s="5"/>
      <c r="DQ436" s="13"/>
      <c r="DR436" s="36"/>
      <c r="DS436" s="36"/>
      <c r="DT436" s="13"/>
      <c r="DU436" s="13"/>
      <c r="DV436" s="13"/>
      <c r="DW436" s="15"/>
    </row>
    <row r="437" spans="1:127" ht="15" customHeight="1" x14ac:dyDescent="0.2">
      <c r="A437" s="258" t="s">
        <v>28</v>
      </c>
      <c r="B437" s="260"/>
      <c r="C437" s="259"/>
      <c r="D437" s="38">
        <f>SUM(D373,D377,D381,D385,D389,D393,D397,D401,D405,D409,D413,D417,D421)*100</f>
        <v>133000</v>
      </c>
      <c r="E437" s="54"/>
      <c r="F437" s="13"/>
      <c r="G437" s="5">
        <f>D437/H437</f>
        <v>5541.666666666667</v>
      </c>
      <c r="H437" s="38">
        <f>SUM(H373,H377,H381,H385,H389,H393,H398,H401,H405,H409,H413,H417,H421)</f>
        <v>24</v>
      </c>
      <c r="I437" s="13"/>
      <c r="J437" s="75" t="str">
        <f t="shared" ref="J437:K440" si="782">J373</f>
        <v>キティヒョウ柄ポーチ</v>
      </c>
      <c r="K437" s="76">
        <f t="shared" si="782"/>
        <v>0</v>
      </c>
      <c r="L437" s="38">
        <f>SUM(L373,L377,L381,L385,L389,L393,L398,L401,L405,L409,L413,L417,L421)</f>
        <v>14866</v>
      </c>
      <c r="M437" s="36">
        <f>L437/D437</f>
        <v>0.11177443609022557</v>
      </c>
      <c r="N437" s="15"/>
      <c r="O437" s="2"/>
      <c r="P437" s="258" t="s">
        <v>28</v>
      </c>
      <c r="Q437" s="259"/>
      <c r="R437" s="38">
        <f>SUM(R373,R377,R381,R385,R389,R393,R398,R401,R405,R409,R413,R417,R421)*100</f>
        <v>139900</v>
      </c>
      <c r="S437" s="54"/>
      <c r="T437" s="13"/>
      <c r="U437" s="5">
        <f>R437/V437</f>
        <v>2976.5957446808511</v>
      </c>
      <c r="V437" s="38">
        <f>SUM(V373,V377,V381,V385,V389,V393,V398,V401,V405,V409,V413,V417,V421)</f>
        <v>47</v>
      </c>
      <c r="W437" s="13"/>
      <c r="X437" s="78" t="str">
        <f t="shared" ref="X437:Y440" si="783">X373</f>
        <v>ジャグラーイヤホン</v>
      </c>
      <c r="Y437" s="76">
        <f t="shared" si="783"/>
        <v>1100</v>
      </c>
      <c r="Z437" s="38">
        <f>SUM(Z373,Z377,Z381,Z385,Z389,Z393,Z398,Z401,Z405,Z409,Z413,Z417,Z421)</f>
        <v>51700</v>
      </c>
      <c r="AA437" s="36">
        <f>Z437/R437</f>
        <v>0.36954967834167263</v>
      </c>
      <c r="AB437" s="15"/>
      <c r="AC437" s="23"/>
      <c r="AD437" s="258" t="s">
        <v>28</v>
      </c>
      <c r="AE437" s="259"/>
      <c r="AF437" s="38">
        <f>SUM(AF373,AF377,AF381,AF385,AF389,AF393,AF397,AF401,AF405,AF409,AF413,AF417,AF421)*100</f>
        <v>107700</v>
      </c>
      <c r="AG437" s="54"/>
      <c r="AH437" s="13"/>
      <c r="AI437" s="5">
        <f>AF437/AJ437</f>
        <v>7692.8571428571431</v>
      </c>
      <c r="AJ437" s="38">
        <f>SUM(AJ373,AJ377,AJ381,AJ385,AJ389,AJ393,AJ398,AJ401,AJ405,AJ409,AJ413,AJ417,AJ421)</f>
        <v>14</v>
      </c>
      <c r="AK437" s="13"/>
      <c r="AL437" s="75" t="str">
        <f t="shared" ref="AL437:AM440" si="784">AL373</f>
        <v>サンリオ型押しケース</v>
      </c>
      <c r="AM437" s="76">
        <f t="shared" si="784"/>
        <v>545</v>
      </c>
      <c r="AN437" s="38">
        <f>SUM(AN373,AN377,AN381,AN385,AN389,AN393,AN398,AN401,AN405,AN409,AN413,AN417,AN421)</f>
        <v>8432</v>
      </c>
      <c r="AO437" s="36">
        <f>AN437/AF437</f>
        <v>7.8291550603528326E-2</v>
      </c>
      <c r="AP437" s="15"/>
      <c r="AQ437" s="2"/>
      <c r="AR437" s="258" t="s">
        <v>28</v>
      </c>
      <c r="AS437" s="259"/>
      <c r="AT437" s="38">
        <f>SUM(AT373,AT377,AT381,AT385,AT389,AT393,AT398,AT401,AT405,AT409,AT413,AT417,AT421)*100</f>
        <v>90600</v>
      </c>
      <c r="AU437" s="54"/>
      <c r="AV437" s="13"/>
      <c r="AW437" s="5">
        <f>AT437/AX437</f>
        <v>3355.5555555555557</v>
      </c>
      <c r="AX437" s="38">
        <f>SUM(AX373,AX377,AX381,AX385,AX389,AX393,AX398,AX401,AX405,AX409,AX413,AX417,AX421)</f>
        <v>27</v>
      </c>
      <c r="AY437" s="13"/>
      <c r="AZ437" s="75" t="str">
        <f t="shared" ref="AZ437:BA440" si="785">AZ373</f>
        <v>サンリオヒョウ柄キーケース</v>
      </c>
      <c r="BA437" s="76">
        <f t="shared" si="785"/>
        <v>924</v>
      </c>
      <c r="BB437" s="38">
        <f>SUM(BB373,BB377,BB381,BB385,BB389,BB393,BB398,BB401,BB405,BB409,BB413,BB417,BB421)</f>
        <v>24446</v>
      </c>
      <c r="BC437" s="36">
        <f>BB437/AT437</f>
        <v>0.26982339955849888</v>
      </c>
      <c r="BD437" s="15"/>
      <c r="BU437" s="16"/>
      <c r="BV437" s="270"/>
      <c r="BW437" s="270"/>
      <c r="BX437" s="10"/>
      <c r="BY437" s="13"/>
      <c r="BZ437" s="5"/>
      <c r="CA437" s="13"/>
      <c r="CB437" s="36"/>
      <c r="CC437" s="36"/>
      <c r="CD437" s="13"/>
      <c r="CE437" s="13"/>
      <c r="CF437" s="13"/>
      <c r="CG437" s="15"/>
      <c r="CH437" s="1"/>
      <c r="CI437" s="16"/>
      <c r="CJ437" s="270"/>
      <c r="CK437" s="270"/>
      <c r="CL437" s="10"/>
      <c r="CM437" s="13"/>
      <c r="CN437" s="5"/>
      <c r="CO437" s="13"/>
      <c r="CP437" s="36"/>
      <c r="CQ437" s="36"/>
      <c r="CR437" s="13"/>
      <c r="CS437" s="13"/>
      <c r="CT437" s="13"/>
      <c r="CU437" s="15"/>
      <c r="CV437" s="1"/>
      <c r="CW437" s="16"/>
      <c r="CX437" s="270"/>
      <c r="CY437" s="270"/>
      <c r="CZ437" s="10"/>
      <c r="DA437" s="13"/>
      <c r="DB437" s="5"/>
      <c r="DC437" s="13"/>
      <c r="DD437" s="36"/>
      <c r="DE437" s="36"/>
      <c r="DF437" s="13"/>
      <c r="DG437" s="13"/>
      <c r="DH437" s="13"/>
      <c r="DI437" s="15"/>
      <c r="DJ437" s="1"/>
      <c r="DK437" s="16"/>
      <c r="DL437" s="270"/>
      <c r="DM437" s="270"/>
      <c r="DN437" s="10"/>
      <c r="DO437" s="13"/>
      <c r="DP437" s="5"/>
      <c r="DQ437" s="13"/>
      <c r="DR437" s="36"/>
      <c r="DS437" s="36"/>
      <c r="DT437" s="13"/>
      <c r="DU437" s="13"/>
      <c r="DV437" s="13"/>
      <c r="DW437" s="15"/>
    </row>
    <row r="438" spans="1:127" x14ac:dyDescent="0.2">
      <c r="A438" s="258" t="s">
        <v>28</v>
      </c>
      <c r="B438" s="260"/>
      <c r="C438" s="259"/>
      <c r="D438" s="38">
        <f>SUM(D374,D378,D382,D386,D390,D394,D398,D402,D406,D410,D414,D418,D422)*100</f>
        <v>143400</v>
      </c>
      <c r="E438" s="54"/>
      <c r="F438" s="13"/>
      <c r="G438" s="5">
        <f>D438/H438</f>
        <v>5975</v>
      </c>
      <c r="H438" s="38">
        <f>SUM(H374,H378,H382,H386,H390,H394,H397,H402,H406,H410,H414,H418,H422)</f>
        <v>24</v>
      </c>
      <c r="I438" s="13"/>
      <c r="J438" s="75" t="str">
        <f t="shared" si="782"/>
        <v>電ブル</v>
      </c>
      <c r="K438" s="76">
        <f t="shared" si="782"/>
        <v>1075</v>
      </c>
      <c r="L438" s="38">
        <f>SUM(L374,L378,L382,L386,L390,L394,L397,L402,L406,L410,L414,L418,L422)</f>
        <v>25473</v>
      </c>
      <c r="M438" s="36">
        <f>L438/D438</f>
        <v>0.17763598326359833</v>
      </c>
      <c r="N438" s="15"/>
      <c r="O438" s="2"/>
      <c r="P438" s="258" t="s">
        <v>28</v>
      </c>
      <c r="Q438" s="259"/>
      <c r="R438" s="38">
        <f>SUM(R374,R378,R382,R386,R390,R394,R397,R402,R406,R410,R414,R418,R422)*100</f>
        <v>84200</v>
      </c>
      <c r="S438" s="54"/>
      <c r="T438" s="13"/>
      <c r="U438" s="5">
        <f>R438/V438</f>
        <v>3007.1428571428573</v>
      </c>
      <c r="V438" s="38">
        <f>SUM(V374,V378,V382,V386,V390,V394,V397,V402,V406,V410,V414,V418,V422)</f>
        <v>28</v>
      </c>
      <c r="W438" s="13"/>
      <c r="X438" s="78" t="str">
        <f t="shared" si="783"/>
        <v>押忍番長ボタン</v>
      </c>
      <c r="Y438" s="76">
        <f t="shared" si="783"/>
        <v>1100</v>
      </c>
      <c r="Z438" s="38">
        <f>SUM(Z374,Z378,Z382,Z386,Z390,Z394,Z397,Z402,Z406,Z410,Z414,Z418,Z422)</f>
        <v>30800</v>
      </c>
      <c r="AA438" s="36">
        <f>Z438/R438</f>
        <v>0.36579572446555819</v>
      </c>
      <c r="AB438" s="15"/>
      <c r="AC438" s="1"/>
      <c r="AD438" s="258" t="s">
        <v>28</v>
      </c>
      <c r="AE438" s="259"/>
      <c r="AF438" s="38">
        <f>SUM(AF374,AF378,AF382,AF386,AF390,AF394,AF398,AF402,AF406,AF410,AF414,AF418,AF422)*100</f>
        <v>111200</v>
      </c>
      <c r="AG438" s="54"/>
      <c r="AH438" s="13"/>
      <c r="AI438" s="5">
        <f>AF438/AJ438</f>
        <v>7942.8571428571431</v>
      </c>
      <c r="AJ438" s="38">
        <f>SUM(AJ374,AJ378,AJ382,AJ386,AJ390,AJ394,AJ397,AJ402,AJ406,AJ410,AJ414,AJ418,AJ422)</f>
        <v>14</v>
      </c>
      <c r="AK438" s="13"/>
      <c r="AL438" s="75" t="str">
        <f t="shared" si="784"/>
        <v>サンリオヒョウ柄フェイス</v>
      </c>
      <c r="AM438" s="76">
        <f t="shared" si="784"/>
        <v>792</v>
      </c>
      <c r="AN438" s="38">
        <f>SUM(AN374,AN378,AN382,AN386,AN390,AN394,AN397,AN402,AN406,AN410,AN414,AN418,AN422)</f>
        <v>10841</v>
      </c>
      <c r="AO438" s="36">
        <f>AN438/AF438</f>
        <v>9.7491007194244611E-2</v>
      </c>
      <c r="AP438" s="15"/>
      <c r="AQ438" s="2"/>
      <c r="AR438" s="258" t="s">
        <v>28</v>
      </c>
      <c r="AS438" s="259"/>
      <c r="AT438" s="38">
        <f>SUM(AT374,AT378,AT382,AT386,AT390,AT394,AT397,AT402,AT406,AT410,AT414,AT418,AT422)*100</f>
        <v>78200</v>
      </c>
      <c r="AU438" s="54"/>
      <c r="AV438" s="13"/>
      <c r="AW438" s="5">
        <f>AT438/AX438</f>
        <v>2113.5135135135133</v>
      </c>
      <c r="AX438" s="38">
        <f>SUM(AX374,AX378,AX382,AX386,AX390,AX394,AX397,AX402,AX406,AX410,AX414,AX418,AX422)</f>
        <v>37</v>
      </c>
      <c r="AY438" s="13"/>
      <c r="AZ438" s="75" t="str">
        <f t="shared" si="785"/>
        <v>ねこアイシャドウ</v>
      </c>
      <c r="BA438" s="76">
        <f t="shared" si="785"/>
        <v>1000</v>
      </c>
      <c r="BB438" s="38">
        <f>SUM(BB374,BB378,BB382,BB386,BB390,BB394,BB397,BB402,BB406,BB410,BB414,BB418,BB422)</f>
        <v>31038</v>
      </c>
      <c r="BC438" s="36">
        <f>BB438/AT438</f>
        <v>0.39690537084398975</v>
      </c>
      <c r="BD438" s="15"/>
      <c r="BU438" s="16"/>
      <c r="BV438" s="270"/>
      <c r="BW438" s="270"/>
      <c r="BX438" s="13"/>
      <c r="BY438" s="13"/>
      <c r="BZ438" s="5"/>
      <c r="CA438" s="13"/>
      <c r="CB438" s="36"/>
      <c r="CC438" s="36"/>
      <c r="CD438" s="14"/>
      <c r="CE438" s="14"/>
      <c r="CF438" s="14"/>
      <c r="CG438" s="15"/>
      <c r="CH438" s="1"/>
      <c r="CI438" s="16"/>
      <c r="CJ438" s="270"/>
      <c r="CK438" s="270"/>
      <c r="CL438" s="13"/>
      <c r="CM438" s="13"/>
      <c r="CN438" s="5"/>
      <c r="CO438" s="13"/>
      <c r="CP438" s="36"/>
      <c r="CQ438" s="36"/>
      <c r="CR438" s="14"/>
      <c r="CS438" s="14"/>
      <c r="CT438" s="14"/>
      <c r="CU438" s="15"/>
      <c r="CV438" s="1"/>
      <c r="CW438" s="16"/>
      <c r="CX438" s="270"/>
      <c r="CY438" s="270"/>
      <c r="CZ438" s="13"/>
      <c r="DA438" s="13"/>
      <c r="DB438" s="5"/>
      <c r="DC438" s="13"/>
      <c r="DD438" s="36"/>
      <c r="DE438" s="36"/>
      <c r="DF438" s="14"/>
      <c r="DG438" s="14"/>
      <c r="DH438" s="14"/>
      <c r="DI438" s="15"/>
      <c r="DJ438" s="1"/>
      <c r="DK438" s="16"/>
      <c r="DL438" s="270"/>
      <c r="DM438" s="270"/>
      <c r="DN438" s="13"/>
      <c r="DO438" s="13"/>
      <c r="DP438" s="5"/>
      <c r="DQ438" s="13"/>
      <c r="DR438" s="36"/>
      <c r="DS438" s="36"/>
      <c r="DT438" s="14"/>
      <c r="DU438" s="14"/>
      <c r="DV438" s="14"/>
      <c r="DW438" s="15"/>
    </row>
    <row r="439" spans="1:127" x14ac:dyDescent="0.2">
      <c r="A439" s="258" t="s">
        <v>28</v>
      </c>
      <c r="B439" s="260"/>
      <c r="C439" s="259"/>
      <c r="D439" s="38">
        <f>SUM(D375,D379,D383,D387,D391,D395,D399,D403,D407,D411,D415,D419,D423)*100</f>
        <v>103900</v>
      </c>
      <c r="E439" s="54"/>
      <c r="F439" s="13"/>
      <c r="G439" s="5">
        <f>D439/H439</f>
        <v>2308.8888888888887</v>
      </c>
      <c r="H439" s="38">
        <f>SUM(H375,H379,H383,H388,H391,H395,H399,H403,H407,H411,H415,H419,H423)</f>
        <v>45</v>
      </c>
      <c r="I439" s="13"/>
      <c r="J439" s="75" t="str">
        <f t="shared" si="782"/>
        <v>AIモンスタラバー</v>
      </c>
      <c r="K439" s="76">
        <f t="shared" si="782"/>
        <v>200</v>
      </c>
      <c r="L439" s="38">
        <f>SUM(L375,L379,L383,L388,L391,L395,L399,L403,L407,L411,L415,L419,L423)</f>
        <v>17500</v>
      </c>
      <c r="M439" s="36">
        <f>L439/D439</f>
        <v>0.16843118383060635</v>
      </c>
      <c r="N439" s="15"/>
      <c r="O439" s="2"/>
      <c r="P439" s="258" t="s">
        <v>28</v>
      </c>
      <c r="Q439" s="259"/>
      <c r="R439" s="38">
        <f>SUM(R375,R379,R383,R387,R391,R395,R399,R403,R407,R411,R415,R419,R423)*100</f>
        <v>64300</v>
      </c>
      <c r="S439" s="54"/>
      <c r="T439" s="13"/>
      <c r="U439" s="5">
        <f>R439/V439</f>
        <v>2381.4814814814813</v>
      </c>
      <c r="V439" s="38">
        <f>SUM(V375,V379,V383,V388,V391,V395,V399,V403,V407,V411,V415,V419,V423)</f>
        <v>27</v>
      </c>
      <c r="W439" s="13"/>
      <c r="X439" s="78" t="str">
        <f t="shared" si="783"/>
        <v>サンリオホワイトマスコット</v>
      </c>
      <c r="Y439" s="76">
        <f t="shared" si="783"/>
        <v>660</v>
      </c>
      <c r="Z439" s="38">
        <f>SUM(Z375,Z379,Z383,Z388,Z391,Z395,Z399,Z403,Z407,Z411,Z415,Z419,Z423)</f>
        <v>17446</v>
      </c>
      <c r="AA439" s="36">
        <f>Z439/R439</f>
        <v>0.27132192846034214</v>
      </c>
      <c r="AB439" s="15"/>
      <c r="AC439" s="1"/>
      <c r="AD439" s="258" t="s">
        <v>28</v>
      </c>
      <c r="AE439" s="259"/>
      <c r="AF439" s="38">
        <f>SUM(AF375,AF379,AF383,AF387,AF391,AF395,AF399,AF403,AF407,AF411,AF415,AF419,AF423)*100</f>
        <v>122400</v>
      </c>
      <c r="AG439" s="54"/>
      <c r="AH439" s="13"/>
      <c r="AI439" s="5">
        <f>AF439/AJ439</f>
        <v>4896</v>
      </c>
      <c r="AJ439" s="38">
        <f>SUM(AJ375,AJ379,AJ383,AJ388,AJ391,AJ395,AJ399,AJ403,AJ407,AJ411,AJ415,AJ419,AJ423)</f>
        <v>25</v>
      </c>
      <c r="AK439" s="13"/>
      <c r="AL439" s="75" t="str">
        <f t="shared" si="784"/>
        <v>ゲームアーク</v>
      </c>
      <c r="AM439" s="76">
        <f t="shared" si="784"/>
        <v>682</v>
      </c>
      <c r="AN439" s="38">
        <f>SUM(AN375,AN379,AN383,AN388,AN391,AN395,AN399,AN403,AN407,AN411,AN415,AN419,AN423)</f>
        <v>17050</v>
      </c>
      <c r="AO439" s="36">
        <f>AN439/AF439</f>
        <v>0.13929738562091504</v>
      </c>
      <c r="AP439" s="15"/>
      <c r="AQ439" s="2"/>
      <c r="AR439" s="258" t="s">
        <v>28</v>
      </c>
      <c r="AS439" s="259"/>
      <c r="AT439" s="38">
        <f>SUM(AT375,AT379,AT383,AT387,AT391,AT395,AT399,AT403,AT407,AT411,AT415,AT419,AT423)*100</f>
        <v>139900</v>
      </c>
      <c r="AU439" s="54"/>
      <c r="AV439" s="13"/>
      <c r="AW439" s="5">
        <f>AT439/AX439</f>
        <v>3253.4883720930234</v>
      </c>
      <c r="AX439" s="38">
        <f>SUM(AX375,AX379,AX383,AX388,AX391,AX395,AX399,AX403,AX407,AX411,AX415,AX419,AX423)</f>
        <v>43</v>
      </c>
      <c r="AY439" s="13"/>
      <c r="AZ439" s="75" t="str">
        <f t="shared" si="785"/>
        <v>ラブブキーホルダーおおきめ</v>
      </c>
      <c r="BA439" s="76">
        <f t="shared" si="785"/>
        <v>500</v>
      </c>
      <c r="BB439" s="38">
        <f>SUM(BB375,BB379,BB383,BB388,BB391,BB395,BB399,BB403,BB407,BB411,BB415,BB419,BB423)</f>
        <v>21100</v>
      </c>
      <c r="BC439" s="36">
        <f>BB439/AT439</f>
        <v>0.15082201572551823</v>
      </c>
      <c r="BD439" s="15"/>
      <c r="BU439" s="16"/>
      <c r="BV439" s="270"/>
      <c r="BW439" s="270"/>
      <c r="BX439" s="36"/>
      <c r="BY439" s="13"/>
      <c r="BZ439" s="5"/>
      <c r="CA439" s="13"/>
      <c r="CB439" s="36"/>
      <c r="CC439" s="36"/>
      <c r="CD439" s="14"/>
      <c r="CE439" s="14"/>
      <c r="CF439" s="14"/>
      <c r="CG439" s="15"/>
      <c r="CH439" s="1"/>
      <c r="CI439" s="16"/>
      <c r="CJ439" s="270"/>
      <c r="CK439" s="270"/>
      <c r="CL439" s="36"/>
      <c r="CM439" s="13"/>
      <c r="CN439" s="5"/>
      <c r="CO439" s="13"/>
      <c r="CP439" s="36"/>
      <c r="CQ439" s="36"/>
      <c r="CR439" s="14"/>
      <c r="CS439" s="14"/>
      <c r="CT439" s="14"/>
      <c r="CU439" s="15"/>
      <c r="CV439" s="1"/>
      <c r="CW439" s="16"/>
      <c r="CX439" s="270"/>
      <c r="CY439" s="270"/>
      <c r="CZ439" s="36"/>
      <c r="DA439" s="13"/>
      <c r="DB439" s="5"/>
      <c r="DC439" s="13"/>
      <c r="DD439" s="36"/>
      <c r="DE439" s="36"/>
      <c r="DF439" s="14"/>
      <c r="DG439" s="14"/>
      <c r="DH439" s="14"/>
      <c r="DI439" s="15"/>
      <c r="DJ439" s="1"/>
      <c r="DK439" s="16"/>
      <c r="DL439" s="270"/>
      <c r="DM439" s="270"/>
      <c r="DN439" s="36"/>
      <c r="DO439" s="13"/>
      <c r="DP439" s="5"/>
      <c r="DQ439" s="13"/>
      <c r="DR439" s="36"/>
      <c r="DS439" s="36"/>
      <c r="DT439" s="14"/>
      <c r="DU439" s="14"/>
      <c r="DV439" s="14"/>
      <c r="DW439" s="15"/>
    </row>
    <row r="440" spans="1:127" x14ac:dyDescent="0.2">
      <c r="A440" s="258" t="s">
        <v>28</v>
      </c>
      <c r="B440" s="260"/>
      <c r="C440" s="259"/>
      <c r="D440" s="38">
        <f>SUM(D376,D380,D384,D388,D392,D396,D400,D404,D408,D412,D416,D420,D424)*100</f>
        <v>98100</v>
      </c>
      <c r="E440" s="54"/>
      <c r="F440" s="13"/>
      <c r="G440" s="5">
        <f>D440/H440</f>
        <v>1816.6666666666667</v>
      </c>
      <c r="H440" s="38">
        <f>SUM(H376,H380,H384,H387,H392,H396,H400,H404,H408,H412,H416,H420,H424)</f>
        <v>54</v>
      </c>
      <c r="I440" s="13"/>
      <c r="J440" s="75" t="str">
        <f t="shared" si="782"/>
        <v>NICIマスコット</v>
      </c>
      <c r="K440" s="76">
        <f t="shared" si="782"/>
        <v>900</v>
      </c>
      <c r="L440" s="38">
        <f>SUM(L376,L380,L384,L387,L392,L396,L400,L404,L408,L412,L416,L420,L424)</f>
        <v>41600</v>
      </c>
      <c r="M440" s="36">
        <f>L440/D440</f>
        <v>0.42405708460754332</v>
      </c>
      <c r="N440" s="15"/>
      <c r="O440" s="2"/>
      <c r="P440" s="258" t="s">
        <v>28</v>
      </c>
      <c r="Q440" s="259"/>
      <c r="R440" s="38">
        <f>SUM(R376,R380,R384,R388,R392,R396,R400,R404,R408,R412,R416,R420,R424)*100</f>
        <v>115100</v>
      </c>
      <c r="S440" s="54"/>
      <c r="T440" s="13"/>
      <c r="U440" s="5">
        <f>R440/V440</f>
        <v>5004.347826086957</v>
      </c>
      <c r="V440" s="38">
        <f>SUM(V376,V380,V384,V387,V392,V396,V400,V404,V408,V412,V416,V420,V424)</f>
        <v>23</v>
      </c>
      <c r="W440" s="13"/>
      <c r="X440" s="78" t="str">
        <f t="shared" si="783"/>
        <v>ＡＩマスコット</v>
      </c>
      <c r="Y440" s="76">
        <f t="shared" si="783"/>
        <v>286</v>
      </c>
      <c r="Z440" s="38">
        <f>SUM(Z376,Z380,Z384,Z387,Z392,Z396,Z400,Z404,Z408,Z412,Z416,Z420,Z424)</f>
        <v>7326</v>
      </c>
      <c r="AA440" s="36">
        <f>Z440/R440</f>
        <v>6.364900086880973E-2</v>
      </c>
      <c r="AB440" s="15"/>
      <c r="AC440" s="1"/>
      <c r="AD440" s="258" t="s">
        <v>28</v>
      </c>
      <c r="AE440" s="259"/>
      <c r="AF440" s="38">
        <f>SUM(AF376,AF380,AF384,AF388,AF392,AF396,AF400,AF404,AF408,AF412,AF416,AF420,AF424)*100</f>
        <v>96500</v>
      </c>
      <c r="AG440" s="54"/>
      <c r="AH440" s="13"/>
      <c r="AI440" s="5">
        <f>AF440/AJ440</f>
        <v>4825</v>
      </c>
      <c r="AJ440" s="38">
        <f>SUM(AJ376,AJ380,AJ384,AJ387,AJ392,AJ396,AJ400,AJ404,AJ408,AJ412,AJ416,AJ420,AJ424)</f>
        <v>20</v>
      </c>
      <c r="AK440" s="13"/>
      <c r="AL440" s="75" t="str">
        <f t="shared" si="784"/>
        <v>モンチッチマスコット2</v>
      </c>
      <c r="AM440" s="76">
        <f t="shared" si="784"/>
        <v>605</v>
      </c>
      <c r="AN440" s="38">
        <f>SUM(AN376,AN380,AN384,AN387,AN392,AN396,AN400,AN404,AN408,AN412,AN416,AN420,AN424)</f>
        <v>12254</v>
      </c>
      <c r="AO440" s="36">
        <f>AN440/AF440</f>
        <v>0.12698445595854924</v>
      </c>
      <c r="AP440" s="15"/>
      <c r="AQ440" s="2"/>
      <c r="AR440" s="258" t="s">
        <v>28</v>
      </c>
      <c r="AS440" s="259"/>
      <c r="AT440" s="38">
        <f>SUM(AT376,AT380,AT384,AT388,AT392,AT396,AT400,AT404,AT408,AT412,AT416,AT420,AT424)*100</f>
        <v>152300</v>
      </c>
      <c r="AU440" s="54"/>
      <c r="AV440" s="13"/>
      <c r="AW440" s="5">
        <f>AT440/AX440</f>
        <v>3714.6341463414633</v>
      </c>
      <c r="AX440" s="38">
        <f>SUM(AX376,AX380,AX384,AX387,AX392,AX396,AX400,AX404,AX408,AX412,AX416,AX420,AX424)</f>
        <v>41</v>
      </c>
      <c r="AY440" s="13"/>
      <c r="AZ440" s="75" t="str">
        <f t="shared" si="785"/>
        <v>ラブブマスコット</v>
      </c>
      <c r="BA440" s="76">
        <f t="shared" si="785"/>
        <v>400</v>
      </c>
      <c r="BB440" s="38">
        <f>SUM(BB376,BB380,BB384,BB387,BB392,BB396,BB400,BB404,BB408,BB412,BB416,BB420,BB424)</f>
        <v>16700</v>
      </c>
      <c r="BC440" s="36">
        <f>BB440/AT440</f>
        <v>0.10965200262639527</v>
      </c>
      <c r="BD440" s="15"/>
      <c r="BU440" s="40"/>
      <c r="BV440" s="3"/>
      <c r="BW440" s="2"/>
      <c r="BX440" s="41"/>
      <c r="BY440" s="1"/>
      <c r="BZ440" s="3"/>
      <c r="CA440" s="1"/>
      <c r="CB440" s="23"/>
      <c r="CC440" s="23"/>
      <c r="CD440" s="23"/>
      <c r="CE440" s="23"/>
      <c r="CF440" s="23"/>
      <c r="CG440" s="18"/>
      <c r="CH440" s="1"/>
      <c r="CI440" s="40"/>
      <c r="CJ440" s="3"/>
      <c r="CK440" s="2"/>
      <c r="CL440" s="41"/>
      <c r="CM440" s="1"/>
      <c r="CN440" s="3"/>
      <c r="CO440" s="1"/>
      <c r="CP440" s="23"/>
      <c r="CQ440" s="23"/>
      <c r="CR440" s="23"/>
      <c r="CS440" s="23"/>
      <c r="CT440" s="23"/>
      <c r="CU440" s="18"/>
      <c r="CV440" s="1"/>
      <c r="CW440" s="40"/>
      <c r="CX440" s="3"/>
      <c r="CY440" s="2"/>
      <c r="CZ440" s="41"/>
      <c r="DA440" s="1"/>
      <c r="DB440" s="3"/>
      <c r="DC440" s="1"/>
      <c r="DD440" s="23"/>
      <c r="DE440" s="23"/>
      <c r="DF440" s="23"/>
      <c r="DG440" s="23"/>
      <c r="DH440" s="23"/>
      <c r="DI440" s="18"/>
      <c r="DJ440" s="1"/>
      <c r="DK440" s="40"/>
      <c r="DL440" s="3"/>
      <c r="DM440" s="2"/>
      <c r="DN440" s="41"/>
      <c r="DO440" s="1"/>
      <c r="DP440" s="3"/>
      <c r="DQ440" s="1"/>
      <c r="DR440" s="23"/>
      <c r="DS440" s="23"/>
      <c r="DT440" s="23"/>
      <c r="DU440" s="23"/>
      <c r="DV440" s="23"/>
      <c r="DW440" s="18"/>
    </row>
    <row r="441" spans="1:127" x14ac:dyDescent="0.2">
      <c r="A441" s="16"/>
      <c r="B441" s="11"/>
      <c r="C441" s="5" t="s">
        <v>19</v>
      </c>
      <c r="D441" s="13">
        <f>SUM(D437:D440)</f>
        <v>478400</v>
      </c>
      <c r="E441" s="13"/>
      <c r="F441" s="13"/>
      <c r="G441" s="13"/>
      <c r="H441" s="13">
        <f>SUM(H437:H440)</f>
        <v>147</v>
      </c>
      <c r="I441" s="13"/>
      <c r="J441" s="262" t="s">
        <v>31</v>
      </c>
      <c r="K441" s="259"/>
      <c r="L441" s="53">
        <f>SUM(L437:L440)</f>
        <v>99439</v>
      </c>
      <c r="M441" s="83">
        <f>L441/D441</f>
        <v>0.2078574414715719</v>
      </c>
      <c r="N441" s="84"/>
      <c r="O441" s="2"/>
      <c r="P441" s="16"/>
      <c r="Q441" s="5" t="s">
        <v>19</v>
      </c>
      <c r="R441" s="13">
        <f>SUM(R437:R440)</f>
        <v>403500</v>
      </c>
      <c r="S441" s="54"/>
      <c r="T441" s="13"/>
      <c r="U441" s="13"/>
      <c r="V441" s="13">
        <f>SUM(V437:V440)</f>
        <v>125</v>
      </c>
      <c r="W441" s="13"/>
      <c r="X441" s="262" t="s">
        <v>31</v>
      </c>
      <c r="Y441" s="259"/>
      <c r="Z441" s="53">
        <f>SUM(Z437:Z440)</f>
        <v>107272</v>
      </c>
      <c r="AA441" s="83">
        <f>Z441/R441</f>
        <v>0.26585377942998761</v>
      </c>
      <c r="AB441" s="84"/>
      <c r="AC441" s="1"/>
      <c r="AD441" s="16"/>
      <c r="AE441" s="5" t="s">
        <v>19</v>
      </c>
      <c r="AF441" s="13">
        <f>SUM(AF437:AF440)</f>
        <v>437800</v>
      </c>
      <c r="AG441" s="54"/>
      <c r="AH441" s="13"/>
      <c r="AI441" s="13"/>
      <c r="AJ441" s="13">
        <f>SUM(AJ437:AJ440)</f>
        <v>73</v>
      </c>
      <c r="AK441" s="13"/>
      <c r="AL441" s="262" t="s">
        <v>31</v>
      </c>
      <c r="AM441" s="259"/>
      <c r="AN441" s="53">
        <f>SUM(AN437:AN440)</f>
        <v>48577</v>
      </c>
      <c r="AO441" s="83">
        <f>AN441/AF441</f>
        <v>0.11095705801735953</v>
      </c>
      <c r="AP441" s="84"/>
      <c r="AQ441" s="2"/>
      <c r="AR441" s="16"/>
      <c r="AS441" s="5" t="s">
        <v>19</v>
      </c>
      <c r="AT441" s="13">
        <f>SUM(AT437:AT440)</f>
        <v>461000</v>
      </c>
      <c r="AU441" s="54"/>
      <c r="AV441" s="13"/>
      <c r="AW441" s="13"/>
      <c r="AX441" s="13">
        <f>SUM(AX437:AX440)</f>
        <v>148</v>
      </c>
      <c r="AY441" s="13"/>
      <c r="AZ441" s="262" t="s">
        <v>31</v>
      </c>
      <c r="BA441" s="259"/>
      <c r="BB441" s="53">
        <f>SUM(BB437:BB440)</f>
        <v>93284</v>
      </c>
      <c r="BC441" s="83">
        <f>BB441/AT441</f>
        <v>0.20235140997830803</v>
      </c>
      <c r="BD441" s="84"/>
      <c r="BU441" s="42"/>
      <c r="BV441" s="256"/>
      <c r="BW441" s="256"/>
      <c r="BX441" s="41"/>
      <c r="BY441" s="1"/>
      <c r="BZ441" s="3"/>
      <c r="CA441" s="1"/>
      <c r="CB441" s="23"/>
      <c r="CC441" s="23"/>
      <c r="CD441" s="23"/>
      <c r="CE441" s="23"/>
      <c r="CF441" s="23"/>
      <c r="CG441" s="18"/>
      <c r="CH441" s="1"/>
      <c r="CI441" s="42"/>
      <c r="CJ441" s="256"/>
      <c r="CK441" s="256"/>
      <c r="CL441" s="41"/>
      <c r="CM441" s="1"/>
      <c r="CN441" s="3"/>
      <c r="CO441" s="1"/>
      <c r="CP441" s="23"/>
      <c r="CQ441" s="23"/>
      <c r="CR441" s="23"/>
      <c r="CS441" s="23"/>
      <c r="CT441" s="23"/>
      <c r="CU441" s="18"/>
      <c r="CV441" s="1"/>
      <c r="CW441" s="42"/>
      <c r="CX441" s="256"/>
      <c r="CY441" s="256"/>
      <c r="CZ441" s="41"/>
      <c r="DA441" s="1"/>
      <c r="DB441" s="3"/>
      <c r="DC441" s="1"/>
      <c r="DD441" s="23"/>
      <c r="DE441" s="23"/>
      <c r="DF441" s="23"/>
      <c r="DG441" s="23"/>
      <c r="DH441" s="23"/>
      <c r="DI441" s="18"/>
      <c r="DJ441" s="1"/>
      <c r="DK441" s="42"/>
      <c r="DL441" s="256"/>
      <c r="DM441" s="256"/>
      <c r="DN441" s="41"/>
      <c r="DO441" s="1"/>
      <c r="DP441" s="3"/>
      <c r="DQ441" s="1"/>
      <c r="DR441" s="23"/>
      <c r="DS441" s="23"/>
      <c r="DT441" s="23"/>
      <c r="DU441" s="23"/>
      <c r="DV441" s="23"/>
      <c r="DW441" s="18"/>
    </row>
    <row r="442" spans="1:127" x14ac:dyDescent="0.2">
      <c r="A442" s="85"/>
      <c r="B442" s="101"/>
      <c r="C442" s="35"/>
      <c r="D442" s="54"/>
      <c r="E442" s="24"/>
      <c r="F442" s="54"/>
      <c r="G442" s="5"/>
      <c r="H442" s="13"/>
      <c r="I442" s="24"/>
      <c r="J442" s="99"/>
      <c r="K442" s="100"/>
      <c r="L442" s="76"/>
      <c r="M442" s="14"/>
      <c r="N442" s="15"/>
      <c r="O442" s="2"/>
      <c r="P442" s="79"/>
      <c r="Q442" s="5"/>
      <c r="R442" s="13"/>
      <c r="S442" s="13"/>
      <c r="T442" s="13"/>
      <c r="U442" s="5"/>
      <c r="V442" s="13"/>
      <c r="W442" s="24"/>
      <c r="X442" s="99"/>
      <c r="Y442" s="100"/>
      <c r="Z442" s="76"/>
      <c r="AA442" s="14"/>
      <c r="AB442" s="15"/>
      <c r="AD442" s="79"/>
      <c r="AE442" s="5"/>
      <c r="AF442" s="13"/>
      <c r="AG442" s="13"/>
      <c r="AH442" s="13"/>
      <c r="AI442" s="5"/>
      <c r="AJ442" s="13"/>
      <c r="AK442" s="24"/>
      <c r="AL442" s="99"/>
      <c r="AM442" s="100"/>
      <c r="AN442" s="76"/>
      <c r="AO442" s="14"/>
      <c r="AP442" s="15"/>
      <c r="AQ442" s="2"/>
      <c r="AR442" s="79"/>
      <c r="AS442" s="5"/>
      <c r="AT442" s="13"/>
      <c r="AU442" s="13"/>
      <c r="AV442" s="13"/>
      <c r="AW442" s="5"/>
      <c r="AX442" s="13"/>
      <c r="AY442" s="24"/>
      <c r="AZ442" s="118"/>
      <c r="BA442" s="100"/>
      <c r="BB442" s="76"/>
      <c r="BC442" s="14"/>
      <c r="BD442" s="15"/>
      <c r="BU442" s="42"/>
      <c r="BV442" s="3"/>
      <c r="BX442" s="41"/>
      <c r="BY442" s="1"/>
      <c r="BZ442" s="3"/>
      <c r="CA442" s="1"/>
      <c r="CB442" s="23"/>
      <c r="CC442" s="23"/>
      <c r="CD442" s="23"/>
      <c r="CE442" s="23"/>
      <c r="CF442" s="23"/>
      <c r="CG442" s="18"/>
      <c r="CH442" s="1"/>
      <c r="CI442" s="42"/>
      <c r="CJ442" s="3"/>
      <c r="CL442" s="41"/>
      <c r="CM442" s="1"/>
      <c r="CN442" s="3"/>
      <c r="CO442" s="1"/>
      <c r="CP442" s="23"/>
      <c r="CQ442" s="23"/>
      <c r="CR442" s="23"/>
      <c r="CS442" s="23"/>
      <c r="CT442" s="23"/>
      <c r="CU442" s="18"/>
      <c r="CV442" s="1"/>
      <c r="CW442" s="42"/>
      <c r="CX442" s="3"/>
      <c r="CZ442" s="41"/>
      <c r="DA442" s="1"/>
      <c r="DB442" s="3"/>
      <c r="DC442" s="1"/>
      <c r="DD442" s="23"/>
      <c r="DE442" s="23"/>
      <c r="DF442" s="23"/>
      <c r="DG442" s="23"/>
      <c r="DH442" s="23"/>
      <c r="DI442" s="18"/>
      <c r="DJ442" s="1"/>
      <c r="DK442" s="42"/>
      <c r="DL442" s="3"/>
      <c r="DN442" s="41"/>
      <c r="DO442" s="1"/>
      <c r="DP442" s="3"/>
      <c r="DQ442" s="1"/>
      <c r="DR442" s="23"/>
      <c r="DS442" s="23"/>
      <c r="DT442" s="23"/>
      <c r="DU442" s="23"/>
      <c r="DV442" s="23"/>
      <c r="DW442" s="18"/>
    </row>
    <row r="443" spans="1:127" x14ac:dyDescent="0.2">
      <c r="A443" s="257"/>
      <c r="B443" s="257"/>
      <c r="C443" s="257"/>
      <c r="D443" s="257"/>
      <c r="E443" s="257"/>
      <c r="F443" s="257"/>
      <c r="BU443" s="40"/>
      <c r="BV443" s="256"/>
      <c r="BW443" s="256"/>
      <c r="BX443" s="41"/>
      <c r="BY443" s="1"/>
      <c r="BZ443" s="3"/>
      <c r="CA443" s="1"/>
      <c r="CB443" s="23"/>
      <c r="CC443" s="23"/>
      <c r="CD443" s="23"/>
      <c r="CE443" s="23"/>
      <c r="CF443" s="23"/>
      <c r="CG443" s="18"/>
      <c r="CH443" s="1"/>
      <c r="CI443" s="40"/>
      <c r="CJ443" s="256"/>
      <c r="CK443" s="256"/>
      <c r="CL443" s="41"/>
      <c r="CM443" s="1"/>
      <c r="CN443" s="3"/>
      <c r="CO443" s="1"/>
      <c r="CP443" s="23"/>
      <c r="CQ443" s="23"/>
      <c r="CR443" s="23"/>
      <c r="CS443" s="23"/>
      <c r="CT443" s="23"/>
      <c r="CU443" s="18"/>
      <c r="CV443" s="1"/>
      <c r="CW443" s="40"/>
      <c r="CX443" s="256"/>
      <c r="CY443" s="256"/>
      <c r="CZ443" s="41"/>
      <c r="DA443" s="1"/>
      <c r="DB443" s="3"/>
      <c r="DC443" s="1"/>
      <c r="DD443" s="23"/>
      <c r="DE443" s="23"/>
      <c r="DF443" s="23"/>
      <c r="DG443" s="23"/>
      <c r="DH443" s="23"/>
      <c r="DI443" s="18"/>
      <c r="DJ443" s="1"/>
      <c r="DK443" s="40"/>
      <c r="DL443" s="256"/>
      <c r="DM443" s="256"/>
      <c r="DN443" s="41"/>
      <c r="DO443" s="1"/>
      <c r="DP443" s="3"/>
      <c r="DQ443" s="1"/>
      <c r="DR443" s="23"/>
      <c r="DS443" s="23"/>
      <c r="DT443" s="23"/>
      <c r="DU443" s="23"/>
      <c r="DV443" s="23"/>
      <c r="DW443" s="18"/>
    </row>
    <row r="444" spans="1:127" ht="15" customHeight="1" x14ac:dyDescent="0.2">
      <c r="A444" s="257"/>
      <c r="B444" s="257"/>
      <c r="J444"/>
      <c r="BU444" s="40"/>
      <c r="BV444" s="3"/>
      <c r="BX444" s="41"/>
      <c r="BY444" s="1"/>
      <c r="BZ444" s="3"/>
      <c r="CA444" s="1"/>
      <c r="CB444" s="23"/>
      <c r="CC444" s="23"/>
      <c r="CD444" s="23"/>
      <c r="CE444" s="23"/>
      <c r="CF444" s="23"/>
      <c r="CG444" s="18"/>
      <c r="CH444" s="1"/>
      <c r="CI444" s="40"/>
      <c r="CJ444" s="3"/>
      <c r="CL444" s="41"/>
      <c r="CM444" s="1"/>
      <c r="CN444" s="3"/>
      <c r="CO444" s="1"/>
      <c r="CP444" s="23"/>
      <c r="CQ444" s="23"/>
      <c r="CR444" s="23"/>
      <c r="CS444" s="23"/>
      <c r="CT444" s="23"/>
      <c r="CU444" s="18"/>
      <c r="CV444" s="1"/>
      <c r="CW444" s="40"/>
      <c r="CX444" s="3"/>
      <c r="CZ444" s="41"/>
      <c r="DA444" s="1"/>
      <c r="DB444" s="3"/>
      <c r="DC444" s="1"/>
      <c r="DD444" s="23"/>
      <c r="DE444" s="23"/>
      <c r="DF444" s="23"/>
      <c r="DG444" s="23"/>
      <c r="DH444" s="23"/>
      <c r="DI444" s="18"/>
      <c r="DJ444" s="1"/>
      <c r="DK444" s="40"/>
      <c r="DL444" s="3"/>
      <c r="DN444" s="41"/>
      <c r="DO444" s="1"/>
      <c r="DP444" s="3"/>
      <c r="DQ444" s="1"/>
      <c r="DR444" s="23"/>
      <c r="DS444" s="23"/>
      <c r="DT444" s="23"/>
      <c r="DU444" s="23"/>
      <c r="DV444" s="23"/>
      <c r="DW444" s="18"/>
    </row>
    <row r="445" spans="1:127" x14ac:dyDescent="0.2">
      <c r="A445" s="276" t="s">
        <v>42</v>
      </c>
      <c r="B445" s="276"/>
      <c r="C445" s="276"/>
      <c r="D445" s="276"/>
      <c r="E445" s="70" t="s">
        <v>56</v>
      </c>
      <c r="F445" s="70"/>
      <c r="G445" s="70"/>
      <c r="H445" s="70"/>
      <c r="I445" s="70"/>
      <c r="J445" s="71"/>
      <c r="K445" s="70"/>
      <c r="L445" s="70"/>
      <c r="M445" s="70"/>
      <c r="N445" s="72"/>
      <c r="O445" s="2"/>
      <c r="P445" s="276" t="s">
        <v>43</v>
      </c>
      <c r="Q445" s="276"/>
      <c r="R445" s="276"/>
      <c r="S445" s="70" t="s">
        <v>55</v>
      </c>
      <c r="T445" s="70"/>
      <c r="U445" s="70"/>
      <c r="V445" s="70"/>
      <c r="W445" s="70"/>
      <c r="X445" s="73"/>
      <c r="Y445" s="70"/>
      <c r="Z445" s="70"/>
      <c r="AA445" s="70"/>
      <c r="AB445" s="72"/>
      <c r="AC445" s="1"/>
      <c r="AD445" s="276" t="s">
        <v>54</v>
      </c>
      <c r="AE445" s="276"/>
      <c r="AF445" s="276"/>
      <c r="AG445" s="70" t="s">
        <v>52</v>
      </c>
      <c r="AH445" s="70"/>
      <c r="AI445" s="70"/>
      <c r="AJ445" s="70"/>
      <c r="AK445" s="70"/>
      <c r="AL445" s="71"/>
      <c r="AM445" s="70"/>
      <c r="AN445" s="70"/>
      <c r="AO445" s="70"/>
      <c r="AP445" s="72"/>
      <c r="AQ445" s="2"/>
      <c r="AR445" s="276" t="s">
        <v>54</v>
      </c>
      <c r="AS445" s="276"/>
      <c r="AT445" s="276"/>
      <c r="AU445" s="70" t="s">
        <v>53</v>
      </c>
      <c r="AV445" s="70"/>
      <c r="AW445" s="70"/>
      <c r="AX445" s="70"/>
      <c r="AY445" s="70"/>
      <c r="AZ445" s="71"/>
      <c r="BA445" s="70"/>
      <c r="BB445" s="70"/>
      <c r="BC445" s="70"/>
      <c r="BD445" s="72"/>
      <c r="BU445" s="124"/>
      <c r="BV445" s="277" t="s">
        <v>137</v>
      </c>
      <c r="BW445" s="278"/>
      <c r="BX445" s="278"/>
      <c r="BY445" s="278"/>
      <c r="BZ445" s="125"/>
      <c r="CA445" s="125"/>
      <c r="CB445" s="125"/>
      <c r="CC445" s="125"/>
      <c r="CD445" s="125"/>
      <c r="CE445" s="125"/>
      <c r="CF445" s="125"/>
      <c r="CG445" s="125"/>
      <c r="CH445" s="125"/>
      <c r="CI445" s="124"/>
      <c r="CJ445" s="277" t="s">
        <v>138</v>
      </c>
      <c r="CK445" s="278"/>
      <c r="CL445" s="278"/>
      <c r="CM445" s="278"/>
      <c r="CN445" s="125"/>
      <c r="CO445" s="125"/>
      <c r="CP445" s="125"/>
      <c r="CQ445" s="125"/>
      <c r="CR445" s="125"/>
      <c r="CS445" s="125"/>
      <c r="CT445" s="125"/>
      <c r="CU445" s="125"/>
      <c r="CV445" s="125"/>
      <c r="CW445" s="124"/>
      <c r="CX445" s="277" t="s">
        <v>139</v>
      </c>
      <c r="CY445" s="278"/>
      <c r="CZ445" s="278"/>
      <c r="DA445" s="278"/>
      <c r="DB445" s="125"/>
      <c r="DC445" s="125"/>
      <c r="DD445" s="125"/>
      <c r="DE445" s="125"/>
      <c r="DF445" s="125"/>
      <c r="DG445" s="125"/>
      <c r="DH445" s="125"/>
      <c r="DI445" s="125"/>
      <c r="DJ445" s="125"/>
      <c r="DK445" s="124"/>
      <c r="DL445" s="277" t="s">
        <v>140</v>
      </c>
      <c r="DM445" s="278"/>
      <c r="DN445" s="278"/>
      <c r="DO445" s="278"/>
      <c r="DP445" s="125"/>
      <c r="DQ445" s="125"/>
      <c r="DR445" s="125"/>
      <c r="DS445" s="125"/>
      <c r="DT445" s="125"/>
      <c r="DU445" s="125"/>
      <c r="DV445" s="125"/>
      <c r="DW445" s="125"/>
    </row>
    <row r="446" spans="1:127" x14ac:dyDescent="0.2">
      <c r="A446" s="7" t="s">
        <v>1</v>
      </c>
      <c r="B446" s="4" t="s">
        <v>19</v>
      </c>
      <c r="C446" s="5" t="s">
        <v>2</v>
      </c>
      <c r="D446" s="5" t="s">
        <v>3</v>
      </c>
      <c r="E446" s="6" t="s">
        <v>4</v>
      </c>
      <c r="F446" s="5" t="s">
        <v>3</v>
      </c>
      <c r="G446" s="5" t="s">
        <v>5</v>
      </c>
      <c r="H446" s="5" t="s">
        <v>6</v>
      </c>
      <c r="I446" s="5" t="s">
        <v>7</v>
      </c>
      <c r="J446" s="55" t="s">
        <v>12</v>
      </c>
      <c r="K446" s="5" t="s">
        <v>8</v>
      </c>
      <c r="L446" s="5" t="s">
        <v>6</v>
      </c>
      <c r="M446" s="5" t="s">
        <v>13</v>
      </c>
      <c r="N446" s="5" t="s">
        <v>11</v>
      </c>
      <c r="O446" s="2"/>
      <c r="P446" s="7" t="s">
        <v>1</v>
      </c>
      <c r="Q446" s="5" t="s">
        <v>2</v>
      </c>
      <c r="R446" s="5" t="s">
        <v>3</v>
      </c>
      <c r="S446" s="6" t="s">
        <v>4</v>
      </c>
      <c r="T446" s="5" t="s">
        <v>3</v>
      </c>
      <c r="U446" s="5" t="s">
        <v>5</v>
      </c>
      <c r="V446" s="5" t="s">
        <v>6</v>
      </c>
      <c r="W446" s="5" t="s">
        <v>7</v>
      </c>
      <c r="X446" s="6" t="s">
        <v>12</v>
      </c>
      <c r="Y446" s="5" t="s">
        <v>8</v>
      </c>
      <c r="Z446" s="5" t="s">
        <v>6</v>
      </c>
      <c r="AA446" s="5" t="s">
        <v>13</v>
      </c>
      <c r="AB446" s="5" t="s">
        <v>11</v>
      </c>
      <c r="AC446" s="3"/>
      <c r="AD446" s="7" t="s">
        <v>1</v>
      </c>
      <c r="AE446" s="5" t="s">
        <v>2</v>
      </c>
      <c r="AF446" s="5" t="s">
        <v>3</v>
      </c>
      <c r="AG446" s="6" t="s">
        <v>4</v>
      </c>
      <c r="AH446" s="5" t="s">
        <v>3</v>
      </c>
      <c r="AI446" s="5" t="s">
        <v>5</v>
      </c>
      <c r="AJ446" s="5" t="s">
        <v>6</v>
      </c>
      <c r="AK446" s="5" t="s">
        <v>7</v>
      </c>
      <c r="AL446" s="55" t="s">
        <v>12</v>
      </c>
      <c r="AM446" s="5" t="s">
        <v>8</v>
      </c>
      <c r="AN446" s="5" t="s">
        <v>6</v>
      </c>
      <c r="AO446" s="5" t="s">
        <v>13</v>
      </c>
      <c r="AP446" s="5" t="s">
        <v>11</v>
      </c>
      <c r="AQ446" s="2"/>
      <c r="AR446" s="7" t="s">
        <v>1</v>
      </c>
      <c r="AS446" s="5" t="s">
        <v>2</v>
      </c>
      <c r="AT446" s="5" t="s">
        <v>3</v>
      </c>
      <c r="AU446" s="6" t="s">
        <v>4</v>
      </c>
      <c r="AV446" s="5" t="s">
        <v>3</v>
      </c>
      <c r="AW446" s="5" t="s">
        <v>5</v>
      </c>
      <c r="AX446" s="5" t="s">
        <v>6</v>
      </c>
      <c r="AY446" s="5" t="s">
        <v>7</v>
      </c>
      <c r="AZ446" s="55" t="s">
        <v>12</v>
      </c>
      <c r="BA446" s="5" t="s">
        <v>8</v>
      </c>
      <c r="BB446" s="5" t="s">
        <v>6</v>
      </c>
      <c r="BC446" s="5" t="s">
        <v>13</v>
      </c>
      <c r="BD446" s="5" t="s">
        <v>11</v>
      </c>
      <c r="BU446" s="8" t="s">
        <v>1</v>
      </c>
      <c r="BV446" s="5" t="s">
        <v>2</v>
      </c>
      <c r="BW446" s="5" t="s">
        <v>3</v>
      </c>
      <c r="BX446" s="6" t="s">
        <v>4</v>
      </c>
      <c r="BY446" s="5" t="s">
        <v>3</v>
      </c>
      <c r="BZ446" s="5" t="s">
        <v>5</v>
      </c>
      <c r="CA446" s="5" t="s">
        <v>6</v>
      </c>
      <c r="CB446" s="5" t="s">
        <v>7</v>
      </c>
      <c r="CC446" s="5"/>
      <c r="CD446" s="5" t="s">
        <v>8</v>
      </c>
      <c r="CE446" s="5" t="s">
        <v>9</v>
      </c>
      <c r="CF446" s="5" t="s">
        <v>10</v>
      </c>
      <c r="CG446" s="5" t="s">
        <v>11</v>
      </c>
      <c r="CH446" s="63"/>
      <c r="CI446" s="8" t="s">
        <v>1</v>
      </c>
      <c r="CJ446" s="5" t="s">
        <v>2</v>
      </c>
      <c r="CK446" s="5" t="s">
        <v>3</v>
      </c>
      <c r="CL446" s="6" t="s">
        <v>4</v>
      </c>
      <c r="CM446" s="5" t="s">
        <v>3</v>
      </c>
      <c r="CN446" s="5" t="s">
        <v>5</v>
      </c>
      <c r="CO446" s="5" t="s">
        <v>6</v>
      </c>
      <c r="CP446" s="5" t="s">
        <v>7</v>
      </c>
      <c r="CQ446" s="5"/>
      <c r="CR446" s="5" t="s">
        <v>8</v>
      </c>
      <c r="CS446" s="5" t="s">
        <v>9</v>
      </c>
      <c r="CT446" s="5" t="s">
        <v>10</v>
      </c>
      <c r="CU446" s="5" t="s">
        <v>11</v>
      </c>
      <c r="CV446" s="1"/>
      <c r="CW446" s="8" t="s">
        <v>1</v>
      </c>
      <c r="CX446" s="5" t="s">
        <v>2</v>
      </c>
      <c r="CY446" s="5" t="s">
        <v>3</v>
      </c>
      <c r="CZ446" s="6" t="s">
        <v>4</v>
      </c>
      <c r="DA446" s="5" t="s">
        <v>3</v>
      </c>
      <c r="DB446" s="5" t="s">
        <v>5</v>
      </c>
      <c r="DC446" s="5" t="s">
        <v>6</v>
      </c>
      <c r="DD446" s="5" t="s">
        <v>7</v>
      </c>
      <c r="DE446" s="5"/>
      <c r="DF446" s="5" t="s">
        <v>8</v>
      </c>
      <c r="DG446" s="5" t="s">
        <v>9</v>
      </c>
      <c r="DH446" s="5" t="s">
        <v>10</v>
      </c>
      <c r="DI446" s="5" t="s">
        <v>11</v>
      </c>
      <c r="DJ446" s="63"/>
      <c r="DK446" s="8" t="s">
        <v>1</v>
      </c>
      <c r="DL446" s="5" t="s">
        <v>2</v>
      </c>
      <c r="DM446" s="5" t="s">
        <v>3</v>
      </c>
      <c r="DN446" s="6" t="s">
        <v>4</v>
      </c>
      <c r="DO446" s="5" t="s">
        <v>3</v>
      </c>
      <c r="DP446" s="5" t="s">
        <v>5</v>
      </c>
      <c r="DQ446" s="5" t="s">
        <v>6</v>
      </c>
      <c r="DR446" s="5" t="s">
        <v>7</v>
      </c>
      <c r="DS446" s="5"/>
      <c r="DT446" s="5" t="s">
        <v>8</v>
      </c>
      <c r="DU446" s="5" t="s">
        <v>9</v>
      </c>
      <c r="DV446" s="5" t="s">
        <v>10</v>
      </c>
      <c r="DW446" s="5" t="s">
        <v>11</v>
      </c>
    </row>
    <row r="447" spans="1:127" x14ac:dyDescent="0.2">
      <c r="A447" s="16">
        <v>45978</v>
      </c>
      <c r="B447" s="74">
        <v>3014</v>
      </c>
      <c r="C447" s="53">
        <v>3608</v>
      </c>
      <c r="D447" s="53">
        <v>69</v>
      </c>
      <c r="E447" s="53">
        <v>311</v>
      </c>
      <c r="F447" s="53">
        <v>1</v>
      </c>
      <c r="G447" s="53">
        <v>18</v>
      </c>
      <c r="H447" s="53">
        <v>1</v>
      </c>
      <c r="I447" s="53">
        <v>0</v>
      </c>
      <c r="J447" s="75" t="s">
        <v>60</v>
      </c>
      <c r="K447" s="76">
        <v>748</v>
      </c>
      <c r="L447" s="53">
        <v>748</v>
      </c>
      <c r="M447" s="77">
        <v>0.10840579710144928</v>
      </c>
      <c r="N447" s="15"/>
      <c r="O447" s="2"/>
      <c r="P447" s="16">
        <v>45978</v>
      </c>
      <c r="Q447" s="53">
        <v>3464</v>
      </c>
      <c r="R447" s="53">
        <v>121</v>
      </c>
      <c r="S447" s="53">
        <v>121</v>
      </c>
      <c r="T447" s="53">
        <v>4</v>
      </c>
      <c r="U447" s="53">
        <v>4</v>
      </c>
      <c r="V447" s="53">
        <v>4</v>
      </c>
      <c r="W447" s="53">
        <v>6</v>
      </c>
      <c r="X447" s="75" t="s">
        <v>166</v>
      </c>
      <c r="Y447" s="76">
        <v>957</v>
      </c>
      <c r="Z447" s="53">
        <v>3828</v>
      </c>
      <c r="AA447" s="77">
        <v>0.31636363636363635</v>
      </c>
      <c r="AB447" s="15"/>
      <c r="AC447" s="1"/>
      <c r="AD447" s="16">
        <v>45978</v>
      </c>
      <c r="AE447" s="53">
        <v>8802</v>
      </c>
      <c r="AF447" s="53">
        <v>146</v>
      </c>
      <c r="AG447" s="53">
        <v>194</v>
      </c>
      <c r="AH447" s="53">
        <v>2</v>
      </c>
      <c r="AI447" s="53">
        <v>9</v>
      </c>
      <c r="AJ447" s="53">
        <v>0</v>
      </c>
      <c r="AK447" s="53">
        <v>2</v>
      </c>
      <c r="AL447" s="75" t="s">
        <v>338</v>
      </c>
      <c r="AM447" s="76">
        <v>1009</v>
      </c>
      <c r="AN447" s="53">
        <v>0</v>
      </c>
      <c r="AO447" s="77">
        <v>0</v>
      </c>
      <c r="AP447" s="15"/>
      <c r="AQ447" s="2"/>
      <c r="AR447" s="16">
        <v>45978</v>
      </c>
      <c r="AS447" s="53">
        <v>9134</v>
      </c>
      <c r="AT447" s="53">
        <v>32</v>
      </c>
      <c r="AU447" s="53">
        <v>286</v>
      </c>
      <c r="AV447" s="53">
        <v>7</v>
      </c>
      <c r="AW447" s="53">
        <v>7</v>
      </c>
      <c r="AX447" s="53">
        <v>6</v>
      </c>
      <c r="AY447" s="53">
        <v>13</v>
      </c>
      <c r="AZ447" s="75" t="s">
        <v>343</v>
      </c>
      <c r="BA447" s="76">
        <v>880</v>
      </c>
      <c r="BB447" s="53">
        <v>5280</v>
      </c>
      <c r="BC447" s="77">
        <v>1.65</v>
      </c>
      <c r="BD447" s="15" t="s">
        <v>360</v>
      </c>
      <c r="BU447" s="16">
        <v>45978</v>
      </c>
      <c r="BV447" s="76">
        <v>9913</v>
      </c>
      <c r="BW447" s="53">
        <v>105</v>
      </c>
      <c r="BX447" s="53">
        <v>235</v>
      </c>
      <c r="BY447" s="53">
        <v>1</v>
      </c>
      <c r="BZ447" s="53">
        <v>11</v>
      </c>
      <c r="CA447" s="53">
        <v>3</v>
      </c>
      <c r="CB447" s="53">
        <v>7</v>
      </c>
      <c r="CC447" s="53"/>
      <c r="CD447" s="53">
        <v>550</v>
      </c>
      <c r="CE447" s="13">
        <v>1650</v>
      </c>
      <c r="CF447" s="14">
        <v>0.15714285714285714</v>
      </c>
      <c r="CG447" s="91" t="s">
        <v>362</v>
      </c>
      <c r="CH447" s="1"/>
      <c r="CI447" s="16">
        <v>45978</v>
      </c>
      <c r="CJ447" s="76">
        <v>9256</v>
      </c>
      <c r="CK447" s="53">
        <v>338</v>
      </c>
      <c r="CL447" s="53">
        <v>142</v>
      </c>
      <c r="CM447" s="53">
        <v>3</v>
      </c>
      <c r="CN447" s="53">
        <v>5</v>
      </c>
      <c r="CO447" s="53">
        <v>3</v>
      </c>
      <c r="CP447" s="53">
        <v>2</v>
      </c>
      <c r="CQ447" s="53"/>
      <c r="CR447" s="13">
        <v>715</v>
      </c>
      <c r="CS447" s="13">
        <v>2145</v>
      </c>
      <c r="CT447" s="14">
        <v>6.3461538461538458E-2</v>
      </c>
      <c r="CU447" s="67"/>
      <c r="CV447" s="1"/>
      <c r="CW447" s="16">
        <v>45978</v>
      </c>
      <c r="CX447" s="76">
        <v>8943</v>
      </c>
      <c r="CY447" s="53">
        <v>221</v>
      </c>
      <c r="CZ447" s="53">
        <v>181</v>
      </c>
      <c r="DA447" s="53">
        <v>2</v>
      </c>
      <c r="DB447" s="53">
        <v>59</v>
      </c>
      <c r="DC447" s="53">
        <v>2</v>
      </c>
      <c r="DD447" s="53">
        <v>2</v>
      </c>
      <c r="DE447" s="53"/>
      <c r="DF447" s="53">
        <v>880</v>
      </c>
      <c r="DG447" s="13">
        <v>1760</v>
      </c>
      <c r="DH447" s="14">
        <v>7.963800904977375E-2</v>
      </c>
      <c r="DI447" s="15"/>
      <c r="DJ447" s="1"/>
      <c r="DK447" s="16">
        <v>45978</v>
      </c>
      <c r="DL447" s="76">
        <v>6942</v>
      </c>
      <c r="DM447" s="53">
        <v>311</v>
      </c>
      <c r="DN447" s="53">
        <v>237</v>
      </c>
      <c r="DO447" s="53">
        <v>1</v>
      </c>
      <c r="DP447" s="53">
        <v>41</v>
      </c>
      <c r="DQ447" s="53">
        <v>1</v>
      </c>
      <c r="DR447" s="53">
        <v>0</v>
      </c>
      <c r="DS447" s="53"/>
      <c r="DT447" s="13">
        <v>1100</v>
      </c>
      <c r="DU447" s="13">
        <v>1100</v>
      </c>
      <c r="DV447" s="14">
        <v>3.5369774919614148E-2</v>
      </c>
      <c r="DW447" s="22" t="s">
        <v>335</v>
      </c>
    </row>
    <row r="448" spans="1:127" x14ac:dyDescent="0.2">
      <c r="A448" s="16"/>
      <c r="B448" s="11"/>
      <c r="C448" s="13">
        <v>2898</v>
      </c>
      <c r="D448" s="13">
        <v>156</v>
      </c>
      <c r="E448" s="13">
        <v>332</v>
      </c>
      <c r="F448" s="13">
        <v>3</v>
      </c>
      <c r="G448" s="13">
        <v>9</v>
      </c>
      <c r="H448" s="13">
        <v>3</v>
      </c>
      <c r="I448" s="13">
        <v>3</v>
      </c>
      <c r="J448" s="56" t="s">
        <v>304</v>
      </c>
      <c r="K448" s="54">
        <v>1075</v>
      </c>
      <c r="L448" s="13">
        <v>3225</v>
      </c>
      <c r="M448" s="14">
        <v>0.20673076923076922</v>
      </c>
      <c r="N448" s="15"/>
      <c r="O448" s="2"/>
      <c r="P448" s="16"/>
      <c r="Q448" s="13">
        <v>2956</v>
      </c>
      <c r="R448" s="13">
        <v>43</v>
      </c>
      <c r="S448" s="13">
        <v>91</v>
      </c>
      <c r="T448" s="13">
        <v>0</v>
      </c>
      <c r="U448" s="13">
        <v>10</v>
      </c>
      <c r="V448" s="13">
        <v>0</v>
      </c>
      <c r="W448" s="13">
        <v>14</v>
      </c>
      <c r="X448" s="75" t="s">
        <v>60</v>
      </c>
      <c r="Y448" s="53">
        <v>1100</v>
      </c>
      <c r="Z448" s="13">
        <v>0</v>
      </c>
      <c r="AA448" s="14">
        <v>0</v>
      </c>
      <c r="AB448" s="15" t="s">
        <v>361</v>
      </c>
      <c r="AC448" s="1"/>
      <c r="AD448" s="16"/>
      <c r="AE448" s="13">
        <v>8598</v>
      </c>
      <c r="AF448" s="13">
        <v>78</v>
      </c>
      <c r="AG448" s="13">
        <v>188</v>
      </c>
      <c r="AH448" s="13">
        <v>2</v>
      </c>
      <c r="AI448" s="13">
        <v>8</v>
      </c>
      <c r="AJ448" s="13">
        <v>2</v>
      </c>
      <c r="AK448" s="13">
        <v>2</v>
      </c>
      <c r="AL448" s="56" t="s">
        <v>303</v>
      </c>
      <c r="AM448" s="54">
        <v>996</v>
      </c>
      <c r="AN448" s="13">
        <v>1992</v>
      </c>
      <c r="AO448" s="14">
        <v>0.25538461538461538</v>
      </c>
      <c r="AP448" s="15"/>
      <c r="AQ448" s="2"/>
      <c r="AR448" s="16"/>
      <c r="AS448" s="13">
        <v>6519</v>
      </c>
      <c r="AT448" s="13">
        <v>46</v>
      </c>
      <c r="AU448" s="13">
        <v>316</v>
      </c>
      <c r="AV448" s="13">
        <v>2</v>
      </c>
      <c r="AW448" s="13">
        <v>34</v>
      </c>
      <c r="AX448" s="13">
        <v>2</v>
      </c>
      <c r="AY448" s="13">
        <v>0</v>
      </c>
      <c r="AZ448" s="56" t="s">
        <v>164</v>
      </c>
      <c r="BA448" s="54">
        <v>1000</v>
      </c>
      <c r="BB448" s="13">
        <v>2000</v>
      </c>
      <c r="BC448" s="14">
        <v>0.43478260869565216</v>
      </c>
      <c r="BD448" s="15"/>
      <c r="BU448" s="79">
        <f>IF($A451="","",$A451)</f>
        <v>45982</v>
      </c>
      <c r="BV448" s="17">
        <v>9992</v>
      </c>
      <c r="BW448" s="13">
        <f t="shared" ref="BW448:BW456" si="786">IF(BV448="","",BV448-BV447)</f>
        <v>79</v>
      </c>
      <c r="BX448" s="13">
        <v>239</v>
      </c>
      <c r="BY448" s="13">
        <f t="shared" ref="BY448:BY456" si="787">IF(BX448="","",BX448-BX447)</f>
        <v>4</v>
      </c>
      <c r="BZ448" s="13">
        <v>14</v>
      </c>
      <c r="CA448" s="13">
        <f>IF(BZ448="","",BZ447+CB447-BZ448)</f>
        <v>4</v>
      </c>
      <c r="CB448" s="13">
        <v>14</v>
      </c>
      <c r="CC448" s="53"/>
      <c r="CD448" s="53">
        <v>688</v>
      </c>
      <c r="CE448" s="13">
        <f t="shared" ref="CE448:CE456" si="788">IF(CD448="","",CA448*CD448)</f>
        <v>2752</v>
      </c>
      <c r="CF448" s="14">
        <f t="shared" ref="CF448:CF456" si="789">IF(CE448="","",CE448/(BW448*100))</f>
        <v>0.34835443037974684</v>
      </c>
      <c r="CG448" s="15" t="s">
        <v>368</v>
      </c>
      <c r="CH448" s="1"/>
      <c r="CI448" s="79">
        <f>IF($A451="","",$A451)</f>
        <v>45982</v>
      </c>
      <c r="CJ448" s="17">
        <v>9415</v>
      </c>
      <c r="CK448" s="13">
        <f t="shared" ref="CK448:CK456" si="790">IF(CJ448="","",CJ448-CJ447)</f>
        <v>159</v>
      </c>
      <c r="CL448" s="13">
        <v>147</v>
      </c>
      <c r="CM448" s="13">
        <f t="shared" ref="CM448:CM456" si="791">IF(CL448="","",CL448-CL447)</f>
        <v>5</v>
      </c>
      <c r="CN448" s="13">
        <v>1</v>
      </c>
      <c r="CO448" s="13">
        <f t="shared" ref="CO448:CO456" si="792">IF(CN448="","",CN447+CP447-CN448)</f>
        <v>6</v>
      </c>
      <c r="CP448" s="13">
        <v>15</v>
      </c>
      <c r="CQ448" s="53"/>
      <c r="CR448" s="53">
        <f t="shared" ref="CR448:CR456" si="793">IF(CJ448="","",CR447)</f>
        <v>715</v>
      </c>
      <c r="CS448" s="13">
        <f t="shared" ref="CS448:CS456" si="794">IF(CR448="","",CO448*CR448)</f>
        <v>4290</v>
      </c>
      <c r="CT448" s="14">
        <f t="shared" ref="CT448:CT456" si="795">IF(CS448="","",CS448/(CK448*100))</f>
        <v>0.26981132075471698</v>
      </c>
      <c r="CU448" s="15" t="s">
        <v>366</v>
      </c>
      <c r="CV448" s="1"/>
      <c r="CW448" s="79">
        <f>IF($A451="","",$A451)</f>
        <v>45982</v>
      </c>
      <c r="CX448" s="17">
        <v>9072</v>
      </c>
      <c r="CY448" s="13">
        <f t="shared" ref="CY448:CY456" si="796">IF(CX448="","",CX448-CX447)</f>
        <v>129</v>
      </c>
      <c r="CZ448" s="13">
        <v>184</v>
      </c>
      <c r="DA448" s="13">
        <f t="shared" ref="DA448:DA456" si="797">IF(CZ448="","",CZ448-CZ447)</f>
        <v>3</v>
      </c>
      <c r="DB448" s="13">
        <v>58</v>
      </c>
      <c r="DC448" s="13">
        <f t="shared" ref="DC448:DC456" si="798">IF(DB448="","",DB447+DD447-DB448)</f>
        <v>3</v>
      </c>
      <c r="DD448" s="13">
        <v>-2</v>
      </c>
      <c r="DE448" s="53"/>
      <c r="DF448" s="53">
        <f t="shared" ref="DF448:DF456" si="799">IF(CX448="","",DF447)</f>
        <v>880</v>
      </c>
      <c r="DG448" s="13">
        <f t="shared" ref="DG448:DG456" si="800">IF(DF448="","",DC448*DF448)</f>
        <v>2640</v>
      </c>
      <c r="DH448" s="14">
        <f t="shared" ref="DH448:DH456" si="801">IF(DG448="","",DG448/(CY448*100))</f>
        <v>0.20465116279069767</v>
      </c>
      <c r="DI448" s="15"/>
      <c r="DJ448" s="1"/>
      <c r="DK448" s="79">
        <f>IF($A451="","",$A451)</f>
        <v>45982</v>
      </c>
      <c r="DL448" s="17">
        <v>7021</v>
      </c>
      <c r="DM448" s="13">
        <f t="shared" ref="DM448:DM456" si="802">IF(DL448="","",DL448-DL447)</f>
        <v>79</v>
      </c>
      <c r="DN448" s="13">
        <v>237</v>
      </c>
      <c r="DO448" s="13">
        <f t="shared" ref="DO448:DO456" si="803">IF(DN448="","",DN448-DN447)</f>
        <v>0</v>
      </c>
      <c r="DP448" s="13">
        <v>41</v>
      </c>
      <c r="DQ448" s="13">
        <f t="shared" ref="DQ448:DQ456" si="804">IF(DP448="","",DP447+DR447-DP448)</f>
        <v>0</v>
      </c>
      <c r="DR448" s="13">
        <v>0</v>
      </c>
      <c r="DS448" s="53"/>
      <c r="DT448" s="53">
        <f t="shared" ref="DT448:DT456" si="805">IF(DL448="","",DT447)</f>
        <v>1100</v>
      </c>
      <c r="DU448" s="13">
        <f t="shared" ref="DU448:DU456" si="806">IF(DT448="","",DQ448*DT448)</f>
        <v>0</v>
      </c>
      <c r="DV448" s="14">
        <f t="shared" ref="DV448:DV456" si="807">IF(DU448="","",DU448/(DM448*100))</f>
        <v>0</v>
      </c>
      <c r="DW448" s="15"/>
    </row>
    <row r="449" spans="1:127" x14ac:dyDescent="0.2">
      <c r="A449" s="16"/>
      <c r="B449" s="11"/>
      <c r="C449" s="13">
        <v>9252</v>
      </c>
      <c r="D449" s="13">
        <v>188</v>
      </c>
      <c r="E449" s="13">
        <v>552</v>
      </c>
      <c r="F449" s="13">
        <v>8</v>
      </c>
      <c r="G449" s="13">
        <v>120</v>
      </c>
      <c r="H449" s="13">
        <v>10</v>
      </c>
      <c r="I449" s="13">
        <v>11</v>
      </c>
      <c r="J449" s="56" t="s">
        <v>171</v>
      </c>
      <c r="K449" s="54">
        <v>200</v>
      </c>
      <c r="L449" s="13">
        <v>2000</v>
      </c>
      <c r="M449" s="14">
        <v>0.10638297872340426</v>
      </c>
      <c r="N449" s="15"/>
      <c r="O449" s="2"/>
      <c r="P449" s="16"/>
      <c r="Q449" s="13">
        <v>6510</v>
      </c>
      <c r="R449" s="13">
        <v>165</v>
      </c>
      <c r="S449" s="13">
        <v>104</v>
      </c>
      <c r="T449" s="13">
        <v>3</v>
      </c>
      <c r="U449" s="13">
        <v>90</v>
      </c>
      <c r="V449" s="13">
        <v>5</v>
      </c>
      <c r="W449" s="13">
        <v>0</v>
      </c>
      <c r="X449" s="56" t="s">
        <v>332</v>
      </c>
      <c r="Y449" s="54">
        <v>100</v>
      </c>
      <c r="Z449" s="13">
        <v>500</v>
      </c>
      <c r="AA449" s="14">
        <v>3.0303030303030304E-2</v>
      </c>
      <c r="AB449" s="15"/>
      <c r="AC449" s="1"/>
      <c r="AD449" s="16"/>
      <c r="AE449" s="13">
        <v>10134</v>
      </c>
      <c r="AF449" s="13">
        <v>154</v>
      </c>
      <c r="AG449" s="13">
        <v>286</v>
      </c>
      <c r="AH449" s="13">
        <v>0</v>
      </c>
      <c r="AI449" s="13">
        <v>34</v>
      </c>
      <c r="AJ449" s="13">
        <v>0</v>
      </c>
      <c r="AK449" s="13">
        <v>0</v>
      </c>
      <c r="AL449" s="56" t="s">
        <v>292</v>
      </c>
      <c r="AM449" s="54">
        <v>400</v>
      </c>
      <c r="AN449" s="13">
        <v>0</v>
      </c>
      <c r="AO449" s="14">
        <v>0</v>
      </c>
      <c r="AP449" s="15"/>
      <c r="AQ449" s="2"/>
      <c r="AR449" s="16"/>
      <c r="AS449" s="13">
        <v>12284</v>
      </c>
      <c r="AT449" s="13">
        <v>199</v>
      </c>
      <c r="AU449" s="13">
        <v>454</v>
      </c>
      <c r="AV449" s="13">
        <v>4</v>
      </c>
      <c r="AW449" s="13">
        <v>20</v>
      </c>
      <c r="AX449" s="13">
        <v>3</v>
      </c>
      <c r="AY449" s="13">
        <v>6</v>
      </c>
      <c r="AZ449" s="56" t="s">
        <v>330</v>
      </c>
      <c r="BA449" s="54">
        <v>500</v>
      </c>
      <c r="BB449" s="13">
        <v>1500</v>
      </c>
      <c r="BC449" s="14">
        <v>7.5376884422110546E-2</v>
      </c>
      <c r="BD449" s="15"/>
      <c r="BU449" s="79">
        <f>IF($A455="","",$A455)</f>
        <v>45985</v>
      </c>
      <c r="BV449" s="17">
        <v>10108</v>
      </c>
      <c r="BW449" s="13">
        <f t="shared" si="786"/>
        <v>116</v>
      </c>
      <c r="BX449" s="13">
        <v>241</v>
      </c>
      <c r="BY449" s="13">
        <f t="shared" si="787"/>
        <v>2</v>
      </c>
      <c r="BZ449" s="13">
        <v>26</v>
      </c>
      <c r="CA449" s="13">
        <f>IF(BZ449="","",BZ448+CB448-BZ449)</f>
        <v>2</v>
      </c>
      <c r="CB449" s="13">
        <v>3</v>
      </c>
      <c r="CC449" s="53"/>
      <c r="CD449" s="53">
        <f t="shared" ref="CD449:CD456" si="808">IF(BV449="","",CD448)</f>
        <v>688</v>
      </c>
      <c r="CE449" s="13">
        <f t="shared" si="788"/>
        <v>1376</v>
      </c>
      <c r="CF449" s="14">
        <f t="shared" si="789"/>
        <v>0.11862068965517242</v>
      </c>
      <c r="CG449" s="15"/>
      <c r="CH449" s="1"/>
      <c r="CI449" s="79">
        <f>IF($A455="","",$A455)</f>
        <v>45985</v>
      </c>
      <c r="CJ449" s="17">
        <v>9520</v>
      </c>
      <c r="CK449" s="13">
        <f t="shared" si="790"/>
        <v>105</v>
      </c>
      <c r="CL449" s="13">
        <v>147</v>
      </c>
      <c r="CM449" s="13">
        <f t="shared" si="791"/>
        <v>0</v>
      </c>
      <c r="CN449" s="13">
        <v>16</v>
      </c>
      <c r="CO449" s="13">
        <f t="shared" si="792"/>
        <v>0</v>
      </c>
      <c r="CP449" s="13">
        <v>1</v>
      </c>
      <c r="CQ449" s="53"/>
      <c r="CR449" s="53">
        <f t="shared" si="793"/>
        <v>715</v>
      </c>
      <c r="CS449" s="13">
        <f t="shared" si="794"/>
        <v>0</v>
      </c>
      <c r="CT449" s="14">
        <f t="shared" si="795"/>
        <v>0</v>
      </c>
      <c r="CU449" s="15" t="s">
        <v>372</v>
      </c>
      <c r="CV449" s="1"/>
      <c r="CW449" s="79">
        <f>IF($A455="","",$A455)</f>
        <v>45985</v>
      </c>
      <c r="CX449" s="17">
        <v>9271</v>
      </c>
      <c r="CY449" s="13">
        <f t="shared" si="796"/>
        <v>199</v>
      </c>
      <c r="CZ449" s="13">
        <v>185</v>
      </c>
      <c r="DA449" s="13">
        <f t="shared" si="797"/>
        <v>1</v>
      </c>
      <c r="DB449" s="13">
        <v>55</v>
      </c>
      <c r="DC449" s="13">
        <f t="shared" si="798"/>
        <v>1</v>
      </c>
      <c r="DD449" s="13">
        <v>1</v>
      </c>
      <c r="DE449" s="53"/>
      <c r="DF449" s="53">
        <f t="shared" si="799"/>
        <v>880</v>
      </c>
      <c r="DG449" s="13">
        <f t="shared" si="800"/>
        <v>880</v>
      </c>
      <c r="DH449" s="14">
        <f t="shared" si="801"/>
        <v>4.4221105527638194E-2</v>
      </c>
      <c r="DI449" s="15"/>
      <c r="DJ449" s="1"/>
      <c r="DK449" s="79">
        <f>IF($A455="","",$A455)</f>
        <v>45985</v>
      </c>
      <c r="DL449" s="17">
        <v>7157</v>
      </c>
      <c r="DM449" s="13">
        <f t="shared" si="802"/>
        <v>136</v>
      </c>
      <c r="DN449" s="13">
        <v>238</v>
      </c>
      <c r="DO449" s="13">
        <f t="shared" si="803"/>
        <v>1</v>
      </c>
      <c r="DP449" s="13">
        <v>40</v>
      </c>
      <c r="DQ449" s="13">
        <f t="shared" si="804"/>
        <v>1</v>
      </c>
      <c r="DR449" s="13">
        <v>0</v>
      </c>
      <c r="DS449" s="53"/>
      <c r="DT449" s="53">
        <f t="shared" si="805"/>
        <v>1100</v>
      </c>
      <c r="DU449" s="13">
        <f t="shared" si="806"/>
        <v>1100</v>
      </c>
      <c r="DV449" s="14">
        <f t="shared" si="807"/>
        <v>8.0882352941176475E-2</v>
      </c>
      <c r="DW449" s="15"/>
    </row>
    <row r="450" spans="1:127" ht="15" customHeight="1" thickBot="1" x14ac:dyDescent="0.25">
      <c r="A450" s="26"/>
      <c r="B450" s="46"/>
      <c r="C450" s="27">
        <v>4489</v>
      </c>
      <c r="D450" s="27">
        <v>84</v>
      </c>
      <c r="E450" s="27">
        <v>398</v>
      </c>
      <c r="F450" s="27">
        <v>3</v>
      </c>
      <c r="G450" s="27">
        <v>38</v>
      </c>
      <c r="H450" s="27">
        <v>4</v>
      </c>
      <c r="I450" s="27">
        <v>0</v>
      </c>
      <c r="J450" s="57" t="s">
        <v>44</v>
      </c>
      <c r="K450" s="27">
        <v>900</v>
      </c>
      <c r="L450" s="27">
        <v>3600</v>
      </c>
      <c r="M450" s="28">
        <v>0.42857142857142855</v>
      </c>
      <c r="N450" s="15"/>
      <c r="O450" s="2"/>
      <c r="P450" s="26"/>
      <c r="Q450" s="27">
        <v>5819</v>
      </c>
      <c r="R450" s="27">
        <v>173</v>
      </c>
      <c r="S450" s="27">
        <v>101</v>
      </c>
      <c r="T450" s="27">
        <v>3</v>
      </c>
      <c r="U450" s="27">
        <v>8</v>
      </c>
      <c r="V450" s="27">
        <v>3</v>
      </c>
      <c r="W450" s="27">
        <v>0</v>
      </c>
      <c r="X450" s="57" t="s">
        <v>232</v>
      </c>
      <c r="Y450" s="27">
        <v>286</v>
      </c>
      <c r="Z450" s="27">
        <v>858</v>
      </c>
      <c r="AA450" s="28">
        <v>4.9595375722543356E-2</v>
      </c>
      <c r="AB450" s="142"/>
      <c r="AC450" s="63"/>
      <c r="AD450" s="145"/>
      <c r="AE450" s="27">
        <v>9934</v>
      </c>
      <c r="AF450" s="90">
        <v>171</v>
      </c>
      <c r="AG450" s="27">
        <v>269</v>
      </c>
      <c r="AH450" s="27">
        <v>4</v>
      </c>
      <c r="AI450" s="27">
        <v>10</v>
      </c>
      <c r="AJ450" s="27">
        <v>4</v>
      </c>
      <c r="AK450" s="27">
        <v>4</v>
      </c>
      <c r="AL450" s="108" t="s">
        <v>353</v>
      </c>
      <c r="AM450" s="27">
        <v>540</v>
      </c>
      <c r="AN450" s="27">
        <v>1980</v>
      </c>
      <c r="AO450" s="28">
        <v>0.11578947368421053</v>
      </c>
      <c r="AP450" s="15"/>
      <c r="AQ450" s="2"/>
      <c r="AR450" s="26"/>
      <c r="AS450" s="27">
        <v>12441</v>
      </c>
      <c r="AT450" s="27">
        <v>214</v>
      </c>
      <c r="AU450" s="27">
        <v>378</v>
      </c>
      <c r="AV450" s="27">
        <v>2</v>
      </c>
      <c r="AW450" s="27">
        <v>20</v>
      </c>
      <c r="AX450" s="27">
        <v>2</v>
      </c>
      <c r="AY450" s="27">
        <v>6</v>
      </c>
      <c r="AZ450" s="57" t="s">
        <v>293</v>
      </c>
      <c r="BA450" s="27">
        <v>400</v>
      </c>
      <c r="BB450" s="27">
        <v>800</v>
      </c>
      <c r="BC450" s="28">
        <v>3.7383177570093455E-2</v>
      </c>
      <c r="BD450" s="15"/>
      <c r="BU450" s="79">
        <f>IF($A459="","",$A459)</f>
        <v>45989</v>
      </c>
      <c r="BV450" s="17">
        <v>10321</v>
      </c>
      <c r="BW450" s="13">
        <f t="shared" si="786"/>
        <v>213</v>
      </c>
      <c r="BX450" s="13">
        <v>245</v>
      </c>
      <c r="BY450" s="13">
        <f t="shared" si="787"/>
        <v>4</v>
      </c>
      <c r="BZ450" s="13">
        <v>25</v>
      </c>
      <c r="CA450" s="13">
        <f>IF(BZ450="","",BZ449+CB449-BZ450)</f>
        <v>4</v>
      </c>
      <c r="CB450" s="13">
        <v>4</v>
      </c>
      <c r="CC450" s="53"/>
      <c r="CD450" s="53">
        <f t="shared" si="808"/>
        <v>688</v>
      </c>
      <c r="CE450" s="13">
        <f t="shared" si="788"/>
        <v>2752</v>
      </c>
      <c r="CF450" s="14">
        <f t="shared" si="789"/>
        <v>0.12920187793427229</v>
      </c>
      <c r="CG450" s="15"/>
      <c r="CH450" s="1"/>
      <c r="CI450" s="79">
        <f>IF($A459="","",$A459)</f>
        <v>45989</v>
      </c>
      <c r="CJ450" s="17">
        <v>9644</v>
      </c>
      <c r="CK450" s="13">
        <f t="shared" si="790"/>
        <v>124</v>
      </c>
      <c r="CL450" s="13">
        <v>148</v>
      </c>
      <c r="CM450" s="13">
        <f t="shared" si="791"/>
        <v>1</v>
      </c>
      <c r="CN450" s="13">
        <v>16</v>
      </c>
      <c r="CO450" s="13">
        <f t="shared" si="792"/>
        <v>1</v>
      </c>
      <c r="CP450" s="13">
        <v>0</v>
      </c>
      <c r="CQ450" s="53"/>
      <c r="CR450" s="53">
        <f t="shared" si="793"/>
        <v>715</v>
      </c>
      <c r="CS450" s="13">
        <f t="shared" si="794"/>
        <v>715</v>
      </c>
      <c r="CT450" s="14">
        <f t="shared" si="795"/>
        <v>5.7661290322580647E-2</v>
      </c>
      <c r="CU450" s="15"/>
      <c r="CV450" s="1"/>
      <c r="CW450" s="79">
        <f>IF($A459="","",$A459)</f>
        <v>45989</v>
      </c>
      <c r="CX450" s="17">
        <v>9463</v>
      </c>
      <c r="CY450" s="13">
        <f t="shared" si="796"/>
        <v>192</v>
      </c>
      <c r="CZ450" s="13">
        <v>189</v>
      </c>
      <c r="DA450" s="13">
        <f t="shared" si="797"/>
        <v>4</v>
      </c>
      <c r="DB450" s="13">
        <v>42</v>
      </c>
      <c r="DC450" s="13">
        <f t="shared" si="798"/>
        <v>14</v>
      </c>
      <c r="DD450" s="13">
        <v>-3</v>
      </c>
      <c r="DE450" s="53"/>
      <c r="DF450" s="53">
        <f t="shared" si="799"/>
        <v>880</v>
      </c>
      <c r="DG450" s="13">
        <f t="shared" si="800"/>
        <v>12320</v>
      </c>
      <c r="DH450" s="14">
        <f t="shared" si="801"/>
        <v>0.64166666666666672</v>
      </c>
      <c r="DI450" s="15" t="s">
        <v>265</v>
      </c>
      <c r="DJ450" s="1"/>
      <c r="DK450" s="79">
        <f>IF($A459="","",$A459)</f>
        <v>45989</v>
      </c>
      <c r="DL450" s="17">
        <v>7298</v>
      </c>
      <c r="DM450" s="13">
        <f t="shared" si="802"/>
        <v>141</v>
      </c>
      <c r="DN450" s="13">
        <v>239</v>
      </c>
      <c r="DO450" s="13">
        <f t="shared" si="803"/>
        <v>1</v>
      </c>
      <c r="DP450" s="13">
        <v>38</v>
      </c>
      <c r="DQ450" s="13">
        <f t="shared" si="804"/>
        <v>2</v>
      </c>
      <c r="DR450" s="13">
        <v>0</v>
      </c>
      <c r="DS450" s="53"/>
      <c r="DT450" s="53">
        <f t="shared" si="805"/>
        <v>1100</v>
      </c>
      <c r="DU450" s="13">
        <f t="shared" si="806"/>
        <v>2200</v>
      </c>
      <c r="DV450" s="14">
        <f t="shared" si="807"/>
        <v>0.15602836879432624</v>
      </c>
      <c r="DW450" s="15"/>
    </row>
    <row r="451" spans="1:127" ht="15" customHeight="1" thickTop="1" x14ac:dyDescent="0.2">
      <c r="A451" s="79">
        <v>45982</v>
      </c>
      <c r="B451" s="74">
        <f>IF(A451="","",SUM(D451:D454)+SUM(R451:R454)+SUM(AF451:AF454)+SUM(AT451:AT454)+SUM(BW448,CK448,CY448,DM448))</f>
        <v>1452</v>
      </c>
      <c r="C451" s="53">
        <v>3654</v>
      </c>
      <c r="D451" s="53">
        <f t="shared" ref="D451:D486" si="809">IF(C451="","",C451-C447)</f>
        <v>46</v>
      </c>
      <c r="E451" s="53">
        <v>311</v>
      </c>
      <c r="F451" s="31">
        <f t="shared" ref="F451:F486" si="810">IF(E451="","",E451-E447)</f>
        <v>0</v>
      </c>
      <c r="G451" s="53">
        <v>18</v>
      </c>
      <c r="H451" s="53">
        <f t="shared" ref="H451:H486" si="811">IF(G451="","",G447+I447-G451)</f>
        <v>0</v>
      </c>
      <c r="I451" s="80">
        <v>0</v>
      </c>
      <c r="J451" s="75" t="str">
        <f t="shared" ref="J451:J462" si="812">IF(C451="","",J447)</f>
        <v>ジャグラーサウンドボタン</v>
      </c>
      <c r="K451" s="76">
        <f t="shared" ref="K451:K462" si="813">IF(D451="","",K447)</f>
        <v>748</v>
      </c>
      <c r="L451" s="31">
        <f t="shared" ref="L451:L486" si="814">IF(G451="","",H451*K451)</f>
        <v>0</v>
      </c>
      <c r="M451" s="32">
        <f t="shared" ref="M451:M486" si="815">IF(H451="","",L451/(D451*100))</f>
        <v>0</v>
      </c>
      <c r="N451" s="15"/>
      <c r="O451" s="2"/>
      <c r="P451" s="79">
        <f>IF(A451="","",A451)</f>
        <v>45982</v>
      </c>
      <c r="Q451" s="53">
        <v>3538</v>
      </c>
      <c r="R451" s="53">
        <f t="shared" ref="R451:R486" si="816">IF(Q451="","",Q451-Q447)</f>
        <v>74</v>
      </c>
      <c r="S451" s="53">
        <v>125</v>
      </c>
      <c r="T451" s="31">
        <f t="shared" ref="T451:T486" si="817">IF(S451="","",S451-S447)</f>
        <v>4</v>
      </c>
      <c r="U451" s="53">
        <v>7</v>
      </c>
      <c r="V451" s="53">
        <f t="shared" ref="V451:V486" si="818">IF(U451="","",U447+W447-U451)</f>
        <v>3</v>
      </c>
      <c r="W451" s="80">
        <v>12</v>
      </c>
      <c r="X451" s="75" t="str">
        <f t="shared" ref="X451:Y454" si="819">IF(Q451="","",X447)</f>
        <v>キティフェイスポーチ</v>
      </c>
      <c r="Y451" s="76">
        <f t="shared" si="819"/>
        <v>957</v>
      </c>
      <c r="Z451" s="31">
        <f t="shared" ref="Z451:Z486" si="820">IF(U451="","",V451*Y451)</f>
        <v>2871</v>
      </c>
      <c r="AA451" s="32">
        <f t="shared" ref="AA451:AA486" si="821">IF(V451="","",Z451/(R451*100))</f>
        <v>0.38797297297297295</v>
      </c>
      <c r="AB451" s="15" t="s">
        <v>364</v>
      </c>
      <c r="AC451" s="15"/>
      <c r="AD451" s="79">
        <f>IF($A451="","",$A451)</f>
        <v>45982</v>
      </c>
      <c r="AE451" s="53">
        <v>8848</v>
      </c>
      <c r="AF451" s="53">
        <f t="shared" ref="AF451:AF486" si="822">IF(AE451="","",AE451-AE447)</f>
        <v>46</v>
      </c>
      <c r="AG451" s="53">
        <v>195</v>
      </c>
      <c r="AH451" s="31">
        <f t="shared" ref="AH451:AH486" si="823">IF(AG451="","",AG451-AG447)</f>
        <v>1</v>
      </c>
      <c r="AI451" s="53">
        <v>9</v>
      </c>
      <c r="AJ451" s="53">
        <f t="shared" ref="AJ451:AJ486" si="824">IF(AI451="","",AI447+AK447-AI451)</f>
        <v>2</v>
      </c>
      <c r="AK451" s="80">
        <v>0</v>
      </c>
      <c r="AL451" s="75" t="str">
        <f t="shared" ref="AL451:AM455" si="825">IF(AE451="","",AL447)</f>
        <v>キティシリコンがま口</v>
      </c>
      <c r="AM451" s="76">
        <f t="shared" si="825"/>
        <v>1009</v>
      </c>
      <c r="AN451" s="31">
        <f t="shared" ref="AN451:AN486" si="826">IF(AI451="","",AJ451*AM451)</f>
        <v>2018</v>
      </c>
      <c r="AO451" s="32">
        <f t="shared" ref="AO451:AO486" si="827">IF(AJ451="","",AN451/(AF451*100))</f>
        <v>0.43869565217391304</v>
      </c>
      <c r="AP451" s="15"/>
      <c r="AQ451" s="113"/>
      <c r="AR451" s="79">
        <f>IF($A451="","",$A451)</f>
        <v>45982</v>
      </c>
      <c r="AS451" s="53">
        <v>9254</v>
      </c>
      <c r="AT451" s="53">
        <f t="shared" ref="AT451:AT486" si="828">IF(AS451="","",AS451-AS447)</f>
        <v>120</v>
      </c>
      <c r="AU451" s="53">
        <v>288</v>
      </c>
      <c r="AV451" s="31">
        <f t="shared" ref="AV451:AV486" si="829">IF(AU451="","",AU451-AU447)</f>
        <v>2</v>
      </c>
      <c r="AW451" s="53">
        <v>18</v>
      </c>
      <c r="AX451" s="53">
        <f t="shared" ref="AX451:AX486" si="830">IF(AW451="","",AW447+AY447-AW451)</f>
        <v>2</v>
      </c>
      <c r="AY451" s="80">
        <v>0</v>
      </c>
      <c r="AZ451" s="75" t="s">
        <v>363</v>
      </c>
      <c r="BA451" s="76">
        <v>700</v>
      </c>
      <c r="BB451" s="31">
        <f t="shared" ref="BB451:BB486" si="831">IF(AW451="","",AX451*BA451)</f>
        <v>1400</v>
      </c>
      <c r="BC451" s="32">
        <f t="shared" ref="BC451:BC486" si="832">IF(AX451="","",BB451/(AT451*100))</f>
        <v>0.11666666666666667</v>
      </c>
      <c r="BD451" s="15"/>
      <c r="BU451" s="79">
        <f>IF($A463="","",$A463)</f>
        <v>45992</v>
      </c>
      <c r="BV451" s="17">
        <v>10545</v>
      </c>
      <c r="BW451" s="13">
        <f t="shared" si="786"/>
        <v>224</v>
      </c>
      <c r="BX451" s="13">
        <v>248</v>
      </c>
      <c r="BY451" s="13">
        <f t="shared" si="787"/>
        <v>3</v>
      </c>
      <c r="BZ451" s="13">
        <v>25</v>
      </c>
      <c r="CA451" s="13">
        <f>IF(BZ451="","",BZ450+CB450-BZ451)</f>
        <v>4</v>
      </c>
      <c r="CB451" s="13">
        <v>4</v>
      </c>
      <c r="CC451" s="53"/>
      <c r="CD451" s="53">
        <f t="shared" si="808"/>
        <v>688</v>
      </c>
      <c r="CE451" s="13">
        <f t="shared" si="788"/>
        <v>2752</v>
      </c>
      <c r="CF451" s="14">
        <f t="shared" si="789"/>
        <v>0.12285714285714286</v>
      </c>
      <c r="CG451" s="15"/>
      <c r="CH451" s="1"/>
      <c r="CI451" s="79">
        <f>IF($A463="","",$A463)</f>
        <v>45992</v>
      </c>
      <c r="CJ451" s="17">
        <v>9820</v>
      </c>
      <c r="CK451" s="13">
        <f t="shared" si="790"/>
        <v>176</v>
      </c>
      <c r="CL451" s="13">
        <v>148</v>
      </c>
      <c r="CM451" s="13">
        <f t="shared" si="791"/>
        <v>0</v>
      </c>
      <c r="CN451" s="13">
        <v>12</v>
      </c>
      <c r="CO451" s="13">
        <f t="shared" si="792"/>
        <v>4</v>
      </c>
      <c r="CP451" s="13">
        <v>0</v>
      </c>
      <c r="CQ451" s="53"/>
      <c r="CR451" s="53">
        <f t="shared" si="793"/>
        <v>715</v>
      </c>
      <c r="CS451" s="13">
        <f t="shared" si="794"/>
        <v>2860</v>
      </c>
      <c r="CT451" s="14">
        <f t="shared" si="795"/>
        <v>0.16250000000000001</v>
      </c>
      <c r="CU451" s="15" t="s">
        <v>382</v>
      </c>
      <c r="CV451" s="1"/>
      <c r="CW451" s="79">
        <f>IF($A463="","",$A463)</f>
        <v>45992</v>
      </c>
      <c r="CX451" s="17">
        <v>9629</v>
      </c>
      <c r="CY451" s="13">
        <f t="shared" si="796"/>
        <v>166</v>
      </c>
      <c r="CZ451" s="13">
        <v>193</v>
      </c>
      <c r="DA451" s="13">
        <f t="shared" si="797"/>
        <v>4</v>
      </c>
      <c r="DB451" s="13">
        <v>35</v>
      </c>
      <c r="DC451" s="13">
        <f t="shared" si="798"/>
        <v>4</v>
      </c>
      <c r="DD451" s="13">
        <v>3</v>
      </c>
      <c r="DE451" s="53"/>
      <c r="DF451" s="53">
        <f t="shared" si="799"/>
        <v>880</v>
      </c>
      <c r="DG451" s="13">
        <f t="shared" si="800"/>
        <v>3520</v>
      </c>
      <c r="DH451" s="14">
        <f t="shared" si="801"/>
        <v>0.21204819277108433</v>
      </c>
      <c r="DI451" s="15"/>
      <c r="DJ451" s="1"/>
      <c r="DK451" s="79">
        <f>IF($A463="","",$A463)</f>
        <v>45992</v>
      </c>
      <c r="DL451" s="17">
        <v>7413</v>
      </c>
      <c r="DM451" s="13">
        <f t="shared" si="802"/>
        <v>115</v>
      </c>
      <c r="DN451" s="13">
        <v>240</v>
      </c>
      <c r="DO451" s="13">
        <f t="shared" si="803"/>
        <v>1</v>
      </c>
      <c r="DP451" s="13">
        <v>37</v>
      </c>
      <c r="DQ451" s="13">
        <f t="shared" si="804"/>
        <v>1</v>
      </c>
      <c r="DR451" s="13">
        <v>0</v>
      </c>
      <c r="DS451" s="53"/>
      <c r="DT451" s="53">
        <f t="shared" si="805"/>
        <v>1100</v>
      </c>
      <c r="DU451" s="13">
        <f t="shared" si="806"/>
        <v>1100</v>
      </c>
      <c r="DV451" s="14">
        <f t="shared" si="807"/>
        <v>9.5652173913043481E-2</v>
      </c>
      <c r="DW451" s="15"/>
    </row>
    <row r="452" spans="1:127" x14ac:dyDescent="0.2">
      <c r="A452" s="16"/>
      <c r="B452" s="11"/>
      <c r="C452" s="13">
        <v>2942</v>
      </c>
      <c r="D452" s="53">
        <f t="shared" si="809"/>
        <v>44</v>
      </c>
      <c r="E452" s="13">
        <v>333</v>
      </c>
      <c r="F452" s="13">
        <f t="shared" si="810"/>
        <v>1</v>
      </c>
      <c r="G452" s="13">
        <v>11</v>
      </c>
      <c r="H452" s="13">
        <f t="shared" si="811"/>
        <v>1</v>
      </c>
      <c r="I452" s="17">
        <v>0</v>
      </c>
      <c r="J452" s="56" t="str">
        <f t="shared" si="812"/>
        <v>液晶デジカメ</v>
      </c>
      <c r="K452" s="54">
        <f t="shared" si="813"/>
        <v>1075</v>
      </c>
      <c r="L452" s="13">
        <f t="shared" si="814"/>
        <v>1075</v>
      </c>
      <c r="M452" s="14">
        <f t="shared" si="815"/>
        <v>0.24431818181818182</v>
      </c>
      <c r="N452" s="15"/>
      <c r="O452" s="2"/>
      <c r="P452" s="16"/>
      <c r="Q452" s="13">
        <v>2956</v>
      </c>
      <c r="R452" s="53">
        <f t="shared" si="816"/>
        <v>0</v>
      </c>
      <c r="S452" s="13">
        <v>91</v>
      </c>
      <c r="T452" s="13">
        <f t="shared" si="817"/>
        <v>0</v>
      </c>
      <c r="U452" s="13">
        <v>24</v>
      </c>
      <c r="V452" s="13">
        <f t="shared" si="818"/>
        <v>0</v>
      </c>
      <c r="W452" s="17">
        <v>0</v>
      </c>
      <c r="X452" s="56" t="str">
        <f t="shared" si="819"/>
        <v>ジャグラーサウンドボタン</v>
      </c>
      <c r="Y452" s="54">
        <f t="shared" si="819"/>
        <v>1100</v>
      </c>
      <c r="Z452" s="13">
        <f t="shared" si="820"/>
        <v>0</v>
      </c>
      <c r="AA452" s="14" t="e">
        <f t="shared" si="821"/>
        <v>#DIV/0!</v>
      </c>
      <c r="AB452" s="15" t="s">
        <v>295</v>
      </c>
      <c r="AC452" s="15"/>
      <c r="AD452" s="16"/>
      <c r="AE452" s="13">
        <v>8667</v>
      </c>
      <c r="AF452" s="53">
        <f t="shared" si="822"/>
        <v>69</v>
      </c>
      <c r="AG452" s="13">
        <v>189</v>
      </c>
      <c r="AH452" s="13">
        <f t="shared" si="823"/>
        <v>1</v>
      </c>
      <c r="AI452" s="13">
        <v>9</v>
      </c>
      <c r="AJ452" s="13">
        <f t="shared" si="824"/>
        <v>1</v>
      </c>
      <c r="AK452" s="17">
        <v>8</v>
      </c>
      <c r="AL452" s="56" t="str">
        <f t="shared" si="825"/>
        <v>キティヒョウ柄マスコット</v>
      </c>
      <c r="AM452" s="54">
        <f t="shared" si="825"/>
        <v>996</v>
      </c>
      <c r="AN452" s="13">
        <f t="shared" si="826"/>
        <v>996</v>
      </c>
      <c r="AO452" s="14">
        <f t="shared" si="827"/>
        <v>0.14434782608695651</v>
      </c>
      <c r="AP452" s="15" t="s">
        <v>367</v>
      </c>
      <c r="AQ452" s="113"/>
      <c r="AR452" s="16"/>
      <c r="AS452" s="13">
        <v>6536</v>
      </c>
      <c r="AT452" s="127">
        <f t="shared" si="828"/>
        <v>17</v>
      </c>
      <c r="AU452" s="13">
        <v>317</v>
      </c>
      <c r="AV452" s="13">
        <f t="shared" si="829"/>
        <v>1</v>
      </c>
      <c r="AW452" s="13">
        <v>33</v>
      </c>
      <c r="AX452" s="13">
        <f t="shared" si="830"/>
        <v>1</v>
      </c>
      <c r="AY452" s="17">
        <v>0</v>
      </c>
      <c r="AZ452" s="56" t="str">
        <f t="shared" ref="AZ452:AZ486" si="833">IF(AS452="","",AZ448)</f>
        <v>ねこアイシャドウ</v>
      </c>
      <c r="BA452" s="54">
        <f t="shared" ref="BA452:BA486" si="834">IF(AT452="","",BA448)</f>
        <v>1000</v>
      </c>
      <c r="BB452" s="13">
        <f t="shared" si="831"/>
        <v>1000</v>
      </c>
      <c r="BC452" s="14">
        <f t="shared" si="832"/>
        <v>0.58823529411764708</v>
      </c>
      <c r="BD452" s="15" t="s">
        <v>369</v>
      </c>
      <c r="BU452" s="79">
        <f>IF($A467="","",$A467)</f>
        <v>45996</v>
      </c>
      <c r="BV452" s="17">
        <v>10652</v>
      </c>
      <c r="BW452" s="13">
        <f t="shared" si="786"/>
        <v>107</v>
      </c>
      <c r="BX452" s="13">
        <v>248</v>
      </c>
      <c r="BY452" s="13">
        <f t="shared" si="787"/>
        <v>0</v>
      </c>
      <c r="BZ452" s="13">
        <v>29</v>
      </c>
      <c r="CA452" s="13">
        <f>IF(BZ452="","",BZ451+CB451-BZ452)</f>
        <v>0</v>
      </c>
      <c r="CB452" s="13">
        <v>18</v>
      </c>
      <c r="CC452" s="53"/>
      <c r="CD452" s="53">
        <f t="shared" si="808"/>
        <v>688</v>
      </c>
      <c r="CE452" s="13">
        <f t="shared" si="788"/>
        <v>0</v>
      </c>
      <c r="CF452" s="14">
        <f t="shared" si="789"/>
        <v>0</v>
      </c>
      <c r="CG452" s="15"/>
      <c r="CH452" s="1"/>
      <c r="CI452" s="79">
        <f>IF($A467="","",$A467)</f>
        <v>45996</v>
      </c>
      <c r="CJ452" s="17">
        <v>9923</v>
      </c>
      <c r="CK452" s="13">
        <f t="shared" si="790"/>
        <v>103</v>
      </c>
      <c r="CL452" s="13">
        <v>150</v>
      </c>
      <c r="CM452" s="13">
        <f t="shared" si="791"/>
        <v>2</v>
      </c>
      <c r="CN452" s="13">
        <v>7</v>
      </c>
      <c r="CO452" s="13">
        <f t="shared" si="792"/>
        <v>5</v>
      </c>
      <c r="CP452" s="13">
        <v>4</v>
      </c>
      <c r="CQ452" s="53"/>
      <c r="CR452" s="53">
        <f t="shared" si="793"/>
        <v>715</v>
      </c>
      <c r="CS452" s="13">
        <f t="shared" si="794"/>
        <v>3575</v>
      </c>
      <c r="CT452" s="14">
        <f t="shared" si="795"/>
        <v>0.34708737864077671</v>
      </c>
      <c r="CU452" s="15"/>
      <c r="CV452" s="1"/>
      <c r="CW452" s="79">
        <f>IF($A467="","",$A467)</f>
        <v>45996</v>
      </c>
      <c r="CX452" s="17">
        <v>9775</v>
      </c>
      <c r="CY452" s="13">
        <f t="shared" si="796"/>
        <v>146</v>
      </c>
      <c r="CZ452" s="13">
        <v>195</v>
      </c>
      <c r="DA452" s="13">
        <f t="shared" si="797"/>
        <v>2</v>
      </c>
      <c r="DB452" s="13">
        <v>36</v>
      </c>
      <c r="DC452" s="13">
        <f t="shared" si="798"/>
        <v>2</v>
      </c>
      <c r="DD452" s="13">
        <v>0</v>
      </c>
      <c r="DE452" s="53"/>
      <c r="DF452" s="53">
        <f t="shared" si="799"/>
        <v>880</v>
      </c>
      <c r="DG452" s="13">
        <f t="shared" si="800"/>
        <v>1760</v>
      </c>
      <c r="DH452" s="14">
        <f t="shared" si="801"/>
        <v>0.12054794520547946</v>
      </c>
      <c r="DI452" s="15"/>
      <c r="DJ452" s="1"/>
      <c r="DK452" s="79">
        <f>IF($A467="","",$A467)</f>
        <v>45996</v>
      </c>
      <c r="DL452" s="17">
        <v>7534</v>
      </c>
      <c r="DM452" s="13">
        <f t="shared" si="802"/>
        <v>121</v>
      </c>
      <c r="DN452" s="13">
        <v>241</v>
      </c>
      <c r="DO452" s="13">
        <f t="shared" si="803"/>
        <v>1</v>
      </c>
      <c r="DP452" s="13">
        <v>36</v>
      </c>
      <c r="DQ452" s="13">
        <f t="shared" si="804"/>
        <v>1</v>
      </c>
      <c r="DR452" s="13">
        <v>0</v>
      </c>
      <c r="DS452" s="53"/>
      <c r="DT452" s="53">
        <f t="shared" si="805"/>
        <v>1100</v>
      </c>
      <c r="DU452" s="13">
        <f t="shared" si="806"/>
        <v>1100</v>
      </c>
      <c r="DV452" s="14">
        <f t="shared" si="807"/>
        <v>9.0909090909090912E-2</v>
      </c>
      <c r="DW452" s="15"/>
    </row>
    <row r="453" spans="1:127" x14ac:dyDescent="0.2">
      <c r="A453" s="16"/>
      <c r="B453" s="11"/>
      <c r="C453" s="13">
        <v>9327</v>
      </c>
      <c r="D453" s="63">
        <f t="shared" si="809"/>
        <v>75</v>
      </c>
      <c r="E453" s="13">
        <v>553</v>
      </c>
      <c r="F453" s="13">
        <f t="shared" si="810"/>
        <v>1</v>
      </c>
      <c r="G453" s="13">
        <v>126</v>
      </c>
      <c r="H453" s="13">
        <f t="shared" si="811"/>
        <v>5</v>
      </c>
      <c r="I453" s="49">
        <v>0</v>
      </c>
      <c r="J453" s="56" t="str">
        <f t="shared" si="812"/>
        <v>AIモンスタラバー</v>
      </c>
      <c r="K453" s="13">
        <f t="shared" si="813"/>
        <v>200</v>
      </c>
      <c r="L453" s="13">
        <f t="shared" si="814"/>
        <v>1000</v>
      </c>
      <c r="M453" s="14">
        <f t="shared" si="815"/>
        <v>0.13333333333333333</v>
      </c>
      <c r="N453" s="15"/>
      <c r="O453" s="2"/>
      <c r="P453" s="16"/>
      <c r="Q453" s="13">
        <v>6571</v>
      </c>
      <c r="R453" s="63">
        <f t="shared" si="816"/>
        <v>61</v>
      </c>
      <c r="S453" s="13">
        <v>106</v>
      </c>
      <c r="T453" s="13">
        <f t="shared" si="817"/>
        <v>2</v>
      </c>
      <c r="U453" s="13">
        <v>88</v>
      </c>
      <c r="V453" s="13">
        <f t="shared" si="818"/>
        <v>2</v>
      </c>
      <c r="W453" s="17">
        <v>0</v>
      </c>
      <c r="X453" s="56" t="str">
        <f t="shared" si="819"/>
        <v>アングリーキーホルダー</v>
      </c>
      <c r="Y453" s="13">
        <f t="shared" si="819"/>
        <v>100</v>
      </c>
      <c r="Z453" s="13">
        <f t="shared" si="820"/>
        <v>200</v>
      </c>
      <c r="AA453" s="14">
        <f t="shared" si="821"/>
        <v>3.2786885245901641E-2</v>
      </c>
      <c r="AB453" s="15"/>
      <c r="AC453" s="15"/>
      <c r="AD453" s="16"/>
      <c r="AE453" s="13">
        <v>10172</v>
      </c>
      <c r="AF453" s="63">
        <f t="shared" si="822"/>
        <v>38</v>
      </c>
      <c r="AG453" s="13">
        <v>286</v>
      </c>
      <c r="AH453" s="13">
        <f t="shared" si="823"/>
        <v>0</v>
      </c>
      <c r="AI453" s="13">
        <v>34</v>
      </c>
      <c r="AJ453" s="13">
        <f t="shared" si="824"/>
        <v>0</v>
      </c>
      <c r="AK453" s="17">
        <v>-22</v>
      </c>
      <c r="AL453" s="56" t="str">
        <f t="shared" si="825"/>
        <v>ラブブキーホルダー</v>
      </c>
      <c r="AM453" s="13">
        <f t="shared" si="825"/>
        <v>400</v>
      </c>
      <c r="AN453" s="13">
        <f t="shared" si="826"/>
        <v>0</v>
      </c>
      <c r="AO453" s="14">
        <f t="shared" si="827"/>
        <v>0</v>
      </c>
      <c r="AP453" s="15" t="s">
        <v>365</v>
      </c>
      <c r="AQ453" s="113"/>
      <c r="AR453" s="16"/>
      <c r="AS453" s="13">
        <v>12360</v>
      </c>
      <c r="AT453" s="63">
        <f t="shared" si="828"/>
        <v>76</v>
      </c>
      <c r="AU453" s="13">
        <v>455</v>
      </c>
      <c r="AV453" s="13">
        <f t="shared" si="829"/>
        <v>1</v>
      </c>
      <c r="AW453" s="13">
        <v>26</v>
      </c>
      <c r="AX453" s="13">
        <f t="shared" si="830"/>
        <v>0</v>
      </c>
      <c r="AY453" s="49">
        <v>0</v>
      </c>
      <c r="AZ453" s="56" t="str">
        <f t="shared" si="833"/>
        <v>ラブブキーホルダーおおきめ</v>
      </c>
      <c r="BA453" s="13">
        <f t="shared" si="834"/>
        <v>500</v>
      </c>
      <c r="BB453" s="13">
        <f t="shared" si="831"/>
        <v>0</v>
      </c>
      <c r="BC453" s="14">
        <f t="shared" si="832"/>
        <v>0</v>
      </c>
      <c r="BD453" s="15"/>
      <c r="BU453" s="79">
        <f>IF($A471="","",$A471)</f>
        <v>45999</v>
      </c>
      <c r="BV453" s="17">
        <v>10892</v>
      </c>
      <c r="BW453" s="13">
        <f t="shared" si="786"/>
        <v>240</v>
      </c>
      <c r="BX453" s="13">
        <v>253</v>
      </c>
      <c r="BY453" s="13">
        <f t="shared" si="787"/>
        <v>5</v>
      </c>
      <c r="BZ453" s="13">
        <v>42</v>
      </c>
      <c r="CA453" s="13">
        <f>IF(BZ453="","",BZ452+BX458+CB452-BZ453)</f>
        <v>5</v>
      </c>
      <c r="CB453" s="13">
        <v>5</v>
      </c>
      <c r="CC453" s="53"/>
      <c r="CD453" s="53">
        <f t="shared" si="808"/>
        <v>688</v>
      </c>
      <c r="CE453" s="13">
        <f t="shared" si="788"/>
        <v>3440</v>
      </c>
      <c r="CF453" s="14">
        <f t="shared" si="789"/>
        <v>0.14333333333333334</v>
      </c>
      <c r="CG453" s="15"/>
      <c r="CH453" s="1"/>
      <c r="CI453" s="79">
        <f>IF($A471="","",$A471)</f>
        <v>45999</v>
      </c>
      <c r="CJ453" s="17">
        <v>10085</v>
      </c>
      <c r="CK453" s="13">
        <f t="shared" si="790"/>
        <v>162</v>
      </c>
      <c r="CL453" s="13">
        <v>153</v>
      </c>
      <c r="CM453" s="13">
        <f t="shared" si="791"/>
        <v>3</v>
      </c>
      <c r="CN453" s="13">
        <v>6</v>
      </c>
      <c r="CO453" s="13">
        <f t="shared" si="792"/>
        <v>5</v>
      </c>
      <c r="CP453" s="13">
        <v>3</v>
      </c>
      <c r="CQ453" s="53"/>
      <c r="CR453" s="53">
        <f t="shared" si="793"/>
        <v>715</v>
      </c>
      <c r="CS453" s="13">
        <f t="shared" si="794"/>
        <v>3575</v>
      </c>
      <c r="CT453" s="14">
        <f t="shared" si="795"/>
        <v>0.22067901234567902</v>
      </c>
      <c r="CU453" s="15"/>
      <c r="CV453" s="1"/>
      <c r="CW453" s="79">
        <f>IF($A471="","",$A471)</f>
        <v>45999</v>
      </c>
      <c r="CX453" s="17">
        <v>9924</v>
      </c>
      <c r="CY453" s="13">
        <f t="shared" si="796"/>
        <v>149</v>
      </c>
      <c r="CZ453" s="13">
        <v>197</v>
      </c>
      <c r="DA453" s="13">
        <f t="shared" si="797"/>
        <v>2</v>
      </c>
      <c r="DB453" s="13">
        <v>34</v>
      </c>
      <c r="DC453" s="13">
        <f t="shared" si="798"/>
        <v>2</v>
      </c>
      <c r="DD453" s="13">
        <v>0</v>
      </c>
      <c r="DE453" s="53"/>
      <c r="DF453" s="53">
        <f t="shared" si="799"/>
        <v>880</v>
      </c>
      <c r="DG453" s="13">
        <f t="shared" si="800"/>
        <v>1760</v>
      </c>
      <c r="DH453" s="14">
        <f t="shared" si="801"/>
        <v>0.11812080536912752</v>
      </c>
      <c r="DI453" s="15"/>
      <c r="DJ453" s="1"/>
      <c r="DK453" s="79">
        <f>IF($A471="","",$A471)</f>
        <v>45999</v>
      </c>
      <c r="DL453" s="17">
        <v>7612</v>
      </c>
      <c r="DM453" s="13">
        <f t="shared" si="802"/>
        <v>78</v>
      </c>
      <c r="DN453" s="13">
        <v>242</v>
      </c>
      <c r="DO453" s="13">
        <f t="shared" si="803"/>
        <v>1</v>
      </c>
      <c r="DP453" s="13">
        <v>35</v>
      </c>
      <c r="DQ453" s="13">
        <f t="shared" si="804"/>
        <v>1</v>
      </c>
      <c r="DR453" s="13">
        <v>0</v>
      </c>
      <c r="DS453" s="53"/>
      <c r="DT453" s="53">
        <f t="shared" si="805"/>
        <v>1100</v>
      </c>
      <c r="DU453" s="13">
        <f t="shared" si="806"/>
        <v>1100</v>
      </c>
      <c r="DV453" s="14">
        <f t="shared" si="807"/>
        <v>0.14102564102564102</v>
      </c>
      <c r="DW453" s="15"/>
    </row>
    <row r="454" spans="1:127" ht="15" customHeight="1" thickBot="1" x14ac:dyDescent="0.25">
      <c r="A454" s="26"/>
      <c r="B454" s="46"/>
      <c r="C454" s="27">
        <v>4523</v>
      </c>
      <c r="D454" s="93">
        <f t="shared" si="809"/>
        <v>34</v>
      </c>
      <c r="E454" s="62">
        <v>399</v>
      </c>
      <c r="F454" s="27">
        <f t="shared" si="810"/>
        <v>1</v>
      </c>
      <c r="G454" s="27">
        <v>37</v>
      </c>
      <c r="H454" s="27">
        <f t="shared" si="811"/>
        <v>1</v>
      </c>
      <c r="I454" s="47">
        <v>0</v>
      </c>
      <c r="J454" s="57" t="str">
        <f t="shared" si="812"/>
        <v>NICIマスコット</v>
      </c>
      <c r="K454" s="62">
        <f t="shared" si="813"/>
        <v>900</v>
      </c>
      <c r="L454" s="27">
        <f t="shared" si="814"/>
        <v>900</v>
      </c>
      <c r="M454" s="28">
        <f t="shared" si="815"/>
        <v>0.26470588235294118</v>
      </c>
      <c r="N454" s="15"/>
      <c r="O454" s="2"/>
      <c r="P454" s="26"/>
      <c r="Q454" s="27">
        <v>5884</v>
      </c>
      <c r="R454" s="61">
        <f t="shared" si="816"/>
        <v>65</v>
      </c>
      <c r="S454" s="62">
        <v>101</v>
      </c>
      <c r="T454" s="27">
        <f t="shared" si="817"/>
        <v>0</v>
      </c>
      <c r="U454" s="27">
        <v>8</v>
      </c>
      <c r="V454" s="27">
        <f t="shared" si="818"/>
        <v>0</v>
      </c>
      <c r="W454" s="107">
        <v>2</v>
      </c>
      <c r="X454" s="57" t="str">
        <f t="shared" si="819"/>
        <v>ＡＩマスコット</v>
      </c>
      <c r="Y454" s="62">
        <f t="shared" si="819"/>
        <v>286</v>
      </c>
      <c r="Z454" s="27">
        <f t="shared" si="820"/>
        <v>0</v>
      </c>
      <c r="AA454" s="28">
        <f t="shared" si="821"/>
        <v>0</v>
      </c>
      <c r="AB454" s="15"/>
      <c r="AC454" s="15"/>
      <c r="AD454" s="26"/>
      <c r="AE454" s="27">
        <v>10048</v>
      </c>
      <c r="AF454" s="61">
        <f t="shared" si="822"/>
        <v>114</v>
      </c>
      <c r="AG454" s="62">
        <v>271</v>
      </c>
      <c r="AH454" s="27">
        <f t="shared" si="823"/>
        <v>2</v>
      </c>
      <c r="AI454" s="27">
        <v>12</v>
      </c>
      <c r="AJ454" s="27">
        <f t="shared" si="824"/>
        <v>2</v>
      </c>
      <c r="AK454" s="107">
        <v>3</v>
      </c>
      <c r="AL454" s="57" t="str">
        <f t="shared" si="825"/>
        <v>モンチッチマスコット2</v>
      </c>
      <c r="AM454" s="62">
        <f t="shared" si="825"/>
        <v>540</v>
      </c>
      <c r="AN454" s="27">
        <f t="shared" si="826"/>
        <v>1080</v>
      </c>
      <c r="AO454" s="28">
        <f t="shared" si="827"/>
        <v>9.4736842105263161E-2</v>
      </c>
      <c r="AP454" s="15"/>
      <c r="AQ454" s="113"/>
      <c r="AR454" s="26"/>
      <c r="AS454" s="27">
        <v>12568</v>
      </c>
      <c r="AT454" s="61">
        <f t="shared" si="828"/>
        <v>127</v>
      </c>
      <c r="AU454" s="62">
        <v>380</v>
      </c>
      <c r="AV454" s="27">
        <f t="shared" si="829"/>
        <v>2</v>
      </c>
      <c r="AW454" s="27">
        <v>24</v>
      </c>
      <c r="AX454" s="27">
        <f t="shared" si="830"/>
        <v>2</v>
      </c>
      <c r="AY454" s="47">
        <v>3</v>
      </c>
      <c r="AZ454" s="57" t="str">
        <f t="shared" si="833"/>
        <v>ラブブマスコット</v>
      </c>
      <c r="BA454" s="62">
        <f t="shared" si="834"/>
        <v>400</v>
      </c>
      <c r="BB454" s="27">
        <f t="shared" si="831"/>
        <v>800</v>
      </c>
      <c r="BC454" s="28">
        <f t="shared" si="832"/>
        <v>6.2992125984251968E-2</v>
      </c>
      <c r="BD454" s="15"/>
      <c r="BU454" s="79">
        <f>IF($A475="","",$A475)</f>
        <v>46002</v>
      </c>
      <c r="BV454" s="17">
        <v>10982</v>
      </c>
      <c r="BW454" s="13">
        <f t="shared" si="786"/>
        <v>90</v>
      </c>
      <c r="BX454" s="13">
        <v>254</v>
      </c>
      <c r="BY454" s="13">
        <f t="shared" si="787"/>
        <v>1</v>
      </c>
      <c r="BZ454" s="13">
        <v>49</v>
      </c>
      <c r="CA454" s="13">
        <f>IF(BZ454="","",BZ453+CB453-BZ454)</f>
        <v>-2</v>
      </c>
      <c r="CB454" s="13">
        <v>0</v>
      </c>
      <c r="CC454" s="53"/>
      <c r="CD454" s="53">
        <f t="shared" si="808"/>
        <v>688</v>
      </c>
      <c r="CE454" s="13">
        <f t="shared" si="788"/>
        <v>-1376</v>
      </c>
      <c r="CF454" s="14">
        <f t="shared" si="789"/>
        <v>-0.15288888888888888</v>
      </c>
      <c r="CG454" s="15"/>
      <c r="CH454" s="1"/>
      <c r="CI454" s="79">
        <f>IF($A475="","",$A475)</f>
        <v>46002</v>
      </c>
      <c r="CJ454" s="17">
        <v>10131</v>
      </c>
      <c r="CK454" s="13">
        <f t="shared" si="790"/>
        <v>46</v>
      </c>
      <c r="CL454" s="13">
        <v>154</v>
      </c>
      <c r="CM454" s="13">
        <f t="shared" si="791"/>
        <v>1</v>
      </c>
      <c r="CN454" s="13">
        <v>8</v>
      </c>
      <c r="CO454" s="13">
        <f t="shared" si="792"/>
        <v>1</v>
      </c>
      <c r="CP454" s="13">
        <v>0</v>
      </c>
      <c r="CQ454" s="53"/>
      <c r="CR454" s="53">
        <f t="shared" si="793"/>
        <v>715</v>
      </c>
      <c r="CS454" s="13">
        <f t="shared" si="794"/>
        <v>715</v>
      </c>
      <c r="CT454" s="14">
        <f t="shared" si="795"/>
        <v>0.15543478260869564</v>
      </c>
      <c r="CU454" s="15"/>
      <c r="CV454" s="1"/>
      <c r="CW454" s="79">
        <f>IF($A475="","",$A475)</f>
        <v>46002</v>
      </c>
      <c r="CX454" s="17">
        <v>10007</v>
      </c>
      <c r="CY454" s="13">
        <f t="shared" si="796"/>
        <v>83</v>
      </c>
      <c r="CZ454" s="13">
        <v>197</v>
      </c>
      <c r="DA454" s="13">
        <f t="shared" si="797"/>
        <v>0</v>
      </c>
      <c r="DB454" s="13">
        <v>34</v>
      </c>
      <c r="DC454" s="13">
        <f t="shared" si="798"/>
        <v>0</v>
      </c>
      <c r="DD454" s="13">
        <v>1</v>
      </c>
      <c r="DE454" s="53"/>
      <c r="DF454" s="53">
        <f t="shared" si="799"/>
        <v>880</v>
      </c>
      <c r="DG454" s="13">
        <f t="shared" si="800"/>
        <v>0</v>
      </c>
      <c r="DH454" s="14">
        <f t="shared" si="801"/>
        <v>0</v>
      </c>
      <c r="DI454" s="15"/>
      <c r="DJ454" s="1"/>
      <c r="DK454" s="79">
        <f>IF($A475="","",$A475)</f>
        <v>46002</v>
      </c>
      <c r="DL454" s="17">
        <v>7646</v>
      </c>
      <c r="DM454" s="13">
        <f t="shared" si="802"/>
        <v>34</v>
      </c>
      <c r="DN454" s="13">
        <v>242</v>
      </c>
      <c r="DO454" s="13">
        <f t="shared" si="803"/>
        <v>0</v>
      </c>
      <c r="DP454" s="13">
        <v>35</v>
      </c>
      <c r="DQ454" s="13">
        <f t="shared" si="804"/>
        <v>0</v>
      </c>
      <c r="DR454" s="13">
        <v>0</v>
      </c>
      <c r="DS454" s="53"/>
      <c r="DT454" s="53">
        <f t="shared" si="805"/>
        <v>1100</v>
      </c>
      <c r="DU454" s="13">
        <f t="shared" si="806"/>
        <v>0</v>
      </c>
      <c r="DV454" s="14">
        <f t="shared" si="807"/>
        <v>0</v>
      </c>
      <c r="DW454" s="15"/>
    </row>
    <row r="455" spans="1:127" ht="15" customHeight="1" thickTop="1" x14ac:dyDescent="0.2">
      <c r="A455" s="79">
        <v>45985</v>
      </c>
      <c r="B455" s="74">
        <f>IF(A455="","",SUM(D455:D458)+SUM(R455:R458)+SUM(AF455:AF458)+SUM(AT455:AT458)+SUM(BW449,CK449,CY449,DM449))</f>
        <v>1890</v>
      </c>
      <c r="C455" s="53">
        <v>3721</v>
      </c>
      <c r="D455" s="53">
        <f t="shared" si="809"/>
        <v>67</v>
      </c>
      <c r="E455" s="53">
        <v>311</v>
      </c>
      <c r="F455" s="31">
        <f t="shared" si="810"/>
        <v>0</v>
      </c>
      <c r="G455" s="53">
        <v>18</v>
      </c>
      <c r="H455" s="53">
        <f t="shared" si="811"/>
        <v>0</v>
      </c>
      <c r="I455" s="53">
        <v>0</v>
      </c>
      <c r="J455" s="75" t="str">
        <f t="shared" si="812"/>
        <v>ジャグラーサウンドボタン</v>
      </c>
      <c r="K455" s="76">
        <f t="shared" si="813"/>
        <v>748</v>
      </c>
      <c r="L455" s="31">
        <f t="shared" si="814"/>
        <v>0</v>
      </c>
      <c r="M455" s="32">
        <f t="shared" si="815"/>
        <v>0</v>
      </c>
      <c r="N455" s="15"/>
      <c r="O455" s="2"/>
      <c r="P455" s="79">
        <f>IF(A455="","",A455)</f>
        <v>45985</v>
      </c>
      <c r="Q455" s="53">
        <v>3583</v>
      </c>
      <c r="R455" s="127">
        <f t="shared" si="816"/>
        <v>45</v>
      </c>
      <c r="S455" s="53">
        <v>125</v>
      </c>
      <c r="T455" s="31">
        <f t="shared" si="817"/>
        <v>0</v>
      </c>
      <c r="U455" s="53">
        <v>19</v>
      </c>
      <c r="V455" s="53">
        <f t="shared" si="818"/>
        <v>0</v>
      </c>
      <c r="W455" s="53">
        <v>0</v>
      </c>
      <c r="X455" s="75" t="s">
        <v>36</v>
      </c>
      <c r="Y455" s="76">
        <v>1100</v>
      </c>
      <c r="Z455" s="31">
        <f t="shared" si="820"/>
        <v>0</v>
      </c>
      <c r="AA455" s="32">
        <f t="shared" si="821"/>
        <v>0</v>
      </c>
      <c r="AB455" s="15"/>
      <c r="AC455" s="113"/>
      <c r="AD455" s="146">
        <f>IF($A455="","",$A455)</f>
        <v>45985</v>
      </c>
      <c r="AE455" s="53">
        <v>8933</v>
      </c>
      <c r="AF455" s="53">
        <f t="shared" si="822"/>
        <v>85</v>
      </c>
      <c r="AG455" s="53">
        <v>197</v>
      </c>
      <c r="AH455" s="31">
        <f t="shared" si="823"/>
        <v>2</v>
      </c>
      <c r="AI455" s="53">
        <v>9</v>
      </c>
      <c r="AJ455" s="53">
        <f t="shared" si="824"/>
        <v>0</v>
      </c>
      <c r="AK455" s="53">
        <v>0</v>
      </c>
      <c r="AL455" s="75" t="str">
        <f t="shared" si="825"/>
        <v>キティシリコンがま口</v>
      </c>
      <c r="AM455" s="76">
        <f t="shared" si="825"/>
        <v>1009</v>
      </c>
      <c r="AN455" s="31">
        <f t="shared" si="826"/>
        <v>0</v>
      </c>
      <c r="AO455" s="32">
        <f t="shared" si="827"/>
        <v>0</v>
      </c>
      <c r="AP455" s="15"/>
      <c r="AQ455" s="115"/>
      <c r="AR455" s="79">
        <f>IF($A455="","",$A455)</f>
        <v>45985</v>
      </c>
      <c r="AS455" s="53">
        <v>9438</v>
      </c>
      <c r="AT455" s="53">
        <f t="shared" si="828"/>
        <v>184</v>
      </c>
      <c r="AU455" s="53">
        <v>291</v>
      </c>
      <c r="AV455" s="31">
        <f t="shared" si="829"/>
        <v>3</v>
      </c>
      <c r="AW455" s="53">
        <v>16</v>
      </c>
      <c r="AX455" s="53">
        <f t="shared" si="830"/>
        <v>2</v>
      </c>
      <c r="AY455" s="53">
        <v>0</v>
      </c>
      <c r="AZ455" s="75" t="str">
        <f t="shared" si="833"/>
        <v>サンリオヒョウ柄キーケース</v>
      </c>
      <c r="BA455" s="76">
        <f t="shared" si="834"/>
        <v>700</v>
      </c>
      <c r="BB455" s="31">
        <f t="shared" si="831"/>
        <v>1400</v>
      </c>
      <c r="BC455" s="32">
        <f t="shared" si="832"/>
        <v>7.6086956521739135E-2</v>
      </c>
      <c r="BD455" s="15"/>
      <c r="BT455" s="15"/>
      <c r="BU455" s="79">
        <f>IF($A479="","",$A479)</f>
        <v>46006</v>
      </c>
      <c r="BV455" s="17">
        <v>11359</v>
      </c>
      <c r="BW455" s="13">
        <f t="shared" si="786"/>
        <v>377</v>
      </c>
      <c r="BX455" s="13">
        <v>260</v>
      </c>
      <c r="BY455" s="13">
        <f t="shared" si="787"/>
        <v>6</v>
      </c>
      <c r="BZ455" s="13">
        <v>43</v>
      </c>
      <c r="CA455" s="13">
        <f>IF(BZ455="","",BZ454+CB454-BZ455)</f>
        <v>6</v>
      </c>
      <c r="CB455" s="13">
        <v>0</v>
      </c>
      <c r="CC455" s="53"/>
      <c r="CD455" s="53">
        <f t="shared" si="808"/>
        <v>688</v>
      </c>
      <c r="CE455" s="13">
        <f t="shared" si="788"/>
        <v>4128</v>
      </c>
      <c r="CF455" s="14">
        <f t="shared" si="789"/>
        <v>0.10949602122015915</v>
      </c>
      <c r="CG455" s="43"/>
      <c r="CH455" s="1"/>
      <c r="CI455" s="79">
        <f>IF($A479="","",$A479)</f>
        <v>46006</v>
      </c>
      <c r="CJ455" s="17">
        <v>10298</v>
      </c>
      <c r="CK455" s="13">
        <f t="shared" si="790"/>
        <v>167</v>
      </c>
      <c r="CL455" s="13">
        <v>152</v>
      </c>
      <c r="CM455" s="13">
        <f t="shared" si="791"/>
        <v>-2</v>
      </c>
      <c r="CN455" s="13">
        <v>3</v>
      </c>
      <c r="CO455" s="13">
        <f t="shared" si="792"/>
        <v>5</v>
      </c>
      <c r="CP455" s="13">
        <v>0</v>
      </c>
      <c r="CQ455" s="53"/>
      <c r="CR455" s="53">
        <f t="shared" si="793"/>
        <v>715</v>
      </c>
      <c r="CS455" s="13">
        <f t="shared" si="794"/>
        <v>3575</v>
      </c>
      <c r="CT455" s="14">
        <f t="shared" si="795"/>
        <v>0.21407185628742514</v>
      </c>
      <c r="CU455" s="43" t="s">
        <v>7</v>
      </c>
      <c r="CV455" s="1"/>
      <c r="CW455" s="79">
        <f>IF($A479="","",$A479)</f>
        <v>46006</v>
      </c>
      <c r="CX455" s="17">
        <v>10208</v>
      </c>
      <c r="CY455" s="13">
        <f t="shared" si="796"/>
        <v>201</v>
      </c>
      <c r="CZ455" s="13">
        <v>201</v>
      </c>
      <c r="DA455" s="13">
        <f t="shared" si="797"/>
        <v>4</v>
      </c>
      <c r="DB455" s="13">
        <v>31</v>
      </c>
      <c r="DC455" s="13">
        <f t="shared" si="798"/>
        <v>4</v>
      </c>
      <c r="DD455" s="13">
        <v>0</v>
      </c>
      <c r="DE455" s="53"/>
      <c r="DF455" s="53">
        <f t="shared" si="799"/>
        <v>880</v>
      </c>
      <c r="DG455" s="13">
        <f t="shared" si="800"/>
        <v>3520</v>
      </c>
      <c r="DH455" s="14">
        <f t="shared" si="801"/>
        <v>0.17512437810945275</v>
      </c>
      <c r="DI455" s="43"/>
      <c r="DJ455" s="1"/>
      <c r="DK455" s="79">
        <f>IF($A479="","",$A479)</f>
        <v>46006</v>
      </c>
      <c r="DL455" s="17">
        <v>7828</v>
      </c>
      <c r="DM455" s="13">
        <f t="shared" si="802"/>
        <v>182</v>
      </c>
      <c r="DN455" s="13">
        <v>243</v>
      </c>
      <c r="DO455" s="13">
        <f t="shared" si="803"/>
        <v>1</v>
      </c>
      <c r="DP455" s="13">
        <v>34</v>
      </c>
      <c r="DQ455" s="13">
        <f t="shared" si="804"/>
        <v>1</v>
      </c>
      <c r="DR455" s="13">
        <v>0</v>
      </c>
      <c r="DS455" s="53"/>
      <c r="DT455" s="53">
        <f t="shared" si="805"/>
        <v>1100</v>
      </c>
      <c r="DU455" s="13">
        <f t="shared" si="806"/>
        <v>1100</v>
      </c>
      <c r="DV455" s="14">
        <f t="shared" si="807"/>
        <v>6.043956043956044E-2</v>
      </c>
      <c r="DW455" s="43"/>
    </row>
    <row r="456" spans="1:127" x14ac:dyDescent="0.2">
      <c r="A456" s="16"/>
      <c r="B456" s="11"/>
      <c r="C456" s="13">
        <v>2972</v>
      </c>
      <c r="D456" s="87">
        <f t="shared" si="809"/>
        <v>30</v>
      </c>
      <c r="E456" s="13">
        <v>334</v>
      </c>
      <c r="F456" s="13">
        <f t="shared" si="810"/>
        <v>1</v>
      </c>
      <c r="G456" s="13">
        <v>10</v>
      </c>
      <c r="H456" s="13">
        <f t="shared" si="811"/>
        <v>1</v>
      </c>
      <c r="I456" s="13">
        <v>0</v>
      </c>
      <c r="J456" s="56" t="str">
        <f t="shared" si="812"/>
        <v>液晶デジカメ</v>
      </c>
      <c r="K456" s="54">
        <f t="shared" si="813"/>
        <v>1075</v>
      </c>
      <c r="L456" s="13">
        <f t="shared" si="814"/>
        <v>1075</v>
      </c>
      <c r="M456" s="14">
        <f t="shared" si="815"/>
        <v>0.35833333333333334</v>
      </c>
      <c r="N456" s="15"/>
      <c r="O456" s="2"/>
      <c r="P456" s="16"/>
      <c r="Q456" s="13">
        <v>3094</v>
      </c>
      <c r="R456" s="13">
        <f t="shared" si="816"/>
        <v>138</v>
      </c>
      <c r="S456" s="13">
        <v>94</v>
      </c>
      <c r="T456" s="13">
        <f t="shared" si="817"/>
        <v>3</v>
      </c>
      <c r="U456" s="13">
        <v>21</v>
      </c>
      <c r="V456" s="13">
        <f t="shared" si="818"/>
        <v>3</v>
      </c>
      <c r="W456" s="13">
        <v>0</v>
      </c>
      <c r="X456" s="56" t="str">
        <f t="shared" ref="X456:Y459" si="835">IF(Q456="","",X452)</f>
        <v>ジャグラーサウンドボタン</v>
      </c>
      <c r="Y456" s="54">
        <f t="shared" si="835"/>
        <v>1100</v>
      </c>
      <c r="Z456" s="13">
        <f t="shared" si="820"/>
        <v>3300</v>
      </c>
      <c r="AA456" s="14">
        <f t="shared" si="821"/>
        <v>0.2391304347826087</v>
      </c>
      <c r="AB456" s="15"/>
      <c r="AC456" s="113"/>
      <c r="AD456" s="147"/>
      <c r="AE456" s="13">
        <v>8708</v>
      </c>
      <c r="AF456" s="13">
        <f t="shared" si="822"/>
        <v>41</v>
      </c>
      <c r="AG456" s="13">
        <v>197</v>
      </c>
      <c r="AH456" s="13">
        <f t="shared" si="823"/>
        <v>8</v>
      </c>
      <c r="AI456" s="13">
        <v>8</v>
      </c>
      <c r="AJ456" s="50">
        <f t="shared" si="824"/>
        <v>9</v>
      </c>
      <c r="AK456" s="13">
        <v>10</v>
      </c>
      <c r="AL456" s="56" t="s">
        <v>374</v>
      </c>
      <c r="AM456" s="54">
        <v>660</v>
      </c>
      <c r="AN456" s="13">
        <f t="shared" si="826"/>
        <v>5940</v>
      </c>
      <c r="AO456" s="14">
        <f t="shared" si="827"/>
        <v>1.448780487804878</v>
      </c>
      <c r="AP456" s="15" t="s">
        <v>370</v>
      </c>
      <c r="AQ456" s="115"/>
      <c r="AR456" s="16"/>
      <c r="AS456" s="13">
        <v>6568</v>
      </c>
      <c r="AT456" s="87">
        <f t="shared" si="828"/>
        <v>32</v>
      </c>
      <c r="AU456" s="13">
        <v>320</v>
      </c>
      <c r="AV456" s="13">
        <f t="shared" si="829"/>
        <v>3</v>
      </c>
      <c r="AW456" s="13">
        <v>30</v>
      </c>
      <c r="AX456" s="13">
        <f t="shared" si="830"/>
        <v>3</v>
      </c>
      <c r="AY456" s="13">
        <v>4</v>
      </c>
      <c r="AZ456" s="56" t="str">
        <f t="shared" si="833"/>
        <v>ねこアイシャドウ</v>
      </c>
      <c r="BA456" s="54">
        <f t="shared" si="834"/>
        <v>1000</v>
      </c>
      <c r="BB456" s="13">
        <f t="shared" si="831"/>
        <v>3000</v>
      </c>
      <c r="BC456" s="14">
        <f t="shared" si="832"/>
        <v>0.9375</v>
      </c>
      <c r="BD456" s="15"/>
      <c r="BT456" s="15"/>
      <c r="BU456" s="79">
        <f>IF($A483="","",$A483)</f>
        <v>46008</v>
      </c>
      <c r="BV456" s="17">
        <v>11418</v>
      </c>
      <c r="BW456" s="13">
        <f t="shared" si="786"/>
        <v>59</v>
      </c>
      <c r="BX456" s="13">
        <v>261</v>
      </c>
      <c r="BY456" s="13">
        <f t="shared" si="787"/>
        <v>1</v>
      </c>
      <c r="BZ456" s="13">
        <v>42</v>
      </c>
      <c r="CA456" s="13">
        <f>IF(BZ456="","",BZ455+CB455-BZ456)</f>
        <v>1</v>
      </c>
      <c r="CB456" s="13">
        <v>0</v>
      </c>
      <c r="CC456" s="53"/>
      <c r="CD456" s="53">
        <f t="shared" si="808"/>
        <v>688</v>
      </c>
      <c r="CE456" s="13">
        <f t="shared" si="788"/>
        <v>688</v>
      </c>
      <c r="CF456" s="14">
        <f t="shared" si="789"/>
        <v>0.11661016949152542</v>
      </c>
      <c r="CG456" s="43"/>
      <c r="CH456" s="1"/>
      <c r="CI456" s="79">
        <f>IF($A483="","",$A483)</f>
        <v>46008</v>
      </c>
      <c r="CJ456" s="17">
        <v>10322</v>
      </c>
      <c r="CK456" s="13">
        <f t="shared" si="790"/>
        <v>24</v>
      </c>
      <c r="CL456" s="13">
        <v>157</v>
      </c>
      <c r="CM456" s="13">
        <f t="shared" si="791"/>
        <v>5</v>
      </c>
      <c r="CN456" s="13">
        <v>2</v>
      </c>
      <c r="CO456" s="13">
        <f t="shared" si="792"/>
        <v>1</v>
      </c>
      <c r="CP456" s="13">
        <v>7</v>
      </c>
      <c r="CQ456" s="53"/>
      <c r="CR456" s="53">
        <f t="shared" si="793"/>
        <v>715</v>
      </c>
      <c r="CS456" s="13">
        <f t="shared" si="794"/>
        <v>715</v>
      </c>
      <c r="CT456" s="14">
        <f t="shared" si="795"/>
        <v>0.29791666666666666</v>
      </c>
      <c r="CU456" s="43" t="s">
        <v>398</v>
      </c>
      <c r="CV456" s="1"/>
      <c r="CW456" s="79">
        <f>IF($A483="","",$A483)</f>
        <v>46008</v>
      </c>
      <c r="CX456" s="17">
        <v>10259</v>
      </c>
      <c r="CY456" s="13">
        <f t="shared" si="796"/>
        <v>51</v>
      </c>
      <c r="CZ456" s="13">
        <v>202</v>
      </c>
      <c r="DA456" s="13">
        <f t="shared" si="797"/>
        <v>1</v>
      </c>
      <c r="DB456" s="13">
        <v>30</v>
      </c>
      <c r="DC456" s="13">
        <f t="shared" si="798"/>
        <v>1</v>
      </c>
      <c r="DD456" s="13">
        <v>1</v>
      </c>
      <c r="DE456" s="53"/>
      <c r="DF456" s="53">
        <f t="shared" si="799"/>
        <v>880</v>
      </c>
      <c r="DG456" s="13">
        <f t="shared" si="800"/>
        <v>880</v>
      </c>
      <c r="DH456" s="14">
        <f t="shared" si="801"/>
        <v>0.17254901960784313</v>
      </c>
      <c r="DI456" s="43"/>
      <c r="DJ456" s="1"/>
      <c r="DK456" s="79">
        <f>IF($A483="","",$A483)</f>
        <v>46008</v>
      </c>
      <c r="DL456" s="17">
        <v>7852</v>
      </c>
      <c r="DM456" s="13">
        <f t="shared" si="802"/>
        <v>24</v>
      </c>
      <c r="DN456" s="13">
        <v>243</v>
      </c>
      <c r="DO456" s="13">
        <f t="shared" si="803"/>
        <v>0</v>
      </c>
      <c r="DP456" s="13">
        <v>34</v>
      </c>
      <c r="DQ456" s="13">
        <f t="shared" si="804"/>
        <v>0</v>
      </c>
      <c r="DR456" s="13">
        <v>0</v>
      </c>
      <c r="DS456" s="53"/>
      <c r="DT456" s="53">
        <f t="shared" si="805"/>
        <v>1100</v>
      </c>
      <c r="DU456" s="13">
        <f t="shared" si="806"/>
        <v>0</v>
      </c>
      <c r="DV456" s="14">
        <f t="shared" si="807"/>
        <v>0</v>
      </c>
      <c r="DW456" s="43"/>
    </row>
    <row r="457" spans="1:127" x14ac:dyDescent="0.2">
      <c r="A457" s="16"/>
      <c r="B457" s="11"/>
      <c r="C457" s="13">
        <v>9413</v>
      </c>
      <c r="D457" s="13">
        <f t="shared" si="809"/>
        <v>86</v>
      </c>
      <c r="E457" s="13">
        <v>560</v>
      </c>
      <c r="F457" s="13">
        <f t="shared" si="810"/>
        <v>7</v>
      </c>
      <c r="G457" s="13">
        <v>120</v>
      </c>
      <c r="H457" s="13">
        <f t="shared" si="811"/>
        <v>6</v>
      </c>
      <c r="I457" s="13">
        <v>0</v>
      </c>
      <c r="J457" s="56" t="str">
        <f t="shared" si="812"/>
        <v>AIモンスタラバー</v>
      </c>
      <c r="K457" s="13">
        <f t="shared" si="813"/>
        <v>200</v>
      </c>
      <c r="L457" s="13">
        <f t="shared" si="814"/>
        <v>1200</v>
      </c>
      <c r="M457" s="14">
        <f t="shared" si="815"/>
        <v>0.13953488372093023</v>
      </c>
      <c r="N457" s="15"/>
      <c r="O457" s="2"/>
      <c r="P457" s="16"/>
      <c r="Q457" s="13">
        <v>6643</v>
      </c>
      <c r="R457" s="13">
        <f t="shared" si="816"/>
        <v>72</v>
      </c>
      <c r="S457" s="13">
        <v>109</v>
      </c>
      <c r="T457" s="13">
        <f t="shared" si="817"/>
        <v>3</v>
      </c>
      <c r="U457" s="13">
        <v>85</v>
      </c>
      <c r="V457" s="13">
        <f t="shared" si="818"/>
        <v>3</v>
      </c>
      <c r="W457" s="13">
        <v>0</v>
      </c>
      <c r="X457" s="56" t="str">
        <f t="shared" si="835"/>
        <v>アングリーキーホルダー</v>
      </c>
      <c r="Y457" s="13">
        <f t="shared" si="835"/>
        <v>100</v>
      </c>
      <c r="Z457" s="13">
        <f t="shared" si="820"/>
        <v>300</v>
      </c>
      <c r="AA457" s="14">
        <f t="shared" si="821"/>
        <v>4.1666666666666664E-2</v>
      </c>
      <c r="AB457" s="15" t="s">
        <v>331</v>
      </c>
      <c r="AC457" s="113"/>
      <c r="AD457" s="147"/>
      <c r="AE457" s="13">
        <v>10192</v>
      </c>
      <c r="AF457" s="87">
        <f t="shared" si="822"/>
        <v>20</v>
      </c>
      <c r="AG457" s="13">
        <v>289</v>
      </c>
      <c r="AH457" s="13">
        <f t="shared" si="823"/>
        <v>3</v>
      </c>
      <c r="AI457" s="13">
        <v>9</v>
      </c>
      <c r="AJ457" s="13">
        <f t="shared" si="824"/>
        <v>3</v>
      </c>
      <c r="AK457" s="13">
        <v>26</v>
      </c>
      <c r="AL457" s="56" t="s">
        <v>371</v>
      </c>
      <c r="AM457" s="13">
        <f>IF(AF457="","",AM453)</f>
        <v>400</v>
      </c>
      <c r="AN457" s="13">
        <f t="shared" si="826"/>
        <v>1200</v>
      </c>
      <c r="AO457" s="14">
        <f t="shared" si="827"/>
        <v>0.6</v>
      </c>
      <c r="AP457" s="15" t="s">
        <v>373</v>
      </c>
      <c r="AQ457" s="115"/>
      <c r="AR457" s="16"/>
      <c r="AS457" s="13">
        <v>12478</v>
      </c>
      <c r="AT457" s="13">
        <f t="shared" si="828"/>
        <v>118</v>
      </c>
      <c r="AU457" s="13">
        <v>455</v>
      </c>
      <c r="AV457" s="13">
        <f t="shared" si="829"/>
        <v>0</v>
      </c>
      <c r="AW457" s="13">
        <v>26</v>
      </c>
      <c r="AX457" s="13">
        <f t="shared" si="830"/>
        <v>0</v>
      </c>
      <c r="AY457" s="13">
        <v>0</v>
      </c>
      <c r="AZ457" s="56" t="str">
        <f t="shared" si="833"/>
        <v>ラブブキーホルダーおおきめ</v>
      </c>
      <c r="BA457" s="13">
        <f t="shared" si="834"/>
        <v>500</v>
      </c>
      <c r="BB457" s="13">
        <f t="shared" si="831"/>
        <v>0</v>
      </c>
      <c r="BC457" s="14">
        <f t="shared" si="832"/>
        <v>0</v>
      </c>
      <c r="BD457" s="15"/>
      <c r="BT457" s="15"/>
      <c r="BU457" s="79" t="str">
        <f>IF($A487="","",$A487)</f>
        <v/>
      </c>
      <c r="BV457" s="17"/>
      <c r="BW457" s="13"/>
      <c r="BX457" s="13"/>
      <c r="BY457" s="13"/>
      <c r="BZ457" s="13"/>
      <c r="CA457" s="13"/>
      <c r="CB457" s="13"/>
      <c r="CC457" s="53"/>
      <c r="CD457" s="53"/>
      <c r="CE457" s="13"/>
      <c r="CF457" s="14"/>
      <c r="CG457" s="43"/>
      <c r="CH457" s="1"/>
      <c r="CI457" s="79"/>
      <c r="CJ457" s="17"/>
      <c r="CK457" s="13"/>
      <c r="CL457" s="13"/>
      <c r="CM457" s="13"/>
      <c r="CN457" s="13"/>
      <c r="CO457" s="13"/>
      <c r="CP457" s="13"/>
      <c r="CQ457" s="53"/>
      <c r="CR457" s="53"/>
      <c r="CS457" s="13"/>
      <c r="CT457" s="14"/>
      <c r="CU457" s="43"/>
      <c r="CV457" s="1"/>
      <c r="CW457" s="79"/>
      <c r="CX457" s="17"/>
      <c r="CY457" s="13"/>
      <c r="CZ457" s="13"/>
      <c r="DA457" s="13"/>
      <c r="DB457" s="13"/>
      <c r="DC457" s="13"/>
      <c r="DD457" s="13"/>
      <c r="DE457" s="53"/>
      <c r="DF457" s="53"/>
      <c r="DG457" s="13"/>
      <c r="DH457" s="14"/>
      <c r="DI457" s="43"/>
      <c r="DJ457" s="1"/>
      <c r="DK457" s="79"/>
      <c r="DL457" s="17"/>
      <c r="DM457" s="13"/>
      <c r="DN457" s="13"/>
      <c r="DO457" s="13"/>
      <c r="DP457" s="13"/>
      <c r="DQ457" s="13"/>
      <c r="DR457" s="13"/>
      <c r="DS457" s="53"/>
      <c r="DT457" s="53"/>
      <c r="DU457" s="13"/>
      <c r="DV457" s="14"/>
      <c r="DW457" s="43"/>
    </row>
    <row r="458" spans="1:127" ht="15" customHeight="1" thickBot="1" x14ac:dyDescent="0.25">
      <c r="A458" s="26"/>
      <c r="B458" s="46"/>
      <c r="C458" s="27">
        <v>4602</v>
      </c>
      <c r="D458" s="27">
        <f t="shared" si="809"/>
        <v>79</v>
      </c>
      <c r="E458" s="27">
        <v>400</v>
      </c>
      <c r="F458" s="27">
        <f t="shared" si="810"/>
        <v>1</v>
      </c>
      <c r="G458" s="27">
        <v>36</v>
      </c>
      <c r="H458" s="27">
        <f t="shared" si="811"/>
        <v>1</v>
      </c>
      <c r="I458" s="27">
        <v>17</v>
      </c>
      <c r="J458" s="57" t="str">
        <f t="shared" si="812"/>
        <v>NICIマスコット</v>
      </c>
      <c r="K458" s="62">
        <f t="shared" si="813"/>
        <v>900</v>
      </c>
      <c r="L458" s="27">
        <f t="shared" si="814"/>
        <v>900</v>
      </c>
      <c r="M458" s="28">
        <f t="shared" si="815"/>
        <v>0.11392405063291139</v>
      </c>
      <c r="N458" s="15"/>
      <c r="O458" s="2"/>
      <c r="P458" s="26"/>
      <c r="Q458" s="27">
        <v>5973</v>
      </c>
      <c r="R458" s="27">
        <f t="shared" si="816"/>
        <v>89</v>
      </c>
      <c r="S458" s="27">
        <v>103</v>
      </c>
      <c r="T458" s="27">
        <f t="shared" si="817"/>
        <v>2</v>
      </c>
      <c r="U458" s="27">
        <v>8</v>
      </c>
      <c r="V458" s="27">
        <f t="shared" si="818"/>
        <v>2</v>
      </c>
      <c r="W458" s="27">
        <v>2</v>
      </c>
      <c r="X458" s="57" t="str">
        <f t="shared" si="835"/>
        <v>ＡＩマスコット</v>
      </c>
      <c r="Y458" s="62">
        <f t="shared" si="835"/>
        <v>286</v>
      </c>
      <c r="Z458" s="27">
        <f t="shared" si="820"/>
        <v>572</v>
      </c>
      <c r="AA458" s="28">
        <f t="shared" si="821"/>
        <v>6.4269662921348308E-2</v>
      </c>
      <c r="AB458" s="15"/>
      <c r="AC458" s="113"/>
      <c r="AD458" s="145"/>
      <c r="AE458" s="27">
        <v>10138</v>
      </c>
      <c r="AF458" s="27">
        <f t="shared" si="822"/>
        <v>90</v>
      </c>
      <c r="AG458" s="27">
        <v>273</v>
      </c>
      <c r="AH458" s="27">
        <f t="shared" si="823"/>
        <v>2</v>
      </c>
      <c r="AI458" s="27">
        <v>13</v>
      </c>
      <c r="AJ458" s="27">
        <f t="shared" si="824"/>
        <v>2</v>
      </c>
      <c r="AK458" s="27">
        <v>0</v>
      </c>
      <c r="AL458" s="57" t="str">
        <f>IF(AE458="","",AL454)</f>
        <v>モンチッチマスコット2</v>
      </c>
      <c r="AM458" s="62">
        <f>IF(AF458="","",AM454)</f>
        <v>540</v>
      </c>
      <c r="AN458" s="27">
        <f t="shared" si="826"/>
        <v>1080</v>
      </c>
      <c r="AO458" s="28">
        <f t="shared" si="827"/>
        <v>0.12</v>
      </c>
      <c r="AP458" s="15"/>
      <c r="AQ458" s="115"/>
      <c r="AR458" s="26"/>
      <c r="AS458" s="27">
        <v>12726</v>
      </c>
      <c r="AT458" s="27">
        <f t="shared" si="828"/>
        <v>158</v>
      </c>
      <c r="AU458" s="27">
        <v>382</v>
      </c>
      <c r="AV458" s="27">
        <f t="shared" si="829"/>
        <v>2</v>
      </c>
      <c r="AW458" s="27">
        <v>26</v>
      </c>
      <c r="AX458" s="27">
        <f t="shared" si="830"/>
        <v>1</v>
      </c>
      <c r="AY458" s="27">
        <v>0</v>
      </c>
      <c r="AZ458" s="57" t="str">
        <f t="shared" si="833"/>
        <v>ラブブマスコット</v>
      </c>
      <c r="BA458" s="62">
        <f t="shared" si="834"/>
        <v>400</v>
      </c>
      <c r="BB458" s="27">
        <f t="shared" si="831"/>
        <v>400</v>
      </c>
      <c r="BC458" s="28">
        <f t="shared" si="832"/>
        <v>2.5316455696202531E-2</v>
      </c>
      <c r="BD458" s="15"/>
      <c r="BT458" s="15"/>
      <c r="BU458" s="79" t="str">
        <f>IF($A491="","",$A491)</f>
        <v/>
      </c>
      <c r="BV458" s="17"/>
      <c r="BW458" s="13" t="str">
        <f>IF(BV458="","",BV458-BV457)</f>
        <v/>
      </c>
      <c r="BX458" s="13"/>
      <c r="BY458" s="13" t="str">
        <f>IF(BX458="","",BX458-BX457)</f>
        <v/>
      </c>
      <c r="BZ458" s="13"/>
      <c r="CA458" s="13" t="str">
        <f>IF(BZ458="","",BZ457+CB457-BZ458)</f>
        <v/>
      </c>
      <c r="CB458" s="13"/>
      <c r="CC458" s="53"/>
      <c r="CD458" s="53" t="str">
        <f>IF(BV458="","",CD457)</f>
        <v/>
      </c>
      <c r="CE458" s="13" t="str">
        <f>IF(CD458="","",CA458*CD458)</f>
        <v/>
      </c>
      <c r="CF458" s="14" t="str">
        <f>IF(CE458="","",CE458/(BW458*100))</f>
        <v/>
      </c>
      <c r="CG458" s="15"/>
      <c r="CH458" s="1"/>
      <c r="CI458" s="79" t="str">
        <f>IF($A491="","",$A491)</f>
        <v/>
      </c>
      <c r="CJ458" s="17"/>
      <c r="CK458" s="13" t="str">
        <f>IF(CJ458="","",CJ458-CJ457)</f>
        <v/>
      </c>
      <c r="CL458" s="13"/>
      <c r="CM458" s="13" t="str">
        <f>IF(CL458="","",CL458-CL457)</f>
        <v/>
      </c>
      <c r="CN458" s="13"/>
      <c r="CO458" s="13" t="str">
        <f>IF(CN458="","",CN457+CP457-CN458)</f>
        <v/>
      </c>
      <c r="CP458" s="13"/>
      <c r="CQ458" s="53"/>
      <c r="CR458" s="53" t="str">
        <f>IF(CJ458="","",CR457)</f>
        <v/>
      </c>
      <c r="CS458" s="13" t="str">
        <f>IF(CR458="","",CO458*CR458)</f>
        <v/>
      </c>
      <c r="CT458" s="14" t="str">
        <f t="shared" ref="CT458:CT465" si="836">IF(CS458="","",CS458/(CK458*100))</f>
        <v/>
      </c>
      <c r="CU458" s="15"/>
      <c r="CV458" s="1"/>
      <c r="CW458" s="79" t="str">
        <f>IF($A491="","",$A491)</f>
        <v/>
      </c>
      <c r="CX458" s="17"/>
      <c r="CY458" s="13" t="str">
        <f>IF(CX458="","",CX458-CX457)</f>
        <v/>
      </c>
      <c r="CZ458" s="13"/>
      <c r="DA458" s="13" t="str">
        <f>IF(CZ458="","",CZ458-CZ457)</f>
        <v/>
      </c>
      <c r="DB458" s="13"/>
      <c r="DC458" s="13" t="str">
        <f>IF(DB458="","",DB457+DD457-DB458)</f>
        <v/>
      </c>
      <c r="DD458" s="13"/>
      <c r="DE458" s="53"/>
      <c r="DF458" s="53" t="str">
        <f>IF(CX458="","",DF457)</f>
        <v/>
      </c>
      <c r="DG458" s="13" t="str">
        <f>IF(DF458="","",DC458*DF458)</f>
        <v/>
      </c>
      <c r="DH458" s="14" t="str">
        <f>IF(DG458="","",DG458/(CY458*100))</f>
        <v/>
      </c>
      <c r="DI458" s="15"/>
      <c r="DJ458" s="1"/>
      <c r="DK458" s="79" t="str">
        <f>IF($A491="","",$A491)</f>
        <v/>
      </c>
      <c r="DL458" s="17"/>
      <c r="DM458" s="13" t="str">
        <f>IF(DL458="","",DL458-DL457)</f>
        <v/>
      </c>
      <c r="DN458" s="13"/>
      <c r="DO458" s="13" t="str">
        <f>IF(DN458="","",DN458-DN457)</f>
        <v/>
      </c>
      <c r="DP458" s="13"/>
      <c r="DQ458" s="13" t="str">
        <f>IF(DP458="","",DP457+DR457-DP458)</f>
        <v/>
      </c>
      <c r="DR458" s="13"/>
      <c r="DS458" s="53"/>
      <c r="DT458" s="53" t="str">
        <f>IF(DL458="","",DT457)</f>
        <v/>
      </c>
      <c r="DU458" s="13" t="str">
        <f>IF(DT458="","",DQ458*DT458)</f>
        <v/>
      </c>
      <c r="DV458" s="14" t="str">
        <f>IF(DU458="","",DU458/(DM458*100))</f>
        <v/>
      </c>
      <c r="DW458" s="15"/>
    </row>
    <row r="459" spans="1:127" ht="15" customHeight="1" thickTop="1" x14ac:dyDescent="0.2">
      <c r="A459" s="79">
        <v>45989</v>
      </c>
      <c r="B459" s="74">
        <f>IF(A459="","",SUM(D459:D462)+SUM(R459:R462)+SUM(AF459:AF462)+SUM(AT459:AT462)+SUM(BW450,CK450,CY450,DM450))</f>
        <v>2374</v>
      </c>
      <c r="C459" s="53">
        <v>3733</v>
      </c>
      <c r="D459" s="127">
        <f t="shared" si="809"/>
        <v>12</v>
      </c>
      <c r="E459" s="53">
        <v>311</v>
      </c>
      <c r="F459" s="31">
        <f t="shared" si="810"/>
        <v>0</v>
      </c>
      <c r="G459" s="53">
        <v>18</v>
      </c>
      <c r="H459" s="53">
        <f t="shared" si="811"/>
        <v>0</v>
      </c>
      <c r="I459" s="80">
        <v>-9</v>
      </c>
      <c r="J459" s="75" t="str">
        <f t="shared" si="812"/>
        <v>ジャグラーサウンドボタン</v>
      </c>
      <c r="K459" s="76">
        <f t="shared" si="813"/>
        <v>748</v>
      </c>
      <c r="L459" s="31">
        <f t="shared" si="814"/>
        <v>0</v>
      </c>
      <c r="M459" s="32">
        <f t="shared" si="815"/>
        <v>0</v>
      </c>
      <c r="N459" s="15" t="s">
        <v>378</v>
      </c>
      <c r="O459" s="2"/>
      <c r="P459" s="79">
        <f>IF(A459="","",A459)</f>
        <v>45989</v>
      </c>
      <c r="Q459" s="53">
        <v>3741</v>
      </c>
      <c r="R459" s="53">
        <f t="shared" si="816"/>
        <v>158</v>
      </c>
      <c r="S459" s="53">
        <v>127</v>
      </c>
      <c r="T459" s="31">
        <f t="shared" si="817"/>
        <v>2</v>
      </c>
      <c r="U459" s="53">
        <v>17</v>
      </c>
      <c r="V459" s="53">
        <f t="shared" si="818"/>
        <v>2</v>
      </c>
      <c r="W459" s="80">
        <v>2</v>
      </c>
      <c r="X459" s="75" t="str">
        <f t="shared" si="835"/>
        <v>ジャグラーイヤホン</v>
      </c>
      <c r="Y459" s="76">
        <f t="shared" si="835"/>
        <v>1100</v>
      </c>
      <c r="Z459" s="31">
        <f t="shared" si="820"/>
        <v>2200</v>
      </c>
      <c r="AA459" s="32">
        <f t="shared" si="821"/>
        <v>0.13924050632911392</v>
      </c>
      <c r="AB459" s="15"/>
      <c r="AC459" s="113"/>
      <c r="AD459" s="146">
        <f>IF($A459="","",$A459)</f>
        <v>45989</v>
      </c>
      <c r="AE459" s="53">
        <v>9039</v>
      </c>
      <c r="AF459" s="53">
        <f t="shared" si="822"/>
        <v>106</v>
      </c>
      <c r="AG459" s="53">
        <v>201</v>
      </c>
      <c r="AH459" s="31">
        <f t="shared" si="823"/>
        <v>4</v>
      </c>
      <c r="AI459" s="53">
        <v>8</v>
      </c>
      <c r="AJ459" s="53">
        <f t="shared" si="824"/>
        <v>1</v>
      </c>
      <c r="AK459" s="80">
        <v>2</v>
      </c>
      <c r="AL459" s="75" t="str">
        <f>IF(AE459="","",AL455)</f>
        <v>キティシリコンがま口</v>
      </c>
      <c r="AM459" s="76">
        <f>IF(AF459="","",AM455)</f>
        <v>1009</v>
      </c>
      <c r="AN459" s="31">
        <f t="shared" si="826"/>
        <v>1009</v>
      </c>
      <c r="AO459" s="32">
        <f t="shared" si="827"/>
        <v>9.5188679245283014E-2</v>
      </c>
      <c r="AP459" s="15"/>
      <c r="AQ459" s="15"/>
      <c r="AR459" s="79">
        <f>IF($A459="","",$A459)</f>
        <v>45989</v>
      </c>
      <c r="AS459" s="53">
        <v>9493</v>
      </c>
      <c r="AT459" s="127">
        <f t="shared" si="828"/>
        <v>55</v>
      </c>
      <c r="AU459" s="53">
        <v>295</v>
      </c>
      <c r="AV459" s="31">
        <f t="shared" si="829"/>
        <v>4</v>
      </c>
      <c r="AW459" s="53">
        <v>15</v>
      </c>
      <c r="AX459" s="53">
        <f t="shared" si="830"/>
        <v>1</v>
      </c>
      <c r="AY459" s="80">
        <v>2</v>
      </c>
      <c r="AZ459" s="75" t="str">
        <f t="shared" si="833"/>
        <v>サンリオヒョウ柄キーケース</v>
      </c>
      <c r="BA459" s="76">
        <f t="shared" si="834"/>
        <v>700</v>
      </c>
      <c r="BB459" s="31">
        <f t="shared" si="831"/>
        <v>700</v>
      </c>
      <c r="BC459" s="32">
        <f t="shared" si="832"/>
        <v>0.12727272727272726</v>
      </c>
      <c r="BD459" s="15" t="s">
        <v>376</v>
      </c>
      <c r="BT459" s="15"/>
      <c r="BU459" s="79" t="str">
        <f>IF($A495="","",$A495)</f>
        <v/>
      </c>
      <c r="BV459" s="17"/>
      <c r="BW459" s="13" t="str">
        <f>IF(BV459="","",BV459-BV458)</f>
        <v/>
      </c>
      <c r="BX459" s="13"/>
      <c r="BY459" s="13" t="str">
        <f>IF(BX459="","",BX459-BX458)</f>
        <v/>
      </c>
      <c r="BZ459" s="13"/>
      <c r="CA459" s="13" t="str">
        <f>IF(BZ459="","",BZ458+CB458-BZ459)</f>
        <v/>
      </c>
      <c r="CB459" s="13"/>
      <c r="CC459" s="53"/>
      <c r="CD459" s="53" t="str">
        <f>IF(BV459="","",CD458)</f>
        <v/>
      </c>
      <c r="CE459" s="13" t="str">
        <f>IF(CD459="","",CA459*CD459)</f>
        <v/>
      </c>
      <c r="CF459" s="14" t="str">
        <f>IF(CE459="","",CE459/(BW459*100))</f>
        <v/>
      </c>
      <c r="CG459" s="15"/>
      <c r="CH459" s="1"/>
      <c r="CI459" s="79" t="str">
        <f>IF($A495="","",$A495)</f>
        <v/>
      </c>
      <c r="CJ459" s="17"/>
      <c r="CK459" s="13" t="str">
        <f>IF(CJ459="","",CJ459-CJ458)</f>
        <v/>
      </c>
      <c r="CL459" s="13"/>
      <c r="CM459" s="13" t="str">
        <f>IF(CL459="","",CL459-CL458)</f>
        <v/>
      </c>
      <c r="CN459" s="13"/>
      <c r="CO459" s="13" t="str">
        <f>IF(CN459="","",CN458+CP458-CN459)</f>
        <v/>
      </c>
      <c r="CP459" s="13"/>
      <c r="CQ459" s="53"/>
      <c r="CR459" s="53" t="str">
        <f>IF(CJ459="","",CR458)</f>
        <v/>
      </c>
      <c r="CS459" s="13" t="str">
        <f>IF(CR459="","",CO459*CR459)</f>
        <v/>
      </c>
      <c r="CT459" s="14" t="str">
        <f t="shared" si="836"/>
        <v/>
      </c>
      <c r="CU459" s="15"/>
      <c r="CV459" s="1"/>
      <c r="CW459" s="79" t="str">
        <f>IF($A495="","",$A495)</f>
        <v/>
      </c>
      <c r="CX459" s="17"/>
      <c r="CY459" s="13" t="str">
        <f>IF(CX459="","",CX459-CX458)</f>
        <v/>
      </c>
      <c r="CZ459" s="13"/>
      <c r="DA459" s="13" t="str">
        <f>IF(CZ459="","",CZ459-CZ458)</f>
        <v/>
      </c>
      <c r="DB459" s="13"/>
      <c r="DC459" s="13" t="str">
        <f>IF(DB459="","",DB458+DD458-DB459)</f>
        <v/>
      </c>
      <c r="DD459" s="13"/>
      <c r="DE459" s="53"/>
      <c r="DF459" s="53" t="str">
        <f>IF(CX459="","",DF458)</f>
        <v/>
      </c>
      <c r="DG459" s="13" t="str">
        <f>IF(DF459="","",DC459*DF459)</f>
        <v/>
      </c>
      <c r="DH459" s="14" t="str">
        <f>IF(DG459="","",DG459/(CY459*100))</f>
        <v/>
      </c>
      <c r="DI459" s="15"/>
      <c r="DJ459" s="1"/>
      <c r="DK459" s="79" t="str">
        <f>IF($A495="","",$A495)</f>
        <v/>
      </c>
      <c r="DL459" s="17"/>
      <c r="DM459" s="13" t="str">
        <f>IF(DL459="","",DL459-DL458)</f>
        <v/>
      </c>
      <c r="DN459" s="13"/>
      <c r="DO459" s="13" t="str">
        <f>IF(DN459="","",DN459-DN458)</f>
        <v/>
      </c>
      <c r="DP459" s="13"/>
      <c r="DQ459" s="13" t="str">
        <f>IF(DP459="","",DP458+DR458-DP459)</f>
        <v/>
      </c>
      <c r="DR459" s="13"/>
      <c r="DS459" s="53"/>
      <c r="DT459" s="53" t="str">
        <f>IF(DL459="","",DT458)</f>
        <v/>
      </c>
      <c r="DU459" s="13" t="str">
        <f>IF(DT459="","",DQ459*DT459)</f>
        <v/>
      </c>
      <c r="DV459" s="14" t="str">
        <f>IF(DU459="","",DU459/(DM459*100))</f>
        <v/>
      </c>
      <c r="DW459" s="15"/>
    </row>
    <row r="460" spans="1:127" x14ac:dyDescent="0.2">
      <c r="A460" s="16"/>
      <c r="B460" s="11"/>
      <c r="C460" s="13">
        <v>3051</v>
      </c>
      <c r="D460" s="53">
        <f t="shared" si="809"/>
        <v>79</v>
      </c>
      <c r="E460" s="13">
        <v>336</v>
      </c>
      <c r="F460" s="13">
        <f t="shared" si="810"/>
        <v>2</v>
      </c>
      <c r="G460" s="13">
        <v>8</v>
      </c>
      <c r="H460" s="13">
        <f t="shared" si="811"/>
        <v>2</v>
      </c>
      <c r="I460" s="17">
        <v>0</v>
      </c>
      <c r="J460" s="56" t="str">
        <f t="shared" si="812"/>
        <v>液晶デジカメ</v>
      </c>
      <c r="K460" s="54">
        <f t="shared" si="813"/>
        <v>1075</v>
      </c>
      <c r="L460" s="13">
        <f t="shared" si="814"/>
        <v>2150</v>
      </c>
      <c r="M460" s="14">
        <f t="shared" si="815"/>
        <v>0.27215189873417722</v>
      </c>
      <c r="N460" s="15"/>
      <c r="O460" s="2"/>
      <c r="P460" s="16"/>
      <c r="Q460" s="13">
        <v>3156</v>
      </c>
      <c r="R460" s="53">
        <f t="shared" si="816"/>
        <v>62</v>
      </c>
      <c r="S460" s="13">
        <v>96</v>
      </c>
      <c r="T460" s="13">
        <f t="shared" si="817"/>
        <v>2</v>
      </c>
      <c r="U460" s="13">
        <v>19</v>
      </c>
      <c r="V460" s="13">
        <f t="shared" si="818"/>
        <v>2</v>
      </c>
      <c r="W460" s="17">
        <v>4</v>
      </c>
      <c r="X460" s="56" t="s">
        <v>377</v>
      </c>
      <c r="Y460" s="54">
        <f t="shared" ref="Y460:Y476" si="837">IF(R460="","",Y456)</f>
        <v>1100</v>
      </c>
      <c r="Z460" s="13">
        <f t="shared" si="820"/>
        <v>2200</v>
      </c>
      <c r="AA460" s="14">
        <f t="shared" si="821"/>
        <v>0.35483870967741937</v>
      </c>
      <c r="AB460" s="15" t="s">
        <v>379</v>
      </c>
      <c r="AC460" s="113"/>
      <c r="AD460" s="147"/>
      <c r="AE460" s="13">
        <v>8789</v>
      </c>
      <c r="AF460" s="53">
        <f t="shared" si="822"/>
        <v>81</v>
      </c>
      <c r="AG460" s="13">
        <v>199</v>
      </c>
      <c r="AH460" s="13">
        <f t="shared" si="823"/>
        <v>2</v>
      </c>
      <c r="AI460" s="13">
        <v>16</v>
      </c>
      <c r="AJ460" s="13">
        <f t="shared" si="824"/>
        <v>2</v>
      </c>
      <c r="AK460" s="17">
        <v>0</v>
      </c>
      <c r="AL460" s="56" t="str">
        <f>IF(AE460="","",AL456)</f>
        <v>サンリオホワイトマスコット</v>
      </c>
      <c r="AM460" s="54">
        <f>IF(AF460="","",AM456)</f>
        <v>660</v>
      </c>
      <c r="AN460" s="13">
        <f t="shared" si="826"/>
        <v>1320</v>
      </c>
      <c r="AO460" s="14">
        <f t="shared" si="827"/>
        <v>0.16296296296296298</v>
      </c>
      <c r="AP460" s="15"/>
      <c r="AQ460" s="15"/>
      <c r="AR460" s="16"/>
      <c r="AS460" s="13">
        <v>6639</v>
      </c>
      <c r="AT460" s="53">
        <f t="shared" si="828"/>
        <v>71</v>
      </c>
      <c r="AU460" s="13">
        <v>324</v>
      </c>
      <c r="AV460" s="13">
        <f t="shared" si="829"/>
        <v>4</v>
      </c>
      <c r="AW460" s="13">
        <v>29</v>
      </c>
      <c r="AX460" s="13">
        <f t="shared" si="830"/>
        <v>5</v>
      </c>
      <c r="AY460" s="17">
        <v>0</v>
      </c>
      <c r="AZ460" s="56" t="str">
        <f t="shared" si="833"/>
        <v>ねこアイシャドウ</v>
      </c>
      <c r="BA460" s="54">
        <f t="shared" si="834"/>
        <v>1000</v>
      </c>
      <c r="BB460" s="13">
        <f t="shared" si="831"/>
        <v>5000</v>
      </c>
      <c r="BC460" s="14">
        <f t="shared" si="832"/>
        <v>0.70422535211267601</v>
      </c>
      <c r="BD460" s="15"/>
      <c r="BT460" s="15"/>
      <c r="BU460" s="79" t="str">
        <f>IF($A466="","",$A466)</f>
        <v/>
      </c>
      <c r="BV460" s="13"/>
      <c r="BW460" s="13" t="str">
        <f>IF(BV460="","",BV460-BV459)</f>
        <v/>
      </c>
      <c r="BX460" s="13"/>
      <c r="BY460" s="13" t="str">
        <f>IF(BX460="","",BX460-BX459)</f>
        <v/>
      </c>
      <c r="BZ460" s="13"/>
      <c r="CA460" s="13" t="str">
        <f>IF(BZ460="","",BZ459+CB459-BZ460)</f>
        <v/>
      </c>
      <c r="CB460" s="13"/>
      <c r="CC460" s="53"/>
      <c r="CD460" s="53" t="str">
        <f>IF(BV460="","",CD459)</f>
        <v/>
      </c>
      <c r="CE460" s="13" t="str">
        <f>IF(CD460="","",CA460*CD460)</f>
        <v/>
      </c>
      <c r="CF460" s="14" t="str">
        <f>IF(CE460="","",CE460/(BV460*100))</f>
        <v/>
      </c>
      <c r="CG460" s="67"/>
      <c r="CH460" s="1"/>
      <c r="CI460" s="79" t="str">
        <f>IF($A466="","",$A466)</f>
        <v/>
      </c>
      <c r="CJ460" s="13"/>
      <c r="CK460" s="13" t="str">
        <f>IF(CJ460="","",CJ460-CJ459)</f>
        <v/>
      </c>
      <c r="CL460" s="13"/>
      <c r="CM460" s="13" t="str">
        <f>IF(CL460="","",CL460-CL459)</f>
        <v/>
      </c>
      <c r="CN460" s="13"/>
      <c r="CO460" s="13" t="str">
        <f>IF(CN460="","",CN459+CP459-CN460)</f>
        <v/>
      </c>
      <c r="CP460" s="13"/>
      <c r="CQ460" s="53"/>
      <c r="CR460" s="53" t="str">
        <f>IF(CJ460="","",CR459)</f>
        <v/>
      </c>
      <c r="CS460" s="13" t="str">
        <f>IF(CR460="","",CO460*CR460)</f>
        <v/>
      </c>
      <c r="CT460" s="14" t="str">
        <f t="shared" si="836"/>
        <v/>
      </c>
      <c r="CU460" s="15"/>
      <c r="CV460" s="1"/>
      <c r="CW460" s="79" t="str">
        <f>IF($A466="","",$A466)</f>
        <v/>
      </c>
      <c r="CX460" s="13"/>
      <c r="CY460" s="13" t="str">
        <f>IF(CX460="","",CX460-CX459)</f>
        <v/>
      </c>
      <c r="CZ460" s="13"/>
      <c r="DA460" s="13" t="str">
        <f>IF(CZ460="","",CZ460-CZ459)</f>
        <v/>
      </c>
      <c r="DB460" s="13"/>
      <c r="DC460" s="13" t="str">
        <f>IF(DB460="","",DB459+DD459-DB460)</f>
        <v/>
      </c>
      <c r="DD460" s="13"/>
      <c r="DE460" s="53"/>
      <c r="DF460" s="53" t="str">
        <f>IF(CX460="","",DF459)</f>
        <v/>
      </c>
      <c r="DG460" s="13" t="str">
        <f>IF(DF460="","",DC460*DF460)</f>
        <v/>
      </c>
      <c r="DH460" s="14" t="str">
        <f>IF(DG460="","",DG460/(CY460*100))</f>
        <v/>
      </c>
      <c r="DI460" s="15"/>
      <c r="DJ460" s="1"/>
      <c r="DK460" s="79" t="str">
        <f>IF($A466="","",$A466)</f>
        <v/>
      </c>
      <c r="DL460" s="13"/>
      <c r="DM460" s="13" t="str">
        <f>IF(DL460="","",DL460-DL459)</f>
        <v/>
      </c>
      <c r="DN460" s="13"/>
      <c r="DO460" s="13" t="str">
        <f>IF(DN460="","",DN460-DN459)</f>
        <v/>
      </c>
      <c r="DP460" s="13"/>
      <c r="DQ460" s="13" t="str">
        <f>IF(DP460="","",DP459+DR459-DP460)</f>
        <v/>
      </c>
      <c r="DR460" s="13"/>
      <c r="DS460" s="53"/>
      <c r="DT460" s="53" t="str">
        <f>IF(DL460="","",DT459)</f>
        <v/>
      </c>
      <c r="DU460" s="13" t="str">
        <f>IF(DT460="","",DQ460*DT460)</f>
        <v/>
      </c>
      <c r="DV460" s="14" t="str">
        <f>IF(DU460="","",DU460/(DM460*100))</f>
        <v/>
      </c>
      <c r="DW460" s="15"/>
    </row>
    <row r="461" spans="1:127" x14ac:dyDescent="0.2">
      <c r="A461" s="33"/>
      <c r="B461" s="48"/>
      <c r="C461" s="34">
        <v>9522</v>
      </c>
      <c r="D461" s="53">
        <f t="shared" si="809"/>
        <v>109</v>
      </c>
      <c r="E461" s="34">
        <v>565</v>
      </c>
      <c r="F461" s="13">
        <f t="shared" si="810"/>
        <v>5</v>
      </c>
      <c r="G461" s="34">
        <v>115</v>
      </c>
      <c r="H461" s="13">
        <f t="shared" si="811"/>
        <v>5</v>
      </c>
      <c r="I461" s="49">
        <v>1</v>
      </c>
      <c r="J461" s="56" t="str">
        <f t="shared" si="812"/>
        <v>AIモンスタラバー</v>
      </c>
      <c r="K461" s="13">
        <f t="shared" si="813"/>
        <v>200</v>
      </c>
      <c r="L461" s="13">
        <f t="shared" si="814"/>
        <v>1000</v>
      </c>
      <c r="M461" s="14">
        <f t="shared" si="815"/>
        <v>9.1743119266055051E-2</v>
      </c>
      <c r="N461" s="15"/>
      <c r="O461" s="2"/>
      <c r="P461" s="33"/>
      <c r="Q461" s="34">
        <v>6753</v>
      </c>
      <c r="R461" s="53">
        <f t="shared" si="816"/>
        <v>110</v>
      </c>
      <c r="S461" s="34">
        <v>113</v>
      </c>
      <c r="T461" s="13">
        <f t="shared" si="817"/>
        <v>4</v>
      </c>
      <c r="U461" s="34">
        <v>80</v>
      </c>
      <c r="V461" s="13">
        <f t="shared" si="818"/>
        <v>5</v>
      </c>
      <c r="W461" s="49">
        <v>16</v>
      </c>
      <c r="X461" s="56" t="str">
        <f t="shared" ref="X461:X476" si="838">IF(Q461="","",X457)</f>
        <v>アングリーキーホルダー</v>
      </c>
      <c r="Y461" s="13">
        <f t="shared" si="837"/>
        <v>100</v>
      </c>
      <c r="Z461" s="13">
        <f t="shared" si="820"/>
        <v>500</v>
      </c>
      <c r="AA461" s="14">
        <f t="shared" si="821"/>
        <v>4.5454545454545456E-2</v>
      </c>
      <c r="AB461" s="15"/>
      <c r="AC461" s="84"/>
      <c r="AD461" s="33"/>
      <c r="AE461" s="34">
        <v>10310</v>
      </c>
      <c r="AF461" s="53">
        <f t="shared" si="822"/>
        <v>118</v>
      </c>
      <c r="AG461" s="34">
        <v>289</v>
      </c>
      <c r="AH461" s="13">
        <f t="shared" si="823"/>
        <v>0</v>
      </c>
      <c r="AI461" s="34">
        <v>34</v>
      </c>
      <c r="AJ461" s="13">
        <f t="shared" si="824"/>
        <v>1</v>
      </c>
      <c r="AK461" s="49">
        <v>0</v>
      </c>
      <c r="AL461" s="56" t="s">
        <v>375</v>
      </c>
      <c r="AM461" s="13">
        <v>600</v>
      </c>
      <c r="AN461" s="13">
        <f t="shared" si="826"/>
        <v>600</v>
      </c>
      <c r="AO461" s="14">
        <f t="shared" si="827"/>
        <v>5.0847457627118647E-2</v>
      </c>
      <c r="AP461" s="15"/>
      <c r="AQ461" s="15"/>
      <c r="AR461" s="33"/>
      <c r="AS461" s="34">
        <v>12595</v>
      </c>
      <c r="AT461" s="53">
        <f t="shared" si="828"/>
        <v>117</v>
      </c>
      <c r="AU461" s="34">
        <v>457</v>
      </c>
      <c r="AV461" s="13">
        <f t="shared" si="829"/>
        <v>2</v>
      </c>
      <c r="AW461" s="34">
        <v>22</v>
      </c>
      <c r="AX461" s="13">
        <f t="shared" si="830"/>
        <v>4</v>
      </c>
      <c r="AY461" s="49">
        <v>1</v>
      </c>
      <c r="AZ461" s="56" t="str">
        <f t="shared" si="833"/>
        <v>ラブブキーホルダーおおきめ</v>
      </c>
      <c r="BA461" s="13">
        <f t="shared" si="834"/>
        <v>500</v>
      </c>
      <c r="BB461" s="13">
        <f t="shared" si="831"/>
        <v>2000</v>
      </c>
      <c r="BC461" s="14">
        <f t="shared" si="832"/>
        <v>0.17094017094017094</v>
      </c>
      <c r="BD461" s="15"/>
      <c r="BT461" s="15"/>
      <c r="BU461" s="79"/>
      <c r="BV461" s="13"/>
      <c r="BW461" s="13"/>
      <c r="BX461" s="13"/>
      <c r="BY461" s="13"/>
      <c r="BZ461" s="13"/>
      <c r="CA461" s="13"/>
      <c r="CB461" s="13"/>
      <c r="CC461" s="53"/>
      <c r="CD461" s="53"/>
      <c r="CE461" s="13"/>
      <c r="CF461" s="14" t="str">
        <f>IF(CE461="","",CE461/(BV461*100))</f>
        <v/>
      </c>
      <c r="CG461" s="67"/>
      <c r="CH461" s="1"/>
      <c r="CI461" s="79"/>
      <c r="CJ461" s="13"/>
      <c r="CK461" s="13"/>
      <c r="CL461" s="13"/>
      <c r="CM461" s="13"/>
      <c r="CN461" s="13"/>
      <c r="CO461" s="13"/>
      <c r="CP461" s="13"/>
      <c r="CQ461" s="53"/>
      <c r="CR461" s="53"/>
      <c r="CS461" s="13"/>
      <c r="CT461" s="14" t="str">
        <f t="shared" si="836"/>
        <v/>
      </c>
      <c r="CU461" s="15"/>
      <c r="CV461" s="1"/>
      <c r="CW461" s="79"/>
      <c r="CX461" s="13"/>
      <c r="CY461" s="13"/>
      <c r="CZ461" s="13"/>
      <c r="DA461" s="13"/>
      <c r="DB461" s="13"/>
      <c r="DC461" s="13"/>
      <c r="DD461" s="13"/>
      <c r="DE461" s="53"/>
      <c r="DF461" s="53"/>
      <c r="DG461" s="13"/>
      <c r="DH461" s="14"/>
      <c r="DI461" s="15"/>
      <c r="DJ461" s="1"/>
      <c r="DK461" s="79"/>
      <c r="DL461" s="13"/>
      <c r="DM461" s="13"/>
      <c r="DN461" s="13"/>
      <c r="DO461" s="13"/>
      <c r="DP461" s="13"/>
      <c r="DQ461" s="13"/>
      <c r="DR461" s="13"/>
      <c r="DS461" s="53"/>
      <c r="DT461" s="53"/>
      <c r="DU461" s="13"/>
      <c r="DV461" s="14"/>
      <c r="DW461" s="15"/>
    </row>
    <row r="462" spans="1:127" ht="15" customHeight="1" thickBot="1" x14ac:dyDescent="0.25">
      <c r="A462" s="26"/>
      <c r="B462" s="46"/>
      <c r="C462" s="27">
        <v>4693</v>
      </c>
      <c r="D462" s="61">
        <f t="shared" si="809"/>
        <v>91</v>
      </c>
      <c r="E462" s="27">
        <v>406</v>
      </c>
      <c r="F462" s="27">
        <f t="shared" si="810"/>
        <v>6</v>
      </c>
      <c r="G462" s="27">
        <v>46</v>
      </c>
      <c r="H462" s="27">
        <f t="shared" si="811"/>
        <v>7</v>
      </c>
      <c r="I462" s="47">
        <v>0</v>
      </c>
      <c r="J462" s="57" t="str">
        <f t="shared" si="812"/>
        <v>NICIマスコット</v>
      </c>
      <c r="K462" s="62">
        <f t="shared" si="813"/>
        <v>900</v>
      </c>
      <c r="L462" s="27">
        <f t="shared" si="814"/>
        <v>6300</v>
      </c>
      <c r="M462" s="28">
        <f t="shared" si="815"/>
        <v>0.69230769230769229</v>
      </c>
      <c r="N462" s="15"/>
      <c r="O462" s="2"/>
      <c r="P462" s="26"/>
      <c r="Q462" s="27">
        <v>6161</v>
      </c>
      <c r="R462" s="61">
        <f t="shared" si="816"/>
        <v>188</v>
      </c>
      <c r="S462" s="27">
        <v>105</v>
      </c>
      <c r="T462" s="27">
        <f t="shared" si="817"/>
        <v>2</v>
      </c>
      <c r="U462" s="27">
        <v>8</v>
      </c>
      <c r="V462" s="27">
        <f t="shared" si="818"/>
        <v>2</v>
      </c>
      <c r="W462" s="47">
        <v>3</v>
      </c>
      <c r="X462" s="57" t="str">
        <f t="shared" si="838"/>
        <v>ＡＩマスコット</v>
      </c>
      <c r="Y462" s="62">
        <f t="shared" si="837"/>
        <v>286</v>
      </c>
      <c r="Z462" s="27">
        <f t="shared" si="820"/>
        <v>572</v>
      </c>
      <c r="AA462" s="28">
        <f t="shared" si="821"/>
        <v>3.0425531914893618E-2</v>
      </c>
      <c r="AB462" s="15"/>
      <c r="AC462" s="15"/>
      <c r="AD462" s="26"/>
      <c r="AE462" s="27">
        <v>10245</v>
      </c>
      <c r="AF462" s="61">
        <f t="shared" si="822"/>
        <v>107</v>
      </c>
      <c r="AG462" s="27">
        <v>276</v>
      </c>
      <c r="AH462" s="27">
        <f t="shared" si="823"/>
        <v>3</v>
      </c>
      <c r="AI462" s="27">
        <v>10</v>
      </c>
      <c r="AJ462" s="27">
        <f t="shared" si="824"/>
        <v>3</v>
      </c>
      <c r="AK462" s="47">
        <v>4</v>
      </c>
      <c r="AL462" s="57" t="str">
        <f t="shared" ref="AL462:AM466" si="839">IF(AE462="","",AL458)</f>
        <v>モンチッチマスコット2</v>
      </c>
      <c r="AM462" s="62">
        <f t="shared" si="839"/>
        <v>540</v>
      </c>
      <c r="AN462" s="27">
        <f t="shared" si="826"/>
        <v>1620</v>
      </c>
      <c r="AO462" s="28">
        <f t="shared" si="827"/>
        <v>0.15140186915887852</v>
      </c>
      <c r="AP462" s="15"/>
      <c r="AQ462" s="15"/>
      <c r="AR462" s="26"/>
      <c r="AS462" s="27">
        <v>12966</v>
      </c>
      <c r="AT462" s="61">
        <f t="shared" si="828"/>
        <v>240</v>
      </c>
      <c r="AU462" s="27">
        <v>388</v>
      </c>
      <c r="AV462" s="27">
        <f t="shared" si="829"/>
        <v>6</v>
      </c>
      <c r="AW462" s="27">
        <v>20</v>
      </c>
      <c r="AX462" s="27">
        <f t="shared" si="830"/>
        <v>6</v>
      </c>
      <c r="AY462" s="47">
        <v>8</v>
      </c>
      <c r="AZ462" s="57" t="str">
        <f t="shared" si="833"/>
        <v>ラブブマスコット</v>
      </c>
      <c r="BA462" s="62">
        <f t="shared" si="834"/>
        <v>400</v>
      </c>
      <c r="BB462" s="27">
        <f t="shared" si="831"/>
        <v>2400</v>
      </c>
      <c r="BC462" s="28">
        <f t="shared" si="832"/>
        <v>0.1</v>
      </c>
      <c r="BD462" s="15"/>
      <c r="BT462" s="15"/>
      <c r="BU462" s="79"/>
      <c r="BV462" s="13"/>
      <c r="BW462" s="13" t="str">
        <f>IF(BV462="","",BV462-BV463)</f>
        <v/>
      </c>
      <c r="BX462" s="13"/>
      <c r="BY462" s="13" t="str">
        <f>IF(BX462="","",BX462-BX463)</f>
        <v/>
      </c>
      <c r="BZ462" s="13"/>
      <c r="CA462" s="13" t="str">
        <f>IF(BZ462="","",BZ463+CB463-BZ462)</f>
        <v/>
      </c>
      <c r="CB462" s="13"/>
      <c r="CC462" s="53"/>
      <c r="CD462" s="53" t="str">
        <f>IF(BV462="","",CD463)</f>
        <v/>
      </c>
      <c r="CE462" s="13" t="str">
        <f t="shared" ref="CE462:CE494" si="840">IF(CD462="","",CA462*CD462)</f>
        <v/>
      </c>
      <c r="CF462" s="14" t="str">
        <f t="shared" ref="CF462:CF494" si="841">IF(CE462="","",CE462/(BW462*100))</f>
        <v/>
      </c>
      <c r="CG462" s="67"/>
      <c r="CH462" s="1"/>
      <c r="CI462" s="79"/>
      <c r="CJ462" s="13"/>
      <c r="CK462" s="13" t="str">
        <f>IF(CJ462="","",CJ462-CJ463)</f>
        <v/>
      </c>
      <c r="CL462" s="13"/>
      <c r="CM462" s="13" t="str">
        <f>IF(CL462="","",CL462-CL463)</f>
        <v/>
      </c>
      <c r="CN462" s="13"/>
      <c r="CO462" s="13" t="str">
        <f>IF(CN462="","",CN463+CP463-CN462)</f>
        <v/>
      </c>
      <c r="CP462" s="13"/>
      <c r="CQ462" s="53"/>
      <c r="CR462" s="53" t="str">
        <f>IF(CJ462="","",CR463)</f>
        <v/>
      </c>
      <c r="CS462" s="13" t="str">
        <f t="shared" ref="CS462:CS494" si="842">IF(CR462="","",CO462*CR462)</f>
        <v/>
      </c>
      <c r="CT462" s="14" t="str">
        <f t="shared" si="836"/>
        <v/>
      </c>
      <c r="CU462" s="15"/>
      <c r="CV462" s="1"/>
      <c r="CW462" s="79"/>
      <c r="CX462" s="13"/>
      <c r="CY462" s="13" t="str">
        <f>IF(CX462="","",CX462-CX463)</f>
        <v/>
      </c>
      <c r="CZ462" s="13"/>
      <c r="DA462" s="13" t="str">
        <f>IF(CZ462="","",CZ462-CZ463)</f>
        <v/>
      </c>
      <c r="DB462" s="13"/>
      <c r="DC462" s="13" t="str">
        <f>IF(DB462="","",DB463+DD463-DB462)</f>
        <v/>
      </c>
      <c r="DD462" s="13"/>
      <c r="DE462" s="53"/>
      <c r="DF462" s="53" t="str">
        <f>IF(CX462="","",DF463)</f>
        <v/>
      </c>
      <c r="DG462" s="13" t="str">
        <f t="shared" ref="DG462:DG494" si="843">IF(DF462="","",DC462*DF462)</f>
        <v/>
      </c>
      <c r="DH462" s="14" t="str">
        <f t="shared" ref="DH462:DH494" si="844">IF(DG462="","",DG462/(CY462*100))</f>
        <v/>
      </c>
      <c r="DI462" s="15"/>
      <c r="DJ462" s="1"/>
      <c r="DK462" s="79"/>
      <c r="DL462" s="13"/>
      <c r="DM462" s="13" t="str">
        <f>IF(DL462="","",DL462-DL463)</f>
        <v/>
      </c>
      <c r="DN462" s="13"/>
      <c r="DO462" s="13" t="str">
        <f>IF(DN462="","",DN462-DN463)</f>
        <v/>
      </c>
      <c r="DP462" s="13"/>
      <c r="DQ462" s="13" t="str">
        <f>IF(DP462="","",DP463+DR463-DP462)</f>
        <v/>
      </c>
      <c r="DR462" s="13"/>
      <c r="DS462" s="53"/>
      <c r="DT462" s="53" t="str">
        <f>IF(DL462="","",DT463)</f>
        <v/>
      </c>
      <c r="DU462" s="13" t="str">
        <f t="shared" ref="DU462:DU494" si="845">IF(DT462="","",DQ462*DT462)</f>
        <v/>
      </c>
      <c r="DV462" s="14" t="str">
        <f t="shared" ref="DV462:DV494" si="846">IF(DU462="","",DU462/(DM462*100))</f>
        <v/>
      </c>
      <c r="DW462" s="15"/>
    </row>
    <row r="463" spans="1:127" ht="15" customHeight="1" thickTop="1" x14ac:dyDescent="0.2">
      <c r="A463" s="79">
        <v>45992</v>
      </c>
      <c r="B463" s="74">
        <f>IF(A463="","",SUM(D463:D466)+SUM(R463:R466)+SUM(AF463:AF466)+SUM(AT463:AT466)+SUM(BW451,CK451,CY451,DM451))</f>
        <v>2463</v>
      </c>
      <c r="C463" s="53">
        <v>3857</v>
      </c>
      <c r="D463" s="53">
        <f t="shared" si="809"/>
        <v>124</v>
      </c>
      <c r="E463" s="53">
        <v>314</v>
      </c>
      <c r="F463" s="31">
        <f t="shared" si="810"/>
        <v>3</v>
      </c>
      <c r="G463" s="53">
        <v>6</v>
      </c>
      <c r="H463" s="53">
        <f t="shared" si="811"/>
        <v>3</v>
      </c>
      <c r="I463" s="80">
        <v>0</v>
      </c>
      <c r="J463" s="75" t="s">
        <v>383</v>
      </c>
      <c r="K463" s="76"/>
      <c r="L463" s="31">
        <f t="shared" si="814"/>
        <v>0</v>
      </c>
      <c r="M463" s="32">
        <f t="shared" si="815"/>
        <v>0</v>
      </c>
      <c r="N463" s="156" t="s">
        <v>380</v>
      </c>
      <c r="O463" s="2"/>
      <c r="P463" s="79">
        <f>IF($A463="","",$A463)</f>
        <v>45992</v>
      </c>
      <c r="Q463" s="53">
        <v>3929</v>
      </c>
      <c r="R463" s="53">
        <f t="shared" si="816"/>
        <v>188</v>
      </c>
      <c r="S463" s="53">
        <v>131</v>
      </c>
      <c r="T463" s="31">
        <f t="shared" si="817"/>
        <v>4</v>
      </c>
      <c r="U463" s="53">
        <v>15</v>
      </c>
      <c r="V463" s="53">
        <f t="shared" si="818"/>
        <v>4</v>
      </c>
      <c r="W463" s="53">
        <v>0</v>
      </c>
      <c r="X463" s="75" t="str">
        <f t="shared" si="838"/>
        <v>ジャグラーイヤホン</v>
      </c>
      <c r="Y463" s="76">
        <f t="shared" si="837"/>
        <v>1100</v>
      </c>
      <c r="Z463" s="31">
        <f t="shared" si="820"/>
        <v>4400</v>
      </c>
      <c r="AA463" s="32">
        <f t="shared" si="821"/>
        <v>0.23404255319148937</v>
      </c>
      <c r="AB463" s="15"/>
      <c r="AC463" s="15"/>
      <c r="AD463" s="79">
        <f>IF($A463="","",$A463)</f>
        <v>45992</v>
      </c>
      <c r="AE463" s="53">
        <v>9084</v>
      </c>
      <c r="AF463" s="53">
        <f t="shared" si="822"/>
        <v>45</v>
      </c>
      <c r="AG463" s="53">
        <v>201</v>
      </c>
      <c r="AH463" s="31">
        <f t="shared" si="823"/>
        <v>0</v>
      </c>
      <c r="AI463" s="53">
        <v>10</v>
      </c>
      <c r="AJ463" s="53">
        <f t="shared" si="824"/>
        <v>0</v>
      </c>
      <c r="AK463" s="80">
        <v>2</v>
      </c>
      <c r="AL463" s="75" t="str">
        <f t="shared" si="839"/>
        <v>キティシリコンがま口</v>
      </c>
      <c r="AM463" s="76">
        <f t="shared" si="839"/>
        <v>1009</v>
      </c>
      <c r="AN463" s="31">
        <f t="shared" si="826"/>
        <v>0</v>
      </c>
      <c r="AO463" s="32">
        <f t="shared" si="827"/>
        <v>0</v>
      </c>
      <c r="AP463" s="15" t="s">
        <v>381</v>
      </c>
      <c r="AQ463" s="15"/>
      <c r="AR463" s="79">
        <f>IF($A463="","",$A463)</f>
        <v>45992</v>
      </c>
      <c r="AS463" s="53">
        <v>9653</v>
      </c>
      <c r="AT463" s="53">
        <f t="shared" si="828"/>
        <v>160</v>
      </c>
      <c r="AU463" s="53">
        <v>296</v>
      </c>
      <c r="AV463" s="31">
        <f t="shared" si="829"/>
        <v>1</v>
      </c>
      <c r="AW463" s="53">
        <v>16</v>
      </c>
      <c r="AX463" s="53">
        <f t="shared" si="830"/>
        <v>1</v>
      </c>
      <c r="AY463" s="80">
        <v>1</v>
      </c>
      <c r="AZ463" s="75" t="str">
        <f t="shared" si="833"/>
        <v>サンリオヒョウ柄キーケース</v>
      </c>
      <c r="BA463" s="76">
        <f t="shared" si="834"/>
        <v>700</v>
      </c>
      <c r="BB463" s="31">
        <f t="shared" si="831"/>
        <v>700</v>
      </c>
      <c r="BC463" s="32">
        <f t="shared" si="832"/>
        <v>4.3749999999999997E-2</v>
      </c>
      <c r="BD463" s="15"/>
      <c r="BT463" s="15"/>
      <c r="BU463" s="79"/>
      <c r="BV463" s="13"/>
      <c r="BW463" s="13" t="str">
        <f>IF(BV463="","",BV463-BV460)</f>
        <v/>
      </c>
      <c r="BX463" s="13"/>
      <c r="BY463" s="13" t="str">
        <f>IF(BX463="","",BX463-BX460)</f>
        <v/>
      </c>
      <c r="BZ463" s="13"/>
      <c r="CA463" s="13" t="str">
        <f>IF(BZ463="","",BZ460+CB460-BZ463)</f>
        <v/>
      </c>
      <c r="CB463" s="13"/>
      <c r="CC463" s="53"/>
      <c r="CD463" s="53" t="str">
        <f>IF(BV463="","",CD460)</f>
        <v/>
      </c>
      <c r="CE463" s="13" t="str">
        <f t="shared" si="840"/>
        <v/>
      </c>
      <c r="CF463" s="14" t="str">
        <f t="shared" si="841"/>
        <v/>
      </c>
      <c r="CG463" s="67"/>
      <c r="CH463" s="1"/>
      <c r="CI463" s="79"/>
      <c r="CJ463" s="13"/>
      <c r="CK463" s="13" t="str">
        <f>IF(CJ463="","",CJ463-CJ460)</f>
        <v/>
      </c>
      <c r="CL463" s="13"/>
      <c r="CM463" s="13" t="str">
        <f>IF(CL463="","",CL463-CL460)</f>
        <v/>
      </c>
      <c r="CN463" s="13"/>
      <c r="CO463" s="13" t="str">
        <f>IF(CN463="","",CN460+CP460-CN463)</f>
        <v/>
      </c>
      <c r="CP463" s="13"/>
      <c r="CQ463" s="53"/>
      <c r="CR463" s="53" t="str">
        <f>IF(CJ463="","",CR460)</f>
        <v/>
      </c>
      <c r="CS463" s="13" t="str">
        <f t="shared" si="842"/>
        <v/>
      </c>
      <c r="CT463" s="14" t="str">
        <f t="shared" si="836"/>
        <v/>
      </c>
      <c r="CU463" s="15"/>
      <c r="CV463" s="1"/>
      <c r="CW463" s="79"/>
      <c r="CX463" s="13"/>
      <c r="CY463" s="13" t="str">
        <f>IF(CX463="","",CX463-CX460)</f>
        <v/>
      </c>
      <c r="CZ463" s="13"/>
      <c r="DA463" s="13" t="str">
        <f>IF(CZ463="","",CZ463-CZ460)</f>
        <v/>
      </c>
      <c r="DB463" s="13"/>
      <c r="DC463" s="13" t="str">
        <f>IF(DB463="","",DB460+DD460-DB463)</f>
        <v/>
      </c>
      <c r="DD463" s="13"/>
      <c r="DE463" s="53"/>
      <c r="DF463" s="53" t="str">
        <f>IF(CX463="","",DF460)</f>
        <v/>
      </c>
      <c r="DG463" s="13" t="str">
        <f t="shared" si="843"/>
        <v/>
      </c>
      <c r="DH463" s="14" t="str">
        <f t="shared" si="844"/>
        <v/>
      </c>
      <c r="DI463" s="15"/>
      <c r="DJ463" s="1"/>
      <c r="DK463" s="79"/>
      <c r="DL463" s="13"/>
      <c r="DM463" s="13" t="str">
        <f>IF(DL463="","",DL463-DL460)</f>
        <v/>
      </c>
      <c r="DN463" s="13"/>
      <c r="DO463" s="13" t="str">
        <f>IF(DN463="","",DN463-DN460)</f>
        <v/>
      </c>
      <c r="DP463" s="13"/>
      <c r="DQ463" s="13" t="str">
        <f>IF(DP463="","",DP460+DR460-DP463)</f>
        <v/>
      </c>
      <c r="DR463" s="13"/>
      <c r="DS463" s="53"/>
      <c r="DT463" s="53" t="str">
        <f>IF(DL463="","",DT460)</f>
        <v/>
      </c>
      <c r="DU463" s="13" t="str">
        <f t="shared" si="845"/>
        <v/>
      </c>
      <c r="DV463" s="14" t="str">
        <f t="shared" si="846"/>
        <v/>
      </c>
      <c r="DW463" s="15"/>
    </row>
    <row r="464" spans="1:127" x14ac:dyDescent="0.2">
      <c r="A464" s="136"/>
      <c r="B464" s="11"/>
      <c r="C464" s="13">
        <v>3121</v>
      </c>
      <c r="D464" s="13">
        <f t="shared" si="809"/>
        <v>70</v>
      </c>
      <c r="E464" s="13">
        <v>338</v>
      </c>
      <c r="F464" s="13">
        <f t="shared" si="810"/>
        <v>2</v>
      </c>
      <c r="G464" s="13">
        <v>6</v>
      </c>
      <c r="H464" s="13">
        <f t="shared" si="811"/>
        <v>2</v>
      </c>
      <c r="I464" s="17">
        <v>0</v>
      </c>
      <c r="J464" s="56" t="str">
        <f t="shared" ref="J464:J475" si="847">IF(C464="","",J460)</f>
        <v>液晶デジカメ</v>
      </c>
      <c r="K464" s="54">
        <f t="shared" ref="K464:K475" si="848">IF(D464="","",K460)</f>
        <v>1075</v>
      </c>
      <c r="L464" s="13">
        <f t="shared" si="814"/>
        <v>2150</v>
      </c>
      <c r="M464" s="14">
        <f t="shared" si="815"/>
        <v>0.30714285714285716</v>
      </c>
      <c r="N464" s="156" t="s">
        <v>380</v>
      </c>
      <c r="O464" s="2"/>
      <c r="P464" s="79"/>
      <c r="Q464" s="13">
        <v>3235</v>
      </c>
      <c r="R464" s="13">
        <f t="shared" si="816"/>
        <v>79</v>
      </c>
      <c r="S464" s="13">
        <v>100</v>
      </c>
      <c r="T464" s="13">
        <f t="shared" si="817"/>
        <v>4</v>
      </c>
      <c r="U464" s="13">
        <v>20</v>
      </c>
      <c r="V464" s="13">
        <f t="shared" si="818"/>
        <v>3</v>
      </c>
      <c r="W464" s="13">
        <v>0</v>
      </c>
      <c r="X464" s="56" t="str">
        <f t="shared" si="838"/>
        <v>押忍番長ボタン</v>
      </c>
      <c r="Y464" s="54">
        <f t="shared" si="837"/>
        <v>1100</v>
      </c>
      <c r="Z464" s="13">
        <f t="shared" si="820"/>
        <v>3300</v>
      </c>
      <c r="AA464" s="14">
        <f t="shared" si="821"/>
        <v>0.41772151898734178</v>
      </c>
      <c r="AB464" s="15" t="s">
        <v>49</v>
      </c>
      <c r="AC464" s="15"/>
      <c r="AD464" s="79"/>
      <c r="AE464" s="13">
        <v>8836</v>
      </c>
      <c r="AF464" s="13">
        <f t="shared" si="822"/>
        <v>47</v>
      </c>
      <c r="AG464" s="13">
        <v>201</v>
      </c>
      <c r="AH464" s="13">
        <f t="shared" si="823"/>
        <v>2</v>
      </c>
      <c r="AI464" s="13">
        <v>14</v>
      </c>
      <c r="AJ464" s="13">
        <f t="shared" si="824"/>
        <v>2</v>
      </c>
      <c r="AK464" s="17">
        <v>1</v>
      </c>
      <c r="AL464" s="56" t="str">
        <f t="shared" si="839"/>
        <v>サンリオホワイトマスコット</v>
      </c>
      <c r="AM464" s="54">
        <f t="shared" si="839"/>
        <v>660</v>
      </c>
      <c r="AN464" s="13">
        <f t="shared" si="826"/>
        <v>1320</v>
      </c>
      <c r="AO464" s="14">
        <f t="shared" si="827"/>
        <v>0.28085106382978725</v>
      </c>
      <c r="AP464" s="15"/>
      <c r="AQ464" s="15"/>
      <c r="AR464" s="79"/>
      <c r="AS464" s="13">
        <v>6699</v>
      </c>
      <c r="AT464" s="13">
        <f t="shared" si="828"/>
        <v>60</v>
      </c>
      <c r="AU464" s="13">
        <v>333</v>
      </c>
      <c r="AV464" s="13">
        <f t="shared" si="829"/>
        <v>9</v>
      </c>
      <c r="AW464" s="13">
        <v>25</v>
      </c>
      <c r="AX464" s="13">
        <f t="shared" si="830"/>
        <v>4</v>
      </c>
      <c r="AY464" s="17">
        <v>0</v>
      </c>
      <c r="AZ464" s="56" t="str">
        <f t="shared" si="833"/>
        <v>ねこアイシャドウ</v>
      </c>
      <c r="BA464" s="54">
        <f t="shared" si="834"/>
        <v>1000</v>
      </c>
      <c r="BB464" s="13">
        <f t="shared" si="831"/>
        <v>4000</v>
      </c>
      <c r="BC464" s="14">
        <f t="shared" si="832"/>
        <v>0.66666666666666663</v>
      </c>
      <c r="BD464" s="15"/>
      <c r="BT464" s="15"/>
      <c r="BU464" s="79"/>
      <c r="BV464" s="13"/>
      <c r="BW464" s="13" t="str">
        <f>IF(BV464="","",BV464-BV462)</f>
        <v/>
      </c>
      <c r="BX464" s="13"/>
      <c r="BY464" s="13" t="str">
        <f>IF(BX464="","",BX464-BX462)</f>
        <v/>
      </c>
      <c r="BZ464" s="13"/>
      <c r="CA464" s="13" t="str">
        <f>IF(BZ464="","",BZ462+CB462-BZ464)</f>
        <v/>
      </c>
      <c r="CB464" s="13"/>
      <c r="CC464" s="53"/>
      <c r="CD464" s="53" t="str">
        <f>IF(BV464="","",CD462)</f>
        <v/>
      </c>
      <c r="CE464" s="13" t="str">
        <f t="shared" si="840"/>
        <v/>
      </c>
      <c r="CF464" s="14" t="str">
        <f t="shared" si="841"/>
        <v/>
      </c>
      <c r="CG464" s="15"/>
      <c r="CH464" s="1"/>
      <c r="CI464" s="79"/>
      <c r="CJ464" s="13"/>
      <c r="CK464" s="13" t="str">
        <f>IF(CJ464="","",CJ464-CJ462)</f>
        <v/>
      </c>
      <c r="CL464" s="13"/>
      <c r="CM464" s="13" t="str">
        <f>IF(CL464="","",CL464-CL462)</f>
        <v/>
      </c>
      <c r="CN464" s="13"/>
      <c r="CO464" s="13" t="str">
        <f>IF(CN464="","",CN462+CP462-CN464)</f>
        <v/>
      </c>
      <c r="CP464" s="13"/>
      <c r="CQ464" s="53"/>
      <c r="CR464" s="53" t="str">
        <f>IF(CJ464="","",CR462)</f>
        <v/>
      </c>
      <c r="CS464" s="13" t="str">
        <f t="shared" si="842"/>
        <v/>
      </c>
      <c r="CT464" s="14" t="str">
        <f t="shared" si="836"/>
        <v/>
      </c>
      <c r="CU464" s="15"/>
      <c r="CV464" s="1"/>
      <c r="CW464" s="79"/>
      <c r="CX464" s="13"/>
      <c r="CY464" s="13" t="str">
        <f>IF(CX464="","",CX464-CX462)</f>
        <v/>
      </c>
      <c r="CZ464" s="13"/>
      <c r="DA464" s="13" t="str">
        <f>IF(CZ464="","",CZ464-CZ462)</f>
        <v/>
      </c>
      <c r="DB464" s="13"/>
      <c r="DC464" s="13" t="str">
        <f>IF(DB464="","",DB462+DD462-DB464)</f>
        <v/>
      </c>
      <c r="DD464" s="13"/>
      <c r="DE464" s="53"/>
      <c r="DF464" s="53" t="str">
        <f>IF(CX464="","",DF462)</f>
        <v/>
      </c>
      <c r="DG464" s="13" t="str">
        <f t="shared" si="843"/>
        <v/>
      </c>
      <c r="DH464" s="14" t="str">
        <f t="shared" si="844"/>
        <v/>
      </c>
      <c r="DI464" s="15"/>
      <c r="DJ464" s="1"/>
      <c r="DK464" s="79"/>
      <c r="DL464" s="13"/>
      <c r="DM464" s="13" t="str">
        <f>IF(DL464="","",DL464-DL462)</f>
        <v/>
      </c>
      <c r="DN464" s="13"/>
      <c r="DO464" s="13" t="str">
        <f>IF(DN464="","",DN464-DN462)</f>
        <v/>
      </c>
      <c r="DP464" s="13"/>
      <c r="DQ464" s="13" t="str">
        <f>IF(DP464="","",DP462+DR462-DP464)</f>
        <v/>
      </c>
      <c r="DR464" s="13"/>
      <c r="DS464" s="53"/>
      <c r="DT464" s="53" t="str">
        <f>IF(DL464="","",DT462)</f>
        <v/>
      </c>
      <c r="DU464" s="13" t="str">
        <f t="shared" si="845"/>
        <v/>
      </c>
      <c r="DV464" s="14" t="str">
        <f t="shared" si="846"/>
        <v/>
      </c>
      <c r="DW464" s="15"/>
    </row>
    <row r="465" spans="1:127" ht="15" customHeight="1" x14ac:dyDescent="0.2">
      <c r="A465" s="79"/>
      <c r="B465" s="11"/>
      <c r="C465" s="34">
        <v>9643</v>
      </c>
      <c r="D465" s="13">
        <f t="shared" si="809"/>
        <v>121</v>
      </c>
      <c r="E465" s="34">
        <v>567</v>
      </c>
      <c r="F465" s="13">
        <f t="shared" si="810"/>
        <v>2</v>
      </c>
      <c r="G465" s="34">
        <v>110</v>
      </c>
      <c r="H465" s="13">
        <f t="shared" si="811"/>
        <v>6</v>
      </c>
      <c r="I465" s="49">
        <v>30</v>
      </c>
      <c r="J465" s="56" t="str">
        <f t="shared" si="847"/>
        <v>AIモンスタラバー</v>
      </c>
      <c r="K465" s="13">
        <f t="shared" si="848"/>
        <v>200</v>
      </c>
      <c r="L465" s="13">
        <f t="shared" si="814"/>
        <v>1200</v>
      </c>
      <c r="M465" s="14">
        <f t="shared" si="815"/>
        <v>9.9173553719008267E-2</v>
      </c>
      <c r="N465" s="15"/>
      <c r="O465" s="2"/>
      <c r="P465" s="79"/>
      <c r="Q465" s="34">
        <v>6861</v>
      </c>
      <c r="R465" s="13">
        <f t="shared" si="816"/>
        <v>108</v>
      </c>
      <c r="S465" s="34">
        <v>119</v>
      </c>
      <c r="T465" s="13">
        <f t="shared" si="817"/>
        <v>6</v>
      </c>
      <c r="U465" s="34">
        <v>90</v>
      </c>
      <c r="V465" s="13">
        <f t="shared" si="818"/>
        <v>6</v>
      </c>
      <c r="W465" s="13">
        <v>0</v>
      </c>
      <c r="X465" s="56" t="str">
        <f t="shared" si="838"/>
        <v>アングリーキーホルダー</v>
      </c>
      <c r="Y465" s="13">
        <f t="shared" si="837"/>
        <v>100</v>
      </c>
      <c r="Z465" s="13">
        <f t="shared" si="820"/>
        <v>600</v>
      </c>
      <c r="AA465" s="14">
        <f t="shared" si="821"/>
        <v>5.5555555555555552E-2</v>
      </c>
      <c r="AB465" s="15"/>
      <c r="AC465" s="15"/>
      <c r="AD465" s="79"/>
      <c r="AE465" s="34">
        <v>10434</v>
      </c>
      <c r="AF465" s="13">
        <f t="shared" si="822"/>
        <v>124</v>
      </c>
      <c r="AG465" s="34">
        <v>291</v>
      </c>
      <c r="AH465" s="13">
        <f t="shared" si="823"/>
        <v>2</v>
      </c>
      <c r="AI465" s="34">
        <v>32</v>
      </c>
      <c r="AJ465" s="13">
        <f t="shared" si="824"/>
        <v>2</v>
      </c>
      <c r="AK465" s="49">
        <v>0</v>
      </c>
      <c r="AL465" s="56" t="str">
        <f t="shared" si="839"/>
        <v>ゲームアーク</v>
      </c>
      <c r="AM465" s="13">
        <f t="shared" si="839"/>
        <v>600</v>
      </c>
      <c r="AN465" s="13">
        <f t="shared" si="826"/>
        <v>1200</v>
      </c>
      <c r="AO465" s="14">
        <f t="shared" si="827"/>
        <v>9.6774193548387094E-2</v>
      </c>
      <c r="AP465" s="15"/>
      <c r="AQ465" s="15"/>
      <c r="AR465" s="79"/>
      <c r="AS465" s="34">
        <v>12770</v>
      </c>
      <c r="AT465" s="13">
        <f t="shared" si="828"/>
        <v>175</v>
      </c>
      <c r="AU465" s="34">
        <v>457</v>
      </c>
      <c r="AV465" s="13">
        <f t="shared" si="829"/>
        <v>0</v>
      </c>
      <c r="AW465" s="34">
        <v>22</v>
      </c>
      <c r="AX465" s="13">
        <f t="shared" si="830"/>
        <v>1</v>
      </c>
      <c r="AY465" s="49">
        <v>0</v>
      </c>
      <c r="AZ465" s="56" t="str">
        <f t="shared" si="833"/>
        <v>ラブブキーホルダーおおきめ</v>
      </c>
      <c r="BA465" s="13">
        <f t="shared" si="834"/>
        <v>500</v>
      </c>
      <c r="BB465" s="13">
        <f t="shared" si="831"/>
        <v>500</v>
      </c>
      <c r="BC465" s="14">
        <f t="shared" si="832"/>
        <v>2.8571428571428571E-2</v>
      </c>
      <c r="BD465" s="15"/>
      <c r="BT465" s="15"/>
      <c r="BU465" s="79"/>
      <c r="BV465" s="13"/>
      <c r="BW465" s="13" t="str">
        <f>IF(BV465="","",BV465-#REF!)</f>
        <v/>
      </c>
      <c r="BX465" s="13"/>
      <c r="BY465" s="13" t="str">
        <f>IF(BX465="","",BX465-#REF!)</f>
        <v/>
      </c>
      <c r="BZ465" s="13"/>
      <c r="CA465" s="13" t="str">
        <f>IF(BZ465="","",#REF!+#REF!-BZ465)</f>
        <v/>
      </c>
      <c r="CB465" s="13"/>
      <c r="CC465" s="53"/>
      <c r="CD465" s="53" t="str">
        <f>IF(BV465="","",#REF!)</f>
        <v/>
      </c>
      <c r="CE465" s="13" t="str">
        <f t="shared" si="840"/>
        <v/>
      </c>
      <c r="CF465" s="14" t="str">
        <f t="shared" si="841"/>
        <v/>
      </c>
      <c r="CG465" s="15"/>
      <c r="CH465" s="1"/>
      <c r="CI465" s="79"/>
      <c r="CJ465" s="13"/>
      <c r="CK465" s="13" t="str">
        <f>IF(CJ465="","",CJ465-#REF!)</f>
        <v/>
      </c>
      <c r="CL465" s="13"/>
      <c r="CM465" s="13" t="str">
        <f>IF(CL465="","",CL465-#REF!)</f>
        <v/>
      </c>
      <c r="CN465" s="13"/>
      <c r="CO465" s="13" t="str">
        <f>IF(CN465="","",#REF!+#REF!-CN465)</f>
        <v/>
      </c>
      <c r="CP465" s="13"/>
      <c r="CQ465" s="53"/>
      <c r="CR465" s="53" t="str">
        <f>IF(CJ465="","",#REF!)</f>
        <v/>
      </c>
      <c r="CS465" s="13" t="str">
        <f t="shared" si="842"/>
        <v/>
      </c>
      <c r="CT465" s="14" t="str">
        <f t="shared" si="836"/>
        <v/>
      </c>
      <c r="CU465" s="15"/>
      <c r="CV465" s="1"/>
      <c r="CW465" s="79"/>
      <c r="CX465" s="13"/>
      <c r="CY465" s="13" t="str">
        <f>IF(CX465="","",CX465-#REF!)</f>
        <v/>
      </c>
      <c r="CZ465" s="13"/>
      <c r="DA465" s="13" t="str">
        <f>IF(CZ465="","",CZ465-#REF!)</f>
        <v/>
      </c>
      <c r="DB465" s="13"/>
      <c r="DC465" s="13" t="str">
        <f>IF(DB465="","",#REF!+#REF!-DB465)</f>
        <v/>
      </c>
      <c r="DD465" s="13"/>
      <c r="DE465" s="53"/>
      <c r="DF465" s="53" t="str">
        <f>IF(CX465="","",#REF!)</f>
        <v/>
      </c>
      <c r="DG465" s="13" t="str">
        <f t="shared" si="843"/>
        <v/>
      </c>
      <c r="DH465" s="14" t="str">
        <f t="shared" si="844"/>
        <v/>
      </c>
      <c r="DI465" s="15"/>
      <c r="DJ465" s="1"/>
      <c r="DK465" s="79"/>
      <c r="DL465" s="13"/>
      <c r="DM465" s="13" t="str">
        <f>IF(DL465="","",DL465-#REF!)</f>
        <v/>
      </c>
      <c r="DN465" s="13"/>
      <c r="DO465" s="13" t="str">
        <f>IF(DN465="","",DN465-#REF!)</f>
        <v/>
      </c>
      <c r="DP465" s="13"/>
      <c r="DQ465" s="13" t="str">
        <f>IF(DP465="","",#REF!+#REF!-DP465)</f>
        <v/>
      </c>
      <c r="DR465" s="13"/>
      <c r="DS465" s="53"/>
      <c r="DT465" s="53" t="str">
        <f>IF(DL465="","",#REF!)</f>
        <v/>
      </c>
      <c r="DU465" s="13" t="str">
        <f t="shared" si="845"/>
        <v/>
      </c>
      <c r="DV465" s="14" t="str">
        <f t="shared" si="846"/>
        <v/>
      </c>
      <c r="DW465" s="15"/>
    </row>
    <row r="466" spans="1:127" ht="15" customHeight="1" thickBot="1" x14ac:dyDescent="0.25">
      <c r="A466" s="26"/>
      <c r="B466" s="46"/>
      <c r="C466" s="27">
        <v>4752</v>
      </c>
      <c r="D466" s="27">
        <f t="shared" si="809"/>
        <v>59</v>
      </c>
      <c r="E466" s="27">
        <v>408</v>
      </c>
      <c r="F466" s="27">
        <f t="shared" si="810"/>
        <v>2</v>
      </c>
      <c r="G466" s="27">
        <v>44</v>
      </c>
      <c r="H466" s="27">
        <f t="shared" si="811"/>
        <v>2</v>
      </c>
      <c r="I466" s="47">
        <v>0</v>
      </c>
      <c r="J466" s="57" t="str">
        <f t="shared" si="847"/>
        <v>NICIマスコット</v>
      </c>
      <c r="K466" s="62">
        <f t="shared" si="848"/>
        <v>900</v>
      </c>
      <c r="L466" s="27">
        <f t="shared" si="814"/>
        <v>1800</v>
      </c>
      <c r="M466" s="28">
        <f t="shared" si="815"/>
        <v>0.30508474576271188</v>
      </c>
      <c r="N466" s="15"/>
      <c r="O466" s="2"/>
      <c r="P466" s="26"/>
      <c r="Q466" s="27">
        <v>6278</v>
      </c>
      <c r="R466" s="27">
        <f t="shared" si="816"/>
        <v>117</v>
      </c>
      <c r="S466" s="27">
        <v>107</v>
      </c>
      <c r="T466" s="27">
        <f t="shared" si="817"/>
        <v>2</v>
      </c>
      <c r="U466" s="27">
        <v>9</v>
      </c>
      <c r="V466" s="27">
        <f t="shared" si="818"/>
        <v>2</v>
      </c>
      <c r="W466" s="27">
        <v>1</v>
      </c>
      <c r="X466" s="57" t="str">
        <f t="shared" si="838"/>
        <v>ＡＩマスコット</v>
      </c>
      <c r="Y466" s="62">
        <f t="shared" si="837"/>
        <v>286</v>
      </c>
      <c r="Z466" s="27">
        <f t="shared" si="820"/>
        <v>572</v>
      </c>
      <c r="AA466" s="28">
        <f t="shared" si="821"/>
        <v>4.8888888888888891E-2</v>
      </c>
      <c r="AB466" s="15"/>
      <c r="AC466" s="15"/>
      <c r="AD466" s="26"/>
      <c r="AE466" s="27">
        <v>10372</v>
      </c>
      <c r="AF466" s="27">
        <f t="shared" si="822"/>
        <v>127</v>
      </c>
      <c r="AG466" s="27">
        <v>277</v>
      </c>
      <c r="AH466" s="27">
        <f t="shared" si="823"/>
        <v>1</v>
      </c>
      <c r="AI466" s="27">
        <v>13</v>
      </c>
      <c r="AJ466" s="27">
        <f t="shared" si="824"/>
        <v>1</v>
      </c>
      <c r="AK466" s="47">
        <v>0</v>
      </c>
      <c r="AL466" s="57" t="str">
        <f t="shared" si="839"/>
        <v>モンチッチマスコット2</v>
      </c>
      <c r="AM466" s="62">
        <f t="shared" si="839"/>
        <v>540</v>
      </c>
      <c r="AN466" s="27">
        <f t="shared" si="826"/>
        <v>540</v>
      </c>
      <c r="AO466" s="28">
        <f t="shared" si="827"/>
        <v>4.2519685039370078E-2</v>
      </c>
      <c r="AP466" s="15"/>
      <c r="AQ466" s="15"/>
      <c r="AR466" s="26"/>
      <c r="AS466" s="27">
        <v>13144</v>
      </c>
      <c r="AT466" s="27">
        <f t="shared" si="828"/>
        <v>178</v>
      </c>
      <c r="AU466" s="27">
        <v>392</v>
      </c>
      <c r="AV466" s="27">
        <f t="shared" si="829"/>
        <v>4</v>
      </c>
      <c r="AW466" s="27">
        <v>24</v>
      </c>
      <c r="AX466" s="27">
        <f t="shared" si="830"/>
        <v>4</v>
      </c>
      <c r="AY466" s="47">
        <v>4</v>
      </c>
      <c r="AZ466" s="57" t="str">
        <f t="shared" si="833"/>
        <v>ラブブマスコット</v>
      </c>
      <c r="BA466" s="62">
        <f t="shared" si="834"/>
        <v>400</v>
      </c>
      <c r="BB466" s="27">
        <f t="shared" si="831"/>
        <v>1600</v>
      </c>
      <c r="BC466" s="28">
        <f t="shared" si="832"/>
        <v>8.98876404494382E-2</v>
      </c>
      <c r="BD466" s="15"/>
      <c r="BT466" s="15"/>
      <c r="BU466" s="79"/>
      <c r="BV466" s="13"/>
      <c r="BW466" s="13" t="str">
        <f>IF(BV466="","",BV466-BV465)</f>
        <v/>
      </c>
      <c r="BX466" s="13"/>
      <c r="BY466" s="13" t="str">
        <f>IF(BX466="","",BX466-BX465)</f>
        <v/>
      </c>
      <c r="BZ466" s="13"/>
      <c r="CA466" s="13" t="str">
        <f>IF(BZ466="","",BZ465+CB465-BZ466)</f>
        <v/>
      </c>
      <c r="CB466" s="13"/>
      <c r="CC466" s="53"/>
      <c r="CD466" s="53" t="str">
        <f>IF(BV466="","",CD465)</f>
        <v/>
      </c>
      <c r="CE466" s="13" t="str">
        <f t="shared" si="840"/>
        <v/>
      </c>
      <c r="CF466" s="14" t="str">
        <f t="shared" si="841"/>
        <v/>
      </c>
      <c r="CG466" s="15"/>
      <c r="CH466" s="1"/>
      <c r="CI466" s="79"/>
      <c r="CJ466" s="13"/>
      <c r="CK466" s="13" t="str">
        <f>IF(CJ466="","",CJ466-CJ465)</f>
        <v/>
      </c>
      <c r="CL466" s="13"/>
      <c r="CM466" s="13" t="str">
        <f>IF(CL466="","",CL466-CL465)</f>
        <v/>
      </c>
      <c r="CN466" s="13"/>
      <c r="CO466" s="13" t="str">
        <f>IF(CN466="","",CN465+CP465-CN466)</f>
        <v/>
      </c>
      <c r="CP466" s="13"/>
      <c r="CQ466" s="53"/>
      <c r="CR466" s="53" t="str">
        <f>IF(CJ466="","",CR465)</f>
        <v/>
      </c>
      <c r="CS466" s="13" t="str">
        <f t="shared" si="842"/>
        <v/>
      </c>
      <c r="CT466" s="14" t="str">
        <f>IF(CS466="","",CS466/(CJ466*100))</f>
        <v/>
      </c>
      <c r="CU466" s="15"/>
      <c r="CV466" s="1"/>
      <c r="CW466" s="79"/>
      <c r="CX466" s="13"/>
      <c r="CY466" s="13" t="str">
        <f>IF(CX466="","",CX466-CX465)</f>
        <v/>
      </c>
      <c r="CZ466" s="13"/>
      <c r="DA466" s="13" t="str">
        <f>IF(CZ466="","",CZ466-CZ465)</f>
        <v/>
      </c>
      <c r="DB466" s="13"/>
      <c r="DC466" s="13" t="str">
        <f>IF(DB466="","",DB465+DD465-DB466)</f>
        <v/>
      </c>
      <c r="DD466" s="13"/>
      <c r="DE466" s="53"/>
      <c r="DF466" s="53" t="str">
        <f>IF(CX466="","",DF465)</f>
        <v/>
      </c>
      <c r="DG466" s="13" t="str">
        <f t="shared" si="843"/>
        <v/>
      </c>
      <c r="DH466" s="14" t="str">
        <f t="shared" si="844"/>
        <v/>
      </c>
      <c r="DI466" s="15"/>
      <c r="DJ466" s="1"/>
      <c r="DK466" s="79"/>
      <c r="DL466" s="13"/>
      <c r="DM466" s="13" t="str">
        <f>IF(DL466="","",DL466-DL465)</f>
        <v/>
      </c>
      <c r="DN466" s="13"/>
      <c r="DO466" s="13" t="str">
        <f>IF(DN466="","",DN466-DN465)</f>
        <v/>
      </c>
      <c r="DP466" s="13"/>
      <c r="DQ466" s="13" t="str">
        <f>IF(DP466="","",DP465+DR465-DP466)</f>
        <v/>
      </c>
      <c r="DR466" s="13"/>
      <c r="DS466" s="53"/>
      <c r="DT466" s="53" t="str">
        <f>IF(DL466="","",DT465)</f>
        <v/>
      </c>
      <c r="DU466" s="13" t="str">
        <f t="shared" si="845"/>
        <v/>
      </c>
      <c r="DV466" s="14" t="str">
        <f t="shared" si="846"/>
        <v/>
      </c>
      <c r="DW466" s="15"/>
    </row>
    <row r="467" spans="1:127" ht="15" customHeight="1" thickTop="1" x14ac:dyDescent="0.2">
      <c r="A467" s="79">
        <v>45996</v>
      </c>
      <c r="B467" s="151">
        <f>IF(A467="","",SUM(D467:D470)+SUM(R467:R470)+SUM(AF467:AF470)+SUM(AT467:AT470)+SUM(BW452,CK452,CY452,DM452))</f>
        <v>1647</v>
      </c>
      <c r="C467" s="53">
        <v>3962</v>
      </c>
      <c r="D467" s="53">
        <f t="shared" si="809"/>
        <v>105</v>
      </c>
      <c r="E467" s="53">
        <v>316</v>
      </c>
      <c r="F467" s="31">
        <f t="shared" si="810"/>
        <v>2</v>
      </c>
      <c r="G467" s="53">
        <v>4</v>
      </c>
      <c r="H467" s="53">
        <f t="shared" si="811"/>
        <v>2</v>
      </c>
      <c r="I467" s="80">
        <v>5</v>
      </c>
      <c r="J467" s="75" t="str">
        <f t="shared" si="847"/>
        <v>キティヒョウ柄ポーチ</v>
      </c>
      <c r="K467" s="76">
        <f t="shared" si="848"/>
        <v>0</v>
      </c>
      <c r="L467" s="31">
        <f t="shared" si="814"/>
        <v>0</v>
      </c>
      <c r="M467" s="32">
        <f t="shared" si="815"/>
        <v>0</v>
      </c>
      <c r="N467" s="15"/>
      <c r="O467" s="2"/>
      <c r="P467" s="79">
        <f>IF($A467="","",$A467)</f>
        <v>45996</v>
      </c>
      <c r="Q467" s="53">
        <v>3977</v>
      </c>
      <c r="R467" s="53">
        <f t="shared" si="816"/>
        <v>48</v>
      </c>
      <c r="S467" s="53">
        <v>133</v>
      </c>
      <c r="T467" s="31">
        <f t="shared" si="817"/>
        <v>2</v>
      </c>
      <c r="U467" s="53">
        <v>13</v>
      </c>
      <c r="V467" s="53">
        <f t="shared" si="818"/>
        <v>2</v>
      </c>
      <c r="W467" s="80">
        <v>0</v>
      </c>
      <c r="X467" s="75" t="str">
        <f t="shared" si="838"/>
        <v>ジャグラーイヤホン</v>
      </c>
      <c r="Y467" s="76">
        <f t="shared" si="837"/>
        <v>1100</v>
      </c>
      <c r="Z467" s="31">
        <f t="shared" si="820"/>
        <v>2200</v>
      </c>
      <c r="AA467" s="32">
        <f t="shared" si="821"/>
        <v>0.45833333333333331</v>
      </c>
      <c r="AB467" s="15"/>
      <c r="AC467" s="15"/>
      <c r="AD467" s="79">
        <f>IF($A467="","",$A467)</f>
        <v>45996</v>
      </c>
      <c r="AE467" s="53">
        <v>9211</v>
      </c>
      <c r="AF467" s="53">
        <f t="shared" si="822"/>
        <v>127</v>
      </c>
      <c r="AG467" s="53">
        <v>206</v>
      </c>
      <c r="AH467" s="31">
        <f t="shared" si="823"/>
        <v>5</v>
      </c>
      <c r="AI467" s="53">
        <v>9</v>
      </c>
      <c r="AJ467" s="53">
        <f t="shared" si="824"/>
        <v>3</v>
      </c>
      <c r="AK467" s="80">
        <v>0</v>
      </c>
      <c r="AL467" s="75" t="s">
        <v>384</v>
      </c>
      <c r="AM467" s="76">
        <v>1100</v>
      </c>
      <c r="AN467" s="31">
        <f t="shared" si="826"/>
        <v>3300</v>
      </c>
      <c r="AO467" s="32">
        <f t="shared" si="827"/>
        <v>0.25984251968503935</v>
      </c>
      <c r="AP467" s="15"/>
      <c r="AQ467" s="15"/>
      <c r="AR467" s="79">
        <f>IF($A467="","",$A467)</f>
        <v>45996</v>
      </c>
      <c r="AS467" s="53">
        <v>9803</v>
      </c>
      <c r="AT467" s="53">
        <f t="shared" si="828"/>
        <v>150</v>
      </c>
      <c r="AU467" s="53">
        <v>303</v>
      </c>
      <c r="AV467" s="31">
        <f t="shared" si="829"/>
        <v>7</v>
      </c>
      <c r="AW467" s="53">
        <v>14</v>
      </c>
      <c r="AX467" s="53">
        <f t="shared" si="830"/>
        <v>3</v>
      </c>
      <c r="AY467" s="80">
        <v>4</v>
      </c>
      <c r="AZ467" s="75" t="str">
        <f t="shared" si="833"/>
        <v>サンリオヒョウ柄キーケース</v>
      </c>
      <c r="BA467" s="76">
        <f t="shared" si="834"/>
        <v>700</v>
      </c>
      <c r="BB467" s="31">
        <f t="shared" si="831"/>
        <v>2100</v>
      </c>
      <c r="BC467" s="32">
        <f t="shared" si="832"/>
        <v>0.14000000000000001</v>
      </c>
      <c r="BD467" s="15"/>
      <c r="BT467" s="15"/>
      <c r="BU467" s="79"/>
      <c r="BV467" s="13"/>
      <c r="BW467" s="13" t="str">
        <f>IF(BV467="","",BV467-BV466)</f>
        <v/>
      </c>
      <c r="BX467" s="13"/>
      <c r="BY467" s="13" t="str">
        <f>IF(BX467="","",BX467-BX466)</f>
        <v/>
      </c>
      <c r="BZ467" s="13"/>
      <c r="CA467" s="13" t="str">
        <f>IF(BZ467="","",BZ466+CB466-BZ467)</f>
        <v/>
      </c>
      <c r="CB467" s="13"/>
      <c r="CC467" s="53"/>
      <c r="CD467" s="53" t="str">
        <f>IF(BV467="","",CD466)</f>
        <v/>
      </c>
      <c r="CE467" s="13" t="str">
        <f t="shared" si="840"/>
        <v/>
      </c>
      <c r="CF467" s="14" t="str">
        <f t="shared" si="841"/>
        <v/>
      </c>
      <c r="CG467" s="15"/>
      <c r="CH467" s="1"/>
      <c r="CI467" s="79"/>
      <c r="CJ467" s="13"/>
      <c r="CK467" s="13" t="str">
        <f>IF(CJ467="","",CJ467-CJ466)</f>
        <v/>
      </c>
      <c r="CL467" s="13"/>
      <c r="CM467" s="13" t="str">
        <f>IF(CL467="","",CL467-CL466)</f>
        <v/>
      </c>
      <c r="CN467" s="13"/>
      <c r="CO467" s="13" t="str">
        <f>IF(CN467="","",CN466+CP466-CN467)</f>
        <v/>
      </c>
      <c r="CP467" s="13"/>
      <c r="CQ467" s="53"/>
      <c r="CR467" s="53" t="str">
        <f>IF(CJ467="","",CR466)</f>
        <v/>
      </c>
      <c r="CS467" s="13" t="str">
        <f t="shared" si="842"/>
        <v/>
      </c>
      <c r="CT467" s="14" t="str">
        <f>IF(CS467="","",CS467/(CJ467*100))</f>
        <v/>
      </c>
      <c r="CU467" s="15"/>
      <c r="CV467" s="1"/>
      <c r="CW467" s="79"/>
      <c r="CX467" s="13"/>
      <c r="CY467" s="13" t="str">
        <f>IF(CX467="","",CX467-CX466)</f>
        <v/>
      </c>
      <c r="CZ467" s="13"/>
      <c r="DA467" s="13" t="str">
        <f>IF(CZ467="","",CZ467-CZ466)</f>
        <v/>
      </c>
      <c r="DB467" s="13"/>
      <c r="DC467" s="13" t="str">
        <f>IF(DB467="","",DB466+DD466-DB467)</f>
        <v/>
      </c>
      <c r="DD467" s="13"/>
      <c r="DE467" s="53"/>
      <c r="DF467" s="53" t="str">
        <f>IF(CX467="","",DF466)</f>
        <v/>
      </c>
      <c r="DG467" s="13" t="str">
        <f t="shared" si="843"/>
        <v/>
      </c>
      <c r="DH467" s="14" t="str">
        <f t="shared" si="844"/>
        <v/>
      </c>
      <c r="DI467" s="15"/>
      <c r="DJ467" s="1"/>
      <c r="DK467" s="79"/>
      <c r="DL467" s="13"/>
      <c r="DM467" s="13" t="str">
        <f>IF(DL467="","",DL467-DL466)</f>
        <v/>
      </c>
      <c r="DN467" s="13"/>
      <c r="DO467" s="13" t="str">
        <f>IF(DN467="","",DN467-DN466)</f>
        <v/>
      </c>
      <c r="DP467" s="13"/>
      <c r="DQ467" s="13" t="str">
        <f>IF(DP467="","",DP466+DR466-DP467)</f>
        <v/>
      </c>
      <c r="DR467" s="13"/>
      <c r="DS467" s="53"/>
      <c r="DT467" s="53" t="str">
        <f>IF(DL467="","",DT466)</f>
        <v/>
      </c>
      <c r="DU467" s="13" t="str">
        <f t="shared" si="845"/>
        <v/>
      </c>
      <c r="DV467" s="14" t="str">
        <f t="shared" si="846"/>
        <v/>
      </c>
      <c r="DW467" s="15"/>
    </row>
    <row r="468" spans="1:127" ht="15" customHeight="1" x14ac:dyDescent="0.2">
      <c r="A468" s="150"/>
      <c r="B468" s="152"/>
      <c r="C468" s="54">
        <v>3183</v>
      </c>
      <c r="D468" s="13">
        <f t="shared" si="809"/>
        <v>62</v>
      </c>
      <c r="E468" s="13">
        <v>340</v>
      </c>
      <c r="F468" s="13">
        <f t="shared" si="810"/>
        <v>2</v>
      </c>
      <c r="G468" s="13">
        <v>4</v>
      </c>
      <c r="H468" s="13">
        <f t="shared" si="811"/>
        <v>2</v>
      </c>
      <c r="I468" s="17">
        <v>16</v>
      </c>
      <c r="J468" s="56" t="str">
        <f t="shared" si="847"/>
        <v>液晶デジカメ</v>
      </c>
      <c r="K468" s="54">
        <f t="shared" si="848"/>
        <v>1075</v>
      </c>
      <c r="L468" s="13">
        <f t="shared" si="814"/>
        <v>2150</v>
      </c>
      <c r="M468" s="14">
        <f t="shared" si="815"/>
        <v>0.34677419354838712</v>
      </c>
      <c r="N468" s="15" t="s">
        <v>385</v>
      </c>
      <c r="O468" s="2"/>
      <c r="P468" s="16"/>
      <c r="Q468" s="54">
        <v>3276</v>
      </c>
      <c r="R468" s="13">
        <f t="shared" si="816"/>
        <v>41</v>
      </c>
      <c r="S468" s="13">
        <v>104</v>
      </c>
      <c r="T468" s="13">
        <f t="shared" si="817"/>
        <v>4</v>
      </c>
      <c r="U468" s="13">
        <v>15</v>
      </c>
      <c r="V468" s="13">
        <f t="shared" si="818"/>
        <v>5</v>
      </c>
      <c r="W468" s="17">
        <v>6</v>
      </c>
      <c r="X468" s="56" t="str">
        <f t="shared" si="838"/>
        <v>押忍番長ボタン</v>
      </c>
      <c r="Y468" s="54">
        <f t="shared" si="837"/>
        <v>1100</v>
      </c>
      <c r="Z468" s="13">
        <f t="shared" si="820"/>
        <v>5500</v>
      </c>
      <c r="AA468" s="14">
        <f t="shared" si="821"/>
        <v>1.3414634146341464</v>
      </c>
      <c r="AB468" s="15"/>
      <c r="AC468" s="15"/>
      <c r="AD468" s="16"/>
      <c r="AE468" s="54">
        <v>8952</v>
      </c>
      <c r="AF468" s="13">
        <f t="shared" si="822"/>
        <v>116</v>
      </c>
      <c r="AG468" s="13">
        <v>202</v>
      </c>
      <c r="AH468" s="13">
        <f t="shared" si="823"/>
        <v>1</v>
      </c>
      <c r="AI468" s="13">
        <v>14</v>
      </c>
      <c r="AJ468" s="13">
        <f t="shared" si="824"/>
        <v>1</v>
      </c>
      <c r="AK468" s="17">
        <v>0</v>
      </c>
      <c r="AL468" s="56" t="str">
        <f t="shared" ref="AL468:AM475" si="849">IF(AE468="","",AL464)</f>
        <v>サンリオホワイトマスコット</v>
      </c>
      <c r="AM468" s="54">
        <f t="shared" si="849"/>
        <v>660</v>
      </c>
      <c r="AN468" s="13">
        <f t="shared" si="826"/>
        <v>660</v>
      </c>
      <c r="AO468" s="14">
        <f t="shared" si="827"/>
        <v>5.6896551724137934E-2</v>
      </c>
      <c r="AP468" s="15"/>
      <c r="AQ468" s="15"/>
      <c r="AR468" s="16"/>
      <c r="AS468" s="54">
        <v>6744</v>
      </c>
      <c r="AT468" s="13">
        <f t="shared" si="828"/>
        <v>45</v>
      </c>
      <c r="AU468" s="13">
        <v>336</v>
      </c>
      <c r="AV468" s="13">
        <f t="shared" si="829"/>
        <v>3</v>
      </c>
      <c r="AW468" s="13">
        <v>22</v>
      </c>
      <c r="AX468" s="13">
        <f t="shared" si="830"/>
        <v>3</v>
      </c>
      <c r="AY468" s="17">
        <v>9</v>
      </c>
      <c r="AZ468" s="56" t="str">
        <f t="shared" si="833"/>
        <v>ねこアイシャドウ</v>
      </c>
      <c r="BA468" s="54">
        <f t="shared" si="834"/>
        <v>1000</v>
      </c>
      <c r="BB468" s="13">
        <f t="shared" si="831"/>
        <v>3000</v>
      </c>
      <c r="BC468" s="14">
        <f t="shared" si="832"/>
        <v>0.66666666666666663</v>
      </c>
      <c r="BD468" s="13" t="s">
        <v>388</v>
      </c>
      <c r="BT468" s="15"/>
      <c r="BU468" s="16"/>
      <c r="BV468" s="54"/>
      <c r="BW468" s="13" t="str">
        <f>IF(BV468="","",BV468-BV467)</f>
        <v/>
      </c>
      <c r="BX468" s="13"/>
      <c r="BY468" s="13" t="str">
        <f>IF(BX468="","",BX468-BX467)</f>
        <v/>
      </c>
      <c r="BZ468" s="13"/>
      <c r="CA468" s="13" t="str">
        <f>IF(BZ468="","",BZ467+CB467-BZ468)</f>
        <v/>
      </c>
      <c r="CB468" s="13"/>
      <c r="CC468" s="13"/>
      <c r="CD468" s="13"/>
      <c r="CE468" s="13" t="str">
        <f t="shared" si="840"/>
        <v/>
      </c>
      <c r="CF468" s="14" t="str">
        <f t="shared" si="841"/>
        <v/>
      </c>
      <c r="CG468" s="15"/>
      <c r="CH468" s="1"/>
      <c r="CI468" s="16"/>
      <c r="CJ468" s="54"/>
      <c r="CK468" s="13" t="str">
        <f>IF(CJ468="","",CJ468-CJ467)</f>
        <v/>
      </c>
      <c r="CL468" s="13"/>
      <c r="CM468" s="13" t="str">
        <f>IF(CL468="","",CL468-CL467)</f>
        <v/>
      </c>
      <c r="CN468" s="13"/>
      <c r="CO468" s="13" t="str">
        <f>IF(CN468="","",CN467+CP467-CN468)</f>
        <v/>
      </c>
      <c r="CP468" s="13"/>
      <c r="CQ468" s="13"/>
      <c r="CR468" s="13"/>
      <c r="CS468" s="13" t="str">
        <f t="shared" si="842"/>
        <v/>
      </c>
      <c r="CT468" s="14" t="str">
        <f t="shared" ref="CT468:CT494" si="850">IF(CS468="","",CS468/(CK468*100))</f>
        <v/>
      </c>
      <c r="CU468" s="15"/>
      <c r="CV468" s="1"/>
      <c r="CW468" s="16"/>
      <c r="CX468" s="54"/>
      <c r="CY468" s="13" t="str">
        <f>IF(CX468="","",CX468-CX467)</f>
        <v/>
      </c>
      <c r="CZ468" s="13"/>
      <c r="DA468" s="13" t="str">
        <f>IF(CZ468="","",CZ468-CZ467)</f>
        <v/>
      </c>
      <c r="DB468" s="13"/>
      <c r="DC468" s="13" t="str">
        <f>IF(DB468="","",DB467+DD467-DB468)</f>
        <v/>
      </c>
      <c r="DD468" s="13"/>
      <c r="DE468" s="13"/>
      <c r="DF468" s="13"/>
      <c r="DG468" s="13" t="str">
        <f t="shared" si="843"/>
        <v/>
      </c>
      <c r="DH468" s="14" t="str">
        <f t="shared" si="844"/>
        <v/>
      </c>
      <c r="DI468" s="15"/>
      <c r="DJ468" s="1"/>
      <c r="DK468" s="16"/>
      <c r="DL468" s="54"/>
      <c r="DM468" s="13" t="str">
        <f>IF(DL468="","",DL468-DL467)</f>
        <v/>
      </c>
      <c r="DN468" s="13"/>
      <c r="DO468" s="13" t="str">
        <f>IF(DN468="","",DN468-DN467)</f>
        <v/>
      </c>
      <c r="DP468" s="13"/>
      <c r="DQ468" s="13" t="str">
        <f>IF(DP468="","",DP467+DR467-DP468)</f>
        <v/>
      </c>
      <c r="DR468" s="13"/>
      <c r="DS468" s="13"/>
      <c r="DT468" s="13"/>
      <c r="DU468" s="13" t="str">
        <f t="shared" si="845"/>
        <v/>
      </c>
      <c r="DV468" s="14" t="str">
        <f t="shared" si="846"/>
        <v/>
      </c>
      <c r="DW468" s="15"/>
    </row>
    <row r="469" spans="1:127" ht="15" customHeight="1" x14ac:dyDescent="0.2">
      <c r="A469" s="16"/>
      <c r="B469" s="74"/>
      <c r="C469" s="34">
        <v>9720</v>
      </c>
      <c r="D469" s="13">
        <f t="shared" si="809"/>
        <v>77</v>
      </c>
      <c r="E469" s="34">
        <v>570</v>
      </c>
      <c r="F469" s="13">
        <f t="shared" si="810"/>
        <v>3</v>
      </c>
      <c r="G469" s="13">
        <v>130</v>
      </c>
      <c r="H469" s="13">
        <f t="shared" si="811"/>
        <v>10</v>
      </c>
      <c r="I469" s="49">
        <v>30</v>
      </c>
      <c r="J469" s="56" t="str">
        <f t="shared" si="847"/>
        <v>AIモンスタラバー</v>
      </c>
      <c r="K469" s="13">
        <f t="shared" si="848"/>
        <v>200</v>
      </c>
      <c r="L469" s="13">
        <f t="shared" si="814"/>
        <v>2000</v>
      </c>
      <c r="M469" s="14">
        <f t="shared" si="815"/>
        <v>0.25974025974025972</v>
      </c>
      <c r="N469" s="15"/>
      <c r="O469" s="2"/>
      <c r="P469" s="16"/>
      <c r="Q469" s="34">
        <v>6908</v>
      </c>
      <c r="R469" s="13">
        <f t="shared" si="816"/>
        <v>47</v>
      </c>
      <c r="S469" s="34">
        <v>122</v>
      </c>
      <c r="T469" s="13">
        <f t="shared" si="817"/>
        <v>3</v>
      </c>
      <c r="U469" s="13">
        <v>85</v>
      </c>
      <c r="V469" s="13">
        <f t="shared" si="818"/>
        <v>5</v>
      </c>
      <c r="W469" s="49">
        <v>0</v>
      </c>
      <c r="X469" s="56" t="str">
        <f t="shared" si="838"/>
        <v>アングリーキーホルダー</v>
      </c>
      <c r="Y469" s="13">
        <f t="shared" si="837"/>
        <v>100</v>
      </c>
      <c r="Z469" s="13">
        <f t="shared" si="820"/>
        <v>500</v>
      </c>
      <c r="AA469" s="14">
        <f t="shared" si="821"/>
        <v>0.10638297872340426</v>
      </c>
      <c r="AB469" s="157" t="s">
        <v>386</v>
      </c>
      <c r="AC469" s="15"/>
      <c r="AD469" s="16"/>
      <c r="AE469" s="34">
        <v>10480</v>
      </c>
      <c r="AF469" s="13">
        <f t="shared" si="822"/>
        <v>46</v>
      </c>
      <c r="AG469" s="34">
        <v>292</v>
      </c>
      <c r="AH469" s="13">
        <f t="shared" si="823"/>
        <v>1</v>
      </c>
      <c r="AI469" s="13">
        <v>31</v>
      </c>
      <c r="AJ469" s="13">
        <f t="shared" si="824"/>
        <v>1</v>
      </c>
      <c r="AK469" s="49">
        <v>20</v>
      </c>
      <c r="AL469" s="56" t="str">
        <f t="shared" si="849"/>
        <v>ゲームアーク</v>
      </c>
      <c r="AM469" s="13">
        <f t="shared" si="849"/>
        <v>600</v>
      </c>
      <c r="AN469" s="13">
        <f t="shared" si="826"/>
        <v>600</v>
      </c>
      <c r="AO469" s="14">
        <f t="shared" si="827"/>
        <v>0.13043478260869565</v>
      </c>
      <c r="AP469" s="15"/>
      <c r="AQ469" s="15"/>
      <c r="AR469" s="16"/>
      <c r="AS469" s="34">
        <v>12861</v>
      </c>
      <c r="AT469" s="13">
        <f t="shared" si="828"/>
        <v>91</v>
      </c>
      <c r="AU469" s="34">
        <v>460</v>
      </c>
      <c r="AV469" s="13">
        <f t="shared" si="829"/>
        <v>3</v>
      </c>
      <c r="AW469" s="13">
        <v>18</v>
      </c>
      <c r="AX469" s="13">
        <f t="shared" si="830"/>
        <v>4</v>
      </c>
      <c r="AY469" s="49">
        <v>8</v>
      </c>
      <c r="AZ469" s="56" t="str">
        <f t="shared" si="833"/>
        <v>ラブブキーホルダーおおきめ</v>
      </c>
      <c r="BA469" s="13">
        <f t="shared" si="834"/>
        <v>500</v>
      </c>
      <c r="BB469" s="13">
        <f t="shared" si="831"/>
        <v>2000</v>
      </c>
      <c r="BC469" s="14">
        <f t="shared" si="832"/>
        <v>0.21978021978021978</v>
      </c>
      <c r="BD469" s="15"/>
      <c r="BT469" s="15"/>
      <c r="BU469" s="16"/>
      <c r="BV469" s="54"/>
      <c r="BW469" s="13" t="str">
        <f>IF(BV469="","",BV469-BV468)</f>
        <v/>
      </c>
      <c r="BX469" s="13"/>
      <c r="BY469" s="13" t="str">
        <f>IF(BX469="","",BX469-BX468)</f>
        <v/>
      </c>
      <c r="BZ469" s="13"/>
      <c r="CA469" s="13" t="str">
        <f>IF(BZ469="","",BZ468+CB468-BZ469)</f>
        <v/>
      </c>
      <c r="CB469" s="13"/>
      <c r="CC469" s="13"/>
      <c r="CD469" s="13"/>
      <c r="CE469" s="13" t="str">
        <f t="shared" si="840"/>
        <v/>
      </c>
      <c r="CF469" s="14" t="str">
        <f t="shared" si="841"/>
        <v/>
      </c>
      <c r="CG469" s="15"/>
      <c r="CH469" s="1"/>
      <c r="CI469" s="16"/>
      <c r="CJ469" s="54"/>
      <c r="CK469" s="13" t="str">
        <f>IF(CJ469="","",CJ469-CJ468)</f>
        <v/>
      </c>
      <c r="CL469" s="13"/>
      <c r="CM469" s="13" t="str">
        <f>IF(CL469="","",CL469-CL468)</f>
        <v/>
      </c>
      <c r="CN469" s="13"/>
      <c r="CO469" s="13" t="str">
        <f>IF(CN469="","",CN468+CP468-CN469)</f>
        <v/>
      </c>
      <c r="CP469" s="13"/>
      <c r="CQ469" s="13"/>
      <c r="CR469" s="13"/>
      <c r="CS469" s="13" t="str">
        <f t="shared" si="842"/>
        <v/>
      </c>
      <c r="CT469" s="14" t="str">
        <f t="shared" si="850"/>
        <v/>
      </c>
      <c r="CU469" s="15"/>
      <c r="CV469" s="1"/>
      <c r="CW469" s="16"/>
      <c r="CX469" s="54"/>
      <c r="CY469" s="13" t="str">
        <f>IF(CX469="","",CX469-CX468)</f>
        <v/>
      </c>
      <c r="CZ469" s="13"/>
      <c r="DA469" s="13" t="str">
        <f>IF(CZ469="","",CZ469-CZ468)</f>
        <v/>
      </c>
      <c r="DB469" s="13"/>
      <c r="DC469" s="13" t="str">
        <f>IF(DB469="","",DB468+DD468-DB469)</f>
        <v/>
      </c>
      <c r="DD469" s="13"/>
      <c r="DE469" s="13"/>
      <c r="DF469" s="13"/>
      <c r="DG469" s="13" t="str">
        <f t="shared" si="843"/>
        <v/>
      </c>
      <c r="DH469" s="14" t="str">
        <f t="shared" si="844"/>
        <v/>
      </c>
      <c r="DI469" s="15"/>
      <c r="DJ469" s="1"/>
      <c r="DK469" s="16"/>
      <c r="DL469" s="54"/>
      <c r="DM469" s="13" t="str">
        <f>IF(DL469="","",DL469-DL468)</f>
        <v/>
      </c>
      <c r="DN469" s="13"/>
      <c r="DO469" s="13" t="str">
        <f>IF(DN469="","",DN469-DN468)</f>
        <v/>
      </c>
      <c r="DP469" s="13"/>
      <c r="DQ469" s="13" t="str">
        <f>IF(DP469="","",DP468+DR468-DP469)</f>
        <v/>
      </c>
      <c r="DR469" s="13"/>
      <c r="DS469" s="13"/>
      <c r="DT469" s="13"/>
      <c r="DU469" s="13" t="str">
        <f t="shared" si="845"/>
        <v/>
      </c>
      <c r="DV469" s="14" t="str">
        <f t="shared" si="846"/>
        <v/>
      </c>
      <c r="DW469" s="15"/>
    </row>
    <row r="470" spans="1:127" ht="15" customHeight="1" thickBot="1" x14ac:dyDescent="0.25">
      <c r="A470" s="26"/>
      <c r="B470" s="46"/>
      <c r="C470" s="27">
        <v>4775</v>
      </c>
      <c r="D470" s="27">
        <f t="shared" si="809"/>
        <v>23</v>
      </c>
      <c r="E470" s="27">
        <v>408</v>
      </c>
      <c r="F470" s="27">
        <f t="shared" si="810"/>
        <v>0</v>
      </c>
      <c r="G470" s="27">
        <v>44</v>
      </c>
      <c r="H470" s="27">
        <f t="shared" si="811"/>
        <v>0</v>
      </c>
      <c r="I470" s="47">
        <v>2</v>
      </c>
      <c r="J470" s="57" t="str">
        <f t="shared" si="847"/>
        <v>NICIマスコット</v>
      </c>
      <c r="K470" s="62">
        <f t="shared" si="848"/>
        <v>900</v>
      </c>
      <c r="L470" s="27">
        <f t="shared" si="814"/>
        <v>0</v>
      </c>
      <c r="M470" s="28">
        <f t="shared" si="815"/>
        <v>0</v>
      </c>
      <c r="N470" s="15" t="s">
        <v>387</v>
      </c>
      <c r="O470" s="2"/>
      <c r="P470" s="26"/>
      <c r="Q470" s="27">
        <v>6328</v>
      </c>
      <c r="R470" s="27">
        <f t="shared" si="816"/>
        <v>50</v>
      </c>
      <c r="S470" s="27">
        <v>108</v>
      </c>
      <c r="T470" s="27">
        <f t="shared" si="817"/>
        <v>1</v>
      </c>
      <c r="U470" s="27">
        <v>7</v>
      </c>
      <c r="V470" s="27">
        <f t="shared" si="818"/>
        <v>3</v>
      </c>
      <c r="W470" s="47">
        <v>4</v>
      </c>
      <c r="X470" s="57" t="str">
        <f t="shared" si="838"/>
        <v>ＡＩマスコット</v>
      </c>
      <c r="Y470" s="62">
        <f t="shared" si="837"/>
        <v>286</v>
      </c>
      <c r="Z470" s="27">
        <f t="shared" si="820"/>
        <v>858</v>
      </c>
      <c r="AA470" s="28">
        <f t="shared" si="821"/>
        <v>0.1716</v>
      </c>
      <c r="AB470" s="15"/>
      <c r="AC470" s="15"/>
      <c r="AD470" s="26"/>
      <c r="AE470" s="27">
        <v>10435</v>
      </c>
      <c r="AF470" s="27">
        <f t="shared" si="822"/>
        <v>63</v>
      </c>
      <c r="AG470" s="27">
        <v>278</v>
      </c>
      <c r="AH470" s="27">
        <f t="shared" si="823"/>
        <v>1</v>
      </c>
      <c r="AI470" s="27">
        <v>12</v>
      </c>
      <c r="AJ470" s="27">
        <f t="shared" si="824"/>
        <v>1</v>
      </c>
      <c r="AK470" s="47">
        <v>2</v>
      </c>
      <c r="AL470" s="57" t="str">
        <f t="shared" si="849"/>
        <v>モンチッチマスコット2</v>
      </c>
      <c r="AM470" s="62">
        <f t="shared" si="849"/>
        <v>540</v>
      </c>
      <c r="AN470" s="27">
        <f t="shared" si="826"/>
        <v>540</v>
      </c>
      <c r="AO470" s="28">
        <f t="shared" si="827"/>
        <v>8.5714285714285715E-2</v>
      </c>
      <c r="AP470" s="15"/>
      <c r="AQ470" s="15"/>
      <c r="AR470" s="26"/>
      <c r="AS470" s="27">
        <v>13223</v>
      </c>
      <c r="AT470" s="27">
        <f t="shared" si="828"/>
        <v>79</v>
      </c>
      <c r="AU470" s="27">
        <v>393</v>
      </c>
      <c r="AV470" s="27">
        <f t="shared" si="829"/>
        <v>1</v>
      </c>
      <c r="AW470" s="27">
        <v>27</v>
      </c>
      <c r="AX470" s="27">
        <f t="shared" si="830"/>
        <v>1</v>
      </c>
      <c r="AY470" s="47">
        <v>4</v>
      </c>
      <c r="AZ470" s="57" t="str">
        <f t="shared" si="833"/>
        <v>ラブブマスコット</v>
      </c>
      <c r="BA470" s="62">
        <f t="shared" si="834"/>
        <v>400</v>
      </c>
      <c r="BB470" s="27">
        <f t="shared" si="831"/>
        <v>400</v>
      </c>
      <c r="BC470" s="28">
        <f t="shared" si="832"/>
        <v>5.0632911392405063E-2</v>
      </c>
      <c r="BD470" s="15"/>
      <c r="BT470" s="15"/>
      <c r="BU470" s="16"/>
      <c r="BV470" s="54"/>
      <c r="BW470" s="13" t="str">
        <f>IF(BV470="","",BV470-BV469)</f>
        <v/>
      </c>
      <c r="BX470" s="13"/>
      <c r="BY470" s="13"/>
      <c r="BZ470" s="13"/>
      <c r="CA470" s="13" t="str">
        <f>IF(BZ470="","",BZ469+CB469-BZ470)</f>
        <v/>
      </c>
      <c r="CB470" s="13"/>
      <c r="CC470" s="13"/>
      <c r="CD470" s="13"/>
      <c r="CE470" s="13" t="str">
        <f t="shared" si="840"/>
        <v/>
      </c>
      <c r="CF470" s="14" t="str">
        <f t="shared" si="841"/>
        <v/>
      </c>
      <c r="CG470" s="15"/>
      <c r="CH470" s="1"/>
      <c r="CI470" s="16"/>
      <c r="CJ470" s="54"/>
      <c r="CK470" s="13" t="str">
        <f>IF(CJ470="","",CJ470-CJ469)</f>
        <v/>
      </c>
      <c r="CL470" s="13"/>
      <c r="CM470" s="13"/>
      <c r="CN470" s="13"/>
      <c r="CO470" s="13" t="str">
        <f>IF(CN470="","",CN469+CP469-CN470)</f>
        <v/>
      </c>
      <c r="CP470" s="13"/>
      <c r="CQ470" s="13"/>
      <c r="CR470" s="13"/>
      <c r="CS470" s="13" t="str">
        <f t="shared" si="842"/>
        <v/>
      </c>
      <c r="CT470" s="14" t="str">
        <f t="shared" si="850"/>
        <v/>
      </c>
      <c r="CU470" s="15"/>
      <c r="CV470" s="1"/>
      <c r="CW470" s="16"/>
      <c r="CX470" s="54"/>
      <c r="CY470" s="13" t="str">
        <f>IF(CX470="","",CX470-CX469)</f>
        <v/>
      </c>
      <c r="CZ470" s="13"/>
      <c r="DA470" s="13"/>
      <c r="DB470" s="13"/>
      <c r="DC470" s="13" t="str">
        <f>IF(DB470="","",DB469+DD469-DB470)</f>
        <v/>
      </c>
      <c r="DD470" s="13"/>
      <c r="DE470" s="13"/>
      <c r="DF470" s="13"/>
      <c r="DG470" s="13" t="str">
        <f t="shared" si="843"/>
        <v/>
      </c>
      <c r="DH470" s="14" t="str">
        <f t="shared" si="844"/>
        <v/>
      </c>
      <c r="DI470" s="15"/>
      <c r="DJ470" s="1"/>
      <c r="DK470" s="16"/>
      <c r="DL470" s="54"/>
      <c r="DM470" s="13" t="str">
        <f>IF(DL470="","",DL470-DL469)</f>
        <v/>
      </c>
      <c r="DN470" s="13"/>
      <c r="DO470" s="13"/>
      <c r="DP470" s="13"/>
      <c r="DQ470" s="13" t="str">
        <f>IF(DP470="","",DP469+DR469-DP470)</f>
        <v/>
      </c>
      <c r="DR470" s="13"/>
      <c r="DS470" s="13"/>
      <c r="DT470" s="13"/>
      <c r="DU470" s="13" t="str">
        <f t="shared" si="845"/>
        <v/>
      </c>
      <c r="DV470" s="14" t="str">
        <f t="shared" si="846"/>
        <v/>
      </c>
      <c r="DW470" s="15"/>
    </row>
    <row r="471" spans="1:127" ht="15" customHeight="1" thickTop="1" x14ac:dyDescent="0.2">
      <c r="A471" s="16">
        <v>45999</v>
      </c>
      <c r="B471" s="74">
        <f>IF(A471="","",SUM(D471:D474)+SUM(R471:R474)+SUM(AF471:AF474)+SUM(AT471:AT474)+SUM(BW453,CK453,CY453,DM453))</f>
        <v>2253</v>
      </c>
      <c r="C471" s="13">
        <v>4087</v>
      </c>
      <c r="D471" s="53">
        <f t="shared" si="809"/>
        <v>125</v>
      </c>
      <c r="E471" s="13">
        <v>319</v>
      </c>
      <c r="F471" s="31">
        <f t="shared" si="810"/>
        <v>3</v>
      </c>
      <c r="G471" s="13">
        <v>6</v>
      </c>
      <c r="H471" s="53">
        <f t="shared" si="811"/>
        <v>3</v>
      </c>
      <c r="I471" s="17">
        <v>3</v>
      </c>
      <c r="J471" s="75" t="str">
        <f t="shared" si="847"/>
        <v>キティヒョウ柄ポーチ</v>
      </c>
      <c r="K471" s="76">
        <f t="shared" si="848"/>
        <v>0</v>
      </c>
      <c r="L471" s="31">
        <f t="shared" si="814"/>
        <v>0</v>
      </c>
      <c r="M471" s="32">
        <f t="shared" si="815"/>
        <v>0</v>
      </c>
      <c r="N471" s="15"/>
      <c r="O471" s="2"/>
      <c r="P471" s="79">
        <f>IF($A471="","",$A471)</f>
        <v>45999</v>
      </c>
      <c r="Q471" s="13">
        <v>4061</v>
      </c>
      <c r="R471" s="53">
        <f t="shared" si="816"/>
        <v>84</v>
      </c>
      <c r="S471" s="13">
        <v>138</v>
      </c>
      <c r="T471" s="31">
        <f t="shared" si="817"/>
        <v>5</v>
      </c>
      <c r="U471" s="13">
        <v>9</v>
      </c>
      <c r="V471" s="53">
        <f t="shared" si="818"/>
        <v>4</v>
      </c>
      <c r="W471" s="17">
        <v>0</v>
      </c>
      <c r="X471" s="75" t="str">
        <f t="shared" si="838"/>
        <v>ジャグラーイヤホン</v>
      </c>
      <c r="Y471" s="76">
        <f t="shared" si="837"/>
        <v>1100</v>
      </c>
      <c r="Z471" s="31">
        <f t="shared" si="820"/>
        <v>4400</v>
      </c>
      <c r="AA471" s="32">
        <f t="shared" si="821"/>
        <v>0.52380952380952384</v>
      </c>
      <c r="AB471" s="15" t="s">
        <v>389</v>
      </c>
      <c r="AC471" s="15"/>
      <c r="AD471" s="79">
        <f>IF($A471="","",$A471)</f>
        <v>45999</v>
      </c>
      <c r="AE471" s="13">
        <v>9262</v>
      </c>
      <c r="AF471" s="53">
        <f t="shared" si="822"/>
        <v>51</v>
      </c>
      <c r="AG471" s="13">
        <v>207</v>
      </c>
      <c r="AH471" s="31">
        <f t="shared" si="823"/>
        <v>1</v>
      </c>
      <c r="AI471" s="13">
        <v>8</v>
      </c>
      <c r="AJ471" s="53">
        <f t="shared" si="824"/>
        <v>1</v>
      </c>
      <c r="AK471" s="17">
        <v>4</v>
      </c>
      <c r="AL471" s="75" t="str">
        <f t="shared" si="849"/>
        <v>サンリオ型押しケース</v>
      </c>
      <c r="AM471" s="76">
        <f t="shared" si="849"/>
        <v>1100</v>
      </c>
      <c r="AN471" s="31">
        <f t="shared" si="826"/>
        <v>1100</v>
      </c>
      <c r="AO471" s="32">
        <f t="shared" si="827"/>
        <v>0.21568627450980393</v>
      </c>
      <c r="AP471" s="15"/>
      <c r="AQ471" s="15"/>
      <c r="AR471" s="79">
        <f>IF($A471="","",$A471)</f>
        <v>45999</v>
      </c>
      <c r="AS471" s="13">
        <v>9945</v>
      </c>
      <c r="AT471" s="53">
        <f t="shared" si="828"/>
        <v>142</v>
      </c>
      <c r="AU471" s="13">
        <v>309</v>
      </c>
      <c r="AV471" s="31">
        <f t="shared" si="829"/>
        <v>6</v>
      </c>
      <c r="AW471" s="13">
        <v>15</v>
      </c>
      <c r="AX471" s="53">
        <f t="shared" si="830"/>
        <v>3</v>
      </c>
      <c r="AY471" s="80">
        <v>0</v>
      </c>
      <c r="AZ471" s="75" t="str">
        <f t="shared" si="833"/>
        <v>サンリオヒョウ柄キーケース</v>
      </c>
      <c r="BA471" s="76">
        <f t="shared" si="834"/>
        <v>700</v>
      </c>
      <c r="BB471" s="31">
        <f t="shared" si="831"/>
        <v>2100</v>
      </c>
      <c r="BC471" s="32">
        <f t="shared" si="832"/>
        <v>0.14788732394366197</v>
      </c>
      <c r="BD471" s="15"/>
      <c r="BT471" s="15"/>
      <c r="BU471" s="16"/>
      <c r="BV471" s="13"/>
      <c r="BW471" s="13" t="str">
        <f>IF(BV471="","",BV471-BV472)</f>
        <v/>
      </c>
      <c r="BX471" s="13"/>
      <c r="BY471" s="13" t="str">
        <f>IF(BX471="","",BX471-BX472)</f>
        <v/>
      </c>
      <c r="BZ471" s="13"/>
      <c r="CA471" s="13" t="str">
        <f>IF(BZ471="","",BZ472+CB472-BZ471)</f>
        <v/>
      </c>
      <c r="CB471" s="13"/>
      <c r="CC471" s="13"/>
      <c r="CD471" s="13"/>
      <c r="CE471" s="13" t="str">
        <f t="shared" si="840"/>
        <v/>
      </c>
      <c r="CF471" s="14" t="str">
        <f t="shared" si="841"/>
        <v/>
      </c>
      <c r="CG471" s="15"/>
      <c r="CH471" s="1"/>
      <c r="CI471" s="16"/>
      <c r="CJ471" s="13"/>
      <c r="CK471" s="13" t="str">
        <f>IF(CJ471="","",CJ471-CJ472)</f>
        <v/>
      </c>
      <c r="CL471" s="13"/>
      <c r="CM471" s="13" t="str">
        <f>IF(CL471="","",CL471-CL472)</f>
        <v/>
      </c>
      <c r="CN471" s="13"/>
      <c r="CO471" s="13" t="str">
        <f>IF(CN471="","",CN472+CP472-CN471)</f>
        <v/>
      </c>
      <c r="CP471" s="13"/>
      <c r="CQ471" s="13"/>
      <c r="CR471" s="13"/>
      <c r="CS471" s="13" t="str">
        <f t="shared" si="842"/>
        <v/>
      </c>
      <c r="CT471" s="14" t="str">
        <f t="shared" si="850"/>
        <v/>
      </c>
      <c r="CU471" s="15"/>
      <c r="CV471" s="1"/>
      <c r="CW471" s="16"/>
      <c r="CX471" s="13"/>
      <c r="CY471" s="13" t="str">
        <f>IF(CX471="","",CX471-CX472)</f>
        <v/>
      </c>
      <c r="CZ471" s="13"/>
      <c r="DA471" s="13" t="str">
        <f>IF(CZ471="","",CZ471-CZ472)</f>
        <v/>
      </c>
      <c r="DB471" s="13"/>
      <c r="DC471" s="13" t="str">
        <f>IF(DB471="","",DB472+DD472-DB471)</f>
        <v/>
      </c>
      <c r="DD471" s="13"/>
      <c r="DE471" s="13"/>
      <c r="DF471" s="13"/>
      <c r="DG471" s="13" t="str">
        <f t="shared" si="843"/>
        <v/>
      </c>
      <c r="DH471" s="14" t="str">
        <f t="shared" si="844"/>
        <v/>
      </c>
      <c r="DI471" s="15"/>
      <c r="DJ471" s="1"/>
      <c r="DK471" s="16"/>
      <c r="DL471" s="13"/>
      <c r="DM471" s="13" t="str">
        <f>IF(DL471="","",DL471-DL472)</f>
        <v/>
      </c>
      <c r="DN471" s="13"/>
      <c r="DO471" s="13" t="str">
        <f>IF(DN471="","",DN471-DN472)</f>
        <v/>
      </c>
      <c r="DP471" s="13"/>
      <c r="DQ471" s="13" t="str">
        <f>IF(DP471="","",DP472+DR472-DP471)</f>
        <v/>
      </c>
      <c r="DR471" s="13"/>
      <c r="DS471" s="13"/>
      <c r="DT471" s="13"/>
      <c r="DU471" s="13" t="str">
        <f t="shared" si="845"/>
        <v/>
      </c>
      <c r="DV471" s="14" t="str">
        <f t="shared" si="846"/>
        <v/>
      </c>
      <c r="DW471" s="15"/>
    </row>
    <row r="472" spans="1:127" ht="15" customHeight="1" x14ac:dyDescent="0.2">
      <c r="A472" s="79"/>
      <c r="B472" s="11"/>
      <c r="C472" s="53">
        <v>3245</v>
      </c>
      <c r="D472" s="13">
        <f t="shared" si="809"/>
        <v>62</v>
      </c>
      <c r="E472" s="53">
        <v>340</v>
      </c>
      <c r="F472" s="13">
        <f t="shared" si="810"/>
        <v>0</v>
      </c>
      <c r="G472" s="13">
        <v>20</v>
      </c>
      <c r="H472" s="13">
        <f t="shared" si="811"/>
        <v>0</v>
      </c>
      <c r="I472" s="17">
        <v>22</v>
      </c>
      <c r="J472" s="56" t="str">
        <f t="shared" si="847"/>
        <v>液晶デジカメ</v>
      </c>
      <c r="K472" s="54">
        <f t="shared" si="848"/>
        <v>1075</v>
      </c>
      <c r="L472" s="13">
        <f t="shared" si="814"/>
        <v>0</v>
      </c>
      <c r="M472" s="14">
        <f t="shared" si="815"/>
        <v>0</v>
      </c>
      <c r="N472" s="15" t="s">
        <v>392</v>
      </c>
      <c r="O472" s="2"/>
      <c r="P472" s="79" t="str">
        <f>IF(A472="","",A472)</f>
        <v/>
      </c>
      <c r="Q472" s="53">
        <v>3391</v>
      </c>
      <c r="R472" s="13">
        <f t="shared" si="816"/>
        <v>115</v>
      </c>
      <c r="S472" s="53">
        <v>107</v>
      </c>
      <c r="T472" s="13">
        <f t="shared" si="817"/>
        <v>3</v>
      </c>
      <c r="U472" s="13">
        <v>18</v>
      </c>
      <c r="V472" s="13">
        <f t="shared" si="818"/>
        <v>3</v>
      </c>
      <c r="W472" s="17">
        <v>0</v>
      </c>
      <c r="X472" s="56" t="str">
        <f t="shared" si="838"/>
        <v>押忍番長ボタン</v>
      </c>
      <c r="Y472" s="54">
        <f t="shared" si="837"/>
        <v>1100</v>
      </c>
      <c r="Z472" s="13">
        <f t="shared" si="820"/>
        <v>3300</v>
      </c>
      <c r="AA472" s="14">
        <f t="shared" si="821"/>
        <v>0.28695652173913044</v>
      </c>
      <c r="AB472" s="15"/>
      <c r="AC472" s="15"/>
      <c r="AD472" s="79" t="str">
        <f>IF(O472="","",O472)</f>
        <v/>
      </c>
      <c r="AE472" s="53">
        <v>8981</v>
      </c>
      <c r="AF472" s="13">
        <f t="shared" si="822"/>
        <v>29</v>
      </c>
      <c r="AG472" s="53">
        <v>203</v>
      </c>
      <c r="AH472" s="13">
        <f t="shared" si="823"/>
        <v>1</v>
      </c>
      <c r="AI472" s="13">
        <v>13</v>
      </c>
      <c r="AJ472" s="13">
        <f t="shared" si="824"/>
        <v>1</v>
      </c>
      <c r="AK472" s="17">
        <v>7</v>
      </c>
      <c r="AL472" s="56" t="str">
        <f t="shared" si="849"/>
        <v>サンリオホワイトマスコット</v>
      </c>
      <c r="AM472" s="54">
        <f t="shared" si="849"/>
        <v>660</v>
      </c>
      <c r="AN472" s="13">
        <f t="shared" si="826"/>
        <v>660</v>
      </c>
      <c r="AO472" s="14">
        <f t="shared" si="827"/>
        <v>0.22758620689655173</v>
      </c>
      <c r="AP472" s="15" t="s">
        <v>390</v>
      </c>
      <c r="AQ472" s="15"/>
      <c r="AR472" s="79" t="str">
        <f>IF(AC472="","",AC472)</f>
        <v/>
      </c>
      <c r="AS472" s="53">
        <v>6821</v>
      </c>
      <c r="AT472" s="13">
        <f t="shared" si="828"/>
        <v>77</v>
      </c>
      <c r="AU472" s="53">
        <v>345</v>
      </c>
      <c r="AV472" s="13">
        <f t="shared" si="829"/>
        <v>9</v>
      </c>
      <c r="AW472" s="13">
        <v>24</v>
      </c>
      <c r="AX472" s="13">
        <f t="shared" si="830"/>
        <v>7</v>
      </c>
      <c r="AY472" s="17">
        <v>0</v>
      </c>
      <c r="AZ472" s="56" t="str">
        <f t="shared" si="833"/>
        <v>ねこアイシャドウ</v>
      </c>
      <c r="BA472" s="54">
        <f t="shared" si="834"/>
        <v>1000</v>
      </c>
      <c r="BB472" s="13">
        <f t="shared" si="831"/>
        <v>7000</v>
      </c>
      <c r="BC472" s="14">
        <f t="shared" si="832"/>
        <v>0.90909090909090906</v>
      </c>
      <c r="BD472" s="15"/>
      <c r="BT472" s="15"/>
      <c r="BU472" s="16"/>
      <c r="BV472" s="13"/>
      <c r="BW472" s="13" t="str">
        <f>IF(BV472="","",BV472-BV470)</f>
        <v/>
      </c>
      <c r="BX472" s="13"/>
      <c r="BY472" s="13" t="str">
        <f>IF(BX472="","",BX472-BX470)</f>
        <v/>
      </c>
      <c r="BZ472" s="13"/>
      <c r="CA472" s="13" t="str">
        <f>IF(BZ472="","",BZ470+CB470-BZ472)</f>
        <v/>
      </c>
      <c r="CB472" s="13"/>
      <c r="CC472" s="13"/>
      <c r="CD472" s="13"/>
      <c r="CE472" s="13" t="str">
        <f t="shared" si="840"/>
        <v/>
      </c>
      <c r="CF472" s="14" t="str">
        <f t="shared" si="841"/>
        <v/>
      </c>
      <c r="CG472" s="15"/>
      <c r="CH472" s="1"/>
      <c r="CI472" s="16"/>
      <c r="CJ472" s="13"/>
      <c r="CK472" s="13" t="str">
        <f>IF(CJ472="","",CJ472-CJ470)</f>
        <v/>
      </c>
      <c r="CL472" s="13"/>
      <c r="CM472" s="13" t="str">
        <f>IF(CL472="","",CL472-CL470)</f>
        <v/>
      </c>
      <c r="CN472" s="13"/>
      <c r="CO472" s="13" t="str">
        <f>IF(CN472="","",CN470+CP470-CN472)</f>
        <v/>
      </c>
      <c r="CP472" s="13"/>
      <c r="CQ472" s="13"/>
      <c r="CR472" s="13"/>
      <c r="CS472" s="13" t="str">
        <f t="shared" si="842"/>
        <v/>
      </c>
      <c r="CT472" s="14" t="str">
        <f t="shared" si="850"/>
        <v/>
      </c>
      <c r="CU472" s="15"/>
      <c r="CV472" s="1"/>
      <c r="CW472" s="16"/>
      <c r="CX472" s="13"/>
      <c r="CY472" s="13" t="str">
        <f>IF(CX472="","",CX472-CX470)</f>
        <v/>
      </c>
      <c r="CZ472" s="13"/>
      <c r="DA472" s="13" t="str">
        <f>IF(CZ472="","",CZ472-CZ470)</f>
        <v/>
      </c>
      <c r="DB472" s="13"/>
      <c r="DC472" s="13" t="str">
        <f>IF(DB472="","",DB470+DD470-DB472)</f>
        <v/>
      </c>
      <c r="DD472" s="13"/>
      <c r="DE472" s="13"/>
      <c r="DF472" s="13"/>
      <c r="DG472" s="13" t="str">
        <f t="shared" si="843"/>
        <v/>
      </c>
      <c r="DH472" s="14" t="str">
        <f t="shared" si="844"/>
        <v/>
      </c>
      <c r="DI472" s="15"/>
      <c r="DJ472" s="1"/>
      <c r="DK472" s="16"/>
      <c r="DL472" s="13"/>
      <c r="DM472" s="13" t="str">
        <f>IF(DL472="","",DL472-DL470)</f>
        <v/>
      </c>
      <c r="DN472" s="13"/>
      <c r="DO472" s="13" t="str">
        <f>IF(DN472="","",DN472-DN470)</f>
        <v/>
      </c>
      <c r="DP472" s="13"/>
      <c r="DQ472" s="13" t="str">
        <f>IF(DP472="","",DP470+DR470-DP472)</f>
        <v/>
      </c>
      <c r="DR472" s="13"/>
      <c r="DS472" s="13"/>
      <c r="DT472" s="13"/>
      <c r="DU472" s="13" t="str">
        <f t="shared" si="845"/>
        <v/>
      </c>
      <c r="DV472" s="14" t="str">
        <f t="shared" si="846"/>
        <v/>
      </c>
      <c r="DW472" s="15"/>
    </row>
    <row r="473" spans="1:127" ht="15" customHeight="1" x14ac:dyDescent="0.2">
      <c r="A473" s="16"/>
      <c r="B473" s="11"/>
      <c r="C473" s="13">
        <v>9956</v>
      </c>
      <c r="D473" s="13">
        <f t="shared" si="809"/>
        <v>236</v>
      </c>
      <c r="E473" s="13">
        <v>581</v>
      </c>
      <c r="F473" s="13">
        <f t="shared" si="810"/>
        <v>11</v>
      </c>
      <c r="G473" s="13">
        <v>150</v>
      </c>
      <c r="H473" s="13">
        <f t="shared" si="811"/>
        <v>10</v>
      </c>
      <c r="I473" s="17">
        <v>0</v>
      </c>
      <c r="J473" s="56" t="str">
        <f t="shared" si="847"/>
        <v>AIモンスタラバー</v>
      </c>
      <c r="K473" s="13">
        <f t="shared" si="848"/>
        <v>200</v>
      </c>
      <c r="L473" s="13">
        <f t="shared" si="814"/>
        <v>2000</v>
      </c>
      <c r="M473" s="14">
        <f t="shared" si="815"/>
        <v>8.4745762711864403E-2</v>
      </c>
      <c r="N473" s="15"/>
      <c r="O473" s="2"/>
      <c r="P473" s="16"/>
      <c r="Q473" s="13">
        <v>6950</v>
      </c>
      <c r="R473" s="13">
        <f t="shared" si="816"/>
        <v>42</v>
      </c>
      <c r="S473" s="13">
        <v>123</v>
      </c>
      <c r="T473" s="13">
        <f t="shared" si="817"/>
        <v>1</v>
      </c>
      <c r="U473" s="13">
        <v>80</v>
      </c>
      <c r="V473" s="13">
        <f t="shared" si="818"/>
        <v>5</v>
      </c>
      <c r="W473" s="17">
        <v>-67</v>
      </c>
      <c r="X473" s="56" t="str">
        <f t="shared" si="838"/>
        <v>アングリーキーホルダー</v>
      </c>
      <c r="Y473" s="13">
        <f t="shared" si="837"/>
        <v>100</v>
      </c>
      <c r="Z473" s="13">
        <f t="shared" si="820"/>
        <v>500</v>
      </c>
      <c r="AA473" s="14">
        <f t="shared" si="821"/>
        <v>0.11904761904761904</v>
      </c>
      <c r="AB473" s="15" t="s">
        <v>391</v>
      </c>
      <c r="AC473" s="15"/>
      <c r="AD473" s="16"/>
      <c r="AE473" s="13">
        <v>10570</v>
      </c>
      <c r="AF473" s="13">
        <f t="shared" si="822"/>
        <v>90</v>
      </c>
      <c r="AG473" s="13">
        <v>292</v>
      </c>
      <c r="AH473" s="13">
        <f t="shared" si="823"/>
        <v>0</v>
      </c>
      <c r="AI473" s="13">
        <v>50</v>
      </c>
      <c r="AJ473" s="13">
        <f t="shared" si="824"/>
        <v>1</v>
      </c>
      <c r="AK473" s="17">
        <v>0</v>
      </c>
      <c r="AL473" s="56" t="str">
        <f t="shared" si="849"/>
        <v>ゲームアーク</v>
      </c>
      <c r="AM473" s="13">
        <f t="shared" si="849"/>
        <v>600</v>
      </c>
      <c r="AN473" s="13">
        <f t="shared" si="826"/>
        <v>600</v>
      </c>
      <c r="AO473" s="14">
        <f t="shared" si="827"/>
        <v>6.6666666666666666E-2</v>
      </c>
      <c r="AP473" s="15"/>
      <c r="AQ473" s="15"/>
      <c r="AR473" s="16"/>
      <c r="AS473" s="13">
        <v>12967</v>
      </c>
      <c r="AT473" s="13">
        <f t="shared" si="828"/>
        <v>106</v>
      </c>
      <c r="AU473" s="13">
        <v>460</v>
      </c>
      <c r="AV473" s="13">
        <f t="shared" si="829"/>
        <v>0</v>
      </c>
      <c r="AW473" s="13">
        <v>26</v>
      </c>
      <c r="AX473" s="13">
        <f t="shared" si="830"/>
        <v>0</v>
      </c>
      <c r="AY473" s="49">
        <v>0</v>
      </c>
      <c r="AZ473" s="56" t="str">
        <f t="shared" si="833"/>
        <v>ラブブキーホルダーおおきめ</v>
      </c>
      <c r="BA473" s="13">
        <f t="shared" si="834"/>
        <v>500</v>
      </c>
      <c r="BB473" s="13">
        <f t="shared" si="831"/>
        <v>0</v>
      </c>
      <c r="BC473" s="14">
        <f t="shared" si="832"/>
        <v>0</v>
      </c>
      <c r="BD473" s="15"/>
      <c r="BT473" s="15"/>
      <c r="BU473" s="16"/>
      <c r="BV473" s="54"/>
      <c r="BW473" s="13" t="str">
        <f>IF(BV473="","",BV473-BV471)</f>
        <v/>
      </c>
      <c r="BX473" s="13"/>
      <c r="BY473" s="13"/>
      <c r="BZ473" s="13"/>
      <c r="CA473" s="13" t="str">
        <f>IF(BZ473="","",BZ471+CB471-BZ473)</f>
        <v/>
      </c>
      <c r="CB473" s="13"/>
      <c r="CC473" s="13"/>
      <c r="CD473" s="13"/>
      <c r="CE473" s="13" t="str">
        <f t="shared" si="840"/>
        <v/>
      </c>
      <c r="CF473" s="14" t="str">
        <f t="shared" si="841"/>
        <v/>
      </c>
      <c r="CG473" s="15"/>
      <c r="CH473" s="1"/>
      <c r="CI473" s="16"/>
      <c r="CJ473" s="54"/>
      <c r="CK473" s="13" t="str">
        <f>IF(CJ473="","",CJ473-CJ471)</f>
        <v/>
      </c>
      <c r="CL473" s="13"/>
      <c r="CM473" s="13"/>
      <c r="CN473" s="13"/>
      <c r="CO473" s="13" t="str">
        <f>IF(CN473="","",CN471+CP471-CN473)</f>
        <v/>
      </c>
      <c r="CP473" s="13"/>
      <c r="CQ473" s="13"/>
      <c r="CR473" s="13"/>
      <c r="CS473" s="13" t="str">
        <f t="shared" si="842"/>
        <v/>
      </c>
      <c r="CT473" s="14" t="str">
        <f t="shared" si="850"/>
        <v/>
      </c>
      <c r="CU473" s="15"/>
      <c r="CV473" s="1"/>
      <c r="CW473" s="16"/>
      <c r="CX473" s="54"/>
      <c r="CY473" s="13" t="str">
        <f>IF(CX473="","",CX473-CX471)</f>
        <v/>
      </c>
      <c r="CZ473" s="13"/>
      <c r="DA473" s="13"/>
      <c r="DB473" s="13"/>
      <c r="DC473" s="13" t="str">
        <f>IF(DB473="","",DB471+DD471-DB473)</f>
        <v/>
      </c>
      <c r="DD473" s="13"/>
      <c r="DE473" s="13"/>
      <c r="DF473" s="13"/>
      <c r="DG473" s="13" t="str">
        <f t="shared" si="843"/>
        <v/>
      </c>
      <c r="DH473" s="14" t="str">
        <f t="shared" si="844"/>
        <v/>
      </c>
      <c r="DI473" s="15"/>
      <c r="DJ473" s="1"/>
      <c r="DK473" s="16"/>
      <c r="DL473" s="54"/>
      <c r="DM473" s="13" t="str">
        <f>IF(DL473="","",DL473-DL471)</f>
        <v/>
      </c>
      <c r="DN473" s="13"/>
      <c r="DO473" s="13"/>
      <c r="DP473" s="13"/>
      <c r="DQ473" s="13" t="str">
        <f>IF(DP473="","",DP471+DR471-DP473)</f>
        <v/>
      </c>
      <c r="DR473" s="13"/>
      <c r="DS473" s="13"/>
      <c r="DT473" s="13"/>
      <c r="DU473" s="13" t="str">
        <f t="shared" si="845"/>
        <v/>
      </c>
      <c r="DV473" s="14" t="str">
        <f t="shared" si="846"/>
        <v/>
      </c>
      <c r="DW473" s="15"/>
    </row>
    <row r="474" spans="1:127" ht="15" customHeight="1" thickBot="1" x14ac:dyDescent="0.25">
      <c r="A474" s="26"/>
      <c r="B474" s="46"/>
      <c r="C474" s="27">
        <v>4910</v>
      </c>
      <c r="D474" s="27">
        <f t="shared" si="809"/>
        <v>135</v>
      </c>
      <c r="E474" s="27">
        <v>412</v>
      </c>
      <c r="F474" s="27">
        <f t="shared" si="810"/>
        <v>4</v>
      </c>
      <c r="G474" s="27">
        <v>42</v>
      </c>
      <c r="H474" s="27">
        <f t="shared" si="811"/>
        <v>4</v>
      </c>
      <c r="I474" s="47">
        <v>0</v>
      </c>
      <c r="J474" s="57" t="str">
        <f t="shared" si="847"/>
        <v>NICIマスコット</v>
      </c>
      <c r="K474" s="62">
        <f t="shared" si="848"/>
        <v>900</v>
      </c>
      <c r="L474" s="27">
        <f t="shared" si="814"/>
        <v>3600</v>
      </c>
      <c r="M474" s="28">
        <f t="shared" si="815"/>
        <v>0.26666666666666666</v>
      </c>
      <c r="N474" s="15"/>
      <c r="O474" s="2"/>
      <c r="P474" s="26"/>
      <c r="Q474" s="27">
        <v>6442</v>
      </c>
      <c r="R474" s="27">
        <f t="shared" si="816"/>
        <v>114</v>
      </c>
      <c r="S474" s="27">
        <v>111</v>
      </c>
      <c r="T474" s="27">
        <f t="shared" si="817"/>
        <v>3</v>
      </c>
      <c r="U474" s="27">
        <v>11</v>
      </c>
      <c r="V474" s="27">
        <f t="shared" si="818"/>
        <v>0</v>
      </c>
      <c r="W474" s="47">
        <v>0</v>
      </c>
      <c r="X474" s="57" t="str">
        <f t="shared" si="838"/>
        <v>ＡＩマスコット</v>
      </c>
      <c r="Y474" s="62">
        <f t="shared" si="837"/>
        <v>286</v>
      </c>
      <c r="Z474" s="27">
        <f t="shared" si="820"/>
        <v>0</v>
      </c>
      <c r="AA474" s="28">
        <f t="shared" si="821"/>
        <v>0</v>
      </c>
      <c r="AB474" s="15"/>
      <c r="AC474" s="15"/>
      <c r="AD474" s="26"/>
      <c r="AE474" s="27">
        <v>10538</v>
      </c>
      <c r="AF474" s="27">
        <f t="shared" si="822"/>
        <v>103</v>
      </c>
      <c r="AG474" s="27">
        <v>280</v>
      </c>
      <c r="AH474" s="27">
        <f t="shared" si="823"/>
        <v>2</v>
      </c>
      <c r="AI474" s="27">
        <v>11</v>
      </c>
      <c r="AJ474" s="27">
        <f t="shared" si="824"/>
        <v>3</v>
      </c>
      <c r="AK474" s="47">
        <v>0</v>
      </c>
      <c r="AL474" s="57" t="str">
        <f t="shared" si="849"/>
        <v>モンチッチマスコット2</v>
      </c>
      <c r="AM474" s="62">
        <f t="shared" si="849"/>
        <v>540</v>
      </c>
      <c r="AN474" s="27">
        <f t="shared" si="826"/>
        <v>1620</v>
      </c>
      <c r="AO474" s="28">
        <f t="shared" si="827"/>
        <v>0.15728155339805824</v>
      </c>
      <c r="AP474" s="15"/>
      <c r="AQ474" s="15"/>
      <c r="AR474" s="26"/>
      <c r="AS474" s="27">
        <v>13336</v>
      </c>
      <c r="AT474" s="27">
        <f t="shared" si="828"/>
        <v>113</v>
      </c>
      <c r="AU474" s="27">
        <v>394</v>
      </c>
      <c r="AV474" s="27">
        <f t="shared" si="829"/>
        <v>1</v>
      </c>
      <c r="AW474" s="27">
        <v>29</v>
      </c>
      <c r="AX474" s="27">
        <f t="shared" si="830"/>
        <v>2</v>
      </c>
      <c r="AY474" s="47">
        <v>0</v>
      </c>
      <c r="AZ474" s="57" t="str">
        <f t="shared" si="833"/>
        <v>ラブブマスコット</v>
      </c>
      <c r="BA474" s="62">
        <f t="shared" si="834"/>
        <v>400</v>
      </c>
      <c r="BB474" s="27">
        <f t="shared" si="831"/>
        <v>800</v>
      </c>
      <c r="BC474" s="28">
        <f t="shared" si="832"/>
        <v>7.0796460176991149E-2</v>
      </c>
      <c r="BD474" s="15"/>
      <c r="BT474" s="15"/>
      <c r="BU474" s="16"/>
      <c r="BV474" s="54"/>
      <c r="BW474" s="13" t="str">
        <f t="shared" ref="BW474:BW494" si="851">IF(BV474="","",BV474-BV473)</f>
        <v/>
      </c>
      <c r="BX474" s="13"/>
      <c r="BY474" s="13"/>
      <c r="BZ474" s="13"/>
      <c r="CA474" s="13" t="str">
        <f t="shared" ref="CA474:CA494" si="852">IF(BZ474="","",BZ473+CB473-BZ474)</f>
        <v/>
      </c>
      <c r="CB474" s="13"/>
      <c r="CC474" s="13"/>
      <c r="CD474" s="13"/>
      <c r="CE474" s="13" t="str">
        <f t="shared" si="840"/>
        <v/>
      </c>
      <c r="CF474" s="14" t="str">
        <f t="shared" si="841"/>
        <v/>
      </c>
      <c r="CG474" s="15"/>
      <c r="CH474" s="1"/>
      <c r="CI474" s="16"/>
      <c r="CJ474" s="54"/>
      <c r="CK474" s="13" t="str">
        <f t="shared" ref="CK474:CK494" si="853">IF(CJ474="","",CJ474-CJ473)</f>
        <v/>
      </c>
      <c r="CL474" s="13"/>
      <c r="CM474" s="13"/>
      <c r="CN474" s="13"/>
      <c r="CO474" s="13" t="str">
        <f t="shared" ref="CO474:CO494" si="854">IF(CN474="","",CN473+CP473-CN474)</f>
        <v/>
      </c>
      <c r="CP474" s="13"/>
      <c r="CQ474" s="13"/>
      <c r="CR474" s="13"/>
      <c r="CS474" s="13" t="str">
        <f t="shared" si="842"/>
        <v/>
      </c>
      <c r="CT474" s="14" t="str">
        <f t="shared" si="850"/>
        <v/>
      </c>
      <c r="CU474" s="15"/>
      <c r="CV474" s="1"/>
      <c r="CW474" s="16"/>
      <c r="CX474" s="54"/>
      <c r="CY474" s="13" t="str">
        <f t="shared" ref="CY474:CY494" si="855">IF(CX474="","",CX474-CX473)</f>
        <v/>
      </c>
      <c r="CZ474" s="13"/>
      <c r="DA474" s="13"/>
      <c r="DB474" s="13"/>
      <c r="DC474" s="13" t="str">
        <f t="shared" ref="DC474:DC494" si="856">IF(DB474="","",DB473+DD473-DB474)</f>
        <v/>
      </c>
      <c r="DD474" s="13"/>
      <c r="DE474" s="13"/>
      <c r="DF474" s="13"/>
      <c r="DG474" s="13" t="str">
        <f t="shared" si="843"/>
        <v/>
      </c>
      <c r="DH474" s="14" t="str">
        <f t="shared" si="844"/>
        <v/>
      </c>
      <c r="DI474" s="15"/>
      <c r="DJ474" s="1"/>
      <c r="DK474" s="16"/>
      <c r="DL474" s="54"/>
      <c r="DM474" s="13" t="str">
        <f t="shared" ref="DM474:DM494" si="857">IF(DL474="","",DL474-DL473)</f>
        <v/>
      </c>
      <c r="DN474" s="13"/>
      <c r="DO474" s="13"/>
      <c r="DP474" s="13"/>
      <c r="DQ474" s="13" t="str">
        <f t="shared" ref="DQ474:DQ494" si="858">IF(DP474="","",DP473+DR473-DP474)</f>
        <v/>
      </c>
      <c r="DR474" s="13"/>
      <c r="DS474" s="13"/>
      <c r="DT474" s="13"/>
      <c r="DU474" s="13" t="str">
        <f t="shared" si="845"/>
        <v/>
      </c>
      <c r="DV474" s="14" t="str">
        <f t="shared" si="846"/>
        <v/>
      </c>
      <c r="DW474" s="15"/>
    </row>
    <row r="475" spans="1:127" ht="15" customHeight="1" thickTop="1" x14ac:dyDescent="0.2">
      <c r="A475" s="79">
        <v>46002</v>
      </c>
      <c r="B475" s="74">
        <f>IF(A475="","",SUM(D475:D478)+SUM(R475:R478)+SUM(AF475:AF478)+SUM(AT475:AT478)+SUM(BW454,CK454,CY454,DM454))</f>
        <v>1093</v>
      </c>
      <c r="C475" s="13">
        <v>4137</v>
      </c>
      <c r="D475" s="53">
        <f t="shared" si="809"/>
        <v>50</v>
      </c>
      <c r="E475" s="13">
        <v>320</v>
      </c>
      <c r="F475" s="31">
        <f t="shared" si="810"/>
        <v>1</v>
      </c>
      <c r="G475" s="13">
        <v>8</v>
      </c>
      <c r="H475" s="53">
        <f t="shared" si="811"/>
        <v>1</v>
      </c>
      <c r="I475" s="80">
        <v>2</v>
      </c>
      <c r="J475" s="75" t="str">
        <f t="shared" si="847"/>
        <v>キティヒョウ柄ポーチ</v>
      </c>
      <c r="K475" s="76">
        <f t="shared" si="848"/>
        <v>0</v>
      </c>
      <c r="L475" s="31">
        <f t="shared" si="814"/>
        <v>0</v>
      </c>
      <c r="M475" s="32">
        <f t="shared" si="815"/>
        <v>0</v>
      </c>
      <c r="N475" s="15"/>
      <c r="O475" s="2"/>
      <c r="P475" s="79">
        <f>IF($A475="","",$A475)</f>
        <v>46002</v>
      </c>
      <c r="Q475" s="13">
        <v>4091</v>
      </c>
      <c r="R475" s="53">
        <f t="shared" si="816"/>
        <v>30</v>
      </c>
      <c r="S475" s="13">
        <v>138</v>
      </c>
      <c r="T475" s="31">
        <f t="shared" si="817"/>
        <v>0</v>
      </c>
      <c r="U475" s="13">
        <v>9</v>
      </c>
      <c r="V475" s="53">
        <f t="shared" si="818"/>
        <v>0</v>
      </c>
      <c r="W475" s="80">
        <v>4</v>
      </c>
      <c r="X475" s="75" t="str">
        <f t="shared" si="838"/>
        <v>ジャグラーイヤホン</v>
      </c>
      <c r="Y475" s="76">
        <f t="shared" si="837"/>
        <v>1100</v>
      </c>
      <c r="Z475" s="31">
        <f t="shared" si="820"/>
        <v>0</v>
      </c>
      <c r="AA475" s="32">
        <f t="shared" si="821"/>
        <v>0</v>
      </c>
      <c r="AB475" s="15"/>
      <c r="AC475" s="15"/>
      <c r="AD475" s="79">
        <f>IF($A475="","",$A475)</f>
        <v>46002</v>
      </c>
      <c r="AE475" s="13">
        <v>9328</v>
      </c>
      <c r="AF475" s="53">
        <f t="shared" si="822"/>
        <v>66</v>
      </c>
      <c r="AG475" s="13">
        <v>208</v>
      </c>
      <c r="AH475" s="31">
        <f t="shared" si="823"/>
        <v>1</v>
      </c>
      <c r="AI475" s="13">
        <v>11</v>
      </c>
      <c r="AJ475" s="53">
        <f t="shared" si="824"/>
        <v>1</v>
      </c>
      <c r="AK475" s="80">
        <v>1</v>
      </c>
      <c r="AL475" s="75" t="str">
        <f t="shared" si="849"/>
        <v>サンリオ型押しケース</v>
      </c>
      <c r="AM475" s="76">
        <f t="shared" si="849"/>
        <v>1100</v>
      </c>
      <c r="AN475" s="31">
        <f t="shared" si="826"/>
        <v>1100</v>
      </c>
      <c r="AO475" s="32">
        <f t="shared" si="827"/>
        <v>0.16666666666666666</v>
      </c>
      <c r="AP475" s="15"/>
      <c r="AQ475" s="15"/>
      <c r="AR475" s="79">
        <f>IF($A475="","",$A475)</f>
        <v>46002</v>
      </c>
      <c r="AS475" s="13">
        <v>10011</v>
      </c>
      <c r="AT475" s="53">
        <f t="shared" si="828"/>
        <v>66</v>
      </c>
      <c r="AU475" s="13">
        <v>310</v>
      </c>
      <c r="AV475" s="31">
        <f t="shared" si="829"/>
        <v>1</v>
      </c>
      <c r="AW475" s="13">
        <v>15</v>
      </c>
      <c r="AX475" s="53">
        <f t="shared" si="830"/>
        <v>0</v>
      </c>
      <c r="AY475" s="80">
        <v>1</v>
      </c>
      <c r="AZ475" s="75" t="str">
        <f t="shared" si="833"/>
        <v>サンリオヒョウ柄キーケース</v>
      </c>
      <c r="BA475" s="76">
        <f t="shared" si="834"/>
        <v>700</v>
      </c>
      <c r="BB475" s="31">
        <f t="shared" si="831"/>
        <v>0</v>
      </c>
      <c r="BC475" s="32">
        <f t="shared" si="832"/>
        <v>0</v>
      </c>
      <c r="BD475" s="15"/>
      <c r="BT475" s="15"/>
      <c r="BU475" s="16"/>
      <c r="BV475" s="54"/>
      <c r="BW475" s="13" t="str">
        <f t="shared" si="851"/>
        <v/>
      </c>
      <c r="BX475" s="13"/>
      <c r="BY475" s="13"/>
      <c r="BZ475" s="13"/>
      <c r="CA475" s="13" t="str">
        <f t="shared" si="852"/>
        <v/>
      </c>
      <c r="CB475" s="13"/>
      <c r="CC475" s="13"/>
      <c r="CD475" s="13"/>
      <c r="CE475" s="13" t="str">
        <f t="shared" si="840"/>
        <v/>
      </c>
      <c r="CF475" s="14" t="str">
        <f t="shared" si="841"/>
        <v/>
      </c>
      <c r="CG475" s="15"/>
      <c r="CH475" s="1"/>
      <c r="CI475" s="16"/>
      <c r="CJ475" s="54"/>
      <c r="CK475" s="13" t="str">
        <f t="shared" si="853"/>
        <v/>
      </c>
      <c r="CL475" s="13"/>
      <c r="CM475" s="13"/>
      <c r="CN475" s="13"/>
      <c r="CO475" s="13" t="str">
        <f t="shared" si="854"/>
        <v/>
      </c>
      <c r="CP475" s="13"/>
      <c r="CQ475" s="13"/>
      <c r="CR475" s="13"/>
      <c r="CS475" s="13" t="str">
        <f t="shared" si="842"/>
        <v/>
      </c>
      <c r="CT475" s="14" t="str">
        <f t="shared" si="850"/>
        <v/>
      </c>
      <c r="CU475" s="15"/>
      <c r="CV475" s="1"/>
      <c r="CW475" s="16"/>
      <c r="CX475" s="54"/>
      <c r="CY475" s="13" t="str">
        <f t="shared" si="855"/>
        <v/>
      </c>
      <c r="CZ475" s="13"/>
      <c r="DA475" s="13"/>
      <c r="DB475" s="13"/>
      <c r="DC475" s="13" t="str">
        <f t="shared" si="856"/>
        <v/>
      </c>
      <c r="DD475" s="13"/>
      <c r="DE475" s="13"/>
      <c r="DF475" s="13"/>
      <c r="DG475" s="13" t="str">
        <f t="shared" si="843"/>
        <v/>
      </c>
      <c r="DH475" s="14" t="str">
        <f t="shared" si="844"/>
        <v/>
      </c>
      <c r="DI475" s="15"/>
      <c r="DJ475" s="1"/>
      <c r="DK475" s="16"/>
      <c r="DL475" s="54"/>
      <c r="DM475" s="13" t="str">
        <f t="shared" si="857"/>
        <v/>
      </c>
      <c r="DN475" s="13"/>
      <c r="DO475" s="13"/>
      <c r="DP475" s="13"/>
      <c r="DQ475" s="13" t="str">
        <f t="shared" si="858"/>
        <v/>
      </c>
      <c r="DR475" s="13"/>
      <c r="DS475" s="13"/>
      <c r="DT475" s="13"/>
      <c r="DU475" s="13" t="str">
        <f t="shared" si="845"/>
        <v/>
      </c>
      <c r="DV475" s="14" t="str">
        <f t="shared" si="846"/>
        <v/>
      </c>
      <c r="DW475" s="15"/>
    </row>
    <row r="476" spans="1:127" ht="15" customHeight="1" x14ac:dyDescent="0.2">
      <c r="A476" s="121"/>
      <c r="B476" s="74"/>
      <c r="C476" s="53">
        <v>3317</v>
      </c>
      <c r="D476" s="13">
        <f t="shared" si="809"/>
        <v>72</v>
      </c>
      <c r="E476" s="53">
        <v>340</v>
      </c>
      <c r="F476" s="13">
        <f t="shared" si="810"/>
        <v>0</v>
      </c>
      <c r="G476" s="13">
        <v>40</v>
      </c>
      <c r="H476" s="13">
        <f t="shared" si="811"/>
        <v>2</v>
      </c>
      <c r="I476" s="17">
        <v>0</v>
      </c>
      <c r="J476" s="56" t="s">
        <v>393</v>
      </c>
      <c r="K476" s="54">
        <f t="shared" ref="K476:K486" si="859">IF(D476="","",K472)</f>
        <v>1075</v>
      </c>
      <c r="L476" s="13">
        <f t="shared" si="814"/>
        <v>2150</v>
      </c>
      <c r="M476" s="14">
        <f t="shared" si="815"/>
        <v>0.2986111111111111</v>
      </c>
      <c r="N476" s="15" t="s">
        <v>109</v>
      </c>
      <c r="O476" s="2"/>
      <c r="P476" s="16"/>
      <c r="Q476" s="53">
        <v>3453</v>
      </c>
      <c r="R476" s="13">
        <f t="shared" si="816"/>
        <v>62</v>
      </c>
      <c r="S476" s="53">
        <v>109</v>
      </c>
      <c r="T476" s="13">
        <f t="shared" si="817"/>
        <v>2</v>
      </c>
      <c r="U476" s="13">
        <v>16</v>
      </c>
      <c r="V476" s="13">
        <f t="shared" si="818"/>
        <v>2</v>
      </c>
      <c r="W476" s="17">
        <v>0</v>
      </c>
      <c r="X476" s="56" t="str">
        <f t="shared" si="838"/>
        <v>押忍番長ボタン</v>
      </c>
      <c r="Y476" s="54">
        <f t="shared" si="837"/>
        <v>1100</v>
      </c>
      <c r="Z476" s="13">
        <f t="shared" si="820"/>
        <v>2200</v>
      </c>
      <c r="AA476" s="14">
        <f t="shared" si="821"/>
        <v>0.35483870967741937</v>
      </c>
      <c r="AB476" s="15"/>
      <c r="AC476" s="15"/>
      <c r="AD476" s="16"/>
      <c r="AE476" s="53">
        <v>8992</v>
      </c>
      <c r="AF476" s="87">
        <f t="shared" si="822"/>
        <v>11</v>
      </c>
      <c r="AG476" s="53">
        <v>204</v>
      </c>
      <c r="AH476" s="13">
        <f t="shared" si="823"/>
        <v>1</v>
      </c>
      <c r="AI476" s="13">
        <v>19</v>
      </c>
      <c r="AJ476" s="13">
        <f t="shared" si="824"/>
        <v>1</v>
      </c>
      <c r="AK476" s="17">
        <v>0</v>
      </c>
      <c r="AL476" s="56" t="s">
        <v>394</v>
      </c>
      <c r="AM476" s="54">
        <f t="shared" ref="AM476:AM486" si="860">IF(AF476="","",AM472)</f>
        <v>660</v>
      </c>
      <c r="AN476" s="13">
        <f t="shared" si="826"/>
        <v>660</v>
      </c>
      <c r="AO476" s="14">
        <f t="shared" si="827"/>
        <v>0.6</v>
      </c>
      <c r="AP476" s="15" t="s">
        <v>345</v>
      </c>
      <c r="AQ476" s="15"/>
      <c r="AR476" s="16"/>
      <c r="AS476" s="53">
        <v>6833</v>
      </c>
      <c r="AT476" s="87">
        <f t="shared" si="828"/>
        <v>12</v>
      </c>
      <c r="AU476" s="53">
        <v>345</v>
      </c>
      <c r="AV476" s="13">
        <f t="shared" si="829"/>
        <v>0</v>
      </c>
      <c r="AW476" s="13">
        <v>24</v>
      </c>
      <c r="AX476" s="13">
        <f t="shared" si="830"/>
        <v>0</v>
      </c>
      <c r="AY476" s="17">
        <v>0</v>
      </c>
      <c r="AZ476" s="56" t="str">
        <f t="shared" si="833"/>
        <v>ねこアイシャドウ</v>
      </c>
      <c r="BA476" s="54">
        <f t="shared" si="834"/>
        <v>1000</v>
      </c>
      <c r="BB476" s="13">
        <f t="shared" si="831"/>
        <v>0</v>
      </c>
      <c r="BC476" s="14">
        <f t="shared" si="832"/>
        <v>0</v>
      </c>
      <c r="BD476" s="15"/>
      <c r="BT476" s="15"/>
      <c r="BU476" s="16"/>
      <c r="BV476" s="54"/>
      <c r="BW476" s="13" t="str">
        <f t="shared" si="851"/>
        <v/>
      </c>
      <c r="BX476" s="13"/>
      <c r="BY476" s="13"/>
      <c r="BZ476" s="13"/>
      <c r="CA476" s="13" t="str">
        <f t="shared" si="852"/>
        <v/>
      </c>
      <c r="CB476" s="13"/>
      <c r="CC476" s="13"/>
      <c r="CD476" s="13"/>
      <c r="CE476" s="13" t="str">
        <f t="shared" si="840"/>
        <v/>
      </c>
      <c r="CF476" s="14" t="str">
        <f t="shared" si="841"/>
        <v/>
      </c>
      <c r="CG476" s="15"/>
      <c r="CH476" s="1"/>
      <c r="CI476" s="16"/>
      <c r="CJ476" s="54"/>
      <c r="CK476" s="13" t="str">
        <f t="shared" si="853"/>
        <v/>
      </c>
      <c r="CL476" s="13"/>
      <c r="CM476" s="13"/>
      <c r="CN476" s="13"/>
      <c r="CO476" s="13" t="str">
        <f t="shared" si="854"/>
        <v/>
      </c>
      <c r="CP476" s="13"/>
      <c r="CQ476" s="13"/>
      <c r="CR476" s="13"/>
      <c r="CS476" s="13" t="str">
        <f t="shared" si="842"/>
        <v/>
      </c>
      <c r="CT476" s="14" t="str">
        <f t="shared" si="850"/>
        <v/>
      </c>
      <c r="CU476" s="15"/>
      <c r="CV476" s="1"/>
      <c r="CW476" s="16"/>
      <c r="CX476" s="54"/>
      <c r="CY476" s="13" t="str">
        <f t="shared" si="855"/>
        <v/>
      </c>
      <c r="CZ476" s="13"/>
      <c r="DA476" s="13"/>
      <c r="DB476" s="13"/>
      <c r="DC476" s="13" t="str">
        <f t="shared" si="856"/>
        <v/>
      </c>
      <c r="DD476" s="13"/>
      <c r="DE476" s="13"/>
      <c r="DF476" s="13"/>
      <c r="DG476" s="13" t="str">
        <f t="shared" si="843"/>
        <v/>
      </c>
      <c r="DH476" s="14" t="str">
        <f t="shared" si="844"/>
        <v/>
      </c>
      <c r="DI476" s="15"/>
      <c r="DJ476" s="1"/>
      <c r="DK476" s="16"/>
      <c r="DL476" s="54"/>
      <c r="DM476" s="13" t="str">
        <f t="shared" si="857"/>
        <v/>
      </c>
      <c r="DN476" s="13"/>
      <c r="DO476" s="13"/>
      <c r="DP476" s="13"/>
      <c r="DQ476" s="13" t="str">
        <f t="shared" si="858"/>
        <v/>
      </c>
      <c r="DR476" s="13"/>
      <c r="DS476" s="13"/>
      <c r="DT476" s="13"/>
      <c r="DU476" s="13" t="str">
        <f t="shared" si="845"/>
        <v/>
      </c>
      <c r="DV476" s="14" t="str">
        <f t="shared" si="846"/>
        <v/>
      </c>
      <c r="DW476" s="15"/>
    </row>
    <row r="477" spans="1:127" x14ac:dyDescent="0.2">
      <c r="A477" s="16"/>
      <c r="B477" s="11"/>
      <c r="C477" s="13">
        <v>10029</v>
      </c>
      <c r="D477" s="13">
        <f t="shared" si="809"/>
        <v>73</v>
      </c>
      <c r="E477" s="13">
        <v>583</v>
      </c>
      <c r="F477" s="13">
        <f t="shared" si="810"/>
        <v>2</v>
      </c>
      <c r="G477" s="13">
        <v>140</v>
      </c>
      <c r="H477" s="13">
        <f t="shared" si="811"/>
        <v>10</v>
      </c>
      <c r="I477" s="49">
        <v>0</v>
      </c>
      <c r="J477" s="56" t="str">
        <f t="shared" ref="J477:J486" si="861">IF(C477="","",J473)</f>
        <v>AIモンスタラバー</v>
      </c>
      <c r="K477" s="13">
        <f t="shared" si="859"/>
        <v>200</v>
      </c>
      <c r="L477" s="13">
        <f t="shared" si="814"/>
        <v>2000</v>
      </c>
      <c r="M477" s="14">
        <f t="shared" si="815"/>
        <v>0.27397260273972601</v>
      </c>
      <c r="N477" s="15"/>
      <c r="O477" s="2"/>
      <c r="P477" s="16"/>
      <c r="Q477" s="13">
        <v>6978</v>
      </c>
      <c r="R477" s="13">
        <f t="shared" si="816"/>
        <v>28</v>
      </c>
      <c r="S477" s="13">
        <v>124</v>
      </c>
      <c r="T477" s="13">
        <f t="shared" si="817"/>
        <v>1</v>
      </c>
      <c r="U477" s="13">
        <v>12</v>
      </c>
      <c r="V477" s="13">
        <f t="shared" si="818"/>
        <v>1</v>
      </c>
      <c r="W477" s="49">
        <v>0</v>
      </c>
      <c r="X477" s="56" t="s">
        <v>374</v>
      </c>
      <c r="Y477" s="13">
        <v>660</v>
      </c>
      <c r="Z477" s="13">
        <f t="shared" si="820"/>
        <v>660</v>
      </c>
      <c r="AA477" s="14">
        <f t="shared" si="821"/>
        <v>0.23571428571428571</v>
      </c>
      <c r="AB477" s="15"/>
      <c r="AC477" s="15"/>
      <c r="AD477" s="16"/>
      <c r="AE477" s="13">
        <v>10621</v>
      </c>
      <c r="AF477" s="13">
        <f t="shared" si="822"/>
        <v>51</v>
      </c>
      <c r="AG477" s="13">
        <v>293</v>
      </c>
      <c r="AH477" s="13">
        <f t="shared" si="823"/>
        <v>1</v>
      </c>
      <c r="AI477" s="13">
        <v>55</v>
      </c>
      <c r="AJ477" s="13">
        <f t="shared" si="824"/>
        <v>-5</v>
      </c>
      <c r="AK477" s="49">
        <v>0</v>
      </c>
      <c r="AL477" s="56" t="str">
        <f t="shared" ref="AL477:AL486" si="862">IF(AE477="","",AL473)</f>
        <v>ゲームアーク</v>
      </c>
      <c r="AM477" s="13">
        <f t="shared" si="860"/>
        <v>600</v>
      </c>
      <c r="AN477" s="13">
        <f t="shared" si="826"/>
        <v>-3000</v>
      </c>
      <c r="AO477" s="14">
        <f t="shared" si="827"/>
        <v>-0.58823529411764708</v>
      </c>
      <c r="AP477" s="15"/>
      <c r="AQ477" s="15"/>
      <c r="AR477" s="16"/>
      <c r="AS477" s="13">
        <v>13026</v>
      </c>
      <c r="AT477" s="13">
        <f t="shared" si="828"/>
        <v>59</v>
      </c>
      <c r="AU477" s="13">
        <v>462</v>
      </c>
      <c r="AV477" s="13">
        <f t="shared" si="829"/>
        <v>2</v>
      </c>
      <c r="AW477" s="13">
        <v>24</v>
      </c>
      <c r="AX477" s="13">
        <f t="shared" si="830"/>
        <v>2</v>
      </c>
      <c r="AY477" s="49">
        <v>2</v>
      </c>
      <c r="AZ477" s="56" t="str">
        <f t="shared" si="833"/>
        <v>ラブブキーホルダーおおきめ</v>
      </c>
      <c r="BA477" s="13">
        <f t="shared" si="834"/>
        <v>500</v>
      </c>
      <c r="BB477" s="13">
        <f t="shared" si="831"/>
        <v>1000</v>
      </c>
      <c r="BC477" s="14">
        <f t="shared" si="832"/>
        <v>0.16949152542372881</v>
      </c>
      <c r="BD477" s="15"/>
      <c r="BT477" s="15"/>
      <c r="BU477" s="16"/>
      <c r="BV477" s="54"/>
      <c r="BW477" s="13" t="str">
        <f t="shared" si="851"/>
        <v/>
      </c>
      <c r="BX477" s="13"/>
      <c r="BY477" s="13"/>
      <c r="BZ477" s="13"/>
      <c r="CA477" s="13" t="str">
        <f t="shared" si="852"/>
        <v/>
      </c>
      <c r="CB477" s="13"/>
      <c r="CC477" s="13"/>
      <c r="CD477" s="13"/>
      <c r="CE477" s="13" t="str">
        <f t="shared" si="840"/>
        <v/>
      </c>
      <c r="CF477" s="14" t="str">
        <f t="shared" si="841"/>
        <v/>
      </c>
      <c r="CG477" s="15"/>
      <c r="CH477" s="1"/>
      <c r="CI477" s="16"/>
      <c r="CJ477" s="54"/>
      <c r="CK477" s="13" t="str">
        <f t="shared" si="853"/>
        <v/>
      </c>
      <c r="CL477" s="13"/>
      <c r="CM477" s="13"/>
      <c r="CN477" s="13"/>
      <c r="CO477" s="13" t="str">
        <f t="shared" si="854"/>
        <v/>
      </c>
      <c r="CP477" s="13"/>
      <c r="CQ477" s="13"/>
      <c r="CR477" s="13"/>
      <c r="CS477" s="13" t="str">
        <f t="shared" si="842"/>
        <v/>
      </c>
      <c r="CT477" s="14" t="str">
        <f t="shared" si="850"/>
        <v/>
      </c>
      <c r="CU477" s="15"/>
      <c r="CV477" s="1"/>
      <c r="CW477" s="16"/>
      <c r="CX477" s="54"/>
      <c r="CY477" s="13" t="str">
        <f t="shared" si="855"/>
        <v/>
      </c>
      <c r="CZ477" s="13"/>
      <c r="DA477" s="13"/>
      <c r="DB477" s="13"/>
      <c r="DC477" s="13" t="str">
        <f t="shared" si="856"/>
        <v/>
      </c>
      <c r="DD477" s="13"/>
      <c r="DE477" s="13"/>
      <c r="DF477" s="13"/>
      <c r="DG477" s="13" t="str">
        <f t="shared" si="843"/>
        <v/>
      </c>
      <c r="DH477" s="14" t="str">
        <f t="shared" si="844"/>
        <v/>
      </c>
      <c r="DI477" s="15"/>
      <c r="DJ477" s="1"/>
      <c r="DK477" s="16"/>
      <c r="DL477" s="54"/>
      <c r="DM477" s="13" t="str">
        <f t="shared" si="857"/>
        <v/>
      </c>
      <c r="DN477" s="13"/>
      <c r="DO477" s="13"/>
      <c r="DP477" s="13"/>
      <c r="DQ477" s="13" t="str">
        <f t="shared" si="858"/>
        <v/>
      </c>
      <c r="DR477" s="13"/>
      <c r="DS477" s="13"/>
      <c r="DT477" s="13"/>
      <c r="DU477" s="13" t="str">
        <f t="shared" si="845"/>
        <v/>
      </c>
      <c r="DV477" s="14" t="str">
        <f t="shared" si="846"/>
        <v/>
      </c>
      <c r="DW477" s="15"/>
    </row>
    <row r="478" spans="1:127" ht="15" customHeight="1" thickBot="1" x14ac:dyDescent="0.25">
      <c r="A478" s="26"/>
      <c r="B478" s="46"/>
      <c r="C478" s="27">
        <v>5018</v>
      </c>
      <c r="D478" s="27">
        <f t="shared" si="809"/>
        <v>108</v>
      </c>
      <c r="E478" s="27">
        <v>414</v>
      </c>
      <c r="F478" s="27">
        <f t="shared" si="810"/>
        <v>2</v>
      </c>
      <c r="G478" s="27">
        <v>40</v>
      </c>
      <c r="H478" s="27">
        <f t="shared" si="811"/>
        <v>2</v>
      </c>
      <c r="I478" s="47">
        <v>4</v>
      </c>
      <c r="J478" s="57" t="str">
        <f t="shared" si="861"/>
        <v>NICIマスコット</v>
      </c>
      <c r="K478" s="62">
        <f t="shared" si="859"/>
        <v>900</v>
      </c>
      <c r="L478" s="27">
        <f t="shared" si="814"/>
        <v>1800</v>
      </c>
      <c r="M478" s="28">
        <f t="shared" si="815"/>
        <v>0.16666666666666666</v>
      </c>
      <c r="N478" s="15"/>
      <c r="O478" s="2"/>
      <c r="P478" s="26"/>
      <c r="Q478" s="27">
        <v>6474</v>
      </c>
      <c r="R478" s="27">
        <f t="shared" si="816"/>
        <v>32</v>
      </c>
      <c r="S478" s="27">
        <v>112</v>
      </c>
      <c r="T478" s="27">
        <f t="shared" si="817"/>
        <v>1</v>
      </c>
      <c r="U478" s="27">
        <v>7</v>
      </c>
      <c r="V478" s="27">
        <f t="shared" si="818"/>
        <v>4</v>
      </c>
      <c r="W478" s="47">
        <v>0</v>
      </c>
      <c r="X478" s="57" t="str">
        <f t="shared" ref="X478:X486" si="863">IF(Q478="","",X474)</f>
        <v>ＡＩマスコット</v>
      </c>
      <c r="Y478" s="62">
        <f t="shared" ref="Y478:Y486" si="864">IF(R478="","",Y474)</f>
        <v>286</v>
      </c>
      <c r="Z478" s="27">
        <f t="shared" si="820"/>
        <v>1144</v>
      </c>
      <c r="AA478" s="28">
        <f t="shared" si="821"/>
        <v>0.35749999999999998</v>
      </c>
      <c r="AB478" s="15"/>
      <c r="AC478" s="15"/>
      <c r="AD478" s="26"/>
      <c r="AE478" s="27">
        <v>10618</v>
      </c>
      <c r="AF478" s="27">
        <f t="shared" si="822"/>
        <v>80</v>
      </c>
      <c r="AG478" s="27">
        <v>282</v>
      </c>
      <c r="AH478" s="27">
        <f t="shared" si="823"/>
        <v>2</v>
      </c>
      <c r="AI478" s="27">
        <v>9</v>
      </c>
      <c r="AJ478" s="27">
        <f t="shared" si="824"/>
        <v>2</v>
      </c>
      <c r="AK478" s="47">
        <v>3</v>
      </c>
      <c r="AL478" s="57" t="str">
        <f t="shared" si="862"/>
        <v>モンチッチマスコット2</v>
      </c>
      <c r="AM478" s="62">
        <f t="shared" si="860"/>
        <v>540</v>
      </c>
      <c r="AN478" s="27">
        <f t="shared" si="826"/>
        <v>1080</v>
      </c>
      <c r="AO478" s="28">
        <f t="shared" si="827"/>
        <v>0.13500000000000001</v>
      </c>
      <c r="AP478" s="15"/>
      <c r="AQ478" s="15"/>
      <c r="AR478" s="26"/>
      <c r="AS478" s="27">
        <v>13376</v>
      </c>
      <c r="AT478" s="27">
        <f t="shared" si="828"/>
        <v>40</v>
      </c>
      <c r="AU478" s="27">
        <v>394</v>
      </c>
      <c r="AV478" s="27">
        <f t="shared" si="829"/>
        <v>0</v>
      </c>
      <c r="AW478" s="27">
        <v>29</v>
      </c>
      <c r="AX478" s="27">
        <f t="shared" si="830"/>
        <v>0</v>
      </c>
      <c r="AY478" s="47">
        <v>0</v>
      </c>
      <c r="AZ478" s="57" t="str">
        <f t="shared" si="833"/>
        <v>ラブブマスコット</v>
      </c>
      <c r="BA478" s="62">
        <f t="shared" si="834"/>
        <v>400</v>
      </c>
      <c r="BB478" s="27">
        <f t="shared" si="831"/>
        <v>0</v>
      </c>
      <c r="BC478" s="28">
        <f t="shared" si="832"/>
        <v>0</v>
      </c>
      <c r="BD478" s="15"/>
      <c r="BT478" s="15"/>
      <c r="BU478" s="16"/>
      <c r="BV478" s="54"/>
      <c r="BW478" s="13" t="str">
        <f t="shared" si="851"/>
        <v/>
      </c>
      <c r="BX478" s="13"/>
      <c r="BY478" s="13"/>
      <c r="BZ478" s="13"/>
      <c r="CA478" s="13" t="str">
        <f t="shared" si="852"/>
        <v/>
      </c>
      <c r="CB478" s="13"/>
      <c r="CC478" s="13"/>
      <c r="CD478" s="13"/>
      <c r="CE478" s="13" t="str">
        <f t="shared" si="840"/>
        <v/>
      </c>
      <c r="CF478" s="14" t="str">
        <f t="shared" si="841"/>
        <v/>
      </c>
      <c r="CG478" s="15"/>
      <c r="CH478" s="1"/>
      <c r="CI478" s="16"/>
      <c r="CJ478" s="54"/>
      <c r="CK478" s="13" t="str">
        <f t="shared" si="853"/>
        <v/>
      </c>
      <c r="CL478" s="13"/>
      <c r="CM478" s="13"/>
      <c r="CN478" s="13"/>
      <c r="CO478" s="13" t="str">
        <f t="shared" si="854"/>
        <v/>
      </c>
      <c r="CP478" s="13"/>
      <c r="CQ478" s="13"/>
      <c r="CR478" s="13"/>
      <c r="CS478" s="13" t="str">
        <f t="shared" si="842"/>
        <v/>
      </c>
      <c r="CT478" s="14" t="str">
        <f t="shared" si="850"/>
        <v/>
      </c>
      <c r="CU478" s="15"/>
      <c r="CV478" s="1"/>
      <c r="CW478" s="16"/>
      <c r="CX478" s="54"/>
      <c r="CY478" s="13" t="str">
        <f t="shared" si="855"/>
        <v/>
      </c>
      <c r="CZ478" s="13"/>
      <c r="DA478" s="13"/>
      <c r="DB478" s="13"/>
      <c r="DC478" s="13" t="str">
        <f t="shared" si="856"/>
        <v/>
      </c>
      <c r="DD478" s="13"/>
      <c r="DE478" s="13"/>
      <c r="DF478" s="13"/>
      <c r="DG478" s="13" t="str">
        <f t="shared" si="843"/>
        <v/>
      </c>
      <c r="DH478" s="14" t="str">
        <f t="shared" si="844"/>
        <v/>
      </c>
      <c r="DI478" s="15"/>
      <c r="DJ478" s="1"/>
      <c r="DK478" s="16"/>
      <c r="DL478" s="54"/>
      <c r="DM478" s="13" t="str">
        <f t="shared" si="857"/>
        <v/>
      </c>
      <c r="DN478" s="13"/>
      <c r="DO478" s="13"/>
      <c r="DP478" s="13"/>
      <c r="DQ478" s="13" t="str">
        <f t="shared" si="858"/>
        <v/>
      </c>
      <c r="DR478" s="13"/>
      <c r="DS478" s="13"/>
      <c r="DT478" s="13"/>
      <c r="DU478" s="13" t="str">
        <f t="shared" si="845"/>
        <v/>
      </c>
      <c r="DV478" s="14" t="str">
        <f t="shared" si="846"/>
        <v/>
      </c>
      <c r="DW478" s="15"/>
    </row>
    <row r="479" spans="1:127" ht="15" customHeight="1" thickTop="1" x14ac:dyDescent="0.2">
      <c r="A479" s="79">
        <v>46006</v>
      </c>
      <c r="B479" s="74">
        <f>IF(A479="","",SUM(D479:D482)+SUM(R479:R482)+SUM(AF479:AF482)+SUM(AT479:AT482)+SUM(BW455,CK455,CY455,DM455))</f>
        <v>2554</v>
      </c>
      <c r="C479" s="13">
        <v>4290</v>
      </c>
      <c r="D479" s="53">
        <f t="shared" si="809"/>
        <v>153</v>
      </c>
      <c r="E479" s="13">
        <v>322</v>
      </c>
      <c r="F479" s="31">
        <f t="shared" si="810"/>
        <v>2</v>
      </c>
      <c r="G479" s="13">
        <v>9</v>
      </c>
      <c r="H479" s="53">
        <f t="shared" si="811"/>
        <v>1</v>
      </c>
      <c r="I479" s="80">
        <v>0</v>
      </c>
      <c r="J479" s="75" t="str">
        <f t="shared" si="861"/>
        <v>キティヒョウ柄ポーチ</v>
      </c>
      <c r="K479" s="76">
        <f t="shared" si="859"/>
        <v>0</v>
      </c>
      <c r="L479" s="31">
        <f t="shared" si="814"/>
        <v>0</v>
      </c>
      <c r="M479" s="32">
        <f t="shared" si="815"/>
        <v>0</v>
      </c>
      <c r="N479" s="15"/>
      <c r="O479" s="2"/>
      <c r="P479" s="79">
        <f>IF($A479="","",$A479)</f>
        <v>46006</v>
      </c>
      <c r="Q479" s="13">
        <v>4158</v>
      </c>
      <c r="R479" s="53">
        <f t="shared" si="816"/>
        <v>67</v>
      </c>
      <c r="S479" s="13">
        <v>138</v>
      </c>
      <c r="T479" s="31">
        <f t="shared" si="817"/>
        <v>0</v>
      </c>
      <c r="U479" s="13">
        <v>13</v>
      </c>
      <c r="V479" s="53">
        <f t="shared" si="818"/>
        <v>0</v>
      </c>
      <c r="W479" s="80">
        <v>0</v>
      </c>
      <c r="X479" s="135" t="str">
        <f t="shared" si="863"/>
        <v>ジャグラーイヤホン</v>
      </c>
      <c r="Y479" s="76">
        <f t="shared" si="864"/>
        <v>1100</v>
      </c>
      <c r="Z479" s="31">
        <f t="shared" si="820"/>
        <v>0</v>
      </c>
      <c r="AA479" s="32">
        <f t="shared" si="821"/>
        <v>0</v>
      </c>
      <c r="AB479" s="15" t="s">
        <v>324</v>
      </c>
      <c r="AC479" s="15"/>
      <c r="AD479" s="79">
        <f>IF($A479="","",$A479)</f>
        <v>46006</v>
      </c>
      <c r="AE479" s="13">
        <v>9373</v>
      </c>
      <c r="AF479" s="127">
        <f t="shared" si="822"/>
        <v>45</v>
      </c>
      <c r="AG479" s="13">
        <v>211</v>
      </c>
      <c r="AH479" s="31">
        <f t="shared" si="823"/>
        <v>3</v>
      </c>
      <c r="AI479" s="13">
        <v>9</v>
      </c>
      <c r="AJ479" s="53">
        <f t="shared" si="824"/>
        <v>3</v>
      </c>
      <c r="AK479" s="80">
        <v>0</v>
      </c>
      <c r="AL479" s="135" t="str">
        <f t="shared" si="862"/>
        <v>サンリオ型押しケース</v>
      </c>
      <c r="AM479" s="76">
        <f t="shared" si="860"/>
        <v>1100</v>
      </c>
      <c r="AN479" s="31">
        <f t="shared" si="826"/>
        <v>3300</v>
      </c>
      <c r="AO479" s="32">
        <f t="shared" si="827"/>
        <v>0.73333333333333328</v>
      </c>
      <c r="AP479" s="15"/>
      <c r="AQ479" s="15"/>
      <c r="AR479" s="79">
        <f>IF($A479="","",$A479)</f>
        <v>46006</v>
      </c>
      <c r="AS479" s="13">
        <v>10115</v>
      </c>
      <c r="AT479" s="53">
        <f t="shared" si="828"/>
        <v>104</v>
      </c>
      <c r="AU479" s="13">
        <v>313</v>
      </c>
      <c r="AV479" s="31">
        <f t="shared" si="829"/>
        <v>3</v>
      </c>
      <c r="AW479" s="13">
        <v>15</v>
      </c>
      <c r="AX479" s="53">
        <f t="shared" si="830"/>
        <v>1</v>
      </c>
      <c r="AY479" s="80">
        <v>0</v>
      </c>
      <c r="AZ479" s="75" t="str">
        <f t="shared" si="833"/>
        <v>サンリオヒョウ柄キーケース</v>
      </c>
      <c r="BA479" s="76">
        <f t="shared" si="834"/>
        <v>700</v>
      </c>
      <c r="BB479" s="31">
        <f t="shared" si="831"/>
        <v>700</v>
      </c>
      <c r="BC479" s="32">
        <f t="shared" si="832"/>
        <v>6.7307692307692304E-2</v>
      </c>
      <c r="BD479" s="15"/>
      <c r="BT479" s="15"/>
      <c r="BU479" s="16"/>
      <c r="BV479" s="54"/>
      <c r="BW479" s="13" t="str">
        <f t="shared" si="851"/>
        <v/>
      </c>
      <c r="BX479" s="13"/>
      <c r="BY479" s="13"/>
      <c r="BZ479" s="13"/>
      <c r="CA479" s="13" t="str">
        <f t="shared" si="852"/>
        <v/>
      </c>
      <c r="CB479" s="13"/>
      <c r="CC479" s="13"/>
      <c r="CD479" s="13"/>
      <c r="CE479" s="13" t="str">
        <f t="shared" si="840"/>
        <v/>
      </c>
      <c r="CF479" s="14" t="str">
        <f t="shared" si="841"/>
        <v/>
      </c>
      <c r="CG479" s="15"/>
      <c r="CH479" s="1"/>
      <c r="CI479" s="16"/>
      <c r="CJ479" s="54"/>
      <c r="CK479" s="13" t="str">
        <f t="shared" si="853"/>
        <v/>
      </c>
      <c r="CL479" s="13"/>
      <c r="CM479" s="13"/>
      <c r="CN479" s="13"/>
      <c r="CO479" s="13" t="str">
        <f t="shared" si="854"/>
        <v/>
      </c>
      <c r="CP479" s="13"/>
      <c r="CQ479" s="13"/>
      <c r="CR479" s="13"/>
      <c r="CS479" s="13" t="str">
        <f t="shared" si="842"/>
        <v/>
      </c>
      <c r="CT479" s="14" t="str">
        <f t="shared" si="850"/>
        <v/>
      </c>
      <c r="CU479" s="15"/>
      <c r="CV479" s="1"/>
      <c r="CW479" s="16"/>
      <c r="CX479" s="54"/>
      <c r="CY479" s="13" t="str">
        <f t="shared" si="855"/>
        <v/>
      </c>
      <c r="CZ479" s="13"/>
      <c r="DA479" s="13"/>
      <c r="DB479" s="13"/>
      <c r="DC479" s="13" t="str">
        <f t="shared" si="856"/>
        <v/>
      </c>
      <c r="DD479" s="13"/>
      <c r="DE479" s="13"/>
      <c r="DF479" s="13"/>
      <c r="DG479" s="13" t="str">
        <f t="shared" si="843"/>
        <v/>
      </c>
      <c r="DH479" s="14" t="str">
        <f t="shared" si="844"/>
        <v/>
      </c>
      <c r="DI479" s="15"/>
      <c r="DJ479" s="1"/>
      <c r="DK479" s="16"/>
      <c r="DL479" s="54"/>
      <c r="DM479" s="13" t="str">
        <f t="shared" si="857"/>
        <v/>
      </c>
      <c r="DN479" s="13"/>
      <c r="DO479" s="13"/>
      <c r="DP479" s="13"/>
      <c r="DQ479" s="13" t="str">
        <f t="shared" si="858"/>
        <v/>
      </c>
      <c r="DR479" s="13"/>
      <c r="DS479" s="13"/>
      <c r="DT479" s="13"/>
      <c r="DU479" s="13" t="str">
        <f t="shared" si="845"/>
        <v/>
      </c>
      <c r="DV479" s="14" t="str">
        <f t="shared" si="846"/>
        <v/>
      </c>
      <c r="DW479" s="15"/>
    </row>
    <row r="480" spans="1:127" ht="15" customHeight="1" x14ac:dyDescent="0.2">
      <c r="A480" s="133"/>
      <c r="B480" s="11"/>
      <c r="C480" s="53">
        <v>3455</v>
      </c>
      <c r="D480" s="13">
        <f t="shared" si="809"/>
        <v>138</v>
      </c>
      <c r="E480" s="53">
        <v>341</v>
      </c>
      <c r="F480" s="13">
        <f t="shared" si="810"/>
        <v>1</v>
      </c>
      <c r="G480" s="13">
        <v>38</v>
      </c>
      <c r="H480" s="13">
        <f t="shared" si="811"/>
        <v>2</v>
      </c>
      <c r="I480" s="17">
        <v>0</v>
      </c>
      <c r="J480" s="56" t="str">
        <f t="shared" si="861"/>
        <v>電ブル</v>
      </c>
      <c r="K480" s="54">
        <f t="shared" si="859"/>
        <v>1075</v>
      </c>
      <c r="L480" s="13">
        <f t="shared" si="814"/>
        <v>2150</v>
      </c>
      <c r="M480" s="14">
        <f t="shared" si="815"/>
        <v>0.15579710144927536</v>
      </c>
      <c r="N480" s="15"/>
      <c r="O480" s="2"/>
      <c r="P480" s="16"/>
      <c r="Q480" s="53">
        <v>3549</v>
      </c>
      <c r="R480" s="13">
        <f t="shared" si="816"/>
        <v>96</v>
      </c>
      <c r="S480" s="53">
        <v>111</v>
      </c>
      <c r="T480" s="13">
        <f t="shared" si="817"/>
        <v>2</v>
      </c>
      <c r="U480" s="13">
        <v>14</v>
      </c>
      <c r="V480" s="13">
        <f t="shared" si="818"/>
        <v>2</v>
      </c>
      <c r="W480" s="17">
        <v>0</v>
      </c>
      <c r="X480" s="56" t="str">
        <f t="shared" si="863"/>
        <v>押忍番長ボタン</v>
      </c>
      <c r="Y480" s="54">
        <f t="shared" si="864"/>
        <v>1100</v>
      </c>
      <c r="Z480" s="13">
        <f t="shared" si="820"/>
        <v>2200</v>
      </c>
      <c r="AA480" s="14">
        <f t="shared" si="821"/>
        <v>0.22916666666666666</v>
      </c>
      <c r="AB480" s="15" t="s">
        <v>7</v>
      </c>
      <c r="AC480" s="15"/>
      <c r="AD480" s="16"/>
      <c r="AE480" s="53">
        <v>9005</v>
      </c>
      <c r="AF480" s="87">
        <f t="shared" si="822"/>
        <v>13</v>
      </c>
      <c r="AG480" s="53">
        <v>204</v>
      </c>
      <c r="AH480" s="13">
        <f t="shared" si="823"/>
        <v>0</v>
      </c>
      <c r="AI480" s="13">
        <v>19</v>
      </c>
      <c r="AJ480" s="13">
        <f t="shared" si="824"/>
        <v>0</v>
      </c>
      <c r="AK480" s="17">
        <v>0</v>
      </c>
      <c r="AL480" s="111" t="str">
        <f t="shared" si="862"/>
        <v>サンリオリボンポーチ</v>
      </c>
      <c r="AM480" s="54">
        <f t="shared" si="860"/>
        <v>660</v>
      </c>
      <c r="AN480" s="13">
        <f t="shared" si="826"/>
        <v>0</v>
      </c>
      <c r="AO480" s="14">
        <f t="shared" si="827"/>
        <v>0</v>
      </c>
      <c r="AP480" s="15"/>
      <c r="AQ480" s="15"/>
      <c r="AR480" s="16"/>
      <c r="AS480" s="53">
        <v>6883</v>
      </c>
      <c r="AT480" s="87">
        <f t="shared" si="828"/>
        <v>50</v>
      </c>
      <c r="AU480" s="53">
        <v>352</v>
      </c>
      <c r="AV480" s="13">
        <f t="shared" si="829"/>
        <v>7</v>
      </c>
      <c r="AW480" s="13">
        <v>15</v>
      </c>
      <c r="AX480" s="13">
        <f t="shared" si="830"/>
        <v>9</v>
      </c>
      <c r="AY480" s="17">
        <v>0</v>
      </c>
      <c r="AZ480" s="56" t="str">
        <f t="shared" si="833"/>
        <v>ねこアイシャドウ</v>
      </c>
      <c r="BA480" s="54">
        <f t="shared" si="834"/>
        <v>1000</v>
      </c>
      <c r="BB480" s="13">
        <f t="shared" si="831"/>
        <v>9000</v>
      </c>
      <c r="BC480" s="14">
        <f t="shared" si="832"/>
        <v>1.8</v>
      </c>
      <c r="BD480" s="15"/>
      <c r="BT480" s="15"/>
      <c r="BU480" s="16"/>
      <c r="BV480" s="54"/>
      <c r="BW480" s="13" t="str">
        <f t="shared" si="851"/>
        <v/>
      </c>
      <c r="BX480" s="13"/>
      <c r="BY480" s="13"/>
      <c r="BZ480" s="13"/>
      <c r="CA480" s="13" t="str">
        <f t="shared" si="852"/>
        <v/>
      </c>
      <c r="CB480" s="13"/>
      <c r="CC480" s="13"/>
      <c r="CD480" s="13"/>
      <c r="CE480" s="13" t="str">
        <f t="shared" si="840"/>
        <v/>
      </c>
      <c r="CF480" s="14" t="str">
        <f t="shared" si="841"/>
        <v/>
      </c>
      <c r="CG480" s="15"/>
      <c r="CH480" s="1"/>
      <c r="CI480" s="16"/>
      <c r="CJ480" s="54"/>
      <c r="CK480" s="13" t="str">
        <f t="shared" si="853"/>
        <v/>
      </c>
      <c r="CL480" s="13"/>
      <c r="CM480" s="13"/>
      <c r="CN480" s="13"/>
      <c r="CO480" s="13" t="str">
        <f t="shared" si="854"/>
        <v/>
      </c>
      <c r="CP480" s="13"/>
      <c r="CQ480" s="13"/>
      <c r="CR480" s="13"/>
      <c r="CS480" s="13" t="str">
        <f t="shared" si="842"/>
        <v/>
      </c>
      <c r="CT480" s="14" t="str">
        <f t="shared" si="850"/>
        <v/>
      </c>
      <c r="CU480" s="15"/>
      <c r="CV480" s="1"/>
      <c r="CW480" s="16"/>
      <c r="CX480" s="54"/>
      <c r="CY480" s="13" t="str">
        <f t="shared" si="855"/>
        <v/>
      </c>
      <c r="CZ480" s="13"/>
      <c r="DA480" s="13"/>
      <c r="DB480" s="13"/>
      <c r="DC480" s="13" t="str">
        <f t="shared" si="856"/>
        <v/>
      </c>
      <c r="DD480" s="13"/>
      <c r="DE480" s="13"/>
      <c r="DF480" s="13"/>
      <c r="DG480" s="13" t="str">
        <f t="shared" si="843"/>
        <v/>
      </c>
      <c r="DH480" s="14" t="str">
        <f t="shared" si="844"/>
        <v/>
      </c>
      <c r="DI480" s="15"/>
      <c r="DJ480" s="1"/>
      <c r="DK480" s="16"/>
      <c r="DL480" s="54"/>
      <c r="DM480" s="13" t="str">
        <f t="shared" si="857"/>
        <v/>
      </c>
      <c r="DN480" s="13"/>
      <c r="DO480" s="13"/>
      <c r="DP480" s="13"/>
      <c r="DQ480" s="13" t="str">
        <f t="shared" si="858"/>
        <v/>
      </c>
      <c r="DR480" s="13"/>
      <c r="DS480" s="13"/>
      <c r="DT480" s="13"/>
      <c r="DU480" s="13" t="str">
        <f t="shared" si="845"/>
        <v/>
      </c>
      <c r="DV480" s="14" t="str">
        <f t="shared" si="846"/>
        <v/>
      </c>
      <c r="DW480" s="15"/>
    </row>
    <row r="481" spans="1:127" ht="15" customHeight="1" x14ac:dyDescent="0.2">
      <c r="A481" s="133"/>
      <c r="B481" s="11"/>
      <c r="C481" s="13">
        <v>10134</v>
      </c>
      <c r="D481" s="13">
        <f t="shared" si="809"/>
        <v>105</v>
      </c>
      <c r="E481" s="13">
        <v>588</v>
      </c>
      <c r="F481" s="13">
        <f t="shared" si="810"/>
        <v>5</v>
      </c>
      <c r="G481" s="13">
        <v>133</v>
      </c>
      <c r="H481" s="13">
        <f t="shared" si="811"/>
        <v>7</v>
      </c>
      <c r="I481" s="17">
        <v>0</v>
      </c>
      <c r="J481" s="56" t="str">
        <f t="shared" si="861"/>
        <v>AIモンスタラバー</v>
      </c>
      <c r="K481" s="13">
        <f t="shared" si="859"/>
        <v>200</v>
      </c>
      <c r="L481" s="13">
        <f t="shared" si="814"/>
        <v>1400</v>
      </c>
      <c r="M481" s="14">
        <f t="shared" si="815"/>
        <v>0.13333333333333333</v>
      </c>
      <c r="N481" s="15"/>
      <c r="O481" s="2"/>
      <c r="P481" s="16"/>
      <c r="Q481" s="13">
        <v>7043</v>
      </c>
      <c r="R481" s="13">
        <f t="shared" si="816"/>
        <v>65</v>
      </c>
      <c r="S481" s="13">
        <v>127</v>
      </c>
      <c r="T481" s="13">
        <f t="shared" si="817"/>
        <v>3</v>
      </c>
      <c r="U481" s="13">
        <v>9</v>
      </c>
      <c r="V481" s="13">
        <f t="shared" si="818"/>
        <v>3</v>
      </c>
      <c r="W481" s="17">
        <v>0</v>
      </c>
      <c r="X481" s="111" t="str">
        <f t="shared" si="863"/>
        <v>サンリオホワイトマスコット</v>
      </c>
      <c r="Y481" s="13">
        <f t="shared" si="864"/>
        <v>660</v>
      </c>
      <c r="Z481" s="13">
        <f t="shared" si="820"/>
        <v>1980</v>
      </c>
      <c r="AA481" s="14">
        <f t="shared" si="821"/>
        <v>0.30461538461538462</v>
      </c>
      <c r="AB481" s="15" t="s">
        <v>395</v>
      </c>
      <c r="AC481" s="15"/>
      <c r="AD481" s="16"/>
      <c r="AE481" s="13">
        <v>10717</v>
      </c>
      <c r="AF481" s="13">
        <f t="shared" si="822"/>
        <v>96</v>
      </c>
      <c r="AG481" s="13">
        <v>293</v>
      </c>
      <c r="AH481" s="13">
        <f t="shared" si="823"/>
        <v>0</v>
      </c>
      <c r="AI481" s="13">
        <v>55</v>
      </c>
      <c r="AJ481" s="13">
        <f t="shared" si="824"/>
        <v>0</v>
      </c>
      <c r="AK481" s="17">
        <v>0</v>
      </c>
      <c r="AL481" s="56" t="str">
        <f t="shared" si="862"/>
        <v>ゲームアーク</v>
      </c>
      <c r="AM481" s="13">
        <f t="shared" si="860"/>
        <v>600</v>
      </c>
      <c r="AN481" s="13">
        <f t="shared" si="826"/>
        <v>0</v>
      </c>
      <c r="AO481" s="14">
        <f t="shared" si="827"/>
        <v>0</v>
      </c>
      <c r="AP481" s="15"/>
      <c r="AQ481" s="15"/>
      <c r="AR481" s="16"/>
      <c r="AS481" s="13">
        <v>13211</v>
      </c>
      <c r="AT481" s="13">
        <f t="shared" si="828"/>
        <v>185</v>
      </c>
      <c r="AU481" s="13">
        <v>466</v>
      </c>
      <c r="AV481" s="13">
        <f t="shared" si="829"/>
        <v>4</v>
      </c>
      <c r="AW481" s="13">
        <v>21</v>
      </c>
      <c r="AX481" s="13">
        <f t="shared" si="830"/>
        <v>5</v>
      </c>
      <c r="AY481" s="17">
        <v>0</v>
      </c>
      <c r="AZ481" s="56" t="str">
        <f t="shared" si="833"/>
        <v>ラブブキーホルダーおおきめ</v>
      </c>
      <c r="BA481" s="13">
        <f t="shared" si="834"/>
        <v>500</v>
      </c>
      <c r="BB481" s="13">
        <f t="shared" si="831"/>
        <v>2500</v>
      </c>
      <c r="BC481" s="14">
        <f t="shared" si="832"/>
        <v>0.13513513513513514</v>
      </c>
      <c r="BD481" s="15"/>
      <c r="BT481" s="15"/>
      <c r="BU481" s="16"/>
      <c r="BV481" s="54"/>
      <c r="BW481" s="13" t="str">
        <f t="shared" si="851"/>
        <v/>
      </c>
      <c r="BX481" s="13"/>
      <c r="BY481" s="13"/>
      <c r="BZ481" s="13"/>
      <c r="CA481" s="13" t="str">
        <f t="shared" si="852"/>
        <v/>
      </c>
      <c r="CB481" s="13"/>
      <c r="CC481" s="13"/>
      <c r="CD481" s="13"/>
      <c r="CE481" s="13" t="str">
        <f t="shared" si="840"/>
        <v/>
      </c>
      <c r="CF481" s="14" t="str">
        <f t="shared" si="841"/>
        <v/>
      </c>
      <c r="CG481" s="15"/>
      <c r="CH481" s="1"/>
      <c r="CI481" s="16"/>
      <c r="CJ481" s="54"/>
      <c r="CK481" s="13" t="str">
        <f t="shared" si="853"/>
        <v/>
      </c>
      <c r="CL481" s="13"/>
      <c r="CM481" s="13"/>
      <c r="CN481" s="13"/>
      <c r="CO481" s="13" t="str">
        <f t="shared" si="854"/>
        <v/>
      </c>
      <c r="CP481" s="13"/>
      <c r="CQ481" s="13"/>
      <c r="CR481" s="13"/>
      <c r="CS481" s="13" t="str">
        <f t="shared" si="842"/>
        <v/>
      </c>
      <c r="CT481" s="14" t="str">
        <f t="shared" si="850"/>
        <v/>
      </c>
      <c r="CU481" s="15"/>
      <c r="CV481" s="1"/>
      <c r="CW481" s="16"/>
      <c r="CX481" s="54"/>
      <c r="CY481" s="13" t="str">
        <f t="shared" si="855"/>
        <v/>
      </c>
      <c r="CZ481" s="13"/>
      <c r="DA481" s="13"/>
      <c r="DB481" s="13"/>
      <c r="DC481" s="13" t="str">
        <f t="shared" si="856"/>
        <v/>
      </c>
      <c r="DD481" s="13"/>
      <c r="DE481" s="13"/>
      <c r="DF481" s="13"/>
      <c r="DG481" s="13" t="str">
        <f t="shared" si="843"/>
        <v/>
      </c>
      <c r="DH481" s="14" t="str">
        <f t="shared" si="844"/>
        <v/>
      </c>
      <c r="DI481" s="15"/>
      <c r="DJ481" s="1"/>
      <c r="DK481" s="16"/>
      <c r="DL481" s="54"/>
      <c r="DM481" s="13" t="str">
        <f t="shared" si="857"/>
        <v/>
      </c>
      <c r="DN481" s="13"/>
      <c r="DO481" s="13"/>
      <c r="DP481" s="13"/>
      <c r="DQ481" s="13" t="str">
        <f t="shared" si="858"/>
        <v/>
      </c>
      <c r="DR481" s="13"/>
      <c r="DS481" s="13"/>
      <c r="DT481" s="13"/>
      <c r="DU481" s="13" t="str">
        <f t="shared" si="845"/>
        <v/>
      </c>
      <c r="DV481" s="14" t="str">
        <f t="shared" si="846"/>
        <v/>
      </c>
      <c r="DW481" s="15"/>
    </row>
    <row r="482" spans="1:127" ht="15" customHeight="1" thickBot="1" x14ac:dyDescent="0.25">
      <c r="A482" s="26"/>
      <c r="B482" s="46"/>
      <c r="C482" s="27">
        <v>5127</v>
      </c>
      <c r="D482" s="27">
        <f t="shared" si="809"/>
        <v>109</v>
      </c>
      <c r="E482" s="27">
        <v>419</v>
      </c>
      <c r="F482" s="27">
        <f t="shared" si="810"/>
        <v>5</v>
      </c>
      <c r="G482" s="27">
        <v>40</v>
      </c>
      <c r="H482" s="27">
        <f t="shared" si="811"/>
        <v>4</v>
      </c>
      <c r="I482" s="47">
        <v>0</v>
      </c>
      <c r="J482" s="57" t="str">
        <f t="shared" si="861"/>
        <v>NICIマスコット</v>
      </c>
      <c r="K482" s="62">
        <f t="shared" si="859"/>
        <v>900</v>
      </c>
      <c r="L482" s="27">
        <f t="shared" si="814"/>
        <v>3600</v>
      </c>
      <c r="M482" s="28">
        <f t="shared" si="815"/>
        <v>0.33027522935779818</v>
      </c>
      <c r="N482" s="15"/>
      <c r="O482" s="2"/>
      <c r="P482" s="26"/>
      <c r="Q482" s="27">
        <v>6548</v>
      </c>
      <c r="R482" s="27">
        <f t="shared" si="816"/>
        <v>74</v>
      </c>
      <c r="S482" s="27">
        <v>112</v>
      </c>
      <c r="T482" s="27">
        <f t="shared" si="817"/>
        <v>0</v>
      </c>
      <c r="U482" s="27">
        <v>6</v>
      </c>
      <c r="V482" s="27">
        <f t="shared" si="818"/>
        <v>1</v>
      </c>
      <c r="W482" s="47">
        <v>0</v>
      </c>
      <c r="X482" s="57" t="str">
        <f t="shared" si="863"/>
        <v>ＡＩマスコット</v>
      </c>
      <c r="Y482" s="62">
        <f t="shared" si="864"/>
        <v>286</v>
      </c>
      <c r="Z482" s="27">
        <f t="shared" si="820"/>
        <v>286</v>
      </c>
      <c r="AA482" s="28">
        <f t="shared" si="821"/>
        <v>3.8648648648648649E-2</v>
      </c>
      <c r="AB482" s="15" t="s">
        <v>7</v>
      </c>
      <c r="AC482" s="15"/>
      <c r="AD482" s="26"/>
      <c r="AE482" s="27">
        <v>10783</v>
      </c>
      <c r="AF482" s="27">
        <f t="shared" si="822"/>
        <v>165</v>
      </c>
      <c r="AG482" s="27">
        <v>284</v>
      </c>
      <c r="AH482" s="27">
        <f t="shared" si="823"/>
        <v>2</v>
      </c>
      <c r="AI482" s="27">
        <v>9</v>
      </c>
      <c r="AJ482" s="27">
        <f t="shared" si="824"/>
        <v>3</v>
      </c>
      <c r="AK482" s="47">
        <v>0</v>
      </c>
      <c r="AL482" s="57" t="str">
        <f t="shared" si="862"/>
        <v>モンチッチマスコット2</v>
      </c>
      <c r="AM482" s="62">
        <f t="shared" si="860"/>
        <v>540</v>
      </c>
      <c r="AN482" s="27">
        <f t="shared" si="826"/>
        <v>1620</v>
      </c>
      <c r="AO482" s="28">
        <f t="shared" si="827"/>
        <v>9.8181818181818176E-2</v>
      </c>
      <c r="AP482" s="15"/>
      <c r="AQ482" s="39"/>
      <c r="AR482" s="26"/>
      <c r="AS482" s="27">
        <v>13538</v>
      </c>
      <c r="AT482" s="27">
        <f t="shared" si="828"/>
        <v>162</v>
      </c>
      <c r="AU482" s="27">
        <v>397</v>
      </c>
      <c r="AV482" s="27">
        <f t="shared" si="829"/>
        <v>3</v>
      </c>
      <c r="AW482" s="27">
        <v>27</v>
      </c>
      <c r="AX482" s="27">
        <f t="shared" si="830"/>
        <v>2</v>
      </c>
      <c r="AY482" s="47">
        <v>0</v>
      </c>
      <c r="AZ482" s="57" t="str">
        <f t="shared" si="833"/>
        <v>ラブブマスコット</v>
      </c>
      <c r="BA482" s="62">
        <f t="shared" si="834"/>
        <v>400</v>
      </c>
      <c r="BB482" s="27">
        <f t="shared" si="831"/>
        <v>800</v>
      </c>
      <c r="BC482" s="28">
        <f t="shared" si="832"/>
        <v>4.9382716049382713E-2</v>
      </c>
      <c r="BD482" s="15"/>
      <c r="BT482" s="39"/>
      <c r="BU482" s="16"/>
      <c r="BV482" s="54"/>
      <c r="BW482" s="13" t="str">
        <f t="shared" si="851"/>
        <v/>
      </c>
      <c r="BX482" s="13"/>
      <c r="BY482" s="13"/>
      <c r="BZ482" s="13"/>
      <c r="CA482" s="13" t="str">
        <f t="shared" si="852"/>
        <v/>
      </c>
      <c r="CB482" s="13"/>
      <c r="CC482" s="13"/>
      <c r="CD482" s="13"/>
      <c r="CE482" s="13" t="str">
        <f t="shared" si="840"/>
        <v/>
      </c>
      <c r="CF482" s="14" t="str">
        <f t="shared" si="841"/>
        <v/>
      </c>
      <c r="CG482" s="15"/>
      <c r="CH482" s="1"/>
      <c r="CI482" s="16"/>
      <c r="CJ482" s="54"/>
      <c r="CK482" s="13" t="str">
        <f t="shared" si="853"/>
        <v/>
      </c>
      <c r="CL482" s="13"/>
      <c r="CM482" s="13"/>
      <c r="CN482" s="13"/>
      <c r="CO482" s="13" t="str">
        <f t="shared" si="854"/>
        <v/>
      </c>
      <c r="CP482" s="13"/>
      <c r="CQ482" s="13"/>
      <c r="CR482" s="13"/>
      <c r="CS482" s="13" t="str">
        <f t="shared" si="842"/>
        <v/>
      </c>
      <c r="CT482" s="14" t="str">
        <f t="shared" si="850"/>
        <v/>
      </c>
      <c r="CU482" s="15"/>
      <c r="CV482" s="1"/>
      <c r="CW482" s="16"/>
      <c r="CX482" s="54"/>
      <c r="CY482" s="13" t="str">
        <f t="shared" si="855"/>
        <v/>
      </c>
      <c r="CZ482" s="13"/>
      <c r="DA482" s="13"/>
      <c r="DB482" s="13"/>
      <c r="DC482" s="13" t="str">
        <f t="shared" si="856"/>
        <v/>
      </c>
      <c r="DD482" s="13"/>
      <c r="DE482" s="13"/>
      <c r="DF482" s="13"/>
      <c r="DG482" s="13" t="str">
        <f t="shared" si="843"/>
        <v/>
      </c>
      <c r="DH482" s="14" t="str">
        <f t="shared" si="844"/>
        <v/>
      </c>
      <c r="DI482" s="15"/>
      <c r="DJ482" s="1"/>
      <c r="DK482" s="16"/>
      <c r="DL482" s="54"/>
      <c r="DM482" s="13" t="str">
        <f t="shared" si="857"/>
        <v/>
      </c>
      <c r="DN482" s="13"/>
      <c r="DO482" s="13"/>
      <c r="DP482" s="13"/>
      <c r="DQ482" s="13" t="str">
        <f t="shared" si="858"/>
        <v/>
      </c>
      <c r="DR482" s="13"/>
      <c r="DS482" s="13"/>
      <c r="DT482" s="13"/>
      <c r="DU482" s="13" t="str">
        <f t="shared" si="845"/>
        <v/>
      </c>
      <c r="DV482" s="14" t="str">
        <f t="shared" si="846"/>
        <v/>
      </c>
      <c r="DW482" s="15"/>
    </row>
    <row r="483" spans="1:127" ht="15" customHeight="1" thickTop="1" x14ac:dyDescent="0.2">
      <c r="A483" s="155">
        <v>46008</v>
      </c>
      <c r="B483" s="74">
        <f>IF(A483="","",SUM(D483:D486)+SUM(R483:R486)+SUM(AF483:AF486)+SUM(AT483:AT486)+SUM(BW456,CK456,CY456,DM456))</f>
        <v>699</v>
      </c>
      <c r="C483" s="53">
        <v>4323</v>
      </c>
      <c r="D483" s="53">
        <f t="shared" si="809"/>
        <v>33</v>
      </c>
      <c r="E483" s="53">
        <v>322</v>
      </c>
      <c r="F483" s="31">
        <f t="shared" si="810"/>
        <v>0</v>
      </c>
      <c r="G483" s="53">
        <v>9</v>
      </c>
      <c r="H483" s="53">
        <f t="shared" si="811"/>
        <v>0</v>
      </c>
      <c r="I483" s="80">
        <v>0</v>
      </c>
      <c r="J483" s="75" t="str">
        <f t="shared" si="861"/>
        <v>キティヒョウ柄ポーチ</v>
      </c>
      <c r="K483" s="76">
        <f t="shared" si="859"/>
        <v>0</v>
      </c>
      <c r="L483" s="31">
        <f t="shared" si="814"/>
        <v>0</v>
      </c>
      <c r="M483" s="32">
        <f t="shared" si="815"/>
        <v>0</v>
      </c>
      <c r="N483" s="15"/>
      <c r="O483" s="2"/>
      <c r="P483" s="79">
        <f>IF($A483="","",$A483)</f>
        <v>46008</v>
      </c>
      <c r="Q483" s="53">
        <v>4167</v>
      </c>
      <c r="R483" s="127">
        <f t="shared" si="816"/>
        <v>9</v>
      </c>
      <c r="S483" s="53">
        <v>138</v>
      </c>
      <c r="T483" s="31">
        <f t="shared" si="817"/>
        <v>0</v>
      </c>
      <c r="U483" s="53">
        <v>13</v>
      </c>
      <c r="V483" s="53">
        <f t="shared" si="818"/>
        <v>0</v>
      </c>
      <c r="W483" s="80">
        <v>1</v>
      </c>
      <c r="X483" s="75" t="str">
        <f t="shared" si="863"/>
        <v>ジャグラーイヤホン</v>
      </c>
      <c r="Y483" s="76">
        <f t="shared" si="864"/>
        <v>1100</v>
      </c>
      <c r="Z483" s="31">
        <f t="shared" si="820"/>
        <v>0</v>
      </c>
      <c r="AA483" s="32">
        <f t="shared" si="821"/>
        <v>0</v>
      </c>
      <c r="AB483" s="15"/>
      <c r="AC483" s="15"/>
      <c r="AD483" s="79">
        <f>IF($A483="","",$A483)</f>
        <v>46008</v>
      </c>
      <c r="AE483" s="53">
        <v>9406</v>
      </c>
      <c r="AF483" s="53">
        <f t="shared" si="822"/>
        <v>33</v>
      </c>
      <c r="AG483" s="53">
        <v>213</v>
      </c>
      <c r="AH483" s="31">
        <f t="shared" si="823"/>
        <v>2</v>
      </c>
      <c r="AI483" s="53">
        <v>7</v>
      </c>
      <c r="AJ483" s="53">
        <f t="shared" si="824"/>
        <v>2</v>
      </c>
      <c r="AK483" s="80">
        <v>5</v>
      </c>
      <c r="AL483" s="75" t="str">
        <f t="shared" si="862"/>
        <v>サンリオ型押しケース</v>
      </c>
      <c r="AM483" s="76">
        <f t="shared" si="860"/>
        <v>1100</v>
      </c>
      <c r="AN483" s="31">
        <f t="shared" si="826"/>
        <v>2200</v>
      </c>
      <c r="AO483" s="32">
        <f t="shared" si="827"/>
        <v>0.66666666666666663</v>
      </c>
      <c r="AP483" s="15" t="s">
        <v>397</v>
      </c>
      <c r="AQ483" s="113"/>
      <c r="AR483" s="79">
        <f>IF($A483="","",$A483)</f>
        <v>46008</v>
      </c>
      <c r="AS483" s="53">
        <v>10180</v>
      </c>
      <c r="AT483" s="53">
        <f t="shared" si="828"/>
        <v>65</v>
      </c>
      <c r="AU483" s="53">
        <v>318</v>
      </c>
      <c r="AV483" s="31">
        <f t="shared" si="829"/>
        <v>5</v>
      </c>
      <c r="AW483" s="53">
        <v>11</v>
      </c>
      <c r="AX483" s="53">
        <f t="shared" si="830"/>
        <v>4</v>
      </c>
      <c r="AY483" s="80">
        <v>3</v>
      </c>
      <c r="AZ483" s="75" t="str">
        <f t="shared" si="833"/>
        <v>サンリオヒョウ柄キーケース</v>
      </c>
      <c r="BA483" s="76">
        <f t="shared" si="834"/>
        <v>700</v>
      </c>
      <c r="BB483" s="31">
        <f t="shared" si="831"/>
        <v>2800</v>
      </c>
      <c r="BC483" s="32">
        <f t="shared" si="832"/>
        <v>0.43076923076923079</v>
      </c>
      <c r="BD483" s="15"/>
      <c r="BT483" s="113"/>
      <c r="BU483" s="16"/>
      <c r="BV483" s="54"/>
      <c r="BW483" s="13" t="str">
        <f t="shared" si="851"/>
        <v/>
      </c>
      <c r="BX483" s="13"/>
      <c r="BY483" s="13"/>
      <c r="BZ483" s="13"/>
      <c r="CA483" s="13" t="str">
        <f t="shared" si="852"/>
        <v/>
      </c>
      <c r="CB483" s="13"/>
      <c r="CC483" s="13"/>
      <c r="CD483" s="13"/>
      <c r="CE483" s="13" t="str">
        <f t="shared" si="840"/>
        <v/>
      </c>
      <c r="CF483" s="14" t="str">
        <f t="shared" si="841"/>
        <v/>
      </c>
      <c r="CG483" s="15"/>
      <c r="CH483" s="1"/>
      <c r="CI483" s="16"/>
      <c r="CJ483" s="54"/>
      <c r="CK483" s="13" t="str">
        <f t="shared" si="853"/>
        <v/>
      </c>
      <c r="CL483" s="13"/>
      <c r="CM483" s="13"/>
      <c r="CN483" s="13"/>
      <c r="CO483" s="13" t="str">
        <f t="shared" si="854"/>
        <v/>
      </c>
      <c r="CP483" s="13"/>
      <c r="CQ483" s="13"/>
      <c r="CR483" s="13"/>
      <c r="CS483" s="13" t="str">
        <f t="shared" si="842"/>
        <v/>
      </c>
      <c r="CT483" s="14" t="str">
        <f t="shared" si="850"/>
        <v/>
      </c>
      <c r="CU483" s="15"/>
      <c r="CV483" s="1"/>
      <c r="CW483" s="16"/>
      <c r="CX483" s="54"/>
      <c r="CY483" s="13" t="str">
        <f t="shared" si="855"/>
        <v/>
      </c>
      <c r="CZ483" s="13"/>
      <c r="DA483" s="13"/>
      <c r="DB483" s="13"/>
      <c r="DC483" s="13" t="str">
        <f t="shared" si="856"/>
        <v/>
      </c>
      <c r="DD483" s="13"/>
      <c r="DE483" s="13"/>
      <c r="DF483" s="13"/>
      <c r="DG483" s="13" t="str">
        <f t="shared" si="843"/>
        <v/>
      </c>
      <c r="DH483" s="14" t="str">
        <f t="shared" si="844"/>
        <v/>
      </c>
      <c r="DI483" s="15"/>
      <c r="DJ483" s="1"/>
      <c r="DK483" s="16"/>
      <c r="DL483" s="54"/>
      <c r="DM483" s="13" t="str">
        <f t="shared" si="857"/>
        <v/>
      </c>
      <c r="DN483" s="13"/>
      <c r="DO483" s="13"/>
      <c r="DP483" s="13"/>
      <c r="DQ483" s="13" t="str">
        <f t="shared" si="858"/>
        <v/>
      </c>
      <c r="DR483" s="13"/>
      <c r="DS483" s="13"/>
      <c r="DT483" s="13"/>
      <c r="DU483" s="13" t="str">
        <f t="shared" si="845"/>
        <v/>
      </c>
      <c r="DV483" s="14" t="str">
        <f t="shared" si="846"/>
        <v/>
      </c>
      <c r="DW483" s="15"/>
    </row>
    <row r="484" spans="1:127" x14ac:dyDescent="0.2">
      <c r="A484" s="16"/>
      <c r="B484" s="11"/>
      <c r="C484" s="13">
        <v>3496</v>
      </c>
      <c r="D484" s="53">
        <f t="shared" si="809"/>
        <v>41</v>
      </c>
      <c r="E484" s="13">
        <v>341</v>
      </c>
      <c r="F484" s="13">
        <f t="shared" si="810"/>
        <v>0</v>
      </c>
      <c r="G484" s="13">
        <v>37</v>
      </c>
      <c r="H484" s="13">
        <f t="shared" si="811"/>
        <v>1</v>
      </c>
      <c r="I484" s="17">
        <v>0</v>
      </c>
      <c r="J484" s="56" t="str">
        <f t="shared" si="861"/>
        <v>電ブル</v>
      </c>
      <c r="K484" s="54">
        <f t="shared" si="859"/>
        <v>1075</v>
      </c>
      <c r="L484" s="13">
        <f t="shared" si="814"/>
        <v>1075</v>
      </c>
      <c r="M484" s="14">
        <f t="shared" si="815"/>
        <v>0.26219512195121952</v>
      </c>
      <c r="N484" s="15"/>
      <c r="O484" s="2"/>
      <c r="P484" s="16"/>
      <c r="Q484" s="13">
        <v>3589</v>
      </c>
      <c r="R484" s="53">
        <f t="shared" si="816"/>
        <v>40</v>
      </c>
      <c r="S484" s="13">
        <v>113</v>
      </c>
      <c r="T484" s="13">
        <f t="shared" si="817"/>
        <v>2</v>
      </c>
      <c r="U484" s="13">
        <v>12</v>
      </c>
      <c r="V484" s="13">
        <f t="shared" si="818"/>
        <v>2</v>
      </c>
      <c r="W484" s="17">
        <v>12</v>
      </c>
      <c r="X484" s="56" t="str">
        <f t="shared" si="863"/>
        <v>押忍番長ボタン</v>
      </c>
      <c r="Y484" s="54">
        <f t="shared" si="864"/>
        <v>1100</v>
      </c>
      <c r="Z484" s="13">
        <f t="shared" si="820"/>
        <v>2200</v>
      </c>
      <c r="AA484" s="14">
        <f t="shared" si="821"/>
        <v>0.55000000000000004</v>
      </c>
      <c r="AB484" s="15"/>
      <c r="AC484" s="15"/>
      <c r="AD484" s="16"/>
      <c r="AE484" s="13">
        <v>9023</v>
      </c>
      <c r="AF484" s="53">
        <f t="shared" si="822"/>
        <v>18</v>
      </c>
      <c r="AG484" s="13">
        <v>205</v>
      </c>
      <c r="AH484" s="13">
        <f t="shared" si="823"/>
        <v>1</v>
      </c>
      <c r="AI484" s="13">
        <v>18</v>
      </c>
      <c r="AJ484" s="13">
        <f t="shared" si="824"/>
        <v>1</v>
      </c>
      <c r="AK484" s="17">
        <v>-9</v>
      </c>
      <c r="AL484" s="56" t="str">
        <f t="shared" si="862"/>
        <v>サンリオリボンポーチ</v>
      </c>
      <c r="AM484" s="54">
        <f t="shared" si="860"/>
        <v>660</v>
      </c>
      <c r="AN484" s="13">
        <f t="shared" si="826"/>
        <v>660</v>
      </c>
      <c r="AO484" s="14">
        <f t="shared" si="827"/>
        <v>0.36666666666666664</v>
      </c>
      <c r="AP484" s="15" t="s">
        <v>396</v>
      </c>
      <c r="AQ484" s="113"/>
      <c r="AR484" s="16"/>
      <c r="AS484" s="13">
        <v>6919</v>
      </c>
      <c r="AT484" s="53">
        <f t="shared" si="828"/>
        <v>36</v>
      </c>
      <c r="AU484" s="13">
        <v>354</v>
      </c>
      <c r="AV484" s="13">
        <f t="shared" si="829"/>
        <v>2</v>
      </c>
      <c r="AW484" s="13">
        <v>13</v>
      </c>
      <c r="AX484" s="13">
        <f t="shared" si="830"/>
        <v>2</v>
      </c>
      <c r="AY484" s="17">
        <v>0</v>
      </c>
      <c r="AZ484" s="56" t="str">
        <f t="shared" si="833"/>
        <v>ねこアイシャドウ</v>
      </c>
      <c r="BA484" s="54">
        <f t="shared" si="834"/>
        <v>1000</v>
      </c>
      <c r="BB484" s="13">
        <f t="shared" si="831"/>
        <v>2000</v>
      </c>
      <c r="BC484" s="14">
        <f t="shared" si="832"/>
        <v>0.55555555555555558</v>
      </c>
      <c r="BD484" s="15"/>
      <c r="BT484" s="113"/>
      <c r="BU484" s="16"/>
      <c r="BV484" s="54"/>
      <c r="BW484" s="13" t="str">
        <f t="shared" si="851"/>
        <v/>
      </c>
      <c r="BX484" s="13"/>
      <c r="BY484" s="13"/>
      <c r="BZ484" s="13"/>
      <c r="CA484" s="13" t="str">
        <f t="shared" si="852"/>
        <v/>
      </c>
      <c r="CB484" s="13"/>
      <c r="CC484" s="13"/>
      <c r="CD484" s="13"/>
      <c r="CE484" s="13" t="str">
        <f t="shared" si="840"/>
        <v/>
      </c>
      <c r="CF484" s="14" t="str">
        <f t="shared" si="841"/>
        <v/>
      </c>
      <c r="CG484" s="15"/>
      <c r="CH484" s="1"/>
      <c r="CI484" s="16"/>
      <c r="CJ484" s="54"/>
      <c r="CK484" s="13" t="str">
        <f t="shared" si="853"/>
        <v/>
      </c>
      <c r="CL484" s="13"/>
      <c r="CM484" s="13"/>
      <c r="CN484" s="13"/>
      <c r="CO484" s="13" t="str">
        <f t="shared" si="854"/>
        <v/>
      </c>
      <c r="CP484" s="13"/>
      <c r="CQ484" s="13"/>
      <c r="CR484" s="13"/>
      <c r="CS484" s="13" t="str">
        <f t="shared" si="842"/>
        <v/>
      </c>
      <c r="CT484" s="14" t="str">
        <f t="shared" si="850"/>
        <v/>
      </c>
      <c r="CU484" s="15"/>
      <c r="CV484" s="1"/>
      <c r="CW484" s="16"/>
      <c r="CX484" s="54"/>
      <c r="CY484" s="13" t="str">
        <f t="shared" si="855"/>
        <v/>
      </c>
      <c r="CZ484" s="13"/>
      <c r="DA484" s="13"/>
      <c r="DB484" s="13"/>
      <c r="DC484" s="13" t="str">
        <f t="shared" si="856"/>
        <v/>
      </c>
      <c r="DD484" s="13"/>
      <c r="DE484" s="13"/>
      <c r="DF484" s="13"/>
      <c r="DG484" s="13" t="str">
        <f t="shared" si="843"/>
        <v/>
      </c>
      <c r="DH484" s="14" t="str">
        <f t="shared" si="844"/>
        <v/>
      </c>
      <c r="DI484" s="15"/>
      <c r="DJ484" s="1"/>
      <c r="DK484" s="16"/>
      <c r="DL484" s="54"/>
      <c r="DM484" s="13" t="str">
        <f t="shared" si="857"/>
        <v/>
      </c>
      <c r="DN484" s="13"/>
      <c r="DO484" s="13"/>
      <c r="DP484" s="13"/>
      <c r="DQ484" s="13" t="str">
        <f t="shared" si="858"/>
        <v/>
      </c>
      <c r="DR484" s="13"/>
      <c r="DS484" s="13"/>
      <c r="DT484" s="13"/>
      <c r="DU484" s="13" t="str">
        <f t="shared" si="845"/>
        <v/>
      </c>
      <c r="DV484" s="14" t="str">
        <f t="shared" si="846"/>
        <v/>
      </c>
      <c r="DW484" s="15"/>
    </row>
    <row r="485" spans="1:127" ht="15" customHeight="1" x14ac:dyDescent="0.2">
      <c r="A485" s="149"/>
      <c r="B485" s="11"/>
      <c r="C485" s="13">
        <v>10159</v>
      </c>
      <c r="D485" s="63">
        <f t="shared" si="809"/>
        <v>25</v>
      </c>
      <c r="E485" s="13">
        <v>589</v>
      </c>
      <c r="F485" s="13">
        <f t="shared" si="810"/>
        <v>1</v>
      </c>
      <c r="G485" s="34">
        <v>131</v>
      </c>
      <c r="H485" s="34">
        <f t="shared" si="811"/>
        <v>2</v>
      </c>
      <c r="I485" s="49">
        <v>0</v>
      </c>
      <c r="J485" s="56" t="str">
        <f t="shared" si="861"/>
        <v>AIモンスタラバー</v>
      </c>
      <c r="K485" s="13">
        <f t="shared" si="859"/>
        <v>200</v>
      </c>
      <c r="L485" s="13">
        <f t="shared" si="814"/>
        <v>400</v>
      </c>
      <c r="M485" s="14">
        <f t="shared" si="815"/>
        <v>0.16</v>
      </c>
      <c r="N485" s="15"/>
      <c r="O485" s="2"/>
      <c r="P485" s="16"/>
      <c r="Q485" s="13">
        <v>7072</v>
      </c>
      <c r="R485" s="63">
        <f t="shared" si="816"/>
        <v>29</v>
      </c>
      <c r="S485" s="13">
        <v>127</v>
      </c>
      <c r="T485" s="13">
        <f t="shared" si="817"/>
        <v>0</v>
      </c>
      <c r="U485" s="34">
        <v>8</v>
      </c>
      <c r="V485" s="34">
        <f t="shared" si="818"/>
        <v>1</v>
      </c>
      <c r="W485" s="49">
        <v>0</v>
      </c>
      <c r="X485" s="56" t="str">
        <f t="shared" si="863"/>
        <v>サンリオホワイトマスコット</v>
      </c>
      <c r="Y485" s="13">
        <f t="shared" si="864"/>
        <v>660</v>
      </c>
      <c r="Z485" s="13">
        <f t="shared" si="820"/>
        <v>660</v>
      </c>
      <c r="AA485" s="14">
        <f t="shared" si="821"/>
        <v>0.22758620689655173</v>
      </c>
      <c r="AB485" s="15"/>
      <c r="AC485" s="15"/>
      <c r="AD485" s="16"/>
      <c r="AE485" s="13">
        <v>10753</v>
      </c>
      <c r="AF485" s="63">
        <f t="shared" si="822"/>
        <v>36</v>
      </c>
      <c r="AG485" s="13">
        <v>294</v>
      </c>
      <c r="AH485" s="13">
        <f t="shared" si="823"/>
        <v>1</v>
      </c>
      <c r="AI485" s="34">
        <v>54</v>
      </c>
      <c r="AJ485" s="34">
        <f t="shared" si="824"/>
        <v>1</v>
      </c>
      <c r="AK485" s="49">
        <v>2</v>
      </c>
      <c r="AL485" s="56" t="str">
        <f t="shared" si="862"/>
        <v>ゲームアーク</v>
      </c>
      <c r="AM485" s="13">
        <f t="shared" si="860"/>
        <v>600</v>
      </c>
      <c r="AN485" s="13">
        <f t="shared" si="826"/>
        <v>600</v>
      </c>
      <c r="AO485" s="14">
        <f t="shared" si="827"/>
        <v>0.16666666666666666</v>
      </c>
      <c r="AP485" s="15"/>
      <c r="AQ485" s="113"/>
      <c r="AR485" s="16"/>
      <c r="AS485" s="13">
        <v>13260</v>
      </c>
      <c r="AT485" s="63">
        <f t="shared" si="828"/>
        <v>49</v>
      </c>
      <c r="AU485" s="13">
        <v>466</v>
      </c>
      <c r="AV485" s="13">
        <f t="shared" si="829"/>
        <v>0</v>
      </c>
      <c r="AW485" s="34">
        <v>20</v>
      </c>
      <c r="AX485" s="34">
        <f t="shared" si="830"/>
        <v>1</v>
      </c>
      <c r="AY485" s="49">
        <v>0</v>
      </c>
      <c r="AZ485" s="56" t="str">
        <f t="shared" si="833"/>
        <v>ラブブキーホルダーおおきめ</v>
      </c>
      <c r="BA485" s="13">
        <f t="shared" si="834"/>
        <v>500</v>
      </c>
      <c r="BB485" s="13">
        <f t="shared" si="831"/>
        <v>500</v>
      </c>
      <c r="BC485" s="14">
        <f t="shared" si="832"/>
        <v>0.10204081632653061</v>
      </c>
      <c r="BD485" s="15"/>
      <c r="BT485" s="113"/>
      <c r="BU485" s="16"/>
      <c r="BV485" s="54"/>
      <c r="BW485" s="13" t="str">
        <f t="shared" si="851"/>
        <v/>
      </c>
      <c r="BX485" s="13"/>
      <c r="BY485" s="13"/>
      <c r="BZ485" s="13"/>
      <c r="CA485" s="13" t="str">
        <f t="shared" si="852"/>
        <v/>
      </c>
      <c r="CB485" s="13"/>
      <c r="CC485" s="13"/>
      <c r="CD485" s="13"/>
      <c r="CE485" s="13" t="str">
        <f t="shared" si="840"/>
        <v/>
      </c>
      <c r="CF485" s="14" t="str">
        <f t="shared" si="841"/>
        <v/>
      </c>
      <c r="CG485" s="15"/>
      <c r="CH485" s="1"/>
      <c r="CI485" s="16"/>
      <c r="CJ485" s="54"/>
      <c r="CK485" s="13" t="str">
        <f t="shared" si="853"/>
        <v/>
      </c>
      <c r="CL485" s="13"/>
      <c r="CM485" s="13"/>
      <c r="CN485" s="13"/>
      <c r="CO485" s="13" t="str">
        <f t="shared" si="854"/>
        <v/>
      </c>
      <c r="CP485" s="13"/>
      <c r="CQ485" s="13"/>
      <c r="CR485" s="13"/>
      <c r="CS485" s="13" t="str">
        <f t="shared" si="842"/>
        <v/>
      </c>
      <c r="CT485" s="14" t="str">
        <f t="shared" si="850"/>
        <v/>
      </c>
      <c r="CU485" s="15"/>
      <c r="CV485" s="1"/>
      <c r="CW485" s="16"/>
      <c r="CX485" s="54"/>
      <c r="CY485" s="13" t="str">
        <f t="shared" si="855"/>
        <v/>
      </c>
      <c r="CZ485" s="13"/>
      <c r="DA485" s="13"/>
      <c r="DB485" s="13"/>
      <c r="DC485" s="13" t="str">
        <f t="shared" si="856"/>
        <v/>
      </c>
      <c r="DD485" s="13"/>
      <c r="DE485" s="13"/>
      <c r="DF485" s="13"/>
      <c r="DG485" s="13" t="str">
        <f t="shared" si="843"/>
        <v/>
      </c>
      <c r="DH485" s="14" t="str">
        <f t="shared" si="844"/>
        <v/>
      </c>
      <c r="DI485" s="15"/>
      <c r="DJ485" s="1"/>
      <c r="DK485" s="16"/>
      <c r="DL485" s="54"/>
      <c r="DM485" s="13" t="str">
        <f t="shared" si="857"/>
        <v/>
      </c>
      <c r="DN485" s="13"/>
      <c r="DO485" s="13"/>
      <c r="DP485" s="13"/>
      <c r="DQ485" s="13" t="str">
        <f t="shared" si="858"/>
        <v/>
      </c>
      <c r="DR485" s="13"/>
      <c r="DS485" s="13"/>
      <c r="DT485" s="13"/>
      <c r="DU485" s="13" t="str">
        <f t="shared" si="845"/>
        <v/>
      </c>
      <c r="DV485" s="14" t="str">
        <f t="shared" si="846"/>
        <v/>
      </c>
      <c r="DW485" s="15"/>
    </row>
    <row r="486" spans="1:127" ht="15" customHeight="1" thickBot="1" x14ac:dyDescent="0.25">
      <c r="A486" s="26"/>
      <c r="B486" s="46"/>
      <c r="C486" s="29">
        <v>5147</v>
      </c>
      <c r="D486" s="61">
        <f t="shared" si="809"/>
        <v>20</v>
      </c>
      <c r="E486" s="62">
        <v>419</v>
      </c>
      <c r="F486" s="29">
        <f t="shared" si="810"/>
        <v>0</v>
      </c>
      <c r="G486" s="64">
        <v>40</v>
      </c>
      <c r="H486" s="64">
        <f t="shared" si="811"/>
        <v>0</v>
      </c>
      <c r="I486" s="47">
        <v>0</v>
      </c>
      <c r="J486" s="57" t="str">
        <f t="shared" si="861"/>
        <v>NICIマスコット</v>
      </c>
      <c r="K486" s="62">
        <f t="shared" si="859"/>
        <v>900</v>
      </c>
      <c r="L486" s="27">
        <f t="shared" si="814"/>
        <v>0</v>
      </c>
      <c r="M486" s="28">
        <f t="shared" si="815"/>
        <v>0</v>
      </c>
      <c r="N486" s="15"/>
      <c r="O486" s="2"/>
      <c r="P486" s="26"/>
      <c r="Q486" s="29">
        <v>6565</v>
      </c>
      <c r="R486" s="61">
        <f t="shared" si="816"/>
        <v>17</v>
      </c>
      <c r="S486" s="62">
        <v>112</v>
      </c>
      <c r="T486" s="29">
        <f t="shared" si="817"/>
        <v>0</v>
      </c>
      <c r="U486" s="64">
        <v>6</v>
      </c>
      <c r="V486" s="64">
        <f t="shared" si="818"/>
        <v>0</v>
      </c>
      <c r="W486" s="47">
        <v>2</v>
      </c>
      <c r="X486" s="57" t="str">
        <f t="shared" si="863"/>
        <v>ＡＩマスコット</v>
      </c>
      <c r="Y486" s="62">
        <f t="shared" si="864"/>
        <v>286</v>
      </c>
      <c r="Z486" s="27">
        <f t="shared" si="820"/>
        <v>0</v>
      </c>
      <c r="AA486" s="28">
        <f t="shared" si="821"/>
        <v>0</v>
      </c>
      <c r="AB486" s="15"/>
      <c r="AC486" s="15"/>
      <c r="AD486" s="26"/>
      <c r="AE486" s="29">
        <v>10837</v>
      </c>
      <c r="AF486" s="61">
        <f t="shared" si="822"/>
        <v>54</v>
      </c>
      <c r="AG486" s="62">
        <v>284</v>
      </c>
      <c r="AH486" s="29">
        <f t="shared" si="823"/>
        <v>0</v>
      </c>
      <c r="AI486" s="64">
        <v>9</v>
      </c>
      <c r="AJ486" s="64">
        <f t="shared" si="824"/>
        <v>0</v>
      </c>
      <c r="AK486" s="47">
        <v>2</v>
      </c>
      <c r="AL486" s="57" t="str">
        <f t="shared" si="862"/>
        <v>モンチッチマスコット2</v>
      </c>
      <c r="AM486" s="62">
        <f t="shared" si="860"/>
        <v>540</v>
      </c>
      <c r="AN486" s="27">
        <f t="shared" si="826"/>
        <v>0</v>
      </c>
      <c r="AO486" s="28">
        <f t="shared" si="827"/>
        <v>0</v>
      </c>
      <c r="AP486" s="15"/>
      <c r="AQ486" s="113"/>
      <c r="AR486" s="26"/>
      <c r="AS486" s="29">
        <v>13574</v>
      </c>
      <c r="AT486" s="61">
        <f t="shared" si="828"/>
        <v>36</v>
      </c>
      <c r="AU486" s="62">
        <v>397</v>
      </c>
      <c r="AV486" s="29">
        <f t="shared" si="829"/>
        <v>0</v>
      </c>
      <c r="AW486" s="64">
        <v>27</v>
      </c>
      <c r="AX486" s="64">
        <f t="shared" si="830"/>
        <v>0</v>
      </c>
      <c r="AY486" s="47">
        <v>0</v>
      </c>
      <c r="AZ486" s="57" t="str">
        <f t="shared" si="833"/>
        <v>ラブブマスコット</v>
      </c>
      <c r="BA486" s="62">
        <f t="shared" si="834"/>
        <v>400</v>
      </c>
      <c r="BB486" s="27">
        <f t="shared" si="831"/>
        <v>0</v>
      </c>
      <c r="BC486" s="28">
        <f t="shared" si="832"/>
        <v>0</v>
      </c>
      <c r="BD486" s="15"/>
      <c r="BT486" s="113"/>
      <c r="BU486" s="16"/>
      <c r="BV486" s="54"/>
      <c r="BW486" s="13" t="str">
        <f t="shared" si="851"/>
        <v/>
      </c>
      <c r="BX486" s="13"/>
      <c r="BY486" s="13"/>
      <c r="BZ486" s="13"/>
      <c r="CA486" s="13" t="str">
        <f t="shared" si="852"/>
        <v/>
      </c>
      <c r="CB486" s="13"/>
      <c r="CC486" s="13"/>
      <c r="CD486" s="13"/>
      <c r="CE486" s="13" t="str">
        <f t="shared" si="840"/>
        <v/>
      </c>
      <c r="CF486" s="14" t="str">
        <f t="shared" si="841"/>
        <v/>
      </c>
      <c r="CG486" s="15"/>
      <c r="CH486" s="1"/>
      <c r="CI486" s="16"/>
      <c r="CJ486" s="54"/>
      <c r="CK486" s="13" t="str">
        <f t="shared" si="853"/>
        <v/>
      </c>
      <c r="CL486" s="13"/>
      <c r="CM486" s="13"/>
      <c r="CN486" s="13"/>
      <c r="CO486" s="13" t="str">
        <f t="shared" si="854"/>
        <v/>
      </c>
      <c r="CP486" s="13"/>
      <c r="CQ486" s="13"/>
      <c r="CR486" s="13"/>
      <c r="CS486" s="13" t="str">
        <f t="shared" si="842"/>
        <v/>
      </c>
      <c r="CT486" s="14" t="str">
        <f t="shared" si="850"/>
        <v/>
      </c>
      <c r="CU486" s="15"/>
      <c r="CV486" s="1"/>
      <c r="CW486" s="16"/>
      <c r="CX486" s="54"/>
      <c r="CY486" s="13" t="str">
        <f t="shared" si="855"/>
        <v/>
      </c>
      <c r="CZ486" s="13"/>
      <c r="DA486" s="13"/>
      <c r="DB486" s="13"/>
      <c r="DC486" s="13" t="str">
        <f t="shared" si="856"/>
        <v/>
      </c>
      <c r="DD486" s="13"/>
      <c r="DE486" s="13"/>
      <c r="DF486" s="13"/>
      <c r="DG486" s="13" t="str">
        <f t="shared" si="843"/>
        <v/>
      </c>
      <c r="DH486" s="14" t="str">
        <f t="shared" si="844"/>
        <v/>
      </c>
      <c r="DI486" s="15"/>
      <c r="DJ486" s="1"/>
      <c r="DK486" s="16"/>
      <c r="DL486" s="54"/>
      <c r="DM486" s="13" t="str">
        <f t="shared" si="857"/>
        <v/>
      </c>
      <c r="DN486" s="13"/>
      <c r="DO486" s="13"/>
      <c r="DP486" s="13"/>
      <c r="DQ486" s="13" t="str">
        <f t="shared" si="858"/>
        <v/>
      </c>
      <c r="DR486" s="13"/>
      <c r="DS486" s="13"/>
      <c r="DT486" s="13"/>
      <c r="DU486" s="13" t="str">
        <f t="shared" si="845"/>
        <v/>
      </c>
      <c r="DV486" s="14" t="str">
        <f t="shared" si="846"/>
        <v/>
      </c>
      <c r="DW486" s="15"/>
    </row>
    <row r="487" spans="1:127" ht="15" customHeight="1" thickTop="1" x14ac:dyDescent="0.2">
      <c r="A487" s="79"/>
      <c r="B487" s="74"/>
      <c r="C487" s="53"/>
      <c r="D487" s="53"/>
      <c r="E487" s="53"/>
      <c r="F487" s="31"/>
      <c r="G487" s="53"/>
      <c r="H487" s="53"/>
      <c r="I487" s="80"/>
      <c r="J487" s="21"/>
      <c r="K487" s="54"/>
      <c r="L487" s="31"/>
      <c r="M487" s="32"/>
      <c r="N487" s="15"/>
      <c r="O487" s="2"/>
      <c r="P487" s="79"/>
      <c r="Q487" s="53"/>
      <c r="R487" s="127"/>
      <c r="S487" s="53"/>
      <c r="T487" s="31"/>
      <c r="U487" s="53"/>
      <c r="V487" s="53"/>
      <c r="W487" s="80"/>
      <c r="X487" s="21"/>
      <c r="Y487" s="54"/>
      <c r="Z487" s="31"/>
      <c r="AA487" s="32"/>
      <c r="AB487" s="15"/>
      <c r="AC487" s="15"/>
      <c r="AD487" s="79"/>
      <c r="AE487" s="53"/>
      <c r="AF487" s="53"/>
      <c r="AG487" s="53"/>
      <c r="AH487" s="31"/>
      <c r="AI487" s="53"/>
      <c r="AJ487" s="53"/>
      <c r="AK487" s="80"/>
      <c r="AL487" s="21"/>
      <c r="AM487" s="54"/>
      <c r="AN487" s="31"/>
      <c r="AO487" s="32"/>
      <c r="AP487" s="15"/>
      <c r="AQ487" s="113"/>
      <c r="AR487" s="79"/>
      <c r="AS487" s="53"/>
      <c r="AT487" s="53"/>
      <c r="AU487" s="53"/>
      <c r="AV487" s="31"/>
      <c r="AW487" s="53"/>
      <c r="AX487" s="53"/>
      <c r="AY487" s="80"/>
      <c r="AZ487" s="21"/>
      <c r="BA487" s="54"/>
      <c r="BB487" s="31"/>
      <c r="BC487" s="32"/>
      <c r="BD487" s="15"/>
      <c r="BT487" s="113"/>
      <c r="BU487" s="16"/>
      <c r="BV487" s="54"/>
      <c r="BW487" s="13" t="str">
        <f t="shared" si="851"/>
        <v/>
      </c>
      <c r="BX487" s="13"/>
      <c r="BY487" s="13"/>
      <c r="BZ487" s="13"/>
      <c r="CA487" s="13" t="str">
        <f t="shared" si="852"/>
        <v/>
      </c>
      <c r="CB487" s="13"/>
      <c r="CC487" s="13"/>
      <c r="CD487" s="13"/>
      <c r="CE487" s="13" t="str">
        <f t="shared" si="840"/>
        <v/>
      </c>
      <c r="CF487" s="14" t="str">
        <f t="shared" si="841"/>
        <v/>
      </c>
      <c r="CG487" s="15"/>
      <c r="CH487" s="1"/>
      <c r="CI487" s="16"/>
      <c r="CJ487" s="54"/>
      <c r="CK487" s="13" t="str">
        <f t="shared" si="853"/>
        <v/>
      </c>
      <c r="CL487" s="13"/>
      <c r="CM487" s="13"/>
      <c r="CN487" s="13"/>
      <c r="CO487" s="13" t="str">
        <f t="shared" si="854"/>
        <v/>
      </c>
      <c r="CP487" s="13"/>
      <c r="CQ487" s="13"/>
      <c r="CR487" s="13"/>
      <c r="CS487" s="13" t="str">
        <f t="shared" si="842"/>
        <v/>
      </c>
      <c r="CT487" s="14" t="str">
        <f t="shared" si="850"/>
        <v/>
      </c>
      <c r="CU487" s="15"/>
      <c r="CV487" s="1"/>
      <c r="CW487" s="16"/>
      <c r="CX487" s="54"/>
      <c r="CY487" s="13" t="str">
        <f t="shared" si="855"/>
        <v/>
      </c>
      <c r="CZ487" s="13"/>
      <c r="DA487" s="13"/>
      <c r="DB487" s="13"/>
      <c r="DC487" s="13" t="str">
        <f t="shared" si="856"/>
        <v/>
      </c>
      <c r="DD487" s="13"/>
      <c r="DE487" s="13"/>
      <c r="DF487" s="13"/>
      <c r="DG487" s="13" t="str">
        <f t="shared" si="843"/>
        <v/>
      </c>
      <c r="DH487" s="14" t="str">
        <f t="shared" si="844"/>
        <v/>
      </c>
      <c r="DI487" s="15"/>
      <c r="DJ487" s="1"/>
      <c r="DK487" s="16"/>
      <c r="DL487" s="54"/>
      <c r="DM487" s="13" t="str">
        <f t="shared" si="857"/>
        <v/>
      </c>
      <c r="DN487" s="13"/>
      <c r="DO487" s="13"/>
      <c r="DP487" s="13"/>
      <c r="DQ487" s="13" t="str">
        <f t="shared" si="858"/>
        <v/>
      </c>
      <c r="DR487" s="13"/>
      <c r="DS487" s="13"/>
      <c r="DT487" s="13"/>
      <c r="DU487" s="13" t="str">
        <f t="shared" si="845"/>
        <v/>
      </c>
      <c r="DV487" s="14" t="str">
        <f t="shared" si="846"/>
        <v/>
      </c>
      <c r="DW487" s="15"/>
    </row>
    <row r="488" spans="1:127" ht="15" customHeight="1" x14ac:dyDescent="0.2">
      <c r="A488" s="16"/>
      <c r="B488" s="11"/>
      <c r="C488" s="13"/>
      <c r="D488" s="53"/>
      <c r="E488" s="13"/>
      <c r="F488" s="13"/>
      <c r="G488" s="13"/>
      <c r="H488" s="13"/>
      <c r="I488" s="17"/>
      <c r="J488" s="21"/>
      <c r="K488" s="54"/>
      <c r="L488" s="13"/>
      <c r="M488" s="14"/>
      <c r="N488" s="15"/>
      <c r="O488" s="2"/>
      <c r="P488" s="16"/>
      <c r="Q488" s="13"/>
      <c r="R488" s="53"/>
      <c r="S488" s="13"/>
      <c r="T488" s="13"/>
      <c r="U488" s="13"/>
      <c r="V488" s="13"/>
      <c r="W488" s="17"/>
      <c r="X488" s="21"/>
      <c r="Y488" s="54"/>
      <c r="Z488" s="13"/>
      <c r="AA488" s="14"/>
      <c r="AB488" s="15"/>
      <c r="AC488" s="15"/>
      <c r="AD488" s="16"/>
      <c r="AE488" s="13"/>
      <c r="AF488" s="53"/>
      <c r="AG488" s="13"/>
      <c r="AH488" s="13"/>
      <c r="AI488" s="13"/>
      <c r="AJ488" s="13"/>
      <c r="AK488" s="17"/>
      <c r="AL488" s="21"/>
      <c r="AM488" s="54"/>
      <c r="AN488" s="13"/>
      <c r="AO488" s="14"/>
      <c r="AP488" s="15"/>
      <c r="AQ488" s="113"/>
      <c r="AR488" s="16"/>
      <c r="AS488" s="13"/>
      <c r="AT488" s="127"/>
      <c r="AU488" s="13"/>
      <c r="AV488" s="13"/>
      <c r="AW488" s="13"/>
      <c r="AX488" s="13"/>
      <c r="AY488" s="17"/>
      <c r="AZ488" s="21"/>
      <c r="BA488" s="54"/>
      <c r="BB488" s="13"/>
      <c r="BC488" s="14"/>
      <c r="BD488" s="15"/>
      <c r="BT488" s="113"/>
      <c r="BU488" s="16"/>
      <c r="BV488" s="54"/>
      <c r="BW488" s="13" t="str">
        <f t="shared" si="851"/>
        <v/>
      </c>
      <c r="BX488" s="13"/>
      <c r="BY488" s="13"/>
      <c r="BZ488" s="13"/>
      <c r="CA488" s="13" t="str">
        <f t="shared" si="852"/>
        <v/>
      </c>
      <c r="CB488" s="13"/>
      <c r="CC488" s="13"/>
      <c r="CD488" s="13"/>
      <c r="CE488" s="13" t="str">
        <f t="shared" si="840"/>
        <v/>
      </c>
      <c r="CF488" s="14" t="str">
        <f t="shared" si="841"/>
        <v/>
      </c>
      <c r="CG488" s="15"/>
      <c r="CH488" s="1"/>
      <c r="CI488" s="16"/>
      <c r="CJ488" s="54"/>
      <c r="CK488" s="13" t="str">
        <f t="shared" si="853"/>
        <v/>
      </c>
      <c r="CL488" s="13"/>
      <c r="CM488" s="13"/>
      <c r="CN488" s="13"/>
      <c r="CO488" s="13" t="str">
        <f t="shared" si="854"/>
        <v/>
      </c>
      <c r="CP488" s="13"/>
      <c r="CQ488" s="13"/>
      <c r="CR488" s="13"/>
      <c r="CS488" s="13" t="str">
        <f t="shared" si="842"/>
        <v/>
      </c>
      <c r="CT488" s="14" t="str">
        <f t="shared" si="850"/>
        <v/>
      </c>
      <c r="CU488" s="15"/>
      <c r="CV488" s="1"/>
      <c r="CW488" s="16"/>
      <c r="CX488" s="54"/>
      <c r="CY488" s="13" t="str">
        <f t="shared" si="855"/>
        <v/>
      </c>
      <c r="CZ488" s="13"/>
      <c r="DA488" s="13"/>
      <c r="DB488" s="13"/>
      <c r="DC488" s="13" t="str">
        <f t="shared" si="856"/>
        <v/>
      </c>
      <c r="DD488" s="13"/>
      <c r="DE488" s="13"/>
      <c r="DF488" s="13"/>
      <c r="DG488" s="13" t="str">
        <f t="shared" si="843"/>
        <v/>
      </c>
      <c r="DH488" s="14" t="str">
        <f t="shared" si="844"/>
        <v/>
      </c>
      <c r="DI488" s="15"/>
      <c r="DJ488" s="1"/>
      <c r="DK488" s="16"/>
      <c r="DL488" s="54"/>
      <c r="DM488" s="13" t="str">
        <f t="shared" si="857"/>
        <v/>
      </c>
      <c r="DN488" s="13"/>
      <c r="DO488" s="13"/>
      <c r="DP488" s="13"/>
      <c r="DQ488" s="13" t="str">
        <f t="shared" si="858"/>
        <v/>
      </c>
      <c r="DR488" s="13"/>
      <c r="DS488" s="13"/>
      <c r="DT488" s="13"/>
      <c r="DU488" s="13" t="str">
        <f t="shared" si="845"/>
        <v/>
      </c>
      <c r="DV488" s="14" t="str">
        <f t="shared" si="846"/>
        <v/>
      </c>
      <c r="DW488" s="15"/>
    </row>
    <row r="489" spans="1:127" ht="15" customHeight="1" x14ac:dyDescent="0.2">
      <c r="A489" s="16"/>
      <c r="B489" s="11"/>
      <c r="C489" s="13"/>
      <c r="D489" s="63"/>
      <c r="E489" s="13"/>
      <c r="F489" s="13"/>
      <c r="G489" s="13"/>
      <c r="H489" s="13"/>
      <c r="I489" s="17"/>
      <c r="J489" s="21"/>
      <c r="K489" s="54"/>
      <c r="L489" s="13"/>
      <c r="M489" s="14"/>
      <c r="N489" s="15"/>
      <c r="O489" s="2"/>
      <c r="P489" s="16"/>
      <c r="Q489" s="13"/>
      <c r="R489" s="63"/>
      <c r="S489" s="13"/>
      <c r="T489" s="13"/>
      <c r="U489" s="13"/>
      <c r="V489" s="13"/>
      <c r="W489" s="17"/>
      <c r="X489" s="21"/>
      <c r="Y489" s="54"/>
      <c r="Z489" s="13"/>
      <c r="AA489" s="14"/>
      <c r="AB489" s="15"/>
      <c r="AC489" s="15"/>
      <c r="AD489" s="16"/>
      <c r="AE489" s="13"/>
      <c r="AF489" s="128"/>
      <c r="AG489" s="13"/>
      <c r="AH489" s="13"/>
      <c r="AI489" s="13"/>
      <c r="AJ489" s="13"/>
      <c r="AK489" s="17"/>
      <c r="AL489" s="21"/>
      <c r="AM489" s="54"/>
      <c r="AN489" s="13"/>
      <c r="AO489" s="14"/>
      <c r="AP489" s="15"/>
      <c r="AQ489" s="113"/>
      <c r="AR489" s="16"/>
      <c r="AS489" s="13"/>
      <c r="AT489" s="63"/>
      <c r="AU489" s="13"/>
      <c r="AV489" s="13"/>
      <c r="AW489" s="13"/>
      <c r="AX489" s="13"/>
      <c r="AY489" s="17"/>
      <c r="AZ489" s="21"/>
      <c r="BA489" s="54"/>
      <c r="BB489" s="13"/>
      <c r="BC489" s="14"/>
      <c r="BD489" s="15"/>
      <c r="BT489" s="113"/>
      <c r="BU489" s="16"/>
      <c r="BV489" s="54"/>
      <c r="BW489" s="13" t="str">
        <f t="shared" si="851"/>
        <v/>
      </c>
      <c r="BX489" s="13"/>
      <c r="BY489" s="13"/>
      <c r="BZ489" s="13"/>
      <c r="CA489" s="13" t="str">
        <f t="shared" si="852"/>
        <v/>
      </c>
      <c r="CB489" s="13"/>
      <c r="CC489" s="13"/>
      <c r="CD489" s="13"/>
      <c r="CE489" s="13" t="str">
        <f t="shared" si="840"/>
        <v/>
      </c>
      <c r="CF489" s="14" t="str">
        <f t="shared" si="841"/>
        <v/>
      </c>
      <c r="CG489" s="15"/>
      <c r="CH489" s="1"/>
      <c r="CI489" s="16"/>
      <c r="CJ489" s="54"/>
      <c r="CK489" s="13" t="str">
        <f t="shared" si="853"/>
        <v/>
      </c>
      <c r="CL489" s="13"/>
      <c r="CM489" s="13"/>
      <c r="CN489" s="13"/>
      <c r="CO489" s="13" t="str">
        <f t="shared" si="854"/>
        <v/>
      </c>
      <c r="CP489" s="13"/>
      <c r="CQ489" s="13"/>
      <c r="CR489" s="13"/>
      <c r="CS489" s="13" t="str">
        <f t="shared" si="842"/>
        <v/>
      </c>
      <c r="CT489" s="14" t="str">
        <f t="shared" si="850"/>
        <v/>
      </c>
      <c r="CU489" s="15"/>
      <c r="CV489" s="1"/>
      <c r="CW489" s="16"/>
      <c r="CX489" s="54"/>
      <c r="CY489" s="13" t="str">
        <f t="shared" si="855"/>
        <v/>
      </c>
      <c r="CZ489" s="13"/>
      <c r="DA489" s="13"/>
      <c r="DB489" s="13"/>
      <c r="DC489" s="13" t="str">
        <f t="shared" si="856"/>
        <v/>
      </c>
      <c r="DD489" s="13"/>
      <c r="DE489" s="13"/>
      <c r="DF489" s="13"/>
      <c r="DG489" s="13" t="str">
        <f t="shared" si="843"/>
        <v/>
      </c>
      <c r="DH489" s="14" t="str">
        <f t="shared" si="844"/>
        <v/>
      </c>
      <c r="DI489" s="15"/>
      <c r="DJ489" s="1"/>
      <c r="DK489" s="16"/>
      <c r="DL489" s="54"/>
      <c r="DM489" s="13" t="str">
        <f t="shared" si="857"/>
        <v/>
      </c>
      <c r="DN489" s="13"/>
      <c r="DO489" s="13"/>
      <c r="DP489" s="13"/>
      <c r="DQ489" s="13" t="str">
        <f t="shared" si="858"/>
        <v/>
      </c>
      <c r="DR489" s="13"/>
      <c r="DS489" s="13"/>
      <c r="DT489" s="13"/>
      <c r="DU489" s="13" t="str">
        <f t="shared" si="845"/>
        <v/>
      </c>
      <c r="DV489" s="14" t="str">
        <f t="shared" si="846"/>
        <v/>
      </c>
      <c r="DW489" s="15"/>
    </row>
    <row r="490" spans="1:127" ht="15" customHeight="1" thickBot="1" x14ac:dyDescent="0.25">
      <c r="A490" s="26"/>
      <c r="B490" s="46"/>
      <c r="C490" s="29"/>
      <c r="D490" s="61"/>
      <c r="E490" s="62"/>
      <c r="F490" s="27"/>
      <c r="G490" s="27"/>
      <c r="H490" s="27"/>
      <c r="I490" s="107"/>
      <c r="J490" s="30"/>
      <c r="K490" s="62"/>
      <c r="L490" s="27"/>
      <c r="M490" s="28"/>
      <c r="N490" s="15"/>
      <c r="O490" s="2"/>
      <c r="P490" s="26"/>
      <c r="Q490" s="29"/>
      <c r="R490" s="61"/>
      <c r="S490" s="62"/>
      <c r="T490" s="27"/>
      <c r="U490" s="27"/>
      <c r="V490" s="27"/>
      <c r="W490" s="107"/>
      <c r="X490" s="30"/>
      <c r="Y490" s="62"/>
      <c r="Z490" s="27"/>
      <c r="AA490" s="28"/>
      <c r="AB490" s="15"/>
      <c r="AC490" s="15"/>
      <c r="AD490" s="26"/>
      <c r="AE490" s="29"/>
      <c r="AF490" s="61"/>
      <c r="AG490" s="62"/>
      <c r="AH490" s="27"/>
      <c r="AI490" s="27"/>
      <c r="AJ490" s="27"/>
      <c r="AK490" s="107"/>
      <c r="AL490" s="30"/>
      <c r="AM490" s="62"/>
      <c r="AN490" s="27"/>
      <c r="AO490" s="28"/>
      <c r="AP490" s="15"/>
      <c r="AQ490" s="113"/>
      <c r="AR490" s="26"/>
      <c r="AS490" s="29"/>
      <c r="AT490" s="61"/>
      <c r="AU490" s="62"/>
      <c r="AV490" s="27"/>
      <c r="AW490" s="27"/>
      <c r="AX490" s="27"/>
      <c r="AY490" s="107"/>
      <c r="AZ490" s="30"/>
      <c r="BA490" s="62"/>
      <c r="BB490" s="27"/>
      <c r="BC490" s="28"/>
      <c r="BD490" s="15"/>
      <c r="BT490" s="113"/>
      <c r="BU490" s="16"/>
      <c r="BV490" s="54"/>
      <c r="BW490" s="13" t="str">
        <f t="shared" si="851"/>
        <v/>
      </c>
      <c r="BX490" s="13"/>
      <c r="BY490" s="13"/>
      <c r="BZ490" s="13"/>
      <c r="CA490" s="13" t="str">
        <f t="shared" si="852"/>
        <v/>
      </c>
      <c r="CB490" s="13"/>
      <c r="CC490" s="13"/>
      <c r="CD490" s="13"/>
      <c r="CE490" s="13" t="str">
        <f t="shared" si="840"/>
        <v/>
      </c>
      <c r="CF490" s="14" t="str">
        <f t="shared" si="841"/>
        <v/>
      </c>
      <c r="CG490" s="15"/>
      <c r="CH490" s="1"/>
      <c r="CI490" s="16"/>
      <c r="CJ490" s="54"/>
      <c r="CK490" s="13" t="str">
        <f t="shared" si="853"/>
        <v/>
      </c>
      <c r="CL490" s="13"/>
      <c r="CM490" s="13"/>
      <c r="CN490" s="13"/>
      <c r="CO490" s="13" t="str">
        <f t="shared" si="854"/>
        <v/>
      </c>
      <c r="CP490" s="13"/>
      <c r="CQ490" s="13"/>
      <c r="CR490" s="13"/>
      <c r="CS490" s="13" t="str">
        <f t="shared" si="842"/>
        <v/>
      </c>
      <c r="CT490" s="14" t="str">
        <f t="shared" si="850"/>
        <v/>
      </c>
      <c r="CU490" s="15"/>
      <c r="CV490" s="1"/>
      <c r="CW490" s="16"/>
      <c r="CX490" s="54"/>
      <c r="CY490" s="13" t="str">
        <f t="shared" si="855"/>
        <v/>
      </c>
      <c r="CZ490" s="13"/>
      <c r="DA490" s="13"/>
      <c r="DB490" s="13"/>
      <c r="DC490" s="13" t="str">
        <f t="shared" si="856"/>
        <v/>
      </c>
      <c r="DD490" s="13"/>
      <c r="DE490" s="13"/>
      <c r="DF490" s="13"/>
      <c r="DG490" s="13" t="str">
        <f t="shared" si="843"/>
        <v/>
      </c>
      <c r="DH490" s="14" t="str">
        <f t="shared" si="844"/>
        <v/>
      </c>
      <c r="DI490" s="15"/>
      <c r="DJ490" s="1"/>
      <c r="DK490" s="16"/>
      <c r="DL490" s="54"/>
      <c r="DM490" s="13" t="str">
        <f t="shared" si="857"/>
        <v/>
      </c>
      <c r="DN490" s="13"/>
      <c r="DO490" s="13"/>
      <c r="DP490" s="13"/>
      <c r="DQ490" s="13" t="str">
        <f t="shared" si="858"/>
        <v/>
      </c>
      <c r="DR490" s="13"/>
      <c r="DS490" s="13"/>
      <c r="DT490" s="13"/>
      <c r="DU490" s="13" t="str">
        <f t="shared" si="845"/>
        <v/>
      </c>
      <c r="DV490" s="14" t="str">
        <f t="shared" si="846"/>
        <v/>
      </c>
      <c r="DW490" s="15"/>
    </row>
    <row r="491" spans="1:127" ht="15" customHeight="1" thickTop="1" x14ac:dyDescent="0.2">
      <c r="A491" s="79"/>
      <c r="B491" s="74" t="str">
        <f>IF(A491="","",SUM(D491:D494)+SUM(R491:R494)+SUM(AF491:AF494)+SUM(AT491:AT494)+SUM(BW458,CK458,CY458,DM458))</f>
        <v/>
      </c>
      <c r="C491" s="53"/>
      <c r="D491" s="53" t="str">
        <f t="shared" ref="D491:D498" si="865">IF(C491="","",C491-C487)</f>
        <v/>
      </c>
      <c r="E491" s="53"/>
      <c r="F491" s="31" t="str">
        <f t="shared" ref="F491:F498" si="866">IF(E491="","",E491-E487)</f>
        <v/>
      </c>
      <c r="G491" s="53"/>
      <c r="H491" s="53" t="str">
        <f t="shared" ref="H491:H498" si="867">IF(G491="","",G487+I487-G491)</f>
        <v/>
      </c>
      <c r="I491" s="80"/>
      <c r="J491" s="75" t="str">
        <f t="shared" ref="J491:K498" si="868">IF(C491="","",J487)</f>
        <v/>
      </c>
      <c r="K491" s="76" t="str">
        <f t="shared" si="868"/>
        <v/>
      </c>
      <c r="L491" s="31" t="str">
        <f t="shared" ref="L491:L498" si="869">IF(G491="","",H491*K491)</f>
        <v/>
      </c>
      <c r="M491" s="32" t="str">
        <f t="shared" ref="M491:M498" si="870">IF(H491="","",L491/(D491*100))</f>
        <v/>
      </c>
      <c r="N491" s="15"/>
      <c r="O491" s="2"/>
      <c r="P491" s="79" t="str">
        <f>IF(A491="","",A491)</f>
        <v/>
      </c>
      <c r="Q491" s="53"/>
      <c r="R491" s="53" t="str">
        <f t="shared" ref="R491:R498" si="871">IF(Q491="","",Q491-Q487)</f>
        <v/>
      </c>
      <c r="S491" s="53"/>
      <c r="T491" s="31" t="str">
        <f t="shared" ref="T491:T498" si="872">IF(S491="","",S491-S487)</f>
        <v/>
      </c>
      <c r="U491" s="53"/>
      <c r="V491" s="53" t="str">
        <f t="shared" ref="V491:V498" si="873">IF(U491="","",U487+W487-U491)</f>
        <v/>
      </c>
      <c r="W491" s="80"/>
      <c r="X491" s="75" t="str">
        <f t="shared" ref="X491:Y498" si="874">IF(Q491="","",X487)</f>
        <v/>
      </c>
      <c r="Y491" s="76" t="str">
        <f t="shared" si="874"/>
        <v/>
      </c>
      <c r="Z491" s="31" t="str">
        <f t="shared" ref="Z491:Z498" si="875">IF(U491="","",V491*Y491)</f>
        <v/>
      </c>
      <c r="AA491" s="32" t="str">
        <f t="shared" ref="AA491:AA498" si="876">IF(V491="","",Z491/(R491*100))</f>
        <v/>
      </c>
      <c r="AB491" s="15"/>
      <c r="AC491" s="15"/>
      <c r="AD491" s="79" t="str">
        <f>IF($A491="","",$A491)</f>
        <v/>
      </c>
      <c r="AE491" s="53"/>
      <c r="AF491" s="53" t="str">
        <f t="shared" ref="AF491:AF498" si="877">IF(AE491="","",AE491-AE487)</f>
        <v/>
      </c>
      <c r="AG491" s="53"/>
      <c r="AH491" s="31" t="str">
        <f t="shared" ref="AH491:AH498" si="878">IF(AG491="","",AG491-AG487)</f>
        <v/>
      </c>
      <c r="AI491" s="53"/>
      <c r="AJ491" s="53" t="str">
        <f t="shared" ref="AJ491:AJ498" si="879">IF(AI491="","",AI487+AK487-AI491)</f>
        <v/>
      </c>
      <c r="AK491" s="80"/>
      <c r="AL491" s="75" t="str">
        <f t="shared" ref="AL491:AM498" si="880">IF(AE491="","",AL487)</f>
        <v/>
      </c>
      <c r="AM491" s="76" t="str">
        <f t="shared" si="880"/>
        <v/>
      </c>
      <c r="AN491" s="31" t="str">
        <f t="shared" ref="AN491:AN498" si="881">IF(AI491="","",AJ491*AM491)</f>
        <v/>
      </c>
      <c r="AO491" s="32" t="str">
        <f t="shared" ref="AO491:AO498" si="882">IF(AJ491="","",AN491/(AF491*100))</f>
        <v/>
      </c>
      <c r="AP491" s="15"/>
      <c r="AQ491" s="113"/>
      <c r="AR491" s="79" t="str">
        <f>IF($A491="","",$A491)</f>
        <v/>
      </c>
      <c r="AS491" s="53"/>
      <c r="AT491" s="53" t="str">
        <f t="shared" ref="AT491:AT498" si="883">IF(AS491="","",AS491-AS487)</f>
        <v/>
      </c>
      <c r="AU491" s="53"/>
      <c r="AV491" s="31" t="str">
        <f t="shared" ref="AV491:AV498" si="884">IF(AU491="","",AU491-AU487)</f>
        <v/>
      </c>
      <c r="AW491" s="53"/>
      <c r="AX491" s="53" t="str">
        <f t="shared" ref="AX491:AX498" si="885">IF(AW491="","",AW487+AY487-AW491)</f>
        <v/>
      </c>
      <c r="AY491" s="80"/>
      <c r="AZ491" s="75" t="str">
        <f t="shared" ref="AZ491:BA498" si="886">IF(AS491="","",AZ487)</f>
        <v/>
      </c>
      <c r="BA491" s="76" t="str">
        <f t="shared" si="886"/>
        <v/>
      </c>
      <c r="BB491" s="31" t="str">
        <f t="shared" ref="BB491:BB498" si="887">IF(AW491="","",AX491*BA491)</f>
        <v/>
      </c>
      <c r="BC491" s="32" t="str">
        <f t="shared" ref="BC491:BC498" si="888">IF(AX491="","",BB491/(AT491*100))</f>
        <v/>
      </c>
      <c r="BD491" s="15"/>
      <c r="BT491" s="113"/>
      <c r="BU491" s="16"/>
      <c r="BV491" s="54"/>
      <c r="BW491" s="13" t="str">
        <f t="shared" si="851"/>
        <v/>
      </c>
      <c r="BX491" s="13"/>
      <c r="BY491" s="13"/>
      <c r="BZ491" s="13"/>
      <c r="CA491" s="13" t="str">
        <f t="shared" si="852"/>
        <v/>
      </c>
      <c r="CB491" s="13"/>
      <c r="CC491" s="13"/>
      <c r="CD491" s="13"/>
      <c r="CE491" s="13" t="str">
        <f t="shared" si="840"/>
        <v/>
      </c>
      <c r="CF491" s="14" t="str">
        <f t="shared" si="841"/>
        <v/>
      </c>
      <c r="CG491" s="15"/>
      <c r="CH491" s="1"/>
      <c r="CI491" s="16"/>
      <c r="CJ491" s="54"/>
      <c r="CK491" s="13" t="str">
        <f t="shared" si="853"/>
        <v/>
      </c>
      <c r="CL491" s="13"/>
      <c r="CM491" s="13"/>
      <c r="CN491" s="13"/>
      <c r="CO491" s="13" t="str">
        <f t="shared" si="854"/>
        <v/>
      </c>
      <c r="CP491" s="13"/>
      <c r="CQ491" s="13"/>
      <c r="CR491" s="13"/>
      <c r="CS491" s="13" t="str">
        <f t="shared" si="842"/>
        <v/>
      </c>
      <c r="CT491" s="14" t="str">
        <f t="shared" si="850"/>
        <v/>
      </c>
      <c r="CU491" s="15"/>
      <c r="CV491" s="1"/>
      <c r="CW491" s="16"/>
      <c r="CX491" s="54"/>
      <c r="CY491" s="13" t="str">
        <f t="shared" si="855"/>
        <v/>
      </c>
      <c r="CZ491" s="13"/>
      <c r="DA491" s="13"/>
      <c r="DB491" s="13"/>
      <c r="DC491" s="13" t="str">
        <f t="shared" si="856"/>
        <v/>
      </c>
      <c r="DD491" s="13"/>
      <c r="DE491" s="13"/>
      <c r="DF491" s="13"/>
      <c r="DG491" s="13" t="str">
        <f t="shared" si="843"/>
        <v/>
      </c>
      <c r="DH491" s="14" t="str">
        <f t="shared" si="844"/>
        <v/>
      </c>
      <c r="DI491" s="15"/>
      <c r="DJ491" s="1"/>
      <c r="DK491" s="16"/>
      <c r="DL491" s="54"/>
      <c r="DM491" s="13" t="str">
        <f t="shared" si="857"/>
        <v/>
      </c>
      <c r="DN491" s="13"/>
      <c r="DO491" s="13"/>
      <c r="DP491" s="13"/>
      <c r="DQ491" s="13" t="str">
        <f t="shared" si="858"/>
        <v/>
      </c>
      <c r="DR491" s="13"/>
      <c r="DS491" s="13"/>
      <c r="DT491" s="13"/>
      <c r="DU491" s="13" t="str">
        <f t="shared" si="845"/>
        <v/>
      </c>
      <c r="DV491" s="14" t="str">
        <f t="shared" si="846"/>
        <v/>
      </c>
      <c r="DW491" s="15"/>
    </row>
    <row r="492" spans="1:127" ht="15" customHeight="1" x14ac:dyDescent="0.2">
      <c r="A492" s="16"/>
      <c r="B492" s="11"/>
      <c r="C492" s="13"/>
      <c r="D492" s="53" t="str">
        <f t="shared" si="865"/>
        <v/>
      </c>
      <c r="E492" s="13"/>
      <c r="F492" s="13" t="str">
        <f t="shared" si="866"/>
        <v/>
      </c>
      <c r="G492" s="13"/>
      <c r="H492" s="13" t="str">
        <f t="shared" si="867"/>
        <v/>
      </c>
      <c r="I492" s="17"/>
      <c r="J492" s="56" t="str">
        <f t="shared" si="868"/>
        <v/>
      </c>
      <c r="K492" s="54" t="str">
        <f t="shared" si="868"/>
        <v/>
      </c>
      <c r="L492" s="13" t="str">
        <f t="shared" si="869"/>
        <v/>
      </c>
      <c r="M492" s="14" t="str">
        <f t="shared" si="870"/>
        <v/>
      </c>
      <c r="N492" s="15"/>
      <c r="O492" s="2"/>
      <c r="P492" s="16"/>
      <c r="Q492" s="13"/>
      <c r="R492" s="53" t="str">
        <f t="shared" si="871"/>
        <v/>
      </c>
      <c r="S492" s="13"/>
      <c r="T492" s="13" t="str">
        <f t="shared" si="872"/>
        <v/>
      </c>
      <c r="U492" s="13"/>
      <c r="V492" s="13" t="str">
        <f t="shared" si="873"/>
        <v/>
      </c>
      <c r="W492" s="17"/>
      <c r="X492" s="56" t="str">
        <f t="shared" si="874"/>
        <v/>
      </c>
      <c r="Y492" s="54" t="str">
        <f t="shared" si="874"/>
        <v/>
      </c>
      <c r="Z492" s="13" t="str">
        <f t="shared" si="875"/>
        <v/>
      </c>
      <c r="AA492" s="14" t="str">
        <f t="shared" si="876"/>
        <v/>
      </c>
      <c r="AB492" s="15"/>
      <c r="AC492" s="15"/>
      <c r="AD492" s="16"/>
      <c r="AE492" s="13"/>
      <c r="AF492" s="53" t="str">
        <f t="shared" si="877"/>
        <v/>
      </c>
      <c r="AG492" s="13"/>
      <c r="AH492" s="13" t="str">
        <f t="shared" si="878"/>
        <v/>
      </c>
      <c r="AI492" s="13"/>
      <c r="AJ492" s="13" t="str">
        <f t="shared" si="879"/>
        <v/>
      </c>
      <c r="AK492" s="17"/>
      <c r="AL492" s="56" t="str">
        <f t="shared" si="880"/>
        <v/>
      </c>
      <c r="AM492" s="54" t="str">
        <f t="shared" si="880"/>
        <v/>
      </c>
      <c r="AN492" s="13" t="str">
        <f t="shared" si="881"/>
        <v/>
      </c>
      <c r="AO492" s="14" t="str">
        <f t="shared" si="882"/>
        <v/>
      </c>
      <c r="AP492" s="15"/>
      <c r="AQ492" s="113"/>
      <c r="AR492" s="16"/>
      <c r="AS492" s="13"/>
      <c r="AT492" s="53" t="str">
        <f t="shared" si="883"/>
        <v/>
      </c>
      <c r="AU492" s="13"/>
      <c r="AV492" s="13" t="str">
        <f t="shared" si="884"/>
        <v/>
      </c>
      <c r="AW492" s="13"/>
      <c r="AX492" s="13" t="str">
        <f t="shared" si="885"/>
        <v/>
      </c>
      <c r="AY492" s="17"/>
      <c r="AZ492" s="56" t="str">
        <f t="shared" si="886"/>
        <v/>
      </c>
      <c r="BA492" s="54" t="str">
        <f t="shared" si="886"/>
        <v/>
      </c>
      <c r="BB492" s="13" t="str">
        <f t="shared" si="887"/>
        <v/>
      </c>
      <c r="BC492" s="14" t="str">
        <f t="shared" si="888"/>
        <v/>
      </c>
      <c r="BD492" s="15"/>
      <c r="BT492" s="113"/>
      <c r="BU492" s="16"/>
      <c r="BV492" s="54"/>
      <c r="BW492" s="13" t="str">
        <f t="shared" si="851"/>
        <v/>
      </c>
      <c r="BX492" s="13"/>
      <c r="BY492" s="13"/>
      <c r="BZ492" s="13"/>
      <c r="CA492" s="13" t="str">
        <f t="shared" si="852"/>
        <v/>
      </c>
      <c r="CB492" s="13"/>
      <c r="CC492" s="13"/>
      <c r="CD492" s="13"/>
      <c r="CE492" s="13" t="str">
        <f t="shared" si="840"/>
        <v/>
      </c>
      <c r="CF492" s="14" t="str">
        <f t="shared" si="841"/>
        <v/>
      </c>
      <c r="CG492" s="15"/>
      <c r="CH492" s="1"/>
      <c r="CI492" s="16"/>
      <c r="CJ492" s="54"/>
      <c r="CK492" s="13" t="str">
        <f t="shared" si="853"/>
        <v/>
      </c>
      <c r="CL492" s="13"/>
      <c r="CM492" s="13"/>
      <c r="CN492" s="13"/>
      <c r="CO492" s="13" t="str">
        <f t="shared" si="854"/>
        <v/>
      </c>
      <c r="CP492" s="13"/>
      <c r="CQ492" s="13"/>
      <c r="CR492" s="13"/>
      <c r="CS492" s="13" t="str">
        <f t="shared" si="842"/>
        <v/>
      </c>
      <c r="CT492" s="14" t="str">
        <f t="shared" si="850"/>
        <v/>
      </c>
      <c r="CU492" s="15"/>
      <c r="CV492" s="1"/>
      <c r="CW492" s="16"/>
      <c r="CX492" s="54"/>
      <c r="CY492" s="13" t="str">
        <f t="shared" si="855"/>
        <v/>
      </c>
      <c r="CZ492" s="13"/>
      <c r="DA492" s="13"/>
      <c r="DB492" s="13"/>
      <c r="DC492" s="13" t="str">
        <f t="shared" si="856"/>
        <v/>
      </c>
      <c r="DD492" s="13"/>
      <c r="DE492" s="13"/>
      <c r="DF492" s="13"/>
      <c r="DG492" s="13" t="str">
        <f t="shared" si="843"/>
        <v/>
      </c>
      <c r="DH492" s="14" t="str">
        <f t="shared" si="844"/>
        <v/>
      </c>
      <c r="DI492" s="15"/>
      <c r="DJ492" s="1"/>
      <c r="DK492" s="16"/>
      <c r="DL492" s="54"/>
      <c r="DM492" s="13" t="str">
        <f t="shared" si="857"/>
        <v/>
      </c>
      <c r="DN492" s="13"/>
      <c r="DO492" s="13"/>
      <c r="DP492" s="13"/>
      <c r="DQ492" s="13" t="str">
        <f t="shared" si="858"/>
        <v/>
      </c>
      <c r="DR492" s="13"/>
      <c r="DS492" s="13"/>
      <c r="DT492" s="13"/>
      <c r="DU492" s="13" t="str">
        <f t="shared" si="845"/>
        <v/>
      </c>
      <c r="DV492" s="14" t="str">
        <f t="shared" si="846"/>
        <v/>
      </c>
      <c r="DW492" s="15"/>
    </row>
    <row r="493" spans="1:127" ht="15" customHeight="1" x14ac:dyDescent="0.2">
      <c r="A493" s="16"/>
      <c r="B493" s="11"/>
      <c r="C493" s="13"/>
      <c r="D493" s="63" t="str">
        <f t="shared" si="865"/>
        <v/>
      </c>
      <c r="E493" s="13"/>
      <c r="F493" s="13" t="str">
        <f t="shared" si="866"/>
        <v/>
      </c>
      <c r="G493" s="13"/>
      <c r="H493" s="13" t="str">
        <f t="shared" si="867"/>
        <v/>
      </c>
      <c r="I493" s="49"/>
      <c r="J493" s="56" t="str">
        <f t="shared" si="868"/>
        <v/>
      </c>
      <c r="K493" s="13" t="str">
        <f t="shared" si="868"/>
        <v/>
      </c>
      <c r="L493" s="13" t="str">
        <f t="shared" si="869"/>
        <v/>
      </c>
      <c r="M493" s="14" t="str">
        <f t="shared" si="870"/>
        <v/>
      </c>
      <c r="N493" s="15"/>
      <c r="O493" s="2"/>
      <c r="P493" s="16"/>
      <c r="Q493" s="13"/>
      <c r="R493" s="63" t="str">
        <f t="shared" si="871"/>
        <v/>
      </c>
      <c r="S493" s="13"/>
      <c r="T493" s="13" t="str">
        <f t="shared" si="872"/>
        <v/>
      </c>
      <c r="U493" s="13"/>
      <c r="V493" s="13" t="str">
        <f t="shared" si="873"/>
        <v/>
      </c>
      <c r="W493" s="49"/>
      <c r="X493" s="56" t="str">
        <f t="shared" si="874"/>
        <v/>
      </c>
      <c r="Y493" s="13" t="str">
        <f t="shared" si="874"/>
        <v/>
      </c>
      <c r="Z493" s="13" t="str">
        <f t="shared" si="875"/>
        <v/>
      </c>
      <c r="AA493" s="14" t="str">
        <f t="shared" si="876"/>
        <v/>
      </c>
      <c r="AB493" s="15"/>
      <c r="AC493" s="15"/>
      <c r="AD493" s="16"/>
      <c r="AE493" s="13"/>
      <c r="AF493" s="63" t="str">
        <f t="shared" si="877"/>
        <v/>
      </c>
      <c r="AG493" s="13"/>
      <c r="AH493" s="13" t="str">
        <f t="shared" si="878"/>
        <v/>
      </c>
      <c r="AI493" s="13"/>
      <c r="AJ493" s="13" t="str">
        <f t="shared" si="879"/>
        <v/>
      </c>
      <c r="AK493" s="49"/>
      <c r="AL493" s="56" t="str">
        <f t="shared" si="880"/>
        <v/>
      </c>
      <c r="AM493" s="13" t="str">
        <f t="shared" si="880"/>
        <v/>
      </c>
      <c r="AN493" s="13" t="str">
        <f t="shared" si="881"/>
        <v/>
      </c>
      <c r="AO493" s="14" t="str">
        <f t="shared" si="882"/>
        <v/>
      </c>
      <c r="AP493" s="15"/>
      <c r="AQ493" s="113"/>
      <c r="AR493" s="16"/>
      <c r="AS493" s="13"/>
      <c r="AT493" s="63" t="str">
        <f t="shared" si="883"/>
        <v/>
      </c>
      <c r="AU493" s="13"/>
      <c r="AV493" s="13" t="str">
        <f t="shared" si="884"/>
        <v/>
      </c>
      <c r="AW493" s="13"/>
      <c r="AX493" s="13" t="str">
        <f t="shared" si="885"/>
        <v/>
      </c>
      <c r="AY493" s="49"/>
      <c r="AZ493" s="56" t="str">
        <f t="shared" si="886"/>
        <v/>
      </c>
      <c r="BA493" s="13" t="str">
        <f t="shared" si="886"/>
        <v/>
      </c>
      <c r="BB493" s="13" t="str">
        <f t="shared" si="887"/>
        <v/>
      </c>
      <c r="BC493" s="14" t="str">
        <f t="shared" si="888"/>
        <v/>
      </c>
      <c r="BD493" s="15"/>
      <c r="BT493" s="113"/>
      <c r="BU493" s="16"/>
      <c r="BV493" s="54"/>
      <c r="BW493" s="13" t="str">
        <f t="shared" si="851"/>
        <v/>
      </c>
      <c r="BX493" s="13"/>
      <c r="BY493" s="13"/>
      <c r="BZ493" s="13"/>
      <c r="CA493" s="13" t="str">
        <f t="shared" si="852"/>
        <v/>
      </c>
      <c r="CB493" s="13"/>
      <c r="CC493" s="13"/>
      <c r="CD493" s="13"/>
      <c r="CE493" s="13" t="str">
        <f t="shared" si="840"/>
        <v/>
      </c>
      <c r="CF493" s="14" t="str">
        <f t="shared" si="841"/>
        <v/>
      </c>
      <c r="CG493" s="15"/>
      <c r="CH493" s="1"/>
      <c r="CI493" s="16"/>
      <c r="CJ493" s="54"/>
      <c r="CK493" s="13" t="str">
        <f t="shared" si="853"/>
        <v/>
      </c>
      <c r="CL493" s="13"/>
      <c r="CM493" s="13"/>
      <c r="CN493" s="13"/>
      <c r="CO493" s="13" t="str">
        <f t="shared" si="854"/>
        <v/>
      </c>
      <c r="CP493" s="13"/>
      <c r="CQ493" s="13"/>
      <c r="CR493" s="13"/>
      <c r="CS493" s="13" t="str">
        <f t="shared" si="842"/>
        <v/>
      </c>
      <c r="CT493" s="14" t="str">
        <f t="shared" si="850"/>
        <v/>
      </c>
      <c r="CU493" s="15"/>
      <c r="CV493" s="1"/>
      <c r="CW493" s="16"/>
      <c r="CX493" s="54"/>
      <c r="CY493" s="13" t="str">
        <f t="shared" si="855"/>
        <v/>
      </c>
      <c r="CZ493" s="13"/>
      <c r="DA493" s="13"/>
      <c r="DB493" s="13"/>
      <c r="DC493" s="13" t="str">
        <f t="shared" si="856"/>
        <v/>
      </c>
      <c r="DD493" s="13"/>
      <c r="DE493" s="13"/>
      <c r="DF493" s="13"/>
      <c r="DG493" s="13" t="str">
        <f t="shared" si="843"/>
        <v/>
      </c>
      <c r="DH493" s="14" t="str">
        <f t="shared" si="844"/>
        <v/>
      </c>
      <c r="DI493" s="15"/>
      <c r="DJ493" s="1"/>
      <c r="DK493" s="16"/>
      <c r="DL493" s="54"/>
      <c r="DM493" s="13" t="str">
        <f t="shared" si="857"/>
        <v/>
      </c>
      <c r="DN493" s="13"/>
      <c r="DO493" s="13"/>
      <c r="DP493" s="13"/>
      <c r="DQ493" s="13" t="str">
        <f t="shared" si="858"/>
        <v/>
      </c>
      <c r="DR493" s="13"/>
      <c r="DS493" s="13"/>
      <c r="DT493" s="13"/>
      <c r="DU493" s="13" t="str">
        <f t="shared" si="845"/>
        <v/>
      </c>
      <c r="DV493" s="14" t="str">
        <f t="shared" si="846"/>
        <v/>
      </c>
      <c r="DW493" s="15"/>
    </row>
    <row r="494" spans="1:127" ht="15" customHeight="1" thickBot="1" x14ac:dyDescent="0.25">
      <c r="A494" s="26"/>
      <c r="B494" s="46"/>
      <c r="C494" s="27"/>
      <c r="D494" s="61" t="str">
        <f t="shared" si="865"/>
        <v/>
      </c>
      <c r="E494" s="62"/>
      <c r="F494" s="27" t="str">
        <f t="shared" si="866"/>
        <v/>
      </c>
      <c r="G494" s="27"/>
      <c r="H494" s="27" t="str">
        <f t="shared" si="867"/>
        <v/>
      </c>
      <c r="I494" s="47"/>
      <c r="J494" s="57" t="str">
        <f t="shared" si="868"/>
        <v/>
      </c>
      <c r="K494" s="62" t="str">
        <f t="shared" si="868"/>
        <v/>
      </c>
      <c r="L494" s="27" t="str">
        <f t="shared" si="869"/>
        <v/>
      </c>
      <c r="M494" s="28" t="str">
        <f t="shared" si="870"/>
        <v/>
      </c>
      <c r="N494" s="15"/>
      <c r="O494" s="2"/>
      <c r="P494" s="26"/>
      <c r="Q494" s="27"/>
      <c r="R494" s="61" t="str">
        <f t="shared" si="871"/>
        <v/>
      </c>
      <c r="S494" s="62"/>
      <c r="T494" s="27" t="str">
        <f t="shared" si="872"/>
        <v/>
      </c>
      <c r="U494" s="27"/>
      <c r="V494" s="27" t="str">
        <f t="shared" si="873"/>
        <v/>
      </c>
      <c r="W494" s="47"/>
      <c r="X494" s="57" t="str">
        <f t="shared" si="874"/>
        <v/>
      </c>
      <c r="Y494" s="62" t="str">
        <f t="shared" si="874"/>
        <v/>
      </c>
      <c r="Z494" s="27" t="str">
        <f t="shared" si="875"/>
        <v/>
      </c>
      <c r="AA494" s="28" t="str">
        <f t="shared" si="876"/>
        <v/>
      </c>
      <c r="AB494" s="15"/>
      <c r="AC494" s="15"/>
      <c r="AD494" s="26"/>
      <c r="AE494" s="27"/>
      <c r="AF494" s="61" t="str">
        <f t="shared" si="877"/>
        <v/>
      </c>
      <c r="AG494" s="62"/>
      <c r="AH494" s="27" t="str">
        <f t="shared" si="878"/>
        <v/>
      </c>
      <c r="AI494" s="27"/>
      <c r="AJ494" s="27" t="str">
        <f t="shared" si="879"/>
        <v/>
      </c>
      <c r="AK494" s="47"/>
      <c r="AL494" s="57" t="str">
        <f t="shared" si="880"/>
        <v/>
      </c>
      <c r="AM494" s="62" t="str">
        <f t="shared" si="880"/>
        <v/>
      </c>
      <c r="AN494" s="27" t="str">
        <f t="shared" si="881"/>
        <v/>
      </c>
      <c r="AO494" s="28" t="str">
        <f t="shared" si="882"/>
        <v/>
      </c>
      <c r="AP494" s="15"/>
      <c r="AQ494" s="113"/>
      <c r="AR494" s="26"/>
      <c r="AS494" s="27"/>
      <c r="AT494" s="61" t="str">
        <f t="shared" si="883"/>
        <v/>
      </c>
      <c r="AU494" s="62"/>
      <c r="AV494" s="27" t="str">
        <f t="shared" si="884"/>
        <v/>
      </c>
      <c r="AW494" s="27"/>
      <c r="AX494" s="27" t="str">
        <f t="shared" si="885"/>
        <v/>
      </c>
      <c r="AY494" s="47"/>
      <c r="AZ494" s="57" t="str">
        <f t="shared" si="886"/>
        <v/>
      </c>
      <c r="BA494" s="62" t="str">
        <f t="shared" si="886"/>
        <v/>
      </c>
      <c r="BB494" s="27" t="str">
        <f t="shared" si="887"/>
        <v/>
      </c>
      <c r="BC494" s="28" t="str">
        <f t="shared" si="888"/>
        <v/>
      </c>
      <c r="BD494" s="15"/>
      <c r="BT494" s="113"/>
      <c r="BU494" s="16"/>
      <c r="BV494" s="54"/>
      <c r="BW494" s="13" t="str">
        <f t="shared" si="851"/>
        <v/>
      </c>
      <c r="BX494" s="13"/>
      <c r="BY494" s="13"/>
      <c r="BZ494" s="13"/>
      <c r="CA494" s="13" t="str">
        <f t="shared" si="852"/>
        <v/>
      </c>
      <c r="CB494" s="13"/>
      <c r="CC494" s="13"/>
      <c r="CD494" s="13"/>
      <c r="CE494" s="13" t="str">
        <f t="shared" si="840"/>
        <v/>
      </c>
      <c r="CF494" s="14" t="str">
        <f t="shared" si="841"/>
        <v/>
      </c>
      <c r="CG494" s="15"/>
      <c r="CH494" s="1"/>
      <c r="CI494" s="16"/>
      <c r="CJ494" s="54"/>
      <c r="CK494" s="13" t="str">
        <f t="shared" si="853"/>
        <v/>
      </c>
      <c r="CL494" s="13"/>
      <c r="CM494" s="13"/>
      <c r="CN494" s="13"/>
      <c r="CO494" s="13" t="str">
        <f t="shared" si="854"/>
        <v/>
      </c>
      <c r="CP494" s="13"/>
      <c r="CQ494" s="13"/>
      <c r="CR494" s="13"/>
      <c r="CS494" s="13" t="str">
        <f t="shared" si="842"/>
        <v/>
      </c>
      <c r="CT494" s="14" t="str">
        <f t="shared" si="850"/>
        <v/>
      </c>
      <c r="CU494" s="15"/>
      <c r="CV494" s="1"/>
      <c r="CW494" s="16"/>
      <c r="CX494" s="54"/>
      <c r="CY494" s="13" t="str">
        <f t="shared" si="855"/>
        <v/>
      </c>
      <c r="CZ494" s="13"/>
      <c r="DA494" s="13"/>
      <c r="DB494" s="13"/>
      <c r="DC494" s="13" t="str">
        <f t="shared" si="856"/>
        <v/>
      </c>
      <c r="DD494" s="13"/>
      <c r="DE494" s="13"/>
      <c r="DF494" s="13"/>
      <c r="DG494" s="13" t="str">
        <f t="shared" si="843"/>
        <v/>
      </c>
      <c r="DH494" s="14" t="str">
        <f t="shared" si="844"/>
        <v/>
      </c>
      <c r="DI494" s="15"/>
      <c r="DJ494" s="1"/>
      <c r="DK494" s="16"/>
      <c r="DL494" s="54"/>
      <c r="DM494" s="13" t="str">
        <f t="shared" si="857"/>
        <v/>
      </c>
      <c r="DN494" s="13"/>
      <c r="DO494" s="13"/>
      <c r="DP494" s="13"/>
      <c r="DQ494" s="13" t="str">
        <f t="shared" si="858"/>
        <v/>
      </c>
      <c r="DR494" s="13"/>
      <c r="DS494" s="13"/>
      <c r="DT494" s="13"/>
      <c r="DU494" s="13" t="str">
        <f t="shared" si="845"/>
        <v/>
      </c>
      <c r="DV494" s="14" t="str">
        <f t="shared" si="846"/>
        <v/>
      </c>
      <c r="DW494" s="15"/>
    </row>
    <row r="495" spans="1:127" ht="15" customHeight="1" thickTop="1" x14ac:dyDescent="0.2">
      <c r="A495" s="79"/>
      <c r="B495" s="74" t="str">
        <f>IF(A495="","",SUM(D495:D498)+SUM(R495:R498)+SUM(AF495:AF498)+SUM(AT495:AT498)+SUM(BW459,CK459,CY459,DM459))</f>
        <v/>
      </c>
      <c r="C495" s="53"/>
      <c r="D495" s="53" t="str">
        <f t="shared" si="865"/>
        <v/>
      </c>
      <c r="E495" s="53"/>
      <c r="F495" s="31" t="str">
        <f t="shared" si="866"/>
        <v/>
      </c>
      <c r="G495" s="53"/>
      <c r="H495" s="53" t="str">
        <f t="shared" si="867"/>
        <v/>
      </c>
      <c r="I495" s="53"/>
      <c r="J495" s="75" t="str">
        <f t="shared" si="868"/>
        <v/>
      </c>
      <c r="K495" s="76" t="str">
        <f t="shared" si="868"/>
        <v/>
      </c>
      <c r="L495" s="31" t="str">
        <f t="shared" si="869"/>
        <v/>
      </c>
      <c r="M495" s="32" t="str">
        <f t="shared" si="870"/>
        <v/>
      </c>
      <c r="N495" s="15"/>
      <c r="O495" s="2"/>
      <c r="P495" s="79" t="str">
        <f>IF(A495="","",A495)</f>
        <v/>
      </c>
      <c r="Q495" s="53"/>
      <c r="R495" s="53" t="str">
        <f t="shared" si="871"/>
        <v/>
      </c>
      <c r="S495" s="53"/>
      <c r="T495" s="31" t="str">
        <f t="shared" si="872"/>
        <v/>
      </c>
      <c r="U495" s="53"/>
      <c r="V495" s="53" t="str">
        <f t="shared" si="873"/>
        <v/>
      </c>
      <c r="W495" s="53"/>
      <c r="X495" s="75" t="str">
        <f t="shared" si="874"/>
        <v/>
      </c>
      <c r="Y495" s="76" t="str">
        <f t="shared" si="874"/>
        <v/>
      </c>
      <c r="Z495" s="31" t="str">
        <f t="shared" si="875"/>
        <v/>
      </c>
      <c r="AA495" s="32" t="str">
        <f t="shared" si="876"/>
        <v/>
      </c>
      <c r="AB495" s="15"/>
      <c r="AD495" s="79" t="str">
        <f>IF($A495="","",$A495)</f>
        <v/>
      </c>
      <c r="AE495" s="53"/>
      <c r="AF495" s="53" t="str">
        <f t="shared" si="877"/>
        <v/>
      </c>
      <c r="AG495" s="53"/>
      <c r="AH495" s="31" t="str">
        <f t="shared" si="878"/>
        <v/>
      </c>
      <c r="AI495" s="53"/>
      <c r="AJ495" s="53" t="str">
        <f t="shared" si="879"/>
        <v/>
      </c>
      <c r="AK495" s="53"/>
      <c r="AL495" s="75" t="str">
        <f t="shared" si="880"/>
        <v/>
      </c>
      <c r="AM495" s="76" t="str">
        <f t="shared" si="880"/>
        <v/>
      </c>
      <c r="AN495" s="31" t="str">
        <f t="shared" si="881"/>
        <v/>
      </c>
      <c r="AO495" s="32" t="str">
        <f t="shared" si="882"/>
        <v/>
      </c>
      <c r="AP495" s="15"/>
      <c r="AQ495" s="115"/>
      <c r="AR495" s="79" t="str">
        <f>IF($A495="","",$A495)</f>
        <v/>
      </c>
      <c r="AS495" s="53"/>
      <c r="AT495" s="53" t="str">
        <f t="shared" si="883"/>
        <v/>
      </c>
      <c r="AU495" s="53"/>
      <c r="AV495" s="31" t="str">
        <f t="shared" si="884"/>
        <v/>
      </c>
      <c r="AW495" s="53"/>
      <c r="AX495" s="53" t="str">
        <f t="shared" si="885"/>
        <v/>
      </c>
      <c r="AY495" s="53"/>
      <c r="AZ495" s="75" t="str">
        <f t="shared" si="886"/>
        <v/>
      </c>
      <c r="BA495" s="76" t="str">
        <f t="shared" si="886"/>
        <v/>
      </c>
      <c r="BB495" s="31" t="str">
        <f t="shared" si="887"/>
        <v/>
      </c>
      <c r="BC495" s="32" t="str">
        <f t="shared" si="888"/>
        <v/>
      </c>
      <c r="BD495" s="15"/>
      <c r="BT495" s="114"/>
      <c r="BU495" s="16"/>
      <c r="BV495" s="54"/>
      <c r="BW495" s="13"/>
      <c r="BX495" s="13"/>
      <c r="BY495" s="13"/>
      <c r="BZ495" s="13"/>
      <c r="CA495" s="13"/>
      <c r="CB495" s="13"/>
      <c r="CC495" s="13"/>
      <c r="CD495" s="13"/>
      <c r="CE495" s="13"/>
      <c r="CF495" s="14"/>
      <c r="CG495" s="15"/>
      <c r="CH495" s="1"/>
      <c r="CI495" s="16"/>
      <c r="CJ495" s="54"/>
      <c r="CK495" s="13"/>
      <c r="CL495" s="13"/>
      <c r="CM495" s="13"/>
      <c r="CN495" s="13"/>
      <c r="CO495" s="13"/>
      <c r="CP495" s="13"/>
      <c r="CQ495" s="13"/>
      <c r="CR495" s="13"/>
      <c r="CS495" s="13"/>
      <c r="CT495" s="14"/>
      <c r="CU495" s="15"/>
      <c r="CV495" s="1"/>
      <c r="CW495" s="16"/>
      <c r="CX495" s="54"/>
      <c r="CY495" s="13"/>
      <c r="CZ495" s="13"/>
      <c r="DA495" s="13"/>
      <c r="DB495" s="13"/>
      <c r="DC495" s="13"/>
      <c r="DD495" s="13"/>
      <c r="DE495" s="13"/>
      <c r="DF495" s="13"/>
      <c r="DG495" s="13"/>
      <c r="DH495" s="14"/>
      <c r="DI495" s="15"/>
      <c r="DJ495" s="1"/>
      <c r="DK495" s="16"/>
      <c r="DL495" s="54"/>
      <c r="DM495" s="13"/>
      <c r="DN495" s="13"/>
      <c r="DO495" s="13"/>
      <c r="DP495" s="13"/>
      <c r="DQ495" s="13"/>
      <c r="DR495" s="13"/>
      <c r="DS495" s="13"/>
      <c r="DT495" s="13"/>
      <c r="DU495" s="13"/>
      <c r="DV495" s="14"/>
      <c r="DW495" s="15"/>
    </row>
    <row r="496" spans="1:127" ht="15" customHeight="1" x14ac:dyDescent="0.2">
      <c r="A496" s="16"/>
      <c r="B496" s="11"/>
      <c r="C496" s="13"/>
      <c r="D496" s="13" t="str">
        <f t="shared" si="865"/>
        <v/>
      </c>
      <c r="E496" s="13"/>
      <c r="F496" s="13" t="str">
        <f t="shared" si="866"/>
        <v/>
      </c>
      <c r="G496" s="13"/>
      <c r="H496" s="50" t="str">
        <f t="shared" si="867"/>
        <v/>
      </c>
      <c r="I496" s="13"/>
      <c r="J496" s="56" t="str">
        <f t="shared" si="868"/>
        <v/>
      </c>
      <c r="K496" s="54" t="str">
        <f t="shared" si="868"/>
        <v/>
      </c>
      <c r="L496" s="13" t="str">
        <f t="shared" si="869"/>
        <v/>
      </c>
      <c r="M496" s="14" t="str">
        <f t="shared" si="870"/>
        <v/>
      </c>
      <c r="N496" s="15"/>
      <c r="O496" s="2"/>
      <c r="P496" s="16"/>
      <c r="Q496" s="13"/>
      <c r="R496" s="13" t="str">
        <f t="shared" si="871"/>
        <v/>
      </c>
      <c r="S496" s="13"/>
      <c r="T496" s="13" t="str">
        <f t="shared" si="872"/>
        <v/>
      </c>
      <c r="U496" s="13"/>
      <c r="V496" s="50" t="str">
        <f t="shared" si="873"/>
        <v/>
      </c>
      <c r="W496" s="13"/>
      <c r="X496" s="56" t="str">
        <f t="shared" si="874"/>
        <v/>
      </c>
      <c r="Y496" s="54" t="str">
        <f t="shared" si="874"/>
        <v/>
      </c>
      <c r="Z496" s="13" t="str">
        <f t="shared" si="875"/>
        <v/>
      </c>
      <c r="AA496" s="14" t="str">
        <f t="shared" si="876"/>
        <v/>
      </c>
      <c r="AB496" s="15"/>
      <c r="AD496" s="16"/>
      <c r="AE496" s="13"/>
      <c r="AF496" s="13" t="str">
        <f t="shared" si="877"/>
        <v/>
      </c>
      <c r="AG496" s="13"/>
      <c r="AH496" s="13" t="str">
        <f t="shared" si="878"/>
        <v/>
      </c>
      <c r="AI496" s="13"/>
      <c r="AJ496" s="50" t="str">
        <f t="shared" si="879"/>
        <v/>
      </c>
      <c r="AK496" s="13"/>
      <c r="AL496" s="56" t="str">
        <f t="shared" si="880"/>
        <v/>
      </c>
      <c r="AM496" s="54" t="str">
        <f t="shared" si="880"/>
        <v/>
      </c>
      <c r="AN496" s="13" t="str">
        <f t="shared" si="881"/>
        <v/>
      </c>
      <c r="AO496" s="14" t="str">
        <f t="shared" si="882"/>
        <v/>
      </c>
      <c r="AP496" s="15"/>
      <c r="AQ496" s="115"/>
      <c r="AR496" s="16"/>
      <c r="AS496" s="13"/>
      <c r="AT496" s="13" t="str">
        <f t="shared" si="883"/>
        <v/>
      </c>
      <c r="AU496" s="13"/>
      <c r="AV496" s="13" t="str">
        <f t="shared" si="884"/>
        <v/>
      </c>
      <c r="AW496" s="13"/>
      <c r="AX496" s="50" t="str">
        <f t="shared" si="885"/>
        <v/>
      </c>
      <c r="AY496" s="13"/>
      <c r="AZ496" s="56" t="str">
        <f t="shared" si="886"/>
        <v/>
      </c>
      <c r="BA496" s="54" t="str">
        <f t="shared" si="886"/>
        <v/>
      </c>
      <c r="BB496" s="13" t="str">
        <f t="shared" si="887"/>
        <v/>
      </c>
      <c r="BC496" s="14" t="str">
        <f t="shared" si="888"/>
        <v/>
      </c>
      <c r="BD496" s="15"/>
      <c r="BT496" s="114"/>
      <c r="BU496" s="16"/>
      <c r="BV496" s="54"/>
      <c r="BW496" s="13" t="str">
        <f>IF(BV496="","",BV496-#REF!)</f>
        <v/>
      </c>
      <c r="BX496" s="13"/>
      <c r="BY496" s="13"/>
      <c r="BZ496" s="13"/>
      <c r="CA496" s="13" t="str">
        <f>IF(BZ496="","",#REF!+#REF!-BZ496)</f>
        <v/>
      </c>
      <c r="CB496" s="13"/>
      <c r="CC496" s="13"/>
      <c r="CD496" s="13"/>
      <c r="CE496" s="13" t="str">
        <f>IF(CD496="","",CA496*CD496)</f>
        <v/>
      </c>
      <c r="CF496" s="14" t="str">
        <f>IF(CE496="","",CE496/(BW496*100))</f>
        <v/>
      </c>
      <c r="CG496" s="15"/>
      <c r="CH496" s="1"/>
      <c r="CI496" s="16"/>
      <c r="CJ496" s="54"/>
      <c r="CK496" s="13" t="str">
        <f>IF(CJ496="","",CJ496-#REF!)</f>
        <v/>
      </c>
      <c r="CL496" s="13"/>
      <c r="CM496" s="13"/>
      <c r="CN496" s="13"/>
      <c r="CO496" s="13" t="str">
        <f>IF(CN496="","",#REF!+#REF!-CN496)</f>
        <v/>
      </c>
      <c r="CP496" s="13"/>
      <c r="CQ496" s="13"/>
      <c r="CR496" s="13"/>
      <c r="CS496" s="13" t="str">
        <f>IF(CR496="","",CO496*CR496)</f>
        <v/>
      </c>
      <c r="CT496" s="14" t="str">
        <f>IF(CS496="","",CS496/(CK496*100))</f>
        <v/>
      </c>
      <c r="CU496" s="15"/>
      <c r="CV496" s="1"/>
      <c r="CW496" s="16"/>
      <c r="CX496" s="54"/>
      <c r="CY496" s="13" t="str">
        <f>IF(CX496="","",CX496-#REF!)</f>
        <v/>
      </c>
      <c r="CZ496" s="13"/>
      <c r="DA496" s="13"/>
      <c r="DB496" s="13"/>
      <c r="DC496" s="13" t="str">
        <f>IF(DB496="","",#REF!+#REF!-DB496)</f>
        <v/>
      </c>
      <c r="DD496" s="13"/>
      <c r="DE496" s="13"/>
      <c r="DF496" s="13"/>
      <c r="DG496" s="13" t="str">
        <f>IF(DF496="","",DC496*DF496)</f>
        <v/>
      </c>
      <c r="DH496" s="14" t="str">
        <f>IF(DG496="","",DG496/(CY496*100))</f>
        <v/>
      </c>
      <c r="DI496" s="15"/>
      <c r="DJ496" s="1"/>
      <c r="DK496" s="16"/>
      <c r="DL496" s="54"/>
      <c r="DM496" s="13" t="str">
        <f>IF(DL496="","",DL496-#REF!)</f>
        <v/>
      </c>
      <c r="DN496" s="13"/>
      <c r="DO496" s="13"/>
      <c r="DP496" s="13"/>
      <c r="DQ496" s="13" t="str">
        <f>IF(DP496="","",#REF!+#REF!-DP496)</f>
        <v/>
      </c>
      <c r="DR496" s="13"/>
      <c r="DS496" s="13"/>
      <c r="DT496" s="13"/>
      <c r="DU496" s="13" t="str">
        <f>IF(DT496="","",DQ496*DT496)</f>
        <v/>
      </c>
      <c r="DV496" s="14" t="str">
        <f>IF(DU496="","",DU496/(DM496*100))</f>
        <v/>
      </c>
      <c r="DW496" s="15"/>
    </row>
    <row r="497" spans="1:127" ht="15" customHeight="1" x14ac:dyDescent="0.2">
      <c r="A497" s="16"/>
      <c r="B497" s="11"/>
      <c r="C497" s="13"/>
      <c r="D497" s="13" t="str">
        <f t="shared" si="865"/>
        <v/>
      </c>
      <c r="E497" s="13"/>
      <c r="F497" s="13" t="str">
        <f t="shared" si="866"/>
        <v/>
      </c>
      <c r="G497" s="13"/>
      <c r="H497" s="13" t="str">
        <f t="shared" si="867"/>
        <v/>
      </c>
      <c r="I497" s="13"/>
      <c r="J497" s="56" t="str">
        <f t="shared" si="868"/>
        <v/>
      </c>
      <c r="K497" s="13" t="str">
        <f t="shared" si="868"/>
        <v/>
      </c>
      <c r="L497" s="13" t="str">
        <f t="shared" si="869"/>
        <v/>
      </c>
      <c r="M497" s="14" t="str">
        <f t="shared" si="870"/>
        <v/>
      </c>
      <c r="N497" s="15"/>
      <c r="O497" s="2"/>
      <c r="P497" s="16"/>
      <c r="Q497" s="13"/>
      <c r="R497" s="13" t="str">
        <f t="shared" si="871"/>
        <v/>
      </c>
      <c r="S497" s="13"/>
      <c r="T497" s="13" t="str">
        <f t="shared" si="872"/>
        <v/>
      </c>
      <c r="U497" s="13"/>
      <c r="V497" s="13" t="str">
        <f t="shared" si="873"/>
        <v/>
      </c>
      <c r="W497" s="13"/>
      <c r="X497" s="56" t="str">
        <f t="shared" si="874"/>
        <v/>
      </c>
      <c r="Y497" s="13" t="str">
        <f t="shared" si="874"/>
        <v/>
      </c>
      <c r="Z497" s="13" t="str">
        <f t="shared" si="875"/>
        <v/>
      </c>
      <c r="AA497" s="14" t="str">
        <f t="shared" si="876"/>
        <v/>
      </c>
      <c r="AB497" s="15"/>
      <c r="AD497" s="16"/>
      <c r="AE497" s="13"/>
      <c r="AF497" s="13" t="str">
        <f t="shared" si="877"/>
        <v/>
      </c>
      <c r="AG497" s="13"/>
      <c r="AH497" s="13" t="str">
        <f t="shared" si="878"/>
        <v/>
      </c>
      <c r="AI497" s="13"/>
      <c r="AJ497" s="13" t="str">
        <f t="shared" si="879"/>
        <v/>
      </c>
      <c r="AK497" s="13"/>
      <c r="AL497" s="56" t="str">
        <f t="shared" si="880"/>
        <v/>
      </c>
      <c r="AM497" s="13" t="str">
        <f t="shared" si="880"/>
        <v/>
      </c>
      <c r="AN497" s="13" t="str">
        <f t="shared" si="881"/>
        <v/>
      </c>
      <c r="AO497" s="14" t="str">
        <f t="shared" si="882"/>
        <v/>
      </c>
      <c r="AP497" s="15"/>
      <c r="AQ497" s="115"/>
      <c r="AR497" s="16"/>
      <c r="AS497" s="13"/>
      <c r="AT497" s="13" t="str">
        <f t="shared" si="883"/>
        <v/>
      </c>
      <c r="AU497" s="13"/>
      <c r="AV497" s="13" t="str">
        <f t="shared" si="884"/>
        <v/>
      </c>
      <c r="AW497" s="13"/>
      <c r="AX497" s="13" t="str">
        <f t="shared" si="885"/>
        <v/>
      </c>
      <c r="AY497" s="13"/>
      <c r="AZ497" s="56" t="str">
        <f t="shared" si="886"/>
        <v/>
      </c>
      <c r="BA497" s="13" t="str">
        <f t="shared" si="886"/>
        <v/>
      </c>
      <c r="BB497" s="13" t="str">
        <f t="shared" si="887"/>
        <v/>
      </c>
      <c r="BC497" s="14" t="str">
        <f t="shared" si="888"/>
        <v/>
      </c>
      <c r="BD497" s="15"/>
      <c r="BU497" s="16"/>
      <c r="BV497" s="54"/>
      <c r="BW497" s="13" t="str">
        <f>IF(BV497="","",BV497-BV496)</f>
        <v/>
      </c>
      <c r="BX497" s="13"/>
      <c r="BY497" s="13"/>
      <c r="BZ497" s="13"/>
      <c r="CA497" s="13" t="str">
        <f>IF(BZ497="","",BZ496+CB496-BZ497)</f>
        <v/>
      </c>
      <c r="CB497" s="13"/>
      <c r="CC497" s="13"/>
      <c r="CD497" s="13"/>
      <c r="CE497" s="13" t="str">
        <f>IF(CD497="","",CA497*CD497)</f>
        <v/>
      </c>
      <c r="CF497" s="14" t="str">
        <f>IF(CE497="","",CE497/(BW497*100))</f>
        <v/>
      </c>
      <c r="CG497" s="15"/>
      <c r="CH497" s="1"/>
      <c r="CI497" s="16"/>
      <c r="CJ497" s="54"/>
      <c r="CK497" s="13" t="str">
        <f>IF(CJ497="","",CJ497-CJ496)</f>
        <v/>
      </c>
      <c r="CL497" s="13"/>
      <c r="CM497" s="13"/>
      <c r="CN497" s="13"/>
      <c r="CO497" s="13" t="str">
        <f>IF(CN497="","",CN496+CP496-CN497)</f>
        <v/>
      </c>
      <c r="CP497" s="13"/>
      <c r="CQ497" s="13"/>
      <c r="CR497" s="13"/>
      <c r="CS497" s="13" t="str">
        <f>IF(CR497="","",CO497*CR497)</f>
        <v/>
      </c>
      <c r="CT497" s="14" t="str">
        <f>IF(CS497="","",CS497/(CK497*100))</f>
        <v/>
      </c>
      <c r="CU497" s="15"/>
      <c r="CV497" s="1"/>
      <c r="CW497" s="16"/>
      <c r="CX497" s="54"/>
      <c r="CY497" s="13" t="str">
        <f>IF(CX497="","",CX497-CX496)</f>
        <v/>
      </c>
      <c r="CZ497" s="13"/>
      <c r="DA497" s="13"/>
      <c r="DB497" s="13"/>
      <c r="DC497" s="13" t="str">
        <f>IF(DB497="","",DB496+DD496-DB497)</f>
        <v/>
      </c>
      <c r="DD497" s="13"/>
      <c r="DE497" s="13"/>
      <c r="DF497" s="13"/>
      <c r="DG497" s="13" t="str">
        <f>IF(DF497="","",DC497*DF497)</f>
        <v/>
      </c>
      <c r="DH497" s="14" t="str">
        <f>IF(DG497="","",DG497/(CY497*100))</f>
        <v/>
      </c>
      <c r="DI497" s="15"/>
      <c r="DJ497" s="1"/>
      <c r="DK497" s="16"/>
      <c r="DL497" s="54"/>
      <c r="DM497" s="13" t="str">
        <f>IF(DL497="","",DL497-DL496)</f>
        <v/>
      </c>
      <c r="DN497" s="13"/>
      <c r="DO497" s="13"/>
      <c r="DP497" s="13"/>
      <c r="DQ497" s="13" t="str">
        <f>IF(DP497="","",DP496+DR496-DP497)</f>
        <v/>
      </c>
      <c r="DR497" s="13"/>
      <c r="DS497" s="13"/>
      <c r="DT497" s="13"/>
      <c r="DU497" s="13" t="str">
        <f>IF(DT497="","",DQ497*DT497)</f>
        <v/>
      </c>
      <c r="DV497" s="14" t="str">
        <f>IF(DU497="","",DU497/(DM497*100))</f>
        <v/>
      </c>
      <c r="DW497" s="15"/>
    </row>
    <row r="498" spans="1:127" ht="15" customHeight="1" thickBot="1" x14ac:dyDescent="0.25">
      <c r="A498" s="26"/>
      <c r="B498" s="46"/>
      <c r="C498" s="27"/>
      <c r="D498" s="27" t="str">
        <f t="shared" si="865"/>
        <v/>
      </c>
      <c r="E498" s="27"/>
      <c r="F498" s="27" t="str">
        <f t="shared" si="866"/>
        <v/>
      </c>
      <c r="G498" s="27"/>
      <c r="H498" s="27" t="str">
        <f t="shared" si="867"/>
        <v/>
      </c>
      <c r="I498" s="27"/>
      <c r="J498" s="57" t="str">
        <f t="shared" si="868"/>
        <v/>
      </c>
      <c r="K498" s="62" t="str">
        <f t="shared" si="868"/>
        <v/>
      </c>
      <c r="L498" s="27" t="str">
        <f t="shared" si="869"/>
        <v/>
      </c>
      <c r="M498" s="28" t="str">
        <f t="shared" si="870"/>
        <v/>
      </c>
      <c r="N498" s="15"/>
      <c r="O498" s="2"/>
      <c r="P498" s="26"/>
      <c r="Q498" s="27"/>
      <c r="R498" s="27" t="str">
        <f t="shared" si="871"/>
        <v/>
      </c>
      <c r="S498" s="27"/>
      <c r="T498" s="27" t="str">
        <f t="shared" si="872"/>
        <v/>
      </c>
      <c r="U498" s="27"/>
      <c r="V498" s="27" t="str">
        <f t="shared" si="873"/>
        <v/>
      </c>
      <c r="W498" s="27"/>
      <c r="X498" s="57" t="str">
        <f t="shared" si="874"/>
        <v/>
      </c>
      <c r="Y498" s="62" t="str">
        <f t="shared" si="874"/>
        <v/>
      </c>
      <c r="Z498" s="27" t="str">
        <f t="shared" si="875"/>
        <v/>
      </c>
      <c r="AA498" s="28" t="str">
        <f t="shared" si="876"/>
        <v/>
      </c>
      <c r="AB498" s="15"/>
      <c r="AD498" s="26"/>
      <c r="AE498" s="27"/>
      <c r="AF498" s="27" t="str">
        <f t="shared" si="877"/>
        <v/>
      </c>
      <c r="AG498" s="27"/>
      <c r="AH498" s="27" t="str">
        <f t="shared" si="878"/>
        <v/>
      </c>
      <c r="AI498" s="27"/>
      <c r="AJ498" s="27" t="str">
        <f t="shared" si="879"/>
        <v/>
      </c>
      <c r="AK498" s="27"/>
      <c r="AL498" s="57" t="str">
        <f t="shared" si="880"/>
        <v/>
      </c>
      <c r="AM498" s="62" t="str">
        <f t="shared" si="880"/>
        <v/>
      </c>
      <c r="AN498" s="27" t="str">
        <f t="shared" si="881"/>
        <v/>
      </c>
      <c r="AO498" s="28" t="str">
        <f t="shared" si="882"/>
        <v/>
      </c>
      <c r="AP498" s="15"/>
      <c r="AQ498" s="115"/>
      <c r="AR498" s="26"/>
      <c r="AS498" s="27"/>
      <c r="AT498" s="27" t="str">
        <f t="shared" si="883"/>
        <v/>
      </c>
      <c r="AU498" s="27"/>
      <c r="AV498" s="27" t="str">
        <f t="shared" si="884"/>
        <v/>
      </c>
      <c r="AW498" s="27"/>
      <c r="AX498" s="27" t="str">
        <f t="shared" si="885"/>
        <v/>
      </c>
      <c r="AY498" s="27"/>
      <c r="AZ498" s="57" t="str">
        <f t="shared" si="886"/>
        <v/>
      </c>
      <c r="BA498" s="62" t="str">
        <f t="shared" si="886"/>
        <v/>
      </c>
      <c r="BB498" s="27" t="str">
        <f t="shared" si="887"/>
        <v/>
      </c>
      <c r="BC498" s="28" t="str">
        <f t="shared" si="888"/>
        <v/>
      </c>
      <c r="BD498" s="15"/>
      <c r="BU498" s="16"/>
      <c r="BV498" s="54"/>
      <c r="BW498" s="13" t="str">
        <f>IF(BV498="","",BV498-BV497)</f>
        <v/>
      </c>
      <c r="BX498" s="13"/>
      <c r="BY498" s="13"/>
      <c r="BZ498" s="13"/>
      <c r="CA498" s="13" t="str">
        <f>IF(BZ498="","",BZ497+CB497-BZ498)</f>
        <v/>
      </c>
      <c r="CB498" s="13"/>
      <c r="CC498" s="13"/>
      <c r="CD498" s="13"/>
      <c r="CE498" s="13" t="str">
        <f>IF(CD498="","",CA498*CD498)</f>
        <v/>
      </c>
      <c r="CF498" s="14" t="str">
        <f>IF(CE498="","",CE498/(BW498*100))</f>
        <v/>
      </c>
      <c r="CG498" s="15"/>
      <c r="CH498" s="1"/>
      <c r="CI498" s="16"/>
      <c r="CJ498" s="54"/>
      <c r="CK498" s="13" t="str">
        <f>IF(CJ498="","",CJ498-CJ497)</f>
        <v/>
      </c>
      <c r="CL498" s="13"/>
      <c r="CM498" s="13"/>
      <c r="CN498" s="13"/>
      <c r="CO498" s="13" t="str">
        <f>IF(CN498="","",CN497+CP497-CN498)</f>
        <v/>
      </c>
      <c r="CP498" s="13"/>
      <c r="CQ498" s="13"/>
      <c r="CR498" s="13"/>
      <c r="CS498" s="13" t="str">
        <f>IF(CR498="","",CO498*CR498)</f>
        <v/>
      </c>
      <c r="CT498" s="14" t="str">
        <f>IF(CS498="","",CS498/(CK498*100))</f>
        <v/>
      </c>
      <c r="CU498" s="15"/>
      <c r="CV498" s="1"/>
      <c r="CW498" s="16"/>
      <c r="CX498" s="54"/>
      <c r="CY498" s="13" t="str">
        <f>IF(CX498="","",CX498-CX497)</f>
        <v/>
      </c>
      <c r="CZ498" s="13"/>
      <c r="DA498" s="13"/>
      <c r="DB498" s="13"/>
      <c r="DC498" s="13" t="str">
        <f>IF(DB498="","",DB497+DD497-DB498)</f>
        <v/>
      </c>
      <c r="DD498" s="13"/>
      <c r="DE498" s="13"/>
      <c r="DF498" s="13"/>
      <c r="DG498" s="13" t="str">
        <f>IF(DF498="","",DC498*DF498)</f>
        <v/>
      </c>
      <c r="DH498" s="14" t="str">
        <f>IF(DG498="","",DG498/(CY498*100))</f>
        <v/>
      </c>
      <c r="DI498" s="15"/>
      <c r="DJ498" s="1"/>
      <c r="DK498" s="16"/>
      <c r="DL498" s="54"/>
      <c r="DM498" s="13" t="str">
        <f>IF(DL498="","",DL498-DL497)</f>
        <v/>
      </c>
      <c r="DN498" s="13"/>
      <c r="DO498" s="13"/>
      <c r="DP498" s="13"/>
      <c r="DQ498" s="13" t="str">
        <f>IF(DP498="","",DP497+DR497-DP498)</f>
        <v/>
      </c>
      <c r="DR498" s="13"/>
      <c r="DS498" s="13"/>
      <c r="DT498" s="13"/>
      <c r="DU498" s="13" t="str">
        <f>IF(DT498="","",DQ498*DT498)</f>
        <v/>
      </c>
      <c r="DV498" s="14" t="str">
        <f>IF(DU498="","",DU498/(DM498*100))</f>
        <v/>
      </c>
      <c r="DW498" s="15"/>
    </row>
    <row r="499" spans="1:127" ht="15" customHeight="1" thickTop="1" x14ac:dyDescent="0.2">
      <c r="A499" s="79"/>
      <c r="B499" s="74"/>
      <c r="C499" s="53"/>
      <c r="D499" s="53"/>
      <c r="E499" s="53"/>
      <c r="F499" s="53"/>
      <c r="G499" s="53"/>
      <c r="H499" s="53"/>
      <c r="I499" s="53"/>
      <c r="J499" s="75"/>
      <c r="K499" s="53"/>
      <c r="L499" s="53"/>
      <c r="M499" s="53"/>
      <c r="N499" s="15"/>
      <c r="O499" s="2"/>
      <c r="P499" s="79"/>
      <c r="Q499" s="53"/>
      <c r="R499" s="53"/>
      <c r="S499" s="53"/>
      <c r="T499" s="53"/>
      <c r="U499" s="53"/>
      <c r="V499" s="53"/>
      <c r="W499" s="53"/>
      <c r="X499" s="78"/>
      <c r="Y499" s="53"/>
      <c r="Z499" s="53"/>
      <c r="AA499" s="53"/>
      <c r="AB499" s="15"/>
      <c r="AD499" s="79"/>
      <c r="AE499" s="53"/>
      <c r="AF499" s="53"/>
      <c r="AG499" s="53"/>
      <c r="AH499" s="53"/>
      <c r="AI499" s="53"/>
      <c r="AJ499" s="53"/>
      <c r="AK499" s="53"/>
      <c r="AL499" s="75"/>
      <c r="AM499" s="53"/>
      <c r="AN499" s="53"/>
      <c r="AO499" s="53"/>
      <c r="AP499" s="15"/>
      <c r="AQ499" s="2"/>
      <c r="AR499" s="79"/>
      <c r="AS499" s="53"/>
      <c r="AT499" s="53"/>
      <c r="AU499" s="53"/>
      <c r="AV499" s="53"/>
      <c r="AW499" s="53"/>
      <c r="AX499" s="53"/>
      <c r="AY499" s="53"/>
      <c r="AZ499" s="75"/>
      <c r="BA499" s="53"/>
      <c r="BB499" s="53"/>
      <c r="BC499" s="53"/>
      <c r="BD499" s="15"/>
      <c r="BU499" s="16"/>
      <c r="BV499" s="54"/>
      <c r="BW499" s="13"/>
      <c r="BX499" s="13"/>
      <c r="BY499" s="13"/>
      <c r="BZ499" s="13"/>
      <c r="CA499" s="13" t="str">
        <f>IF(BZ499="","",BZ498+CB498-BZ499)</f>
        <v/>
      </c>
      <c r="CB499" s="13"/>
      <c r="CC499" s="13"/>
      <c r="CD499" s="13"/>
      <c r="CE499" s="13" t="str">
        <f>IF(CD499="","",CA499*CD499)</f>
        <v/>
      </c>
      <c r="CF499" s="14" t="str">
        <f>IF(CE499="","",CE499/(BW499*100))</f>
        <v/>
      </c>
      <c r="CG499" s="15"/>
      <c r="CH499" s="1"/>
      <c r="CI499" s="16"/>
      <c r="CJ499" s="54"/>
      <c r="CK499" s="13"/>
      <c r="CL499" s="13"/>
      <c r="CM499" s="13"/>
      <c r="CN499" s="13"/>
      <c r="CO499" s="13" t="str">
        <f>IF(CN499="","",CN498+CP498-CN499)</f>
        <v/>
      </c>
      <c r="CP499" s="13"/>
      <c r="CQ499" s="13"/>
      <c r="CR499" s="13"/>
      <c r="CS499" s="13" t="str">
        <f>IF(CR499="","",CO499*CR499)</f>
        <v/>
      </c>
      <c r="CT499" s="14" t="str">
        <f>IF(CS499="","",CS499/(CK499*100))</f>
        <v/>
      </c>
      <c r="CU499" s="15"/>
      <c r="CV499" s="1"/>
      <c r="CW499" s="16"/>
      <c r="CX499" s="54"/>
      <c r="CY499" s="13"/>
      <c r="CZ499" s="13"/>
      <c r="DA499" s="13"/>
      <c r="DB499" s="13"/>
      <c r="DC499" s="13" t="str">
        <f>IF(DB499="","",DB498+DD498-DB499)</f>
        <v/>
      </c>
      <c r="DD499" s="13"/>
      <c r="DE499" s="13"/>
      <c r="DF499" s="13"/>
      <c r="DG499" s="13" t="str">
        <f>IF(DF499="","",DC499*DF499)</f>
        <v/>
      </c>
      <c r="DH499" s="14" t="str">
        <f>IF(DG499="","",DG499/(CY499*100))</f>
        <v/>
      </c>
      <c r="DI499" s="15"/>
      <c r="DJ499" s="1"/>
      <c r="DK499" s="16"/>
      <c r="DL499" s="54"/>
      <c r="DM499" s="13"/>
      <c r="DN499" s="13"/>
      <c r="DO499" s="13"/>
      <c r="DP499" s="13"/>
      <c r="DQ499" s="13" t="str">
        <f>IF(DP499="","",DP498+DR498-DP499)</f>
        <v/>
      </c>
      <c r="DR499" s="13"/>
      <c r="DS499" s="13"/>
      <c r="DT499" s="13"/>
      <c r="DU499" s="13" t="str">
        <f>IF(DT499="","",DQ499*DT499)</f>
        <v/>
      </c>
      <c r="DV499" s="14" t="str">
        <f>IF(DU499="","",DU499/(DM499*100))</f>
        <v/>
      </c>
      <c r="DW499" s="15"/>
    </row>
    <row r="500" spans="1:127" ht="15" customHeight="1" x14ac:dyDescent="0.2">
      <c r="A500" s="79"/>
      <c r="B500" s="74"/>
      <c r="C500" s="53"/>
      <c r="D500" s="53"/>
      <c r="E500" s="53"/>
      <c r="F500" s="53"/>
      <c r="G500" s="53"/>
      <c r="H500" s="53"/>
      <c r="I500" s="53"/>
      <c r="J500" s="75"/>
      <c r="K500" s="53"/>
      <c r="L500" s="53"/>
      <c r="M500" s="53"/>
      <c r="N500" s="15"/>
      <c r="O500" s="2"/>
      <c r="P500" s="79"/>
      <c r="Q500" s="53"/>
      <c r="R500" s="53"/>
      <c r="S500" s="53"/>
      <c r="T500" s="53"/>
      <c r="U500" s="53"/>
      <c r="V500" s="53"/>
      <c r="W500" s="53"/>
      <c r="X500" s="78"/>
      <c r="Y500" s="53"/>
      <c r="Z500" s="53"/>
      <c r="AA500" s="53"/>
      <c r="AB500" s="15"/>
      <c r="AD500" s="79"/>
      <c r="AE500" s="53"/>
      <c r="AF500" s="53"/>
      <c r="AG500" s="53"/>
      <c r="AH500" s="53"/>
      <c r="AI500" s="53"/>
      <c r="AJ500" s="53"/>
      <c r="AK500" s="53"/>
      <c r="AL500" s="75"/>
      <c r="AM500" s="53"/>
      <c r="AN500" s="53"/>
      <c r="AO500" s="53"/>
      <c r="AP500" s="15"/>
      <c r="AQ500" s="2"/>
      <c r="AR500" s="79"/>
      <c r="AS500" s="53"/>
      <c r="AT500" s="53"/>
      <c r="AU500" s="53"/>
      <c r="AV500" s="53"/>
      <c r="AW500" s="53"/>
      <c r="AX500" s="53"/>
      <c r="AY500" s="53"/>
      <c r="AZ500" s="75"/>
      <c r="BA500" s="53"/>
      <c r="BB500" s="53"/>
      <c r="BC500" s="53"/>
      <c r="BD500" s="15"/>
      <c r="BU500" s="16"/>
      <c r="BV500" s="54"/>
      <c r="BW500" s="13"/>
      <c r="BX500" s="13"/>
      <c r="BY500" s="13"/>
      <c r="BZ500" s="13"/>
      <c r="CA500" s="13"/>
      <c r="CB500" s="13"/>
      <c r="CC500" s="13"/>
      <c r="CD500" s="13"/>
      <c r="CE500" s="13"/>
      <c r="CF500" s="14"/>
      <c r="CG500" s="15"/>
      <c r="CH500" s="1"/>
      <c r="CI500" s="16"/>
      <c r="CJ500" s="54"/>
      <c r="CK500" s="13"/>
      <c r="CL500" s="13"/>
      <c r="CM500" s="13"/>
      <c r="CN500" s="13"/>
      <c r="CO500" s="13"/>
      <c r="CP500" s="13"/>
      <c r="CQ500" s="13"/>
      <c r="CR500" s="13"/>
      <c r="CS500" s="13"/>
      <c r="CT500" s="14"/>
      <c r="CU500" s="15"/>
      <c r="CV500" s="1"/>
      <c r="CW500" s="16"/>
      <c r="CX500" s="54"/>
      <c r="CY500" s="13"/>
      <c r="CZ500" s="13"/>
      <c r="DA500" s="13"/>
      <c r="DB500" s="13"/>
      <c r="DC500" s="13"/>
      <c r="DD500" s="13"/>
      <c r="DE500" s="13"/>
      <c r="DF500" s="13"/>
      <c r="DG500" s="13"/>
      <c r="DH500" s="14"/>
      <c r="DI500" s="15"/>
      <c r="DJ500" s="1"/>
      <c r="DK500" s="16"/>
      <c r="DL500" s="54"/>
      <c r="DM500" s="13"/>
      <c r="DN500" s="13"/>
      <c r="DO500" s="13"/>
      <c r="DP500" s="13"/>
      <c r="DQ500" s="13"/>
      <c r="DR500" s="13"/>
      <c r="DS500" s="13"/>
      <c r="DT500" s="13"/>
      <c r="DU500" s="13"/>
      <c r="DV500" s="14"/>
      <c r="DW500" s="15"/>
    </row>
    <row r="501" spans="1:127" ht="15" customHeight="1" x14ac:dyDescent="0.2">
      <c r="A501" s="79"/>
      <c r="B501" s="74"/>
      <c r="C501" s="53"/>
      <c r="D501" s="53"/>
      <c r="E501" s="53"/>
      <c r="F501" s="53"/>
      <c r="G501" s="53"/>
      <c r="H501" s="53"/>
      <c r="I501" s="53"/>
      <c r="J501" s="75"/>
      <c r="K501" s="53"/>
      <c r="L501" s="53"/>
      <c r="M501" s="53"/>
      <c r="N501" s="15"/>
      <c r="O501" s="2"/>
      <c r="P501" s="79"/>
      <c r="Q501" s="53"/>
      <c r="R501" s="53"/>
      <c r="S501" s="53"/>
      <c r="T501" s="53"/>
      <c r="U501" s="53"/>
      <c r="V501" s="53"/>
      <c r="W501" s="53"/>
      <c r="X501" s="78"/>
      <c r="Y501" s="53"/>
      <c r="Z501" s="53"/>
      <c r="AA501" s="53"/>
      <c r="AB501" s="15"/>
      <c r="AD501" s="79"/>
      <c r="AE501" s="53"/>
      <c r="AF501" s="53"/>
      <c r="AG501" s="53"/>
      <c r="AH501" s="53"/>
      <c r="AI501" s="53"/>
      <c r="AJ501" s="53"/>
      <c r="AK501" s="53"/>
      <c r="AL501" s="75"/>
      <c r="AM501" s="53"/>
      <c r="AN501" s="53"/>
      <c r="AO501" s="53"/>
      <c r="AP501" s="15"/>
      <c r="AQ501" s="2"/>
      <c r="AR501" s="79"/>
      <c r="AS501" s="53"/>
      <c r="AT501" s="53"/>
      <c r="AU501" s="53"/>
      <c r="AV501" s="53"/>
      <c r="AW501" s="53"/>
      <c r="AX501" s="53"/>
      <c r="AY501" s="53"/>
      <c r="AZ501" s="75"/>
      <c r="BA501" s="53"/>
      <c r="BB501" s="53"/>
      <c r="BC501" s="53"/>
      <c r="BD501" s="15"/>
      <c r="BU501" s="16"/>
      <c r="BV501" s="54"/>
      <c r="BW501" s="13"/>
      <c r="BX501" s="13"/>
      <c r="BY501" s="13"/>
      <c r="BZ501" s="13"/>
      <c r="CA501" s="13"/>
      <c r="CB501" s="13"/>
      <c r="CC501" s="13"/>
      <c r="CD501" s="13"/>
      <c r="CE501" s="13"/>
      <c r="CF501" s="14"/>
      <c r="CG501" s="15"/>
      <c r="CH501" s="1"/>
      <c r="CI501" s="16"/>
      <c r="CJ501" s="54"/>
      <c r="CK501" s="13"/>
      <c r="CL501" s="13"/>
      <c r="CM501" s="13"/>
      <c r="CN501" s="13"/>
      <c r="CO501" s="13"/>
      <c r="CP501" s="13"/>
      <c r="CQ501" s="13"/>
      <c r="CR501" s="13"/>
      <c r="CS501" s="13"/>
      <c r="CT501" s="14"/>
      <c r="CU501" s="15"/>
      <c r="CV501" s="1"/>
      <c r="CW501" s="16"/>
      <c r="CX501" s="54"/>
      <c r="CY501" s="13"/>
      <c r="CZ501" s="13"/>
      <c r="DA501" s="13"/>
      <c r="DB501" s="13"/>
      <c r="DC501" s="13"/>
      <c r="DD501" s="13"/>
      <c r="DE501" s="13"/>
      <c r="DF501" s="13"/>
      <c r="DG501" s="13"/>
      <c r="DH501" s="14"/>
      <c r="DI501" s="15"/>
      <c r="DJ501" s="1"/>
      <c r="DK501" s="16"/>
      <c r="DL501" s="54"/>
      <c r="DM501" s="13"/>
      <c r="DN501" s="13"/>
      <c r="DO501" s="13"/>
      <c r="DP501" s="13"/>
      <c r="DQ501" s="13"/>
      <c r="DR501" s="13"/>
      <c r="DS501" s="13"/>
      <c r="DT501" s="13"/>
      <c r="DU501" s="13"/>
      <c r="DV501" s="14"/>
      <c r="DW501" s="15"/>
    </row>
    <row r="502" spans="1:127" ht="15" customHeight="1" x14ac:dyDescent="0.2">
      <c r="A502" s="79"/>
      <c r="B502" s="74"/>
      <c r="C502" s="53"/>
      <c r="D502" s="53"/>
      <c r="E502" s="53"/>
      <c r="F502" s="53"/>
      <c r="G502" s="53"/>
      <c r="H502" s="53"/>
      <c r="I502" s="53"/>
      <c r="J502" s="75"/>
      <c r="K502" s="53"/>
      <c r="L502" s="53"/>
      <c r="M502" s="53"/>
      <c r="N502" s="15"/>
      <c r="O502" s="2"/>
      <c r="P502" s="79"/>
      <c r="Q502" s="53"/>
      <c r="R502" s="53"/>
      <c r="S502" s="53"/>
      <c r="T502" s="53"/>
      <c r="U502" s="53"/>
      <c r="V502" s="53"/>
      <c r="W502" s="53"/>
      <c r="X502" s="78"/>
      <c r="Y502" s="53"/>
      <c r="Z502" s="53"/>
      <c r="AA502" s="53"/>
      <c r="AB502" s="15"/>
      <c r="AD502" s="79"/>
      <c r="AE502" s="53"/>
      <c r="AF502" s="53"/>
      <c r="AG502" s="53"/>
      <c r="AH502" s="53"/>
      <c r="AI502" s="53"/>
      <c r="AJ502" s="53"/>
      <c r="AK502" s="53"/>
      <c r="AL502" s="75"/>
      <c r="AM502" s="53"/>
      <c r="AN502" s="53"/>
      <c r="AO502" s="53"/>
      <c r="AP502" s="15"/>
      <c r="AQ502" s="2"/>
      <c r="AR502" s="79"/>
      <c r="AS502" s="53"/>
      <c r="AT502" s="53"/>
      <c r="AU502" s="53"/>
      <c r="AV502" s="53"/>
      <c r="AW502" s="53"/>
      <c r="AX502" s="53"/>
      <c r="AY502" s="53"/>
      <c r="AZ502" s="75"/>
      <c r="BA502" s="53"/>
      <c r="BB502" s="53"/>
      <c r="BC502" s="53"/>
      <c r="BD502" s="15"/>
      <c r="BU502" s="16"/>
      <c r="BV502" s="54"/>
      <c r="BW502" s="13"/>
      <c r="BX502" s="13"/>
      <c r="BY502" s="13"/>
      <c r="BZ502" s="13"/>
      <c r="CA502" s="13"/>
      <c r="CB502" s="13"/>
      <c r="CC502" s="13"/>
      <c r="CD502" s="13"/>
      <c r="CE502" s="13"/>
      <c r="CF502" s="14"/>
      <c r="CG502" s="15"/>
      <c r="CH502" s="1"/>
      <c r="CI502" s="16"/>
      <c r="CJ502" s="54"/>
      <c r="CK502" s="13"/>
      <c r="CL502" s="13"/>
      <c r="CM502" s="13"/>
      <c r="CN502" s="13"/>
      <c r="CO502" s="13"/>
      <c r="CP502" s="13"/>
      <c r="CQ502" s="13"/>
      <c r="CR502" s="13"/>
      <c r="CS502" s="13"/>
      <c r="CT502" s="14"/>
      <c r="CU502" s="15"/>
      <c r="CV502" s="1"/>
      <c r="CW502" s="16"/>
      <c r="CX502" s="54"/>
      <c r="CY502" s="13"/>
      <c r="CZ502" s="13"/>
      <c r="DA502" s="13"/>
      <c r="DB502" s="13"/>
      <c r="DC502" s="13"/>
      <c r="DD502" s="13"/>
      <c r="DE502" s="13"/>
      <c r="DF502" s="13"/>
      <c r="DG502" s="13"/>
      <c r="DH502" s="14"/>
      <c r="DI502" s="15"/>
      <c r="DJ502" s="1"/>
      <c r="DK502" s="16"/>
      <c r="DL502" s="54"/>
      <c r="DM502" s="13"/>
      <c r="DN502" s="13"/>
      <c r="DO502" s="13"/>
      <c r="DP502" s="13"/>
      <c r="DQ502" s="13"/>
      <c r="DR502" s="13"/>
      <c r="DS502" s="13"/>
      <c r="DT502" s="13"/>
      <c r="DU502" s="13"/>
      <c r="DV502" s="14"/>
      <c r="DW502" s="15"/>
    </row>
    <row r="503" spans="1:127" ht="15" customHeight="1" x14ac:dyDescent="0.2">
      <c r="A503" s="59">
        <v>35</v>
      </c>
      <c r="B503" s="74"/>
      <c r="C503" s="5" t="s">
        <v>19</v>
      </c>
      <c r="D503" s="13">
        <f>SUM(D447:D499)*100</f>
        <v>337500</v>
      </c>
      <c r="E503" s="13"/>
      <c r="F503" s="13"/>
      <c r="G503" s="5"/>
      <c r="H503" s="13"/>
      <c r="I503" s="13"/>
      <c r="J503" s="271" t="s">
        <v>21</v>
      </c>
      <c r="K503" s="271"/>
      <c r="L503" s="13">
        <f>SUM(L447:L499)</f>
        <v>54648</v>
      </c>
      <c r="M503" s="13"/>
      <c r="N503" s="15"/>
      <c r="O503" s="2"/>
      <c r="P503" s="16"/>
      <c r="Q503" s="5" t="s">
        <v>19</v>
      </c>
      <c r="R503" s="13">
        <f>SUM(R447:R499)*100</f>
        <v>314600</v>
      </c>
      <c r="S503" s="13"/>
      <c r="T503" s="13"/>
      <c r="U503" s="5"/>
      <c r="V503" s="13"/>
      <c r="W503" s="13"/>
      <c r="X503" s="271" t="s">
        <v>21</v>
      </c>
      <c r="Y503" s="271"/>
      <c r="Z503" s="13">
        <f>SUM(Z447:Z499)</f>
        <v>55361</v>
      </c>
      <c r="AA503" s="13"/>
      <c r="AB503" s="15"/>
      <c r="AD503" s="16"/>
      <c r="AE503" s="5" t="s">
        <v>19</v>
      </c>
      <c r="AF503" s="13">
        <f>SUM(AF447:AF499)*100</f>
        <v>310000</v>
      </c>
      <c r="AG503" s="13"/>
      <c r="AH503" s="13"/>
      <c r="AI503" s="5"/>
      <c r="AJ503" s="13"/>
      <c r="AK503" s="13"/>
      <c r="AL503" s="271" t="s">
        <v>21</v>
      </c>
      <c r="AM503" s="271"/>
      <c r="AN503" s="13">
        <f>SUM(AN447:AN499)</f>
        <v>41195</v>
      </c>
      <c r="AO503" s="13"/>
      <c r="AP503" s="15"/>
      <c r="AQ503" s="2"/>
      <c r="AR503" s="16"/>
      <c r="AS503" s="5" t="s">
        <v>19</v>
      </c>
      <c r="AT503" s="13">
        <f>SUM(AT447:AT499)*100</f>
        <v>404600</v>
      </c>
      <c r="AU503" s="13"/>
      <c r="AV503" s="13"/>
      <c r="AW503" s="5"/>
      <c r="AX503" s="13"/>
      <c r="AY503" s="13"/>
      <c r="AZ503" s="271" t="s">
        <v>21</v>
      </c>
      <c r="BA503" s="271"/>
      <c r="BB503" s="13">
        <f>SUM(BB447:BB499)</f>
        <v>71180</v>
      </c>
      <c r="BC503" s="13"/>
      <c r="BD503" s="15"/>
      <c r="BU503" s="16"/>
      <c r="BV503" s="69" t="s">
        <v>19</v>
      </c>
      <c r="BW503" s="13">
        <f>SUM(BW447:BW499)*100</f>
        <v>161000</v>
      </c>
      <c r="BX503" s="13"/>
      <c r="BY503" s="13"/>
      <c r="BZ503" s="5"/>
      <c r="CA503" s="13"/>
      <c r="CB503" s="13"/>
      <c r="CC503" s="13"/>
      <c r="CD503" s="13"/>
      <c r="CE503" s="13"/>
      <c r="CF503" s="13"/>
      <c r="CG503" s="15"/>
      <c r="CH503" s="1"/>
      <c r="CI503" s="16"/>
      <c r="CJ503" s="69" t="s">
        <v>19</v>
      </c>
      <c r="CK503" s="13">
        <f>SUM(CK447:CK499)*100</f>
        <v>140400</v>
      </c>
      <c r="CL503" s="13"/>
      <c r="CM503" s="13"/>
      <c r="CN503" s="5"/>
      <c r="CO503" s="13"/>
      <c r="CP503" s="13"/>
      <c r="CQ503" s="13"/>
      <c r="CR503" s="13"/>
      <c r="CS503" s="13"/>
      <c r="CT503" s="13"/>
      <c r="CU503" s="15"/>
      <c r="CV503" s="1"/>
      <c r="CW503" s="16"/>
      <c r="CX503" s="69" t="s">
        <v>19</v>
      </c>
      <c r="CY503" s="13">
        <f>SUM(CY447:CY499)*100</f>
        <v>153700</v>
      </c>
      <c r="CZ503" s="13"/>
      <c r="DA503" s="13"/>
      <c r="DB503" s="5"/>
      <c r="DC503" s="13"/>
      <c r="DD503" s="13"/>
      <c r="DE503" s="13"/>
      <c r="DF503" s="13"/>
      <c r="DG503" s="13"/>
      <c r="DH503" s="13"/>
      <c r="DI503" s="15"/>
      <c r="DJ503" s="1"/>
      <c r="DK503" s="16"/>
      <c r="DL503" s="69" t="s">
        <v>19</v>
      </c>
      <c r="DM503" s="13">
        <f>SUM(DM447:DM499)*100</f>
        <v>122100</v>
      </c>
      <c r="DN503" s="13"/>
      <c r="DO503" s="13"/>
      <c r="DP503" s="5"/>
      <c r="DQ503" s="13"/>
      <c r="DR503" s="13"/>
      <c r="DS503" s="13"/>
      <c r="DT503" s="13"/>
      <c r="DU503" s="13"/>
      <c r="DV503" s="13"/>
      <c r="DW503" s="15"/>
    </row>
    <row r="504" spans="1:127" ht="15" customHeight="1" x14ac:dyDescent="0.2">
      <c r="A504" s="94">
        <f>DATEDIF(A$557,A$483,"d")</f>
        <v>35</v>
      </c>
      <c r="B504">
        <f>SUMIF(B446:B499,"&gt;=0")</f>
        <v>19439</v>
      </c>
      <c r="C504" s="5" t="s">
        <v>22</v>
      </c>
      <c r="D504" s="13">
        <f>D503/A504</f>
        <v>9642.8571428571431</v>
      </c>
      <c r="E504" s="13">
        <f>D504*A503</f>
        <v>337500</v>
      </c>
      <c r="F504" s="13"/>
      <c r="G504" s="5"/>
      <c r="H504" s="13"/>
      <c r="I504" s="13"/>
      <c r="J504" s="271" t="s">
        <v>23</v>
      </c>
      <c r="K504" s="271"/>
      <c r="L504" s="13"/>
      <c r="M504" s="36">
        <f>L503/D503</f>
        <v>0.16192000000000001</v>
      </c>
      <c r="N504" s="15"/>
      <c r="O504" s="2"/>
      <c r="P504" s="33"/>
      <c r="Q504" s="5" t="s">
        <v>22</v>
      </c>
      <c r="R504" s="13">
        <f>R503/A504</f>
        <v>8988.5714285714294</v>
      </c>
      <c r="S504" s="13">
        <f>R504*A503</f>
        <v>314600</v>
      </c>
      <c r="T504" s="13"/>
      <c r="U504" s="5"/>
      <c r="V504" s="13"/>
      <c r="W504" s="13"/>
      <c r="X504" s="271" t="s">
        <v>23</v>
      </c>
      <c r="Y504" s="271"/>
      <c r="Z504" s="13"/>
      <c r="AA504" s="36">
        <f>Z503/R503</f>
        <v>0.17597266369993642</v>
      </c>
      <c r="AB504" s="15"/>
      <c r="AD504" s="51"/>
      <c r="AE504" s="5" t="s">
        <v>22</v>
      </c>
      <c r="AF504" s="13">
        <f>AF503/A504</f>
        <v>8857.1428571428569</v>
      </c>
      <c r="AG504" s="13">
        <f>AF504*A503</f>
        <v>310000</v>
      </c>
      <c r="AH504" s="13"/>
      <c r="AI504" s="5"/>
      <c r="AJ504" s="13"/>
      <c r="AK504" s="13"/>
      <c r="AL504" s="271" t="s">
        <v>23</v>
      </c>
      <c r="AM504" s="271"/>
      <c r="AN504" s="13"/>
      <c r="AO504" s="36">
        <f>AN503/AF503</f>
        <v>0.13288709677419355</v>
      </c>
      <c r="AP504" s="15"/>
      <c r="AQ504" s="2"/>
      <c r="AR504" s="33"/>
      <c r="AS504" s="5" t="s">
        <v>22</v>
      </c>
      <c r="AT504" s="13">
        <f>AT503/A504</f>
        <v>11560</v>
      </c>
      <c r="AU504" s="13">
        <f>AT504*A503</f>
        <v>404600</v>
      </c>
      <c r="AV504" s="13"/>
      <c r="AW504" s="5"/>
      <c r="AX504" s="13"/>
      <c r="AY504" s="13"/>
      <c r="AZ504" s="271" t="s">
        <v>23</v>
      </c>
      <c r="BA504" s="271"/>
      <c r="BB504" s="13"/>
      <c r="BC504" s="36">
        <f>BB503/AT503</f>
        <v>0.17592684132476519</v>
      </c>
      <c r="BD504" s="15"/>
      <c r="BU504" s="16"/>
      <c r="BV504" s="69" t="s">
        <v>22</v>
      </c>
      <c r="BW504" s="13">
        <f>BW503/A504</f>
        <v>4600</v>
      </c>
      <c r="BX504" s="13">
        <f>BW504*A503</f>
        <v>161000</v>
      </c>
      <c r="BY504" s="13"/>
      <c r="BZ504" s="5"/>
      <c r="CA504" s="13"/>
      <c r="CB504" s="13"/>
      <c r="CC504" s="13"/>
      <c r="CD504" s="13"/>
      <c r="CE504" s="13"/>
      <c r="CF504" s="13"/>
      <c r="CG504" s="15"/>
      <c r="CH504" s="1"/>
      <c r="CI504" s="16"/>
      <c r="CJ504" s="69" t="s">
        <v>22</v>
      </c>
      <c r="CK504" s="13">
        <f>CK503/A504</f>
        <v>4011.4285714285716</v>
      </c>
      <c r="CL504" s="13">
        <f>CK504*A503</f>
        <v>140400</v>
      </c>
      <c r="CM504" s="13"/>
      <c r="CN504" s="5"/>
      <c r="CO504" s="13"/>
      <c r="CP504" s="13"/>
      <c r="CQ504" s="13"/>
      <c r="CR504" s="13"/>
      <c r="CS504" s="13"/>
      <c r="CT504" s="13"/>
      <c r="CU504" s="15"/>
      <c r="CV504" s="1"/>
      <c r="CW504" s="16"/>
      <c r="CX504" s="69" t="s">
        <v>22</v>
      </c>
      <c r="CY504" s="13">
        <f>CY503/A504</f>
        <v>4391.4285714285716</v>
      </c>
      <c r="CZ504" s="13">
        <f>CY504*A503</f>
        <v>153700</v>
      </c>
      <c r="DA504" s="13"/>
      <c r="DB504" s="5"/>
      <c r="DC504" s="13"/>
      <c r="DD504" s="13"/>
      <c r="DE504" s="13"/>
      <c r="DF504" s="13"/>
      <c r="DG504" s="13"/>
      <c r="DH504" s="13"/>
      <c r="DI504" s="15"/>
      <c r="DJ504" s="1"/>
      <c r="DK504" s="16"/>
      <c r="DL504" s="69" t="s">
        <v>22</v>
      </c>
      <c r="DM504" s="13">
        <f>DM503/A504</f>
        <v>3488.5714285714284</v>
      </c>
      <c r="DN504" s="13">
        <f>DM504*A503</f>
        <v>122100</v>
      </c>
      <c r="DO504" s="13"/>
      <c r="DP504" s="5"/>
      <c r="DQ504" s="13"/>
      <c r="DR504" s="13"/>
      <c r="DS504" s="13"/>
      <c r="DT504" s="13"/>
      <c r="DU504" s="13"/>
      <c r="DV504" s="13"/>
      <c r="DW504" s="15"/>
    </row>
    <row r="505" spans="1:127" ht="15" customHeight="1" x14ac:dyDescent="0.2">
      <c r="A505" s="44" t="s">
        <v>22</v>
      </c>
      <c r="B505" s="81">
        <f>B504/A504</f>
        <v>555.4</v>
      </c>
      <c r="C505" s="69" t="s">
        <v>25</v>
      </c>
      <c r="D505" s="13">
        <f>D503*0.6</f>
        <v>202500</v>
      </c>
      <c r="E505" s="13"/>
      <c r="F505" s="13"/>
      <c r="G505" s="5"/>
      <c r="H505" s="13"/>
      <c r="I505" s="13"/>
      <c r="J505" s="271" t="s">
        <v>26</v>
      </c>
      <c r="K505" s="271"/>
      <c r="L505" s="13">
        <f>D505-L503</f>
        <v>147852</v>
      </c>
      <c r="M505" s="36">
        <f>L505/D503</f>
        <v>0.43808000000000002</v>
      </c>
      <c r="N505" s="15"/>
      <c r="O505" s="2"/>
      <c r="P505" s="16"/>
      <c r="Q505" s="69" t="s">
        <v>25</v>
      </c>
      <c r="R505" s="13">
        <f>R503*0.6</f>
        <v>188760</v>
      </c>
      <c r="S505" s="13"/>
      <c r="T505" s="13"/>
      <c r="U505" s="5"/>
      <c r="V505" s="13"/>
      <c r="W505" s="13"/>
      <c r="X505" s="271" t="s">
        <v>26</v>
      </c>
      <c r="Y505" s="271"/>
      <c r="Z505" s="13">
        <f>R505-Z503</f>
        <v>133399</v>
      </c>
      <c r="AA505" s="36">
        <f>Z505/R503</f>
        <v>0.42402733630006356</v>
      </c>
      <c r="AB505" s="15"/>
      <c r="AD505" s="16"/>
      <c r="AE505" s="69" t="s">
        <v>25</v>
      </c>
      <c r="AF505" s="13">
        <f>AF503*0.6</f>
        <v>186000</v>
      </c>
      <c r="AG505" s="13"/>
      <c r="AH505" s="13"/>
      <c r="AI505" s="5"/>
      <c r="AJ505" s="13"/>
      <c r="AK505" s="13"/>
      <c r="AL505" s="271" t="s">
        <v>26</v>
      </c>
      <c r="AM505" s="271"/>
      <c r="AN505" s="13">
        <f>AF505-AN503</f>
        <v>144805</v>
      </c>
      <c r="AO505" s="36">
        <f>AN505/AF503</f>
        <v>0.46711290322580645</v>
      </c>
      <c r="AP505" s="15"/>
      <c r="AQ505" s="2"/>
      <c r="AR505" s="16"/>
      <c r="AS505" s="69" t="s">
        <v>25</v>
      </c>
      <c r="AT505" s="13">
        <f>AT503*0.6</f>
        <v>242760</v>
      </c>
      <c r="AU505" s="13"/>
      <c r="AV505" s="13"/>
      <c r="AW505" s="5"/>
      <c r="AX505" s="13"/>
      <c r="AY505" s="13"/>
      <c r="AZ505" s="271" t="s">
        <v>26</v>
      </c>
      <c r="BA505" s="271"/>
      <c r="BB505" s="13">
        <f>AT505-BB503</f>
        <v>171580</v>
      </c>
      <c r="BC505" s="36">
        <f>BB505/AT503</f>
        <v>0.42407315867523482</v>
      </c>
      <c r="BD505" s="15"/>
      <c r="BU505" s="16"/>
      <c r="BV505" s="69" t="s">
        <v>25</v>
      </c>
      <c r="BW505" s="13">
        <f>BW503*0.6</f>
        <v>96600</v>
      </c>
      <c r="BX505" s="13"/>
      <c r="BY505" s="13"/>
      <c r="BZ505" s="5" t="s">
        <v>24</v>
      </c>
      <c r="CA505" s="13">
        <f>SUM(CE447:CE499)</f>
        <v>18162</v>
      </c>
      <c r="CB505" s="36">
        <f>CA505/BW503</f>
        <v>0.11280745341614906</v>
      </c>
      <c r="CC505" s="36"/>
      <c r="CD505" s="13"/>
      <c r="CE505" s="13"/>
      <c r="CF505" s="13"/>
      <c r="CG505" s="15"/>
      <c r="CH505" s="1"/>
      <c r="CI505" s="16"/>
      <c r="CJ505" s="69" t="s">
        <v>25</v>
      </c>
      <c r="CK505" s="13">
        <f>CK503*0.6</f>
        <v>84240</v>
      </c>
      <c r="CL505" s="13"/>
      <c r="CM505" s="13"/>
      <c r="CN505" s="5" t="s">
        <v>24</v>
      </c>
      <c r="CO505" s="13">
        <f>SUM(CS447:CS499)</f>
        <v>22165</v>
      </c>
      <c r="CP505" s="36">
        <f>CO505/CK503</f>
        <v>0.15787037037037038</v>
      </c>
      <c r="CQ505" s="36"/>
      <c r="CR505" s="13"/>
      <c r="CS505" s="13"/>
      <c r="CT505" s="13"/>
      <c r="CU505" s="15"/>
      <c r="CV505" s="1"/>
      <c r="CW505" s="16"/>
      <c r="CX505" s="69" t="s">
        <v>25</v>
      </c>
      <c r="CY505" s="13">
        <f>CY503*0.6</f>
        <v>92220</v>
      </c>
      <c r="CZ505" s="13"/>
      <c r="DA505" s="13"/>
      <c r="DB505" s="5" t="s">
        <v>24</v>
      </c>
      <c r="DC505" s="13">
        <f>SUM(DG447:DG499)</f>
        <v>29040</v>
      </c>
      <c r="DD505" s="36">
        <f>DC505/CY503</f>
        <v>0.18893949251789199</v>
      </c>
      <c r="DE505" s="36"/>
      <c r="DF505" s="13"/>
      <c r="DG505" s="13"/>
      <c r="DH505" s="13"/>
      <c r="DI505" s="15"/>
      <c r="DJ505" s="1"/>
      <c r="DK505" s="16"/>
      <c r="DL505" s="69" t="s">
        <v>25</v>
      </c>
      <c r="DM505" s="13">
        <f>DM503*0.6</f>
        <v>73260</v>
      </c>
      <c r="DN505" s="13"/>
      <c r="DO505" s="13"/>
      <c r="DP505" s="5" t="s">
        <v>24</v>
      </c>
      <c r="DQ505" s="13">
        <f>SUM(DU447:DU499)</f>
        <v>8800</v>
      </c>
      <c r="DR505" s="36">
        <f>DQ505/DM503</f>
        <v>7.2072072072072071E-2</v>
      </c>
      <c r="DS505" s="36"/>
      <c r="DT505" s="13"/>
      <c r="DU505" s="13"/>
      <c r="DV505" s="13"/>
      <c r="DW505" s="15"/>
    </row>
    <row r="506" spans="1:127" ht="15" customHeight="1" x14ac:dyDescent="0.2">
      <c r="A506" s="79"/>
      <c r="B506" s="74">
        <f>B505*A503</f>
        <v>19439</v>
      </c>
      <c r="C506" s="5" t="s">
        <v>27</v>
      </c>
      <c r="D506" s="13">
        <f>D577</f>
        <v>374900</v>
      </c>
      <c r="E506" s="13"/>
      <c r="F506" s="13"/>
      <c r="G506" s="5"/>
      <c r="H506" s="13"/>
      <c r="I506" s="24"/>
      <c r="J506" s="272" t="s">
        <v>29</v>
      </c>
      <c r="K506" s="272"/>
      <c r="L506" s="53">
        <f>(G479+I479)*K479+(G480+I480)*K480+(G481+I481)*K481+(G482+I482)*K482</f>
        <v>103450</v>
      </c>
      <c r="M506" s="14"/>
      <c r="N506" s="15"/>
      <c r="O506" s="2"/>
      <c r="P506" s="79"/>
      <c r="Q506" s="5" t="s">
        <v>27</v>
      </c>
      <c r="R506" s="13">
        <f>R577</f>
        <v>380000</v>
      </c>
      <c r="S506" s="13"/>
      <c r="T506" s="13"/>
      <c r="U506" s="5"/>
      <c r="V506" s="13"/>
      <c r="W506" s="24"/>
      <c r="X506" s="272" t="s">
        <v>29</v>
      </c>
      <c r="Y506" s="272"/>
      <c r="Z506" s="53">
        <f>(U479+W479)*Y479+(U480+W480)*Y480+(U481+W481)*Y481+(U482+W482)*Y482</f>
        <v>37356</v>
      </c>
      <c r="AA506" s="14"/>
      <c r="AB506" s="15"/>
      <c r="AD506" s="79"/>
      <c r="AE506" s="5" t="s">
        <v>27</v>
      </c>
      <c r="AF506" s="13">
        <f>AF577</f>
        <v>441200</v>
      </c>
      <c r="AG506" s="13"/>
      <c r="AH506" s="13"/>
      <c r="AI506" s="5"/>
      <c r="AJ506" s="13"/>
      <c r="AK506" s="24"/>
      <c r="AL506" s="272" t="s">
        <v>29</v>
      </c>
      <c r="AM506" s="272"/>
      <c r="AN506" s="53">
        <f>(AI479+AK479)*AM479+(AI480+AK480)*AM480+(AI481+AK481)*AM481+(AI482+AK482)*AM482</f>
        <v>60300</v>
      </c>
      <c r="AO506" s="14"/>
      <c r="AP506" s="15"/>
      <c r="AQ506" s="2"/>
      <c r="AR506" s="79"/>
      <c r="AS506" s="5" t="s">
        <v>27</v>
      </c>
      <c r="AT506" s="13">
        <f>AT577</f>
        <v>602300</v>
      </c>
      <c r="AU506" s="13"/>
      <c r="AV506" s="13"/>
      <c r="AW506" s="5"/>
      <c r="AX506" s="13"/>
      <c r="AY506" s="24"/>
      <c r="AZ506" s="272" t="s">
        <v>29</v>
      </c>
      <c r="BA506" s="272"/>
      <c r="BB506" s="53">
        <f>(AW479+AY479)*BA479+(AW480+AY480)*BA480+(AW481+AY481)*BA481+(AW482+AY482)*BA482</f>
        <v>46800</v>
      </c>
      <c r="BC506" s="14"/>
      <c r="BD506" s="15"/>
      <c r="BU506" s="16"/>
      <c r="BV506" s="69" t="s">
        <v>27</v>
      </c>
      <c r="BW506" s="13">
        <f>BW577</f>
        <v>109300</v>
      </c>
      <c r="BX506" s="13"/>
      <c r="BY506" s="13"/>
      <c r="BZ506" s="5" t="s">
        <v>26</v>
      </c>
      <c r="CA506" s="13">
        <f>BW505-CA505</f>
        <v>78438</v>
      </c>
      <c r="CB506" s="36">
        <f>CA506/BW503</f>
        <v>0.48719254658385092</v>
      </c>
      <c r="CC506" s="36"/>
      <c r="CD506" s="14"/>
      <c r="CE506" s="14"/>
      <c r="CF506" s="14"/>
      <c r="CG506" s="15"/>
      <c r="CH506" s="1"/>
      <c r="CI506" s="16"/>
      <c r="CJ506" s="69" t="s">
        <v>27</v>
      </c>
      <c r="CK506" s="13">
        <f>CK577</f>
        <v>331600</v>
      </c>
      <c r="CL506" s="13"/>
      <c r="CM506" s="13"/>
      <c r="CN506" s="5" t="s">
        <v>26</v>
      </c>
      <c r="CO506" s="13">
        <f>CK505-CO505</f>
        <v>62075</v>
      </c>
      <c r="CP506" s="36">
        <f>CO506/CK503</f>
        <v>0.44212962962962965</v>
      </c>
      <c r="CQ506" s="36"/>
      <c r="CR506" s="14"/>
      <c r="CS506" s="14"/>
      <c r="CT506" s="14"/>
      <c r="CU506" s="15"/>
      <c r="CV506" s="1"/>
      <c r="CW506" s="16"/>
      <c r="CX506" s="69" t="s">
        <v>27</v>
      </c>
      <c r="CY506" s="13">
        <f>CY577</f>
        <v>149700</v>
      </c>
      <c r="CZ506" s="13"/>
      <c r="DA506" s="13"/>
      <c r="DB506" s="5" t="s">
        <v>26</v>
      </c>
      <c r="DC506" s="13">
        <f>CY505-DC505</f>
        <v>63180</v>
      </c>
      <c r="DD506" s="36">
        <f>DC506/CY503</f>
        <v>0.41106050748210798</v>
      </c>
      <c r="DE506" s="36"/>
      <c r="DF506" s="14"/>
      <c r="DG506" s="14"/>
      <c r="DH506" s="14"/>
      <c r="DI506" s="15"/>
      <c r="DJ506" s="1"/>
      <c r="DK506" s="16"/>
      <c r="DL506" s="69" t="s">
        <v>27</v>
      </c>
      <c r="DM506" s="13">
        <f>DM577</f>
        <v>131700</v>
      </c>
      <c r="DN506" s="13"/>
      <c r="DO506" s="13"/>
      <c r="DP506" s="5" t="s">
        <v>26</v>
      </c>
      <c r="DQ506" s="13">
        <f>DM505-DQ505</f>
        <v>64460</v>
      </c>
      <c r="DR506" s="36">
        <f>DQ506/DM503</f>
        <v>0.52792792792792798</v>
      </c>
      <c r="DS506" s="36"/>
      <c r="DT506" s="14"/>
      <c r="DU506" s="14"/>
      <c r="DV506" s="14"/>
      <c r="DW506" s="15"/>
    </row>
    <row r="507" spans="1:127" ht="15" customHeight="1" x14ac:dyDescent="0.2">
      <c r="A507" s="273" t="s">
        <v>57</v>
      </c>
      <c r="B507" s="274"/>
      <c r="C507" s="273" t="s">
        <v>62</v>
      </c>
      <c r="D507" s="274"/>
      <c r="E507" s="273" t="s">
        <v>63</v>
      </c>
      <c r="F507" s="275"/>
      <c r="G507" s="5"/>
      <c r="H507" s="13"/>
      <c r="I507" s="24"/>
      <c r="J507" s="99"/>
      <c r="K507" s="102"/>
      <c r="L507" s="53"/>
      <c r="M507" s="14"/>
      <c r="N507" s="15"/>
      <c r="O507" s="2"/>
      <c r="P507" s="85"/>
      <c r="Q507" s="69"/>
      <c r="R507" s="13"/>
      <c r="S507" s="13"/>
      <c r="T507" s="13"/>
      <c r="U507" s="5"/>
      <c r="V507" s="13"/>
      <c r="W507" s="24"/>
      <c r="X507" s="99"/>
      <c r="Y507" s="102"/>
      <c r="Z507" s="53"/>
      <c r="AA507" s="14"/>
      <c r="AB507" s="15"/>
      <c r="AD507" s="85"/>
      <c r="AE507" s="69"/>
      <c r="AF507" s="13"/>
      <c r="AG507" s="13"/>
      <c r="AH507" s="13"/>
      <c r="AI507" s="5"/>
      <c r="AJ507" s="13"/>
      <c r="AK507" s="24"/>
      <c r="AL507" s="99"/>
      <c r="AM507" s="102"/>
      <c r="AN507" s="53"/>
      <c r="AO507" s="14"/>
      <c r="AP507" s="15"/>
      <c r="AQ507" s="2"/>
      <c r="AR507" s="85"/>
      <c r="AS507" s="69"/>
      <c r="AT507" s="13"/>
      <c r="AU507" s="13"/>
      <c r="AV507" s="13"/>
      <c r="AW507" s="5"/>
      <c r="AX507" s="13"/>
      <c r="AY507" s="24"/>
      <c r="AZ507" s="118"/>
      <c r="BA507" s="102"/>
      <c r="BB507" s="53"/>
      <c r="BC507" s="14"/>
      <c r="BD507" s="15"/>
      <c r="BU507" s="16"/>
      <c r="BV507" s="54"/>
      <c r="BW507" s="13"/>
      <c r="BX507" s="13"/>
      <c r="BY507" s="13"/>
      <c r="BZ507" s="263" t="s">
        <v>29</v>
      </c>
      <c r="CA507" s="264"/>
      <c r="CB507" s="13">
        <f>(BZ455+CB455)*CD455</f>
        <v>29584</v>
      </c>
      <c r="CC507" s="13"/>
      <c r="CD507" s="14"/>
      <c r="CE507" s="14"/>
      <c r="CF507" s="14"/>
      <c r="CG507" s="15"/>
      <c r="CH507" s="1"/>
      <c r="CI507" s="16"/>
      <c r="CJ507" s="54"/>
      <c r="CK507" s="13"/>
      <c r="CL507" s="13"/>
      <c r="CM507" s="13"/>
      <c r="CN507" s="263" t="s">
        <v>29</v>
      </c>
      <c r="CO507" s="264"/>
      <c r="CP507" s="13">
        <f>(CN455+CP455)*CR455</f>
        <v>2145</v>
      </c>
      <c r="CQ507" s="13"/>
      <c r="CR507" s="14"/>
      <c r="CS507" s="14"/>
      <c r="CT507" s="14"/>
      <c r="CU507" s="15"/>
      <c r="CV507" s="1"/>
      <c r="CW507" s="16"/>
      <c r="CX507" s="54"/>
      <c r="CY507" s="13"/>
      <c r="CZ507" s="13"/>
      <c r="DA507" s="13"/>
      <c r="DB507" s="263" t="s">
        <v>29</v>
      </c>
      <c r="DC507" s="264"/>
      <c r="DD507" s="13">
        <f>(DB455+DD455)*DF455</f>
        <v>27280</v>
      </c>
      <c r="DE507" s="13"/>
      <c r="DF507" s="14"/>
      <c r="DG507" s="14"/>
      <c r="DH507" s="14"/>
      <c r="DI507" s="15"/>
      <c r="DJ507" s="1"/>
      <c r="DK507" s="16"/>
      <c r="DL507" s="54"/>
      <c r="DM507" s="13"/>
      <c r="DN507" s="13"/>
      <c r="DO507" s="13"/>
      <c r="DP507" s="263" t="s">
        <v>29</v>
      </c>
      <c r="DQ507" s="264"/>
      <c r="DR507" s="13">
        <f>(DP455+DR455)*DT455</f>
        <v>37400</v>
      </c>
      <c r="DS507" s="13"/>
      <c r="DT507" s="14"/>
      <c r="DU507" s="14"/>
      <c r="DV507" s="14"/>
      <c r="DW507" s="15"/>
    </row>
    <row r="508" spans="1:127" ht="15" customHeight="1" x14ac:dyDescent="0.2">
      <c r="A508" s="265">
        <f>E504+S504+AG504+AU504+BX504+CL504+CZ504+DN504</f>
        <v>1943900</v>
      </c>
      <c r="B508" s="266"/>
      <c r="C508" s="267">
        <f>L503+Z503+AN503+BB503</f>
        <v>222384</v>
      </c>
      <c r="D508" s="268"/>
      <c r="E508" s="267">
        <f>L506+Z506+AN506+BB506+CB507+CP507+DD507+DR507</f>
        <v>344315</v>
      </c>
      <c r="F508" s="268"/>
      <c r="G508" s="5"/>
      <c r="H508" s="13"/>
      <c r="I508" s="24"/>
      <c r="J508" s="99"/>
      <c r="K508" s="102"/>
      <c r="L508" s="53"/>
      <c r="M508" s="14"/>
      <c r="N508" s="15"/>
      <c r="O508" s="2"/>
      <c r="P508" s="85"/>
      <c r="Q508" s="69"/>
      <c r="R508" s="13"/>
      <c r="S508" s="13"/>
      <c r="T508" s="13"/>
      <c r="U508" s="5"/>
      <c r="V508" s="13"/>
      <c r="W508" s="24"/>
      <c r="X508" s="99"/>
      <c r="Y508" s="102"/>
      <c r="Z508" s="53"/>
      <c r="AA508" s="14"/>
      <c r="AB508" s="15"/>
      <c r="AD508" s="85"/>
      <c r="AE508" s="69"/>
      <c r="AF508" s="13"/>
      <c r="AG508" s="13"/>
      <c r="AH508" s="13"/>
      <c r="AI508" s="5"/>
      <c r="AJ508" s="13"/>
      <c r="AK508" s="24"/>
      <c r="AL508" s="99"/>
      <c r="AM508" s="102"/>
      <c r="AN508" s="53"/>
      <c r="AO508" s="14"/>
      <c r="AP508" s="15"/>
      <c r="AQ508" s="2"/>
      <c r="AR508" s="85"/>
      <c r="AS508" s="69"/>
      <c r="AT508" s="13"/>
      <c r="AU508" s="13"/>
      <c r="AV508" s="13"/>
      <c r="AW508" s="5"/>
      <c r="AX508" s="13"/>
      <c r="AY508" s="24"/>
      <c r="AZ508" s="118"/>
      <c r="BA508" s="102"/>
      <c r="BB508" s="53"/>
      <c r="BC508" s="14"/>
      <c r="BD508" s="15"/>
      <c r="BU508" s="16"/>
      <c r="BV508" s="54"/>
      <c r="BW508" s="13"/>
      <c r="BX508" s="13"/>
      <c r="BY508" s="13"/>
      <c r="BZ508" s="5"/>
      <c r="CA508" s="13"/>
      <c r="CB508" s="13"/>
      <c r="CC508" s="13"/>
      <c r="CD508" s="14"/>
      <c r="CE508" s="14"/>
      <c r="CF508" s="14"/>
      <c r="CG508" s="15"/>
      <c r="CH508" s="1"/>
      <c r="CI508" s="16"/>
      <c r="CJ508" s="54"/>
      <c r="CK508" s="13"/>
      <c r="CL508" s="13"/>
      <c r="CM508" s="13"/>
      <c r="CN508" s="5"/>
      <c r="CO508" s="13"/>
      <c r="CP508" s="13"/>
      <c r="CQ508" s="13"/>
      <c r="CR508" s="14"/>
      <c r="CS508" s="14"/>
      <c r="CT508" s="14"/>
      <c r="CU508" s="15"/>
      <c r="CV508" s="1"/>
      <c r="CW508" s="16"/>
      <c r="CX508" s="54"/>
      <c r="CY508" s="13"/>
      <c r="CZ508" s="13"/>
      <c r="DA508" s="13"/>
      <c r="DB508" s="5"/>
      <c r="DC508" s="13"/>
      <c r="DD508" s="13"/>
      <c r="DE508" s="13"/>
      <c r="DF508" s="14"/>
      <c r="DG508" s="14"/>
      <c r="DH508" s="14"/>
      <c r="DI508" s="15"/>
      <c r="DJ508" s="1"/>
      <c r="DK508" s="16"/>
      <c r="DL508" s="54"/>
      <c r="DM508" s="13"/>
      <c r="DN508" s="13"/>
      <c r="DO508" s="13"/>
      <c r="DP508" s="5"/>
      <c r="DQ508" s="13"/>
      <c r="DR508" s="13"/>
      <c r="DS508" s="13"/>
      <c r="DT508" s="14"/>
      <c r="DU508" s="14"/>
      <c r="DV508" s="14"/>
      <c r="DW508" s="15"/>
    </row>
    <row r="509" spans="1:127" ht="15" customHeight="1" x14ac:dyDescent="0.2">
      <c r="A509" s="281">
        <v>250000</v>
      </c>
      <c r="B509" s="282"/>
      <c r="C509" s="98"/>
      <c r="D509" s="106">
        <f>C508/A508</f>
        <v>0.11440094655074849</v>
      </c>
      <c r="E509" s="104"/>
      <c r="F509" s="96"/>
      <c r="G509" s="5"/>
      <c r="H509" s="13"/>
      <c r="I509" s="24"/>
      <c r="J509" s="99"/>
      <c r="K509" s="102"/>
      <c r="L509" s="53"/>
      <c r="M509" s="14"/>
      <c r="N509" s="15"/>
      <c r="O509" s="2"/>
      <c r="P509" s="85"/>
      <c r="Q509" s="69"/>
      <c r="R509" s="13"/>
      <c r="S509" s="13"/>
      <c r="T509" s="13"/>
      <c r="U509" s="5"/>
      <c r="V509" s="13"/>
      <c r="W509" s="24"/>
      <c r="X509" s="99"/>
      <c r="Y509" s="102"/>
      <c r="Z509" s="53"/>
      <c r="AA509" s="14"/>
      <c r="AB509" s="15"/>
      <c r="AD509" s="85"/>
      <c r="AE509" s="69"/>
      <c r="AF509" s="13"/>
      <c r="AG509" s="13"/>
      <c r="AH509" s="13"/>
      <c r="AI509" s="5"/>
      <c r="AJ509" s="13"/>
      <c r="AK509" s="24"/>
      <c r="AL509" s="99"/>
      <c r="AM509" s="102"/>
      <c r="AN509" s="53"/>
      <c r="AO509" s="14"/>
      <c r="AP509" s="15"/>
      <c r="AQ509" s="2"/>
      <c r="AR509" s="85"/>
      <c r="AS509" s="69"/>
      <c r="AT509" s="13"/>
      <c r="AU509" s="13"/>
      <c r="AV509" s="13"/>
      <c r="AW509" s="5"/>
      <c r="AX509" s="13"/>
      <c r="AY509" s="24"/>
      <c r="AZ509" s="118"/>
      <c r="BA509" s="102"/>
      <c r="BB509" s="53"/>
      <c r="BC509" s="14"/>
      <c r="BD509" s="15"/>
      <c r="BU509" s="16"/>
      <c r="BV509" s="54"/>
      <c r="BW509" s="13"/>
      <c r="BX509" s="13"/>
      <c r="BY509" s="13"/>
      <c r="BZ509" s="5"/>
      <c r="CA509" s="13"/>
      <c r="CB509" s="36"/>
      <c r="CC509" s="36"/>
      <c r="CD509" s="13"/>
      <c r="CE509" s="13"/>
      <c r="CF509" s="13"/>
      <c r="CG509" s="15"/>
      <c r="CH509" s="1"/>
      <c r="CI509" s="16"/>
      <c r="CJ509" s="54"/>
      <c r="CK509" s="13"/>
      <c r="CL509" s="13"/>
      <c r="CM509" s="13"/>
      <c r="CN509" s="5"/>
      <c r="CO509" s="13"/>
      <c r="CP509" s="36"/>
      <c r="CQ509" s="36"/>
      <c r="CR509" s="13"/>
      <c r="CS509" s="13"/>
      <c r="CT509" s="13"/>
      <c r="CU509" s="15"/>
      <c r="CV509" s="1"/>
      <c r="CW509" s="16"/>
      <c r="CX509" s="54"/>
      <c r="CY509" s="13"/>
      <c r="CZ509" s="13"/>
      <c r="DA509" s="13"/>
      <c r="DB509" s="5"/>
      <c r="DC509" s="13"/>
      <c r="DD509" s="36"/>
      <c r="DE509" s="36"/>
      <c r="DF509" s="13"/>
      <c r="DG509" s="13"/>
      <c r="DH509" s="13"/>
      <c r="DI509" s="15"/>
      <c r="DJ509" s="1"/>
      <c r="DK509" s="16"/>
      <c r="DL509" s="54"/>
      <c r="DM509" s="13"/>
      <c r="DN509" s="13"/>
      <c r="DO509" s="13"/>
      <c r="DP509" s="5"/>
      <c r="DQ509" s="13"/>
      <c r="DR509" s="36"/>
      <c r="DS509" s="36"/>
      <c r="DT509" s="13"/>
      <c r="DU509" s="13"/>
      <c r="DV509" s="13"/>
      <c r="DW509" s="15"/>
    </row>
    <row r="510" spans="1:127" ht="15" customHeight="1" x14ac:dyDescent="0.2">
      <c r="A510" s="153"/>
      <c r="B510" s="154"/>
      <c r="C510" s="98"/>
      <c r="D510" s="96"/>
      <c r="E510" s="5"/>
      <c r="F510" s="13"/>
      <c r="G510" s="5"/>
      <c r="H510" s="13"/>
      <c r="I510" s="13"/>
      <c r="J510" s="68"/>
      <c r="K510" s="82"/>
      <c r="L510" s="14"/>
      <c r="M510" s="14"/>
      <c r="N510" s="15"/>
      <c r="O510" s="2"/>
      <c r="P510" s="86"/>
      <c r="Q510" s="54"/>
      <c r="R510" s="13"/>
      <c r="S510" s="5"/>
      <c r="T510" s="13"/>
      <c r="U510" s="5"/>
      <c r="V510" s="13"/>
      <c r="W510" s="13"/>
      <c r="X510" s="52"/>
      <c r="Y510" s="82"/>
      <c r="Z510" s="14"/>
      <c r="AA510" s="14"/>
      <c r="AB510" s="15"/>
      <c r="AD510" s="86"/>
      <c r="AE510" s="54"/>
      <c r="AF510" s="13"/>
      <c r="AG510" s="5"/>
      <c r="AH510" s="13"/>
      <c r="AI510" s="5"/>
      <c r="AJ510" s="13"/>
      <c r="AK510" s="13"/>
      <c r="AL510" s="68"/>
      <c r="AM510" s="82"/>
      <c r="AN510" s="14"/>
      <c r="AO510" s="14"/>
      <c r="AP510" s="15"/>
      <c r="AQ510" s="2"/>
      <c r="AR510" s="86"/>
      <c r="AS510" s="54"/>
      <c r="AT510" s="13"/>
      <c r="AU510" s="5"/>
      <c r="AV510" s="13"/>
      <c r="AW510" s="5"/>
      <c r="AX510" s="13"/>
      <c r="AY510" s="13"/>
      <c r="AZ510" s="68"/>
      <c r="BA510" s="82"/>
      <c r="BB510" s="14"/>
      <c r="BC510" s="14"/>
      <c r="BD510" s="15"/>
      <c r="BU510" s="16"/>
      <c r="BV510" s="13"/>
      <c r="BW510" s="13"/>
      <c r="BX510" s="13"/>
      <c r="BY510" s="13"/>
      <c r="BZ510" s="5"/>
      <c r="CA510" s="13"/>
      <c r="CB510" s="36"/>
      <c r="CC510" s="36"/>
      <c r="CD510" s="13"/>
      <c r="CE510" s="13"/>
      <c r="CF510" s="13"/>
      <c r="CG510" s="15"/>
      <c r="CH510" s="1"/>
      <c r="CI510" s="16"/>
      <c r="CJ510" s="13"/>
      <c r="CK510" s="13"/>
      <c r="CL510" s="13"/>
      <c r="CM510" s="13"/>
      <c r="CN510" s="5"/>
      <c r="CO510" s="13"/>
      <c r="CP510" s="36"/>
      <c r="CQ510" s="36"/>
      <c r="CR510" s="13"/>
      <c r="CS510" s="13"/>
      <c r="CT510" s="13"/>
      <c r="CU510" s="15"/>
      <c r="CV510" s="1"/>
      <c r="CW510" s="16"/>
      <c r="CX510" s="13"/>
      <c r="CY510" s="13"/>
      <c r="CZ510" s="13"/>
      <c r="DA510" s="13"/>
      <c r="DB510" s="5"/>
      <c r="DC510" s="13"/>
      <c r="DD510" s="36"/>
      <c r="DE510" s="36"/>
      <c r="DF510" s="13"/>
      <c r="DG510" s="13"/>
      <c r="DH510" s="13"/>
      <c r="DI510" s="15"/>
      <c r="DJ510" s="1"/>
      <c r="DK510" s="16"/>
      <c r="DL510" s="13"/>
      <c r="DM510" s="13"/>
      <c r="DN510" s="13"/>
      <c r="DO510" s="13"/>
      <c r="DP510" s="5"/>
      <c r="DQ510" s="13"/>
      <c r="DR510" s="36"/>
      <c r="DS510" s="36"/>
      <c r="DT510" s="13"/>
      <c r="DU510" s="13"/>
      <c r="DV510" s="13"/>
      <c r="DW510" s="15"/>
    </row>
    <row r="511" spans="1:127" ht="15" customHeight="1" x14ac:dyDescent="0.2">
      <c r="A511" s="258" t="s">
        <v>28</v>
      </c>
      <c r="B511" s="260"/>
      <c r="C511" s="259"/>
      <c r="D511" s="38">
        <f>SUM(D447,D451,D455,D459,D463,D467,D471,D475,D479,D483,D487,D491,D495)*100</f>
        <v>78400</v>
      </c>
      <c r="E511" s="54"/>
      <c r="F511" s="13"/>
      <c r="G511" s="5">
        <f>D511/H511</f>
        <v>9800</v>
      </c>
      <c r="H511" s="38">
        <f>SUM(H447,H451,H455,H459,H463,H467,H472,H475,H479,H483,H487,H491,H495)</f>
        <v>8</v>
      </c>
      <c r="I511" s="13"/>
      <c r="J511" s="75" t="str">
        <f t="shared" ref="J511:K514" si="889">J447</f>
        <v>ジャグラーサウンドボタン</v>
      </c>
      <c r="K511" s="76">
        <f t="shared" si="889"/>
        <v>748</v>
      </c>
      <c r="L511" s="38">
        <f>SUM(L447,L451,L455,L459,L463,L467,L472,L475,L479,L483,L487,L491,L495)</f>
        <v>748</v>
      </c>
      <c r="M511" s="36">
        <f>L511/D511</f>
        <v>9.5408163265306122E-3</v>
      </c>
      <c r="N511" s="15"/>
      <c r="O511" s="2"/>
      <c r="P511" s="258" t="s">
        <v>28</v>
      </c>
      <c r="Q511" s="259"/>
      <c r="R511" s="38">
        <f>SUM(R447,R451,R455,R459,R463,R467,R472,R475,R479,R483,R487,R491,R495)*100</f>
        <v>85500</v>
      </c>
      <c r="S511" s="54"/>
      <c r="T511" s="13"/>
      <c r="U511" s="5">
        <f>R511/V511</f>
        <v>4750</v>
      </c>
      <c r="V511" s="38">
        <f>SUM(V447,V451,V455,V459,V463,V467,V472,V475,V479,V483,V487,V491,V495)</f>
        <v>18</v>
      </c>
      <c r="W511" s="13"/>
      <c r="X511" s="78" t="str">
        <f t="shared" ref="X511:Y514" si="890">X447</f>
        <v>キティフェイスポーチ</v>
      </c>
      <c r="Y511" s="76">
        <f t="shared" si="890"/>
        <v>957</v>
      </c>
      <c r="Z511" s="38">
        <f>SUM(Z447,Z451,Z455,Z459,Z463,Z467,Z472,Z475,Z479,Z483,Z487,Z491,Z495)</f>
        <v>18799</v>
      </c>
      <c r="AA511" s="36">
        <f>Z511/R511</f>
        <v>0.21987134502923977</v>
      </c>
      <c r="AB511" s="15"/>
      <c r="AC511" s="23"/>
      <c r="AD511" s="258" t="s">
        <v>28</v>
      </c>
      <c r="AE511" s="259"/>
      <c r="AF511" s="38">
        <f>SUM(AF447,AF451,AF455,AF459,AF463,AF467,AF471,AF475,AF479,AF483,AF487,AF491,AF495)*100</f>
        <v>75000</v>
      </c>
      <c r="AG511" s="54"/>
      <c r="AH511" s="13"/>
      <c r="AI511" s="5">
        <f>AF511/AJ511</f>
        <v>5769.2307692307695</v>
      </c>
      <c r="AJ511" s="38">
        <f>SUM(AJ447,AJ451,AJ455,AJ459,AJ463,AJ467,AJ472,AJ475,AJ479,AJ483,AJ487,AJ491,AJ495)</f>
        <v>13</v>
      </c>
      <c r="AK511" s="13"/>
      <c r="AL511" s="75" t="str">
        <f t="shared" ref="AL511:AM514" si="891">AL447</f>
        <v>キティシリコンがま口</v>
      </c>
      <c r="AM511" s="76">
        <f t="shared" si="891"/>
        <v>1009</v>
      </c>
      <c r="AN511" s="38">
        <f>SUM(AN447,AN451,AN455,AN459,AN463,AN467,AN472,AN475,AN479,AN483,AN487,AN491,AN495)</f>
        <v>13587</v>
      </c>
      <c r="AO511" s="36">
        <f>AN511/AF511</f>
        <v>0.18115999999999999</v>
      </c>
      <c r="AP511" s="15"/>
      <c r="AQ511" s="2"/>
      <c r="AR511" s="258" t="s">
        <v>28</v>
      </c>
      <c r="AS511" s="259"/>
      <c r="AT511" s="38">
        <f>SUM(AT447,AT451,AT455,AT459,AT463,AT467,AT472,AT475,AT479,AT483,AT487,AT491,AT495)*100</f>
        <v>101300</v>
      </c>
      <c r="AU511" s="54"/>
      <c r="AV511" s="13"/>
      <c r="AW511" s="5">
        <f>AT511/AX511</f>
        <v>3751.8518518518517</v>
      </c>
      <c r="AX511" s="38">
        <f>SUM(AX447,AX451,AX455,AX459,AX463,AX467,AX472,AX475,AX479,AX483,AX487,AX491,AX495)</f>
        <v>27</v>
      </c>
      <c r="AY511" s="13"/>
      <c r="AZ511" s="75" t="str">
        <f t="shared" ref="AZ511:BA514" si="892">AZ447</f>
        <v>サンリオアニマルがま口</v>
      </c>
      <c r="BA511" s="76">
        <f t="shared" si="892"/>
        <v>880</v>
      </c>
      <c r="BB511" s="38">
        <f>SUM(BB447,BB451,BB455,BB459,BB463,BB467,BB472,BB475,BB479,BB483,BB487,BB491,BB495)</f>
        <v>22080</v>
      </c>
      <c r="BC511" s="36">
        <f>BB511/AT511</f>
        <v>0.21796643632773938</v>
      </c>
      <c r="BD511" s="15"/>
      <c r="BU511" s="16"/>
      <c r="BV511" s="270"/>
      <c r="BW511" s="270"/>
      <c r="BX511" s="10"/>
      <c r="BY511" s="13"/>
      <c r="BZ511" s="5"/>
      <c r="CA511" s="13"/>
      <c r="CB511" s="36"/>
      <c r="CC511" s="36"/>
      <c r="CD511" s="13"/>
      <c r="CE511" s="13"/>
      <c r="CF511" s="13"/>
      <c r="CG511" s="15"/>
      <c r="CH511" s="1"/>
      <c r="CI511" s="16"/>
      <c r="CJ511" s="270"/>
      <c r="CK511" s="270"/>
      <c r="CL511" s="10"/>
      <c r="CM511" s="13"/>
      <c r="CN511" s="5"/>
      <c r="CO511" s="13"/>
      <c r="CP511" s="36"/>
      <c r="CQ511" s="36"/>
      <c r="CR511" s="13"/>
      <c r="CS511" s="13"/>
      <c r="CT511" s="13"/>
      <c r="CU511" s="15"/>
      <c r="CV511" s="1"/>
      <c r="CW511" s="16"/>
      <c r="CX511" s="270"/>
      <c r="CY511" s="270"/>
      <c r="CZ511" s="10"/>
      <c r="DA511" s="13"/>
      <c r="DB511" s="5"/>
      <c r="DC511" s="13"/>
      <c r="DD511" s="36"/>
      <c r="DE511" s="36"/>
      <c r="DF511" s="13"/>
      <c r="DG511" s="13"/>
      <c r="DH511" s="13"/>
      <c r="DI511" s="15"/>
      <c r="DJ511" s="1"/>
      <c r="DK511" s="16"/>
      <c r="DL511" s="270"/>
      <c r="DM511" s="270"/>
      <c r="DN511" s="10"/>
      <c r="DO511" s="13"/>
      <c r="DP511" s="5"/>
      <c r="DQ511" s="13"/>
      <c r="DR511" s="36"/>
      <c r="DS511" s="36"/>
      <c r="DT511" s="13"/>
      <c r="DU511" s="13"/>
      <c r="DV511" s="13"/>
      <c r="DW511" s="15"/>
    </row>
    <row r="512" spans="1:127" x14ac:dyDescent="0.2">
      <c r="A512" s="258" t="s">
        <v>28</v>
      </c>
      <c r="B512" s="260"/>
      <c r="C512" s="259"/>
      <c r="D512" s="38">
        <f>SUM(D448,D452,D456,D460,D464,D468,D472,D476,D480,D484,D488,D492,D496)*100</f>
        <v>75400</v>
      </c>
      <c r="E512" s="54"/>
      <c r="F512" s="13"/>
      <c r="G512" s="5">
        <f>D512/H512</f>
        <v>3968.4210526315787</v>
      </c>
      <c r="H512" s="38">
        <f>SUM(H448,H452,H456,H460,H464,H468,H471,H476,H480,H484,H488,H492,H496)</f>
        <v>19</v>
      </c>
      <c r="I512" s="13"/>
      <c r="J512" s="75" t="str">
        <f t="shared" si="889"/>
        <v>液晶デジカメ</v>
      </c>
      <c r="K512" s="76">
        <f t="shared" si="889"/>
        <v>1075</v>
      </c>
      <c r="L512" s="38">
        <f>SUM(L448,L452,L456,L460,L464,L468,L471,L476,L480,L484,L488,L492,L496)</f>
        <v>17200</v>
      </c>
      <c r="M512" s="36">
        <f>L512/D512</f>
        <v>0.22811671087533156</v>
      </c>
      <c r="N512" s="15"/>
      <c r="O512" s="2"/>
      <c r="P512" s="258" t="s">
        <v>28</v>
      </c>
      <c r="Q512" s="259"/>
      <c r="R512" s="38">
        <f>SUM(R448,R452,R456,R460,R464,R468,R471,R476,R480,R484,R488,R492,R496)*100</f>
        <v>64500</v>
      </c>
      <c r="S512" s="54"/>
      <c r="T512" s="13"/>
      <c r="U512" s="5">
        <f>R512/V512</f>
        <v>2804.3478260869565</v>
      </c>
      <c r="V512" s="38">
        <f>SUM(V448,V452,V456,V460,V464,V468,V471,V476,V480,V484,V488,V492,V496)</f>
        <v>23</v>
      </c>
      <c r="W512" s="13"/>
      <c r="X512" s="78" t="str">
        <f t="shared" si="890"/>
        <v>ジャグラーサウンドボタン</v>
      </c>
      <c r="Y512" s="76">
        <f t="shared" si="890"/>
        <v>1100</v>
      </c>
      <c r="Z512" s="38">
        <f>SUM(Z448,Z452,Z456,Z460,Z464,Z468,Z471,Z476,Z480,Z484,Z488,Z492,Z496)</f>
        <v>25300</v>
      </c>
      <c r="AA512" s="36">
        <f>Z512/R512</f>
        <v>0.39224806201550388</v>
      </c>
      <c r="AB512" s="15"/>
      <c r="AC512" s="1"/>
      <c r="AD512" s="258" t="s">
        <v>28</v>
      </c>
      <c r="AE512" s="259"/>
      <c r="AF512" s="38">
        <f>SUM(AF448,AF452,AF456,AF460,AF464,AF468,AF472,AF476,AF480,AF484,AF488,AF492,AF496)*100</f>
        <v>50300</v>
      </c>
      <c r="AG512" s="54"/>
      <c r="AH512" s="13"/>
      <c r="AI512" s="5">
        <f>AF512/AJ512</f>
        <v>2515</v>
      </c>
      <c r="AJ512" s="38">
        <f>SUM(AJ448,AJ452,AJ456,AJ460,AJ464,AJ468,AJ471,AJ476,AJ480,AJ484,AJ488,AJ492,AJ496)</f>
        <v>20</v>
      </c>
      <c r="AK512" s="13"/>
      <c r="AL512" s="75" t="str">
        <f t="shared" si="891"/>
        <v>キティヒョウ柄マスコット</v>
      </c>
      <c r="AM512" s="76">
        <f t="shared" si="891"/>
        <v>996</v>
      </c>
      <c r="AN512" s="38">
        <f>SUM(AN448,AN452,AN456,AN460,AN464,AN468,AN471,AN476,AN480,AN484,AN488,AN492,AN496)</f>
        <v>14648</v>
      </c>
      <c r="AO512" s="36">
        <f>AN512/AF512</f>
        <v>0.29121272365805168</v>
      </c>
      <c r="AP512" s="15"/>
      <c r="AQ512" s="2"/>
      <c r="AR512" s="258" t="s">
        <v>28</v>
      </c>
      <c r="AS512" s="259"/>
      <c r="AT512" s="38">
        <f>SUM(AT448,AT452,AT456,AT460,AT464,AT468,AT471,AT476,AT480,AT484,AT488,AT492,AT496)*100</f>
        <v>51100</v>
      </c>
      <c r="AU512" s="54"/>
      <c r="AV512" s="13"/>
      <c r="AW512" s="5">
        <f>AT512/AX512</f>
        <v>1596.875</v>
      </c>
      <c r="AX512" s="38">
        <f>SUM(AX448,AX452,AX456,AX460,AX464,AX468,AX471,AX476,AX480,AX484,AX488,AX492,AX496)</f>
        <v>32</v>
      </c>
      <c r="AY512" s="13"/>
      <c r="AZ512" s="75" t="str">
        <f t="shared" si="892"/>
        <v>ねこアイシャドウ</v>
      </c>
      <c r="BA512" s="76">
        <f t="shared" si="892"/>
        <v>1000</v>
      </c>
      <c r="BB512" s="38">
        <f>SUM(BB448,BB452,BB456,BB460,BB464,BB468,BB471,BB476,BB480,BB484,BB488,BB492,BB496)</f>
        <v>31100</v>
      </c>
      <c r="BC512" s="36">
        <f>BB512/AT512</f>
        <v>0.60861056751467713</v>
      </c>
      <c r="BD512" s="15"/>
      <c r="BU512" s="16"/>
      <c r="BV512" s="270"/>
      <c r="BW512" s="270"/>
      <c r="BX512" s="13"/>
      <c r="BY512" s="13"/>
      <c r="BZ512" s="5"/>
      <c r="CA512" s="13"/>
      <c r="CB512" s="36"/>
      <c r="CC512" s="36"/>
      <c r="CD512" s="14"/>
      <c r="CE512" s="14"/>
      <c r="CF512" s="14"/>
      <c r="CG512" s="15"/>
      <c r="CH512" s="1"/>
      <c r="CI512" s="16"/>
      <c r="CJ512" s="270"/>
      <c r="CK512" s="270"/>
      <c r="CL512" s="13"/>
      <c r="CM512" s="13"/>
      <c r="CN512" s="5"/>
      <c r="CO512" s="13"/>
      <c r="CP512" s="36"/>
      <c r="CQ512" s="36"/>
      <c r="CR512" s="14"/>
      <c r="CS512" s="14"/>
      <c r="CT512" s="14"/>
      <c r="CU512" s="15"/>
      <c r="CV512" s="1"/>
      <c r="CW512" s="16"/>
      <c r="CX512" s="270"/>
      <c r="CY512" s="270"/>
      <c r="CZ512" s="13"/>
      <c r="DA512" s="13"/>
      <c r="DB512" s="5"/>
      <c r="DC512" s="13"/>
      <c r="DD512" s="36"/>
      <c r="DE512" s="36"/>
      <c r="DF512" s="14"/>
      <c r="DG512" s="14"/>
      <c r="DH512" s="14"/>
      <c r="DI512" s="15"/>
      <c r="DJ512" s="1"/>
      <c r="DK512" s="16"/>
      <c r="DL512" s="270"/>
      <c r="DM512" s="270"/>
      <c r="DN512" s="13"/>
      <c r="DO512" s="13"/>
      <c r="DP512" s="5"/>
      <c r="DQ512" s="13"/>
      <c r="DR512" s="36"/>
      <c r="DS512" s="36"/>
      <c r="DT512" s="14"/>
      <c r="DU512" s="14"/>
      <c r="DV512" s="14"/>
      <c r="DW512" s="15"/>
    </row>
    <row r="513" spans="1:127" x14ac:dyDescent="0.2">
      <c r="A513" s="258" t="s">
        <v>28</v>
      </c>
      <c r="B513" s="260"/>
      <c r="C513" s="259"/>
      <c r="D513" s="38">
        <f>SUM(D449,D453,D457,D461,D465,D469,D473,D477,D481,D485,D489,D493,D497)*100</f>
        <v>109500</v>
      </c>
      <c r="E513" s="54"/>
      <c r="F513" s="13"/>
      <c r="G513" s="5">
        <f>D513/H513</f>
        <v>1500</v>
      </c>
      <c r="H513" s="38">
        <f>SUM(H449,H453,H457,H462,H465,H469,H473,H477,H481,H485,H489,H493,H497)</f>
        <v>73</v>
      </c>
      <c r="I513" s="13"/>
      <c r="J513" s="75" t="str">
        <f t="shared" si="889"/>
        <v>AIモンスタラバー</v>
      </c>
      <c r="K513" s="76">
        <f t="shared" si="889"/>
        <v>200</v>
      </c>
      <c r="L513" s="38">
        <f>SUM(L449,L453,L457,L462,L465,L469,L473,L477,L481,L485,L489,L493,L497)</f>
        <v>19500</v>
      </c>
      <c r="M513" s="36">
        <f>L513/D513</f>
        <v>0.17808219178082191</v>
      </c>
      <c r="N513" s="15"/>
      <c r="O513" s="2"/>
      <c r="P513" s="258" t="s">
        <v>28</v>
      </c>
      <c r="Q513" s="259"/>
      <c r="R513" s="38">
        <f>SUM(R449,R453,R457,R461,R465,R469,R473,R477,R481,R485,R489,R493,R497)*100</f>
        <v>72700</v>
      </c>
      <c r="S513" s="54"/>
      <c r="T513" s="13"/>
      <c r="U513" s="5">
        <f>R513/V513</f>
        <v>2203.030303030303</v>
      </c>
      <c r="V513" s="38">
        <f>SUM(V449,V453,V457,V462,V465,V469,V473,V477,V481,V485,V489,V493,V497)</f>
        <v>33</v>
      </c>
      <c r="W513" s="13"/>
      <c r="X513" s="78" t="str">
        <f t="shared" si="890"/>
        <v>アングリーキーホルダー</v>
      </c>
      <c r="Y513" s="76">
        <f t="shared" si="890"/>
        <v>100</v>
      </c>
      <c r="Z513" s="38">
        <f>SUM(Z449,Z453,Z457,Z462,Z465,Z469,Z473,Z477,Z481,Z485,Z489,Z493,Z497)</f>
        <v>6472</v>
      </c>
      <c r="AA513" s="36">
        <f>Z513/R513</f>
        <v>8.9023383768913347E-2</v>
      </c>
      <c r="AB513" s="15"/>
      <c r="AC513" s="1"/>
      <c r="AD513" s="258" t="s">
        <v>28</v>
      </c>
      <c r="AE513" s="259"/>
      <c r="AF513" s="38">
        <f>SUM(AF449,AF453,AF457,AF461,AF465,AF469,AF473,AF477,AF481,AF485,AF489,AF493,AF497)*100</f>
        <v>77300</v>
      </c>
      <c r="AG513" s="54"/>
      <c r="AH513" s="13"/>
      <c r="AI513" s="5">
        <f>AF513/AJ513</f>
        <v>12883.333333333334</v>
      </c>
      <c r="AJ513" s="38">
        <f>SUM(AJ449,AJ453,AJ457,AJ462,AJ465,AJ469,AJ473,AJ477,AJ481,AJ485,AJ489,AJ493,AJ497)</f>
        <v>6</v>
      </c>
      <c r="AK513" s="13"/>
      <c r="AL513" s="75" t="str">
        <f t="shared" si="891"/>
        <v>ラブブキーホルダー</v>
      </c>
      <c r="AM513" s="76">
        <f t="shared" si="891"/>
        <v>400</v>
      </c>
      <c r="AN513" s="38">
        <f>SUM(AN449,AN453,AN457,AN462,AN465,AN469,AN473,AN477,AN481,AN485,AN489,AN493,AN497)</f>
        <v>2820</v>
      </c>
      <c r="AO513" s="36">
        <f>AN513/AF513</f>
        <v>3.6481241914618372E-2</v>
      </c>
      <c r="AP513" s="15"/>
      <c r="AQ513" s="2"/>
      <c r="AR513" s="258" t="s">
        <v>28</v>
      </c>
      <c r="AS513" s="259"/>
      <c r="AT513" s="38">
        <f>SUM(AT449,AT453,AT457,AT461,AT465,AT469,AT473,AT477,AT481,AT485,AT489,AT493,AT497)*100</f>
        <v>117500</v>
      </c>
      <c r="AU513" s="54"/>
      <c r="AV513" s="13"/>
      <c r="AW513" s="5">
        <f>AT513/AX513</f>
        <v>5340.909090909091</v>
      </c>
      <c r="AX513" s="38">
        <f>SUM(AX449,AX453,AX457,AX462,AX465,AX469,AX473,AX477,AX481,AX485,AX489,AX493,AX497)</f>
        <v>22</v>
      </c>
      <c r="AY513" s="13"/>
      <c r="AZ513" s="75" t="str">
        <f t="shared" si="892"/>
        <v>ラブブキーホルダーおおきめ</v>
      </c>
      <c r="BA513" s="76">
        <f t="shared" si="892"/>
        <v>500</v>
      </c>
      <c r="BB513" s="38">
        <f>SUM(BB449,BB453,BB457,BB462,BB465,BB469,BB473,BB477,BB481,BB485,BB489,BB493,BB497)</f>
        <v>10400</v>
      </c>
      <c r="BC513" s="36">
        <f>BB513/AT513</f>
        <v>8.851063829787234E-2</v>
      </c>
      <c r="BD513" s="15"/>
      <c r="BU513" s="16"/>
      <c r="BV513" s="270"/>
      <c r="BW513" s="270"/>
      <c r="BX513" s="36"/>
      <c r="BY513" s="13"/>
      <c r="BZ513" s="5"/>
      <c r="CA513" s="13"/>
      <c r="CB513" s="36"/>
      <c r="CC513" s="36"/>
      <c r="CD513" s="14"/>
      <c r="CE513" s="14"/>
      <c r="CF513" s="14"/>
      <c r="CG513" s="15"/>
      <c r="CH513" s="1"/>
      <c r="CI513" s="16"/>
      <c r="CJ513" s="270"/>
      <c r="CK513" s="270"/>
      <c r="CL513" s="36"/>
      <c r="CM513" s="13"/>
      <c r="CN513" s="5"/>
      <c r="CO513" s="13"/>
      <c r="CP513" s="36"/>
      <c r="CQ513" s="36"/>
      <c r="CR513" s="14"/>
      <c r="CS513" s="14"/>
      <c r="CT513" s="14"/>
      <c r="CU513" s="15"/>
      <c r="CV513" s="1"/>
      <c r="CW513" s="16"/>
      <c r="CX513" s="270"/>
      <c r="CY513" s="270"/>
      <c r="CZ513" s="36"/>
      <c r="DA513" s="13"/>
      <c r="DB513" s="5"/>
      <c r="DC513" s="13"/>
      <c r="DD513" s="36"/>
      <c r="DE513" s="36"/>
      <c r="DF513" s="14"/>
      <c r="DG513" s="14"/>
      <c r="DH513" s="14"/>
      <c r="DI513" s="15"/>
      <c r="DJ513" s="1"/>
      <c r="DK513" s="16"/>
      <c r="DL513" s="270"/>
      <c r="DM513" s="270"/>
      <c r="DN513" s="36"/>
      <c r="DO513" s="13"/>
      <c r="DP513" s="5"/>
      <c r="DQ513" s="13"/>
      <c r="DR513" s="36"/>
      <c r="DS513" s="36"/>
      <c r="DT513" s="14"/>
      <c r="DU513" s="14"/>
      <c r="DV513" s="14"/>
      <c r="DW513" s="15"/>
    </row>
    <row r="514" spans="1:127" x14ac:dyDescent="0.2">
      <c r="A514" s="258" t="s">
        <v>28</v>
      </c>
      <c r="B514" s="260"/>
      <c r="C514" s="259"/>
      <c r="D514" s="38">
        <f>SUM(D450,D454,D458,D462,D466,D470,D474,D478,D482,D486,D490,D494,D498)*100</f>
        <v>74200</v>
      </c>
      <c r="E514" s="54"/>
      <c r="F514" s="13"/>
      <c r="G514" s="5">
        <f>D514/H514</f>
        <v>3226.086956521739</v>
      </c>
      <c r="H514" s="38">
        <f>SUM(H450,H454,H458,H461,H466,H470,H474,H478,H482,H486,H490,H494,H498)</f>
        <v>23</v>
      </c>
      <c r="I514" s="13"/>
      <c r="J514" s="75" t="str">
        <f t="shared" si="889"/>
        <v>NICIマスコット</v>
      </c>
      <c r="K514" s="76">
        <f t="shared" si="889"/>
        <v>900</v>
      </c>
      <c r="L514" s="38">
        <f>SUM(L450,L454,L458,L461,L466,L470,L474,L478,L482,L486,L490,L494,L498)</f>
        <v>17200</v>
      </c>
      <c r="M514" s="36">
        <f>L514/D514</f>
        <v>0.23180592991913745</v>
      </c>
      <c r="N514" s="15"/>
      <c r="O514" s="2"/>
      <c r="P514" s="258" t="s">
        <v>28</v>
      </c>
      <c r="Q514" s="259"/>
      <c r="R514" s="38">
        <f>SUM(R450,R454,R458,R462,R466,R470,R474,R478,R482,R486,R490,R494,R498)*100</f>
        <v>91900</v>
      </c>
      <c r="S514" s="54"/>
      <c r="T514" s="13"/>
      <c r="U514" s="5">
        <f>R514/V514</f>
        <v>4595</v>
      </c>
      <c r="V514" s="38">
        <f>SUM(V450,V454,V458,V461,V466,V470,V474,V478,V482,V486,V490,V494,V498)</f>
        <v>20</v>
      </c>
      <c r="W514" s="13"/>
      <c r="X514" s="78" t="str">
        <f t="shared" si="890"/>
        <v>ＡＩマスコット</v>
      </c>
      <c r="Y514" s="76">
        <f t="shared" si="890"/>
        <v>286</v>
      </c>
      <c r="Z514" s="38">
        <f>SUM(Z450,Z454,Z458,Z461,Z466,Z470,Z474,Z478,Z482,Z486,Z490,Z494,Z498)</f>
        <v>4790</v>
      </c>
      <c r="AA514" s="36">
        <f>Z514/R514</f>
        <v>5.2121871599564745E-2</v>
      </c>
      <c r="AB514" s="15"/>
      <c r="AC514" s="1"/>
      <c r="AD514" s="258" t="s">
        <v>28</v>
      </c>
      <c r="AE514" s="259"/>
      <c r="AF514" s="38">
        <f>SUM(AF450,AF454,AF458,AF462,AF466,AF470,AF474,AF478,AF482,AF486,AF490,AF494,AF498)*100</f>
        <v>107400</v>
      </c>
      <c r="AG514" s="54"/>
      <c r="AH514" s="13"/>
      <c r="AI514" s="5">
        <f>AF514/AJ514</f>
        <v>5652.6315789473683</v>
      </c>
      <c r="AJ514" s="38">
        <f>SUM(AJ450,AJ454,AJ458,AJ461,AJ466,AJ470,AJ474,AJ478,AJ482,AJ486,AJ490,AJ494,AJ498)</f>
        <v>19</v>
      </c>
      <c r="AK514" s="13"/>
      <c r="AL514" s="75" t="str">
        <f t="shared" si="891"/>
        <v>モンチッチマスコット2</v>
      </c>
      <c r="AM514" s="76">
        <f t="shared" si="891"/>
        <v>540</v>
      </c>
      <c r="AN514" s="38">
        <f>SUM(AN450,AN454,AN458,AN461,AN466,AN470,AN474,AN478,AN482,AN486,AN490,AN494,AN498)</f>
        <v>10140</v>
      </c>
      <c r="AO514" s="36">
        <f>AN514/AF514</f>
        <v>9.4413407821229048E-2</v>
      </c>
      <c r="AP514" s="15"/>
      <c r="AQ514" s="2"/>
      <c r="AR514" s="258" t="s">
        <v>28</v>
      </c>
      <c r="AS514" s="259"/>
      <c r="AT514" s="38">
        <f>SUM(AT450,AT454,AT458,AT462,AT466,AT470,AT474,AT478,AT482,AT486,AT490,AT494,AT498)*100</f>
        <v>134700</v>
      </c>
      <c r="AU514" s="54"/>
      <c r="AV514" s="13"/>
      <c r="AW514" s="5">
        <f>AT514/AX514</f>
        <v>7483.333333333333</v>
      </c>
      <c r="AX514" s="38">
        <f>SUM(AX450,AX454,AX458,AX461,AX466,AX470,AX474,AX478,AX482,AX486,AX490,AX494,AX498)</f>
        <v>18</v>
      </c>
      <c r="AY514" s="13"/>
      <c r="AZ514" s="75" t="str">
        <f t="shared" si="892"/>
        <v>ラブブマスコット</v>
      </c>
      <c r="BA514" s="76">
        <f t="shared" si="892"/>
        <v>400</v>
      </c>
      <c r="BB514" s="38">
        <f>SUM(BB450,BB454,BB458,BB461,BB466,BB470,BB474,BB478,BB482,BB486,BB490,BB494,BB498)</f>
        <v>7600</v>
      </c>
      <c r="BC514" s="36">
        <f>BB514/AT514</f>
        <v>5.6421677802524127E-2</v>
      </c>
      <c r="BD514" s="15"/>
      <c r="BU514" s="40"/>
      <c r="BV514" s="3"/>
      <c r="BW514" s="2"/>
      <c r="BX514" s="41"/>
      <c r="BY514" s="1"/>
      <c r="BZ514" s="3"/>
      <c r="CA514" s="1"/>
      <c r="CB514" s="23"/>
      <c r="CC514" s="23"/>
      <c r="CD514" s="23"/>
      <c r="CE514" s="23"/>
      <c r="CF514" s="23"/>
      <c r="CG514" s="18"/>
      <c r="CH514" s="1"/>
      <c r="CI514" s="40"/>
      <c r="CJ514" s="3"/>
      <c r="CK514" s="2"/>
      <c r="CL514" s="41"/>
      <c r="CM514" s="1"/>
      <c r="CN514" s="3"/>
      <c r="CO514" s="1"/>
      <c r="CP514" s="23"/>
      <c r="CQ514" s="23"/>
      <c r="CR514" s="23"/>
      <c r="CS514" s="23"/>
      <c r="CT514" s="23"/>
      <c r="CU514" s="18"/>
      <c r="CV514" s="1"/>
      <c r="CW514" s="40"/>
      <c r="CX514" s="3"/>
      <c r="CY514" s="2"/>
      <c r="CZ514" s="41"/>
      <c r="DA514" s="1"/>
      <c r="DB514" s="3"/>
      <c r="DC514" s="1"/>
      <c r="DD514" s="23"/>
      <c r="DE514" s="23"/>
      <c r="DF514" s="23"/>
      <c r="DG514" s="23"/>
      <c r="DH514" s="23"/>
      <c r="DI514" s="18"/>
      <c r="DJ514" s="1"/>
      <c r="DK514" s="40"/>
      <c r="DL514" s="3"/>
      <c r="DM514" s="2"/>
      <c r="DN514" s="41"/>
      <c r="DO514" s="1"/>
      <c r="DP514" s="3"/>
      <c r="DQ514" s="1"/>
      <c r="DR514" s="23"/>
      <c r="DS514" s="23"/>
      <c r="DT514" s="23"/>
      <c r="DU514" s="23"/>
      <c r="DV514" s="23"/>
      <c r="DW514" s="18"/>
    </row>
    <row r="515" spans="1:127" x14ac:dyDescent="0.2">
      <c r="A515" s="16"/>
      <c r="B515" s="11"/>
      <c r="C515" s="5" t="s">
        <v>19</v>
      </c>
      <c r="D515" s="13">
        <f>SUM(D511:D514)</f>
        <v>337500</v>
      </c>
      <c r="E515" s="13"/>
      <c r="F515" s="13"/>
      <c r="G515" s="13"/>
      <c r="H515" s="13">
        <f>SUM(H511:H514)</f>
        <v>123</v>
      </c>
      <c r="I515" s="13"/>
      <c r="J515" s="262" t="s">
        <v>31</v>
      </c>
      <c r="K515" s="259"/>
      <c r="L515" s="53">
        <f>SUM(L511:L514)</f>
        <v>54648</v>
      </c>
      <c r="M515" s="83">
        <f>L515/D515</f>
        <v>0.16192000000000001</v>
      </c>
      <c r="N515" s="84"/>
      <c r="O515" s="2"/>
      <c r="P515" s="16"/>
      <c r="Q515" s="5" t="s">
        <v>19</v>
      </c>
      <c r="R515" s="13">
        <f>SUM(R511:R514)</f>
        <v>314600</v>
      </c>
      <c r="S515" s="54"/>
      <c r="T515" s="13"/>
      <c r="U515" s="13"/>
      <c r="V515" s="13">
        <f>SUM(V511:V514)</f>
        <v>94</v>
      </c>
      <c r="W515" s="13"/>
      <c r="X515" s="262" t="s">
        <v>31</v>
      </c>
      <c r="Y515" s="259"/>
      <c r="Z515" s="53">
        <f>SUM(Z511:Z514)</f>
        <v>55361</v>
      </c>
      <c r="AA515" s="83">
        <f>Z515/R515</f>
        <v>0.17597266369993642</v>
      </c>
      <c r="AB515" s="84"/>
      <c r="AC515" s="1"/>
      <c r="AD515" s="16"/>
      <c r="AE515" s="5" t="s">
        <v>19</v>
      </c>
      <c r="AF515" s="13">
        <f>SUM(AF511:AF514)</f>
        <v>310000</v>
      </c>
      <c r="AG515" s="54"/>
      <c r="AH515" s="13"/>
      <c r="AI515" s="13"/>
      <c r="AJ515" s="13">
        <f>SUM(AJ511:AJ514)</f>
        <v>58</v>
      </c>
      <c r="AK515" s="13"/>
      <c r="AL515" s="262" t="s">
        <v>31</v>
      </c>
      <c r="AM515" s="259"/>
      <c r="AN515" s="53">
        <f>SUM(AN511:AN514)</f>
        <v>41195</v>
      </c>
      <c r="AO515" s="83">
        <f>AN515/AF515</f>
        <v>0.13288709677419355</v>
      </c>
      <c r="AP515" s="84"/>
      <c r="AQ515" s="2"/>
      <c r="AR515" s="16"/>
      <c r="AS515" s="5" t="s">
        <v>19</v>
      </c>
      <c r="AT515" s="13">
        <f>SUM(AT511:AT514)</f>
        <v>404600</v>
      </c>
      <c r="AU515" s="54"/>
      <c r="AV515" s="13"/>
      <c r="AW515" s="13"/>
      <c r="AX515" s="13">
        <f>SUM(AX511:AX514)</f>
        <v>99</v>
      </c>
      <c r="AY515" s="13"/>
      <c r="AZ515" s="262" t="s">
        <v>31</v>
      </c>
      <c r="BA515" s="259"/>
      <c r="BB515" s="53">
        <f>SUM(BB511:BB514)</f>
        <v>71180</v>
      </c>
      <c r="BC515" s="83">
        <f>BB515/AT515</f>
        <v>0.17592684132476519</v>
      </c>
      <c r="BD515" s="84"/>
      <c r="BU515" s="42"/>
      <c r="BV515" s="256"/>
      <c r="BW515" s="256"/>
      <c r="BX515" s="41"/>
      <c r="BY515" s="1"/>
      <c r="BZ515" s="3"/>
      <c r="CA515" s="1"/>
      <c r="CB515" s="23"/>
      <c r="CC515" s="23"/>
      <c r="CD515" s="23"/>
      <c r="CE515" s="23"/>
      <c r="CF515" s="23"/>
      <c r="CG515" s="18"/>
      <c r="CH515" s="1"/>
      <c r="CI515" s="42"/>
      <c r="CJ515" s="256"/>
      <c r="CK515" s="256"/>
      <c r="CL515" s="41"/>
      <c r="CM515" s="1"/>
      <c r="CN515" s="3"/>
      <c r="CO515" s="1"/>
      <c r="CP515" s="23"/>
      <c r="CQ515" s="23"/>
      <c r="CR515" s="23"/>
      <c r="CS515" s="23"/>
      <c r="CT515" s="23"/>
      <c r="CU515" s="18"/>
      <c r="CV515" s="1"/>
      <c r="CW515" s="42"/>
      <c r="CX515" s="256"/>
      <c r="CY515" s="256"/>
      <c r="CZ515" s="41"/>
      <c r="DA515" s="1"/>
      <c r="DB515" s="3"/>
      <c r="DC515" s="1"/>
      <c r="DD515" s="23"/>
      <c r="DE515" s="23"/>
      <c r="DF515" s="23"/>
      <c r="DG515" s="23"/>
      <c r="DH515" s="23"/>
      <c r="DI515" s="18"/>
      <c r="DJ515" s="1"/>
      <c r="DK515" s="42"/>
      <c r="DL515" s="256"/>
      <c r="DM515" s="256"/>
      <c r="DN515" s="41"/>
      <c r="DO515" s="1"/>
      <c r="DP515" s="3"/>
      <c r="DQ515" s="1"/>
      <c r="DR515" s="23"/>
      <c r="DS515" s="23"/>
      <c r="DT515" s="23"/>
      <c r="DU515" s="23"/>
      <c r="DV515" s="23"/>
      <c r="DW515" s="18"/>
    </row>
    <row r="516" spans="1:127" x14ac:dyDescent="0.2">
      <c r="A516" s="85"/>
      <c r="B516" s="101"/>
      <c r="C516" s="35"/>
      <c r="D516" s="54"/>
      <c r="E516" s="24"/>
      <c r="F516" s="54"/>
      <c r="G516" s="5"/>
      <c r="H516" s="13"/>
      <c r="I516" s="24"/>
      <c r="J516" s="99"/>
      <c r="K516" s="100"/>
      <c r="L516" s="76"/>
      <c r="M516" s="14"/>
      <c r="N516" s="15"/>
      <c r="O516" s="2"/>
      <c r="P516" s="79"/>
      <c r="Q516" s="5"/>
      <c r="R516" s="13"/>
      <c r="S516" s="13"/>
      <c r="T516" s="13"/>
      <c r="U516" s="5"/>
      <c r="V516" s="13"/>
      <c r="W516" s="24"/>
      <c r="X516" s="99"/>
      <c r="Y516" s="100"/>
      <c r="Z516" s="76"/>
      <c r="AA516" s="14"/>
      <c r="AB516" s="15"/>
      <c r="AD516" s="79"/>
      <c r="AE516" s="5"/>
      <c r="AF516" s="13"/>
      <c r="AG516" s="13"/>
      <c r="AH516" s="13"/>
      <c r="AI516" s="5"/>
      <c r="AJ516" s="13"/>
      <c r="AK516" s="24"/>
      <c r="AL516" s="99"/>
      <c r="AM516" s="100"/>
      <c r="AN516" s="76"/>
      <c r="AO516" s="14"/>
      <c r="AP516" s="15"/>
      <c r="AQ516" s="2"/>
      <c r="AR516" s="79"/>
      <c r="AS516" s="5"/>
      <c r="AT516" s="13"/>
      <c r="AU516" s="13"/>
      <c r="AV516" s="13"/>
      <c r="AW516" s="5"/>
      <c r="AX516" s="13"/>
      <c r="AY516" s="24"/>
      <c r="AZ516" s="118"/>
      <c r="BA516" s="100"/>
      <c r="BB516" s="76"/>
      <c r="BC516" s="14"/>
      <c r="BD516" s="15"/>
      <c r="BU516" s="42"/>
      <c r="BV516" s="3"/>
      <c r="BX516" s="41"/>
      <c r="BY516" s="1"/>
      <c r="BZ516" s="3"/>
      <c r="CA516" s="1"/>
      <c r="CB516" s="23"/>
      <c r="CC516" s="23"/>
      <c r="CD516" s="23"/>
      <c r="CE516" s="23"/>
      <c r="CF516" s="23"/>
      <c r="CG516" s="18"/>
      <c r="CH516" s="1"/>
      <c r="CI516" s="42"/>
      <c r="CJ516" s="3"/>
      <c r="CL516" s="41"/>
      <c r="CM516" s="1"/>
      <c r="CN516" s="3"/>
      <c r="CO516" s="1"/>
      <c r="CP516" s="23"/>
      <c r="CQ516" s="23"/>
      <c r="CR516" s="23"/>
      <c r="CS516" s="23"/>
      <c r="CT516" s="23"/>
      <c r="CU516" s="18"/>
      <c r="CV516" s="1"/>
      <c r="CW516" s="42"/>
      <c r="CX516" s="3"/>
      <c r="CZ516" s="41"/>
      <c r="DA516" s="1"/>
      <c r="DB516" s="3"/>
      <c r="DC516" s="1"/>
      <c r="DD516" s="23"/>
      <c r="DE516" s="23"/>
      <c r="DF516" s="23"/>
      <c r="DG516" s="23"/>
      <c r="DH516" s="23"/>
      <c r="DI516" s="18"/>
      <c r="DJ516" s="1"/>
      <c r="DK516" s="42"/>
      <c r="DL516" s="3"/>
      <c r="DN516" s="41"/>
      <c r="DO516" s="1"/>
      <c r="DP516" s="3"/>
      <c r="DQ516" s="1"/>
      <c r="DR516" s="23"/>
      <c r="DS516" s="23"/>
      <c r="DT516" s="23"/>
      <c r="DU516" s="23"/>
      <c r="DV516" s="23"/>
      <c r="DW516" s="18"/>
    </row>
    <row r="517" spans="1:127" x14ac:dyDescent="0.2">
      <c r="A517" s="257"/>
      <c r="B517" s="257"/>
      <c r="C517" s="257"/>
      <c r="D517" s="257"/>
      <c r="E517" s="257"/>
      <c r="F517" s="257"/>
      <c r="BU517" s="40"/>
      <c r="BV517" s="256"/>
      <c r="BW517" s="256"/>
      <c r="BX517" s="41"/>
      <c r="BY517" s="1"/>
      <c r="BZ517" s="3"/>
      <c r="CA517" s="1"/>
      <c r="CB517" s="23"/>
      <c r="CC517" s="23"/>
      <c r="CD517" s="23"/>
      <c r="CE517" s="23"/>
      <c r="CF517" s="23"/>
      <c r="CG517" s="18"/>
      <c r="CH517" s="1"/>
      <c r="CI517" s="40"/>
      <c r="CJ517" s="256"/>
      <c r="CK517" s="256"/>
      <c r="CL517" s="41"/>
      <c r="CM517" s="1"/>
      <c r="CN517" s="3"/>
      <c r="CO517" s="1"/>
      <c r="CP517" s="23"/>
      <c r="CQ517" s="23"/>
      <c r="CR517" s="23"/>
      <c r="CS517" s="23"/>
      <c r="CT517" s="23"/>
      <c r="CU517" s="18"/>
      <c r="CV517" s="1"/>
      <c r="CW517" s="40"/>
      <c r="CX517" s="256"/>
      <c r="CY517" s="256"/>
      <c r="CZ517" s="41"/>
      <c r="DA517" s="1"/>
      <c r="DB517" s="3"/>
      <c r="DC517" s="1"/>
      <c r="DD517" s="23"/>
      <c r="DE517" s="23"/>
      <c r="DF517" s="23"/>
      <c r="DG517" s="23"/>
      <c r="DH517" s="23"/>
      <c r="DI517" s="18"/>
      <c r="DJ517" s="1"/>
      <c r="DK517" s="40"/>
      <c r="DL517" s="256"/>
      <c r="DM517" s="256"/>
      <c r="DN517" s="41"/>
      <c r="DO517" s="1"/>
      <c r="DP517" s="3"/>
      <c r="DQ517" s="1"/>
      <c r="DR517" s="23"/>
      <c r="DS517" s="23"/>
      <c r="DT517" s="23"/>
      <c r="DU517" s="23"/>
      <c r="DV517" s="23"/>
      <c r="DW517" s="18"/>
    </row>
    <row r="518" spans="1:127" ht="15" customHeight="1" x14ac:dyDescent="0.2">
      <c r="A518" s="257"/>
      <c r="B518" s="257"/>
      <c r="J518"/>
      <c r="BU518" s="40"/>
      <c r="BV518" s="3"/>
      <c r="BX518" s="41"/>
      <c r="BY518" s="1"/>
      <c r="BZ518" s="3"/>
      <c r="CA518" s="1"/>
      <c r="CB518" s="23"/>
      <c r="CC518" s="23"/>
      <c r="CD518" s="23"/>
      <c r="CE518" s="23"/>
      <c r="CF518" s="23"/>
      <c r="CG518" s="18"/>
      <c r="CH518" s="1"/>
      <c r="CI518" s="40"/>
      <c r="CJ518" s="3"/>
      <c r="CL518" s="41"/>
      <c r="CM518" s="1"/>
      <c r="CN518" s="3"/>
      <c r="CO518" s="1"/>
      <c r="CP518" s="23"/>
      <c r="CQ518" s="23"/>
      <c r="CR518" s="23"/>
      <c r="CS518" s="23"/>
      <c r="CT518" s="23"/>
      <c r="CU518" s="18"/>
      <c r="CV518" s="1"/>
      <c r="CW518" s="40"/>
      <c r="CX518" s="3"/>
      <c r="CZ518" s="41"/>
      <c r="DA518" s="1"/>
      <c r="DB518" s="3"/>
      <c r="DC518" s="1"/>
      <c r="DD518" s="23"/>
      <c r="DE518" s="23"/>
      <c r="DF518" s="23"/>
      <c r="DG518" s="23"/>
      <c r="DH518" s="23"/>
      <c r="DI518" s="18"/>
      <c r="DJ518" s="1"/>
      <c r="DK518" s="40"/>
      <c r="DL518" s="3"/>
      <c r="DN518" s="41"/>
      <c r="DO518" s="1"/>
      <c r="DP518" s="3"/>
      <c r="DQ518" s="1"/>
      <c r="DR518" s="23"/>
      <c r="DS518" s="23"/>
      <c r="DT518" s="23"/>
      <c r="DU518" s="23"/>
      <c r="DV518" s="23"/>
      <c r="DW518" s="18"/>
    </row>
    <row r="519" spans="1:127" x14ac:dyDescent="0.2">
      <c r="A519" s="276" t="s">
        <v>42</v>
      </c>
      <c r="B519" s="276"/>
      <c r="C519" s="276"/>
      <c r="D519" s="276"/>
      <c r="E519" s="70" t="s">
        <v>56</v>
      </c>
      <c r="F519" s="70"/>
      <c r="G519" s="70"/>
      <c r="H519" s="70"/>
      <c r="I519" s="70"/>
      <c r="J519" s="71"/>
      <c r="K519" s="70"/>
      <c r="L519" s="70"/>
      <c r="M519" s="70"/>
      <c r="N519" s="72"/>
      <c r="O519" s="2"/>
      <c r="P519" s="276" t="s">
        <v>43</v>
      </c>
      <c r="Q519" s="276"/>
      <c r="R519" s="276"/>
      <c r="S519" s="70" t="s">
        <v>55</v>
      </c>
      <c r="T519" s="70"/>
      <c r="U519" s="70"/>
      <c r="V519" s="70"/>
      <c r="W519" s="70"/>
      <c r="X519" s="73"/>
      <c r="Y519" s="70"/>
      <c r="Z519" s="70"/>
      <c r="AA519" s="70"/>
      <c r="AB519" s="72"/>
      <c r="AC519" s="1"/>
      <c r="AD519" s="276" t="s">
        <v>54</v>
      </c>
      <c r="AE519" s="276"/>
      <c r="AF519" s="276"/>
      <c r="AG519" s="70" t="s">
        <v>52</v>
      </c>
      <c r="AH519" s="70"/>
      <c r="AI519" s="70"/>
      <c r="AJ519" s="70"/>
      <c r="AK519" s="70"/>
      <c r="AL519" s="71"/>
      <c r="AM519" s="70"/>
      <c r="AN519" s="70"/>
      <c r="AO519" s="70"/>
      <c r="AP519" s="72"/>
      <c r="AQ519" s="2"/>
      <c r="AR519" s="276" t="s">
        <v>54</v>
      </c>
      <c r="AS519" s="276"/>
      <c r="AT519" s="276"/>
      <c r="AU519" s="70" t="s">
        <v>53</v>
      </c>
      <c r="AV519" s="70"/>
      <c r="AW519" s="70"/>
      <c r="AX519" s="70"/>
      <c r="AY519" s="70"/>
      <c r="AZ519" s="71"/>
      <c r="BA519" s="70"/>
      <c r="BB519" s="70"/>
      <c r="BC519" s="70"/>
      <c r="BD519" s="72"/>
      <c r="BU519" s="124"/>
      <c r="BV519" s="277" t="s">
        <v>137</v>
      </c>
      <c r="BW519" s="278"/>
      <c r="BX519" s="278"/>
      <c r="BY519" s="278"/>
      <c r="BZ519" s="125"/>
      <c r="CA519" s="125"/>
      <c r="CB519" s="125"/>
      <c r="CC519" s="125"/>
      <c r="CD519" s="125"/>
      <c r="CE519" s="125"/>
      <c r="CF519" s="125"/>
      <c r="CG519" s="125"/>
      <c r="CH519" s="125"/>
      <c r="CI519" s="124"/>
      <c r="CJ519" s="277" t="s">
        <v>138</v>
      </c>
      <c r="CK519" s="278"/>
      <c r="CL519" s="278"/>
      <c r="CM519" s="278"/>
      <c r="CN519" s="125"/>
      <c r="CO519" s="125"/>
      <c r="CP519" s="125"/>
      <c r="CQ519" s="125"/>
      <c r="CR519" s="125"/>
      <c r="CS519" s="125"/>
      <c r="CT519" s="125"/>
      <c r="CU519" s="125"/>
      <c r="CV519" s="125"/>
      <c r="CW519" s="124"/>
      <c r="CX519" s="277" t="s">
        <v>139</v>
      </c>
      <c r="CY519" s="278"/>
      <c r="CZ519" s="278"/>
      <c r="DA519" s="278"/>
      <c r="DB519" s="125"/>
      <c r="DC519" s="125"/>
      <c r="DD519" s="125"/>
      <c r="DE519" s="125"/>
      <c r="DF519" s="125"/>
      <c r="DG519" s="125"/>
      <c r="DH519" s="125"/>
      <c r="DI519" s="125"/>
      <c r="DJ519" s="125"/>
      <c r="DK519" s="124"/>
      <c r="DL519" s="277" t="s">
        <v>140</v>
      </c>
      <c r="DM519" s="278"/>
      <c r="DN519" s="278"/>
      <c r="DO519" s="278"/>
      <c r="DP519" s="125"/>
      <c r="DQ519" s="125"/>
      <c r="DR519" s="125"/>
      <c r="DS519" s="125"/>
      <c r="DT519" s="125"/>
      <c r="DU519" s="125"/>
      <c r="DV519" s="125"/>
      <c r="DW519" s="125"/>
    </row>
    <row r="520" spans="1:127" x14ac:dyDescent="0.2">
      <c r="A520" s="7" t="s">
        <v>1</v>
      </c>
      <c r="B520" s="4" t="s">
        <v>19</v>
      </c>
      <c r="C520" s="5" t="s">
        <v>2</v>
      </c>
      <c r="D520" s="5" t="s">
        <v>3</v>
      </c>
      <c r="E520" s="6" t="s">
        <v>4</v>
      </c>
      <c r="F520" s="5" t="s">
        <v>3</v>
      </c>
      <c r="G520" s="5" t="s">
        <v>5</v>
      </c>
      <c r="H520" s="5" t="s">
        <v>6</v>
      </c>
      <c r="I520" s="5" t="s">
        <v>7</v>
      </c>
      <c r="J520" s="55" t="s">
        <v>12</v>
      </c>
      <c r="K520" s="5" t="s">
        <v>8</v>
      </c>
      <c r="L520" s="5" t="s">
        <v>6</v>
      </c>
      <c r="M520" s="5" t="s">
        <v>13</v>
      </c>
      <c r="N520" s="5" t="s">
        <v>11</v>
      </c>
      <c r="O520" s="2"/>
      <c r="P520" s="7" t="s">
        <v>1</v>
      </c>
      <c r="Q520" s="5" t="s">
        <v>2</v>
      </c>
      <c r="R520" s="5" t="s">
        <v>3</v>
      </c>
      <c r="S520" s="6" t="s">
        <v>4</v>
      </c>
      <c r="T520" s="5" t="s">
        <v>3</v>
      </c>
      <c r="U520" s="5" t="s">
        <v>5</v>
      </c>
      <c r="V520" s="5" t="s">
        <v>6</v>
      </c>
      <c r="W520" s="5" t="s">
        <v>7</v>
      </c>
      <c r="X520" s="6" t="s">
        <v>12</v>
      </c>
      <c r="Y520" s="5" t="s">
        <v>8</v>
      </c>
      <c r="Z520" s="5" t="s">
        <v>6</v>
      </c>
      <c r="AA520" s="5" t="s">
        <v>13</v>
      </c>
      <c r="AB520" s="5" t="s">
        <v>11</v>
      </c>
      <c r="AC520" s="3"/>
      <c r="AD520" s="7" t="s">
        <v>1</v>
      </c>
      <c r="AE520" s="5" t="s">
        <v>2</v>
      </c>
      <c r="AF520" s="5" t="s">
        <v>3</v>
      </c>
      <c r="AG520" s="6" t="s">
        <v>4</v>
      </c>
      <c r="AH520" s="5" t="s">
        <v>3</v>
      </c>
      <c r="AI520" s="5" t="s">
        <v>5</v>
      </c>
      <c r="AJ520" s="5" t="s">
        <v>6</v>
      </c>
      <c r="AK520" s="5" t="s">
        <v>7</v>
      </c>
      <c r="AL520" s="55" t="s">
        <v>12</v>
      </c>
      <c r="AM520" s="5" t="s">
        <v>8</v>
      </c>
      <c r="AN520" s="5" t="s">
        <v>6</v>
      </c>
      <c r="AO520" s="5" t="s">
        <v>13</v>
      </c>
      <c r="AP520" s="5" t="s">
        <v>11</v>
      </c>
      <c r="AQ520" s="2"/>
      <c r="AR520" s="7" t="s">
        <v>1</v>
      </c>
      <c r="AS520" s="5" t="s">
        <v>2</v>
      </c>
      <c r="AT520" s="5" t="s">
        <v>3</v>
      </c>
      <c r="AU520" s="6" t="s">
        <v>4</v>
      </c>
      <c r="AV520" s="5" t="s">
        <v>3</v>
      </c>
      <c r="AW520" s="5" t="s">
        <v>5</v>
      </c>
      <c r="AX520" s="5" t="s">
        <v>6</v>
      </c>
      <c r="AY520" s="5" t="s">
        <v>7</v>
      </c>
      <c r="AZ520" s="55" t="s">
        <v>12</v>
      </c>
      <c r="BA520" s="5" t="s">
        <v>8</v>
      </c>
      <c r="BB520" s="5" t="s">
        <v>6</v>
      </c>
      <c r="BC520" s="5" t="s">
        <v>13</v>
      </c>
      <c r="BD520" s="5" t="s">
        <v>11</v>
      </c>
      <c r="BU520" s="8" t="s">
        <v>1</v>
      </c>
      <c r="BV520" s="5" t="s">
        <v>2</v>
      </c>
      <c r="BW520" s="5" t="s">
        <v>3</v>
      </c>
      <c r="BX520" s="6" t="s">
        <v>4</v>
      </c>
      <c r="BY520" s="5" t="s">
        <v>3</v>
      </c>
      <c r="BZ520" s="5" t="s">
        <v>5</v>
      </c>
      <c r="CA520" s="5" t="s">
        <v>6</v>
      </c>
      <c r="CB520" s="5" t="s">
        <v>7</v>
      </c>
      <c r="CC520" s="5"/>
      <c r="CD520" s="5" t="s">
        <v>8</v>
      </c>
      <c r="CE520" s="5" t="s">
        <v>9</v>
      </c>
      <c r="CF520" s="5" t="s">
        <v>10</v>
      </c>
      <c r="CG520" s="5" t="s">
        <v>11</v>
      </c>
      <c r="CH520" s="63"/>
      <c r="CI520" s="8" t="s">
        <v>1</v>
      </c>
      <c r="CJ520" s="5" t="s">
        <v>2</v>
      </c>
      <c r="CK520" s="5" t="s">
        <v>3</v>
      </c>
      <c r="CL520" s="6" t="s">
        <v>4</v>
      </c>
      <c r="CM520" s="5" t="s">
        <v>3</v>
      </c>
      <c r="CN520" s="5" t="s">
        <v>5</v>
      </c>
      <c r="CO520" s="5" t="s">
        <v>6</v>
      </c>
      <c r="CP520" s="5" t="s">
        <v>7</v>
      </c>
      <c r="CQ520" s="5"/>
      <c r="CR520" s="5" t="s">
        <v>8</v>
      </c>
      <c r="CS520" s="5" t="s">
        <v>9</v>
      </c>
      <c r="CT520" s="5" t="s">
        <v>10</v>
      </c>
      <c r="CU520" s="5" t="s">
        <v>11</v>
      </c>
      <c r="CV520" s="1"/>
      <c r="CW520" s="8" t="s">
        <v>1</v>
      </c>
      <c r="CX520" s="5" t="s">
        <v>2</v>
      </c>
      <c r="CY520" s="5" t="s">
        <v>3</v>
      </c>
      <c r="CZ520" s="6" t="s">
        <v>4</v>
      </c>
      <c r="DA520" s="5" t="s">
        <v>3</v>
      </c>
      <c r="DB520" s="5" t="s">
        <v>5</v>
      </c>
      <c r="DC520" s="5" t="s">
        <v>6</v>
      </c>
      <c r="DD520" s="5" t="s">
        <v>7</v>
      </c>
      <c r="DE520" s="5"/>
      <c r="DF520" s="5" t="s">
        <v>8</v>
      </c>
      <c r="DG520" s="5" t="s">
        <v>9</v>
      </c>
      <c r="DH520" s="5" t="s">
        <v>10</v>
      </c>
      <c r="DI520" s="5" t="s">
        <v>11</v>
      </c>
      <c r="DJ520" s="63"/>
      <c r="DK520" s="8" t="s">
        <v>1</v>
      </c>
      <c r="DL520" s="5" t="s">
        <v>2</v>
      </c>
      <c r="DM520" s="5" t="s">
        <v>3</v>
      </c>
      <c r="DN520" s="6" t="s">
        <v>4</v>
      </c>
      <c r="DO520" s="5" t="s">
        <v>3</v>
      </c>
      <c r="DP520" s="5" t="s">
        <v>5</v>
      </c>
      <c r="DQ520" s="5" t="s">
        <v>6</v>
      </c>
      <c r="DR520" s="5" t="s">
        <v>7</v>
      </c>
      <c r="DS520" s="5"/>
      <c r="DT520" s="5" t="s">
        <v>8</v>
      </c>
      <c r="DU520" s="5" t="s">
        <v>9</v>
      </c>
      <c r="DV520" s="5" t="s">
        <v>10</v>
      </c>
      <c r="DW520" s="5" t="s">
        <v>11</v>
      </c>
    </row>
    <row r="521" spans="1:127" x14ac:dyDescent="0.2">
      <c r="A521" s="16">
        <v>45943</v>
      </c>
      <c r="B521" s="74">
        <v>3320</v>
      </c>
      <c r="C521" s="53">
        <v>2929</v>
      </c>
      <c r="D521" s="53">
        <v>115</v>
      </c>
      <c r="E521" s="53">
        <v>296</v>
      </c>
      <c r="F521" s="53">
        <v>3</v>
      </c>
      <c r="G521" s="53">
        <v>15</v>
      </c>
      <c r="H521" s="53">
        <v>3</v>
      </c>
      <c r="I521" s="53">
        <v>4</v>
      </c>
      <c r="J521" s="75" t="s">
        <v>60</v>
      </c>
      <c r="K521" s="76">
        <v>748</v>
      </c>
      <c r="L521" s="53">
        <v>2244</v>
      </c>
      <c r="M521" s="77">
        <v>0.19513043478260869</v>
      </c>
      <c r="N521" s="15"/>
      <c r="O521" s="2"/>
      <c r="P521" s="16">
        <v>45943</v>
      </c>
      <c r="Q521" s="53">
        <v>2440</v>
      </c>
      <c r="R521" s="53">
        <v>69</v>
      </c>
      <c r="S521" s="53">
        <v>98</v>
      </c>
      <c r="T521" s="53">
        <v>2</v>
      </c>
      <c r="U521" s="53">
        <v>5</v>
      </c>
      <c r="V521" s="53">
        <v>2</v>
      </c>
      <c r="W521" s="53">
        <v>0</v>
      </c>
      <c r="X521" s="75" t="s">
        <v>166</v>
      </c>
      <c r="Y521" s="76">
        <v>957</v>
      </c>
      <c r="Z521" s="53">
        <v>0</v>
      </c>
      <c r="AA521" s="77">
        <v>0</v>
      </c>
      <c r="AB521" s="15"/>
      <c r="AC521" s="1"/>
      <c r="AD521" s="16">
        <v>45943</v>
      </c>
      <c r="AE521" s="53">
        <v>7953</v>
      </c>
      <c r="AF521" s="53">
        <v>76</v>
      </c>
      <c r="AG521" s="53">
        <v>179</v>
      </c>
      <c r="AH521" s="53">
        <v>0</v>
      </c>
      <c r="AI521" s="53">
        <v>11</v>
      </c>
      <c r="AJ521" s="53">
        <v>1</v>
      </c>
      <c r="AK521" s="53">
        <v>0</v>
      </c>
      <c r="AL521" s="75" t="s">
        <v>329</v>
      </c>
      <c r="AM521" s="76"/>
      <c r="AN521" s="53">
        <v>0</v>
      </c>
      <c r="AO521" s="77">
        <v>0</v>
      </c>
      <c r="AP521" s="15"/>
      <c r="AQ521" s="2"/>
      <c r="AR521" s="16">
        <v>45943</v>
      </c>
      <c r="AS521" s="53">
        <v>8650</v>
      </c>
      <c r="AT521" s="53">
        <v>143</v>
      </c>
      <c r="AU521" s="53">
        <v>257</v>
      </c>
      <c r="AV521" s="53">
        <v>5</v>
      </c>
      <c r="AW521" s="53">
        <v>16</v>
      </c>
      <c r="AX521" s="53">
        <v>5</v>
      </c>
      <c r="AY521" s="53">
        <v>5</v>
      </c>
      <c r="AZ521" s="75" t="s">
        <v>194</v>
      </c>
      <c r="BA521" s="76">
        <v>726</v>
      </c>
      <c r="BB521" s="53">
        <v>3630</v>
      </c>
      <c r="BC521" s="77">
        <v>0.25384615384615383</v>
      </c>
      <c r="BD521" s="15"/>
      <c r="BU521" s="16">
        <v>45943</v>
      </c>
      <c r="BV521" s="76">
        <v>8831</v>
      </c>
      <c r="BW521" s="53">
        <v>116</v>
      </c>
      <c r="BX521" s="53">
        <v>215</v>
      </c>
      <c r="BY521" s="53">
        <v>2</v>
      </c>
      <c r="BZ521" s="53">
        <v>7</v>
      </c>
      <c r="CA521" s="53">
        <v>3</v>
      </c>
      <c r="CB521" s="53">
        <v>2</v>
      </c>
      <c r="CC521" s="53"/>
      <c r="CD521" s="53">
        <v>550</v>
      </c>
      <c r="CE521" s="13">
        <v>1650</v>
      </c>
      <c r="CF521" s="14">
        <v>0.14224137931034483</v>
      </c>
      <c r="CG521" s="91" t="s">
        <v>258</v>
      </c>
      <c r="CH521" s="1"/>
      <c r="CI521" s="16">
        <v>45943</v>
      </c>
      <c r="CJ521" s="76">
        <v>5908</v>
      </c>
      <c r="CK521" s="53">
        <v>306</v>
      </c>
      <c r="CL521" s="53">
        <v>93</v>
      </c>
      <c r="CM521" s="53">
        <v>3</v>
      </c>
      <c r="CN521" s="53">
        <v>13</v>
      </c>
      <c r="CO521" s="53">
        <v>4</v>
      </c>
      <c r="CP521" s="53">
        <v>5</v>
      </c>
      <c r="CQ521" s="53"/>
      <c r="CR521" s="13">
        <v>715</v>
      </c>
      <c r="CS521" s="13">
        <v>2860</v>
      </c>
      <c r="CT521" s="14">
        <v>9.34640522875817E-2</v>
      </c>
      <c r="CU521" s="67" t="s">
        <v>319</v>
      </c>
      <c r="CV521" s="1"/>
      <c r="CW521" s="16">
        <v>45943</v>
      </c>
      <c r="CX521" s="76">
        <v>7415</v>
      </c>
      <c r="CY521" s="53">
        <v>190</v>
      </c>
      <c r="CZ521" s="53">
        <v>162</v>
      </c>
      <c r="DA521" s="53">
        <v>0</v>
      </c>
      <c r="DB521" s="53">
        <v>44</v>
      </c>
      <c r="DC521" s="53">
        <v>0</v>
      </c>
      <c r="DD521" s="53">
        <v>0</v>
      </c>
      <c r="DE521" s="53"/>
      <c r="DF521" s="53">
        <v>880</v>
      </c>
      <c r="DG521" s="13">
        <v>0</v>
      </c>
      <c r="DH521" s="14">
        <v>0</v>
      </c>
      <c r="DI521" s="15" t="s">
        <v>334</v>
      </c>
      <c r="DJ521" s="1"/>
      <c r="DK521" s="16">
        <v>45943</v>
      </c>
      <c r="DL521" s="76">
        <v>5547</v>
      </c>
      <c r="DM521" s="53">
        <v>233</v>
      </c>
      <c r="DN521" s="53">
        <v>222</v>
      </c>
      <c r="DO521" s="53">
        <v>4</v>
      </c>
      <c r="DP521" s="53">
        <v>39</v>
      </c>
      <c r="DQ521" s="53">
        <v>4</v>
      </c>
      <c r="DR521" s="53">
        <v>0</v>
      </c>
      <c r="DS521" s="53"/>
      <c r="DT521" s="13">
        <v>1100</v>
      </c>
      <c r="DU521" s="13">
        <v>4400</v>
      </c>
      <c r="DV521" s="14">
        <v>0.18884120171673821</v>
      </c>
      <c r="DW521" s="22" t="s">
        <v>335</v>
      </c>
    </row>
    <row r="522" spans="1:127" x14ac:dyDescent="0.2">
      <c r="A522" s="16"/>
      <c r="B522" s="11"/>
      <c r="C522" s="13">
        <v>2094</v>
      </c>
      <c r="D522" s="13">
        <v>78</v>
      </c>
      <c r="E522" s="13">
        <v>315</v>
      </c>
      <c r="F522" s="13">
        <v>2</v>
      </c>
      <c r="G522" s="13">
        <v>9</v>
      </c>
      <c r="H522" s="13">
        <v>2</v>
      </c>
      <c r="I522" s="13">
        <v>0</v>
      </c>
      <c r="J522" s="56" t="s">
        <v>304</v>
      </c>
      <c r="K522" s="54">
        <v>1075</v>
      </c>
      <c r="L522" s="13">
        <v>2150</v>
      </c>
      <c r="M522" s="14">
        <v>0.27564102564102566</v>
      </c>
      <c r="N522" s="15"/>
      <c r="O522" s="2"/>
      <c r="P522" s="16"/>
      <c r="Q522" s="13">
        <v>2353</v>
      </c>
      <c r="R522" s="13">
        <v>21</v>
      </c>
      <c r="S522" s="13">
        <v>81</v>
      </c>
      <c r="T522" s="13">
        <v>2</v>
      </c>
      <c r="U522" s="13">
        <v>13</v>
      </c>
      <c r="V522" s="13">
        <v>2</v>
      </c>
      <c r="W522" s="13">
        <v>0</v>
      </c>
      <c r="X522" s="75" t="s">
        <v>305</v>
      </c>
      <c r="Y522" s="53">
        <v>1100</v>
      </c>
      <c r="Z522" s="13">
        <v>2200</v>
      </c>
      <c r="AA522" s="14">
        <v>1.0476190476190477</v>
      </c>
      <c r="AB522" s="15"/>
      <c r="AC522" s="1"/>
      <c r="AD522" s="16"/>
      <c r="AE522" s="13">
        <v>7460</v>
      </c>
      <c r="AF522" s="13">
        <v>115</v>
      </c>
      <c r="AG522" s="13">
        <v>173</v>
      </c>
      <c r="AH522" s="13">
        <v>3</v>
      </c>
      <c r="AI522" s="13">
        <v>10</v>
      </c>
      <c r="AJ522" s="13">
        <v>3</v>
      </c>
      <c r="AK522" s="13">
        <v>0</v>
      </c>
      <c r="AL522" s="56" t="s">
        <v>303</v>
      </c>
      <c r="AM522" s="54">
        <v>996</v>
      </c>
      <c r="AN522" s="13">
        <v>2988</v>
      </c>
      <c r="AO522" s="14">
        <v>0.25982608695652176</v>
      </c>
      <c r="AP522" s="15"/>
      <c r="AQ522" s="2"/>
      <c r="AR522" s="16"/>
      <c r="AS522" s="13">
        <v>5959</v>
      </c>
      <c r="AT522" s="13">
        <v>73</v>
      </c>
      <c r="AU522" s="13">
        <v>289</v>
      </c>
      <c r="AV522" s="13">
        <v>3</v>
      </c>
      <c r="AW522" s="13">
        <v>34</v>
      </c>
      <c r="AX522" s="13">
        <v>3</v>
      </c>
      <c r="AY522" s="13">
        <v>5</v>
      </c>
      <c r="AZ522" s="56" t="s">
        <v>164</v>
      </c>
      <c r="BA522" s="54">
        <v>1000</v>
      </c>
      <c r="BB522" s="13">
        <v>3000</v>
      </c>
      <c r="BC522" s="14">
        <v>0.41095890410958902</v>
      </c>
      <c r="BD522" s="15"/>
      <c r="BU522" s="79">
        <f>IF($A525="","",$A525)</f>
        <v>45947</v>
      </c>
      <c r="BV522" s="17">
        <v>8918</v>
      </c>
      <c r="BW522" s="13">
        <f t="shared" ref="BW522:BW534" si="893">IF(BV522="","",BV522-BV521)</f>
        <v>87</v>
      </c>
      <c r="BX522" s="13">
        <v>217</v>
      </c>
      <c r="BY522" s="13">
        <f t="shared" ref="BY522:BY534" si="894">IF(BX522="","",BX522-BX521)</f>
        <v>2</v>
      </c>
      <c r="BZ522" s="13">
        <v>6</v>
      </c>
      <c r="CA522" s="13">
        <f t="shared" ref="CA522:CA534" si="895">IF(BZ522="","",BZ521+CB521-BZ522)</f>
        <v>3</v>
      </c>
      <c r="CB522" s="13">
        <v>7</v>
      </c>
      <c r="CC522" s="53"/>
      <c r="CD522" s="53">
        <f t="shared" ref="CD522:CD534" si="896">IF(BV522="","",CD521)</f>
        <v>550</v>
      </c>
      <c r="CE522" s="13">
        <f t="shared" ref="CE522:CE534" si="897">IF(CD522="","",CA522*CD522)</f>
        <v>1650</v>
      </c>
      <c r="CF522" s="14">
        <f t="shared" ref="CF522:CF533" si="898">IF(CE522="","",CE522/(BW522*100))</f>
        <v>0.18965517241379309</v>
      </c>
      <c r="CG522" s="43"/>
      <c r="CH522" s="1"/>
      <c r="CI522" s="79">
        <f>IF($A525="","",$A525)</f>
        <v>45947</v>
      </c>
      <c r="CJ522" s="17">
        <v>6164</v>
      </c>
      <c r="CK522" s="13">
        <f t="shared" ref="CK522:CK534" si="899">IF(CJ522="","",CJ522-CJ521)</f>
        <v>256</v>
      </c>
      <c r="CL522" s="13">
        <v>97</v>
      </c>
      <c r="CM522" s="13">
        <f t="shared" ref="CM522:CM534" si="900">IF(CL522="","",CL522-CL521)</f>
        <v>4</v>
      </c>
      <c r="CN522" s="13">
        <v>13</v>
      </c>
      <c r="CO522" s="13">
        <f t="shared" ref="CO522:CO534" si="901">IF(CN522="","",CN521+CP521-CN522)</f>
        <v>5</v>
      </c>
      <c r="CP522" s="13">
        <v>6</v>
      </c>
      <c r="CQ522" s="53"/>
      <c r="CR522" s="53">
        <f t="shared" ref="CR522:CR534" si="902">IF(CJ522="","",CR521)</f>
        <v>715</v>
      </c>
      <c r="CS522" s="13">
        <f t="shared" ref="CS522:CS534" si="903">IF(CR522="","",CO522*CR522)</f>
        <v>3575</v>
      </c>
      <c r="CT522" s="14">
        <f t="shared" ref="CT522:CT534" si="904">IF(CS522="","",CS522/(CK522*100))</f>
        <v>0.1396484375</v>
      </c>
      <c r="CU522" s="43"/>
      <c r="CV522" s="1"/>
      <c r="CW522" s="79">
        <f>IF($A525="","",$A525)</f>
        <v>45947</v>
      </c>
      <c r="CX522" s="17">
        <v>7583</v>
      </c>
      <c r="CY522" s="13">
        <f t="shared" ref="CY522:CY534" si="905">IF(CX522="","",CX522-CX521)</f>
        <v>168</v>
      </c>
      <c r="CZ522" s="13">
        <v>164</v>
      </c>
      <c r="DA522" s="13">
        <f t="shared" ref="DA522:DA534" si="906">IF(CZ522="","",CZ522-CZ521)</f>
        <v>2</v>
      </c>
      <c r="DB522" s="13">
        <v>42</v>
      </c>
      <c r="DC522" s="13">
        <f t="shared" ref="DC522:DC534" si="907">IF(DB522="","",DB521+DD521-DB522)</f>
        <v>2</v>
      </c>
      <c r="DD522" s="13">
        <v>6</v>
      </c>
      <c r="DE522" s="53"/>
      <c r="DF522" s="53">
        <f t="shared" ref="DF522:DF534" si="908">IF(CX522="","",DF521)</f>
        <v>880</v>
      </c>
      <c r="DG522" s="13">
        <f t="shared" ref="DG522:DG534" si="909">IF(DF522="","",DC522*DF522)</f>
        <v>1760</v>
      </c>
      <c r="DH522" s="14">
        <f t="shared" ref="DH522:DH534" si="910">IF(DG522="","",DG522/(CY522*100))</f>
        <v>0.10476190476190476</v>
      </c>
      <c r="DI522" s="43"/>
      <c r="DJ522" s="1"/>
      <c r="DK522" s="79">
        <f>IF($A525="","",$A525)</f>
        <v>45947</v>
      </c>
      <c r="DL522" s="17">
        <v>5683</v>
      </c>
      <c r="DM522" s="13">
        <f t="shared" ref="DM522:DM534" si="911">IF(DL522="","",DL522-DL521)</f>
        <v>136</v>
      </c>
      <c r="DN522" s="13">
        <v>224</v>
      </c>
      <c r="DO522" s="13">
        <f t="shared" ref="DO522:DO534" si="912">IF(DN522="","",DN522-DN521)</f>
        <v>2</v>
      </c>
      <c r="DP522" s="13">
        <v>36</v>
      </c>
      <c r="DQ522" s="13">
        <f t="shared" ref="DQ522:DQ534" si="913">IF(DP522="","",DP521+DR521-DP522)</f>
        <v>3</v>
      </c>
      <c r="DR522" s="13">
        <v>0</v>
      </c>
      <c r="DS522" s="53"/>
      <c r="DT522" s="53">
        <f t="shared" ref="DT522:DT534" si="914">IF(DL522="","",DT521)</f>
        <v>1100</v>
      </c>
      <c r="DU522" s="13">
        <f t="shared" ref="DU522:DU534" si="915">IF(DT522="","",DQ522*DT522)</f>
        <v>3300</v>
      </c>
      <c r="DV522" s="14">
        <f t="shared" ref="DV522:DV534" si="916">IF(DU522="","",DU522/(DM522*100))</f>
        <v>0.24264705882352941</v>
      </c>
      <c r="DW522" s="43"/>
    </row>
    <row r="523" spans="1:127" x14ac:dyDescent="0.2">
      <c r="A523" s="16"/>
      <c r="B523" s="11"/>
      <c r="C523" s="13">
        <v>7826</v>
      </c>
      <c r="D523" s="13">
        <v>308</v>
      </c>
      <c r="E523" s="13">
        <v>478</v>
      </c>
      <c r="F523" s="13">
        <v>12</v>
      </c>
      <c r="G523" s="13">
        <v>120</v>
      </c>
      <c r="H523" s="13">
        <v>13</v>
      </c>
      <c r="I523" s="13">
        <v>30</v>
      </c>
      <c r="J523" s="56" t="s">
        <v>171</v>
      </c>
      <c r="K523" s="54">
        <v>200</v>
      </c>
      <c r="L523" s="13">
        <v>2600</v>
      </c>
      <c r="M523" s="14">
        <v>8.4415584415584416E-2</v>
      </c>
      <c r="N523" s="15"/>
      <c r="O523" s="2"/>
      <c r="P523" s="16"/>
      <c r="Q523" s="13">
        <v>5450</v>
      </c>
      <c r="R523" s="13">
        <v>189</v>
      </c>
      <c r="S523" s="13">
        <v>85</v>
      </c>
      <c r="T523" s="13">
        <v>3</v>
      </c>
      <c r="U523" s="13">
        <v>85</v>
      </c>
      <c r="V523" s="13">
        <v>4</v>
      </c>
      <c r="W523" s="13">
        <v>0</v>
      </c>
      <c r="X523" s="56" t="s">
        <v>332</v>
      </c>
      <c r="Y523" s="54">
        <v>100</v>
      </c>
      <c r="Z523" s="13">
        <v>400</v>
      </c>
      <c r="AA523" s="14">
        <v>2.1164021164021163E-2</v>
      </c>
      <c r="AB523" s="15"/>
      <c r="AC523" s="1"/>
      <c r="AD523" s="16"/>
      <c r="AE523" s="13">
        <v>8530</v>
      </c>
      <c r="AF523" s="13">
        <v>206</v>
      </c>
      <c r="AG523" s="13">
        <v>274</v>
      </c>
      <c r="AH523" s="13">
        <v>1</v>
      </c>
      <c r="AI523" s="13">
        <v>46</v>
      </c>
      <c r="AJ523" s="13">
        <v>2</v>
      </c>
      <c r="AK523" s="13">
        <v>-1</v>
      </c>
      <c r="AL523" s="56" t="s">
        <v>292</v>
      </c>
      <c r="AM523" s="54">
        <v>400</v>
      </c>
      <c r="AN523" s="13">
        <v>800</v>
      </c>
      <c r="AO523" s="14">
        <v>3.8834951456310676E-2</v>
      </c>
      <c r="AP523" s="15"/>
      <c r="AQ523" s="2"/>
      <c r="AR523" s="16"/>
      <c r="AS523" s="13">
        <v>9998</v>
      </c>
      <c r="AT523" s="13">
        <v>216</v>
      </c>
      <c r="AU523" s="13">
        <v>398</v>
      </c>
      <c r="AV523" s="13">
        <v>14</v>
      </c>
      <c r="AW523" s="13">
        <v>7</v>
      </c>
      <c r="AX523" s="13">
        <v>12</v>
      </c>
      <c r="AY523" s="13">
        <v>11</v>
      </c>
      <c r="AZ523" s="56" t="s">
        <v>330</v>
      </c>
      <c r="BA523" s="54">
        <v>500</v>
      </c>
      <c r="BB523" s="13">
        <v>6000</v>
      </c>
      <c r="BC523" s="14">
        <v>0.27777777777777779</v>
      </c>
      <c r="BD523" s="15" t="s">
        <v>331</v>
      </c>
      <c r="BU523" s="79">
        <f>IF($A529="","",$A529)</f>
        <v>45950</v>
      </c>
      <c r="BV523" s="17">
        <v>9125</v>
      </c>
      <c r="BW523" s="13">
        <f t="shared" si="893"/>
        <v>207</v>
      </c>
      <c r="BX523" s="13">
        <v>220</v>
      </c>
      <c r="BY523" s="13">
        <f t="shared" si="894"/>
        <v>3</v>
      </c>
      <c r="BZ523" s="13">
        <v>10</v>
      </c>
      <c r="CA523" s="13">
        <f t="shared" si="895"/>
        <v>3</v>
      </c>
      <c r="CB523" s="13">
        <v>6</v>
      </c>
      <c r="CC523" s="53"/>
      <c r="CD523" s="53">
        <f t="shared" si="896"/>
        <v>550</v>
      </c>
      <c r="CE523" s="13">
        <f t="shared" si="897"/>
        <v>1650</v>
      </c>
      <c r="CF523" s="14">
        <f t="shared" si="898"/>
        <v>7.9710144927536225E-2</v>
      </c>
      <c r="CG523" s="15"/>
      <c r="CH523" s="1"/>
      <c r="CI523" s="79">
        <f>IF($A529="","",$A529)</f>
        <v>45950</v>
      </c>
      <c r="CJ523" s="17">
        <v>6650</v>
      </c>
      <c r="CK523" s="13">
        <f t="shared" si="899"/>
        <v>486</v>
      </c>
      <c r="CL523" s="13">
        <v>103</v>
      </c>
      <c r="CM523" s="13">
        <f t="shared" si="900"/>
        <v>6</v>
      </c>
      <c r="CN523" s="13">
        <v>11</v>
      </c>
      <c r="CO523" s="13">
        <f t="shared" si="901"/>
        <v>8</v>
      </c>
      <c r="CP523" s="13">
        <v>7</v>
      </c>
      <c r="CQ523" s="53"/>
      <c r="CR523" s="53">
        <f t="shared" si="902"/>
        <v>715</v>
      </c>
      <c r="CS523" s="13">
        <f t="shared" si="903"/>
        <v>5720</v>
      </c>
      <c r="CT523" s="14">
        <f t="shared" si="904"/>
        <v>0.1176954732510288</v>
      </c>
      <c r="CU523" s="15"/>
      <c r="CV523" s="1"/>
      <c r="CW523" s="79">
        <f>IF($A529="","",$A529)</f>
        <v>45950</v>
      </c>
      <c r="CX523" s="17">
        <v>7699</v>
      </c>
      <c r="CY523" s="13">
        <f t="shared" si="905"/>
        <v>116</v>
      </c>
      <c r="CZ523" s="13">
        <v>165</v>
      </c>
      <c r="DA523" s="13">
        <f t="shared" si="906"/>
        <v>1</v>
      </c>
      <c r="DB523" s="13">
        <v>51</v>
      </c>
      <c r="DC523" s="13">
        <f t="shared" si="907"/>
        <v>-3</v>
      </c>
      <c r="DD523" s="13">
        <v>2</v>
      </c>
      <c r="DE523" s="53"/>
      <c r="DF523" s="53">
        <f t="shared" si="908"/>
        <v>880</v>
      </c>
      <c r="DG523" s="13">
        <f t="shared" si="909"/>
        <v>-2640</v>
      </c>
      <c r="DH523" s="14">
        <f t="shared" si="910"/>
        <v>-0.22758620689655173</v>
      </c>
      <c r="DI523" s="15"/>
      <c r="DJ523" s="1"/>
      <c r="DK523" s="79">
        <f>IF($A529="","",$A529)</f>
        <v>45950</v>
      </c>
      <c r="DL523" s="17">
        <v>5916</v>
      </c>
      <c r="DM523" s="13">
        <f t="shared" si="911"/>
        <v>233</v>
      </c>
      <c r="DN523" s="13">
        <v>227</v>
      </c>
      <c r="DO523" s="13">
        <f t="shared" si="912"/>
        <v>3</v>
      </c>
      <c r="DP523" s="13">
        <v>33</v>
      </c>
      <c r="DQ523" s="13">
        <f t="shared" si="913"/>
        <v>3</v>
      </c>
      <c r="DR523" s="13">
        <v>0</v>
      </c>
      <c r="DS523" s="53"/>
      <c r="DT523" s="53">
        <f t="shared" si="914"/>
        <v>1100</v>
      </c>
      <c r="DU523" s="13">
        <f t="shared" si="915"/>
        <v>3300</v>
      </c>
      <c r="DV523" s="14">
        <f t="shared" si="916"/>
        <v>0.14163090128755365</v>
      </c>
      <c r="DW523" s="15"/>
    </row>
    <row r="524" spans="1:127" ht="15" customHeight="1" thickBot="1" x14ac:dyDescent="0.25">
      <c r="A524" s="26"/>
      <c r="B524" s="46"/>
      <c r="C524" s="27">
        <v>3714</v>
      </c>
      <c r="D524" s="27">
        <v>61</v>
      </c>
      <c r="E524" s="27">
        <v>384</v>
      </c>
      <c r="F524" s="27">
        <v>1</v>
      </c>
      <c r="G524" s="27">
        <v>46</v>
      </c>
      <c r="H524" s="27">
        <v>1</v>
      </c>
      <c r="I524" s="27">
        <v>9</v>
      </c>
      <c r="J524" s="57" t="s">
        <v>44</v>
      </c>
      <c r="K524" s="27">
        <v>900</v>
      </c>
      <c r="L524" s="27">
        <v>900</v>
      </c>
      <c r="M524" s="28">
        <v>0.14754098360655737</v>
      </c>
      <c r="N524" s="15"/>
      <c r="O524" s="2"/>
      <c r="P524" s="26"/>
      <c r="Q524" s="27">
        <v>4764</v>
      </c>
      <c r="R524" s="27">
        <v>281</v>
      </c>
      <c r="S524" s="27">
        <v>83</v>
      </c>
      <c r="T524" s="27">
        <v>3</v>
      </c>
      <c r="U524" s="27">
        <v>9</v>
      </c>
      <c r="V524" s="27">
        <v>4</v>
      </c>
      <c r="W524" s="27">
        <v>1</v>
      </c>
      <c r="X524" s="57" t="s">
        <v>232</v>
      </c>
      <c r="Y524" s="27">
        <v>286</v>
      </c>
      <c r="Z524" s="27">
        <v>1144</v>
      </c>
      <c r="AA524" s="28">
        <v>4.0711743772241994E-2</v>
      </c>
      <c r="AB524" s="142"/>
      <c r="AC524" s="63"/>
      <c r="AD524" s="145"/>
      <c r="AE524" s="27">
        <v>9081</v>
      </c>
      <c r="AF524" s="90">
        <v>120</v>
      </c>
      <c r="AG524" s="27">
        <v>254</v>
      </c>
      <c r="AH524" s="27">
        <v>4</v>
      </c>
      <c r="AI524" s="27">
        <v>7</v>
      </c>
      <c r="AJ524" s="27">
        <v>4</v>
      </c>
      <c r="AK524" s="27">
        <v>10</v>
      </c>
      <c r="AL524" s="108" t="s">
        <v>240</v>
      </c>
      <c r="AM524" s="27">
        <v>528</v>
      </c>
      <c r="AN524" s="27">
        <v>2112</v>
      </c>
      <c r="AO524" s="28">
        <v>0.17599999999999999</v>
      </c>
      <c r="AP524" s="15"/>
      <c r="AQ524" s="2"/>
      <c r="AR524" s="26"/>
      <c r="AS524" s="27">
        <v>10093</v>
      </c>
      <c r="AT524" s="27">
        <v>404</v>
      </c>
      <c r="AU524" s="27">
        <v>359</v>
      </c>
      <c r="AV524" s="27">
        <v>4</v>
      </c>
      <c r="AW524" s="27">
        <v>15</v>
      </c>
      <c r="AX524" s="27">
        <v>4</v>
      </c>
      <c r="AY524" s="27">
        <v>2</v>
      </c>
      <c r="AZ524" s="57" t="s">
        <v>293</v>
      </c>
      <c r="BA524" s="27">
        <v>400</v>
      </c>
      <c r="BB524" s="27">
        <v>1600</v>
      </c>
      <c r="BC524" s="28">
        <v>3.9603960396039604E-2</v>
      </c>
      <c r="BD524" s="15"/>
      <c r="BU524" s="79">
        <f>IF($A533="","",$A533)</f>
        <v>45954</v>
      </c>
      <c r="BV524" s="17">
        <v>9198</v>
      </c>
      <c r="BW524" s="13">
        <f t="shared" si="893"/>
        <v>73</v>
      </c>
      <c r="BX524" s="13">
        <v>220</v>
      </c>
      <c r="BY524" s="13">
        <f t="shared" si="894"/>
        <v>0</v>
      </c>
      <c r="BZ524" s="13">
        <v>16</v>
      </c>
      <c r="CA524" s="13">
        <f t="shared" si="895"/>
        <v>0</v>
      </c>
      <c r="CB524" s="13">
        <v>0</v>
      </c>
      <c r="CC524" s="53"/>
      <c r="CD524" s="53">
        <f t="shared" si="896"/>
        <v>550</v>
      </c>
      <c r="CE524" s="13">
        <f t="shared" si="897"/>
        <v>0</v>
      </c>
      <c r="CF524" s="14">
        <f t="shared" si="898"/>
        <v>0</v>
      </c>
      <c r="CG524" s="15"/>
      <c r="CH524" s="1"/>
      <c r="CI524" s="79">
        <f>IF($A533="","",$A533)</f>
        <v>45954</v>
      </c>
      <c r="CJ524" s="17">
        <v>7151</v>
      </c>
      <c r="CK524" s="13">
        <f t="shared" si="899"/>
        <v>501</v>
      </c>
      <c r="CL524" s="13">
        <v>109</v>
      </c>
      <c r="CM524" s="13">
        <f t="shared" si="900"/>
        <v>6</v>
      </c>
      <c r="CN524" s="13">
        <v>11</v>
      </c>
      <c r="CO524" s="13">
        <f t="shared" si="901"/>
        <v>7</v>
      </c>
      <c r="CP524" s="13">
        <v>4</v>
      </c>
      <c r="CQ524" s="53"/>
      <c r="CR524" s="53">
        <f t="shared" si="902"/>
        <v>715</v>
      </c>
      <c r="CS524" s="13">
        <f t="shared" si="903"/>
        <v>5005</v>
      </c>
      <c r="CT524" s="14">
        <f t="shared" si="904"/>
        <v>9.9900199600798406E-2</v>
      </c>
      <c r="CU524" s="15"/>
      <c r="CV524" s="1"/>
      <c r="CW524" s="79">
        <f>IF($A533="","",$A533)</f>
        <v>45954</v>
      </c>
      <c r="CX524" s="17">
        <v>7797</v>
      </c>
      <c r="CY524" s="13">
        <f t="shared" si="905"/>
        <v>98</v>
      </c>
      <c r="CZ524" s="13">
        <v>166</v>
      </c>
      <c r="DA524" s="13">
        <f t="shared" si="906"/>
        <v>1</v>
      </c>
      <c r="DB524" s="13">
        <v>50</v>
      </c>
      <c r="DC524" s="13">
        <f t="shared" si="907"/>
        <v>3</v>
      </c>
      <c r="DD524" s="13">
        <v>2</v>
      </c>
      <c r="DE524" s="53"/>
      <c r="DF524" s="53">
        <f t="shared" si="908"/>
        <v>880</v>
      </c>
      <c r="DG524" s="13">
        <f t="shared" si="909"/>
        <v>2640</v>
      </c>
      <c r="DH524" s="14">
        <f t="shared" si="910"/>
        <v>0.26938775510204083</v>
      </c>
      <c r="DI524" s="15"/>
      <c r="DJ524" s="1"/>
      <c r="DK524" s="79">
        <f>IF($A533="","",$A533)</f>
        <v>45954</v>
      </c>
      <c r="DL524" s="17">
        <v>5979</v>
      </c>
      <c r="DM524" s="87">
        <f t="shared" si="911"/>
        <v>63</v>
      </c>
      <c r="DN524" s="13">
        <v>228</v>
      </c>
      <c r="DO524" s="13">
        <f t="shared" si="912"/>
        <v>1</v>
      </c>
      <c r="DP524" s="13">
        <v>33</v>
      </c>
      <c r="DQ524" s="13">
        <f t="shared" si="913"/>
        <v>0</v>
      </c>
      <c r="DR524" s="13">
        <v>10</v>
      </c>
      <c r="DS524" s="53"/>
      <c r="DT524" s="53">
        <f t="shared" si="914"/>
        <v>1100</v>
      </c>
      <c r="DU524" s="13">
        <f t="shared" si="915"/>
        <v>0</v>
      </c>
      <c r="DV524" s="14">
        <f t="shared" si="916"/>
        <v>0</v>
      </c>
      <c r="DW524" s="15"/>
    </row>
    <row r="525" spans="1:127" ht="15" customHeight="1" thickTop="1" x14ac:dyDescent="0.2">
      <c r="A525" s="79">
        <v>45947</v>
      </c>
      <c r="B525" s="74">
        <f>IF(A525="","",SUM(D525:D528)+SUM(R525:R528)+SUM(AF525:AF528)+SUM(AT525:AT528)+SUM(BW522,CK522,CY522,DM522))</f>
        <v>2517</v>
      </c>
      <c r="C525" s="53">
        <v>2981</v>
      </c>
      <c r="D525" s="53">
        <f t="shared" ref="D525:D572" si="917">IF(C525="","",C525-C521)</f>
        <v>52</v>
      </c>
      <c r="E525" s="53">
        <v>297</v>
      </c>
      <c r="F525" s="31">
        <f t="shared" ref="F525:F572" si="918">IF(E525="","",E525-E521)</f>
        <v>1</v>
      </c>
      <c r="G525" s="53">
        <v>18</v>
      </c>
      <c r="H525" s="53">
        <f t="shared" ref="H525:H572" si="919">IF(G525="","",G521+I521-G525)</f>
        <v>1</v>
      </c>
      <c r="I525" s="80">
        <v>0</v>
      </c>
      <c r="J525" s="21" t="str">
        <f t="shared" ref="J525:J572" si="920">IF(C525="","",J521)</f>
        <v>ジャグラーサウンドボタン</v>
      </c>
      <c r="K525" s="54">
        <f t="shared" ref="K525:K572" si="921">IF(D525="","",K521)</f>
        <v>748</v>
      </c>
      <c r="L525" s="31">
        <f t="shared" ref="L525:L572" si="922">IF(G525="","",H525*K525)</f>
        <v>748</v>
      </c>
      <c r="M525" s="32">
        <f t="shared" ref="M525:M572" si="923">IF(H525="","",L525/(D525*100))</f>
        <v>0.14384615384615385</v>
      </c>
      <c r="N525" s="15"/>
      <c r="O525" s="2"/>
      <c r="P525" s="79">
        <f>IF(A525="","",A525)</f>
        <v>45947</v>
      </c>
      <c r="Q525" s="53">
        <v>2520</v>
      </c>
      <c r="R525" s="53">
        <f t="shared" ref="R525:R572" si="924">IF(Q525="","",Q525-Q521)</f>
        <v>80</v>
      </c>
      <c r="S525" s="53">
        <v>99</v>
      </c>
      <c r="T525" s="31">
        <f t="shared" ref="T525:T572" si="925">IF(S525="","",S525-S521)</f>
        <v>1</v>
      </c>
      <c r="U525" s="53">
        <v>3</v>
      </c>
      <c r="V525" s="53">
        <f t="shared" ref="V525:V572" si="926">IF(U525="","",U521+W521-U525)</f>
        <v>2</v>
      </c>
      <c r="W525" s="80">
        <v>4</v>
      </c>
      <c r="X525" s="21" t="str">
        <f t="shared" ref="X525:X572" si="927">IF(Q525="","",X521)</f>
        <v>キティフェイスポーチ</v>
      </c>
      <c r="Y525" s="54">
        <f t="shared" ref="Y525:Y572" si="928">IF(R525="","",Y521)</f>
        <v>957</v>
      </c>
      <c r="Z525" s="31">
        <f t="shared" ref="Z525:Z572" si="929">IF(U525="","",V525*Y525)</f>
        <v>1914</v>
      </c>
      <c r="AA525" s="32">
        <f t="shared" ref="AA525:AA572" si="930">IF(V525="","",Z525/(R525*100))</f>
        <v>0.23924999999999999</v>
      </c>
      <c r="AB525" s="15"/>
      <c r="AC525" s="113"/>
      <c r="AD525" s="146">
        <f>IF($A525="","",$A525)</f>
        <v>45947</v>
      </c>
      <c r="AE525" s="53">
        <v>7973</v>
      </c>
      <c r="AF525" s="53">
        <f t="shared" ref="AF525:AF572" si="931">IF(AE525="","",AE525-AE521)</f>
        <v>20</v>
      </c>
      <c r="AG525" s="53">
        <v>180</v>
      </c>
      <c r="AH525" s="31">
        <f t="shared" ref="AH525:AH572" si="932">IF(AG525="","",AG525-AG521)</f>
        <v>1</v>
      </c>
      <c r="AI525" s="53">
        <v>10</v>
      </c>
      <c r="AJ525" s="53">
        <f t="shared" ref="AJ525:AJ572" si="933">IF(AI525="","",AI521+AK521-AI525)</f>
        <v>1</v>
      </c>
      <c r="AK525" s="80">
        <v>5</v>
      </c>
      <c r="AL525" s="21" t="str">
        <f t="shared" ref="AL525:AM532" si="934">IF(AE525="","",AL521)</f>
        <v>サンリオメタルミニポーチ</v>
      </c>
      <c r="AM525" s="54">
        <f t="shared" si="934"/>
        <v>0</v>
      </c>
      <c r="AN525" s="31">
        <f t="shared" ref="AN525:AN572" si="935">IF(AI525="","",AJ525*AM525)</f>
        <v>0</v>
      </c>
      <c r="AO525" s="32">
        <f t="shared" ref="AO525:AO572" si="936">IF(AJ525="","",AN525/(AF525*100))</f>
        <v>0</v>
      </c>
      <c r="AP525" s="15" t="s">
        <v>220</v>
      </c>
      <c r="AQ525" s="113"/>
      <c r="AR525" s="79">
        <f>IF($A525="","",$A525)</f>
        <v>45947</v>
      </c>
      <c r="AS525" s="53">
        <v>8671</v>
      </c>
      <c r="AT525" s="127">
        <f t="shared" ref="AT525:AT572" si="937">IF(AS525="","",AS525-AS521)</f>
        <v>21</v>
      </c>
      <c r="AU525" s="53">
        <v>259</v>
      </c>
      <c r="AV525" s="31">
        <f t="shared" ref="AV525:AV572" si="938">IF(AU525="","",AU525-AU521)</f>
        <v>2</v>
      </c>
      <c r="AW525" s="53">
        <v>19</v>
      </c>
      <c r="AX525" s="53">
        <f t="shared" ref="AX525:AX572" si="939">IF(AW525="","",AW521+AY521-AW525)</f>
        <v>2</v>
      </c>
      <c r="AY525" s="80">
        <v>0</v>
      </c>
      <c r="AZ525" s="21" t="str">
        <f t="shared" ref="AZ525:AZ572" si="940">IF(AS525="","",AZ521)</f>
        <v>こびとづかんキーケース</v>
      </c>
      <c r="BA525" s="54">
        <f t="shared" ref="BA525:BA572" si="941">IF(AT525="","",BA521)</f>
        <v>726</v>
      </c>
      <c r="BB525" s="31">
        <f t="shared" ref="BB525:BB572" si="942">IF(AW525="","",AX525*BA525)</f>
        <v>1452</v>
      </c>
      <c r="BC525" s="32">
        <f t="shared" ref="BC525:BC572" si="943">IF(AX525="","",BB525/(AT525*100))</f>
        <v>0.69142857142857139</v>
      </c>
      <c r="BD525" s="15"/>
      <c r="BU525" s="79">
        <f>IF($A537="","",$A537)</f>
        <v>45957</v>
      </c>
      <c r="BV525" s="17">
        <v>9292</v>
      </c>
      <c r="BW525" s="13">
        <f t="shared" si="893"/>
        <v>94</v>
      </c>
      <c r="BX525" s="13">
        <v>221</v>
      </c>
      <c r="BY525" s="13">
        <f t="shared" si="894"/>
        <v>1</v>
      </c>
      <c r="BZ525" s="13">
        <v>14</v>
      </c>
      <c r="CA525" s="13">
        <f t="shared" si="895"/>
        <v>2</v>
      </c>
      <c r="CB525" s="13">
        <v>0</v>
      </c>
      <c r="CC525" s="53"/>
      <c r="CD525" s="53">
        <f t="shared" si="896"/>
        <v>550</v>
      </c>
      <c r="CE525" s="13">
        <f t="shared" si="897"/>
        <v>1100</v>
      </c>
      <c r="CF525" s="14">
        <f t="shared" si="898"/>
        <v>0.11702127659574468</v>
      </c>
      <c r="CG525" s="15"/>
      <c r="CH525" s="1"/>
      <c r="CI525" s="79">
        <f>IF($A537="","",$A537)</f>
        <v>45957</v>
      </c>
      <c r="CJ525" s="17">
        <v>7661</v>
      </c>
      <c r="CK525" s="13">
        <f t="shared" si="899"/>
        <v>510</v>
      </c>
      <c r="CL525" s="13">
        <v>115</v>
      </c>
      <c r="CM525" s="13">
        <f t="shared" si="900"/>
        <v>6</v>
      </c>
      <c r="CN525" s="13">
        <v>9</v>
      </c>
      <c r="CO525" s="13">
        <f t="shared" si="901"/>
        <v>6</v>
      </c>
      <c r="CP525" s="13">
        <v>6</v>
      </c>
      <c r="CQ525" s="53"/>
      <c r="CR525" s="53">
        <f t="shared" si="902"/>
        <v>715</v>
      </c>
      <c r="CS525" s="13">
        <f t="shared" si="903"/>
        <v>4290</v>
      </c>
      <c r="CT525" s="14">
        <f t="shared" si="904"/>
        <v>8.4117647058823533E-2</v>
      </c>
      <c r="CU525" s="15"/>
      <c r="CV525" s="1"/>
      <c r="CW525" s="79">
        <f>IF($A537="","",$A537)</f>
        <v>45957</v>
      </c>
      <c r="CX525" s="17">
        <v>7955</v>
      </c>
      <c r="CY525" s="13">
        <f t="shared" si="905"/>
        <v>158</v>
      </c>
      <c r="CZ525" s="13">
        <v>167</v>
      </c>
      <c r="DA525" s="13">
        <f t="shared" si="906"/>
        <v>1</v>
      </c>
      <c r="DB525" s="13">
        <v>50</v>
      </c>
      <c r="DC525" s="13">
        <f t="shared" si="907"/>
        <v>2</v>
      </c>
      <c r="DD525" s="13">
        <v>2</v>
      </c>
      <c r="DE525" s="53"/>
      <c r="DF525" s="53">
        <f t="shared" si="908"/>
        <v>880</v>
      </c>
      <c r="DG525" s="13">
        <f t="shared" si="909"/>
        <v>1760</v>
      </c>
      <c r="DH525" s="14">
        <f t="shared" si="910"/>
        <v>0.11139240506329114</v>
      </c>
      <c r="DI525" s="15"/>
      <c r="DJ525" s="1"/>
      <c r="DK525" s="79">
        <f>IF($A537="","",$A537)</f>
        <v>45957</v>
      </c>
      <c r="DL525" s="17">
        <v>6068</v>
      </c>
      <c r="DM525" s="87">
        <f t="shared" si="911"/>
        <v>89</v>
      </c>
      <c r="DN525" s="13">
        <v>230</v>
      </c>
      <c r="DO525" s="13">
        <f t="shared" si="912"/>
        <v>2</v>
      </c>
      <c r="DP525" s="13">
        <v>42</v>
      </c>
      <c r="DQ525" s="13">
        <f t="shared" si="913"/>
        <v>1</v>
      </c>
      <c r="DR525" s="13">
        <v>0</v>
      </c>
      <c r="DS525" s="53"/>
      <c r="DT525" s="53">
        <f t="shared" si="914"/>
        <v>1100</v>
      </c>
      <c r="DU525" s="13">
        <f t="shared" si="915"/>
        <v>1100</v>
      </c>
      <c r="DV525" s="14">
        <f t="shared" si="916"/>
        <v>0.12359550561797752</v>
      </c>
      <c r="DW525" s="15"/>
    </row>
    <row r="526" spans="1:127" x14ac:dyDescent="0.2">
      <c r="A526" s="16"/>
      <c r="B526" s="11"/>
      <c r="C526" s="13">
        <v>2191</v>
      </c>
      <c r="D526" s="53">
        <f t="shared" si="917"/>
        <v>97</v>
      </c>
      <c r="E526" s="13">
        <v>317</v>
      </c>
      <c r="F526" s="13">
        <f t="shared" si="918"/>
        <v>2</v>
      </c>
      <c r="G526" s="13">
        <v>7</v>
      </c>
      <c r="H526" s="13">
        <f t="shared" si="919"/>
        <v>2</v>
      </c>
      <c r="I526" s="17">
        <v>0</v>
      </c>
      <c r="J526" s="21" t="str">
        <f t="shared" si="920"/>
        <v>液晶デジカメ</v>
      </c>
      <c r="K526" s="54">
        <f t="shared" si="921"/>
        <v>1075</v>
      </c>
      <c r="L526" s="13">
        <f t="shared" si="922"/>
        <v>2150</v>
      </c>
      <c r="M526" s="14">
        <f t="shared" si="923"/>
        <v>0.22164948453608246</v>
      </c>
      <c r="N526" s="15"/>
      <c r="O526" s="2"/>
      <c r="P526" s="16"/>
      <c r="Q526" s="13">
        <v>2398</v>
      </c>
      <c r="R526" s="53">
        <f t="shared" si="924"/>
        <v>45</v>
      </c>
      <c r="S526" s="13">
        <v>87</v>
      </c>
      <c r="T526" s="13">
        <f t="shared" si="925"/>
        <v>6</v>
      </c>
      <c r="U526" s="13">
        <v>6</v>
      </c>
      <c r="V526" s="13">
        <f t="shared" si="926"/>
        <v>7</v>
      </c>
      <c r="W526" s="17">
        <v>0</v>
      </c>
      <c r="X526" s="21" t="str">
        <f t="shared" si="927"/>
        <v>LOTTEチョコイヤホン</v>
      </c>
      <c r="Y526" s="54">
        <f t="shared" si="928"/>
        <v>1100</v>
      </c>
      <c r="Z526" s="13">
        <f t="shared" si="929"/>
        <v>7700</v>
      </c>
      <c r="AA526" s="14">
        <f t="shared" si="930"/>
        <v>1.711111111111111</v>
      </c>
      <c r="AB526" s="15" t="s">
        <v>220</v>
      </c>
      <c r="AC526" s="113"/>
      <c r="AD526" s="147"/>
      <c r="AE526" s="13">
        <v>7717</v>
      </c>
      <c r="AF526" s="53">
        <f t="shared" si="931"/>
        <v>257</v>
      </c>
      <c r="AG526" s="13">
        <v>176</v>
      </c>
      <c r="AH526" s="13">
        <f t="shared" si="932"/>
        <v>3</v>
      </c>
      <c r="AI526" s="13">
        <v>7</v>
      </c>
      <c r="AJ526" s="13">
        <f t="shared" si="933"/>
        <v>3</v>
      </c>
      <c r="AK526" s="17">
        <v>3</v>
      </c>
      <c r="AL526" s="21" t="str">
        <f t="shared" si="934"/>
        <v>キティヒョウ柄マスコット</v>
      </c>
      <c r="AM526" s="54">
        <f t="shared" si="934"/>
        <v>996</v>
      </c>
      <c r="AN526" s="13">
        <f t="shared" si="935"/>
        <v>2988</v>
      </c>
      <c r="AO526" s="14">
        <f t="shared" si="936"/>
        <v>0.11626459143968872</v>
      </c>
      <c r="AP526" s="15"/>
      <c r="AQ526" s="113"/>
      <c r="AR526" s="16"/>
      <c r="AS526" s="13">
        <v>6006</v>
      </c>
      <c r="AT526" s="53">
        <f t="shared" si="937"/>
        <v>47</v>
      </c>
      <c r="AU526" s="13">
        <v>291</v>
      </c>
      <c r="AV526" s="13">
        <f t="shared" si="938"/>
        <v>2</v>
      </c>
      <c r="AW526" s="13">
        <v>37</v>
      </c>
      <c r="AX526" s="13">
        <f t="shared" si="939"/>
        <v>2</v>
      </c>
      <c r="AY526" s="17">
        <v>0</v>
      </c>
      <c r="AZ526" s="21" t="str">
        <f t="shared" si="940"/>
        <v>ねこアイシャドウ</v>
      </c>
      <c r="BA526" s="54">
        <f t="shared" si="941"/>
        <v>1000</v>
      </c>
      <c r="BB526" s="13">
        <f t="shared" si="942"/>
        <v>2000</v>
      </c>
      <c r="BC526" s="14">
        <f t="shared" si="943"/>
        <v>0.42553191489361702</v>
      </c>
      <c r="BD526" s="15"/>
      <c r="BU526" s="79">
        <f>IF($A541="","",$A541)</f>
        <v>45961</v>
      </c>
      <c r="BV526" s="17">
        <v>9351</v>
      </c>
      <c r="BW526" s="13">
        <f t="shared" si="893"/>
        <v>59</v>
      </c>
      <c r="BX526" s="13">
        <v>221</v>
      </c>
      <c r="BY526" s="13">
        <f t="shared" si="894"/>
        <v>0</v>
      </c>
      <c r="BZ526" s="13">
        <v>12</v>
      </c>
      <c r="CA526" s="13">
        <f t="shared" si="895"/>
        <v>2</v>
      </c>
      <c r="CB526" s="13">
        <v>0</v>
      </c>
      <c r="CC526" s="53"/>
      <c r="CD526" s="53">
        <f t="shared" si="896"/>
        <v>550</v>
      </c>
      <c r="CE526" s="13">
        <f t="shared" si="897"/>
        <v>1100</v>
      </c>
      <c r="CF526" s="14">
        <f t="shared" si="898"/>
        <v>0.1864406779661017</v>
      </c>
      <c r="CG526" s="15"/>
      <c r="CH526" s="1"/>
      <c r="CI526" s="79">
        <f>IF($A541="","",$A541)</f>
        <v>45961</v>
      </c>
      <c r="CJ526" s="17">
        <v>7960</v>
      </c>
      <c r="CK526" s="13">
        <f t="shared" si="899"/>
        <v>299</v>
      </c>
      <c r="CL526" s="13">
        <v>121</v>
      </c>
      <c r="CM526" s="13">
        <f t="shared" si="900"/>
        <v>6</v>
      </c>
      <c r="CN526" s="13">
        <v>8</v>
      </c>
      <c r="CO526" s="13">
        <f t="shared" si="901"/>
        <v>7</v>
      </c>
      <c r="CP526" s="13">
        <v>6</v>
      </c>
      <c r="CQ526" s="53"/>
      <c r="CR526" s="53">
        <f t="shared" si="902"/>
        <v>715</v>
      </c>
      <c r="CS526" s="13">
        <f t="shared" si="903"/>
        <v>5005</v>
      </c>
      <c r="CT526" s="14">
        <f t="shared" si="904"/>
        <v>0.16739130434782609</v>
      </c>
      <c r="CU526" s="15"/>
      <c r="CV526" s="1"/>
      <c r="CW526" s="79">
        <f>IF($A541="","",$A541)</f>
        <v>45961</v>
      </c>
      <c r="CX526" s="17">
        <v>8058</v>
      </c>
      <c r="CY526" s="13">
        <f t="shared" si="905"/>
        <v>103</v>
      </c>
      <c r="CZ526" s="13">
        <v>169</v>
      </c>
      <c r="DA526" s="13">
        <f t="shared" si="906"/>
        <v>2</v>
      </c>
      <c r="DB526" s="13">
        <v>50</v>
      </c>
      <c r="DC526" s="13">
        <f t="shared" si="907"/>
        <v>2</v>
      </c>
      <c r="DD526" s="13">
        <v>4</v>
      </c>
      <c r="DE526" s="53"/>
      <c r="DF526" s="53">
        <f t="shared" si="908"/>
        <v>880</v>
      </c>
      <c r="DG526" s="13">
        <f t="shared" si="909"/>
        <v>1760</v>
      </c>
      <c r="DH526" s="14">
        <f t="shared" si="910"/>
        <v>0.17087378640776699</v>
      </c>
      <c r="DI526" s="15" t="s">
        <v>348</v>
      </c>
      <c r="DJ526" s="1"/>
      <c r="DK526" s="79">
        <f>IF($A541="","",$A541)</f>
        <v>45961</v>
      </c>
      <c r="DL526" s="17">
        <v>6206</v>
      </c>
      <c r="DM526" s="13">
        <f t="shared" si="911"/>
        <v>138</v>
      </c>
      <c r="DN526" s="13">
        <v>231</v>
      </c>
      <c r="DO526" s="13">
        <f t="shared" si="912"/>
        <v>1</v>
      </c>
      <c r="DP526" s="13">
        <v>40</v>
      </c>
      <c r="DQ526" s="13">
        <f t="shared" si="913"/>
        <v>2</v>
      </c>
      <c r="DR526" s="13">
        <v>0</v>
      </c>
      <c r="DS526" s="53"/>
      <c r="DT526" s="53">
        <f t="shared" si="914"/>
        <v>1100</v>
      </c>
      <c r="DU526" s="13">
        <f t="shared" si="915"/>
        <v>2200</v>
      </c>
      <c r="DV526" s="14">
        <f t="shared" si="916"/>
        <v>0.15942028985507245</v>
      </c>
      <c r="DW526" s="120"/>
    </row>
    <row r="527" spans="1:127" x14ac:dyDescent="0.2">
      <c r="A527" s="16"/>
      <c r="B527" s="11"/>
      <c r="C527" s="13">
        <v>7996</v>
      </c>
      <c r="D527" s="63">
        <f t="shared" si="917"/>
        <v>170</v>
      </c>
      <c r="E527" s="13">
        <v>487</v>
      </c>
      <c r="F527" s="13">
        <f t="shared" si="918"/>
        <v>9</v>
      </c>
      <c r="G527" s="13">
        <v>130</v>
      </c>
      <c r="H527" s="13">
        <f t="shared" si="919"/>
        <v>20</v>
      </c>
      <c r="I527" s="49">
        <v>0</v>
      </c>
      <c r="J527" s="21" t="str">
        <f t="shared" si="920"/>
        <v>AIモンスタラバー</v>
      </c>
      <c r="K527" s="54">
        <f t="shared" si="921"/>
        <v>200</v>
      </c>
      <c r="L527" s="13">
        <f t="shared" si="922"/>
        <v>4000</v>
      </c>
      <c r="M527" s="14">
        <f t="shared" si="923"/>
        <v>0.23529411764705882</v>
      </c>
      <c r="N527" s="15"/>
      <c r="O527" s="2"/>
      <c r="P527" s="16"/>
      <c r="Q527" s="13">
        <v>5554</v>
      </c>
      <c r="R527" s="63">
        <f t="shared" si="924"/>
        <v>104</v>
      </c>
      <c r="S527" s="13">
        <v>88</v>
      </c>
      <c r="T527" s="13">
        <f t="shared" si="925"/>
        <v>3</v>
      </c>
      <c r="U527" s="13">
        <v>82</v>
      </c>
      <c r="V527" s="13">
        <f t="shared" si="926"/>
        <v>3</v>
      </c>
      <c r="W527" s="17">
        <v>0</v>
      </c>
      <c r="X527" s="21" t="str">
        <f t="shared" si="927"/>
        <v>アングリーキーホルダー</v>
      </c>
      <c r="Y527" s="54">
        <f t="shared" si="928"/>
        <v>100</v>
      </c>
      <c r="Z527" s="13">
        <f t="shared" si="929"/>
        <v>300</v>
      </c>
      <c r="AA527" s="14">
        <f t="shared" si="930"/>
        <v>2.8846153846153848E-2</v>
      </c>
      <c r="AB527" s="15"/>
      <c r="AC527" s="113"/>
      <c r="AD527" s="147"/>
      <c r="AE527" s="13">
        <v>8697</v>
      </c>
      <c r="AF527" s="63">
        <f t="shared" si="931"/>
        <v>167</v>
      </c>
      <c r="AG527" s="13">
        <v>277</v>
      </c>
      <c r="AH527" s="13">
        <f t="shared" si="932"/>
        <v>3</v>
      </c>
      <c r="AI527" s="13">
        <v>42</v>
      </c>
      <c r="AJ527" s="13">
        <f t="shared" si="933"/>
        <v>3</v>
      </c>
      <c r="AK527" s="17">
        <v>0</v>
      </c>
      <c r="AL527" s="21" t="str">
        <f t="shared" si="934"/>
        <v>ラブブキーホルダー</v>
      </c>
      <c r="AM527" s="54">
        <f t="shared" si="934"/>
        <v>400</v>
      </c>
      <c r="AN527" s="13">
        <f t="shared" si="935"/>
        <v>1200</v>
      </c>
      <c r="AO527" s="14">
        <f t="shared" si="936"/>
        <v>7.1856287425149698E-2</v>
      </c>
      <c r="AP527" s="15"/>
      <c r="AQ527" s="113"/>
      <c r="AR527" s="16"/>
      <c r="AS527" s="13">
        <v>10240</v>
      </c>
      <c r="AT527" s="63">
        <f t="shared" si="937"/>
        <v>242</v>
      </c>
      <c r="AU527" s="13">
        <v>403</v>
      </c>
      <c r="AV527" s="13">
        <f t="shared" si="938"/>
        <v>5</v>
      </c>
      <c r="AW527" s="13">
        <v>13</v>
      </c>
      <c r="AX527" s="13">
        <f t="shared" si="939"/>
        <v>5</v>
      </c>
      <c r="AY527" s="17">
        <v>2</v>
      </c>
      <c r="AZ527" s="21" t="str">
        <f t="shared" si="940"/>
        <v>ラブブキーホルダーおおきめ</v>
      </c>
      <c r="BA527" s="54">
        <f t="shared" si="941"/>
        <v>500</v>
      </c>
      <c r="BB527" s="13">
        <f t="shared" si="942"/>
        <v>2500</v>
      </c>
      <c r="BC527" s="14">
        <f t="shared" si="943"/>
        <v>0.10330578512396695</v>
      </c>
      <c r="BD527" s="15"/>
      <c r="BU527" s="79">
        <f>IF($A545="","",$A545)</f>
        <v>45964</v>
      </c>
      <c r="BV527" s="17">
        <v>9475</v>
      </c>
      <c r="BW527" s="13">
        <f t="shared" si="893"/>
        <v>124</v>
      </c>
      <c r="BX527" s="13">
        <v>221</v>
      </c>
      <c r="BY527" s="13">
        <f t="shared" si="894"/>
        <v>0</v>
      </c>
      <c r="BZ527" s="13">
        <v>11</v>
      </c>
      <c r="CA527" s="13">
        <f t="shared" si="895"/>
        <v>1</v>
      </c>
      <c r="CB527" s="13">
        <v>5</v>
      </c>
      <c r="CC527" s="53"/>
      <c r="CD527" s="53">
        <f t="shared" si="896"/>
        <v>550</v>
      </c>
      <c r="CE527" s="13">
        <f t="shared" si="897"/>
        <v>550</v>
      </c>
      <c r="CF527" s="14">
        <f t="shared" si="898"/>
        <v>4.4354838709677422E-2</v>
      </c>
      <c r="CG527" s="15" t="s">
        <v>351</v>
      </c>
      <c r="CH527" s="1"/>
      <c r="CI527" s="79">
        <f>IF($A545="","",$A545)</f>
        <v>45964</v>
      </c>
      <c r="CJ527" s="17">
        <v>8364</v>
      </c>
      <c r="CK527" s="13">
        <f t="shared" si="899"/>
        <v>404</v>
      </c>
      <c r="CL527" s="13">
        <v>129</v>
      </c>
      <c r="CM527" s="13">
        <f t="shared" si="900"/>
        <v>8</v>
      </c>
      <c r="CN527" s="13">
        <v>6</v>
      </c>
      <c r="CO527" s="13">
        <f t="shared" si="901"/>
        <v>8</v>
      </c>
      <c r="CP527" s="13">
        <v>2</v>
      </c>
      <c r="CQ527" s="53"/>
      <c r="CR527" s="53">
        <f t="shared" si="902"/>
        <v>715</v>
      </c>
      <c r="CS527" s="13">
        <f t="shared" si="903"/>
        <v>5720</v>
      </c>
      <c r="CT527" s="14">
        <f t="shared" si="904"/>
        <v>0.14158415841584157</v>
      </c>
      <c r="CU527" s="15" t="s">
        <v>349</v>
      </c>
      <c r="CV527" s="1"/>
      <c r="CW527" s="79">
        <f>IF($A545="","",$A545)</f>
        <v>45964</v>
      </c>
      <c r="CX527" s="17">
        <v>8296</v>
      </c>
      <c r="CY527" s="13">
        <f t="shared" si="905"/>
        <v>238</v>
      </c>
      <c r="CZ527" s="13">
        <v>173</v>
      </c>
      <c r="DA527" s="13">
        <f t="shared" si="906"/>
        <v>4</v>
      </c>
      <c r="DB527" s="13">
        <v>50</v>
      </c>
      <c r="DC527" s="13">
        <f t="shared" si="907"/>
        <v>4</v>
      </c>
      <c r="DD527" s="13">
        <v>2</v>
      </c>
      <c r="DE527" s="53"/>
      <c r="DF527" s="53">
        <f t="shared" si="908"/>
        <v>880</v>
      </c>
      <c r="DG527" s="13">
        <f t="shared" si="909"/>
        <v>3520</v>
      </c>
      <c r="DH527" s="14">
        <f t="shared" si="910"/>
        <v>0.14789915966386555</v>
      </c>
      <c r="DI527" s="15"/>
      <c r="DJ527" s="1"/>
      <c r="DK527" s="79">
        <f>IF($A545="","",$A545)</f>
        <v>45964</v>
      </c>
      <c r="DL527" s="17">
        <v>6317</v>
      </c>
      <c r="DM527" s="13">
        <f t="shared" si="911"/>
        <v>111</v>
      </c>
      <c r="DN527" s="13">
        <v>233</v>
      </c>
      <c r="DO527" s="13">
        <f t="shared" si="912"/>
        <v>2</v>
      </c>
      <c r="DP527" s="13">
        <v>38</v>
      </c>
      <c r="DQ527" s="13">
        <f t="shared" si="913"/>
        <v>2</v>
      </c>
      <c r="DR527" s="13">
        <v>3</v>
      </c>
      <c r="DS527" s="53"/>
      <c r="DT527" s="53">
        <f t="shared" si="914"/>
        <v>1100</v>
      </c>
      <c r="DU527" s="13">
        <f t="shared" si="915"/>
        <v>2200</v>
      </c>
      <c r="DV527" s="14">
        <f t="shared" si="916"/>
        <v>0.1981981981981982</v>
      </c>
      <c r="DW527" s="15" t="s">
        <v>352</v>
      </c>
    </row>
    <row r="528" spans="1:127" ht="15" customHeight="1" thickBot="1" x14ac:dyDescent="0.25">
      <c r="A528" s="26"/>
      <c r="B528" s="46"/>
      <c r="C528" s="29">
        <v>3809</v>
      </c>
      <c r="D528" s="61">
        <f t="shared" si="917"/>
        <v>95</v>
      </c>
      <c r="E528" s="62">
        <v>385</v>
      </c>
      <c r="F528" s="27">
        <f t="shared" si="918"/>
        <v>1</v>
      </c>
      <c r="G528" s="27">
        <v>54</v>
      </c>
      <c r="H528" s="27">
        <f t="shared" si="919"/>
        <v>1</v>
      </c>
      <c r="I528" s="47">
        <v>0</v>
      </c>
      <c r="J528" s="30" t="str">
        <f t="shared" si="920"/>
        <v>NICIマスコット</v>
      </c>
      <c r="K528" s="62">
        <f t="shared" si="921"/>
        <v>900</v>
      </c>
      <c r="L528" s="27">
        <f t="shared" si="922"/>
        <v>900</v>
      </c>
      <c r="M528" s="28">
        <f t="shared" si="923"/>
        <v>9.4736842105263161E-2</v>
      </c>
      <c r="N528" s="15"/>
      <c r="O528" s="2"/>
      <c r="P528" s="26"/>
      <c r="Q528" s="29">
        <v>4847</v>
      </c>
      <c r="R528" s="61">
        <f t="shared" si="924"/>
        <v>83</v>
      </c>
      <c r="S528" s="62">
        <v>86</v>
      </c>
      <c r="T528" s="27">
        <f t="shared" si="925"/>
        <v>3</v>
      </c>
      <c r="U528" s="27">
        <v>6</v>
      </c>
      <c r="V528" s="27">
        <f t="shared" si="926"/>
        <v>4</v>
      </c>
      <c r="W528" s="107">
        <v>4</v>
      </c>
      <c r="X528" s="30" t="str">
        <f t="shared" si="927"/>
        <v>ＡＩマスコット</v>
      </c>
      <c r="Y528" s="62">
        <f t="shared" si="928"/>
        <v>286</v>
      </c>
      <c r="Z528" s="27">
        <f t="shared" si="929"/>
        <v>1144</v>
      </c>
      <c r="AA528" s="28">
        <f t="shared" si="930"/>
        <v>0.13783132530120482</v>
      </c>
      <c r="AB528" s="15"/>
      <c r="AC528" s="113"/>
      <c r="AD528" s="145"/>
      <c r="AE528" s="29">
        <v>9175</v>
      </c>
      <c r="AF528" s="61">
        <f t="shared" si="931"/>
        <v>94</v>
      </c>
      <c r="AG528" s="62">
        <v>255</v>
      </c>
      <c r="AH528" s="27">
        <f t="shared" si="932"/>
        <v>1</v>
      </c>
      <c r="AI528" s="27">
        <v>14</v>
      </c>
      <c r="AJ528" s="27">
        <f t="shared" si="933"/>
        <v>3</v>
      </c>
      <c r="AK528" s="107">
        <v>0</v>
      </c>
      <c r="AL528" s="30" t="str">
        <f t="shared" si="934"/>
        <v>しなこくま</v>
      </c>
      <c r="AM528" s="62">
        <f t="shared" si="934"/>
        <v>528</v>
      </c>
      <c r="AN528" s="27">
        <f t="shared" si="935"/>
        <v>1584</v>
      </c>
      <c r="AO528" s="28">
        <f t="shared" si="936"/>
        <v>0.16851063829787233</v>
      </c>
      <c r="AP528" s="15"/>
      <c r="AQ528" s="113"/>
      <c r="AR528" s="26"/>
      <c r="AS528" s="29">
        <v>10389</v>
      </c>
      <c r="AT528" s="61">
        <f t="shared" si="937"/>
        <v>296</v>
      </c>
      <c r="AU528" s="62">
        <v>361</v>
      </c>
      <c r="AV528" s="27">
        <f t="shared" si="938"/>
        <v>2</v>
      </c>
      <c r="AW528" s="27">
        <v>15</v>
      </c>
      <c r="AX528" s="27">
        <f t="shared" si="939"/>
        <v>2</v>
      </c>
      <c r="AY528" s="107">
        <v>4</v>
      </c>
      <c r="AZ528" s="30" t="str">
        <f t="shared" si="940"/>
        <v>ラブブマスコット</v>
      </c>
      <c r="BA528" s="62">
        <f t="shared" si="941"/>
        <v>400</v>
      </c>
      <c r="BB528" s="27">
        <f t="shared" si="942"/>
        <v>800</v>
      </c>
      <c r="BC528" s="28">
        <f t="shared" si="943"/>
        <v>2.7027027027027029E-2</v>
      </c>
      <c r="BD528" s="15"/>
      <c r="BU528" s="79">
        <v>45968</v>
      </c>
      <c r="BV528" s="17">
        <v>9653</v>
      </c>
      <c r="BW528" s="13">
        <f t="shared" si="893"/>
        <v>178</v>
      </c>
      <c r="BX528" s="13">
        <v>226</v>
      </c>
      <c r="BY528" s="13">
        <f t="shared" si="894"/>
        <v>5</v>
      </c>
      <c r="BZ528" s="13">
        <v>11</v>
      </c>
      <c r="CA528" s="13">
        <f t="shared" si="895"/>
        <v>5</v>
      </c>
      <c r="CB528" s="13">
        <v>5</v>
      </c>
      <c r="CC528" s="53"/>
      <c r="CD528" s="53">
        <f t="shared" si="896"/>
        <v>550</v>
      </c>
      <c r="CE528" s="13">
        <f t="shared" si="897"/>
        <v>2750</v>
      </c>
      <c r="CF528" s="14">
        <f t="shared" si="898"/>
        <v>0.1544943820224719</v>
      </c>
      <c r="CG528" s="15" t="s">
        <v>356</v>
      </c>
      <c r="CH528" s="1"/>
      <c r="CI528" s="79">
        <f>IF($A549="","",$A549)</f>
        <v>45968</v>
      </c>
      <c r="CJ528" s="17">
        <v>8643</v>
      </c>
      <c r="CK528" s="13">
        <f t="shared" si="899"/>
        <v>279</v>
      </c>
      <c r="CL528" s="13">
        <v>135</v>
      </c>
      <c r="CM528" s="13">
        <f t="shared" si="900"/>
        <v>6</v>
      </c>
      <c r="CN528" s="13">
        <v>2</v>
      </c>
      <c r="CO528" s="13">
        <f t="shared" si="901"/>
        <v>6</v>
      </c>
      <c r="CP528" s="13">
        <v>3</v>
      </c>
      <c r="CQ528" s="53"/>
      <c r="CR528" s="53">
        <f t="shared" si="902"/>
        <v>715</v>
      </c>
      <c r="CS528" s="13">
        <f t="shared" si="903"/>
        <v>4290</v>
      </c>
      <c r="CT528" s="14">
        <f t="shared" si="904"/>
        <v>0.15376344086021507</v>
      </c>
      <c r="CU528" s="15" t="s">
        <v>354</v>
      </c>
      <c r="CV528" s="1"/>
      <c r="CW528" s="79">
        <f>IF($A549="","",$A549)</f>
        <v>45968</v>
      </c>
      <c r="CX528" s="17">
        <v>8524</v>
      </c>
      <c r="CY528" s="13">
        <f t="shared" si="905"/>
        <v>228</v>
      </c>
      <c r="CZ528" s="13">
        <v>177</v>
      </c>
      <c r="DA528" s="13">
        <f t="shared" si="906"/>
        <v>4</v>
      </c>
      <c r="DB528" s="13">
        <v>48</v>
      </c>
      <c r="DC528" s="13">
        <f t="shared" si="907"/>
        <v>4</v>
      </c>
      <c r="DD528" s="13">
        <v>3</v>
      </c>
      <c r="DE528" s="53"/>
      <c r="DF528" s="53">
        <f t="shared" si="908"/>
        <v>880</v>
      </c>
      <c r="DG528" s="13">
        <f t="shared" si="909"/>
        <v>3520</v>
      </c>
      <c r="DH528" s="14">
        <f t="shared" si="910"/>
        <v>0.15438596491228071</v>
      </c>
      <c r="DI528" s="15"/>
      <c r="DJ528" s="1"/>
      <c r="DK528" s="79">
        <f>IF($A549="","",$A549)</f>
        <v>45968</v>
      </c>
      <c r="DL528" s="17">
        <v>6432</v>
      </c>
      <c r="DM528" s="13">
        <f t="shared" si="911"/>
        <v>115</v>
      </c>
      <c r="DN528" s="13">
        <v>233</v>
      </c>
      <c r="DO528" s="13">
        <f t="shared" si="912"/>
        <v>0</v>
      </c>
      <c r="DP528" s="13">
        <v>41</v>
      </c>
      <c r="DQ528" s="13">
        <f t="shared" si="913"/>
        <v>0</v>
      </c>
      <c r="DR528" s="13">
        <v>0</v>
      </c>
      <c r="DS528" s="53"/>
      <c r="DT528" s="53">
        <f t="shared" si="914"/>
        <v>1100</v>
      </c>
      <c r="DU528" s="13">
        <f t="shared" si="915"/>
        <v>0</v>
      </c>
      <c r="DV528" s="14">
        <f t="shared" si="916"/>
        <v>0</v>
      </c>
      <c r="DW528" s="15"/>
    </row>
    <row r="529" spans="1:127" ht="15" customHeight="1" thickTop="1" x14ac:dyDescent="0.2">
      <c r="A529" s="79">
        <v>45950</v>
      </c>
      <c r="B529" s="74">
        <f>IF(A529="","",SUM(D529:D532)+SUM(R529:R532)+SUM(AF529:AF532)+SUM(AT529:AT532)+SUM(BW523,CK523,CY523,DM523))</f>
        <v>3398</v>
      </c>
      <c r="C529" s="53">
        <v>3108</v>
      </c>
      <c r="D529" s="53">
        <f t="shared" si="917"/>
        <v>127</v>
      </c>
      <c r="E529" s="53">
        <v>301</v>
      </c>
      <c r="F529" s="31">
        <f t="shared" si="918"/>
        <v>4</v>
      </c>
      <c r="G529" s="53">
        <v>14</v>
      </c>
      <c r="H529" s="53">
        <f t="shared" si="919"/>
        <v>4</v>
      </c>
      <c r="I529" s="53">
        <v>10</v>
      </c>
      <c r="J529" s="75" t="str">
        <f t="shared" si="920"/>
        <v>ジャグラーサウンドボタン</v>
      </c>
      <c r="K529" s="76">
        <f t="shared" si="921"/>
        <v>748</v>
      </c>
      <c r="L529" s="31">
        <f t="shared" si="922"/>
        <v>2992</v>
      </c>
      <c r="M529" s="32">
        <f t="shared" si="923"/>
        <v>0.23559055118110236</v>
      </c>
      <c r="N529" s="15"/>
      <c r="O529" s="2"/>
      <c r="P529" s="79">
        <f>IF(A529="","",A529)</f>
        <v>45950</v>
      </c>
      <c r="Q529" s="53">
        <v>2645</v>
      </c>
      <c r="R529" s="53">
        <f t="shared" si="924"/>
        <v>125</v>
      </c>
      <c r="S529" s="53">
        <v>102</v>
      </c>
      <c r="T529" s="31">
        <f t="shared" si="925"/>
        <v>3</v>
      </c>
      <c r="U529" s="53">
        <v>4</v>
      </c>
      <c r="V529" s="53">
        <f t="shared" si="926"/>
        <v>3</v>
      </c>
      <c r="W529" s="53">
        <v>3</v>
      </c>
      <c r="X529" s="75" t="str">
        <f t="shared" si="927"/>
        <v>キティフェイスポーチ</v>
      </c>
      <c r="Y529" s="76">
        <f t="shared" si="928"/>
        <v>957</v>
      </c>
      <c r="Z529" s="31">
        <f t="shared" si="929"/>
        <v>2871</v>
      </c>
      <c r="AA529" s="32">
        <f t="shared" si="930"/>
        <v>0.22968</v>
      </c>
      <c r="AB529" s="15"/>
      <c r="AC529" s="113"/>
      <c r="AD529" s="146">
        <f>IF($A529="","",$A529)</f>
        <v>45950</v>
      </c>
      <c r="AE529" s="53">
        <v>7994</v>
      </c>
      <c r="AF529" s="127">
        <f t="shared" si="931"/>
        <v>21</v>
      </c>
      <c r="AG529" s="53">
        <v>180</v>
      </c>
      <c r="AH529" s="31">
        <f t="shared" si="932"/>
        <v>0</v>
      </c>
      <c r="AI529" s="53">
        <v>15</v>
      </c>
      <c r="AJ529" s="53">
        <f t="shared" si="933"/>
        <v>0</v>
      </c>
      <c r="AK529" s="53">
        <v>-9</v>
      </c>
      <c r="AL529" s="75" t="str">
        <f t="shared" si="934"/>
        <v>サンリオメタルミニポーチ</v>
      </c>
      <c r="AM529" s="76">
        <f t="shared" si="934"/>
        <v>0</v>
      </c>
      <c r="AN529" s="31">
        <f t="shared" si="935"/>
        <v>0</v>
      </c>
      <c r="AO529" s="32">
        <f t="shared" si="936"/>
        <v>0</v>
      </c>
      <c r="AP529" s="15" t="s">
        <v>333</v>
      </c>
      <c r="AQ529" s="115"/>
      <c r="AR529" s="79">
        <f>IF($A529="","",$A529)</f>
        <v>45950</v>
      </c>
      <c r="AS529" s="53">
        <v>8721</v>
      </c>
      <c r="AT529" s="127">
        <f t="shared" si="937"/>
        <v>50</v>
      </c>
      <c r="AU529" s="53">
        <v>260</v>
      </c>
      <c r="AV529" s="31">
        <f t="shared" si="938"/>
        <v>1</v>
      </c>
      <c r="AW529" s="53">
        <v>18</v>
      </c>
      <c r="AX529" s="53">
        <f t="shared" si="939"/>
        <v>1</v>
      </c>
      <c r="AY529" s="53">
        <v>10</v>
      </c>
      <c r="AZ529" s="75" t="str">
        <f t="shared" si="940"/>
        <v>こびとづかんキーケース</v>
      </c>
      <c r="BA529" s="76">
        <f t="shared" si="941"/>
        <v>726</v>
      </c>
      <c r="BB529" s="31">
        <f t="shared" si="942"/>
        <v>726</v>
      </c>
      <c r="BC529" s="32">
        <f t="shared" si="943"/>
        <v>0.1452</v>
      </c>
      <c r="BD529" s="15"/>
      <c r="BT529" s="15"/>
      <c r="BU529" s="79">
        <f>IF($A553="","",$A553)</f>
        <v>45971</v>
      </c>
      <c r="BV529" s="17">
        <v>9789</v>
      </c>
      <c r="BW529" s="13">
        <f t="shared" si="893"/>
        <v>136</v>
      </c>
      <c r="BX529" s="13">
        <v>232</v>
      </c>
      <c r="BY529" s="13">
        <f t="shared" si="894"/>
        <v>6</v>
      </c>
      <c r="BZ529" s="13">
        <v>8</v>
      </c>
      <c r="CA529" s="13">
        <f t="shared" si="895"/>
        <v>8</v>
      </c>
      <c r="CB529" s="13">
        <v>7</v>
      </c>
      <c r="CC529" s="53"/>
      <c r="CD529" s="53">
        <f t="shared" si="896"/>
        <v>550</v>
      </c>
      <c r="CE529" s="13">
        <f t="shared" si="897"/>
        <v>4400</v>
      </c>
      <c r="CF529" s="14">
        <f t="shared" si="898"/>
        <v>0.3235294117647059</v>
      </c>
      <c r="CG529" s="43"/>
      <c r="CH529" s="1"/>
      <c r="CI529" s="79">
        <f>IF($A553="","",$A553)</f>
        <v>45971</v>
      </c>
      <c r="CJ529" s="17">
        <v>8869</v>
      </c>
      <c r="CK529" s="13">
        <f t="shared" si="899"/>
        <v>226</v>
      </c>
      <c r="CL529" s="13">
        <v>138</v>
      </c>
      <c r="CM529" s="13">
        <f t="shared" si="900"/>
        <v>3</v>
      </c>
      <c r="CN529" s="13">
        <v>2</v>
      </c>
      <c r="CO529" s="13">
        <f t="shared" si="901"/>
        <v>3</v>
      </c>
      <c r="CP529" s="13">
        <v>1</v>
      </c>
      <c r="CQ529" s="53"/>
      <c r="CR529" s="53">
        <f t="shared" si="902"/>
        <v>715</v>
      </c>
      <c r="CS529" s="13">
        <f t="shared" si="903"/>
        <v>2145</v>
      </c>
      <c r="CT529" s="14">
        <f t="shared" si="904"/>
        <v>9.4911504424778761E-2</v>
      </c>
      <c r="CU529" s="43"/>
      <c r="CV529" s="1"/>
      <c r="CW529" s="79">
        <f>IF($A553="","",$A553)</f>
        <v>45971</v>
      </c>
      <c r="CX529" s="17">
        <v>8689</v>
      </c>
      <c r="CY529" s="13">
        <f t="shared" si="905"/>
        <v>165</v>
      </c>
      <c r="CZ529" s="13">
        <v>178</v>
      </c>
      <c r="DA529" s="13">
        <f t="shared" si="906"/>
        <v>1</v>
      </c>
      <c r="DB529" s="13">
        <v>50</v>
      </c>
      <c r="DC529" s="13">
        <f t="shared" si="907"/>
        <v>1</v>
      </c>
      <c r="DD529" s="13">
        <v>12</v>
      </c>
      <c r="DE529" s="53"/>
      <c r="DF529" s="53">
        <f t="shared" si="908"/>
        <v>880</v>
      </c>
      <c r="DG529" s="13">
        <f t="shared" si="909"/>
        <v>880</v>
      </c>
      <c r="DH529" s="14">
        <f t="shared" si="910"/>
        <v>5.3333333333333337E-2</v>
      </c>
      <c r="DI529" s="43" t="s">
        <v>358</v>
      </c>
      <c r="DJ529" s="1"/>
      <c r="DK529" s="79">
        <f>IF($A553="","",$A553)</f>
        <v>45971</v>
      </c>
      <c r="DL529" s="17">
        <v>6571</v>
      </c>
      <c r="DM529" s="13">
        <f t="shared" si="911"/>
        <v>139</v>
      </c>
      <c r="DN529" s="13">
        <v>236</v>
      </c>
      <c r="DO529" s="13">
        <f t="shared" si="912"/>
        <v>3</v>
      </c>
      <c r="DP529" s="13">
        <v>38</v>
      </c>
      <c r="DQ529" s="13">
        <f t="shared" si="913"/>
        <v>3</v>
      </c>
      <c r="DR529" s="13">
        <v>2</v>
      </c>
      <c r="DS529" s="53"/>
      <c r="DT529" s="53">
        <f t="shared" si="914"/>
        <v>1100</v>
      </c>
      <c r="DU529" s="13">
        <f t="shared" si="915"/>
        <v>3300</v>
      </c>
      <c r="DV529" s="14">
        <f t="shared" si="916"/>
        <v>0.23741007194244604</v>
      </c>
      <c r="DW529" s="43" t="s">
        <v>357</v>
      </c>
    </row>
    <row r="530" spans="1:127" x14ac:dyDescent="0.2">
      <c r="A530" s="16"/>
      <c r="B530" s="11"/>
      <c r="C530" s="13">
        <v>2284</v>
      </c>
      <c r="D530" s="13">
        <f t="shared" si="917"/>
        <v>93</v>
      </c>
      <c r="E530" s="13">
        <v>319</v>
      </c>
      <c r="F530" s="13">
        <f t="shared" si="918"/>
        <v>2</v>
      </c>
      <c r="G530" s="13">
        <v>5</v>
      </c>
      <c r="H530" s="50">
        <f t="shared" si="919"/>
        <v>2</v>
      </c>
      <c r="I530" s="13">
        <v>0</v>
      </c>
      <c r="J530" s="56" t="str">
        <f t="shared" si="920"/>
        <v>液晶デジカメ</v>
      </c>
      <c r="K530" s="54">
        <f t="shared" si="921"/>
        <v>1075</v>
      </c>
      <c r="L530" s="13">
        <f t="shared" si="922"/>
        <v>2150</v>
      </c>
      <c r="M530" s="14">
        <f t="shared" si="923"/>
        <v>0.23118279569892472</v>
      </c>
      <c r="N530" s="15"/>
      <c r="O530" s="2"/>
      <c r="P530" s="16"/>
      <c r="Q530" s="13">
        <v>2457</v>
      </c>
      <c r="R530" s="87">
        <f t="shared" si="924"/>
        <v>59</v>
      </c>
      <c r="S530" s="13">
        <v>87</v>
      </c>
      <c r="T530" s="13">
        <f t="shared" si="925"/>
        <v>0</v>
      </c>
      <c r="U530" s="13">
        <v>6</v>
      </c>
      <c r="V530" s="50">
        <f t="shared" si="926"/>
        <v>0</v>
      </c>
      <c r="W530" s="13">
        <v>10</v>
      </c>
      <c r="X530" s="56" t="str">
        <f t="shared" si="927"/>
        <v>LOTTEチョコイヤホン</v>
      </c>
      <c r="Y530" s="54">
        <f t="shared" si="928"/>
        <v>1100</v>
      </c>
      <c r="Z530" s="13">
        <f t="shared" si="929"/>
        <v>0</v>
      </c>
      <c r="AA530" s="14">
        <f t="shared" si="930"/>
        <v>0</v>
      </c>
      <c r="AB530" s="15"/>
      <c r="AC530" s="113"/>
      <c r="AD530" s="147"/>
      <c r="AE530" s="13">
        <v>7829</v>
      </c>
      <c r="AF530" s="13">
        <f t="shared" si="931"/>
        <v>112</v>
      </c>
      <c r="AG530" s="13">
        <v>179</v>
      </c>
      <c r="AH530" s="13">
        <f t="shared" si="932"/>
        <v>3</v>
      </c>
      <c r="AI530" s="13">
        <v>7</v>
      </c>
      <c r="AJ530" s="50">
        <f t="shared" si="933"/>
        <v>3</v>
      </c>
      <c r="AK530" s="13">
        <v>4</v>
      </c>
      <c r="AL530" s="56" t="str">
        <f t="shared" si="934"/>
        <v>キティヒョウ柄マスコット</v>
      </c>
      <c r="AM530" s="54">
        <f t="shared" si="934"/>
        <v>996</v>
      </c>
      <c r="AN530" s="13">
        <f t="shared" si="935"/>
        <v>2988</v>
      </c>
      <c r="AO530" s="14">
        <f t="shared" si="936"/>
        <v>0.26678571428571429</v>
      </c>
      <c r="AP530" s="15"/>
      <c r="AQ530" s="115"/>
      <c r="AR530" s="16"/>
      <c r="AS530" s="13">
        <v>6083</v>
      </c>
      <c r="AT530" s="13">
        <f t="shared" si="937"/>
        <v>77</v>
      </c>
      <c r="AU530" s="13">
        <v>295</v>
      </c>
      <c r="AV530" s="13">
        <f t="shared" si="938"/>
        <v>4</v>
      </c>
      <c r="AW530" s="13">
        <v>32</v>
      </c>
      <c r="AX530" s="50">
        <f t="shared" si="939"/>
        <v>5</v>
      </c>
      <c r="AY530" s="13">
        <v>0</v>
      </c>
      <c r="AZ530" s="56" t="str">
        <f t="shared" si="940"/>
        <v>ねこアイシャドウ</v>
      </c>
      <c r="BA530" s="54">
        <f t="shared" si="941"/>
        <v>1000</v>
      </c>
      <c r="BB530" s="13">
        <f t="shared" si="942"/>
        <v>5000</v>
      </c>
      <c r="BC530" s="14">
        <f t="shared" si="943"/>
        <v>0.64935064935064934</v>
      </c>
      <c r="BD530" s="15"/>
      <c r="BT530" s="15"/>
      <c r="BU530" s="79">
        <f>IF($A557="","",$A557)</f>
        <v>45973</v>
      </c>
      <c r="BV530" s="17">
        <v>9808</v>
      </c>
      <c r="BW530" s="13">
        <f t="shared" si="893"/>
        <v>19</v>
      </c>
      <c r="BX530" s="13">
        <v>234</v>
      </c>
      <c r="BY530" s="13">
        <f t="shared" si="894"/>
        <v>2</v>
      </c>
      <c r="BZ530" s="13">
        <v>14</v>
      </c>
      <c r="CA530" s="13">
        <f t="shared" si="895"/>
        <v>1</v>
      </c>
      <c r="CB530" s="13">
        <v>0</v>
      </c>
      <c r="CC530" s="53"/>
      <c r="CD530" s="53">
        <f t="shared" si="896"/>
        <v>550</v>
      </c>
      <c r="CE530" s="13">
        <f t="shared" si="897"/>
        <v>550</v>
      </c>
      <c r="CF530" s="14">
        <f t="shared" si="898"/>
        <v>0.28947368421052633</v>
      </c>
      <c r="CG530" s="43"/>
      <c r="CH530" s="1"/>
      <c r="CI530" s="79">
        <f>IF($A557="","",$A557)</f>
        <v>45973</v>
      </c>
      <c r="CJ530" s="17">
        <v>8918</v>
      </c>
      <c r="CK530" s="13">
        <f t="shared" si="899"/>
        <v>49</v>
      </c>
      <c r="CL530" s="13">
        <v>139</v>
      </c>
      <c r="CM530" s="13">
        <f t="shared" si="900"/>
        <v>1</v>
      </c>
      <c r="CN530" s="13">
        <v>2</v>
      </c>
      <c r="CO530" s="13">
        <f t="shared" si="901"/>
        <v>1</v>
      </c>
      <c r="CP530" s="13">
        <v>6</v>
      </c>
      <c r="CQ530" s="53"/>
      <c r="CR530" s="53">
        <f t="shared" si="902"/>
        <v>715</v>
      </c>
      <c r="CS530" s="13">
        <f t="shared" si="903"/>
        <v>715</v>
      </c>
      <c r="CT530" s="14">
        <f t="shared" si="904"/>
        <v>0.14591836734693878</v>
      </c>
      <c r="CU530" s="43"/>
      <c r="CV530" s="1"/>
      <c r="CW530" s="79">
        <f>IF($A557="","",$A557)</f>
        <v>45973</v>
      </c>
      <c r="CX530" s="17">
        <v>8722</v>
      </c>
      <c r="CY530" s="13">
        <f t="shared" si="905"/>
        <v>33</v>
      </c>
      <c r="CZ530" s="13">
        <v>179</v>
      </c>
      <c r="DA530" s="13">
        <f t="shared" si="906"/>
        <v>1</v>
      </c>
      <c r="DB530" s="13">
        <v>61</v>
      </c>
      <c r="DC530" s="13">
        <f t="shared" si="907"/>
        <v>1</v>
      </c>
      <c r="DD530" s="13">
        <v>0</v>
      </c>
      <c r="DE530" s="53"/>
      <c r="DF530" s="53">
        <f t="shared" si="908"/>
        <v>880</v>
      </c>
      <c r="DG530" s="13">
        <f t="shared" si="909"/>
        <v>880</v>
      </c>
      <c r="DH530" s="14">
        <f t="shared" si="910"/>
        <v>0.26666666666666666</v>
      </c>
      <c r="DI530" s="43"/>
      <c r="DJ530" s="1"/>
      <c r="DK530" s="79">
        <f>IF($A557="","",$A557)</f>
        <v>45973</v>
      </c>
      <c r="DL530" s="17">
        <v>6631</v>
      </c>
      <c r="DM530" s="13">
        <f t="shared" si="911"/>
        <v>60</v>
      </c>
      <c r="DN530" s="13">
        <v>236</v>
      </c>
      <c r="DO530" s="13">
        <f t="shared" si="912"/>
        <v>0</v>
      </c>
      <c r="DP530" s="13">
        <v>40</v>
      </c>
      <c r="DQ530" s="13">
        <f t="shared" si="913"/>
        <v>0</v>
      </c>
      <c r="DR530" s="13">
        <v>2</v>
      </c>
      <c r="DS530" s="53"/>
      <c r="DT530" s="53">
        <f t="shared" si="914"/>
        <v>1100</v>
      </c>
      <c r="DU530" s="13">
        <f t="shared" si="915"/>
        <v>0</v>
      </c>
      <c r="DV530" s="14">
        <f t="shared" si="916"/>
        <v>0</v>
      </c>
      <c r="DW530" s="43"/>
    </row>
    <row r="531" spans="1:127" x14ac:dyDescent="0.2">
      <c r="A531" s="16"/>
      <c r="B531" s="11"/>
      <c r="C531" s="13">
        <v>8141</v>
      </c>
      <c r="D531" s="13">
        <f t="shared" si="917"/>
        <v>145</v>
      </c>
      <c r="E531" s="13">
        <v>493</v>
      </c>
      <c r="F531" s="13">
        <f t="shared" si="918"/>
        <v>6</v>
      </c>
      <c r="G531" s="13">
        <v>120</v>
      </c>
      <c r="H531" s="13">
        <f t="shared" si="919"/>
        <v>10</v>
      </c>
      <c r="I531" s="13">
        <v>40</v>
      </c>
      <c r="J531" s="56" t="str">
        <f t="shared" si="920"/>
        <v>AIモンスタラバー</v>
      </c>
      <c r="K531" s="13">
        <f t="shared" si="921"/>
        <v>200</v>
      </c>
      <c r="L531" s="13">
        <f t="shared" si="922"/>
        <v>2000</v>
      </c>
      <c r="M531" s="14">
        <f t="shared" si="923"/>
        <v>0.13793103448275862</v>
      </c>
      <c r="N531" s="15"/>
      <c r="O531" s="2"/>
      <c r="P531" s="16"/>
      <c r="Q531" s="13">
        <v>5810</v>
      </c>
      <c r="R531" s="13">
        <f t="shared" si="924"/>
        <v>256</v>
      </c>
      <c r="S531" s="13">
        <v>91</v>
      </c>
      <c r="T531" s="13">
        <f t="shared" si="925"/>
        <v>3</v>
      </c>
      <c r="U531" s="13">
        <v>77</v>
      </c>
      <c r="V531" s="13">
        <f t="shared" si="926"/>
        <v>5</v>
      </c>
      <c r="W531" s="13">
        <v>0</v>
      </c>
      <c r="X531" s="56" t="str">
        <f t="shared" si="927"/>
        <v>アングリーキーホルダー</v>
      </c>
      <c r="Y531" s="13">
        <f t="shared" si="928"/>
        <v>100</v>
      </c>
      <c r="Z531" s="13">
        <f t="shared" si="929"/>
        <v>500</v>
      </c>
      <c r="AA531" s="14">
        <f t="shared" si="930"/>
        <v>1.953125E-2</v>
      </c>
      <c r="AB531" s="15"/>
      <c r="AC531" s="113"/>
      <c r="AD531" s="147"/>
      <c r="AE531" s="13">
        <v>8955</v>
      </c>
      <c r="AF531" s="13">
        <f t="shared" si="931"/>
        <v>258</v>
      </c>
      <c r="AG531" s="13">
        <v>279</v>
      </c>
      <c r="AH531" s="13">
        <f t="shared" si="932"/>
        <v>2</v>
      </c>
      <c r="AI531" s="13">
        <v>40</v>
      </c>
      <c r="AJ531" s="13">
        <f t="shared" si="933"/>
        <v>2</v>
      </c>
      <c r="AK531" s="13">
        <v>0</v>
      </c>
      <c r="AL531" s="56" t="str">
        <f t="shared" si="934"/>
        <v>ラブブキーホルダー</v>
      </c>
      <c r="AM531" s="13">
        <f t="shared" si="934"/>
        <v>400</v>
      </c>
      <c r="AN531" s="13">
        <f t="shared" si="935"/>
        <v>800</v>
      </c>
      <c r="AO531" s="14">
        <f t="shared" si="936"/>
        <v>3.1007751937984496E-2</v>
      </c>
      <c r="AP531" s="15"/>
      <c r="AQ531" s="115"/>
      <c r="AR531" s="16"/>
      <c r="AS531" s="13">
        <v>10494</v>
      </c>
      <c r="AT531" s="13">
        <f t="shared" si="937"/>
        <v>254</v>
      </c>
      <c r="AU531" s="13">
        <v>415</v>
      </c>
      <c r="AV531" s="13">
        <f t="shared" si="938"/>
        <v>12</v>
      </c>
      <c r="AW531" s="13">
        <v>5</v>
      </c>
      <c r="AX531" s="13">
        <f t="shared" si="939"/>
        <v>10</v>
      </c>
      <c r="AY531" s="13">
        <v>8</v>
      </c>
      <c r="AZ531" s="56" t="str">
        <f t="shared" si="940"/>
        <v>ラブブキーホルダーおおきめ</v>
      </c>
      <c r="BA531" s="13">
        <f t="shared" si="941"/>
        <v>500</v>
      </c>
      <c r="BB531" s="13">
        <f t="shared" si="942"/>
        <v>5000</v>
      </c>
      <c r="BC531" s="14">
        <f t="shared" si="943"/>
        <v>0.19685039370078741</v>
      </c>
      <c r="BD531" s="15"/>
      <c r="BT531" s="15"/>
      <c r="BU531" s="79" t="str">
        <f>IF($A561="","",$A561)</f>
        <v/>
      </c>
      <c r="BV531" s="17"/>
      <c r="BW531" s="13"/>
      <c r="BX531" s="13"/>
      <c r="BY531" s="13"/>
      <c r="BZ531" s="13"/>
      <c r="CA531" s="13"/>
      <c r="CB531" s="13"/>
      <c r="CC531" s="53"/>
      <c r="CD531" s="53"/>
      <c r="CE531" s="13"/>
      <c r="CF531" s="14"/>
      <c r="CG531" s="43"/>
      <c r="CH531" s="1"/>
      <c r="CI531" s="79"/>
      <c r="CJ531" s="17"/>
      <c r="CK531" s="13"/>
      <c r="CL531" s="13"/>
      <c r="CM531" s="13"/>
      <c r="CN531" s="13"/>
      <c r="CO531" s="13"/>
      <c r="CP531" s="13"/>
      <c r="CQ531" s="53"/>
      <c r="CR531" s="53"/>
      <c r="CS531" s="13"/>
      <c r="CT531" s="14"/>
      <c r="CU531" s="43"/>
      <c r="CV531" s="1"/>
      <c r="CW531" s="79"/>
      <c r="CX531" s="17"/>
      <c r="CY531" s="13"/>
      <c r="CZ531" s="13"/>
      <c r="DA531" s="13"/>
      <c r="DB531" s="13"/>
      <c r="DC531" s="13"/>
      <c r="DD531" s="13"/>
      <c r="DE531" s="53"/>
      <c r="DF531" s="53"/>
      <c r="DG531" s="13"/>
      <c r="DH531" s="14"/>
      <c r="DI531" s="43"/>
      <c r="DJ531" s="1"/>
      <c r="DK531" s="79"/>
      <c r="DL531" s="17"/>
      <c r="DM531" s="13"/>
      <c r="DN531" s="13"/>
      <c r="DO531" s="13"/>
      <c r="DP531" s="13"/>
      <c r="DQ531" s="13"/>
      <c r="DR531" s="13"/>
      <c r="DS531" s="53"/>
      <c r="DT531" s="53"/>
      <c r="DU531" s="13"/>
      <c r="DV531" s="14"/>
      <c r="DW531" s="43"/>
    </row>
    <row r="532" spans="1:127" ht="15" customHeight="1" thickBot="1" x14ac:dyDescent="0.25">
      <c r="A532" s="26"/>
      <c r="B532" s="46"/>
      <c r="C532" s="27">
        <v>3951</v>
      </c>
      <c r="D532" s="27">
        <f t="shared" si="917"/>
        <v>142</v>
      </c>
      <c r="E532" s="27">
        <v>388</v>
      </c>
      <c r="F532" s="27">
        <f t="shared" si="918"/>
        <v>3</v>
      </c>
      <c r="G532" s="27">
        <v>50</v>
      </c>
      <c r="H532" s="27">
        <f t="shared" si="919"/>
        <v>4</v>
      </c>
      <c r="I532" s="27">
        <v>6</v>
      </c>
      <c r="J532" s="57" t="str">
        <f t="shared" si="920"/>
        <v>NICIマスコット</v>
      </c>
      <c r="K532" s="62">
        <f t="shared" si="921"/>
        <v>900</v>
      </c>
      <c r="L532" s="27">
        <f t="shared" si="922"/>
        <v>3600</v>
      </c>
      <c r="M532" s="28">
        <f t="shared" si="923"/>
        <v>0.25352112676056338</v>
      </c>
      <c r="N532" s="15"/>
      <c r="O532" s="2"/>
      <c r="P532" s="26"/>
      <c r="Q532" s="27">
        <v>4963</v>
      </c>
      <c r="R532" s="27">
        <f t="shared" si="924"/>
        <v>116</v>
      </c>
      <c r="S532" s="27">
        <v>87</v>
      </c>
      <c r="T532" s="27">
        <f t="shared" si="925"/>
        <v>1</v>
      </c>
      <c r="U532" s="27">
        <v>10</v>
      </c>
      <c r="V532" s="27">
        <f t="shared" si="926"/>
        <v>0</v>
      </c>
      <c r="W532" s="27">
        <v>6</v>
      </c>
      <c r="X532" s="57" t="str">
        <f t="shared" si="927"/>
        <v>ＡＩマスコット</v>
      </c>
      <c r="Y532" s="62">
        <f t="shared" si="928"/>
        <v>286</v>
      </c>
      <c r="Z532" s="27">
        <f t="shared" si="929"/>
        <v>0</v>
      </c>
      <c r="AA532" s="28">
        <f t="shared" si="930"/>
        <v>0</v>
      </c>
      <c r="AB532" s="15"/>
      <c r="AC532" s="113"/>
      <c r="AD532" s="145"/>
      <c r="AE532" s="27">
        <v>9270</v>
      </c>
      <c r="AF532" s="27">
        <f t="shared" si="931"/>
        <v>95</v>
      </c>
      <c r="AG532" s="27">
        <v>256</v>
      </c>
      <c r="AH532" s="27">
        <f t="shared" si="932"/>
        <v>1</v>
      </c>
      <c r="AI532" s="27">
        <v>13</v>
      </c>
      <c r="AJ532" s="27">
        <f t="shared" si="933"/>
        <v>1</v>
      </c>
      <c r="AK532" s="27">
        <v>4</v>
      </c>
      <c r="AL532" s="57" t="str">
        <f t="shared" si="934"/>
        <v>しなこくま</v>
      </c>
      <c r="AM532" s="62">
        <f t="shared" si="934"/>
        <v>528</v>
      </c>
      <c r="AN532" s="27">
        <f t="shared" si="935"/>
        <v>528</v>
      </c>
      <c r="AO532" s="28">
        <f t="shared" si="936"/>
        <v>5.5578947368421054E-2</v>
      </c>
      <c r="AP532" s="15"/>
      <c r="AQ532" s="115"/>
      <c r="AR532" s="26"/>
      <c r="AS532" s="27">
        <v>10815</v>
      </c>
      <c r="AT532" s="27">
        <f t="shared" si="937"/>
        <v>426</v>
      </c>
      <c r="AU532" s="27">
        <v>365</v>
      </c>
      <c r="AV532" s="27">
        <f t="shared" si="938"/>
        <v>4</v>
      </c>
      <c r="AW532" s="27">
        <v>15</v>
      </c>
      <c r="AX532" s="27">
        <f t="shared" si="939"/>
        <v>4</v>
      </c>
      <c r="AY532" s="27">
        <v>3</v>
      </c>
      <c r="AZ532" s="57" t="str">
        <f t="shared" si="940"/>
        <v>ラブブマスコット</v>
      </c>
      <c r="BA532" s="62">
        <f t="shared" si="941"/>
        <v>400</v>
      </c>
      <c r="BB532" s="27">
        <f t="shared" si="942"/>
        <v>1600</v>
      </c>
      <c r="BC532" s="28">
        <f t="shared" si="943"/>
        <v>3.7558685446009391E-2</v>
      </c>
      <c r="BD532" s="15"/>
      <c r="BT532" s="15"/>
      <c r="BU532" s="79" t="str">
        <f>IF($A565="","",$A565)</f>
        <v/>
      </c>
      <c r="BV532" s="17"/>
      <c r="BW532" s="13"/>
      <c r="BX532" s="13"/>
      <c r="BY532" s="13"/>
      <c r="BZ532" s="13"/>
      <c r="CA532" s="13"/>
      <c r="CB532" s="13"/>
      <c r="CC532" s="53"/>
      <c r="CD532" s="53"/>
      <c r="CE532" s="13"/>
      <c r="CF532" s="14"/>
      <c r="CG532" s="15"/>
      <c r="CH532" s="1"/>
      <c r="CI532" s="79"/>
      <c r="CJ532" s="17"/>
      <c r="CK532" s="13"/>
      <c r="CL532" s="13"/>
      <c r="CM532" s="13"/>
      <c r="CN532" s="13"/>
      <c r="CO532" s="13"/>
      <c r="CP532" s="13"/>
      <c r="CQ532" s="53"/>
      <c r="CR532" s="53"/>
      <c r="CS532" s="13"/>
      <c r="CT532" s="14"/>
      <c r="CU532" s="15"/>
      <c r="CV532" s="1"/>
      <c r="CW532" s="79"/>
      <c r="CX532" s="17"/>
      <c r="CY532" s="13"/>
      <c r="CZ532" s="13"/>
      <c r="DA532" s="13"/>
      <c r="DB532" s="13"/>
      <c r="DC532" s="13"/>
      <c r="DD532" s="13"/>
      <c r="DE532" s="53"/>
      <c r="DF532" s="53"/>
      <c r="DG532" s="13"/>
      <c r="DH532" s="14"/>
      <c r="DI532" s="15"/>
      <c r="DJ532" s="1"/>
      <c r="DK532" s="79"/>
      <c r="DL532" s="17"/>
      <c r="DM532" s="13"/>
      <c r="DN532" s="13"/>
      <c r="DO532" s="13"/>
      <c r="DP532" s="13"/>
      <c r="DQ532" s="13"/>
      <c r="DR532" s="13"/>
      <c r="DS532" s="53"/>
      <c r="DT532" s="53"/>
      <c r="DU532" s="13"/>
      <c r="DV532" s="14"/>
      <c r="DW532" s="15"/>
    </row>
    <row r="533" spans="1:127" ht="15" customHeight="1" thickTop="1" x14ac:dyDescent="0.2">
      <c r="A533" s="79">
        <v>45954</v>
      </c>
      <c r="B533" s="74">
        <f>IF(A533="","",SUM(D533:D536)+SUM(R533:R536)+SUM(AF533:AF536)+SUM(AT533:AT536)+SUM(BW524,CK524,CY524,DM524))</f>
        <v>2297</v>
      </c>
      <c r="C533" s="53">
        <v>3175</v>
      </c>
      <c r="D533" s="53">
        <f t="shared" si="917"/>
        <v>67</v>
      </c>
      <c r="E533" s="53">
        <v>303</v>
      </c>
      <c r="F533" s="31">
        <f t="shared" si="918"/>
        <v>2</v>
      </c>
      <c r="G533" s="53">
        <v>22</v>
      </c>
      <c r="H533" s="53">
        <f t="shared" si="919"/>
        <v>2</v>
      </c>
      <c r="I533" s="80">
        <v>0</v>
      </c>
      <c r="J533" s="75" t="str">
        <f t="shared" si="920"/>
        <v>ジャグラーサウンドボタン</v>
      </c>
      <c r="K533" s="76">
        <f t="shared" si="921"/>
        <v>748</v>
      </c>
      <c r="L533" s="31">
        <f t="shared" si="922"/>
        <v>1496</v>
      </c>
      <c r="M533" s="32">
        <f t="shared" si="923"/>
        <v>0.22328358208955223</v>
      </c>
      <c r="N533" s="15"/>
      <c r="O533" s="2"/>
      <c r="P533" s="79">
        <f>IF(A533="","",A533)</f>
        <v>45954</v>
      </c>
      <c r="Q533" s="53">
        <v>2763</v>
      </c>
      <c r="R533" s="53">
        <f t="shared" si="924"/>
        <v>118</v>
      </c>
      <c r="S533" s="53">
        <v>105</v>
      </c>
      <c r="T533" s="31">
        <f t="shared" si="925"/>
        <v>3</v>
      </c>
      <c r="U533" s="53">
        <v>4</v>
      </c>
      <c r="V533" s="53">
        <f t="shared" si="926"/>
        <v>3</v>
      </c>
      <c r="W533" s="80">
        <v>0</v>
      </c>
      <c r="X533" s="75" t="str">
        <f t="shared" si="927"/>
        <v>キティフェイスポーチ</v>
      </c>
      <c r="Y533" s="76">
        <f t="shared" si="928"/>
        <v>957</v>
      </c>
      <c r="Z533" s="31">
        <f t="shared" si="929"/>
        <v>2871</v>
      </c>
      <c r="AA533" s="32">
        <f t="shared" si="930"/>
        <v>0.24330508474576271</v>
      </c>
      <c r="AB533" s="15"/>
      <c r="AC533" s="113"/>
      <c r="AD533" s="146">
        <f>IF($A533="","",$A533)</f>
        <v>45954</v>
      </c>
      <c r="AE533" s="53">
        <v>8160</v>
      </c>
      <c r="AF533" s="53">
        <f t="shared" si="931"/>
        <v>166</v>
      </c>
      <c r="AG533" s="53">
        <v>183</v>
      </c>
      <c r="AH533" s="31">
        <f t="shared" si="932"/>
        <v>3</v>
      </c>
      <c r="AI533" s="53">
        <v>0</v>
      </c>
      <c r="AJ533" s="129">
        <f t="shared" si="933"/>
        <v>6</v>
      </c>
      <c r="AK533" s="80">
        <v>10</v>
      </c>
      <c r="AL533" s="75" t="s">
        <v>336</v>
      </c>
      <c r="AM533" s="76">
        <f t="shared" ref="AM533:AM572" si="944">IF(AF533="","",AM529)</f>
        <v>0</v>
      </c>
      <c r="AN533" s="31">
        <f t="shared" si="935"/>
        <v>0</v>
      </c>
      <c r="AO533" s="32">
        <f t="shared" si="936"/>
        <v>0</v>
      </c>
      <c r="AP533" s="15" t="s">
        <v>337</v>
      </c>
      <c r="AQ533" s="15"/>
      <c r="AR533" s="79">
        <f>IF($A533="","",$A533)</f>
        <v>45954</v>
      </c>
      <c r="AS533" s="53">
        <v>8767</v>
      </c>
      <c r="AT533" s="53">
        <f t="shared" si="937"/>
        <v>46</v>
      </c>
      <c r="AU533" s="53">
        <v>263</v>
      </c>
      <c r="AV533" s="31">
        <f t="shared" si="938"/>
        <v>3</v>
      </c>
      <c r="AW533" s="53">
        <v>22</v>
      </c>
      <c r="AX533" s="53">
        <f t="shared" si="939"/>
        <v>6</v>
      </c>
      <c r="AY533" s="80">
        <v>0</v>
      </c>
      <c r="AZ533" s="75" t="str">
        <f t="shared" si="940"/>
        <v>こびとづかんキーケース</v>
      </c>
      <c r="BA533" s="76">
        <f t="shared" si="941"/>
        <v>726</v>
      </c>
      <c r="BB533" s="31">
        <f t="shared" si="942"/>
        <v>4356</v>
      </c>
      <c r="BC533" s="32">
        <f t="shared" si="943"/>
        <v>0.94695652173913047</v>
      </c>
      <c r="BD533" s="15"/>
      <c r="BT533" s="15"/>
      <c r="BU533" s="79" t="str">
        <f>IF($A569="","",$A569)</f>
        <v/>
      </c>
      <c r="BV533" s="17"/>
      <c r="BW533" s="13" t="str">
        <f t="shared" si="893"/>
        <v/>
      </c>
      <c r="BX533" s="13"/>
      <c r="BY533" s="13" t="str">
        <f t="shared" si="894"/>
        <v/>
      </c>
      <c r="BZ533" s="13"/>
      <c r="CA533" s="13" t="str">
        <f t="shared" si="895"/>
        <v/>
      </c>
      <c r="CB533" s="13"/>
      <c r="CC533" s="53"/>
      <c r="CD533" s="53" t="str">
        <f t="shared" si="896"/>
        <v/>
      </c>
      <c r="CE533" s="13" t="str">
        <f t="shared" si="897"/>
        <v/>
      </c>
      <c r="CF533" s="14" t="str">
        <f t="shared" si="898"/>
        <v/>
      </c>
      <c r="CG533" s="15"/>
      <c r="CH533" s="1"/>
      <c r="CI533" s="79" t="str">
        <f>IF($A569="","",$A569)</f>
        <v/>
      </c>
      <c r="CJ533" s="17"/>
      <c r="CK533" s="13" t="str">
        <f t="shared" si="899"/>
        <v/>
      </c>
      <c r="CL533" s="13"/>
      <c r="CM533" s="13" t="str">
        <f t="shared" si="900"/>
        <v/>
      </c>
      <c r="CN533" s="13"/>
      <c r="CO533" s="13" t="str">
        <f t="shared" si="901"/>
        <v/>
      </c>
      <c r="CP533" s="13"/>
      <c r="CQ533" s="53"/>
      <c r="CR533" s="53" t="str">
        <f t="shared" si="902"/>
        <v/>
      </c>
      <c r="CS533" s="13" t="str">
        <f t="shared" si="903"/>
        <v/>
      </c>
      <c r="CT533" s="14" t="str">
        <f t="shared" si="904"/>
        <v/>
      </c>
      <c r="CU533" s="15"/>
      <c r="CV533" s="1"/>
      <c r="CW533" s="79" t="str">
        <f>IF($A569="","",$A569)</f>
        <v/>
      </c>
      <c r="CX533" s="17"/>
      <c r="CY533" s="13" t="str">
        <f t="shared" si="905"/>
        <v/>
      </c>
      <c r="CZ533" s="13"/>
      <c r="DA533" s="13" t="str">
        <f t="shared" si="906"/>
        <v/>
      </c>
      <c r="DB533" s="13"/>
      <c r="DC533" s="13" t="str">
        <f t="shared" si="907"/>
        <v/>
      </c>
      <c r="DD533" s="13"/>
      <c r="DE533" s="53"/>
      <c r="DF533" s="53" t="str">
        <f t="shared" si="908"/>
        <v/>
      </c>
      <c r="DG533" s="13" t="str">
        <f t="shared" si="909"/>
        <v/>
      </c>
      <c r="DH533" s="14" t="str">
        <f t="shared" si="910"/>
        <v/>
      </c>
      <c r="DI533" s="15"/>
      <c r="DJ533" s="1"/>
      <c r="DK533" s="79" t="str">
        <f>IF($A569="","",$A569)</f>
        <v/>
      </c>
      <c r="DL533" s="17"/>
      <c r="DM533" s="13" t="str">
        <f t="shared" si="911"/>
        <v/>
      </c>
      <c r="DN533" s="13"/>
      <c r="DO533" s="13" t="str">
        <f t="shared" si="912"/>
        <v/>
      </c>
      <c r="DP533" s="13"/>
      <c r="DQ533" s="13" t="str">
        <f t="shared" si="913"/>
        <v/>
      </c>
      <c r="DR533" s="13"/>
      <c r="DS533" s="53"/>
      <c r="DT533" s="53" t="str">
        <f t="shared" si="914"/>
        <v/>
      </c>
      <c r="DU533" s="13" t="str">
        <f t="shared" si="915"/>
        <v/>
      </c>
      <c r="DV533" s="14" t="str">
        <f t="shared" si="916"/>
        <v/>
      </c>
      <c r="DW533" s="15"/>
    </row>
    <row r="534" spans="1:127" x14ac:dyDescent="0.2">
      <c r="A534" s="16"/>
      <c r="B534" s="11"/>
      <c r="C534" s="13">
        <v>2331</v>
      </c>
      <c r="D534" s="53">
        <f t="shared" si="917"/>
        <v>47</v>
      </c>
      <c r="E534" s="13">
        <v>320</v>
      </c>
      <c r="F534" s="13">
        <f t="shared" si="918"/>
        <v>1</v>
      </c>
      <c r="G534" s="13">
        <v>4</v>
      </c>
      <c r="H534" s="13">
        <f t="shared" si="919"/>
        <v>1</v>
      </c>
      <c r="I534" s="17">
        <v>10</v>
      </c>
      <c r="J534" s="56" t="str">
        <f t="shared" si="920"/>
        <v>液晶デジカメ</v>
      </c>
      <c r="K534" s="54">
        <f t="shared" si="921"/>
        <v>1075</v>
      </c>
      <c r="L534" s="13">
        <f t="shared" si="922"/>
        <v>1075</v>
      </c>
      <c r="M534" s="14">
        <f t="shared" si="923"/>
        <v>0.22872340425531915</v>
      </c>
      <c r="N534" s="15"/>
      <c r="O534" s="2"/>
      <c r="P534" s="16"/>
      <c r="Q534" s="13">
        <v>2488</v>
      </c>
      <c r="R534" s="53">
        <f t="shared" si="924"/>
        <v>31</v>
      </c>
      <c r="S534" s="13">
        <v>88</v>
      </c>
      <c r="T534" s="13">
        <f t="shared" si="925"/>
        <v>1</v>
      </c>
      <c r="U534" s="13">
        <v>15</v>
      </c>
      <c r="V534" s="13">
        <f t="shared" si="926"/>
        <v>1</v>
      </c>
      <c r="W534" s="17">
        <v>5</v>
      </c>
      <c r="X534" s="56" t="str">
        <f t="shared" si="927"/>
        <v>LOTTEチョコイヤホン</v>
      </c>
      <c r="Y534" s="54">
        <f t="shared" si="928"/>
        <v>1100</v>
      </c>
      <c r="Z534" s="13">
        <f t="shared" si="929"/>
        <v>1100</v>
      </c>
      <c r="AA534" s="14">
        <f t="shared" si="930"/>
        <v>0.35483870967741937</v>
      </c>
      <c r="AB534" s="15" t="s">
        <v>339</v>
      </c>
      <c r="AC534" s="113"/>
      <c r="AD534" s="147"/>
      <c r="AE534" s="13">
        <v>7945</v>
      </c>
      <c r="AF534" s="53">
        <f t="shared" si="931"/>
        <v>116</v>
      </c>
      <c r="AG534" s="13">
        <v>180</v>
      </c>
      <c r="AH534" s="13">
        <f t="shared" si="932"/>
        <v>1</v>
      </c>
      <c r="AI534" s="13">
        <v>10</v>
      </c>
      <c r="AJ534" s="13">
        <f t="shared" si="933"/>
        <v>1</v>
      </c>
      <c r="AK534" s="17">
        <v>2</v>
      </c>
      <c r="AL534" s="56" t="str">
        <f t="shared" ref="AL534:AL572" si="945">IF(AE534="","",AL530)</f>
        <v>キティヒョウ柄マスコット</v>
      </c>
      <c r="AM534" s="54">
        <f t="shared" si="944"/>
        <v>996</v>
      </c>
      <c r="AN534" s="13">
        <f t="shared" si="935"/>
        <v>996</v>
      </c>
      <c r="AO534" s="14">
        <f t="shared" si="936"/>
        <v>8.5862068965517235E-2</v>
      </c>
      <c r="AP534" s="15"/>
      <c r="AQ534" s="15"/>
      <c r="AR534" s="16"/>
      <c r="AS534" s="13">
        <v>6148</v>
      </c>
      <c r="AT534" s="53">
        <f t="shared" si="937"/>
        <v>65</v>
      </c>
      <c r="AU534" s="13">
        <v>301</v>
      </c>
      <c r="AV534" s="13">
        <f t="shared" si="938"/>
        <v>6</v>
      </c>
      <c r="AW534" s="13">
        <v>27</v>
      </c>
      <c r="AX534" s="13">
        <f t="shared" si="939"/>
        <v>5</v>
      </c>
      <c r="AY534" s="17">
        <v>0</v>
      </c>
      <c r="AZ534" s="56" t="str">
        <f t="shared" si="940"/>
        <v>ねこアイシャドウ</v>
      </c>
      <c r="BA534" s="54">
        <f t="shared" si="941"/>
        <v>1000</v>
      </c>
      <c r="BB534" s="13">
        <f t="shared" si="942"/>
        <v>5000</v>
      </c>
      <c r="BC534" s="14">
        <f t="shared" si="943"/>
        <v>0.76923076923076927</v>
      </c>
      <c r="BD534" s="15"/>
      <c r="BT534" s="15"/>
      <c r="BU534" s="79" t="str">
        <f>IF($A540="","",$A540)</f>
        <v/>
      </c>
      <c r="BV534" s="13"/>
      <c r="BW534" s="13" t="str">
        <f t="shared" si="893"/>
        <v/>
      </c>
      <c r="BX534" s="13"/>
      <c r="BY534" s="13" t="str">
        <f t="shared" si="894"/>
        <v/>
      </c>
      <c r="BZ534" s="13"/>
      <c r="CA534" s="13" t="str">
        <f t="shared" si="895"/>
        <v/>
      </c>
      <c r="CB534" s="13"/>
      <c r="CC534" s="53"/>
      <c r="CD534" s="53" t="str">
        <f t="shared" si="896"/>
        <v/>
      </c>
      <c r="CE534" s="13" t="str">
        <f t="shared" si="897"/>
        <v/>
      </c>
      <c r="CF534" s="14" t="str">
        <f>IF(CE534="","",CE534/(BV534*100))</f>
        <v/>
      </c>
      <c r="CG534" s="67"/>
      <c r="CH534" s="1"/>
      <c r="CI534" s="79" t="str">
        <f>IF($A540="","",$A540)</f>
        <v/>
      </c>
      <c r="CJ534" s="13"/>
      <c r="CK534" s="13" t="str">
        <f t="shared" si="899"/>
        <v/>
      </c>
      <c r="CL534" s="13"/>
      <c r="CM534" s="13" t="str">
        <f t="shared" si="900"/>
        <v/>
      </c>
      <c r="CN534" s="13"/>
      <c r="CO534" s="13" t="str">
        <f t="shared" si="901"/>
        <v/>
      </c>
      <c r="CP534" s="13"/>
      <c r="CQ534" s="53"/>
      <c r="CR534" s="53" t="str">
        <f t="shared" si="902"/>
        <v/>
      </c>
      <c r="CS534" s="13" t="str">
        <f t="shared" si="903"/>
        <v/>
      </c>
      <c r="CT534" s="14" t="str">
        <f t="shared" si="904"/>
        <v/>
      </c>
      <c r="CU534" s="15"/>
      <c r="CV534" s="1"/>
      <c r="CW534" s="79" t="str">
        <f>IF($A540="","",$A540)</f>
        <v/>
      </c>
      <c r="CX534" s="13"/>
      <c r="CY534" s="13" t="str">
        <f t="shared" si="905"/>
        <v/>
      </c>
      <c r="CZ534" s="13"/>
      <c r="DA534" s="13" t="str">
        <f t="shared" si="906"/>
        <v/>
      </c>
      <c r="DB534" s="13"/>
      <c r="DC534" s="13" t="str">
        <f t="shared" si="907"/>
        <v/>
      </c>
      <c r="DD534" s="13"/>
      <c r="DE534" s="53"/>
      <c r="DF534" s="53" t="str">
        <f t="shared" si="908"/>
        <v/>
      </c>
      <c r="DG534" s="13" t="str">
        <f t="shared" si="909"/>
        <v/>
      </c>
      <c r="DH534" s="14" t="str">
        <f t="shared" si="910"/>
        <v/>
      </c>
      <c r="DI534" s="15"/>
      <c r="DJ534" s="1"/>
      <c r="DK534" s="79" t="str">
        <f>IF($A540="","",$A540)</f>
        <v/>
      </c>
      <c r="DL534" s="13"/>
      <c r="DM534" s="13" t="str">
        <f t="shared" si="911"/>
        <v/>
      </c>
      <c r="DN534" s="13"/>
      <c r="DO534" s="13" t="str">
        <f t="shared" si="912"/>
        <v/>
      </c>
      <c r="DP534" s="13"/>
      <c r="DQ534" s="13" t="str">
        <f t="shared" si="913"/>
        <v/>
      </c>
      <c r="DR534" s="13"/>
      <c r="DS534" s="53"/>
      <c r="DT534" s="53" t="str">
        <f t="shared" si="914"/>
        <v/>
      </c>
      <c r="DU534" s="13" t="str">
        <f t="shared" si="915"/>
        <v/>
      </c>
      <c r="DV534" s="14" t="str">
        <f t="shared" si="916"/>
        <v/>
      </c>
      <c r="DW534" s="15"/>
    </row>
    <row r="535" spans="1:127" x14ac:dyDescent="0.2">
      <c r="A535" s="33"/>
      <c r="B535" s="48"/>
      <c r="C535" s="34">
        <v>8262</v>
      </c>
      <c r="D535" s="53">
        <f t="shared" si="917"/>
        <v>121</v>
      </c>
      <c r="E535" s="34">
        <v>497</v>
      </c>
      <c r="F535" s="13">
        <f t="shared" si="918"/>
        <v>4</v>
      </c>
      <c r="G535" s="34">
        <v>150</v>
      </c>
      <c r="H535" s="13">
        <f t="shared" si="919"/>
        <v>10</v>
      </c>
      <c r="I535" s="49">
        <v>10</v>
      </c>
      <c r="J535" s="56" t="str">
        <f t="shared" si="920"/>
        <v>AIモンスタラバー</v>
      </c>
      <c r="K535" s="13">
        <f t="shared" si="921"/>
        <v>200</v>
      </c>
      <c r="L535" s="13">
        <f t="shared" si="922"/>
        <v>2000</v>
      </c>
      <c r="M535" s="14">
        <f t="shared" si="923"/>
        <v>0.16528925619834711</v>
      </c>
      <c r="N535" s="15"/>
      <c r="O535" s="2"/>
      <c r="P535" s="33"/>
      <c r="Q535" s="34">
        <v>5927</v>
      </c>
      <c r="R535" s="53">
        <f t="shared" si="924"/>
        <v>117</v>
      </c>
      <c r="S535" s="34">
        <v>93</v>
      </c>
      <c r="T535" s="13">
        <f t="shared" si="925"/>
        <v>2</v>
      </c>
      <c r="U535" s="34">
        <v>75</v>
      </c>
      <c r="V535" s="13">
        <f t="shared" si="926"/>
        <v>2</v>
      </c>
      <c r="W535" s="49">
        <v>0</v>
      </c>
      <c r="X535" s="56" t="str">
        <f t="shared" si="927"/>
        <v>アングリーキーホルダー</v>
      </c>
      <c r="Y535" s="13">
        <f t="shared" si="928"/>
        <v>100</v>
      </c>
      <c r="Z535" s="13">
        <f t="shared" si="929"/>
        <v>200</v>
      </c>
      <c r="AA535" s="14">
        <f t="shared" si="930"/>
        <v>1.7094017094017096E-2</v>
      </c>
      <c r="AB535" s="15"/>
      <c r="AC535" s="84"/>
      <c r="AD535" s="33"/>
      <c r="AE535" s="34">
        <v>9124</v>
      </c>
      <c r="AF535" s="53">
        <f t="shared" si="931"/>
        <v>169</v>
      </c>
      <c r="AG535" s="34">
        <v>281</v>
      </c>
      <c r="AH535" s="13">
        <f t="shared" si="932"/>
        <v>2</v>
      </c>
      <c r="AI535" s="34">
        <v>36</v>
      </c>
      <c r="AJ535" s="13">
        <f t="shared" si="933"/>
        <v>4</v>
      </c>
      <c r="AK535" s="49">
        <v>4</v>
      </c>
      <c r="AL535" s="56" t="str">
        <f t="shared" si="945"/>
        <v>ラブブキーホルダー</v>
      </c>
      <c r="AM535" s="13">
        <f t="shared" si="944"/>
        <v>400</v>
      </c>
      <c r="AN535" s="13">
        <f t="shared" si="935"/>
        <v>1600</v>
      </c>
      <c r="AO535" s="14">
        <f t="shared" si="936"/>
        <v>9.4674556213017749E-2</v>
      </c>
      <c r="AP535" s="15"/>
      <c r="AQ535" s="15"/>
      <c r="AR535" s="33"/>
      <c r="AS535" s="34">
        <v>10648</v>
      </c>
      <c r="AT535" s="53">
        <f t="shared" si="937"/>
        <v>154</v>
      </c>
      <c r="AU535" s="34">
        <v>420</v>
      </c>
      <c r="AV535" s="13">
        <f t="shared" si="938"/>
        <v>5</v>
      </c>
      <c r="AW535" s="34">
        <v>9</v>
      </c>
      <c r="AX535" s="13">
        <f t="shared" si="939"/>
        <v>4</v>
      </c>
      <c r="AY535" s="49">
        <v>10</v>
      </c>
      <c r="AZ535" s="56" t="str">
        <f t="shared" si="940"/>
        <v>ラブブキーホルダーおおきめ</v>
      </c>
      <c r="BA535" s="13">
        <f t="shared" si="941"/>
        <v>500</v>
      </c>
      <c r="BB535" s="13">
        <f t="shared" si="942"/>
        <v>2000</v>
      </c>
      <c r="BC535" s="14">
        <f t="shared" si="943"/>
        <v>0.12987012987012986</v>
      </c>
      <c r="BD535" s="15"/>
      <c r="BT535" s="15"/>
      <c r="BU535" s="79"/>
      <c r="BV535" s="13"/>
      <c r="BW535" s="13"/>
      <c r="BX535" s="13"/>
      <c r="BY535" s="13"/>
      <c r="BZ535" s="13"/>
      <c r="CA535" s="13"/>
      <c r="CB535" s="13"/>
      <c r="CC535" s="53"/>
      <c r="CD535" s="53"/>
      <c r="CE535" s="13"/>
      <c r="CF535" s="14"/>
      <c r="CG535" s="67"/>
      <c r="CH535" s="1"/>
      <c r="CI535" s="79"/>
      <c r="CJ535" s="13"/>
      <c r="CK535" s="13"/>
      <c r="CL535" s="13"/>
      <c r="CM535" s="13"/>
      <c r="CN535" s="13"/>
      <c r="CO535" s="13"/>
      <c r="CP535" s="13"/>
      <c r="CQ535" s="53"/>
      <c r="CR535" s="53"/>
      <c r="CS535" s="13"/>
      <c r="CT535" s="14"/>
      <c r="CU535" s="15"/>
      <c r="CV535" s="1"/>
      <c r="CW535" s="79"/>
      <c r="CX535" s="13"/>
      <c r="CY535" s="13"/>
      <c r="CZ535" s="13"/>
      <c r="DA535" s="13"/>
      <c r="DB535" s="13"/>
      <c r="DC535" s="13"/>
      <c r="DD535" s="13"/>
      <c r="DE535" s="53"/>
      <c r="DF535" s="53"/>
      <c r="DG535" s="13"/>
      <c r="DH535" s="14"/>
      <c r="DI535" s="15"/>
      <c r="DJ535" s="1"/>
      <c r="DK535" s="79"/>
      <c r="DL535" s="13"/>
      <c r="DM535" s="13"/>
      <c r="DN535" s="13"/>
      <c r="DO535" s="13"/>
      <c r="DP535" s="13"/>
      <c r="DQ535" s="13"/>
      <c r="DR535" s="13"/>
      <c r="DS535" s="53"/>
      <c r="DT535" s="53"/>
      <c r="DU535" s="13"/>
      <c r="DV535" s="14"/>
      <c r="DW535" s="15"/>
    </row>
    <row r="536" spans="1:127" ht="15" customHeight="1" thickBot="1" x14ac:dyDescent="0.25">
      <c r="A536" s="26"/>
      <c r="B536" s="46"/>
      <c r="C536" s="27">
        <v>4011</v>
      </c>
      <c r="D536" s="61">
        <f t="shared" si="917"/>
        <v>60</v>
      </c>
      <c r="E536" s="27">
        <v>390</v>
      </c>
      <c r="F536" s="27">
        <f t="shared" si="918"/>
        <v>2</v>
      </c>
      <c r="G536" s="27">
        <v>54</v>
      </c>
      <c r="H536" s="27">
        <f t="shared" si="919"/>
        <v>2</v>
      </c>
      <c r="I536" s="47">
        <v>0</v>
      </c>
      <c r="J536" s="57" t="str">
        <f t="shared" si="920"/>
        <v>NICIマスコット</v>
      </c>
      <c r="K536" s="62">
        <f t="shared" si="921"/>
        <v>900</v>
      </c>
      <c r="L536" s="27">
        <f t="shared" si="922"/>
        <v>1800</v>
      </c>
      <c r="M536" s="28">
        <f t="shared" si="923"/>
        <v>0.3</v>
      </c>
      <c r="N536" s="15"/>
      <c r="O536" s="2"/>
      <c r="P536" s="26"/>
      <c r="Q536" s="27">
        <v>5073</v>
      </c>
      <c r="R536" s="61">
        <f t="shared" si="924"/>
        <v>110</v>
      </c>
      <c r="S536" s="27">
        <v>89</v>
      </c>
      <c r="T536" s="27">
        <f t="shared" si="925"/>
        <v>2</v>
      </c>
      <c r="U536" s="27">
        <v>12</v>
      </c>
      <c r="V536" s="27">
        <f t="shared" si="926"/>
        <v>4</v>
      </c>
      <c r="W536" s="47">
        <v>4</v>
      </c>
      <c r="X536" s="57" t="str">
        <f t="shared" si="927"/>
        <v>ＡＩマスコット</v>
      </c>
      <c r="Y536" s="62">
        <f t="shared" si="928"/>
        <v>286</v>
      </c>
      <c r="Z536" s="27">
        <f t="shared" si="929"/>
        <v>1144</v>
      </c>
      <c r="AA536" s="28">
        <f t="shared" si="930"/>
        <v>0.104</v>
      </c>
      <c r="AB536" s="15"/>
      <c r="AC536" s="15"/>
      <c r="AD536" s="26"/>
      <c r="AE536" s="27">
        <v>9306</v>
      </c>
      <c r="AF536" s="61">
        <f t="shared" si="931"/>
        <v>36</v>
      </c>
      <c r="AG536" s="27">
        <v>256</v>
      </c>
      <c r="AH536" s="27">
        <f t="shared" si="932"/>
        <v>0</v>
      </c>
      <c r="AI536" s="27">
        <v>17</v>
      </c>
      <c r="AJ536" s="27">
        <f t="shared" si="933"/>
        <v>0</v>
      </c>
      <c r="AK536" s="47">
        <v>0</v>
      </c>
      <c r="AL536" s="57" t="str">
        <f t="shared" si="945"/>
        <v>しなこくま</v>
      </c>
      <c r="AM536" s="62">
        <f t="shared" si="944"/>
        <v>528</v>
      </c>
      <c r="AN536" s="27">
        <f t="shared" si="935"/>
        <v>0</v>
      </c>
      <c r="AO536" s="28">
        <f t="shared" si="936"/>
        <v>0</v>
      </c>
      <c r="AP536" s="15"/>
      <c r="AQ536" s="15"/>
      <c r="AR536" s="26"/>
      <c r="AS536" s="27">
        <v>10954</v>
      </c>
      <c r="AT536" s="61">
        <f t="shared" si="937"/>
        <v>139</v>
      </c>
      <c r="AU536" s="27">
        <v>366</v>
      </c>
      <c r="AV536" s="27">
        <f t="shared" si="938"/>
        <v>1</v>
      </c>
      <c r="AW536" s="27">
        <v>17</v>
      </c>
      <c r="AX536" s="27">
        <f t="shared" si="939"/>
        <v>1</v>
      </c>
      <c r="AY536" s="47">
        <v>1</v>
      </c>
      <c r="AZ536" s="57" t="str">
        <f t="shared" si="940"/>
        <v>ラブブマスコット</v>
      </c>
      <c r="BA536" s="62">
        <f t="shared" si="941"/>
        <v>400</v>
      </c>
      <c r="BB536" s="27">
        <f t="shared" si="942"/>
        <v>400</v>
      </c>
      <c r="BC536" s="28">
        <f t="shared" si="943"/>
        <v>2.8776978417266189E-2</v>
      </c>
      <c r="BD536" s="15"/>
      <c r="BT536" s="15"/>
      <c r="BU536" s="79"/>
      <c r="BV536" s="13"/>
      <c r="BW536" s="13"/>
      <c r="BX536" s="13"/>
      <c r="BY536" s="13"/>
      <c r="BZ536" s="13"/>
      <c r="CA536" s="13"/>
      <c r="CB536" s="13"/>
      <c r="CC536" s="53"/>
      <c r="CD536" s="53"/>
      <c r="CE536" s="13"/>
      <c r="CF536" s="14"/>
      <c r="CG536" s="67"/>
      <c r="CH536" s="1"/>
      <c r="CI536" s="79"/>
      <c r="CJ536" s="13"/>
      <c r="CK536" s="13"/>
      <c r="CL536" s="13"/>
      <c r="CM536" s="13"/>
      <c r="CN536" s="13"/>
      <c r="CO536" s="13"/>
      <c r="CP536" s="13"/>
      <c r="CQ536" s="53"/>
      <c r="CR536" s="53"/>
      <c r="CS536" s="13"/>
      <c r="CT536" s="14"/>
      <c r="CU536" s="15"/>
      <c r="CV536" s="1"/>
      <c r="CW536" s="79"/>
      <c r="CX536" s="13"/>
      <c r="CY536" s="13"/>
      <c r="CZ536" s="13"/>
      <c r="DA536" s="13"/>
      <c r="DB536" s="13"/>
      <c r="DC536" s="13"/>
      <c r="DD536" s="13"/>
      <c r="DE536" s="53"/>
      <c r="DF536" s="53"/>
      <c r="DG536" s="13"/>
      <c r="DH536" s="14"/>
      <c r="DI536" s="15"/>
      <c r="DJ536" s="1"/>
      <c r="DK536" s="79"/>
      <c r="DL536" s="13"/>
      <c r="DM536" s="13"/>
      <c r="DN536" s="13"/>
      <c r="DO536" s="13"/>
      <c r="DP536" s="13"/>
      <c r="DQ536" s="13"/>
      <c r="DR536" s="13"/>
      <c r="DS536" s="53"/>
      <c r="DT536" s="53"/>
      <c r="DU536" s="13"/>
      <c r="DV536" s="14"/>
      <c r="DW536" s="15"/>
    </row>
    <row r="537" spans="1:127" ht="15" customHeight="1" thickTop="1" x14ac:dyDescent="0.2">
      <c r="A537" s="79">
        <v>45957</v>
      </c>
      <c r="B537" s="74">
        <f>IF(A537="","",SUM(D537:D540)+SUM(R537:R540)+SUM(AF537:AF540)+SUM(AT537:AT540)+SUM(BW525,CK525,CY525,DM525))</f>
        <v>2913</v>
      </c>
      <c r="C537" s="53">
        <v>3224</v>
      </c>
      <c r="D537" s="127">
        <f t="shared" si="917"/>
        <v>49</v>
      </c>
      <c r="E537" s="53">
        <v>304</v>
      </c>
      <c r="F537" s="31">
        <f t="shared" si="918"/>
        <v>1</v>
      </c>
      <c r="G537" s="53">
        <v>21</v>
      </c>
      <c r="H537" s="53">
        <f t="shared" si="919"/>
        <v>1</v>
      </c>
      <c r="I537" s="80">
        <v>0</v>
      </c>
      <c r="J537" s="75" t="str">
        <f t="shared" si="920"/>
        <v>ジャグラーサウンドボタン</v>
      </c>
      <c r="K537" s="76">
        <f t="shared" si="921"/>
        <v>748</v>
      </c>
      <c r="L537" s="31">
        <f t="shared" si="922"/>
        <v>748</v>
      </c>
      <c r="M537" s="32">
        <f t="shared" si="923"/>
        <v>0.15265306122448979</v>
      </c>
      <c r="N537" s="15" t="s">
        <v>340</v>
      </c>
      <c r="O537" s="2"/>
      <c r="P537" s="79">
        <f>IF($A537="","",$A537)</f>
        <v>45957</v>
      </c>
      <c r="Q537" s="53">
        <v>2859</v>
      </c>
      <c r="R537" s="53">
        <f t="shared" si="924"/>
        <v>96</v>
      </c>
      <c r="S537" s="53">
        <v>107</v>
      </c>
      <c r="T537" s="31">
        <f t="shared" si="925"/>
        <v>2</v>
      </c>
      <c r="U537" s="53">
        <v>3</v>
      </c>
      <c r="V537" s="53">
        <f t="shared" si="926"/>
        <v>1</v>
      </c>
      <c r="W537" s="80">
        <v>7</v>
      </c>
      <c r="X537" s="75" t="str">
        <f t="shared" si="927"/>
        <v>キティフェイスポーチ</v>
      </c>
      <c r="Y537" s="76">
        <f t="shared" si="928"/>
        <v>957</v>
      </c>
      <c r="Z537" s="31">
        <f t="shared" si="929"/>
        <v>957</v>
      </c>
      <c r="AA537" s="32">
        <f t="shared" si="930"/>
        <v>9.9687499999999998E-2</v>
      </c>
      <c r="AB537" s="15"/>
      <c r="AC537" s="15"/>
      <c r="AD537" s="79">
        <f>IF($A537="","",$A537)</f>
        <v>45957</v>
      </c>
      <c r="AE537" s="53">
        <v>8289</v>
      </c>
      <c r="AF537" s="53">
        <f t="shared" si="931"/>
        <v>129</v>
      </c>
      <c r="AG537" s="53">
        <v>184</v>
      </c>
      <c r="AH537" s="31">
        <f t="shared" si="932"/>
        <v>1</v>
      </c>
      <c r="AI537" s="53">
        <v>10</v>
      </c>
      <c r="AJ537" s="53">
        <f t="shared" si="933"/>
        <v>0</v>
      </c>
      <c r="AK537" s="80">
        <v>0</v>
      </c>
      <c r="AL537" s="75" t="s">
        <v>338</v>
      </c>
      <c r="AM537" s="76">
        <v>1009</v>
      </c>
      <c r="AN537" s="31">
        <f t="shared" si="935"/>
        <v>0</v>
      </c>
      <c r="AO537" s="32">
        <f t="shared" si="936"/>
        <v>0</v>
      </c>
      <c r="AP537" s="15" t="s">
        <v>341</v>
      </c>
      <c r="AQ537" s="15"/>
      <c r="AR537" s="79">
        <f>IF($A537="","",$A537)</f>
        <v>45957</v>
      </c>
      <c r="AS537" s="53">
        <v>8819</v>
      </c>
      <c r="AT537" s="127">
        <f t="shared" si="937"/>
        <v>52</v>
      </c>
      <c r="AU537" s="53">
        <v>265</v>
      </c>
      <c r="AV537" s="31">
        <f t="shared" si="938"/>
        <v>2</v>
      </c>
      <c r="AW537" s="53">
        <v>19</v>
      </c>
      <c r="AX537" s="53">
        <f t="shared" si="939"/>
        <v>3</v>
      </c>
      <c r="AY537" s="80">
        <v>0</v>
      </c>
      <c r="AZ537" s="75" t="str">
        <f t="shared" si="940"/>
        <v>こびとづかんキーケース</v>
      </c>
      <c r="BA537" s="76">
        <f t="shared" si="941"/>
        <v>726</v>
      </c>
      <c r="BB537" s="31">
        <f t="shared" si="942"/>
        <v>2178</v>
      </c>
      <c r="BC537" s="32">
        <f t="shared" si="943"/>
        <v>0.41884615384615387</v>
      </c>
      <c r="BD537" s="15"/>
      <c r="BT537" s="15"/>
      <c r="BU537" s="79"/>
      <c r="BV537" s="13"/>
      <c r="BW537" s="13"/>
      <c r="BX537" s="13"/>
      <c r="BY537" s="13"/>
      <c r="BZ537" s="13"/>
      <c r="CA537" s="13"/>
      <c r="CB537" s="13"/>
      <c r="CC537" s="53"/>
      <c r="CD537" s="53"/>
      <c r="CE537" s="13"/>
      <c r="CF537" s="14"/>
      <c r="CG537" s="67"/>
      <c r="CH537" s="1"/>
      <c r="CI537" s="79"/>
      <c r="CJ537" s="13"/>
      <c r="CK537" s="13"/>
      <c r="CL537" s="13"/>
      <c r="CM537" s="13"/>
      <c r="CN537" s="13"/>
      <c r="CO537" s="13"/>
      <c r="CP537" s="13"/>
      <c r="CQ537" s="53"/>
      <c r="CR537" s="53"/>
      <c r="CS537" s="13"/>
      <c r="CT537" s="14"/>
      <c r="CU537" s="15"/>
      <c r="CV537" s="1"/>
      <c r="CW537" s="79"/>
      <c r="CX537" s="13"/>
      <c r="CY537" s="13"/>
      <c r="CZ537" s="13"/>
      <c r="DA537" s="13"/>
      <c r="DB537" s="13"/>
      <c r="DC537" s="13"/>
      <c r="DD537" s="13"/>
      <c r="DE537" s="53"/>
      <c r="DF537" s="53"/>
      <c r="DG537" s="13"/>
      <c r="DH537" s="14"/>
      <c r="DI537" s="15"/>
      <c r="DJ537" s="1"/>
      <c r="DK537" s="79"/>
      <c r="DL537" s="13"/>
      <c r="DM537" s="13"/>
      <c r="DN537" s="13"/>
      <c r="DO537" s="13"/>
      <c r="DP537" s="13"/>
      <c r="DQ537" s="13"/>
      <c r="DR537" s="13"/>
      <c r="DS537" s="53"/>
      <c r="DT537" s="53"/>
      <c r="DU537" s="13"/>
      <c r="DV537" s="14"/>
      <c r="DW537" s="15"/>
    </row>
    <row r="538" spans="1:127" x14ac:dyDescent="0.2">
      <c r="A538" s="136"/>
      <c r="B538" s="11"/>
      <c r="C538" s="13">
        <v>2415</v>
      </c>
      <c r="D538" s="13">
        <f t="shared" si="917"/>
        <v>84</v>
      </c>
      <c r="E538" s="13">
        <v>322</v>
      </c>
      <c r="F538" s="13">
        <f t="shared" si="918"/>
        <v>2</v>
      </c>
      <c r="G538" s="13">
        <v>12</v>
      </c>
      <c r="H538" s="13">
        <f t="shared" si="919"/>
        <v>2</v>
      </c>
      <c r="I538" s="17">
        <v>1</v>
      </c>
      <c r="J538" s="56" t="str">
        <f t="shared" si="920"/>
        <v>液晶デジカメ</v>
      </c>
      <c r="K538" s="54">
        <f t="shared" si="921"/>
        <v>1075</v>
      </c>
      <c r="L538" s="13">
        <f t="shared" si="922"/>
        <v>2150</v>
      </c>
      <c r="M538" s="14">
        <f t="shared" si="923"/>
        <v>0.25595238095238093</v>
      </c>
      <c r="N538" s="15" t="s">
        <v>152</v>
      </c>
      <c r="O538" s="2"/>
      <c r="P538" s="79"/>
      <c r="Q538" s="13">
        <v>2604</v>
      </c>
      <c r="R538" s="13">
        <f t="shared" si="924"/>
        <v>116</v>
      </c>
      <c r="S538" s="13">
        <v>88</v>
      </c>
      <c r="T538" s="13">
        <f t="shared" si="925"/>
        <v>0</v>
      </c>
      <c r="U538" s="13">
        <v>19</v>
      </c>
      <c r="V538" s="13">
        <f t="shared" si="926"/>
        <v>1</v>
      </c>
      <c r="W538" s="17">
        <v>2</v>
      </c>
      <c r="X538" s="56" t="s">
        <v>60</v>
      </c>
      <c r="Y538" s="54">
        <f t="shared" si="928"/>
        <v>1100</v>
      </c>
      <c r="Z538" s="13">
        <f t="shared" si="929"/>
        <v>1100</v>
      </c>
      <c r="AA538" s="14">
        <f t="shared" si="930"/>
        <v>9.4827586206896547E-2</v>
      </c>
      <c r="AB538" s="15"/>
      <c r="AC538" s="15"/>
      <c r="AD538" s="79"/>
      <c r="AE538" s="13">
        <v>8047</v>
      </c>
      <c r="AF538" s="13">
        <f t="shared" si="931"/>
        <v>102</v>
      </c>
      <c r="AG538" s="13">
        <v>181</v>
      </c>
      <c r="AH538" s="13">
        <f t="shared" si="932"/>
        <v>1</v>
      </c>
      <c r="AI538" s="13">
        <v>11</v>
      </c>
      <c r="AJ538" s="13">
        <f t="shared" si="933"/>
        <v>1</v>
      </c>
      <c r="AK538" s="17">
        <v>1</v>
      </c>
      <c r="AL538" s="56" t="str">
        <f t="shared" si="945"/>
        <v>キティヒョウ柄マスコット</v>
      </c>
      <c r="AM538" s="54">
        <f t="shared" si="944"/>
        <v>996</v>
      </c>
      <c r="AN538" s="13">
        <f t="shared" si="935"/>
        <v>996</v>
      </c>
      <c r="AO538" s="14">
        <f t="shared" si="936"/>
        <v>9.7647058823529406E-2</v>
      </c>
      <c r="AP538" s="15"/>
      <c r="AQ538" s="15"/>
      <c r="AR538" s="79"/>
      <c r="AS538" s="13">
        <v>6223</v>
      </c>
      <c r="AT538" s="13">
        <f t="shared" si="937"/>
        <v>75</v>
      </c>
      <c r="AU538" s="13">
        <v>304</v>
      </c>
      <c r="AV538" s="13">
        <f t="shared" si="938"/>
        <v>3</v>
      </c>
      <c r="AW538" s="13">
        <v>24</v>
      </c>
      <c r="AX538" s="13">
        <f t="shared" si="939"/>
        <v>3</v>
      </c>
      <c r="AY538" s="17">
        <v>0</v>
      </c>
      <c r="AZ538" s="56" t="str">
        <f t="shared" si="940"/>
        <v>ねこアイシャドウ</v>
      </c>
      <c r="BA538" s="54">
        <f t="shared" si="941"/>
        <v>1000</v>
      </c>
      <c r="BB538" s="13">
        <f t="shared" si="942"/>
        <v>3000</v>
      </c>
      <c r="BC538" s="14">
        <f t="shared" si="943"/>
        <v>0.4</v>
      </c>
      <c r="BD538" s="15"/>
      <c r="BT538" s="15"/>
      <c r="BU538" s="79"/>
      <c r="BV538" s="13"/>
      <c r="BW538" s="13"/>
      <c r="BX538" s="13"/>
      <c r="BY538" s="13"/>
      <c r="BZ538" s="13"/>
      <c r="CA538" s="13"/>
      <c r="CB538" s="13"/>
      <c r="CC538" s="53"/>
      <c r="CD538" s="53"/>
      <c r="CE538" s="13"/>
      <c r="CF538" s="14"/>
      <c r="CG538" s="15"/>
      <c r="CH538" s="1"/>
      <c r="CI538" s="79"/>
      <c r="CJ538" s="13"/>
      <c r="CK538" s="13"/>
      <c r="CL538" s="13"/>
      <c r="CM538" s="13"/>
      <c r="CN538" s="13"/>
      <c r="CO538" s="13"/>
      <c r="CP538" s="13"/>
      <c r="CQ538" s="53"/>
      <c r="CR538" s="53"/>
      <c r="CS538" s="13"/>
      <c r="CT538" s="14"/>
      <c r="CU538" s="15"/>
      <c r="CV538" s="1"/>
      <c r="CW538" s="79"/>
      <c r="CX538" s="13"/>
      <c r="CY538" s="13"/>
      <c r="CZ538" s="13"/>
      <c r="DA538" s="13"/>
      <c r="DB538" s="13"/>
      <c r="DC538" s="13"/>
      <c r="DD538" s="13"/>
      <c r="DE538" s="53"/>
      <c r="DF538" s="53"/>
      <c r="DG538" s="13"/>
      <c r="DH538" s="14"/>
      <c r="DI538" s="15"/>
      <c r="DJ538" s="1"/>
      <c r="DK538" s="79"/>
      <c r="DL538" s="13"/>
      <c r="DM538" s="13"/>
      <c r="DN538" s="13"/>
      <c r="DO538" s="13"/>
      <c r="DP538" s="13"/>
      <c r="DQ538" s="13"/>
      <c r="DR538" s="13"/>
      <c r="DS538" s="53"/>
      <c r="DT538" s="53"/>
      <c r="DU538" s="13"/>
      <c r="DV538" s="14"/>
      <c r="DW538" s="15"/>
    </row>
    <row r="539" spans="1:127" ht="15" customHeight="1" x14ac:dyDescent="0.2">
      <c r="A539" s="79"/>
      <c r="B539" s="11"/>
      <c r="C539" s="34">
        <v>8426</v>
      </c>
      <c r="D539" s="13">
        <f t="shared" si="917"/>
        <v>164</v>
      </c>
      <c r="E539" s="34">
        <v>508</v>
      </c>
      <c r="F539" s="13">
        <f t="shared" si="918"/>
        <v>11</v>
      </c>
      <c r="G539" s="34">
        <v>145</v>
      </c>
      <c r="H539" s="13">
        <f t="shared" si="919"/>
        <v>15</v>
      </c>
      <c r="I539" s="49">
        <v>15</v>
      </c>
      <c r="J539" s="56" t="str">
        <f t="shared" si="920"/>
        <v>AIモンスタラバー</v>
      </c>
      <c r="K539" s="13">
        <f t="shared" si="921"/>
        <v>200</v>
      </c>
      <c r="L539" s="13">
        <f t="shared" si="922"/>
        <v>3000</v>
      </c>
      <c r="M539" s="14">
        <f t="shared" si="923"/>
        <v>0.18292682926829268</v>
      </c>
      <c r="N539" s="15"/>
      <c r="O539" s="2"/>
      <c r="P539" s="79"/>
      <c r="Q539" s="34">
        <v>6027</v>
      </c>
      <c r="R539" s="13">
        <f t="shared" si="924"/>
        <v>100</v>
      </c>
      <c r="S539" s="34">
        <v>93</v>
      </c>
      <c r="T539" s="13">
        <f t="shared" si="925"/>
        <v>0</v>
      </c>
      <c r="U539" s="34">
        <v>75</v>
      </c>
      <c r="V539" s="13">
        <f t="shared" si="926"/>
        <v>0</v>
      </c>
      <c r="W539" s="49">
        <v>0</v>
      </c>
      <c r="X539" s="56" t="str">
        <f t="shared" si="927"/>
        <v>アングリーキーホルダー</v>
      </c>
      <c r="Y539" s="13">
        <f t="shared" si="928"/>
        <v>100</v>
      </c>
      <c r="Z539" s="13">
        <f t="shared" si="929"/>
        <v>0</v>
      </c>
      <c r="AA539" s="14">
        <f t="shared" si="930"/>
        <v>0</v>
      </c>
      <c r="AB539" s="15"/>
      <c r="AC539" s="15"/>
      <c r="AD539" s="79"/>
      <c r="AE539" s="34">
        <v>9295</v>
      </c>
      <c r="AF539" s="13">
        <f t="shared" si="931"/>
        <v>171</v>
      </c>
      <c r="AG539" s="34">
        <v>281</v>
      </c>
      <c r="AH539" s="13">
        <f t="shared" si="932"/>
        <v>0</v>
      </c>
      <c r="AI539" s="34">
        <v>40</v>
      </c>
      <c r="AJ539" s="13">
        <f t="shared" si="933"/>
        <v>0</v>
      </c>
      <c r="AK539" s="49">
        <v>0</v>
      </c>
      <c r="AL539" s="56" t="str">
        <f t="shared" si="945"/>
        <v>ラブブキーホルダー</v>
      </c>
      <c r="AM539" s="13">
        <f t="shared" si="944"/>
        <v>400</v>
      </c>
      <c r="AN539" s="13">
        <f t="shared" si="935"/>
        <v>0</v>
      </c>
      <c r="AO539" s="14">
        <f t="shared" si="936"/>
        <v>0</v>
      </c>
      <c r="AP539" s="15"/>
      <c r="AQ539" s="15"/>
      <c r="AR539" s="79"/>
      <c r="AS539" s="34">
        <v>10913</v>
      </c>
      <c r="AT539" s="13">
        <f t="shared" si="937"/>
        <v>265</v>
      </c>
      <c r="AU539" s="34">
        <v>428</v>
      </c>
      <c r="AV539" s="13">
        <f t="shared" si="938"/>
        <v>8</v>
      </c>
      <c r="AW539" s="34">
        <v>13</v>
      </c>
      <c r="AX539" s="13">
        <f t="shared" si="939"/>
        <v>6</v>
      </c>
      <c r="AY539" s="49">
        <v>6</v>
      </c>
      <c r="AZ539" s="56" t="str">
        <f t="shared" si="940"/>
        <v>ラブブキーホルダーおおきめ</v>
      </c>
      <c r="BA539" s="13">
        <f t="shared" si="941"/>
        <v>500</v>
      </c>
      <c r="BB539" s="13">
        <f t="shared" si="942"/>
        <v>3000</v>
      </c>
      <c r="BC539" s="14">
        <f t="shared" si="943"/>
        <v>0.11320754716981132</v>
      </c>
      <c r="BD539" s="15"/>
      <c r="BT539" s="15"/>
      <c r="BU539" s="79"/>
      <c r="BV539" s="13"/>
      <c r="BW539" s="13"/>
      <c r="BX539" s="13"/>
      <c r="BY539" s="13"/>
      <c r="BZ539" s="13"/>
      <c r="CA539" s="13"/>
      <c r="CB539" s="13"/>
      <c r="CC539" s="53"/>
      <c r="CD539" s="53"/>
      <c r="CE539" s="13"/>
      <c r="CF539" s="14"/>
      <c r="CG539" s="15"/>
      <c r="CH539" s="1"/>
      <c r="CI539" s="79"/>
      <c r="CJ539" s="13"/>
      <c r="CK539" s="13"/>
      <c r="CL539" s="13"/>
      <c r="CM539" s="13"/>
      <c r="CN539" s="13"/>
      <c r="CO539" s="13"/>
      <c r="CP539" s="13"/>
      <c r="CQ539" s="53"/>
      <c r="CR539" s="53"/>
      <c r="CS539" s="13"/>
      <c r="CT539" s="14"/>
      <c r="CU539" s="15"/>
      <c r="CV539" s="1"/>
      <c r="CW539" s="79"/>
      <c r="CX539" s="13"/>
      <c r="CY539" s="13"/>
      <c r="CZ539" s="13"/>
      <c r="DA539" s="13"/>
      <c r="DB539" s="13"/>
      <c r="DC539" s="13"/>
      <c r="DD539" s="13"/>
      <c r="DE539" s="53"/>
      <c r="DF539" s="53"/>
      <c r="DG539" s="13"/>
      <c r="DH539" s="14"/>
      <c r="DI539" s="15"/>
      <c r="DJ539" s="1"/>
      <c r="DK539" s="79"/>
      <c r="DL539" s="13"/>
      <c r="DM539" s="13"/>
      <c r="DN539" s="13"/>
      <c r="DO539" s="13"/>
      <c r="DP539" s="13"/>
      <c r="DQ539" s="13"/>
      <c r="DR539" s="13"/>
      <c r="DS539" s="53"/>
      <c r="DT539" s="53"/>
      <c r="DU539" s="13"/>
      <c r="DV539" s="14"/>
      <c r="DW539" s="15"/>
    </row>
    <row r="540" spans="1:127" ht="15" customHeight="1" thickBot="1" x14ac:dyDescent="0.25">
      <c r="A540" s="26"/>
      <c r="B540" s="46"/>
      <c r="C540" s="27">
        <v>4137</v>
      </c>
      <c r="D540" s="27">
        <f t="shared" si="917"/>
        <v>126</v>
      </c>
      <c r="E540" s="27">
        <v>392</v>
      </c>
      <c r="F540" s="27">
        <f t="shared" si="918"/>
        <v>2</v>
      </c>
      <c r="G540" s="27">
        <v>46</v>
      </c>
      <c r="H540" s="27">
        <f t="shared" si="919"/>
        <v>8</v>
      </c>
      <c r="I540" s="47">
        <v>0</v>
      </c>
      <c r="J540" s="57" t="str">
        <f t="shared" si="920"/>
        <v>NICIマスコット</v>
      </c>
      <c r="K540" s="62">
        <f t="shared" si="921"/>
        <v>900</v>
      </c>
      <c r="L540" s="27">
        <f t="shared" si="922"/>
        <v>7200</v>
      </c>
      <c r="M540" s="28">
        <f t="shared" si="923"/>
        <v>0.5714285714285714</v>
      </c>
      <c r="N540" s="15"/>
      <c r="O540" s="2"/>
      <c r="P540" s="26"/>
      <c r="Q540" s="27">
        <v>5272</v>
      </c>
      <c r="R540" s="27">
        <f t="shared" si="924"/>
        <v>199</v>
      </c>
      <c r="S540" s="27">
        <v>93</v>
      </c>
      <c r="T540" s="27">
        <f t="shared" si="925"/>
        <v>4</v>
      </c>
      <c r="U540" s="27">
        <v>12</v>
      </c>
      <c r="V540" s="27">
        <f t="shared" si="926"/>
        <v>4</v>
      </c>
      <c r="W540" s="47">
        <v>2</v>
      </c>
      <c r="X540" s="57" t="str">
        <f t="shared" si="927"/>
        <v>ＡＩマスコット</v>
      </c>
      <c r="Y540" s="62">
        <f t="shared" si="928"/>
        <v>286</v>
      </c>
      <c r="Z540" s="27">
        <f t="shared" si="929"/>
        <v>1144</v>
      </c>
      <c r="AA540" s="28">
        <f t="shared" si="930"/>
        <v>5.7487437185929649E-2</v>
      </c>
      <c r="AB540" s="15"/>
      <c r="AC540" s="15"/>
      <c r="AD540" s="26"/>
      <c r="AE540" s="27">
        <v>9391</v>
      </c>
      <c r="AF540" s="27">
        <f t="shared" si="931"/>
        <v>85</v>
      </c>
      <c r="AG540" s="27">
        <v>257</v>
      </c>
      <c r="AH540" s="27">
        <f t="shared" si="932"/>
        <v>1</v>
      </c>
      <c r="AI540" s="27">
        <v>15</v>
      </c>
      <c r="AJ540" s="27">
        <f t="shared" si="933"/>
        <v>2</v>
      </c>
      <c r="AK540" s="47">
        <v>-3</v>
      </c>
      <c r="AL540" s="57" t="str">
        <f t="shared" si="945"/>
        <v>しなこくま</v>
      </c>
      <c r="AM540" s="62">
        <f t="shared" si="944"/>
        <v>528</v>
      </c>
      <c r="AN540" s="27">
        <f t="shared" si="935"/>
        <v>1056</v>
      </c>
      <c r="AO540" s="28">
        <f t="shared" si="936"/>
        <v>0.12423529411764705</v>
      </c>
      <c r="AP540" s="15" t="s">
        <v>342</v>
      </c>
      <c r="AQ540" s="15"/>
      <c r="AR540" s="26"/>
      <c r="AS540" s="27">
        <v>11203</v>
      </c>
      <c r="AT540" s="27">
        <f t="shared" si="937"/>
        <v>249</v>
      </c>
      <c r="AU540" s="27">
        <v>368</v>
      </c>
      <c r="AV540" s="27">
        <f t="shared" si="938"/>
        <v>2</v>
      </c>
      <c r="AW540" s="27">
        <v>16</v>
      </c>
      <c r="AX540" s="27">
        <f t="shared" si="939"/>
        <v>2</v>
      </c>
      <c r="AY540" s="47">
        <v>1</v>
      </c>
      <c r="AZ540" s="57" t="str">
        <f t="shared" si="940"/>
        <v>ラブブマスコット</v>
      </c>
      <c r="BA540" s="62">
        <f t="shared" si="941"/>
        <v>400</v>
      </c>
      <c r="BB540" s="27">
        <f t="shared" si="942"/>
        <v>800</v>
      </c>
      <c r="BC540" s="28">
        <f t="shared" si="943"/>
        <v>3.2128514056224897E-2</v>
      </c>
      <c r="BD540" s="15"/>
      <c r="BT540" s="15"/>
      <c r="BU540" s="79"/>
      <c r="BV540" s="13"/>
      <c r="BW540" s="13"/>
      <c r="BX540" s="13"/>
      <c r="BY540" s="13"/>
      <c r="BZ540" s="13"/>
      <c r="CA540" s="13"/>
      <c r="CB540" s="13"/>
      <c r="CC540" s="53"/>
      <c r="CD540" s="53"/>
      <c r="CE540" s="13"/>
      <c r="CF540" s="14"/>
      <c r="CG540" s="15"/>
      <c r="CH540" s="1"/>
      <c r="CI540" s="79"/>
      <c r="CJ540" s="13"/>
      <c r="CK540" s="13"/>
      <c r="CL540" s="13"/>
      <c r="CM540" s="13"/>
      <c r="CN540" s="13"/>
      <c r="CO540" s="13"/>
      <c r="CP540" s="13"/>
      <c r="CQ540" s="53"/>
      <c r="CR540" s="53"/>
      <c r="CS540" s="13"/>
      <c r="CT540" s="14"/>
      <c r="CU540" s="15"/>
      <c r="CV540" s="1"/>
      <c r="CW540" s="79"/>
      <c r="CX540" s="13"/>
      <c r="CY540" s="13"/>
      <c r="CZ540" s="13"/>
      <c r="DA540" s="13"/>
      <c r="DB540" s="13"/>
      <c r="DC540" s="13"/>
      <c r="DD540" s="13"/>
      <c r="DE540" s="53"/>
      <c r="DF540" s="53"/>
      <c r="DG540" s="13"/>
      <c r="DH540" s="14"/>
      <c r="DI540" s="15"/>
      <c r="DJ540" s="1"/>
      <c r="DK540" s="79"/>
      <c r="DL540" s="13"/>
      <c r="DM540" s="13"/>
      <c r="DN540" s="13"/>
      <c r="DO540" s="13"/>
      <c r="DP540" s="13"/>
      <c r="DQ540" s="13"/>
      <c r="DR540" s="13"/>
      <c r="DS540" s="53"/>
      <c r="DT540" s="53"/>
      <c r="DU540" s="13"/>
      <c r="DV540" s="14"/>
      <c r="DW540" s="15"/>
    </row>
    <row r="541" spans="1:127" ht="15" customHeight="1" thickTop="1" x14ac:dyDescent="0.2">
      <c r="A541" s="79">
        <v>45961</v>
      </c>
      <c r="B541" s="151">
        <f>IF(A541="","",SUM(D541:D544)+SUM(R541:R544)+SUM(AF541:AF544)+SUM(AT541:AT544)+SUM(BW526,CK526,CY526,DM526))</f>
        <v>2165</v>
      </c>
      <c r="C541" s="53">
        <v>3290</v>
      </c>
      <c r="D541" s="53">
        <f t="shared" si="917"/>
        <v>66</v>
      </c>
      <c r="E541" s="53">
        <v>306</v>
      </c>
      <c r="F541" s="31">
        <f t="shared" si="918"/>
        <v>2</v>
      </c>
      <c r="G541" s="53">
        <v>19</v>
      </c>
      <c r="H541" s="53">
        <f t="shared" si="919"/>
        <v>2</v>
      </c>
      <c r="I541" s="80">
        <v>0</v>
      </c>
      <c r="J541" s="75" t="str">
        <f t="shared" si="920"/>
        <v>ジャグラーサウンドボタン</v>
      </c>
      <c r="K541" s="76">
        <f t="shared" si="921"/>
        <v>748</v>
      </c>
      <c r="L541" s="31">
        <f t="shared" si="922"/>
        <v>1496</v>
      </c>
      <c r="M541" s="32">
        <f t="shared" si="923"/>
        <v>0.22666666666666666</v>
      </c>
      <c r="N541" s="15"/>
      <c r="O541" s="2"/>
      <c r="P541" s="79">
        <f>IF($A541="","",$A541)</f>
        <v>45961</v>
      </c>
      <c r="Q541" s="53">
        <v>2983</v>
      </c>
      <c r="R541" s="53">
        <f t="shared" si="924"/>
        <v>124</v>
      </c>
      <c r="S541" s="53">
        <v>110</v>
      </c>
      <c r="T541" s="31">
        <f t="shared" si="925"/>
        <v>3</v>
      </c>
      <c r="U541" s="53">
        <v>9</v>
      </c>
      <c r="V541" s="53">
        <f t="shared" si="926"/>
        <v>1</v>
      </c>
      <c r="W541" s="80">
        <v>0</v>
      </c>
      <c r="X541" s="75" t="str">
        <f t="shared" si="927"/>
        <v>キティフェイスポーチ</v>
      </c>
      <c r="Y541" s="76">
        <f t="shared" si="928"/>
        <v>957</v>
      </c>
      <c r="Z541" s="31">
        <f t="shared" si="929"/>
        <v>957</v>
      </c>
      <c r="AA541" s="32">
        <f t="shared" si="930"/>
        <v>7.7177419354838711E-2</v>
      </c>
      <c r="AB541" s="15"/>
      <c r="AC541" s="15"/>
      <c r="AD541" s="79">
        <f>IF($A541="","",$A541)</f>
        <v>45961</v>
      </c>
      <c r="AE541" s="53">
        <v>8343</v>
      </c>
      <c r="AF541" s="53">
        <f t="shared" si="931"/>
        <v>54</v>
      </c>
      <c r="AG541" s="53">
        <v>186</v>
      </c>
      <c r="AH541" s="31">
        <f t="shared" si="932"/>
        <v>2</v>
      </c>
      <c r="AI541" s="53">
        <v>9</v>
      </c>
      <c r="AJ541" s="53">
        <f t="shared" si="933"/>
        <v>1</v>
      </c>
      <c r="AK541" s="80">
        <v>2</v>
      </c>
      <c r="AL541" s="75" t="str">
        <f t="shared" si="945"/>
        <v>キティシリコンがま口</v>
      </c>
      <c r="AM541" s="76">
        <f t="shared" si="944"/>
        <v>1009</v>
      </c>
      <c r="AN541" s="31">
        <f t="shared" si="935"/>
        <v>1009</v>
      </c>
      <c r="AO541" s="32">
        <f t="shared" si="936"/>
        <v>0.18685185185185185</v>
      </c>
      <c r="AP541" s="15" t="s">
        <v>344</v>
      </c>
      <c r="AQ541" s="15"/>
      <c r="AR541" s="79">
        <f>IF($A541="","",$A541)</f>
        <v>45961</v>
      </c>
      <c r="AS541" s="53">
        <v>8833</v>
      </c>
      <c r="AT541" s="127">
        <f t="shared" si="937"/>
        <v>14</v>
      </c>
      <c r="AU541" s="53">
        <v>267</v>
      </c>
      <c r="AV541" s="31">
        <f t="shared" si="938"/>
        <v>2</v>
      </c>
      <c r="AW541" s="53">
        <v>17</v>
      </c>
      <c r="AX541" s="53">
        <f t="shared" si="939"/>
        <v>2</v>
      </c>
      <c r="AY541" s="80">
        <v>-5</v>
      </c>
      <c r="AZ541" s="75" t="str">
        <f t="shared" si="940"/>
        <v>こびとづかんキーケース</v>
      </c>
      <c r="BA541" s="76">
        <f t="shared" si="941"/>
        <v>726</v>
      </c>
      <c r="BB541" s="31">
        <f t="shared" si="942"/>
        <v>1452</v>
      </c>
      <c r="BC541" s="32">
        <f t="shared" si="943"/>
        <v>1.0371428571428571</v>
      </c>
      <c r="BD541" s="15" t="s">
        <v>347</v>
      </c>
      <c r="BT541" s="15"/>
      <c r="BU541" s="79"/>
      <c r="BV541" s="13"/>
      <c r="BW541" s="13"/>
      <c r="BX541" s="13"/>
      <c r="BY541" s="13"/>
      <c r="BZ541" s="13"/>
      <c r="CA541" s="13"/>
      <c r="CB541" s="13"/>
      <c r="CC541" s="53"/>
      <c r="CD541" s="53"/>
      <c r="CE541" s="13"/>
      <c r="CF541" s="14"/>
      <c r="CG541" s="15"/>
      <c r="CH541" s="1"/>
      <c r="CI541" s="79"/>
      <c r="CJ541" s="13"/>
      <c r="CK541" s="13"/>
      <c r="CL541" s="13"/>
      <c r="CM541" s="13"/>
      <c r="CN541" s="13"/>
      <c r="CO541" s="13"/>
      <c r="CP541" s="13"/>
      <c r="CQ541" s="53"/>
      <c r="CR541" s="53"/>
      <c r="CS541" s="13"/>
      <c r="CT541" s="14"/>
      <c r="CU541" s="15"/>
      <c r="CV541" s="1"/>
      <c r="CW541" s="79"/>
      <c r="CX541" s="13"/>
      <c r="CY541" s="13"/>
      <c r="CZ541" s="13"/>
      <c r="DA541" s="13"/>
      <c r="DB541" s="13"/>
      <c r="DC541" s="13"/>
      <c r="DD541" s="13"/>
      <c r="DE541" s="53"/>
      <c r="DF541" s="53"/>
      <c r="DG541" s="13"/>
      <c r="DH541" s="14"/>
      <c r="DI541" s="15"/>
      <c r="DJ541" s="1"/>
      <c r="DK541" s="79"/>
      <c r="DL541" s="13"/>
      <c r="DM541" s="13"/>
      <c r="DN541" s="13"/>
      <c r="DO541" s="13"/>
      <c r="DP541" s="13"/>
      <c r="DQ541" s="13"/>
      <c r="DR541" s="13"/>
      <c r="DS541" s="53"/>
      <c r="DT541" s="53"/>
      <c r="DU541" s="13"/>
      <c r="DV541" s="14"/>
      <c r="DW541" s="15"/>
    </row>
    <row r="542" spans="1:127" ht="15" customHeight="1" x14ac:dyDescent="0.2">
      <c r="A542" s="150"/>
      <c r="B542" s="152"/>
      <c r="C542" s="54">
        <v>2458</v>
      </c>
      <c r="D542" s="13">
        <f t="shared" si="917"/>
        <v>43</v>
      </c>
      <c r="E542" s="13">
        <v>322</v>
      </c>
      <c r="F542" s="13">
        <f t="shared" si="918"/>
        <v>0</v>
      </c>
      <c r="G542" s="13">
        <v>13</v>
      </c>
      <c r="H542" s="13">
        <f t="shared" si="919"/>
        <v>0</v>
      </c>
      <c r="I542" s="17">
        <v>0</v>
      </c>
      <c r="J542" s="56" t="str">
        <f t="shared" si="920"/>
        <v>液晶デジカメ</v>
      </c>
      <c r="K542" s="54">
        <f t="shared" si="921"/>
        <v>1075</v>
      </c>
      <c r="L542" s="13">
        <f t="shared" si="922"/>
        <v>0</v>
      </c>
      <c r="M542" s="14">
        <f t="shared" si="923"/>
        <v>0</v>
      </c>
      <c r="N542" s="15"/>
      <c r="O542" s="2"/>
      <c r="P542" s="16"/>
      <c r="Q542" s="13">
        <v>2685</v>
      </c>
      <c r="R542" s="13">
        <f t="shared" si="924"/>
        <v>81</v>
      </c>
      <c r="S542" s="13">
        <v>88</v>
      </c>
      <c r="T542" s="13">
        <f t="shared" si="925"/>
        <v>0</v>
      </c>
      <c r="U542" s="13">
        <v>20</v>
      </c>
      <c r="V542" s="13">
        <f t="shared" si="926"/>
        <v>1</v>
      </c>
      <c r="W542" s="17">
        <v>0</v>
      </c>
      <c r="X542" s="56" t="str">
        <f t="shared" si="927"/>
        <v>ジャグラーサウンドボタン</v>
      </c>
      <c r="Y542" s="54">
        <f t="shared" si="928"/>
        <v>1100</v>
      </c>
      <c r="Z542" s="13">
        <f t="shared" si="929"/>
        <v>1100</v>
      </c>
      <c r="AA542" s="14">
        <f t="shared" si="930"/>
        <v>0.13580246913580246</v>
      </c>
      <c r="AB542" s="15"/>
      <c r="AC542" s="15"/>
      <c r="AD542" s="16"/>
      <c r="AE542" s="13">
        <v>8168</v>
      </c>
      <c r="AF542" s="13">
        <f t="shared" si="931"/>
        <v>121</v>
      </c>
      <c r="AG542" s="13">
        <v>182</v>
      </c>
      <c r="AH542" s="13">
        <f t="shared" si="932"/>
        <v>1</v>
      </c>
      <c r="AI542" s="13">
        <v>11</v>
      </c>
      <c r="AJ542" s="13">
        <f t="shared" si="933"/>
        <v>1</v>
      </c>
      <c r="AK542" s="17">
        <v>1</v>
      </c>
      <c r="AL542" s="56" t="str">
        <f t="shared" si="945"/>
        <v>キティヒョウ柄マスコット</v>
      </c>
      <c r="AM542" s="54">
        <f t="shared" si="944"/>
        <v>996</v>
      </c>
      <c r="AN542" s="13">
        <f t="shared" si="935"/>
        <v>996</v>
      </c>
      <c r="AO542" s="14">
        <f t="shared" si="936"/>
        <v>8.2314049586776863E-2</v>
      </c>
      <c r="AP542" s="15"/>
      <c r="AQ542" s="15"/>
      <c r="AR542" s="16"/>
      <c r="AS542" s="13">
        <v>6258</v>
      </c>
      <c r="AT542" s="13">
        <f t="shared" si="937"/>
        <v>35</v>
      </c>
      <c r="AU542" s="13">
        <v>306</v>
      </c>
      <c r="AV542" s="13">
        <f t="shared" si="938"/>
        <v>2</v>
      </c>
      <c r="AW542" s="13">
        <v>22</v>
      </c>
      <c r="AX542" s="13">
        <f t="shared" si="939"/>
        <v>2</v>
      </c>
      <c r="AY542" s="17">
        <v>16</v>
      </c>
      <c r="AZ542" s="56" t="str">
        <f t="shared" si="940"/>
        <v>ねこアイシャドウ</v>
      </c>
      <c r="BA542" s="54">
        <f t="shared" si="941"/>
        <v>1000</v>
      </c>
      <c r="BB542" s="13">
        <f t="shared" si="942"/>
        <v>2000</v>
      </c>
      <c r="BC542" s="14">
        <f t="shared" si="943"/>
        <v>0.5714285714285714</v>
      </c>
      <c r="BD542" s="15"/>
      <c r="BT542" s="15"/>
      <c r="BU542" s="16"/>
      <c r="BV542" s="54"/>
      <c r="BW542" s="13" t="str">
        <f>IF(BV542="","",BV542-BV541)</f>
        <v/>
      </c>
      <c r="BX542" s="13"/>
      <c r="BY542" s="13" t="str">
        <f>IF(BX542="","",BX542-BX541)</f>
        <v/>
      </c>
      <c r="BZ542" s="13"/>
      <c r="CA542" s="13" t="str">
        <f>IF(BZ542="","",BZ541+CB541-BZ542)</f>
        <v/>
      </c>
      <c r="CB542" s="13"/>
      <c r="CC542" s="13"/>
      <c r="CD542" s="13"/>
      <c r="CE542" s="13" t="str">
        <f t="shared" ref="CE542:CE568" si="946">IF(CD542="","",CA542*CD542)</f>
        <v/>
      </c>
      <c r="CF542" s="14" t="str">
        <f t="shared" ref="CF542:CF568" si="947">IF(CE542="","",CE542/(BW542*100))</f>
        <v/>
      </c>
      <c r="CG542" s="15"/>
      <c r="CH542" s="1"/>
      <c r="CI542" s="16"/>
      <c r="CJ542" s="54"/>
      <c r="CK542" s="13" t="str">
        <f>IF(CJ542="","",CJ542-CJ541)</f>
        <v/>
      </c>
      <c r="CL542" s="13"/>
      <c r="CM542" s="13" t="str">
        <f>IF(CL542="","",CL542-CL541)</f>
        <v/>
      </c>
      <c r="CN542" s="13"/>
      <c r="CO542" s="13" t="str">
        <f>IF(CN542="","",CN541+CP541-CN542)</f>
        <v/>
      </c>
      <c r="CP542" s="13"/>
      <c r="CQ542" s="13"/>
      <c r="CR542" s="13"/>
      <c r="CS542" s="13" t="str">
        <f t="shared" ref="CS542:CS568" si="948">IF(CR542="","",CO542*CR542)</f>
        <v/>
      </c>
      <c r="CT542" s="14" t="str">
        <f t="shared" ref="CT542:CT568" si="949">IF(CS542="","",CS542/(CK542*100))</f>
        <v/>
      </c>
      <c r="CU542" s="15"/>
      <c r="CV542" s="1"/>
      <c r="CW542" s="16"/>
      <c r="CX542" s="54"/>
      <c r="CY542" s="13" t="str">
        <f>IF(CX542="","",CX542-CX541)</f>
        <v/>
      </c>
      <c r="CZ542" s="13"/>
      <c r="DA542" s="13" t="str">
        <f>IF(CZ542="","",CZ542-CZ541)</f>
        <v/>
      </c>
      <c r="DB542" s="13"/>
      <c r="DC542" s="13" t="str">
        <f>IF(DB542="","",DB541+DD541-DB542)</f>
        <v/>
      </c>
      <c r="DD542" s="13"/>
      <c r="DE542" s="13"/>
      <c r="DF542" s="13"/>
      <c r="DG542" s="13" t="str">
        <f t="shared" ref="DG542:DG568" si="950">IF(DF542="","",DC542*DF542)</f>
        <v/>
      </c>
      <c r="DH542" s="14" t="str">
        <f t="shared" ref="DH542:DH568" si="951">IF(DG542="","",DG542/(CY542*100))</f>
        <v/>
      </c>
      <c r="DI542" s="15"/>
      <c r="DJ542" s="1"/>
      <c r="DK542" s="16"/>
      <c r="DL542" s="54"/>
      <c r="DM542" s="13" t="str">
        <f>IF(DL542="","",DL542-DL541)</f>
        <v/>
      </c>
      <c r="DN542" s="13"/>
      <c r="DO542" s="13" t="str">
        <f>IF(DN542="","",DN542-DN541)</f>
        <v/>
      </c>
      <c r="DP542" s="13"/>
      <c r="DQ542" s="13" t="str">
        <f>IF(DP542="","",DP541+DR541-DP542)</f>
        <v/>
      </c>
      <c r="DR542" s="13"/>
      <c r="DS542" s="13"/>
      <c r="DT542" s="13"/>
      <c r="DU542" s="13" t="str">
        <f t="shared" ref="DU542:DU568" si="952">IF(DT542="","",DQ542*DT542)</f>
        <v/>
      </c>
      <c r="DV542" s="14" t="str">
        <f t="shared" ref="DV542:DV568" si="953">IF(DU542="","",DU542/(DM542*100))</f>
        <v/>
      </c>
      <c r="DW542" s="15"/>
    </row>
    <row r="543" spans="1:127" ht="15" customHeight="1" x14ac:dyDescent="0.2">
      <c r="A543" s="16"/>
      <c r="B543" s="74"/>
      <c r="C543" s="34">
        <v>8555</v>
      </c>
      <c r="D543" s="13">
        <f t="shared" si="917"/>
        <v>129</v>
      </c>
      <c r="E543" s="34">
        <v>517</v>
      </c>
      <c r="F543" s="13">
        <f t="shared" si="918"/>
        <v>9</v>
      </c>
      <c r="G543" s="13">
        <v>150</v>
      </c>
      <c r="H543" s="13">
        <f t="shared" si="919"/>
        <v>10</v>
      </c>
      <c r="I543" s="49">
        <v>5</v>
      </c>
      <c r="J543" s="56" t="str">
        <f t="shared" si="920"/>
        <v>AIモンスタラバー</v>
      </c>
      <c r="K543" s="13">
        <f t="shared" si="921"/>
        <v>200</v>
      </c>
      <c r="L543" s="13">
        <f t="shared" si="922"/>
        <v>2000</v>
      </c>
      <c r="M543" s="14">
        <f t="shared" si="923"/>
        <v>0.15503875968992248</v>
      </c>
      <c r="N543" s="15"/>
      <c r="O543" s="2"/>
      <c r="P543" s="16"/>
      <c r="Q543" s="34">
        <v>6121</v>
      </c>
      <c r="R543" s="13">
        <f t="shared" si="924"/>
        <v>94</v>
      </c>
      <c r="S543" s="34">
        <v>94</v>
      </c>
      <c r="T543" s="13">
        <f t="shared" si="925"/>
        <v>1</v>
      </c>
      <c r="U543" s="13">
        <v>72</v>
      </c>
      <c r="V543" s="13">
        <f t="shared" si="926"/>
        <v>3</v>
      </c>
      <c r="W543" s="49">
        <v>0</v>
      </c>
      <c r="X543" s="56" t="str">
        <f t="shared" si="927"/>
        <v>アングリーキーホルダー</v>
      </c>
      <c r="Y543" s="13">
        <f t="shared" si="928"/>
        <v>100</v>
      </c>
      <c r="Z543" s="13">
        <f t="shared" si="929"/>
        <v>300</v>
      </c>
      <c r="AA543" s="14">
        <f t="shared" si="930"/>
        <v>3.1914893617021274E-2</v>
      </c>
      <c r="AB543" s="15"/>
      <c r="AC543" s="15"/>
      <c r="AD543" s="16"/>
      <c r="AE543" s="34">
        <v>9408</v>
      </c>
      <c r="AF543" s="13">
        <f t="shared" si="931"/>
        <v>113</v>
      </c>
      <c r="AG543" s="34">
        <v>282</v>
      </c>
      <c r="AH543" s="13">
        <f t="shared" si="932"/>
        <v>1</v>
      </c>
      <c r="AI543" s="13">
        <v>38</v>
      </c>
      <c r="AJ543" s="13">
        <f t="shared" si="933"/>
        <v>2</v>
      </c>
      <c r="AK543" s="49">
        <v>0</v>
      </c>
      <c r="AL543" s="56" t="str">
        <f t="shared" si="945"/>
        <v>ラブブキーホルダー</v>
      </c>
      <c r="AM543" s="13">
        <f t="shared" si="944"/>
        <v>400</v>
      </c>
      <c r="AN543" s="13">
        <f t="shared" si="935"/>
        <v>800</v>
      </c>
      <c r="AO543" s="14">
        <f t="shared" si="936"/>
        <v>7.0796460176991149E-2</v>
      </c>
      <c r="AP543" s="15"/>
      <c r="AQ543" s="15"/>
      <c r="AR543" s="16"/>
      <c r="AS543" s="34">
        <v>11243</v>
      </c>
      <c r="AT543" s="13">
        <f t="shared" si="937"/>
        <v>330</v>
      </c>
      <c r="AU543" s="34">
        <v>432</v>
      </c>
      <c r="AV543" s="13">
        <f t="shared" si="938"/>
        <v>4</v>
      </c>
      <c r="AW543" s="13">
        <v>15</v>
      </c>
      <c r="AX543" s="13">
        <f t="shared" si="939"/>
        <v>4</v>
      </c>
      <c r="AY543" s="49">
        <v>3</v>
      </c>
      <c r="AZ543" s="56" t="str">
        <f t="shared" si="940"/>
        <v>ラブブキーホルダーおおきめ</v>
      </c>
      <c r="BA543" s="13">
        <f t="shared" si="941"/>
        <v>500</v>
      </c>
      <c r="BB543" s="13">
        <f t="shared" si="942"/>
        <v>2000</v>
      </c>
      <c r="BC543" s="14">
        <f t="shared" si="943"/>
        <v>6.0606060606060608E-2</v>
      </c>
      <c r="BD543" s="15"/>
      <c r="BT543" s="15"/>
      <c r="BU543" s="16"/>
      <c r="BV543" s="54"/>
      <c r="BW543" s="13" t="str">
        <f>IF(BV543="","",BV543-BV542)</f>
        <v/>
      </c>
      <c r="BX543" s="13"/>
      <c r="BY543" s="13" t="str">
        <f>IF(BX543="","",BX543-BX542)</f>
        <v/>
      </c>
      <c r="BZ543" s="13"/>
      <c r="CA543" s="13" t="str">
        <f>IF(BZ543="","",BZ542+CB542-BZ543)</f>
        <v/>
      </c>
      <c r="CB543" s="13"/>
      <c r="CC543" s="13"/>
      <c r="CD543" s="13"/>
      <c r="CE543" s="13" t="str">
        <f t="shared" si="946"/>
        <v/>
      </c>
      <c r="CF543" s="14" t="str">
        <f t="shared" si="947"/>
        <v/>
      </c>
      <c r="CG543" s="15"/>
      <c r="CH543" s="1"/>
      <c r="CI543" s="16"/>
      <c r="CJ543" s="54"/>
      <c r="CK543" s="13" t="str">
        <f>IF(CJ543="","",CJ543-CJ542)</f>
        <v/>
      </c>
      <c r="CL543" s="13"/>
      <c r="CM543" s="13" t="str">
        <f>IF(CL543="","",CL543-CL542)</f>
        <v/>
      </c>
      <c r="CN543" s="13"/>
      <c r="CO543" s="13" t="str">
        <f>IF(CN543="","",CN542+CP542-CN543)</f>
        <v/>
      </c>
      <c r="CP543" s="13"/>
      <c r="CQ543" s="13"/>
      <c r="CR543" s="13"/>
      <c r="CS543" s="13" t="str">
        <f t="shared" si="948"/>
        <v/>
      </c>
      <c r="CT543" s="14" t="str">
        <f t="shared" si="949"/>
        <v/>
      </c>
      <c r="CU543" s="15"/>
      <c r="CV543" s="1"/>
      <c r="CW543" s="16"/>
      <c r="CX543" s="54"/>
      <c r="CY543" s="13" t="str">
        <f>IF(CX543="","",CX543-CX542)</f>
        <v/>
      </c>
      <c r="CZ543" s="13"/>
      <c r="DA543" s="13" t="str">
        <f>IF(CZ543="","",CZ543-CZ542)</f>
        <v/>
      </c>
      <c r="DB543" s="13"/>
      <c r="DC543" s="13" t="str">
        <f>IF(DB543="","",DB542+DD542-DB543)</f>
        <v/>
      </c>
      <c r="DD543" s="13"/>
      <c r="DE543" s="13"/>
      <c r="DF543" s="13"/>
      <c r="DG543" s="13" t="str">
        <f t="shared" si="950"/>
        <v/>
      </c>
      <c r="DH543" s="14" t="str">
        <f t="shared" si="951"/>
        <v/>
      </c>
      <c r="DI543" s="15"/>
      <c r="DJ543" s="1"/>
      <c r="DK543" s="16"/>
      <c r="DL543" s="54"/>
      <c r="DM543" s="13" t="str">
        <f>IF(DL543="","",DL543-DL542)</f>
        <v/>
      </c>
      <c r="DN543" s="13"/>
      <c r="DO543" s="13" t="str">
        <f>IF(DN543="","",DN543-DN542)</f>
        <v/>
      </c>
      <c r="DP543" s="13"/>
      <c r="DQ543" s="13" t="str">
        <f>IF(DP543="","",DP542+DR542-DP543)</f>
        <v/>
      </c>
      <c r="DR543" s="13"/>
      <c r="DS543" s="13"/>
      <c r="DT543" s="13"/>
      <c r="DU543" s="13" t="str">
        <f t="shared" si="952"/>
        <v/>
      </c>
      <c r="DV543" s="14" t="str">
        <f t="shared" si="953"/>
        <v/>
      </c>
      <c r="DW543" s="15"/>
    </row>
    <row r="544" spans="1:127" ht="15" customHeight="1" thickBot="1" x14ac:dyDescent="0.25">
      <c r="A544" s="26"/>
      <c r="B544" s="46"/>
      <c r="C544" s="27">
        <v>4173</v>
      </c>
      <c r="D544" s="27">
        <f t="shared" si="917"/>
        <v>36</v>
      </c>
      <c r="E544" s="27">
        <v>392</v>
      </c>
      <c r="F544" s="27">
        <f t="shared" si="918"/>
        <v>0</v>
      </c>
      <c r="G544" s="27">
        <v>45</v>
      </c>
      <c r="H544" s="27">
        <f t="shared" si="919"/>
        <v>1</v>
      </c>
      <c r="I544" s="47">
        <v>0</v>
      </c>
      <c r="J544" s="57" t="str">
        <f t="shared" si="920"/>
        <v>NICIマスコット</v>
      </c>
      <c r="K544" s="62">
        <f t="shared" si="921"/>
        <v>900</v>
      </c>
      <c r="L544" s="27">
        <f t="shared" si="922"/>
        <v>900</v>
      </c>
      <c r="M544" s="28">
        <f t="shared" si="923"/>
        <v>0.25</v>
      </c>
      <c r="N544" s="15"/>
      <c r="O544" s="2"/>
      <c r="P544" s="26"/>
      <c r="Q544" s="27">
        <v>5317</v>
      </c>
      <c r="R544" s="27">
        <f t="shared" si="924"/>
        <v>45</v>
      </c>
      <c r="S544" s="27">
        <v>94</v>
      </c>
      <c r="T544" s="27">
        <f t="shared" si="925"/>
        <v>1</v>
      </c>
      <c r="U544" s="27">
        <v>11</v>
      </c>
      <c r="V544" s="27">
        <f t="shared" si="926"/>
        <v>3</v>
      </c>
      <c r="W544" s="47">
        <v>0</v>
      </c>
      <c r="X544" s="57" t="str">
        <f t="shared" si="927"/>
        <v>ＡＩマスコット</v>
      </c>
      <c r="Y544" s="62">
        <f t="shared" si="928"/>
        <v>286</v>
      </c>
      <c r="Z544" s="27">
        <f t="shared" si="929"/>
        <v>858</v>
      </c>
      <c r="AA544" s="28">
        <f t="shared" si="930"/>
        <v>0.19066666666666668</v>
      </c>
      <c r="AB544" s="15"/>
      <c r="AC544" s="15"/>
      <c r="AD544" s="26"/>
      <c r="AE544" s="27">
        <v>9419</v>
      </c>
      <c r="AF544" s="27">
        <f t="shared" si="931"/>
        <v>28</v>
      </c>
      <c r="AG544" s="27">
        <v>257</v>
      </c>
      <c r="AH544" s="27">
        <f t="shared" si="932"/>
        <v>0</v>
      </c>
      <c r="AI544" s="27">
        <v>12</v>
      </c>
      <c r="AJ544" s="27">
        <f t="shared" si="933"/>
        <v>0</v>
      </c>
      <c r="AK544" s="47">
        <v>0</v>
      </c>
      <c r="AL544" s="57" t="s">
        <v>346</v>
      </c>
      <c r="AM544" s="62">
        <v>495</v>
      </c>
      <c r="AN544" s="27">
        <f t="shared" si="935"/>
        <v>0</v>
      </c>
      <c r="AO544" s="28">
        <f t="shared" si="936"/>
        <v>0</v>
      </c>
      <c r="AP544" s="15" t="s">
        <v>345</v>
      </c>
      <c r="AQ544" s="15"/>
      <c r="AR544" s="26"/>
      <c r="AS544" s="27">
        <v>11456</v>
      </c>
      <c r="AT544" s="27">
        <f t="shared" si="937"/>
        <v>253</v>
      </c>
      <c r="AU544" s="27">
        <v>370</v>
      </c>
      <c r="AV544" s="27">
        <f t="shared" si="938"/>
        <v>2</v>
      </c>
      <c r="AW544" s="27">
        <v>15</v>
      </c>
      <c r="AX544" s="27">
        <f t="shared" si="939"/>
        <v>2</v>
      </c>
      <c r="AY544" s="47">
        <v>5</v>
      </c>
      <c r="AZ544" s="57" t="str">
        <f t="shared" si="940"/>
        <v>ラブブマスコット</v>
      </c>
      <c r="BA544" s="62">
        <f t="shared" si="941"/>
        <v>400</v>
      </c>
      <c r="BB544" s="27">
        <f t="shared" si="942"/>
        <v>800</v>
      </c>
      <c r="BC544" s="28">
        <f t="shared" si="943"/>
        <v>3.1620553359683792E-2</v>
      </c>
      <c r="BD544" s="15"/>
      <c r="BT544" s="15"/>
      <c r="BU544" s="16"/>
      <c r="BV544" s="54"/>
      <c r="BW544" s="13" t="str">
        <f>IF(BV544="","",BV544-BV543)</f>
        <v/>
      </c>
      <c r="BX544" s="13"/>
      <c r="BY544" s="13"/>
      <c r="BZ544" s="13"/>
      <c r="CA544" s="13" t="str">
        <f>IF(BZ544="","",BZ543+CB543-BZ544)</f>
        <v/>
      </c>
      <c r="CB544" s="13"/>
      <c r="CC544" s="13"/>
      <c r="CD544" s="13"/>
      <c r="CE544" s="13" t="str">
        <f t="shared" si="946"/>
        <v/>
      </c>
      <c r="CF544" s="14" t="str">
        <f t="shared" si="947"/>
        <v/>
      </c>
      <c r="CG544" s="15"/>
      <c r="CH544" s="1"/>
      <c r="CI544" s="16"/>
      <c r="CJ544" s="54"/>
      <c r="CK544" s="13" t="str">
        <f>IF(CJ544="","",CJ544-CJ543)</f>
        <v/>
      </c>
      <c r="CL544" s="13"/>
      <c r="CM544" s="13"/>
      <c r="CN544" s="13"/>
      <c r="CO544" s="13" t="str">
        <f>IF(CN544="","",CN543+CP543-CN544)</f>
        <v/>
      </c>
      <c r="CP544" s="13"/>
      <c r="CQ544" s="13"/>
      <c r="CR544" s="13"/>
      <c r="CS544" s="13" t="str">
        <f t="shared" si="948"/>
        <v/>
      </c>
      <c r="CT544" s="14" t="str">
        <f t="shared" si="949"/>
        <v/>
      </c>
      <c r="CU544" s="15"/>
      <c r="CV544" s="1"/>
      <c r="CW544" s="16"/>
      <c r="CX544" s="54"/>
      <c r="CY544" s="13" t="str">
        <f>IF(CX544="","",CX544-CX543)</f>
        <v/>
      </c>
      <c r="CZ544" s="13"/>
      <c r="DA544" s="13"/>
      <c r="DB544" s="13"/>
      <c r="DC544" s="13" t="str">
        <f>IF(DB544="","",DB543+DD543-DB544)</f>
        <v/>
      </c>
      <c r="DD544" s="13"/>
      <c r="DE544" s="13"/>
      <c r="DF544" s="13"/>
      <c r="DG544" s="13" t="str">
        <f t="shared" si="950"/>
        <v/>
      </c>
      <c r="DH544" s="14" t="str">
        <f t="shared" si="951"/>
        <v/>
      </c>
      <c r="DI544" s="15"/>
      <c r="DJ544" s="1"/>
      <c r="DK544" s="16"/>
      <c r="DL544" s="54"/>
      <c r="DM544" s="13" t="str">
        <f>IF(DL544="","",DL544-DL543)</f>
        <v/>
      </c>
      <c r="DN544" s="13"/>
      <c r="DO544" s="13"/>
      <c r="DP544" s="13"/>
      <c r="DQ544" s="13" t="str">
        <f>IF(DP544="","",DP543+DR543-DP544)</f>
        <v/>
      </c>
      <c r="DR544" s="13"/>
      <c r="DS544" s="13"/>
      <c r="DT544" s="13"/>
      <c r="DU544" s="13" t="str">
        <f t="shared" si="952"/>
        <v/>
      </c>
      <c r="DV544" s="14" t="str">
        <f t="shared" si="953"/>
        <v/>
      </c>
      <c r="DW544" s="15"/>
    </row>
    <row r="545" spans="1:127" ht="15" customHeight="1" thickTop="1" x14ac:dyDescent="0.2">
      <c r="A545" s="16">
        <v>45964</v>
      </c>
      <c r="B545" s="74">
        <f>IF(A545="","",SUM(D545:D548)+SUM(R545:R548)+SUM(AF545:AF548)+SUM(AT545:AT548)+SUM(BW527,CK527,CY527,DM527))</f>
        <v>2918</v>
      </c>
      <c r="C545" s="13">
        <v>3428</v>
      </c>
      <c r="D545" s="53">
        <f t="shared" si="917"/>
        <v>138</v>
      </c>
      <c r="E545" s="13">
        <v>308</v>
      </c>
      <c r="F545" s="31">
        <f t="shared" si="918"/>
        <v>2</v>
      </c>
      <c r="G545" s="13">
        <v>17</v>
      </c>
      <c r="H545" s="53">
        <f t="shared" si="919"/>
        <v>2</v>
      </c>
      <c r="I545" s="17">
        <v>4</v>
      </c>
      <c r="J545" s="75" t="str">
        <f t="shared" si="920"/>
        <v>ジャグラーサウンドボタン</v>
      </c>
      <c r="K545" s="76">
        <f t="shared" si="921"/>
        <v>748</v>
      </c>
      <c r="L545" s="31">
        <f t="shared" si="922"/>
        <v>1496</v>
      </c>
      <c r="M545" s="32">
        <f t="shared" si="923"/>
        <v>0.10840579710144928</v>
      </c>
      <c r="N545" s="15"/>
      <c r="O545" s="2"/>
      <c r="P545" s="79">
        <f>IF($A545="","",$A545)</f>
        <v>45964</v>
      </c>
      <c r="Q545" s="13">
        <v>3066</v>
      </c>
      <c r="R545" s="53">
        <f t="shared" si="924"/>
        <v>83</v>
      </c>
      <c r="S545" s="13">
        <v>113</v>
      </c>
      <c r="T545" s="31">
        <f t="shared" si="925"/>
        <v>3</v>
      </c>
      <c r="U545" s="13">
        <v>6</v>
      </c>
      <c r="V545" s="53">
        <f t="shared" si="926"/>
        <v>3</v>
      </c>
      <c r="W545" s="17">
        <v>3</v>
      </c>
      <c r="X545" s="75" t="str">
        <f t="shared" si="927"/>
        <v>キティフェイスポーチ</v>
      </c>
      <c r="Y545" s="76">
        <f t="shared" si="928"/>
        <v>957</v>
      </c>
      <c r="Z545" s="31">
        <f t="shared" si="929"/>
        <v>2871</v>
      </c>
      <c r="AA545" s="32">
        <f t="shared" si="930"/>
        <v>0.3459036144578313</v>
      </c>
      <c r="AB545" s="15"/>
      <c r="AC545" s="15"/>
      <c r="AD545" s="79">
        <f>IF($A545="","",$A545)</f>
        <v>45964</v>
      </c>
      <c r="AE545" s="13">
        <v>8444</v>
      </c>
      <c r="AF545" s="53">
        <f t="shared" si="931"/>
        <v>101</v>
      </c>
      <c r="AG545" s="13">
        <v>188</v>
      </c>
      <c r="AH545" s="31">
        <f t="shared" si="932"/>
        <v>2</v>
      </c>
      <c r="AI545" s="13">
        <v>10</v>
      </c>
      <c r="AJ545" s="53">
        <f t="shared" si="933"/>
        <v>1</v>
      </c>
      <c r="AK545" s="17">
        <v>2</v>
      </c>
      <c r="AL545" s="75" t="str">
        <f t="shared" si="945"/>
        <v>キティシリコンがま口</v>
      </c>
      <c r="AM545" s="76">
        <f t="shared" si="944"/>
        <v>1009</v>
      </c>
      <c r="AN545" s="31">
        <f t="shared" si="935"/>
        <v>1009</v>
      </c>
      <c r="AO545" s="32">
        <f t="shared" si="936"/>
        <v>9.9900990099009906E-2</v>
      </c>
      <c r="AP545" s="15"/>
      <c r="AQ545" s="15"/>
      <c r="AR545" s="79">
        <f>IF($A545="","",$A545)</f>
        <v>45964</v>
      </c>
      <c r="AS545" s="13">
        <v>8906</v>
      </c>
      <c r="AT545" s="53">
        <f t="shared" si="937"/>
        <v>73</v>
      </c>
      <c r="AU545" s="13">
        <v>271</v>
      </c>
      <c r="AV545" s="31">
        <f t="shared" si="938"/>
        <v>4</v>
      </c>
      <c r="AW545" s="13">
        <v>9</v>
      </c>
      <c r="AX545" s="53">
        <f t="shared" si="939"/>
        <v>3</v>
      </c>
      <c r="AY545" s="17">
        <v>8</v>
      </c>
      <c r="AZ545" s="75" t="s">
        <v>343</v>
      </c>
      <c r="BA545" s="76">
        <v>880</v>
      </c>
      <c r="BB545" s="31">
        <f t="shared" si="942"/>
        <v>2640</v>
      </c>
      <c r="BC545" s="32">
        <f t="shared" si="943"/>
        <v>0.36164383561643837</v>
      </c>
      <c r="BD545" s="15" t="s">
        <v>109</v>
      </c>
      <c r="BT545" s="15"/>
      <c r="BU545" s="16"/>
      <c r="BV545" s="13"/>
      <c r="BW545" s="13" t="str">
        <f>IF(BV545="","",BV545-BV546)</f>
        <v/>
      </c>
      <c r="BX545" s="13"/>
      <c r="BY545" s="13" t="str">
        <f>IF(BX545="","",BX545-BX546)</f>
        <v/>
      </c>
      <c r="BZ545" s="13"/>
      <c r="CA545" s="13" t="str">
        <f>IF(BZ545="","",BZ546+CB546-BZ545)</f>
        <v/>
      </c>
      <c r="CB545" s="13"/>
      <c r="CC545" s="13"/>
      <c r="CD545" s="13"/>
      <c r="CE545" s="13" t="str">
        <f t="shared" si="946"/>
        <v/>
      </c>
      <c r="CF545" s="14" t="str">
        <f t="shared" si="947"/>
        <v/>
      </c>
      <c r="CG545" s="15"/>
      <c r="CH545" s="1"/>
      <c r="CI545" s="16"/>
      <c r="CJ545" s="13"/>
      <c r="CK545" s="13" t="str">
        <f>IF(CJ545="","",CJ545-CJ546)</f>
        <v/>
      </c>
      <c r="CL545" s="13"/>
      <c r="CM545" s="13" t="str">
        <f>IF(CL545="","",CL545-CL546)</f>
        <v/>
      </c>
      <c r="CN545" s="13"/>
      <c r="CO545" s="13" t="str">
        <f>IF(CN545="","",CN546+CP546-CN545)</f>
        <v/>
      </c>
      <c r="CP545" s="13"/>
      <c r="CQ545" s="13"/>
      <c r="CR545" s="13"/>
      <c r="CS545" s="13" t="str">
        <f t="shared" si="948"/>
        <v/>
      </c>
      <c r="CT545" s="14" t="str">
        <f t="shared" si="949"/>
        <v/>
      </c>
      <c r="CU545" s="15"/>
      <c r="CV545" s="1"/>
      <c r="CW545" s="16"/>
      <c r="CX545" s="13"/>
      <c r="CY545" s="13" t="str">
        <f>IF(CX545="","",CX545-CX546)</f>
        <v/>
      </c>
      <c r="CZ545" s="13"/>
      <c r="DA545" s="13" t="str">
        <f>IF(CZ545="","",CZ545-CZ546)</f>
        <v/>
      </c>
      <c r="DB545" s="13"/>
      <c r="DC545" s="13" t="str">
        <f>IF(DB545="","",DB546+DD546-DB545)</f>
        <v/>
      </c>
      <c r="DD545" s="13"/>
      <c r="DE545" s="13"/>
      <c r="DF545" s="13"/>
      <c r="DG545" s="13" t="str">
        <f t="shared" si="950"/>
        <v/>
      </c>
      <c r="DH545" s="14" t="str">
        <f t="shared" si="951"/>
        <v/>
      </c>
      <c r="DI545" s="15"/>
      <c r="DJ545" s="1"/>
      <c r="DK545" s="16"/>
      <c r="DL545" s="13"/>
      <c r="DM545" s="13" t="str">
        <f>IF(DL545="","",DL545-DL546)</f>
        <v/>
      </c>
      <c r="DN545" s="13"/>
      <c r="DO545" s="13" t="str">
        <f>IF(DN545="","",DN545-DN546)</f>
        <v/>
      </c>
      <c r="DP545" s="13"/>
      <c r="DQ545" s="13" t="str">
        <f>IF(DP545="","",DP546+DR546-DP545)</f>
        <v/>
      </c>
      <c r="DR545" s="13"/>
      <c r="DS545" s="13"/>
      <c r="DT545" s="13"/>
      <c r="DU545" s="13" t="str">
        <f t="shared" si="952"/>
        <v/>
      </c>
      <c r="DV545" s="14" t="str">
        <f t="shared" si="953"/>
        <v/>
      </c>
      <c r="DW545" s="15"/>
    </row>
    <row r="546" spans="1:127" ht="15" customHeight="1" x14ac:dyDescent="0.2">
      <c r="A546" s="79"/>
      <c r="B546" s="11"/>
      <c r="C546" s="53">
        <v>2574</v>
      </c>
      <c r="D546" s="13">
        <f t="shared" si="917"/>
        <v>116</v>
      </c>
      <c r="E546" s="53">
        <v>327</v>
      </c>
      <c r="F546" s="13">
        <f t="shared" si="918"/>
        <v>5</v>
      </c>
      <c r="G546" s="13">
        <v>8</v>
      </c>
      <c r="H546" s="13">
        <f t="shared" si="919"/>
        <v>5</v>
      </c>
      <c r="I546" s="17">
        <v>4</v>
      </c>
      <c r="J546" s="56" t="str">
        <f t="shared" si="920"/>
        <v>液晶デジカメ</v>
      </c>
      <c r="K546" s="54">
        <f t="shared" si="921"/>
        <v>1075</v>
      </c>
      <c r="L546" s="13">
        <f t="shared" si="922"/>
        <v>5375</v>
      </c>
      <c r="M546" s="14">
        <f t="shared" si="923"/>
        <v>0.46336206896551724</v>
      </c>
      <c r="N546" s="15" t="s">
        <v>350</v>
      </c>
      <c r="O546" s="2"/>
      <c r="P546" s="79" t="str">
        <f>IF(A546="","",A546)</f>
        <v/>
      </c>
      <c r="Q546" s="53">
        <v>2803</v>
      </c>
      <c r="R546" s="13">
        <f t="shared" si="924"/>
        <v>118</v>
      </c>
      <c r="S546" s="53">
        <v>91</v>
      </c>
      <c r="T546" s="13">
        <f t="shared" si="925"/>
        <v>3</v>
      </c>
      <c r="U546" s="13">
        <v>19</v>
      </c>
      <c r="V546" s="13">
        <f t="shared" si="926"/>
        <v>1</v>
      </c>
      <c r="W546" s="17">
        <v>0</v>
      </c>
      <c r="X546" s="56" t="str">
        <f t="shared" si="927"/>
        <v>ジャグラーサウンドボタン</v>
      </c>
      <c r="Y546" s="54">
        <f t="shared" si="928"/>
        <v>1100</v>
      </c>
      <c r="Z546" s="13">
        <f t="shared" si="929"/>
        <v>1100</v>
      </c>
      <c r="AA546" s="14">
        <f t="shared" si="930"/>
        <v>9.3220338983050849E-2</v>
      </c>
      <c r="AB546" s="15"/>
      <c r="AC546" s="15"/>
      <c r="AD546" s="79" t="str">
        <f>IF(O546="","",O546)</f>
        <v/>
      </c>
      <c r="AE546" s="53">
        <v>8313</v>
      </c>
      <c r="AF546" s="13">
        <f t="shared" si="931"/>
        <v>145</v>
      </c>
      <c r="AG546" s="53">
        <v>183</v>
      </c>
      <c r="AH546" s="13">
        <f t="shared" si="932"/>
        <v>1</v>
      </c>
      <c r="AI546" s="13">
        <v>11</v>
      </c>
      <c r="AJ546" s="13">
        <f t="shared" si="933"/>
        <v>1</v>
      </c>
      <c r="AK546" s="17">
        <v>1</v>
      </c>
      <c r="AL546" s="56" t="str">
        <f t="shared" si="945"/>
        <v>キティヒョウ柄マスコット</v>
      </c>
      <c r="AM546" s="54">
        <f t="shared" si="944"/>
        <v>996</v>
      </c>
      <c r="AN546" s="13">
        <f t="shared" si="935"/>
        <v>996</v>
      </c>
      <c r="AO546" s="14">
        <f t="shared" si="936"/>
        <v>6.8689655172413794E-2</v>
      </c>
      <c r="AP546" s="15"/>
      <c r="AQ546" s="15"/>
      <c r="AR546" s="79" t="str">
        <f>IF(AC546="","",AC546)</f>
        <v/>
      </c>
      <c r="AS546" s="53">
        <v>6319</v>
      </c>
      <c r="AT546" s="13">
        <f t="shared" si="937"/>
        <v>61</v>
      </c>
      <c r="AU546" s="53">
        <v>309</v>
      </c>
      <c r="AV546" s="13">
        <f t="shared" si="938"/>
        <v>3</v>
      </c>
      <c r="AW546" s="13">
        <v>34</v>
      </c>
      <c r="AX546" s="13">
        <f t="shared" si="939"/>
        <v>4</v>
      </c>
      <c r="AY546" s="17">
        <v>0</v>
      </c>
      <c r="AZ546" s="56" t="str">
        <f t="shared" si="940"/>
        <v>ねこアイシャドウ</v>
      </c>
      <c r="BA546" s="54">
        <f t="shared" si="941"/>
        <v>1000</v>
      </c>
      <c r="BB546" s="13">
        <f t="shared" si="942"/>
        <v>4000</v>
      </c>
      <c r="BC546" s="14">
        <f t="shared" si="943"/>
        <v>0.65573770491803274</v>
      </c>
      <c r="BD546" s="15"/>
      <c r="BT546" s="15"/>
      <c r="BU546" s="16"/>
      <c r="BV546" s="13"/>
      <c r="BW546" s="13" t="str">
        <f>IF(BV546="","",BV546-BV544)</f>
        <v/>
      </c>
      <c r="BX546" s="13"/>
      <c r="BY546" s="13" t="str">
        <f>IF(BX546="","",BX546-BX544)</f>
        <v/>
      </c>
      <c r="BZ546" s="13"/>
      <c r="CA546" s="13" t="str">
        <f>IF(BZ546="","",BZ544+CB544-BZ546)</f>
        <v/>
      </c>
      <c r="CB546" s="13"/>
      <c r="CC546" s="13"/>
      <c r="CD546" s="13"/>
      <c r="CE546" s="13" t="str">
        <f t="shared" si="946"/>
        <v/>
      </c>
      <c r="CF546" s="14" t="str">
        <f t="shared" si="947"/>
        <v/>
      </c>
      <c r="CG546" s="15"/>
      <c r="CH546" s="1"/>
      <c r="CI546" s="16"/>
      <c r="CJ546" s="13"/>
      <c r="CK546" s="13" t="str">
        <f>IF(CJ546="","",CJ546-CJ544)</f>
        <v/>
      </c>
      <c r="CL546" s="13"/>
      <c r="CM546" s="13" t="str">
        <f>IF(CL546="","",CL546-CL544)</f>
        <v/>
      </c>
      <c r="CN546" s="13"/>
      <c r="CO546" s="13" t="str">
        <f>IF(CN546="","",CN544+CP544-CN546)</f>
        <v/>
      </c>
      <c r="CP546" s="13"/>
      <c r="CQ546" s="13"/>
      <c r="CR546" s="13"/>
      <c r="CS546" s="13" t="str">
        <f t="shared" si="948"/>
        <v/>
      </c>
      <c r="CT546" s="14" t="str">
        <f t="shared" si="949"/>
        <v/>
      </c>
      <c r="CU546" s="15"/>
      <c r="CV546" s="1"/>
      <c r="CW546" s="16"/>
      <c r="CX546" s="13"/>
      <c r="CY546" s="13" t="str">
        <f>IF(CX546="","",CX546-CX544)</f>
        <v/>
      </c>
      <c r="CZ546" s="13"/>
      <c r="DA546" s="13" t="str">
        <f>IF(CZ546="","",CZ546-CZ544)</f>
        <v/>
      </c>
      <c r="DB546" s="13"/>
      <c r="DC546" s="13" t="str">
        <f>IF(DB546="","",DB544+DD544-DB546)</f>
        <v/>
      </c>
      <c r="DD546" s="13"/>
      <c r="DE546" s="13"/>
      <c r="DF546" s="13"/>
      <c r="DG546" s="13" t="str">
        <f t="shared" si="950"/>
        <v/>
      </c>
      <c r="DH546" s="14" t="str">
        <f t="shared" si="951"/>
        <v/>
      </c>
      <c r="DI546" s="15"/>
      <c r="DJ546" s="1"/>
      <c r="DK546" s="16"/>
      <c r="DL546" s="13"/>
      <c r="DM546" s="13" t="str">
        <f>IF(DL546="","",DL546-DL544)</f>
        <v/>
      </c>
      <c r="DN546" s="13"/>
      <c r="DO546" s="13" t="str">
        <f>IF(DN546="","",DN546-DN544)</f>
        <v/>
      </c>
      <c r="DP546" s="13"/>
      <c r="DQ546" s="13" t="str">
        <f>IF(DP546="","",DP544+DR544-DP546)</f>
        <v/>
      </c>
      <c r="DR546" s="13"/>
      <c r="DS546" s="13"/>
      <c r="DT546" s="13"/>
      <c r="DU546" s="13" t="str">
        <f t="shared" si="952"/>
        <v/>
      </c>
      <c r="DV546" s="14" t="str">
        <f t="shared" si="953"/>
        <v/>
      </c>
      <c r="DW546" s="15"/>
    </row>
    <row r="547" spans="1:127" ht="15" customHeight="1" x14ac:dyDescent="0.2">
      <c r="A547" s="16"/>
      <c r="B547" s="11"/>
      <c r="C547" s="13">
        <v>8690</v>
      </c>
      <c r="D547" s="13">
        <f t="shared" si="917"/>
        <v>135</v>
      </c>
      <c r="E547" s="13">
        <v>524</v>
      </c>
      <c r="F547" s="13">
        <f t="shared" si="918"/>
        <v>7</v>
      </c>
      <c r="G547" s="13">
        <v>140</v>
      </c>
      <c r="H547" s="13">
        <f t="shared" si="919"/>
        <v>15</v>
      </c>
      <c r="I547" s="17">
        <v>4</v>
      </c>
      <c r="J547" s="56" t="str">
        <f t="shared" si="920"/>
        <v>AIモンスタラバー</v>
      </c>
      <c r="K547" s="13">
        <f t="shared" si="921"/>
        <v>200</v>
      </c>
      <c r="L547" s="13">
        <f t="shared" si="922"/>
        <v>3000</v>
      </c>
      <c r="M547" s="14">
        <f t="shared" si="923"/>
        <v>0.22222222222222221</v>
      </c>
      <c r="N547" s="15"/>
      <c r="O547" s="2"/>
      <c r="P547" s="16"/>
      <c r="Q547" s="13">
        <v>6171</v>
      </c>
      <c r="R547" s="87">
        <f t="shared" si="924"/>
        <v>50</v>
      </c>
      <c r="S547" s="13">
        <v>95</v>
      </c>
      <c r="T547" s="13">
        <f t="shared" si="925"/>
        <v>1</v>
      </c>
      <c r="U547" s="13">
        <v>70</v>
      </c>
      <c r="V547" s="13">
        <f t="shared" si="926"/>
        <v>2</v>
      </c>
      <c r="W547" s="17">
        <v>0</v>
      </c>
      <c r="X547" s="56" t="str">
        <f t="shared" si="927"/>
        <v>アングリーキーホルダー</v>
      </c>
      <c r="Y547" s="13">
        <f t="shared" si="928"/>
        <v>100</v>
      </c>
      <c r="Z547" s="13">
        <f t="shared" si="929"/>
        <v>200</v>
      </c>
      <c r="AA547" s="14">
        <f t="shared" si="930"/>
        <v>0.04</v>
      </c>
      <c r="AB547" s="15"/>
      <c r="AC547" s="15"/>
      <c r="AD547" s="16"/>
      <c r="AE547" s="13">
        <v>9617</v>
      </c>
      <c r="AF547" s="13">
        <f t="shared" si="931"/>
        <v>209</v>
      </c>
      <c r="AG547" s="13">
        <v>284</v>
      </c>
      <c r="AH547" s="13">
        <f t="shared" si="932"/>
        <v>2</v>
      </c>
      <c r="AI547" s="13">
        <v>36</v>
      </c>
      <c r="AJ547" s="13">
        <f t="shared" si="933"/>
        <v>2</v>
      </c>
      <c r="AK547" s="17">
        <v>0</v>
      </c>
      <c r="AL547" s="56" t="str">
        <f t="shared" si="945"/>
        <v>ラブブキーホルダー</v>
      </c>
      <c r="AM547" s="13">
        <f t="shared" si="944"/>
        <v>400</v>
      </c>
      <c r="AN547" s="13">
        <f t="shared" si="935"/>
        <v>800</v>
      </c>
      <c r="AO547" s="14">
        <f t="shared" si="936"/>
        <v>3.8277511961722487E-2</v>
      </c>
      <c r="AP547" s="15"/>
      <c r="AQ547" s="15"/>
      <c r="AR547" s="16"/>
      <c r="AS547" s="13">
        <v>11582</v>
      </c>
      <c r="AT547" s="13">
        <f t="shared" si="937"/>
        <v>339</v>
      </c>
      <c r="AU547" s="13">
        <v>439</v>
      </c>
      <c r="AV547" s="13">
        <f t="shared" si="938"/>
        <v>7</v>
      </c>
      <c r="AW547" s="13">
        <v>12</v>
      </c>
      <c r="AX547" s="13">
        <f t="shared" si="939"/>
        <v>6</v>
      </c>
      <c r="AY547" s="17">
        <v>5</v>
      </c>
      <c r="AZ547" s="56" t="str">
        <f t="shared" si="940"/>
        <v>ラブブキーホルダーおおきめ</v>
      </c>
      <c r="BA547" s="13">
        <f t="shared" si="941"/>
        <v>500</v>
      </c>
      <c r="BB547" s="13">
        <f t="shared" si="942"/>
        <v>3000</v>
      </c>
      <c r="BC547" s="14">
        <f t="shared" si="943"/>
        <v>8.8495575221238937E-2</v>
      </c>
      <c r="BD547" s="15"/>
      <c r="BT547" s="15"/>
      <c r="BU547" s="16"/>
      <c r="BV547" s="54"/>
      <c r="BW547" s="13" t="str">
        <f>IF(BV547="","",BV547-BV545)</f>
        <v/>
      </c>
      <c r="BX547" s="13"/>
      <c r="BY547" s="13"/>
      <c r="BZ547" s="13"/>
      <c r="CA547" s="13" t="str">
        <f>IF(BZ547="","",BZ545+CB545-BZ547)</f>
        <v/>
      </c>
      <c r="CB547" s="13"/>
      <c r="CC547" s="13"/>
      <c r="CD547" s="13"/>
      <c r="CE547" s="13" t="str">
        <f t="shared" si="946"/>
        <v/>
      </c>
      <c r="CF547" s="14" t="str">
        <f t="shared" si="947"/>
        <v/>
      </c>
      <c r="CG547" s="15"/>
      <c r="CH547" s="1"/>
      <c r="CI547" s="16"/>
      <c r="CJ547" s="54"/>
      <c r="CK547" s="13" t="str">
        <f>IF(CJ547="","",CJ547-CJ545)</f>
        <v/>
      </c>
      <c r="CL547" s="13"/>
      <c r="CM547" s="13"/>
      <c r="CN547" s="13"/>
      <c r="CO547" s="13" t="str">
        <f>IF(CN547="","",CN545+CP545-CN547)</f>
        <v/>
      </c>
      <c r="CP547" s="13"/>
      <c r="CQ547" s="13"/>
      <c r="CR547" s="13"/>
      <c r="CS547" s="13" t="str">
        <f t="shared" si="948"/>
        <v/>
      </c>
      <c r="CT547" s="14" t="str">
        <f t="shared" si="949"/>
        <v/>
      </c>
      <c r="CU547" s="15"/>
      <c r="CV547" s="1"/>
      <c r="CW547" s="16"/>
      <c r="CX547" s="54"/>
      <c r="CY547" s="13" t="str">
        <f>IF(CX547="","",CX547-CX545)</f>
        <v/>
      </c>
      <c r="CZ547" s="13"/>
      <c r="DA547" s="13"/>
      <c r="DB547" s="13"/>
      <c r="DC547" s="13" t="str">
        <f>IF(DB547="","",DB545+DD545-DB547)</f>
        <v/>
      </c>
      <c r="DD547" s="13"/>
      <c r="DE547" s="13"/>
      <c r="DF547" s="13"/>
      <c r="DG547" s="13" t="str">
        <f t="shared" si="950"/>
        <v/>
      </c>
      <c r="DH547" s="14" t="str">
        <f t="shared" si="951"/>
        <v/>
      </c>
      <c r="DI547" s="15"/>
      <c r="DJ547" s="1"/>
      <c r="DK547" s="16"/>
      <c r="DL547" s="54"/>
      <c r="DM547" s="13" t="str">
        <f>IF(DL547="","",DL547-DL545)</f>
        <v/>
      </c>
      <c r="DN547" s="13"/>
      <c r="DO547" s="13"/>
      <c r="DP547" s="13"/>
      <c r="DQ547" s="13" t="str">
        <f>IF(DP547="","",DP545+DR545-DP547)</f>
        <v/>
      </c>
      <c r="DR547" s="13"/>
      <c r="DS547" s="13"/>
      <c r="DT547" s="13"/>
      <c r="DU547" s="13" t="str">
        <f t="shared" si="952"/>
        <v/>
      </c>
      <c r="DV547" s="14" t="str">
        <f t="shared" si="953"/>
        <v/>
      </c>
      <c r="DW547" s="15"/>
    </row>
    <row r="548" spans="1:127" ht="15" customHeight="1" thickBot="1" x14ac:dyDescent="0.25">
      <c r="A548" s="26"/>
      <c r="B548" s="46"/>
      <c r="C548" s="27">
        <v>4236</v>
      </c>
      <c r="D548" s="88">
        <f t="shared" si="917"/>
        <v>63</v>
      </c>
      <c r="E548" s="27">
        <v>393</v>
      </c>
      <c r="F548" s="27">
        <f t="shared" si="918"/>
        <v>1</v>
      </c>
      <c r="G548" s="27">
        <v>44</v>
      </c>
      <c r="H548" s="27">
        <f t="shared" si="919"/>
        <v>1</v>
      </c>
      <c r="I548" s="47">
        <v>0</v>
      </c>
      <c r="J548" s="57" t="str">
        <f t="shared" si="920"/>
        <v>NICIマスコット</v>
      </c>
      <c r="K548" s="62">
        <f t="shared" si="921"/>
        <v>900</v>
      </c>
      <c r="L548" s="27">
        <f t="shared" si="922"/>
        <v>900</v>
      </c>
      <c r="M548" s="28">
        <f t="shared" si="923"/>
        <v>0.14285714285714285</v>
      </c>
      <c r="N548" s="15"/>
      <c r="O548" s="2"/>
      <c r="P548" s="26"/>
      <c r="Q548" s="27">
        <v>5370</v>
      </c>
      <c r="R548" s="88">
        <f t="shared" si="924"/>
        <v>53</v>
      </c>
      <c r="S548" s="27">
        <v>95</v>
      </c>
      <c r="T548" s="27">
        <f t="shared" si="925"/>
        <v>1</v>
      </c>
      <c r="U548" s="27">
        <v>10</v>
      </c>
      <c r="V548" s="27">
        <f t="shared" si="926"/>
        <v>1</v>
      </c>
      <c r="W548" s="47">
        <v>0</v>
      </c>
      <c r="X548" s="57" t="str">
        <f t="shared" si="927"/>
        <v>ＡＩマスコット</v>
      </c>
      <c r="Y548" s="62">
        <f t="shared" si="928"/>
        <v>286</v>
      </c>
      <c r="Z548" s="27">
        <f t="shared" si="929"/>
        <v>286</v>
      </c>
      <c r="AA548" s="28">
        <f t="shared" si="930"/>
        <v>5.39622641509434E-2</v>
      </c>
      <c r="AB548" s="15"/>
      <c r="AC548" s="15"/>
      <c r="AD548" s="26"/>
      <c r="AE548" s="27">
        <v>9498</v>
      </c>
      <c r="AF548" s="88">
        <f t="shared" si="931"/>
        <v>79</v>
      </c>
      <c r="AG548" s="27">
        <v>259</v>
      </c>
      <c r="AH548" s="27">
        <f t="shared" si="932"/>
        <v>2</v>
      </c>
      <c r="AI548" s="27">
        <v>11</v>
      </c>
      <c r="AJ548" s="27">
        <f t="shared" si="933"/>
        <v>1</v>
      </c>
      <c r="AK548" s="47">
        <v>4</v>
      </c>
      <c r="AL548" s="57" t="str">
        <f t="shared" si="945"/>
        <v>ちいかわシリコンポーチ</v>
      </c>
      <c r="AM548" s="62">
        <f t="shared" si="944"/>
        <v>495</v>
      </c>
      <c r="AN548" s="27">
        <f t="shared" si="935"/>
        <v>495</v>
      </c>
      <c r="AO548" s="28">
        <f t="shared" si="936"/>
        <v>6.2658227848101267E-2</v>
      </c>
      <c r="AP548" s="15" t="s">
        <v>326</v>
      </c>
      <c r="AQ548" s="15"/>
      <c r="AR548" s="26"/>
      <c r="AS548" s="27">
        <v>11734</v>
      </c>
      <c r="AT548" s="27">
        <f t="shared" si="937"/>
        <v>278</v>
      </c>
      <c r="AU548" s="27">
        <v>371</v>
      </c>
      <c r="AV548" s="27">
        <f t="shared" si="938"/>
        <v>1</v>
      </c>
      <c r="AW548" s="27">
        <v>19</v>
      </c>
      <c r="AX548" s="27">
        <f t="shared" si="939"/>
        <v>1</v>
      </c>
      <c r="AY548" s="47">
        <v>9</v>
      </c>
      <c r="AZ548" s="57" t="str">
        <f t="shared" si="940"/>
        <v>ラブブマスコット</v>
      </c>
      <c r="BA548" s="62">
        <f t="shared" si="941"/>
        <v>400</v>
      </c>
      <c r="BB548" s="27">
        <f t="shared" si="942"/>
        <v>400</v>
      </c>
      <c r="BC548" s="28">
        <f t="shared" si="943"/>
        <v>1.4388489208633094E-2</v>
      </c>
      <c r="BD548" s="15"/>
      <c r="BT548" s="15"/>
      <c r="BU548" s="16"/>
      <c r="BV548" s="54"/>
      <c r="BW548" s="13" t="str">
        <f t="shared" ref="BW548:BW568" si="954">IF(BV548="","",BV548-BV547)</f>
        <v/>
      </c>
      <c r="BX548" s="13"/>
      <c r="BY548" s="13"/>
      <c r="BZ548" s="13"/>
      <c r="CA548" s="13" t="str">
        <f t="shared" ref="CA548:CA568" si="955">IF(BZ548="","",BZ547+CB547-BZ548)</f>
        <v/>
      </c>
      <c r="CB548" s="13"/>
      <c r="CC548" s="13"/>
      <c r="CD548" s="13"/>
      <c r="CE548" s="13" t="str">
        <f t="shared" si="946"/>
        <v/>
      </c>
      <c r="CF548" s="14" t="str">
        <f t="shared" si="947"/>
        <v/>
      </c>
      <c r="CG548" s="15"/>
      <c r="CH548" s="1"/>
      <c r="CI548" s="16"/>
      <c r="CJ548" s="54"/>
      <c r="CK548" s="13" t="str">
        <f t="shared" ref="CK548:CK568" si="956">IF(CJ548="","",CJ548-CJ547)</f>
        <v/>
      </c>
      <c r="CL548" s="13"/>
      <c r="CM548" s="13"/>
      <c r="CN548" s="13"/>
      <c r="CO548" s="13" t="str">
        <f t="shared" ref="CO548:CO568" si="957">IF(CN548="","",CN547+CP547-CN548)</f>
        <v/>
      </c>
      <c r="CP548" s="13"/>
      <c r="CQ548" s="13"/>
      <c r="CR548" s="13"/>
      <c r="CS548" s="13" t="str">
        <f t="shared" si="948"/>
        <v/>
      </c>
      <c r="CT548" s="14" t="str">
        <f t="shared" si="949"/>
        <v/>
      </c>
      <c r="CU548" s="15"/>
      <c r="CV548" s="1"/>
      <c r="CW548" s="16"/>
      <c r="CX548" s="54"/>
      <c r="CY548" s="13" t="str">
        <f t="shared" ref="CY548:CY568" si="958">IF(CX548="","",CX548-CX547)</f>
        <v/>
      </c>
      <c r="CZ548" s="13"/>
      <c r="DA548" s="13"/>
      <c r="DB548" s="13"/>
      <c r="DC548" s="13" t="str">
        <f t="shared" ref="DC548:DC568" si="959">IF(DB548="","",DB547+DD547-DB548)</f>
        <v/>
      </c>
      <c r="DD548" s="13"/>
      <c r="DE548" s="13"/>
      <c r="DF548" s="13"/>
      <c r="DG548" s="13" t="str">
        <f t="shared" si="950"/>
        <v/>
      </c>
      <c r="DH548" s="14" t="str">
        <f t="shared" si="951"/>
        <v/>
      </c>
      <c r="DI548" s="15"/>
      <c r="DJ548" s="1"/>
      <c r="DK548" s="16"/>
      <c r="DL548" s="54"/>
      <c r="DM548" s="13" t="str">
        <f t="shared" ref="DM548:DM568" si="960">IF(DL548="","",DL548-DL547)</f>
        <v/>
      </c>
      <c r="DN548" s="13"/>
      <c r="DO548" s="13"/>
      <c r="DP548" s="13"/>
      <c r="DQ548" s="13" t="str">
        <f t="shared" ref="DQ548:DQ568" si="961">IF(DP548="","",DP547+DR547-DP548)</f>
        <v/>
      </c>
      <c r="DR548" s="13"/>
      <c r="DS548" s="13"/>
      <c r="DT548" s="13"/>
      <c r="DU548" s="13" t="str">
        <f t="shared" si="952"/>
        <v/>
      </c>
      <c r="DV548" s="14" t="str">
        <f t="shared" si="953"/>
        <v/>
      </c>
      <c r="DW548" s="15"/>
    </row>
    <row r="549" spans="1:127" ht="15" customHeight="1" thickTop="1" x14ac:dyDescent="0.2">
      <c r="A549" s="79">
        <v>45968</v>
      </c>
      <c r="B549" s="74">
        <f>IF(A549="","",SUM(D549:D552)+SUM(R549:R552)+SUM(AF549:AF552)+SUM(AT549:AT552)+SUM(BW528,CK528,CY528,DM528))</f>
        <v>2329</v>
      </c>
      <c r="C549" s="13">
        <v>3469</v>
      </c>
      <c r="D549" s="127">
        <f t="shared" si="917"/>
        <v>41</v>
      </c>
      <c r="E549" s="13">
        <v>309</v>
      </c>
      <c r="F549" s="31">
        <f t="shared" si="918"/>
        <v>1</v>
      </c>
      <c r="G549" s="13">
        <v>20</v>
      </c>
      <c r="H549" s="53">
        <f t="shared" si="919"/>
        <v>1</v>
      </c>
      <c r="I549" s="80">
        <v>0</v>
      </c>
      <c r="J549" s="75" t="str">
        <f t="shared" si="920"/>
        <v>ジャグラーサウンドボタン</v>
      </c>
      <c r="K549" s="76">
        <f t="shared" si="921"/>
        <v>748</v>
      </c>
      <c r="L549" s="31">
        <f t="shared" si="922"/>
        <v>748</v>
      </c>
      <c r="M549" s="32">
        <f t="shared" si="923"/>
        <v>0.1824390243902439</v>
      </c>
      <c r="N549" s="15"/>
      <c r="O549" s="2"/>
      <c r="P549" s="79">
        <f>IF($A549="","",$A549)</f>
        <v>45968</v>
      </c>
      <c r="Q549" s="13">
        <v>3237</v>
      </c>
      <c r="R549" s="53">
        <f t="shared" si="924"/>
        <v>171</v>
      </c>
      <c r="S549" s="13">
        <v>114</v>
      </c>
      <c r="T549" s="31">
        <f t="shared" si="925"/>
        <v>1</v>
      </c>
      <c r="U549" s="13">
        <v>8</v>
      </c>
      <c r="V549" s="53">
        <f t="shared" si="926"/>
        <v>1</v>
      </c>
      <c r="W549" s="80">
        <v>1</v>
      </c>
      <c r="X549" s="75" t="str">
        <f t="shared" si="927"/>
        <v>キティフェイスポーチ</v>
      </c>
      <c r="Y549" s="76">
        <f t="shared" si="928"/>
        <v>957</v>
      </c>
      <c r="Z549" s="31">
        <f t="shared" si="929"/>
        <v>957</v>
      </c>
      <c r="AA549" s="32">
        <f t="shared" si="930"/>
        <v>5.5964912280701752E-2</v>
      </c>
      <c r="AB549" s="15"/>
      <c r="AC549" s="15"/>
      <c r="AD549" s="79">
        <f>IF($A549="","",$A549)</f>
        <v>45968</v>
      </c>
      <c r="AE549" s="13">
        <v>8543</v>
      </c>
      <c r="AF549" s="53">
        <f t="shared" si="931"/>
        <v>99</v>
      </c>
      <c r="AG549" s="13">
        <v>190</v>
      </c>
      <c r="AH549" s="31">
        <f t="shared" si="932"/>
        <v>2</v>
      </c>
      <c r="AI549" s="13">
        <v>11</v>
      </c>
      <c r="AJ549" s="53">
        <f t="shared" si="933"/>
        <v>1</v>
      </c>
      <c r="AK549" s="80">
        <v>0</v>
      </c>
      <c r="AL549" s="75" t="str">
        <f t="shared" si="945"/>
        <v>キティシリコンがま口</v>
      </c>
      <c r="AM549" s="76">
        <f t="shared" si="944"/>
        <v>1009</v>
      </c>
      <c r="AN549" s="31">
        <f t="shared" si="935"/>
        <v>1009</v>
      </c>
      <c r="AO549" s="32">
        <f t="shared" si="936"/>
        <v>0.10191919191919192</v>
      </c>
      <c r="AP549" s="15"/>
      <c r="AQ549" s="15"/>
      <c r="AR549" s="79">
        <f>IF($A549="","",$A549)</f>
        <v>45968</v>
      </c>
      <c r="AS549" s="13">
        <v>8968</v>
      </c>
      <c r="AT549" s="53">
        <f t="shared" si="937"/>
        <v>62</v>
      </c>
      <c r="AU549" s="13">
        <v>274</v>
      </c>
      <c r="AV549" s="31">
        <f t="shared" si="938"/>
        <v>3</v>
      </c>
      <c r="AW549" s="13">
        <v>15</v>
      </c>
      <c r="AX549" s="53">
        <f t="shared" si="939"/>
        <v>2</v>
      </c>
      <c r="AY549" s="80">
        <v>0</v>
      </c>
      <c r="AZ549" s="75" t="str">
        <f t="shared" si="940"/>
        <v>サンリオアニマルがま口</v>
      </c>
      <c r="BA549" s="76">
        <f t="shared" si="941"/>
        <v>880</v>
      </c>
      <c r="BB549" s="31">
        <f t="shared" si="942"/>
        <v>1760</v>
      </c>
      <c r="BC549" s="32">
        <f t="shared" si="943"/>
        <v>0.28387096774193549</v>
      </c>
      <c r="BD549" s="15"/>
      <c r="BT549" s="15"/>
      <c r="BU549" s="16"/>
      <c r="BV549" s="54"/>
      <c r="BW549" s="13" t="str">
        <f t="shared" si="954"/>
        <v/>
      </c>
      <c r="BX549" s="13"/>
      <c r="BY549" s="13"/>
      <c r="BZ549" s="13"/>
      <c r="CA549" s="13" t="str">
        <f t="shared" si="955"/>
        <v/>
      </c>
      <c r="CB549" s="13"/>
      <c r="CC549" s="13"/>
      <c r="CD549" s="13"/>
      <c r="CE549" s="13" t="str">
        <f t="shared" si="946"/>
        <v/>
      </c>
      <c r="CF549" s="14" t="str">
        <f t="shared" si="947"/>
        <v/>
      </c>
      <c r="CG549" s="15"/>
      <c r="CH549" s="1"/>
      <c r="CI549" s="16"/>
      <c r="CJ549" s="54"/>
      <c r="CK549" s="13" t="str">
        <f t="shared" si="956"/>
        <v/>
      </c>
      <c r="CL549" s="13"/>
      <c r="CM549" s="13"/>
      <c r="CN549" s="13"/>
      <c r="CO549" s="13" t="str">
        <f t="shared" si="957"/>
        <v/>
      </c>
      <c r="CP549" s="13"/>
      <c r="CQ549" s="13"/>
      <c r="CR549" s="13"/>
      <c r="CS549" s="13" t="str">
        <f t="shared" si="948"/>
        <v/>
      </c>
      <c r="CT549" s="14" t="str">
        <f t="shared" si="949"/>
        <v/>
      </c>
      <c r="CU549" s="15"/>
      <c r="CV549" s="1"/>
      <c r="CW549" s="16"/>
      <c r="CX549" s="54"/>
      <c r="CY549" s="13" t="str">
        <f t="shared" si="958"/>
        <v/>
      </c>
      <c r="CZ549" s="13"/>
      <c r="DA549" s="13"/>
      <c r="DB549" s="13"/>
      <c r="DC549" s="13" t="str">
        <f t="shared" si="959"/>
        <v/>
      </c>
      <c r="DD549" s="13"/>
      <c r="DE549" s="13"/>
      <c r="DF549" s="13"/>
      <c r="DG549" s="13" t="str">
        <f t="shared" si="950"/>
        <v/>
      </c>
      <c r="DH549" s="14" t="str">
        <f t="shared" si="951"/>
        <v/>
      </c>
      <c r="DI549" s="15"/>
      <c r="DJ549" s="1"/>
      <c r="DK549" s="16"/>
      <c r="DL549" s="54"/>
      <c r="DM549" s="13" t="str">
        <f t="shared" si="960"/>
        <v/>
      </c>
      <c r="DN549" s="13"/>
      <c r="DO549" s="13"/>
      <c r="DP549" s="13"/>
      <c r="DQ549" s="13" t="str">
        <f t="shared" si="961"/>
        <v/>
      </c>
      <c r="DR549" s="13"/>
      <c r="DS549" s="13"/>
      <c r="DT549" s="13"/>
      <c r="DU549" s="13" t="str">
        <f t="shared" si="952"/>
        <v/>
      </c>
      <c r="DV549" s="14" t="str">
        <f t="shared" si="953"/>
        <v/>
      </c>
      <c r="DW549" s="15"/>
    </row>
    <row r="550" spans="1:127" ht="15" customHeight="1" x14ac:dyDescent="0.2">
      <c r="A550" s="121"/>
      <c r="B550" s="74"/>
      <c r="C550" s="53">
        <v>2639</v>
      </c>
      <c r="D550" s="13">
        <f t="shared" si="917"/>
        <v>65</v>
      </c>
      <c r="E550" s="53">
        <v>328</v>
      </c>
      <c r="F550" s="13">
        <f t="shared" si="918"/>
        <v>1</v>
      </c>
      <c r="G550" s="13">
        <v>11</v>
      </c>
      <c r="H550" s="13">
        <f t="shared" si="919"/>
        <v>1</v>
      </c>
      <c r="I550" s="17">
        <v>0</v>
      </c>
      <c r="J550" s="56" t="str">
        <f t="shared" si="920"/>
        <v>液晶デジカメ</v>
      </c>
      <c r="K550" s="54">
        <f t="shared" si="921"/>
        <v>1075</v>
      </c>
      <c r="L550" s="13">
        <f t="shared" si="922"/>
        <v>1075</v>
      </c>
      <c r="M550" s="14">
        <f t="shared" si="923"/>
        <v>0.16538461538461538</v>
      </c>
      <c r="N550" s="15"/>
      <c r="O550" s="2"/>
      <c r="P550" s="16"/>
      <c r="Q550" s="53">
        <v>2844</v>
      </c>
      <c r="R550" s="87">
        <f t="shared" si="924"/>
        <v>41</v>
      </c>
      <c r="S550" s="53">
        <v>91</v>
      </c>
      <c r="T550" s="13">
        <f t="shared" si="925"/>
        <v>0</v>
      </c>
      <c r="U550" s="13">
        <v>19</v>
      </c>
      <c r="V550" s="13">
        <f t="shared" si="926"/>
        <v>0</v>
      </c>
      <c r="W550" s="17">
        <v>1</v>
      </c>
      <c r="X550" s="56" t="str">
        <f t="shared" si="927"/>
        <v>ジャグラーサウンドボタン</v>
      </c>
      <c r="Y550" s="54">
        <f t="shared" si="928"/>
        <v>1100</v>
      </c>
      <c r="Z550" s="13">
        <f t="shared" si="929"/>
        <v>0</v>
      </c>
      <c r="AA550" s="14">
        <f t="shared" si="930"/>
        <v>0</v>
      </c>
      <c r="AB550" s="15" t="s">
        <v>163</v>
      </c>
      <c r="AC550" s="15"/>
      <c r="AD550" s="16"/>
      <c r="AE550" s="53">
        <v>8379</v>
      </c>
      <c r="AF550" s="13">
        <f t="shared" si="931"/>
        <v>66</v>
      </c>
      <c r="AG550" s="53">
        <v>184</v>
      </c>
      <c r="AH550" s="13">
        <f t="shared" si="932"/>
        <v>1</v>
      </c>
      <c r="AI550" s="13">
        <v>11</v>
      </c>
      <c r="AJ550" s="13">
        <f t="shared" si="933"/>
        <v>1</v>
      </c>
      <c r="AK550" s="17">
        <v>0</v>
      </c>
      <c r="AL550" s="56" t="str">
        <f t="shared" si="945"/>
        <v>キティヒョウ柄マスコット</v>
      </c>
      <c r="AM550" s="54">
        <f t="shared" si="944"/>
        <v>996</v>
      </c>
      <c r="AN550" s="13">
        <f t="shared" si="935"/>
        <v>996</v>
      </c>
      <c r="AO550" s="14">
        <f t="shared" si="936"/>
        <v>0.15090909090909091</v>
      </c>
      <c r="AP550" s="15"/>
      <c r="AQ550" s="15"/>
      <c r="AR550" s="16"/>
      <c r="AS550" s="53">
        <v>6365</v>
      </c>
      <c r="AT550" s="13">
        <f t="shared" si="937"/>
        <v>46</v>
      </c>
      <c r="AU550" s="53">
        <v>313</v>
      </c>
      <c r="AV550" s="13">
        <f t="shared" si="938"/>
        <v>4</v>
      </c>
      <c r="AW550" s="13">
        <v>27</v>
      </c>
      <c r="AX550" s="13">
        <f t="shared" si="939"/>
        <v>7</v>
      </c>
      <c r="AY550" s="17">
        <v>0</v>
      </c>
      <c r="AZ550" s="56" t="str">
        <f t="shared" si="940"/>
        <v>ねこアイシャドウ</v>
      </c>
      <c r="BA550" s="54">
        <f t="shared" si="941"/>
        <v>1000</v>
      </c>
      <c r="BB550" s="13">
        <f t="shared" si="942"/>
        <v>7000</v>
      </c>
      <c r="BC550" s="14">
        <f t="shared" si="943"/>
        <v>1.5217391304347827</v>
      </c>
      <c r="BD550" s="15"/>
      <c r="BT550" s="15"/>
      <c r="BU550" s="16"/>
      <c r="BV550" s="54"/>
      <c r="BW550" s="13" t="str">
        <f t="shared" si="954"/>
        <v/>
      </c>
      <c r="BX550" s="13"/>
      <c r="BY550" s="13"/>
      <c r="BZ550" s="13"/>
      <c r="CA550" s="13" t="str">
        <f t="shared" si="955"/>
        <v/>
      </c>
      <c r="CB550" s="13"/>
      <c r="CC550" s="13"/>
      <c r="CD550" s="13"/>
      <c r="CE550" s="13" t="str">
        <f t="shared" si="946"/>
        <v/>
      </c>
      <c r="CF550" s="14" t="str">
        <f t="shared" si="947"/>
        <v/>
      </c>
      <c r="CG550" s="15"/>
      <c r="CH550" s="1"/>
      <c r="CI550" s="16"/>
      <c r="CJ550" s="54"/>
      <c r="CK550" s="13" t="str">
        <f t="shared" si="956"/>
        <v/>
      </c>
      <c r="CL550" s="13"/>
      <c r="CM550" s="13"/>
      <c r="CN550" s="13"/>
      <c r="CO550" s="13" t="str">
        <f t="shared" si="957"/>
        <v/>
      </c>
      <c r="CP550" s="13"/>
      <c r="CQ550" s="13"/>
      <c r="CR550" s="13"/>
      <c r="CS550" s="13" t="str">
        <f t="shared" si="948"/>
        <v/>
      </c>
      <c r="CT550" s="14" t="str">
        <f t="shared" si="949"/>
        <v/>
      </c>
      <c r="CU550" s="15"/>
      <c r="CV550" s="1"/>
      <c r="CW550" s="16"/>
      <c r="CX550" s="54"/>
      <c r="CY550" s="13" t="str">
        <f t="shared" si="958"/>
        <v/>
      </c>
      <c r="CZ550" s="13"/>
      <c r="DA550" s="13"/>
      <c r="DB550" s="13"/>
      <c r="DC550" s="13" t="str">
        <f t="shared" si="959"/>
        <v/>
      </c>
      <c r="DD550" s="13"/>
      <c r="DE550" s="13"/>
      <c r="DF550" s="13"/>
      <c r="DG550" s="13" t="str">
        <f t="shared" si="950"/>
        <v/>
      </c>
      <c r="DH550" s="14" t="str">
        <f t="shared" si="951"/>
        <v/>
      </c>
      <c r="DI550" s="15"/>
      <c r="DJ550" s="1"/>
      <c r="DK550" s="16"/>
      <c r="DL550" s="54"/>
      <c r="DM550" s="13" t="str">
        <f t="shared" si="960"/>
        <v/>
      </c>
      <c r="DN550" s="13"/>
      <c r="DO550" s="13"/>
      <c r="DP550" s="13"/>
      <c r="DQ550" s="13" t="str">
        <f t="shared" si="961"/>
        <v/>
      </c>
      <c r="DR550" s="13"/>
      <c r="DS550" s="13"/>
      <c r="DT550" s="13"/>
      <c r="DU550" s="13" t="str">
        <f t="shared" si="952"/>
        <v/>
      </c>
      <c r="DV550" s="14" t="str">
        <f t="shared" si="953"/>
        <v/>
      </c>
      <c r="DW550" s="15"/>
    </row>
    <row r="551" spans="1:127" x14ac:dyDescent="0.2">
      <c r="A551" s="16"/>
      <c r="B551" s="11"/>
      <c r="C551" s="13">
        <v>8811</v>
      </c>
      <c r="D551" s="13">
        <f t="shared" si="917"/>
        <v>121</v>
      </c>
      <c r="E551" s="13">
        <v>529</v>
      </c>
      <c r="F551" s="13">
        <f t="shared" si="918"/>
        <v>5</v>
      </c>
      <c r="G551" s="13">
        <v>135</v>
      </c>
      <c r="H551" s="13">
        <f t="shared" si="919"/>
        <v>9</v>
      </c>
      <c r="I551" s="49">
        <v>5</v>
      </c>
      <c r="J551" s="56" t="str">
        <f t="shared" si="920"/>
        <v>AIモンスタラバー</v>
      </c>
      <c r="K551" s="13">
        <f t="shared" si="921"/>
        <v>200</v>
      </c>
      <c r="L551" s="13">
        <f t="shared" si="922"/>
        <v>1800</v>
      </c>
      <c r="M551" s="14">
        <f t="shared" si="923"/>
        <v>0.1487603305785124</v>
      </c>
      <c r="N551" s="15"/>
      <c r="O551" s="2"/>
      <c r="P551" s="16"/>
      <c r="Q551" s="13">
        <v>6228</v>
      </c>
      <c r="R551" s="13">
        <f t="shared" si="924"/>
        <v>57</v>
      </c>
      <c r="S551" s="13">
        <v>97</v>
      </c>
      <c r="T551" s="13">
        <f t="shared" si="925"/>
        <v>2</v>
      </c>
      <c r="U551" s="13">
        <v>68</v>
      </c>
      <c r="V551" s="13">
        <f t="shared" si="926"/>
        <v>2</v>
      </c>
      <c r="W551" s="49">
        <v>0</v>
      </c>
      <c r="X551" s="56" t="str">
        <f t="shared" si="927"/>
        <v>アングリーキーホルダー</v>
      </c>
      <c r="Y551" s="13">
        <f t="shared" si="928"/>
        <v>100</v>
      </c>
      <c r="Z551" s="13">
        <f t="shared" si="929"/>
        <v>200</v>
      </c>
      <c r="AA551" s="14">
        <f t="shared" si="930"/>
        <v>3.5087719298245612E-2</v>
      </c>
      <c r="AB551" s="15"/>
      <c r="AC551" s="15"/>
      <c r="AD551" s="16"/>
      <c r="AE551" s="13">
        <v>9785</v>
      </c>
      <c r="AF551" s="13">
        <f t="shared" si="931"/>
        <v>168</v>
      </c>
      <c r="AG551" s="13">
        <v>284</v>
      </c>
      <c r="AH551" s="13">
        <f t="shared" si="932"/>
        <v>0</v>
      </c>
      <c r="AI551" s="13">
        <v>36</v>
      </c>
      <c r="AJ551" s="13">
        <f t="shared" si="933"/>
        <v>0</v>
      </c>
      <c r="AK551" s="49">
        <v>0</v>
      </c>
      <c r="AL551" s="56" t="str">
        <f t="shared" si="945"/>
        <v>ラブブキーホルダー</v>
      </c>
      <c r="AM551" s="13">
        <f t="shared" si="944"/>
        <v>400</v>
      </c>
      <c r="AN551" s="13">
        <f t="shared" si="935"/>
        <v>0</v>
      </c>
      <c r="AO551" s="14">
        <f t="shared" si="936"/>
        <v>0</v>
      </c>
      <c r="AP551" s="15"/>
      <c r="AQ551" s="15"/>
      <c r="AR551" s="16"/>
      <c r="AS551" s="13">
        <v>11725</v>
      </c>
      <c r="AT551" s="13">
        <f t="shared" si="937"/>
        <v>143</v>
      </c>
      <c r="AU551" s="13">
        <v>441</v>
      </c>
      <c r="AV551" s="13">
        <f t="shared" si="938"/>
        <v>2</v>
      </c>
      <c r="AW551" s="13">
        <v>15</v>
      </c>
      <c r="AX551" s="13">
        <f t="shared" si="939"/>
        <v>2</v>
      </c>
      <c r="AY551" s="49">
        <v>11</v>
      </c>
      <c r="AZ551" s="56" t="str">
        <f t="shared" si="940"/>
        <v>ラブブキーホルダーおおきめ</v>
      </c>
      <c r="BA551" s="13">
        <f t="shared" si="941"/>
        <v>500</v>
      </c>
      <c r="BB551" s="13">
        <f t="shared" si="942"/>
        <v>1000</v>
      </c>
      <c r="BC551" s="14">
        <f t="shared" si="943"/>
        <v>6.9930069930069935E-2</v>
      </c>
      <c r="BD551" s="15"/>
      <c r="BT551" s="15"/>
      <c r="BU551" s="16"/>
      <c r="BV551" s="54"/>
      <c r="BW551" s="13" t="str">
        <f t="shared" si="954"/>
        <v/>
      </c>
      <c r="BX551" s="13"/>
      <c r="BY551" s="13"/>
      <c r="BZ551" s="13"/>
      <c r="CA551" s="13" t="str">
        <f t="shared" si="955"/>
        <v/>
      </c>
      <c r="CB551" s="13"/>
      <c r="CC551" s="13"/>
      <c r="CD551" s="13"/>
      <c r="CE551" s="13" t="str">
        <f t="shared" si="946"/>
        <v/>
      </c>
      <c r="CF551" s="14" t="str">
        <f t="shared" si="947"/>
        <v/>
      </c>
      <c r="CG551" s="15"/>
      <c r="CH551" s="1"/>
      <c r="CI551" s="16"/>
      <c r="CJ551" s="54"/>
      <c r="CK551" s="13" t="str">
        <f t="shared" si="956"/>
        <v/>
      </c>
      <c r="CL551" s="13"/>
      <c r="CM551" s="13"/>
      <c r="CN551" s="13"/>
      <c r="CO551" s="13" t="str">
        <f t="shared" si="957"/>
        <v/>
      </c>
      <c r="CP551" s="13"/>
      <c r="CQ551" s="13"/>
      <c r="CR551" s="13"/>
      <c r="CS551" s="13" t="str">
        <f t="shared" si="948"/>
        <v/>
      </c>
      <c r="CT551" s="14" t="str">
        <f t="shared" si="949"/>
        <v/>
      </c>
      <c r="CU551" s="15"/>
      <c r="CV551" s="1"/>
      <c r="CW551" s="16"/>
      <c r="CX551" s="54"/>
      <c r="CY551" s="13" t="str">
        <f t="shared" si="958"/>
        <v/>
      </c>
      <c r="CZ551" s="13"/>
      <c r="DA551" s="13"/>
      <c r="DB551" s="13"/>
      <c r="DC551" s="13" t="str">
        <f t="shared" si="959"/>
        <v/>
      </c>
      <c r="DD551" s="13"/>
      <c r="DE551" s="13"/>
      <c r="DF551" s="13"/>
      <c r="DG551" s="13" t="str">
        <f t="shared" si="950"/>
        <v/>
      </c>
      <c r="DH551" s="14" t="str">
        <f t="shared" si="951"/>
        <v/>
      </c>
      <c r="DI551" s="15"/>
      <c r="DJ551" s="1"/>
      <c r="DK551" s="16"/>
      <c r="DL551" s="54"/>
      <c r="DM551" s="13" t="str">
        <f t="shared" si="960"/>
        <v/>
      </c>
      <c r="DN551" s="13"/>
      <c r="DO551" s="13"/>
      <c r="DP551" s="13"/>
      <c r="DQ551" s="13" t="str">
        <f t="shared" si="961"/>
        <v/>
      </c>
      <c r="DR551" s="13"/>
      <c r="DS551" s="13"/>
      <c r="DT551" s="13"/>
      <c r="DU551" s="13" t="str">
        <f t="shared" si="952"/>
        <v/>
      </c>
      <c r="DV551" s="14" t="str">
        <f t="shared" si="953"/>
        <v/>
      </c>
      <c r="DW551" s="15"/>
    </row>
    <row r="552" spans="1:127" ht="15" customHeight="1" thickBot="1" x14ac:dyDescent="0.25">
      <c r="A552" s="26"/>
      <c r="B552" s="46"/>
      <c r="C552" s="27">
        <v>4333</v>
      </c>
      <c r="D552" s="27">
        <f t="shared" si="917"/>
        <v>97</v>
      </c>
      <c r="E552" s="27">
        <v>393</v>
      </c>
      <c r="F552" s="27">
        <f t="shared" si="918"/>
        <v>0</v>
      </c>
      <c r="G552" s="27">
        <v>44</v>
      </c>
      <c r="H552" s="27">
        <f t="shared" si="919"/>
        <v>0</v>
      </c>
      <c r="I552" s="47">
        <v>0</v>
      </c>
      <c r="J552" s="57" t="str">
        <f t="shared" si="920"/>
        <v>NICIマスコット</v>
      </c>
      <c r="K552" s="62">
        <f t="shared" si="921"/>
        <v>900</v>
      </c>
      <c r="L552" s="27">
        <f t="shared" si="922"/>
        <v>0</v>
      </c>
      <c r="M552" s="28">
        <f t="shared" si="923"/>
        <v>0</v>
      </c>
      <c r="N552" s="15"/>
      <c r="O552" s="2"/>
      <c r="P552" s="26"/>
      <c r="Q552" s="27">
        <v>5439</v>
      </c>
      <c r="R552" s="27">
        <f t="shared" si="924"/>
        <v>69</v>
      </c>
      <c r="S552" s="27">
        <v>95</v>
      </c>
      <c r="T552" s="27">
        <f t="shared" si="925"/>
        <v>0</v>
      </c>
      <c r="U552" s="27">
        <v>10</v>
      </c>
      <c r="V552" s="27">
        <f t="shared" si="926"/>
        <v>0</v>
      </c>
      <c r="W552" s="47">
        <v>2</v>
      </c>
      <c r="X552" s="57" t="str">
        <f t="shared" si="927"/>
        <v>ＡＩマスコット</v>
      </c>
      <c r="Y552" s="62">
        <f t="shared" si="928"/>
        <v>286</v>
      </c>
      <c r="Z552" s="27">
        <f t="shared" si="929"/>
        <v>0</v>
      </c>
      <c r="AA552" s="28">
        <f t="shared" si="930"/>
        <v>0</v>
      </c>
      <c r="AB552" s="15"/>
      <c r="AC552" s="15"/>
      <c r="AD552" s="26"/>
      <c r="AE552" s="27">
        <v>9538</v>
      </c>
      <c r="AF552" s="88">
        <f t="shared" si="931"/>
        <v>40</v>
      </c>
      <c r="AG552" s="27">
        <v>262</v>
      </c>
      <c r="AH552" s="27">
        <f t="shared" si="932"/>
        <v>3</v>
      </c>
      <c r="AI552" s="27">
        <v>12</v>
      </c>
      <c r="AJ552" s="27">
        <f t="shared" si="933"/>
        <v>3</v>
      </c>
      <c r="AK552" s="47">
        <v>4</v>
      </c>
      <c r="AL552" s="57" t="str">
        <f t="shared" si="945"/>
        <v>ちいかわシリコンポーチ</v>
      </c>
      <c r="AM552" s="62">
        <f t="shared" si="944"/>
        <v>495</v>
      </c>
      <c r="AN552" s="27">
        <f t="shared" si="935"/>
        <v>1485</v>
      </c>
      <c r="AO552" s="28">
        <f t="shared" si="936"/>
        <v>0.37125000000000002</v>
      </c>
      <c r="AP552" s="15" t="s">
        <v>355</v>
      </c>
      <c r="AQ552" s="15"/>
      <c r="AR552" s="26"/>
      <c r="AS552" s="27">
        <v>11977</v>
      </c>
      <c r="AT552" s="27">
        <f t="shared" si="937"/>
        <v>243</v>
      </c>
      <c r="AU552" s="27">
        <v>372</v>
      </c>
      <c r="AV552" s="27">
        <f t="shared" si="938"/>
        <v>1</v>
      </c>
      <c r="AW552" s="27">
        <v>27</v>
      </c>
      <c r="AX552" s="27">
        <f t="shared" si="939"/>
        <v>1</v>
      </c>
      <c r="AY552" s="47">
        <v>0</v>
      </c>
      <c r="AZ552" s="57" t="str">
        <f t="shared" si="940"/>
        <v>ラブブマスコット</v>
      </c>
      <c r="BA552" s="62">
        <f t="shared" si="941"/>
        <v>400</v>
      </c>
      <c r="BB552" s="27">
        <f t="shared" si="942"/>
        <v>400</v>
      </c>
      <c r="BC552" s="28">
        <f t="shared" si="943"/>
        <v>1.646090534979424E-2</v>
      </c>
      <c r="BD552" s="15"/>
      <c r="BT552" s="15"/>
      <c r="BU552" s="16"/>
      <c r="BV552" s="54"/>
      <c r="BW552" s="13" t="str">
        <f t="shared" si="954"/>
        <v/>
      </c>
      <c r="BX552" s="13"/>
      <c r="BY552" s="13"/>
      <c r="BZ552" s="13"/>
      <c r="CA552" s="13" t="str">
        <f t="shared" si="955"/>
        <v/>
      </c>
      <c r="CB552" s="13"/>
      <c r="CC552" s="13"/>
      <c r="CD552" s="13"/>
      <c r="CE552" s="13" t="str">
        <f t="shared" si="946"/>
        <v/>
      </c>
      <c r="CF552" s="14" t="str">
        <f t="shared" si="947"/>
        <v/>
      </c>
      <c r="CG552" s="15"/>
      <c r="CH552" s="1"/>
      <c r="CI552" s="16"/>
      <c r="CJ552" s="54"/>
      <c r="CK552" s="13" t="str">
        <f t="shared" si="956"/>
        <v/>
      </c>
      <c r="CL552" s="13"/>
      <c r="CM552" s="13"/>
      <c r="CN552" s="13"/>
      <c r="CO552" s="13" t="str">
        <f t="shared" si="957"/>
        <v/>
      </c>
      <c r="CP552" s="13"/>
      <c r="CQ552" s="13"/>
      <c r="CR552" s="13"/>
      <c r="CS552" s="13" t="str">
        <f t="shared" si="948"/>
        <v/>
      </c>
      <c r="CT552" s="14" t="str">
        <f t="shared" si="949"/>
        <v/>
      </c>
      <c r="CU552" s="15"/>
      <c r="CV552" s="1"/>
      <c r="CW552" s="16"/>
      <c r="CX552" s="54"/>
      <c r="CY552" s="13" t="str">
        <f t="shared" si="958"/>
        <v/>
      </c>
      <c r="CZ552" s="13"/>
      <c r="DA552" s="13"/>
      <c r="DB552" s="13"/>
      <c r="DC552" s="13" t="str">
        <f t="shared" si="959"/>
        <v/>
      </c>
      <c r="DD552" s="13"/>
      <c r="DE552" s="13"/>
      <c r="DF552" s="13"/>
      <c r="DG552" s="13" t="str">
        <f t="shared" si="950"/>
        <v/>
      </c>
      <c r="DH552" s="14" t="str">
        <f t="shared" si="951"/>
        <v/>
      </c>
      <c r="DI552" s="15"/>
      <c r="DJ552" s="1"/>
      <c r="DK552" s="16"/>
      <c r="DL552" s="54"/>
      <c r="DM552" s="13" t="str">
        <f t="shared" si="960"/>
        <v/>
      </c>
      <c r="DN552" s="13"/>
      <c r="DO552" s="13"/>
      <c r="DP552" s="13"/>
      <c r="DQ552" s="13" t="str">
        <f t="shared" si="961"/>
        <v/>
      </c>
      <c r="DR552" s="13"/>
      <c r="DS552" s="13"/>
      <c r="DT552" s="13"/>
      <c r="DU552" s="13" t="str">
        <f t="shared" si="952"/>
        <v/>
      </c>
      <c r="DV552" s="14" t="str">
        <f t="shared" si="953"/>
        <v/>
      </c>
      <c r="DW552" s="15"/>
    </row>
    <row r="553" spans="1:127" ht="15" customHeight="1" thickTop="1" x14ac:dyDescent="0.2">
      <c r="A553" s="79">
        <v>45971</v>
      </c>
      <c r="B553" s="74">
        <f>IF(A553="","",SUM(D553:D556)+SUM(R553:R556)+SUM(AF553:AF556)+SUM(AT553:AT556)+SUM(BW529,CK529,CY529,DM529))</f>
        <v>2381</v>
      </c>
      <c r="C553" s="13">
        <v>3513</v>
      </c>
      <c r="D553" s="127">
        <f t="shared" si="917"/>
        <v>44</v>
      </c>
      <c r="E553" s="13">
        <v>310</v>
      </c>
      <c r="F553" s="31">
        <f t="shared" si="918"/>
        <v>1</v>
      </c>
      <c r="G553" s="13">
        <v>18</v>
      </c>
      <c r="H553" s="53">
        <f t="shared" si="919"/>
        <v>2</v>
      </c>
      <c r="I553" s="80">
        <v>1</v>
      </c>
      <c r="J553" s="75" t="str">
        <f t="shared" si="920"/>
        <v>ジャグラーサウンドボタン</v>
      </c>
      <c r="K553" s="76">
        <f t="shared" si="921"/>
        <v>748</v>
      </c>
      <c r="L553" s="31">
        <f t="shared" si="922"/>
        <v>1496</v>
      </c>
      <c r="M553" s="32">
        <f t="shared" si="923"/>
        <v>0.34</v>
      </c>
      <c r="N553" s="15"/>
      <c r="O553" s="2"/>
      <c r="P553" s="79">
        <f>IF($A553="","",$A553)</f>
        <v>45971</v>
      </c>
      <c r="Q553" s="13">
        <v>3296</v>
      </c>
      <c r="R553" s="53">
        <f t="shared" si="924"/>
        <v>59</v>
      </c>
      <c r="S553" s="13">
        <v>116</v>
      </c>
      <c r="T553" s="31">
        <f t="shared" si="925"/>
        <v>2</v>
      </c>
      <c r="U553" s="13">
        <v>7</v>
      </c>
      <c r="V553" s="53">
        <f t="shared" si="926"/>
        <v>2</v>
      </c>
      <c r="W553" s="80">
        <v>2</v>
      </c>
      <c r="X553" s="75" t="str">
        <f t="shared" si="927"/>
        <v>キティフェイスポーチ</v>
      </c>
      <c r="Y553" s="76">
        <f t="shared" si="928"/>
        <v>957</v>
      </c>
      <c r="Z553" s="31">
        <f t="shared" si="929"/>
        <v>1914</v>
      </c>
      <c r="AA553" s="32">
        <f t="shared" si="930"/>
        <v>0.32440677966101694</v>
      </c>
      <c r="AB553" s="15"/>
      <c r="AC553" s="15"/>
      <c r="AD553" s="79">
        <f>IF($A553="","",$A553)</f>
        <v>45971</v>
      </c>
      <c r="AE553" s="13">
        <v>8627</v>
      </c>
      <c r="AF553" s="53">
        <f t="shared" si="931"/>
        <v>84</v>
      </c>
      <c r="AG553" s="13">
        <v>191</v>
      </c>
      <c r="AH553" s="31">
        <f t="shared" si="932"/>
        <v>1</v>
      </c>
      <c r="AI553" s="13">
        <v>10</v>
      </c>
      <c r="AJ553" s="53">
        <f t="shared" si="933"/>
        <v>1</v>
      </c>
      <c r="AK553" s="80">
        <v>0</v>
      </c>
      <c r="AL553" s="75" t="str">
        <f t="shared" si="945"/>
        <v>キティシリコンがま口</v>
      </c>
      <c r="AM553" s="76">
        <f t="shared" si="944"/>
        <v>1009</v>
      </c>
      <c r="AN553" s="31">
        <f t="shared" si="935"/>
        <v>1009</v>
      </c>
      <c r="AO553" s="32">
        <f t="shared" si="936"/>
        <v>0.12011904761904763</v>
      </c>
      <c r="AP553" s="15"/>
      <c r="AQ553" s="15"/>
      <c r="AR553" s="79">
        <f>IF($A553="","",$A553)</f>
        <v>45971</v>
      </c>
      <c r="AS553" s="13">
        <v>9070</v>
      </c>
      <c r="AT553" s="53">
        <f t="shared" si="937"/>
        <v>102</v>
      </c>
      <c r="AU553" s="13">
        <v>277</v>
      </c>
      <c r="AV553" s="31">
        <f t="shared" si="938"/>
        <v>3</v>
      </c>
      <c r="AW553" s="13">
        <v>13</v>
      </c>
      <c r="AX553" s="53">
        <f t="shared" si="939"/>
        <v>2</v>
      </c>
      <c r="AY553" s="80">
        <v>2</v>
      </c>
      <c r="AZ553" s="75" t="str">
        <f t="shared" si="940"/>
        <v>サンリオアニマルがま口</v>
      </c>
      <c r="BA553" s="76">
        <f t="shared" si="941"/>
        <v>880</v>
      </c>
      <c r="BB553" s="31">
        <f t="shared" si="942"/>
        <v>1760</v>
      </c>
      <c r="BC553" s="32">
        <f t="shared" si="943"/>
        <v>0.17254901960784313</v>
      </c>
      <c r="BD553" s="15"/>
      <c r="BT553" s="15"/>
      <c r="BU553" s="16"/>
      <c r="BV553" s="54"/>
      <c r="BW553" s="13" t="str">
        <f t="shared" si="954"/>
        <v/>
      </c>
      <c r="BX553" s="13"/>
      <c r="BY553" s="13"/>
      <c r="BZ553" s="13"/>
      <c r="CA553" s="13" t="str">
        <f t="shared" si="955"/>
        <v/>
      </c>
      <c r="CB553" s="13"/>
      <c r="CC553" s="13"/>
      <c r="CD553" s="13"/>
      <c r="CE553" s="13" t="str">
        <f t="shared" si="946"/>
        <v/>
      </c>
      <c r="CF553" s="14" t="str">
        <f t="shared" si="947"/>
        <v/>
      </c>
      <c r="CG553" s="15"/>
      <c r="CH553" s="1"/>
      <c r="CI553" s="16"/>
      <c r="CJ553" s="54"/>
      <c r="CK553" s="13" t="str">
        <f t="shared" si="956"/>
        <v/>
      </c>
      <c r="CL553" s="13"/>
      <c r="CM553" s="13"/>
      <c r="CN553" s="13"/>
      <c r="CO553" s="13" t="str">
        <f t="shared" si="957"/>
        <v/>
      </c>
      <c r="CP553" s="13"/>
      <c r="CQ553" s="13"/>
      <c r="CR553" s="13"/>
      <c r="CS553" s="13" t="str">
        <f t="shared" si="948"/>
        <v/>
      </c>
      <c r="CT553" s="14" t="str">
        <f t="shared" si="949"/>
        <v/>
      </c>
      <c r="CU553" s="15"/>
      <c r="CV553" s="1"/>
      <c r="CW553" s="16"/>
      <c r="CX553" s="54"/>
      <c r="CY553" s="13" t="str">
        <f t="shared" si="958"/>
        <v/>
      </c>
      <c r="CZ553" s="13"/>
      <c r="DA553" s="13"/>
      <c r="DB553" s="13"/>
      <c r="DC553" s="13" t="str">
        <f t="shared" si="959"/>
        <v/>
      </c>
      <c r="DD553" s="13"/>
      <c r="DE553" s="13"/>
      <c r="DF553" s="13"/>
      <c r="DG553" s="13" t="str">
        <f t="shared" si="950"/>
        <v/>
      </c>
      <c r="DH553" s="14" t="str">
        <f t="shared" si="951"/>
        <v/>
      </c>
      <c r="DI553" s="15"/>
      <c r="DJ553" s="1"/>
      <c r="DK553" s="16"/>
      <c r="DL553" s="54"/>
      <c r="DM553" s="13" t="str">
        <f t="shared" si="960"/>
        <v/>
      </c>
      <c r="DN553" s="13"/>
      <c r="DO553" s="13"/>
      <c r="DP553" s="13"/>
      <c r="DQ553" s="13" t="str">
        <f t="shared" si="961"/>
        <v/>
      </c>
      <c r="DR553" s="13"/>
      <c r="DS553" s="13"/>
      <c r="DT553" s="13"/>
      <c r="DU553" s="13" t="str">
        <f t="shared" si="952"/>
        <v/>
      </c>
      <c r="DV553" s="14" t="str">
        <f t="shared" si="953"/>
        <v/>
      </c>
      <c r="DW553" s="15"/>
    </row>
    <row r="554" spans="1:127" ht="15" customHeight="1" x14ac:dyDescent="0.2">
      <c r="A554" s="133"/>
      <c r="B554" s="11"/>
      <c r="C554" s="53">
        <v>2703</v>
      </c>
      <c r="D554" s="13">
        <f t="shared" si="917"/>
        <v>64</v>
      </c>
      <c r="E554" s="53">
        <v>329</v>
      </c>
      <c r="F554" s="13">
        <f t="shared" si="918"/>
        <v>1</v>
      </c>
      <c r="G554" s="13">
        <v>10</v>
      </c>
      <c r="H554" s="13">
        <f t="shared" si="919"/>
        <v>1</v>
      </c>
      <c r="I554" s="17">
        <v>2</v>
      </c>
      <c r="J554" s="56" t="str">
        <f t="shared" si="920"/>
        <v>液晶デジカメ</v>
      </c>
      <c r="K554" s="54">
        <f t="shared" si="921"/>
        <v>1075</v>
      </c>
      <c r="L554" s="13">
        <f t="shared" si="922"/>
        <v>1075</v>
      </c>
      <c r="M554" s="14">
        <f t="shared" si="923"/>
        <v>0.16796875</v>
      </c>
      <c r="N554" s="15"/>
      <c r="O554" s="2"/>
      <c r="P554" s="16"/>
      <c r="Q554" s="53">
        <v>2888</v>
      </c>
      <c r="R554" s="87">
        <f t="shared" si="924"/>
        <v>44</v>
      </c>
      <c r="S554" s="53">
        <v>91</v>
      </c>
      <c r="T554" s="13">
        <f t="shared" si="925"/>
        <v>0</v>
      </c>
      <c r="U554" s="13">
        <v>20</v>
      </c>
      <c r="V554" s="13">
        <f t="shared" si="926"/>
        <v>0</v>
      </c>
      <c r="W554" s="17">
        <v>-10</v>
      </c>
      <c r="X554" s="56" t="str">
        <f t="shared" si="927"/>
        <v>ジャグラーサウンドボタン</v>
      </c>
      <c r="Y554" s="54">
        <f t="shared" si="928"/>
        <v>1100</v>
      </c>
      <c r="Z554" s="13">
        <f t="shared" si="929"/>
        <v>0</v>
      </c>
      <c r="AA554" s="14">
        <f t="shared" si="930"/>
        <v>0</v>
      </c>
      <c r="AB554" s="15" t="s">
        <v>359</v>
      </c>
      <c r="AC554" s="15"/>
      <c r="AD554" s="16"/>
      <c r="AE554" s="53">
        <v>8464</v>
      </c>
      <c r="AF554" s="13">
        <f t="shared" si="931"/>
        <v>85</v>
      </c>
      <c r="AG554" s="53">
        <v>185</v>
      </c>
      <c r="AH554" s="13">
        <f t="shared" si="932"/>
        <v>1</v>
      </c>
      <c r="AI554" s="13">
        <v>10</v>
      </c>
      <c r="AJ554" s="13">
        <f t="shared" si="933"/>
        <v>1</v>
      </c>
      <c r="AK554" s="17">
        <v>2</v>
      </c>
      <c r="AL554" s="56" t="str">
        <f t="shared" si="945"/>
        <v>キティヒョウ柄マスコット</v>
      </c>
      <c r="AM554" s="54">
        <f t="shared" si="944"/>
        <v>996</v>
      </c>
      <c r="AN554" s="13">
        <f t="shared" si="935"/>
        <v>996</v>
      </c>
      <c r="AO554" s="14">
        <f t="shared" si="936"/>
        <v>0.1171764705882353</v>
      </c>
      <c r="AP554" s="15"/>
      <c r="AQ554" s="15"/>
      <c r="AR554" s="16"/>
      <c r="AS554" s="53">
        <v>6453</v>
      </c>
      <c r="AT554" s="13">
        <f t="shared" si="937"/>
        <v>88</v>
      </c>
      <c r="AU554" s="53">
        <v>314</v>
      </c>
      <c r="AV554" s="13">
        <f t="shared" si="938"/>
        <v>1</v>
      </c>
      <c r="AW554" s="13">
        <v>26</v>
      </c>
      <c r="AX554" s="13">
        <f t="shared" si="939"/>
        <v>1</v>
      </c>
      <c r="AY554" s="17">
        <v>10</v>
      </c>
      <c r="AZ554" s="56" t="str">
        <f t="shared" si="940"/>
        <v>ねこアイシャドウ</v>
      </c>
      <c r="BA554" s="54">
        <f t="shared" si="941"/>
        <v>1000</v>
      </c>
      <c r="BB554" s="13">
        <f t="shared" si="942"/>
        <v>1000</v>
      </c>
      <c r="BC554" s="14">
        <f t="shared" si="943"/>
        <v>0.11363636363636363</v>
      </c>
      <c r="BD554" s="15"/>
      <c r="BT554" s="15"/>
      <c r="BU554" s="16"/>
      <c r="BV554" s="54"/>
      <c r="BW554" s="13" t="str">
        <f t="shared" si="954"/>
        <v/>
      </c>
      <c r="BX554" s="13"/>
      <c r="BY554" s="13"/>
      <c r="BZ554" s="13"/>
      <c r="CA554" s="13" t="str">
        <f t="shared" si="955"/>
        <v/>
      </c>
      <c r="CB554" s="13"/>
      <c r="CC554" s="13"/>
      <c r="CD554" s="13"/>
      <c r="CE554" s="13" t="str">
        <f t="shared" si="946"/>
        <v/>
      </c>
      <c r="CF554" s="14" t="str">
        <f t="shared" si="947"/>
        <v/>
      </c>
      <c r="CG554" s="15"/>
      <c r="CH554" s="1"/>
      <c r="CI554" s="16"/>
      <c r="CJ554" s="54"/>
      <c r="CK554" s="13" t="str">
        <f t="shared" si="956"/>
        <v/>
      </c>
      <c r="CL554" s="13"/>
      <c r="CM554" s="13"/>
      <c r="CN554" s="13"/>
      <c r="CO554" s="13" t="str">
        <f t="shared" si="957"/>
        <v/>
      </c>
      <c r="CP554" s="13"/>
      <c r="CQ554" s="13"/>
      <c r="CR554" s="13"/>
      <c r="CS554" s="13" t="str">
        <f t="shared" si="948"/>
        <v/>
      </c>
      <c r="CT554" s="14" t="str">
        <f t="shared" si="949"/>
        <v/>
      </c>
      <c r="CU554" s="15"/>
      <c r="CV554" s="1"/>
      <c r="CW554" s="16"/>
      <c r="CX554" s="54"/>
      <c r="CY554" s="13" t="str">
        <f t="shared" si="958"/>
        <v/>
      </c>
      <c r="CZ554" s="13"/>
      <c r="DA554" s="13"/>
      <c r="DB554" s="13"/>
      <c r="DC554" s="13" t="str">
        <f t="shared" si="959"/>
        <v/>
      </c>
      <c r="DD554" s="13"/>
      <c r="DE554" s="13"/>
      <c r="DF554" s="13"/>
      <c r="DG554" s="13" t="str">
        <f t="shared" si="950"/>
        <v/>
      </c>
      <c r="DH554" s="14" t="str">
        <f t="shared" si="951"/>
        <v/>
      </c>
      <c r="DI554" s="15"/>
      <c r="DJ554" s="1"/>
      <c r="DK554" s="16"/>
      <c r="DL554" s="54"/>
      <c r="DM554" s="13" t="str">
        <f t="shared" si="960"/>
        <v/>
      </c>
      <c r="DN554" s="13"/>
      <c r="DO554" s="13"/>
      <c r="DP554" s="13"/>
      <c r="DQ554" s="13" t="str">
        <f t="shared" si="961"/>
        <v/>
      </c>
      <c r="DR554" s="13"/>
      <c r="DS554" s="13"/>
      <c r="DT554" s="13"/>
      <c r="DU554" s="13" t="str">
        <f t="shared" si="952"/>
        <v/>
      </c>
      <c r="DV554" s="14" t="str">
        <f t="shared" si="953"/>
        <v/>
      </c>
      <c r="DW554" s="15"/>
    </row>
    <row r="555" spans="1:127" ht="15" customHeight="1" x14ac:dyDescent="0.2">
      <c r="A555" s="133"/>
      <c r="B555" s="11"/>
      <c r="C555" s="13">
        <v>8987</v>
      </c>
      <c r="D555" s="13">
        <f t="shared" si="917"/>
        <v>176</v>
      </c>
      <c r="E555" s="13">
        <v>538</v>
      </c>
      <c r="F555" s="13">
        <f t="shared" si="918"/>
        <v>9</v>
      </c>
      <c r="G555" s="13">
        <v>138</v>
      </c>
      <c r="H555" s="13">
        <f t="shared" si="919"/>
        <v>2</v>
      </c>
      <c r="I555" s="17">
        <v>10</v>
      </c>
      <c r="J555" s="56" t="str">
        <f t="shared" si="920"/>
        <v>AIモンスタラバー</v>
      </c>
      <c r="K555" s="13">
        <f t="shared" si="921"/>
        <v>200</v>
      </c>
      <c r="L555" s="13">
        <f t="shared" si="922"/>
        <v>400</v>
      </c>
      <c r="M555" s="14">
        <f t="shared" si="923"/>
        <v>2.2727272727272728E-2</v>
      </c>
      <c r="N555" s="15"/>
      <c r="O555" s="2"/>
      <c r="P555" s="16"/>
      <c r="Q555" s="13">
        <v>6313</v>
      </c>
      <c r="R555" s="13">
        <f t="shared" si="924"/>
        <v>85</v>
      </c>
      <c r="S555" s="13">
        <v>101</v>
      </c>
      <c r="T555" s="13">
        <f t="shared" si="925"/>
        <v>4</v>
      </c>
      <c r="U555" s="13">
        <v>63</v>
      </c>
      <c r="V555" s="13">
        <f t="shared" si="926"/>
        <v>5</v>
      </c>
      <c r="W555" s="17">
        <v>32</v>
      </c>
      <c r="X555" s="56" t="str">
        <f t="shared" si="927"/>
        <v>アングリーキーホルダー</v>
      </c>
      <c r="Y555" s="13">
        <f t="shared" si="928"/>
        <v>100</v>
      </c>
      <c r="Z555" s="13">
        <f t="shared" si="929"/>
        <v>500</v>
      </c>
      <c r="AA555" s="14">
        <f t="shared" si="930"/>
        <v>5.8823529411764705E-2</v>
      </c>
      <c r="AB555" s="15"/>
      <c r="AC555" s="15"/>
      <c r="AD555" s="16"/>
      <c r="AE555" s="13">
        <v>9957</v>
      </c>
      <c r="AF555" s="13">
        <f t="shared" si="931"/>
        <v>172</v>
      </c>
      <c r="AG555" s="13">
        <v>286</v>
      </c>
      <c r="AH555" s="13">
        <f t="shared" si="932"/>
        <v>2</v>
      </c>
      <c r="AI555" s="13">
        <v>34</v>
      </c>
      <c r="AJ555" s="13">
        <f t="shared" si="933"/>
        <v>2</v>
      </c>
      <c r="AK555" s="17">
        <v>0</v>
      </c>
      <c r="AL555" s="56" t="str">
        <f t="shared" si="945"/>
        <v>ラブブキーホルダー</v>
      </c>
      <c r="AM555" s="13">
        <f t="shared" si="944"/>
        <v>400</v>
      </c>
      <c r="AN555" s="13">
        <f t="shared" si="935"/>
        <v>800</v>
      </c>
      <c r="AO555" s="14">
        <f t="shared" si="936"/>
        <v>4.6511627906976744E-2</v>
      </c>
      <c r="AP555" s="15"/>
      <c r="AQ555" s="15"/>
      <c r="AR555" s="16"/>
      <c r="AS555" s="13">
        <v>11947</v>
      </c>
      <c r="AT555" s="13">
        <f t="shared" si="937"/>
        <v>222</v>
      </c>
      <c r="AU555" s="13">
        <v>447</v>
      </c>
      <c r="AV555" s="13">
        <f t="shared" si="938"/>
        <v>6</v>
      </c>
      <c r="AW555" s="13">
        <v>21</v>
      </c>
      <c r="AX555" s="13">
        <f t="shared" si="939"/>
        <v>5</v>
      </c>
      <c r="AY555" s="17">
        <v>4</v>
      </c>
      <c r="AZ555" s="56" t="str">
        <f t="shared" si="940"/>
        <v>ラブブキーホルダーおおきめ</v>
      </c>
      <c r="BA555" s="13">
        <f t="shared" si="941"/>
        <v>500</v>
      </c>
      <c r="BB555" s="13">
        <f t="shared" si="942"/>
        <v>2500</v>
      </c>
      <c r="BC555" s="14">
        <f t="shared" si="943"/>
        <v>0.11261261261261261</v>
      </c>
      <c r="BD555" s="15"/>
      <c r="BT555" s="15"/>
      <c r="BU555" s="16"/>
      <c r="BV555" s="54"/>
      <c r="BW555" s="13" t="str">
        <f t="shared" si="954"/>
        <v/>
      </c>
      <c r="BX555" s="13"/>
      <c r="BY555" s="13"/>
      <c r="BZ555" s="13"/>
      <c r="CA555" s="13" t="str">
        <f t="shared" si="955"/>
        <v/>
      </c>
      <c r="CB555" s="13"/>
      <c r="CC555" s="13"/>
      <c r="CD555" s="13"/>
      <c r="CE555" s="13" t="str">
        <f t="shared" si="946"/>
        <v/>
      </c>
      <c r="CF555" s="14" t="str">
        <f t="shared" si="947"/>
        <v/>
      </c>
      <c r="CG555" s="15"/>
      <c r="CH555" s="1"/>
      <c r="CI555" s="16"/>
      <c r="CJ555" s="54"/>
      <c r="CK555" s="13" t="str">
        <f t="shared" si="956"/>
        <v/>
      </c>
      <c r="CL555" s="13"/>
      <c r="CM555" s="13"/>
      <c r="CN555" s="13"/>
      <c r="CO555" s="13" t="str">
        <f t="shared" si="957"/>
        <v/>
      </c>
      <c r="CP555" s="13"/>
      <c r="CQ555" s="13"/>
      <c r="CR555" s="13"/>
      <c r="CS555" s="13" t="str">
        <f t="shared" si="948"/>
        <v/>
      </c>
      <c r="CT555" s="14" t="str">
        <f t="shared" si="949"/>
        <v/>
      </c>
      <c r="CU555" s="15"/>
      <c r="CV555" s="1"/>
      <c r="CW555" s="16"/>
      <c r="CX555" s="54"/>
      <c r="CY555" s="13" t="str">
        <f t="shared" si="958"/>
        <v/>
      </c>
      <c r="CZ555" s="13"/>
      <c r="DA555" s="13"/>
      <c r="DB555" s="13"/>
      <c r="DC555" s="13" t="str">
        <f t="shared" si="959"/>
        <v/>
      </c>
      <c r="DD555" s="13"/>
      <c r="DE555" s="13"/>
      <c r="DF555" s="13"/>
      <c r="DG555" s="13" t="str">
        <f t="shared" si="950"/>
        <v/>
      </c>
      <c r="DH555" s="14" t="str">
        <f t="shared" si="951"/>
        <v/>
      </c>
      <c r="DI555" s="15"/>
      <c r="DJ555" s="1"/>
      <c r="DK555" s="16"/>
      <c r="DL555" s="54"/>
      <c r="DM555" s="13" t="str">
        <f t="shared" si="960"/>
        <v/>
      </c>
      <c r="DN555" s="13"/>
      <c r="DO555" s="13"/>
      <c r="DP555" s="13"/>
      <c r="DQ555" s="13" t="str">
        <f t="shared" si="961"/>
        <v/>
      </c>
      <c r="DR555" s="13"/>
      <c r="DS555" s="13"/>
      <c r="DT555" s="13"/>
      <c r="DU555" s="13" t="str">
        <f t="shared" si="952"/>
        <v/>
      </c>
      <c r="DV555" s="14" t="str">
        <f t="shared" si="953"/>
        <v/>
      </c>
      <c r="DW555" s="15"/>
    </row>
    <row r="556" spans="1:127" ht="15" customHeight="1" thickBot="1" x14ac:dyDescent="0.25">
      <c r="A556" s="26"/>
      <c r="B556" s="46"/>
      <c r="C556" s="27">
        <v>4382</v>
      </c>
      <c r="D556" s="88">
        <f t="shared" si="917"/>
        <v>49</v>
      </c>
      <c r="E556" s="27">
        <v>394</v>
      </c>
      <c r="F556" s="27">
        <f t="shared" si="918"/>
        <v>1</v>
      </c>
      <c r="G556" s="27">
        <v>42</v>
      </c>
      <c r="H556" s="27">
        <f t="shared" si="919"/>
        <v>2</v>
      </c>
      <c r="I556" s="47">
        <v>0</v>
      </c>
      <c r="J556" s="57" t="str">
        <f t="shared" si="920"/>
        <v>NICIマスコット</v>
      </c>
      <c r="K556" s="62">
        <f t="shared" si="921"/>
        <v>900</v>
      </c>
      <c r="L556" s="27">
        <f t="shared" si="922"/>
        <v>1800</v>
      </c>
      <c r="M556" s="28">
        <f t="shared" si="923"/>
        <v>0.36734693877551022</v>
      </c>
      <c r="N556" s="15"/>
      <c r="O556" s="2"/>
      <c r="P556" s="26"/>
      <c r="Q556" s="27">
        <v>5571</v>
      </c>
      <c r="R556" s="27">
        <f t="shared" si="924"/>
        <v>132</v>
      </c>
      <c r="S556" s="27">
        <v>96</v>
      </c>
      <c r="T556" s="27">
        <f t="shared" si="925"/>
        <v>1</v>
      </c>
      <c r="U556" s="27">
        <v>11</v>
      </c>
      <c r="V556" s="27">
        <f t="shared" si="926"/>
        <v>1</v>
      </c>
      <c r="W556" s="47">
        <v>2</v>
      </c>
      <c r="X556" s="57" t="str">
        <f t="shared" si="927"/>
        <v>ＡＩマスコット</v>
      </c>
      <c r="Y556" s="62">
        <f t="shared" si="928"/>
        <v>286</v>
      </c>
      <c r="Z556" s="27">
        <f t="shared" si="929"/>
        <v>286</v>
      </c>
      <c r="AA556" s="28">
        <f t="shared" si="930"/>
        <v>2.1666666666666667E-2</v>
      </c>
      <c r="AB556" s="15"/>
      <c r="AC556" s="15"/>
      <c r="AD556" s="26"/>
      <c r="AE556" s="27">
        <v>9679</v>
      </c>
      <c r="AF556" s="27">
        <f t="shared" si="931"/>
        <v>141</v>
      </c>
      <c r="AG556" s="27">
        <v>264</v>
      </c>
      <c r="AH556" s="27">
        <f t="shared" si="932"/>
        <v>2</v>
      </c>
      <c r="AI556" s="27">
        <v>14</v>
      </c>
      <c r="AJ556" s="27">
        <f t="shared" si="933"/>
        <v>2</v>
      </c>
      <c r="AK556" s="47">
        <v>1</v>
      </c>
      <c r="AL556" s="57" t="s">
        <v>353</v>
      </c>
      <c r="AM556" s="62">
        <f t="shared" si="944"/>
        <v>495</v>
      </c>
      <c r="AN556" s="27">
        <f t="shared" si="935"/>
        <v>990</v>
      </c>
      <c r="AO556" s="28">
        <f t="shared" si="936"/>
        <v>7.0212765957446813E-2</v>
      </c>
      <c r="AP556" s="15"/>
      <c r="AQ556" s="39"/>
      <c r="AR556" s="26"/>
      <c r="AS556" s="27">
        <v>12145</v>
      </c>
      <c r="AT556" s="27">
        <f t="shared" si="937"/>
        <v>168</v>
      </c>
      <c r="AU556" s="27">
        <v>375</v>
      </c>
      <c r="AV556" s="27">
        <f t="shared" si="938"/>
        <v>3</v>
      </c>
      <c r="AW556" s="27">
        <v>23</v>
      </c>
      <c r="AX556" s="27">
        <f t="shared" si="939"/>
        <v>4</v>
      </c>
      <c r="AY556" s="47">
        <v>0</v>
      </c>
      <c r="AZ556" s="57" t="str">
        <f t="shared" si="940"/>
        <v>ラブブマスコット</v>
      </c>
      <c r="BA556" s="62">
        <f t="shared" si="941"/>
        <v>400</v>
      </c>
      <c r="BB556" s="27">
        <f t="shared" si="942"/>
        <v>1600</v>
      </c>
      <c r="BC556" s="28">
        <f t="shared" si="943"/>
        <v>9.5238095238095233E-2</v>
      </c>
      <c r="BD556" s="15"/>
      <c r="BT556" s="39"/>
      <c r="BU556" s="16"/>
      <c r="BV556" s="54"/>
      <c r="BW556" s="13" t="str">
        <f t="shared" si="954"/>
        <v/>
      </c>
      <c r="BX556" s="13"/>
      <c r="BY556" s="13"/>
      <c r="BZ556" s="13"/>
      <c r="CA556" s="13" t="str">
        <f t="shared" si="955"/>
        <v/>
      </c>
      <c r="CB556" s="13"/>
      <c r="CC556" s="13"/>
      <c r="CD556" s="13"/>
      <c r="CE556" s="13" t="str">
        <f t="shared" si="946"/>
        <v/>
      </c>
      <c r="CF556" s="14" t="str">
        <f t="shared" si="947"/>
        <v/>
      </c>
      <c r="CG556" s="15"/>
      <c r="CH556" s="1"/>
      <c r="CI556" s="16"/>
      <c r="CJ556" s="54"/>
      <c r="CK556" s="13" t="str">
        <f t="shared" si="956"/>
        <v/>
      </c>
      <c r="CL556" s="13"/>
      <c r="CM556" s="13"/>
      <c r="CN556" s="13"/>
      <c r="CO556" s="13" t="str">
        <f t="shared" si="957"/>
        <v/>
      </c>
      <c r="CP556" s="13"/>
      <c r="CQ556" s="13"/>
      <c r="CR556" s="13"/>
      <c r="CS556" s="13" t="str">
        <f t="shared" si="948"/>
        <v/>
      </c>
      <c r="CT556" s="14" t="str">
        <f t="shared" si="949"/>
        <v/>
      </c>
      <c r="CU556" s="15"/>
      <c r="CV556" s="1"/>
      <c r="CW556" s="16"/>
      <c r="CX556" s="54"/>
      <c r="CY556" s="13" t="str">
        <f t="shared" si="958"/>
        <v/>
      </c>
      <c r="CZ556" s="13"/>
      <c r="DA556" s="13"/>
      <c r="DB556" s="13"/>
      <c r="DC556" s="13" t="str">
        <f t="shared" si="959"/>
        <v/>
      </c>
      <c r="DD556" s="13"/>
      <c r="DE556" s="13"/>
      <c r="DF556" s="13"/>
      <c r="DG556" s="13" t="str">
        <f t="shared" si="950"/>
        <v/>
      </c>
      <c r="DH556" s="14" t="str">
        <f t="shared" si="951"/>
        <v/>
      </c>
      <c r="DI556" s="15"/>
      <c r="DJ556" s="1"/>
      <c r="DK556" s="16"/>
      <c r="DL556" s="54"/>
      <c r="DM556" s="13" t="str">
        <f t="shared" si="960"/>
        <v/>
      </c>
      <c r="DN556" s="13"/>
      <c r="DO556" s="13"/>
      <c r="DP556" s="13"/>
      <c r="DQ556" s="13" t="str">
        <f t="shared" si="961"/>
        <v/>
      </c>
      <c r="DR556" s="13"/>
      <c r="DS556" s="13"/>
      <c r="DT556" s="13"/>
      <c r="DU556" s="13" t="str">
        <f t="shared" si="952"/>
        <v/>
      </c>
      <c r="DV556" s="14" t="str">
        <f t="shared" si="953"/>
        <v/>
      </c>
      <c r="DW556" s="15"/>
    </row>
    <row r="557" spans="1:127" ht="15" customHeight="1" thickTop="1" x14ac:dyDescent="0.2">
      <c r="A557" s="155">
        <v>45973</v>
      </c>
      <c r="B557" s="74">
        <f>IF(A557="","",SUM(D557:D560)+SUM(R557:R560)+SUM(AF557:AF560)+SUM(AT557:AT560)+SUM(BW530,CK530,CY530,DM530))</f>
        <v>969</v>
      </c>
      <c r="C557" s="53">
        <v>3539</v>
      </c>
      <c r="D557" s="53">
        <f t="shared" si="917"/>
        <v>26</v>
      </c>
      <c r="E557" s="53">
        <v>310</v>
      </c>
      <c r="F557" s="31">
        <f t="shared" si="918"/>
        <v>0</v>
      </c>
      <c r="G557" s="53">
        <v>19</v>
      </c>
      <c r="H557" s="53">
        <f t="shared" si="919"/>
        <v>0</v>
      </c>
      <c r="I557" s="80">
        <v>0</v>
      </c>
      <c r="J557" s="75" t="str">
        <f t="shared" si="920"/>
        <v>ジャグラーサウンドボタン</v>
      </c>
      <c r="K557" s="76">
        <f t="shared" si="921"/>
        <v>748</v>
      </c>
      <c r="L557" s="31">
        <f t="shared" si="922"/>
        <v>0</v>
      </c>
      <c r="M557" s="32">
        <f t="shared" si="923"/>
        <v>0</v>
      </c>
      <c r="N557" s="15"/>
      <c r="O557" s="2"/>
      <c r="P557" s="79">
        <f>IF($A557="","",$A557)</f>
        <v>45973</v>
      </c>
      <c r="Q557" s="53">
        <v>3343</v>
      </c>
      <c r="R557" s="53">
        <f t="shared" si="924"/>
        <v>47</v>
      </c>
      <c r="S557" s="53">
        <v>117</v>
      </c>
      <c r="T557" s="31">
        <f t="shared" si="925"/>
        <v>1</v>
      </c>
      <c r="U557" s="53">
        <v>8</v>
      </c>
      <c r="V557" s="53">
        <f t="shared" si="926"/>
        <v>1</v>
      </c>
      <c r="W557" s="80">
        <v>0</v>
      </c>
      <c r="X557" s="75" t="str">
        <f t="shared" si="927"/>
        <v>キティフェイスポーチ</v>
      </c>
      <c r="Y557" s="76">
        <f t="shared" si="928"/>
        <v>957</v>
      </c>
      <c r="Z557" s="31">
        <f t="shared" si="929"/>
        <v>957</v>
      </c>
      <c r="AA557" s="32">
        <f t="shared" si="930"/>
        <v>0.20361702127659576</v>
      </c>
      <c r="AB557" s="15"/>
      <c r="AC557" s="15"/>
      <c r="AD557" s="79">
        <f>IF($A557="","",$A557)</f>
        <v>45973</v>
      </c>
      <c r="AE557" s="53">
        <v>8656</v>
      </c>
      <c r="AF557" s="53">
        <f t="shared" si="931"/>
        <v>29</v>
      </c>
      <c r="AG557" s="53">
        <v>192</v>
      </c>
      <c r="AH557" s="31">
        <f t="shared" si="932"/>
        <v>1</v>
      </c>
      <c r="AI557" s="53">
        <v>9</v>
      </c>
      <c r="AJ557" s="53">
        <f t="shared" si="933"/>
        <v>1</v>
      </c>
      <c r="AK557" s="80">
        <v>0</v>
      </c>
      <c r="AL557" s="75" t="str">
        <f t="shared" si="945"/>
        <v>キティシリコンがま口</v>
      </c>
      <c r="AM557" s="76">
        <f t="shared" si="944"/>
        <v>1009</v>
      </c>
      <c r="AN557" s="31">
        <f t="shared" si="935"/>
        <v>1009</v>
      </c>
      <c r="AO557" s="32">
        <f t="shared" si="936"/>
        <v>0.34793103448275864</v>
      </c>
      <c r="AP557" s="15"/>
      <c r="AQ557" s="113"/>
      <c r="AR557" s="79">
        <f>IF($A557="","",$A557)</f>
        <v>45973</v>
      </c>
      <c r="AS557" s="53">
        <v>9102</v>
      </c>
      <c r="AT557" s="127">
        <f t="shared" si="937"/>
        <v>32</v>
      </c>
      <c r="AU557" s="53">
        <v>279</v>
      </c>
      <c r="AV557" s="31">
        <f t="shared" si="938"/>
        <v>2</v>
      </c>
      <c r="AW557" s="53">
        <v>13</v>
      </c>
      <c r="AX557" s="53">
        <f t="shared" si="939"/>
        <v>2</v>
      </c>
      <c r="AY557" s="80">
        <v>0</v>
      </c>
      <c r="AZ557" s="75" t="str">
        <f t="shared" si="940"/>
        <v>サンリオアニマルがま口</v>
      </c>
      <c r="BA557" s="76">
        <f t="shared" si="941"/>
        <v>880</v>
      </c>
      <c r="BB557" s="31">
        <f t="shared" si="942"/>
        <v>1760</v>
      </c>
      <c r="BC557" s="32">
        <f t="shared" si="943"/>
        <v>0.55000000000000004</v>
      </c>
      <c r="BD557" s="15"/>
      <c r="BT557" s="113"/>
      <c r="BU557" s="16"/>
      <c r="BV557" s="54"/>
      <c r="BW557" s="13" t="str">
        <f t="shared" si="954"/>
        <v/>
      </c>
      <c r="BX557" s="13"/>
      <c r="BY557" s="13"/>
      <c r="BZ557" s="13"/>
      <c r="CA557" s="13" t="str">
        <f t="shared" si="955"/>
        <v/>
      </c>
      <c r="CB557" s="13"/>
      <c r="CC557" s="13"/>
      <c r="CD557" s="13"/>
      <c r="CE557" s="13" t="str">
        <f t="shared" si="946"/>
        <v/>
      </c>
      <c r="CF557" s="14" t="str">
        <f t="shared" si="947"/>
        <v/>
      </c>
      <c r="CG557" s="15"/>
      <c r="CH557" s="1"/>
      <c r="CI557" s="16"/>
      <c r="CJ557" s="54"/>
      <c r="CK557" s="13" t="str">
        <f t="shared" si="956"/>
        <v/>
      </c>
      <c r="CL557" s="13"/>
      <c r="CM557" s="13"/>
      <c r="CN557" s="13"/>
      <c r="CO557" s="13" t="str">
        <f t="shared" si="957"/>
        <v/>
      </c>
      <c r="CP557" s="13"/>
      <c r="CQ557" s="13"/>
      <c r="CR557" s="13"/>
      <c r="CS557" s="13" t="str">
        <f t="shared" si="948"/>
        <v/>
      </c>
      <c r="CT557" s="14" t="str">
        <f t="shared" si="949"/>
        <v/>
      </c>
      <c r="CU557" s="15"/>
      <c r="CV557" s="1"/>
      <c r="CW557" s="16"/>
      <c r="CX557" s="54"/>
      <c r="CY557" s="13" t="str">
        <f t="shared" si="958"/>
        <v/>
      </c>
      <c r="CZ557" s="13"/>
      <c r="DA557" s="13"/>
      <c r="DB557" s="13"/>
      <c r="DC557" s="13" t="str">
        <f t="shared" si="959"/>
        <v/>
      </c>
      <c r="DD557" s="13"/>
      <c r="DE557" s="13"/>
      <c r="DF557" s="13"/>
      <c r="DG557" s="13" t="str">
        <f t="shared" si="950"/>
        <v/>
      </c>
      <c r="DH557" s="14" t="str">
        <f t="shared" si="951"/>
        <v/>
      </c>
      <c r="DI557" s="15"/>
      <c r="DJ557" s="1"/>
      <c r="DK557" s="16"/>
      <c r="DL557" s="54"/>
      <c r="DM557" s="13" t="str">
        <f t="shared" si="960"/>
        <v/>
      </c>
      <c r="DN557" s="13"/>
      <c r="DO557" s="13"/>
      <c r="DP557" s="13"/>
      <c r="DQ557" s="13" t="str">
        <f t="shared" si="961"/>
        <v/>
      </c>
      <c r="DR557" s="13"/>
      <c r="DS557" s="13"/>
      <c r="DT557" s="13"/>
      <c r="DU557" s="13" t="str">
        <f t="shared" si="952"/>
        <v/>
      </c>
      <c r="DV557" s="14" t="str">
        <f t="shared" si="953"/>
        <v/>
      </c>
      <c r="DW557" s="15"/>
    </row>
    <row r="558" spans="1:127" x14ac:dyDescent="0.2">
      <c r="A558" s="16"/>
      <c r="B558" s="11"/>
      <c r="C558" s="13">
        <v>2742</v>
      </c>
      <c r="D558" s="53">
        <f t="shared" si="917"/>
        <v>39</v>
      </c>
      <c r="E558" s="13">
        <v>329</v>
      </c>
      <c r="F558" s="13">
        <f t="shared" si="918"/>
        <v>0</v>
      </c>
      <c r="G558" s="13">
        <v>12</v>
      </c>
      <c r="H558" s="13">
        <f t="shared" si="919"/>
        <v>0</v>
      </c>
      <c r="I558" s="17">
        <v>0</v>
      </c>
      <c r="J558" s="56" t="str">
        <f t="shared" si="920"/>
        <v>液晶デジカメ</v>
      </c>
      <c r="K558" s="54">
        <f t="shared" si="921"/>
        <v>1075</v>
      </c>
      <c r="L558" s="13">
        <f t="shared" si="922"/>
        <v>0</v>
      </c>
      <c r="M558" s="14">
        <f t="shared" si="923"/>
        <v>0</v>
      </c>
      <c r="N558" s="15"/>
      <c r="O558" s="2"/>
      <c r="P558" s="16"/>
      <c r="Q558" s="13">
        <v>2913</v>
      </c>
      <c r="R558" s="53">
        <f t="shared" si="924"/>
        <v>25</v>
      </c>
      <c r="S558" s="13">
        <v>91</v>
      </c>
      <c r="T558" s="13">
        <f t="shared" si="925"/>
        <v>0</v>
      </c>
      <c r="U558" s="13">
        <v>10</v>
      </c>
      <c r="V558" s="13">
        <f t="shared" si="926"/>
        <v>0</v>
      </c>
      <c r="W558" s="17">
        <v>0</v>
      </c>
      <c r="X558" s="56" t="str">
        <f t="shared" si="927"/>
        <v>ジャグラーサウンドボタン</v>
      </c>
      <c r="Y558" s="54">
        <f t="shared" si="928"/>
        <v>1100</v>
      </c>
      <c r="Z558" s="13">
        <f t="shared" si="929"/>
        <v>0</v>
      </c>
      <c r="AA558" s="14">
        <f t="shared" si="930"/>
        <v>0</v>
      </c>
      <c r="AB558" s="15"/>
      <c r="AC558" s="15"/>
      <c r="AD558" s="16"/>
      <c r="AE558" s="13">
        <v>8520</v>
      </c>
      <c r="AF558" s="53">
        <f t="shared" si="931"/>
        <v>56</v>
      </c>
      <c r="AG558" s="13">
        <v>186</v>
      </c>
      <c r="AH558" s="13">
        <f t="shared" si="932"/>
        <v>1</v>
      </c>
      <c r="AI558" s="13">
        <v>10</v>
      </c>
      <c r="AJ558" s="13">
        <f t="shared" si="933"/>
        <v>2</v>
      </c>
      <c r="AK558" s="17">
        <v>0</v>
      </c>
      <c r="AL558" s="56" t="str">
        <f t="shared" si="945"/>
        <v>キティヒョウ柄マスコット</v>
      </c>
      <c r="AM558" s="54">
        <f t="shared" si="944"/>
        <v>996</v>
      </c>
      <c r="AN558" s="13">
        <f t="shared" si="935"/>
        <v>1992</v>
      </c>
      <c r="AO558" s="14">
        <f>IF(AJ558="","",AN558/(AF558*100))</f>
        <v>0.35571428571428571</v>
      </c>
      <c r="AP558" s="15"/>
      <c r="AQ558" s="113"/>
      <c r="AR558" s="16"/>
      <c r="AS558" s="13">
        <v>6473</v>
      </c>
      <c r="AT558" s="127">
        <f t="shared" si="937"/>
        <v>20</v>
      </c>
      <c r="AU558" s="13">
        <v>314</v>
      </c>
      <c r="AV558" s="13">
        <f t="shared" si="938"/>
        <v>0</v>
      </c>
      <c r="AW558" s="13">
        <v>36</v>
      </c>
      <c r="AX558" s="13">
        <f t="shared" si="939"/>
        <v>0</v>
      </c>
      <c r="AY558" s="17">
        <v>0</v>
      </c>
      <c r="AZ558" s="56" t="str">
        <f t="shared" si="940"/>
        <v>ねこアイシャドウ</v>
      </c>
      <c r="BA558" s="54">
        <f t="shared" si="941"/>
        <v>1000</v>
      </c>
      <c r="BB558" s="13">
        <f t="shared" si="942"/>
        <v>0</v>
      </c>
      <c r="BC558" s="14">
        <f t="shared" si="943"/>
        <v>0</v>
      </c>
      <c r="BD558" s="15"/>
      <c r="BT558" s="113"/>
      <c r="BU558" s="16"/>
      <c r="BV558" s="54"/>
      <c r="BW558" s="13" t="str">
        <f t="shared" si="954"/>
        <v/>
      </c>
      <c r="BX558" s="13"/>
      <c r="BY558" s="13"/>
      <c r="BZ558" s="13"/>
      <c r="CA558" s="13" t="str">
        <f t="shared" si="955"/>
        <v/>
      </c>
      <c r="CB558" s="13"/>
      <c r="CC558" s="13"/>
      <c r="CD558" s="13"/>
      <c r="CE558" s="13" t="str">
        <f t="shared" si="946"/>
        <v/>
      </c>
      <c r="CF558" s="14" t="str">
        <f t="shared" si="947"/>
        <v/>
      </c>
      <c r="CG558" s="15"/>
      <c r="CH558" s="1"/>
      <c r="CI558" s="16"/>
      <c r="CJ558" s="54"/>
      <c r="CK558" s="13" t="str">
        <f t="shared" si="956"/>
        <v/>
      </c>
      <c r="CL558" s="13"/>
      <c r="CM558" s="13"/>
      <c r="CN558" s="13"/>
      <c r="CO558" s="13" t="str">
        <f t="shared" si="957"/>
        <v/>
      </c>
      <c r="CP558" s="13"/>
      <c r="CQ558" s="13"/>
      <c r="CR558" s="13"/>
      <c r="CS558" s="13" t="str">
        <f t="shared" si="948"/>
        <v/>
      </c>
      <c r="CT558" s="14" t="str">
        <f t="shared" si="949"/>
        <v/>
      </c>
      <c r="CU558" s="15"/>
      <c r="CV558" s="1"/>
      <c r="CW558" s="16"/>
      <c r="CX558" s="54"/>
      <c r="CY558" s="13" t="str">
        <f t="shared" si="958"/>
        <v/>
      </c>
      <c r="CZ558" s="13"/>
      <c r="DA558" s="13"/>
      <c r="DB558" s="13"/>
      <c r="DC558" s="13" t="str">
        <f t="shared" si="959"/>
        <v/>
      </c>
      <c r="DD558" s="13"/>
      <c r="DE558" s="13"/>
      <c r="DF558" s="13"/>
      <c r="DG558" s="13" t="str">
        <f t="shared" si="950"/>
        <v/>
      </c>
      <c r="DH558" s="14" t="str">
        <f t="shared" si="951"/>
        <v/>
      </c>
      <c r="DI558" s="15"/>
      <c r="DJ558" s="1"/>
      <c r="DK558" s="16"/>
      <c r="DL558" s="54"/>
      <c r="DM558" s="13" t="str">
        <f t="shared" si="960"/>
        <v/>
      </c>
      <c r="DN558" s="13"/>
      <c r="DO558" s="13"/>
      <c r="DP558" s="13"/>
      <c r="DQ558" s="13" t="str">
        <f t="shared" si="961"/>
        <v/>
      </c>
      <c r="DR558" s="13"/>
      <c r="DS558" s="13"/>
      <c r="DT558" s="13"/>
      <c r="DU558" s="13" t="str">
        <f t="shared" si="952"/>
        <v/>
      </c>
      <c r="DV558" s="14" t="str">
        <f t="shared" si="953"/>
        <v/>
      </c>
      <c r="DW558" s="15"/>
    </row>
    <row r="559" spans="1:127" ht="15" customHeight="1" x14ac:dyDescent="0.2">
      <c r="A559" s="149"/>
      <c r="B559" s="11"/>
      <c r="C559" s="13">
        <v>9064</v>
      </c>
      <c r="D559" s="63">
        <f t="shared" si="917"/>
        <v>77</v>
      </c>
      <c r="E559" s="13">
        <v>544</v>
      </c>
      <c r="F559" s="13">
        <f t="shared" si="918"/>
        <v>6</v>
      </c>
      <c r="G559" s="34">
        <v>130</v>
      </c>
      <c r="H559" s="34">
        <f t="shared" si="919"/>
        <v>18</v>
      </c>
      <c r="I559" s="49">
        <v>0</v>
      </c>
      <c r="J559" s="56" t="str">
        <f t="shared" si="920"/>
        <v>AIモンスタラバー</v>
      </c>
      <c r="K559" s="13">
        <f t="shared" si="921"/>
        <v>200</v>
      </c>
      <c r="L559" s="13">
        <f t="shared" si="922"/>
        <v>3600</v>
      </c>
      <c r="M559" s="14">
        <f t="shared" si="923"/>
        <v>0.46753246753246752</v>
      </c>
      <c r="N559" s="15"/>
      <c r="O559" s="2"/>
      <c r="P559" s="16"/>
      <c r="Q559" s="13">
        <v>6345</v>
      </c>
      <c r="R559" s="63">
        <f t="shared" si="924"/>
        <v>32</v>
      </c>
      <c r="S559" s="13">
        <v>101</v>
      </c>
      <c r="T559" s="13">
        <f t="shared" si="925"/>
        <v>0</v>
      </c>
      <c r="U559" s="34">
        <v>95</v>
      </c>
      <c r="V559" s="34">
        <f t="shared" si="926"/>
        <v>0</v>
      </c>
      <c r="W559" s="49">
        <v>0</v>
      </c>
      <c r="X559" s="56" t="str">
        <f t="shared" si="927"/>
        <v>アングリーキーホルダー</v>
      </c>
      <c r="Y559" s="13">
        <f t="shared" si="928"/>
        <v>100</v>
      </c>
      <c r="Z559" s="13">
        <f t="shared" si="929"/>
        <v>0</v>
      </c>
      <c r="AA559" s="14">
        <f t="shared" si="930"/>
        <v>0</v>
      </c>
      <c r="AB559" s="15"/>
      <c r="AC559" s="15"/>
      <c r="AD559" s="16"/>
      <c r="AE559" s="13">
        <v>9980</v>
      </c>
      <c r="AF559" s="63">
        <f t="shared" si="931"/>
        <v>23</v>
      </c>
      <c r="AG559" s="13">
        <v>286</v>
      </c>
      <c r="AH559" s="13">
        <f t="shared" si="932"/>
        <v>0</v>
      </c>
      <c r="AI559" s="34">
        <v>34</v>
      </c>
      <c r="AJ559" s="34">
        <f t="shared" si="933"/>
        <v>0</v>
      </c>
      <c r="AK559" s="49">
        <v>0</v>
      </c>
      <c r="AL559" s="56" t="str">
        <f t="shared" si="945"/>
        <v>ラブブキーホルダー</v>
      </c>
      <c r="AM559" s="13">
        <f t="shared" si="944"/>
        <v>400</v>
      </c>
      <c r="AN559" s="13">
        <f t="shared" si="935"/>
        <v>0</v>
      </c>
      <c r="AO559" s="14">
        <f t="shared" si="936"/>
        <v>0</v>
      </c>
      <c r="AP559" s="15"/>
      <c r="AQ559" s="113"/>
      <c r="AR559" s="16"/>
      <c r="AS559" s="13">
        <v>12085</v>
      </c>
      <c r="AT559" s="63">
        <f t="shared" si="937"/>
        <v>138</v>
      </c>
      <c r="AU559" s="13">
        <v>450</v>
      </c>
      <c r="AV559" s="13">
        <f t="shared" si="938"/>
        <v>3</v>
      </c>
      <c r="AW559" s="34">
        <v>23</v>
      </c>
      <c r="AX559" s="34">
        <f t="shared" si="939"/>
        <v>2</v>
      </c>
      <c r="AY559" s="49">
        <v>0</v>
      </c>
      <c r="AZ559" s="56" t="str">
        <f t="shared" si="940"/>
        <v>ラブブキーホルダーおおきめ</v>
      </c>
      <c r="BA559" s="13">
        <f t="shared" si="941"/>
        <v>500</v>
      </c>
      <c r="BB559" s="13">
        <f t="shared" si="942"/>
        <v>1000</v>
      </c>
      <c r="BC559" s="14">
        <f t="shared" si="943"/>
        <v>7.2463768115942032E-2</v>
      </c>
      <c r="BD559" s="15"/>
      <c r="BT559" s="113"/>
      <c r="BU559" s="16"/>
      <c r="BV559" s="54"/>
      <c r="BW559" s="13" t="str">
        <f t="shared" si="954"/>
        <v/>
      </c>
      <c r="BX559" s="13"/>
      <c r="BY559" s="13"/>
      <c r="BZ559" s="13"/>
      <c r="CA559" s="13" t="str">
        <f t="shared" si="955"/>
        <v/>
      </c>
      <c r="CB559" s="13"/>
      <c r="CC559" s="13"/>
      <c r="CD559" s="13"/>
      <c r="CE559" s="13" t="str">
        <f t="shared" si="946"/>
        <v/>
      </c>
      <c r="CF559" s="14" t="str">
        <f t="shared" si="947"/>
        <v/>
      </c>
      <c r="CG559" s="15"/>
      <c r="CH559" s="1"/>
      <c r="CI559" s="16"/>
      <c r="CJ559" s="54"/>
      <c r="CK559" s="13" t="str">
        <f t="shared" si="956"/>
        <v/>
      </c>
      <c r="CL559" s="13"/>
      <c r="CM559" s="13"/>
      <c r="CN559" s="13"/>
      <c r="CO559" s="13" t="str">
        <f t="shared" si="957"/>
        <v/>
      </c>
      <c r="CP559" s="13"/>
      <c r="CQ559" s="13"/>
      <c r="CR559" s="13"/>
      <c r="CS559" s="13" t="str">
        <f t="shared" si="948"/>
        <v/>
      </c>
      <c r="CT559" s="14" t="str">
        <f t="shared" si="949"/>
        <v/>
      </c>
      <c r="CU559" s="15"/>
      <c r="CV559" s="1"/>
      <c r="CW559" s="16"/>
      <c r="CX559" s="54"/>
      <c r="CY559" s="13" t="str">
        <f t="shared" si="958"/>
        <v/>
      </c>
      <c r="CZ559" s="13"/>
      <c r="DA559" s="13"/>
      <c r="DB559" s="13"/>
      <c r="DC559" s="13" t="str">
        <f t="shared" si="959"/>
        <v/>
      </c>
      <c r="DD559" s="13"/>
      <c r="DE559" s="13"/>
      <c r="DF559" s="13"/>
      <c r="DG559" s="13" t="str">
        <f t="shared" si="950"/>
        <v/>
      </c>
      <c r="DH559" s="14" t="str">
        <f t="shared" si="951"/>
        <v/>
      </c>
      <c r="DI559" s="15"/>
      <c r="DJ559" s="1"/>
      <c r="DK559" s="16"/>
      <c r="DL559" s="54"/>
      <c r="DM559" s="13" t="str">
        <f t="shared" si="960"/>
        <v/>
      </c>
      <c r="DN559" s="13"/>
      <c r="DO559" s="13"/>
      <c r="DP559" s="13"/>
      <c r="DQ559" s="13" t="str">
        <f t="shared" si="961"/>
        <v/>
      </c>
      <c r="DR559" s="13"/>
      <c r="DS559" s="13"/>
      <c r="DT559" s="13"/>
      <c r="DU559" s="13" t="str">
        <f t="shared" si="952"/>
        <v/>
      </c>
      <c r="DV559" s="14" t="str">
        <f t="shared" si="953"/>
        <v/>
      </c>
      <c r="DW559" s="15"/>
    </row>
    <row r="560" spans="1:127" ht="15" customHeight="1" thickBot="1" x14ac:dyDescent="0.25">
      <c r="A560" s="26"/>
      <c r="B560" s="46"/>
      <c r="C560" s="29">
        <v>4405</v>
      </c>
      <c r="D560" s="61">
        <f t="shared" si="917"/>
        <v>23</v>
      </c>
      <c r="E560" s="62">
        <v>395</v>
      </c>
      <c r="F560" s="29">
        <f t="shared" si="918"/>
        <v>1</v>
      </c>
      <c r="G560" s="64">
        <v>42</v>
      </c>
      <c r="H560" s="64">
        <f t="shared" si="919"/>
        <v>0</v>
      </c>
      <c r="I560" s="47">
        <v>0</v>
      </c>
      <c r="J560" s="57" t="str">
        <f t="shared" si="920"/>
        <v>NICIマスコット</v>
      </c>
      <c r="K560" s="62">
        <f t="shared" si="921"/>
        <v>900</v>
      </c>
      <c r="L560" s="27">
        <f t="shared" si="922"/>
        <v>0</v>
      </c>
      <c r="M560" s="28">
        <f t="shared" si="923"/>
        <v>0</v>
      </c>
      <c r="N560" s="15"/>
      <c r="O560" s="2"/>
      <c r="P560" s="26"/>
      <c r="Q560" s="29">
        <v>5646</v>
      </c>
      <c r="R560" s="61">
        <f t="shared" si="924"/>
        <v>75</v>
      </c>
      <c r="S560" s="62">
        <v>98</v>
      </c>
      <c r="T560" s="29">
        <f t="shared" si="925"/>
        <v>2</v>
      </c>
      <c r="U560" s="64">
        <v>11</v>
      </c>
      <c r="V560" s="64">
        <f t="shared" si="926"/>
        <v>2</v>
      </c>
      <c r="W560" s="47">
        <v>0</v>
      </c>
      <c r="X560" s="57" t="str">
        <f t="shared" si="927"/>
        <v>ＡＩマスコット</v>
      </c>
      <c r="Y560" s="62">
        <f t="shared" si="928"/>
        <v>286</v>
      </c>
      <c r="Z560" s="27">
        <f t="shared" si="929"/>
        <v>572</v>
      </c>
      <c r="AA560" s="28">
        <f t="shared" si="930"/>
        <v>7.6266666666666663E-2</v>
      </c>
      <c r="AB560" s="15"/>
      <c r="AC560" s="15"/>
      <c r="AD560" s="26"/>
      <c r="AE560" s="29">
        <v>9763</v>
      </c>
      <c r="AF560" s="61">
        <f t="shared" si="931"/>
        <v>84</v>
      </c>
      <c r="AG560" s="62">
        <v>265</v>
      </c>
      <c r="AH560" s="29">
        <f t="shared" si="932"/>
        <v>1</v>
      </c>
      <c r="AI560" s="64">
        <v>14</v>
      </c>
      <c r="AJ560" s="64">
        <f t="shared" si="933"/>
        <v>1</v>
      </c>
      <c r="AK560" s="47">
        <v>0</v>
      </c>
      <c r="AL560" s="57" t="str">
        <f t="shared" si="945"/>
        <v>モンチッチマスコット2</v>
      </c>
      <c r="AM560" s="62">
        <f t="shared" si="944"/>
        <v>495</v>
      </c>
      <c r="AN560" s="27">
        <f t="shared" si="935"/>
        <v>495</v>
      </c>
      <c r="AO560" s="28">
        <f t="shared" si="936"/>
        <v>5.8928571428571427E-2</v>
      </c>
      <c r="AP560" s="15"/>
      <c r="AQ560" s="113"/>
      <c r="AR560" s="26"/>
      <c r="AS560" s="29">
        <v>12227</v>
      </c>
      <c r="AT560" s="61">
        <f t="shared" si="937"/>
        <v>82</v>
      </c>
      <c r="AU560" s="62">
        <v>376</v>
      </c>
      <c r="AV560" s="29">
        <f t="shared" si="938"/>
        <v>1</v>
      </c>
      <c r="AW560" s="64">
        <v>22</v>
      </c>
      <c r="AX560" s="64">
        <f t="shared" si="939"/>
        <v>1</v>
      </c>
      <c r="AY560" s="47">
        <v>0</v>
      </c>
      <c r="AZ560" s="57" t="str">
        <f t="shared" si="940"/>
        <v>ラブブマスコット</v>
      </c>
      <c r="BA560" s="62">
        <f t="shared" si="941"/>
        <v>400</v>
      </c>
      <c r="BB560" s="27">
        <f t="shared" si="942"/>
        <v>400</v>
      </c>
      <c r="BC560" s="28">
        <f t="shared" si="943"/>
        <v>4.878048780487805E-2</v>
      </c>
      <c r="BD560" s="15"/>
      <c r="BT560" s="113"/>
      <c r="BU560" s="16"/>
      <c r="BV560" s="54"/>
      <c r="BW560" s="13" t="str">
        <f t="shared" si="954"/>
        <v/>
      </c>
      <c r="BX560" s="13"/>
      <c r="BY560" s="13"/>
      <c r="BZ560" s="13"/>
      <c r="CA560" s="13" t="str">
        <f t="shared" si="955"/>
        <v/>
      </c>
      <c r="CB560" s="13"/>
      <c r="CC560" s="13"/>
      <c r="CD560" s="13"/>
      <c r="CE560" s="13" t="str">
        <f t="shared" si="946"/>
        <v/>
      </c>
      <c r="CF560" s="14" t="str">
        <f t="shared" si="947"/>
        <v/>
      </c>
      <c r="CG560" s="15"/>
      <c r="CH560" s="1"/>
      <c r="CI560" s="16"/>
      <c r="CJ560" s="54"/>
      <c r="CK560" s="13" t="str">
        <f t="shared" si="956"/>
        <v/>
      </c>
      <c r="CL560" s="13"/>
      <c r="CM560" s="13"/>
      <c r="CN560" s="13"/>
      <c r="CO560" s="13" t="str">
        <f t="shared" si="957"/>
        <v/>
      </c>
      <c r="CP560" s="13"/>
      <c r="CQ560" s="13"/>
      <c r="CR560" s="13"/>
      <c r="CS560" s="13" t="str">
        <f t="shared" si="948"/>
        <v/>
      </c>
      <c r="CT560" s="14" t="str">
        <f t="shared" si="949"/>
        <v/>
      </c>
      <c r="CU560" s="15"/>
      <c r="CV560" s="1"/>
      <c r="CW560" s="16"/>
      <c r="CX560" s="54"/>
      <c r="CY560" s="13" t="str">
        <f t="shared" si="958"/>
        <v/>
      </c>
      <c r="CZ560" s="13"/>
      <c r="DA560" s="13"/>
      <c r="DB560" s="13"/>
      <c r="DC560" s="13" t="str">
        <f t="shared" si="959"/>
        <v/>
      </c>
      <c r="DD560" s="13"/>
      <c r="DE560" s="13"/>
      <c r="DF560" s="13"/>
      <c r="DG560" s="13" t="str">
        <f t="shared" si="950"/>
        <v/>
      </c>
      <c r="DH560" s="14" t="str">
        <f t="shared" si="951"/>
        <v/>
      </c>
      <c r="DI560" s="15"/>
      <c r="DJ560" s="1"/>
      <c r="DK560" s="16"/>
      <c r="DL560" s="54"/>
      <c r="DM560" s="13" t="str">
        <f t="shared" si="960"/>
        <v/>
      </c>
      <c r="DN560" s="13"/>
      <c r="DO560" s="13"/>
      <c r="DP560" s="13"/>
      <c r="DQ560" s="13" t="str">
        <f t="shared" si="961"/>
        <v/>
      </c>
      <c r="DR560" s="13"/>
      <c r="DS560" s="13"/>
      <c r="DT560" s="13"/>
      <c r="DU560" s="13" t="str">
        <f t="shared" si="952"/>
        <v/>
      </c>
      <c r="DV560" s="14" t="str">
        <f t="shared" si="953"/>
        <v/>
      </c>
      <c r="DW560" s="15"/>
    </row>
    <row r="561" spans="1:127" ht="15" customHeight="1" thickTop="1" x14ac:dyDescent="0.2">
      <c r="A561" s="79"/>
      <c r="B561" s="74"/>
      <c r="C561" s="53"/>
      <c r="D561" s="53"/>
      <c r="E561" s="53"/>
      <c r="F561" s="31"/>
      <c r="G561" s="53"/>
      <c r="H561" s="53"/>
      <c r="I561" s="80"/>
      <c r="J561" s="21"/>
      <c r="K561" s="54"/>
      <c r="L561" s="31"/>
      <c r="M561" s="32"/>
      <c r="N561" s="15"/>
      <c r="O561" s="2"/>
      <c r="P561" s="79"/>
      <c r="Q561" s="53"/>
      <c r="R561" s="53"/>
      <c r="S561" s="53"/>
      <c r="T561" s="31"/>
      <c r="U561" s="53"/>
      <c r="V561" s="53"/>
      <c r="W561" s="80"/>
      <c r="X561" s="21"/>
      <c r="Y561" s="54"/>
      <c r="Z561" s="31"/>
      <c r="AA561" s="32"/>
      <c r="AB561" s="15"/>
      <c r="AC561" s="15"/>
      <c r="AD561" s="79"/>
      <c r="AE561" s="53"/>
      <c r="AF561" s="53"/>
      <c r="AG561" s="53"/>
      <c r="AH561" s="31"/>
      <c r="AI561" s="53"/>
      <c r="AJ561" s="53"/>
      <c r="AK561" s="80"/>
      <c r="AL561" s="21"/>
      <c r="AM561" s="54"/>
      <c r="AN561" s="31"/>
      <c r="AO561" s="32"/>
      <c r="AP561" s="15"/>
      <c r="AQ561" s="113"/>
      <c r="AR561" s="79"/>
      <c r="AS561" s="53"/>
      <c r="AT561" s="127"/>
      <c r="AU561" s="53"/>
      <c r="AV561" s="31"/>
      <c r="AW561" s="53"/>
      <c r="AX561" s="53"/>
      <c r="AY561" s="80"/>
      <c r="AZ561" s="21"/>
      <c r="BA561" s="54"/>
      <c r="BB561" s="31"/>
      <c r="BC561" s="32"/>
      <c r="BD561" s="15"/>
      <c r="BT561" s="113"/>
      <c r="BU561" s="16"/>
      <c r="BV561" s="54"/>
      <c r="BW561" s="13" t="str">
        <f t="shared" si="954"/>
        <v/>
      </c>
      <c r="BX561" s="13"/>
      <c r="BY561" s="13"/>
      <c r="BZ561" s="13"/>
      <c r="CA561" s="13" t="str">
        <f t="shared" si="955"/>
        <v/>
      </c>
      <c r="CB561" s="13"/>
      <c r="CC561" s="13"/>
      <c r="CD561" s="13"/>
      <c r="CE561" s="13" t="str">
        <f t="shared" si="946"/>
        <v/>
      </c>
      <c r="CF561" s="14" t="str">
        <f t="shared" si="947"/>
        <v/>
      </c>
      <c r="CG561" s="15"/>
      <c r="CH561" s="1"/>
      <c r="CI561" s="16"/>
      <c r="CJ561" s="54"/>
      <c r="CK561" s="13" t="str">
        <f t="shared" si="956"/>
        <v/>
      </c>
      <c r="CL561" s="13"/>
      <c r="CM561" s="13"/>
      <c r="CN561" s="13"/>
      <c r="CO561" s="13" t="str">
        <f t="shared" si="957"/>
        <v/>
      </c>
      <c r="CP561" s="13"/>
      <c r="CQ561" s="13"/>
      <c r="CR561" s="13"/>
      <c r="CS561" s="13" t="str">
        <f t="shared" si="948"/>
        <v/>
      </c>
      <c r="CT561" s="14" t="str">
        <f t="shared" si="949"/>
        <v/>
      </c>
      <c r="CU561" s="15"/>
      <c r="CV561" s="1"/>
      <c r="CW561" s="16"/>
      <c r="CX561" s="54"/>
      <c r="CY561" s="13" t="str">
        <f t="shared" si="958"/>
        <v/>
      </c>
      <c r="CZ561" s="13"/>
      <c r="DA561" s="13"/>
      <c r="DB561" s="13"/>
      <c r="DC561" s="13" t="str">
        <f t="shared" si="959"/>
        <v/>
      </c>
      <c r="DD561" s="13"/>
      <c r="DE561" s="13"/>
      <c r="DF561" s="13"/>
      <c r="DG561" s="13" t="str">
        <f t="shared" si="950"/>
        <v/>
      </c>
      <c r="DH561" s="14" t="str">
        <f t="shared" si="951"/>
        <v/>
      </c>
      <c r="DI561" s="15"/>
      <c r="DJ561" s="1"/>
      <c r="DK561" s="16"/>
      <c r="DL561" s="54"/>
      <c r="DM561" s="13" t="str">
        <f t="shared" si="960"/>
        <v/>
      </c>
      <c r="DN561" s="13"/>
      <c r="DO561" s="13"/>
      <c r="DP561" s="13"/>
      <c r="DQ561" s="13" t="str">
        <f t="shared" si="961"/>
        <v/>
      </c>
      <c r="DR561" s="13"/>
      <c r="DS561" s="13"/>
      <c r="DT561" s="13"/>
      <c r="DU561" s="13" t="str">
        <f t="shared" si="952"/>
        <v/>
      </c>
      <c r="DV561" s="14" t="str">
        <f t="shared" si="953"/>
        <v/>
      </c>
      <c r="DW561" s="15"/>
    </row>
    <row r="562" spans="1:127" ht="15" customHeight="1" x14ac:dyDescent="0.2">
      <c r="A562" s="16"/>
      <c r="B562" s="11"/>
      <c r="C562" s="13"/>
      <c r="D562" s="53"/>
      <c r="E562" s="13"/>
      <c r="F562" s="13"/>
      <c r="G562" s="13"/>
      <c r="H562" s="13"/>
      <c r="I562" s="17"/>
      <c r="J562" s="21"/>
      <c r="K562" s="54"/>
      <c r="L562" s="13"/>
      <c r="M562" s="14"/>
      <c r="N562" s="15"/>
      <c r="O562" s="2"/>
      <c r="P562" s="16"/>
      <c r="Q562" s="13"/>
      <c r="R562" s="127"/>
      <c r="S562" s="13"/>
      <c r="T562" s="13"/>
      <c r="U562" s="13"/>
      <c r="V562" s="13"/>
      <c r="W562" s="17"/>
      <c r="X562" s="21"/>
      <c r="Y562" s="54"/>
      <c r="Z562" s="13"/>
      <c r="AA562" s="14"/>
      <c r="AB562" s="15"/>
      <c r="AC562" s="15"/>
      <c r="AD562" s="16"/>
      <c r="AE562" s="13"/>
      <c r="AF562" s="53"/>
      <c r="AG562" s="13"/>
      <c r="AH562" s="13"/>
      <c r="AI562" s="13"/>
      <c r="AJ562" s="13"/>
      <c r="AK562" s="17"/>
      <c r="AL562" s="21"/>
      <c r="AM562" s="54"/>
      <c r="AN562" s="13"/>
      <c r="AO562" s="14"/>
      <c r="AP562" s="15"/>
      <c r="AQ562" s="113"/>
      <c r="AR562" s="16"/>
      <c r="AS562" s="13"/>
      <c r="AT562" s="127"/>
      <c r="AU562" s="13"/>
      <c r="AV562" s="13"/>
      <c r="AW562" s="13"/>
      <c r="AX562" s="13"/>
      <c r="AY562" s="17"/>
      <c r="AZ562" s="21"/>
      <c r="BA562" s="54"/>
      <c r="BB562" s="13"/>
      <c r="BC562" s="14"/>
      <c r="BD562" s="15"/>
      <c r="BT562" s="113"/>
      <c r="BU562" s="16"/>
      <c r="BV562" s="54"/>
      <c r="BW562" s="13" t="str">
        <f t="shared" si="954"/>
        <v/>
      </c>
      <c r="BX562" s="13"/>
      <c r="BY562" s="13"/>
      <c r="BZ562" s="13"/>
      <c r="CA562" s="13" t="str">
        <f t="shared" si="955"/>
        <v/>
      </c>
      <c r="CB562" s="13"/>
      <c r="CC562" s="13"/>
      <c r="CD562" s="13"/>
      <c r="CE562" s="13" t="str">
        <f t="shared" si="946"/>
        <v/>
      </c>
      <c r="CF562" s="14" t="str">
        <f t="shared" si="947"/>
        <v/>
      </c>
      <c r="CG562" s="15"/>
      <c r="CH562" s="1"/>
      <c r="CI562" s="16"/>
      <c r="CJ562" s="54"/>
      <c r="CK562" s="13" t="str">
        <f t="shared" si="956"/>
        <v/>
      </c>
      <c r="CL562" s="13"/>
      <c r="CM562" s="13"/>
      <c r="CN562" s="13"/>
      <c r="CO562" s="13" t="str">
        <f t="shared" si="957"/>
        <v/>
      </c>
      <c r="CP562" s="13"/>
      <c r="CQ562" s="13"/>
      <c r="CR562" s="13"/>
      <c r="CS562" s="13" t="str">
        <f t="shared" si="948"/>
        <v/>
      </c>
      <c r="CT562" s="14" t="str">
        <f t="shared" si="949"/>
        <v/>
      </c>
      <c r="CU562" s="15"/>
      <c r="CV562" s="1"/>
      <c r="CW562" s="16"/>
      <c r="CX562" s="54"/>
      <c r="CY562" s="13" t="str">
        <f t="shared" si="958"/>
        <v/>
      </c>
      <c r="CZ562" s="13"/>
      <c r="DA562" s="13"/>
      <c r="DB562" s="13"/>
      <c r="DC562" s="13" t="str">
        <f t="shared" si="959"/>
        <v/>
      </c>
      <c r="DD562" s="13"/>
      <c r="DE562" s="13"/>
      <c r="DF562" s="13"/>
      <c r="DG562" s="13" t="str">
        <f t="shared" si="950"/>
        <v/>
      </c>
      <c r="DH562" s="14" t="str">
        <f t="shared" si="951"/>
        <v/>
      </c>
      <c r="DI562" s="15"/>
      <c r="DJ562" s="1"/>
      <c r="DK562" s="16"/>
      <c r="DL562" s="54"/>
      <c r="DM562" s="13" t="str">
        <f t="shared" si="960"/>
        <v/>
      </c>
      <c r="DN562" s="13"/>
      <c r="DO562" s="13"/>
      <c r="DP562" s="13"/>
      <c r="DQ562" s="13" t="str">
        <f t="shared" si="961"/>
        <v/>
      </c>
      <c r="DR562" s="13"/>
      <c r="DS562" s="13"/>
      <c r="DT562" s="13"/>
      <c r="DU562" s="13" t="str">
        <f t="shared" si="952"/>
        <v/>
      </c>
      <c r="DV562" s="14" t="str">
        <f t="shared" si="953"/>
        <v/>
      </c>
      <c r="DW562" s="15"/>
    </row>
    <row r="563" spans="1:127" ht="15" customHeight="1" x14ac:dyDescent="0.2">
      <c r="A563" s="16"/>
      <c r="B563" s="11"/>
      <c r="C563" s="13"/>
      <c r="D563" s="63"/>
      <c r="E563" s="13"/>
      <c r="F563" s="13"/>
      <c r="G563" s="13"/>
      <c r="H563" s="13"/>
      <c r="I563" s="17"/>
      <c r="J563" s="21"/>
      <c r="K563" s="54"/>
      <c r="L563" s="13"/>
      <c r="M563" s="14"/>
      <c r="N563" s="15"/>
      <c r="O563" s="2"/>
      <c r="P563" s="16"/>
      <c r="Q563" s="13"/>
      <c r="R563" s="63"/>
      <c r="S563" s="13"/>
      <c r="T563" s="13"/>
      <c r="U563" s="13"/>
      <c r="V563" s="13"/>
      <c r="W563" s="17"/>
      <c r="X563" s="21"/>
      <c r="Y563" s="54"/>
      <c r="Z563" s="13"/>
      <c r="AA563" s="14"/>
      <c r="AB563" s="15"/>
      <c r="AC563" s="15"/>
      <c r="AD563" s="16"/>
      <c r="AE563" s="13"/>
      <c r="AF563" s="63"/>
      <c r="AG563" s="13"/>
      <c r="AH563" s="13"/>
      <c r="AI563" s="13"/>
      <c r="AJ563" s="13"/>
      <c r="AK563" s="17"/>
      <c r="AL563" s="21"/>
      <c r="AM563" s="54"/>
      <c r="AN563" s="13"/>
      <c r="AO563" s="14"/>
      <c r="AP563" s="15"/>
      <c r="AQ563" s="113"/>
      <c r="AR563" s="16"/>
      <c r="AS563" s="13"/>
      <c r="AT563" s="63"/>
      <c r="AU563" s="13"/>
      <c r="AV563" s="13"/>
      <c r="AW563" s="13"/>
      <c r="AX563" s="13"/>
      <c r="AY563" s="17"/>
      <c r="AZ563" s="21"/>
      <c r="BA563" s="54"/>
      <c r="BB563" s="13"/>
      <c r="BC563" s="14"/>
      <c r="BD563" s="15"/>
      <c r="BT563" s="113"/>
      <c r="BU563" s="16"/>
      <c r="BV563" s="54"/>
      <c r="BW563" s="13" t="str">
        <f t="shared" si="954"/>
        <v/>
      </c>
      <c r="BX563" s="13"/>
      <c r="BY563" s="13"/>
      <c r="BZ563" s="13"/>
      <c r="CA563" s="13" t="str">
        <f t="shared" si="955"/>
        <v/>
      </c>
      <c r="CB563" s="13"/>
      <c r="CC563" s="13"/>
      <c r="CD563" s="13"/>
      <c r="CE563" s="13" t="str">
        <f t="shared" si="946"/>
        <v/>
      </c>
      <c r="CF563" s="14" t="str">
        <f t="shared" si="947"/>
        <v/>
      </c>
      <c r="CG563" s="15"/>
      <c r="CH563" s="1"/>
      <c r="CI563" s="16"/>
      <c r="CJ563" s="54"/>
      <c r="CK563" s="13" t="str">
        <f t="shared" si="956"/>
        <v/>
      </c>
      <c r="CL563" s="13"/>
      <c r="CM563" s="13"/>
      <c r="CN563" s="13"/>
      <c r="CO563" s="13" t="str">
        <f t="shared" si="957"/>
        <v/>
      </c>
      <c r="CP563" s="13"/>
      <c r="CQ563" s="13"/>
      <c r="CR563" s="13"/>
      <c r="CS563" s="13" t="str">
        <f t="shared" si="948"/>
        <v/>
      </c>
      <c r="CT563" s="14" t="str">
        <f t="shared" si="949"/>
        <v/>
      </c>
      <c r="CU563" s="15"/>
      <c r="CV563" s="1"/>
      <c r="CW563" s="16"/>
      <c r="CX563" s="54"/>
      <c r="CY563" s="13" t="str">
        <f t="shared" si="958"/>
        <v/>
      </c>
      <c r="CZ563" s="13"/>
      <c r="DA563" s="13"/>
      <c r="DB563" s="13"/>
      <c r="DC563" s="13" t="str">
        <f t="shared" si="959"/>
        <v/>
      </c>
      <c r="DD563" s="13"/>
      <c r="DE563" s="13"/>
      <c r="DF563" s="13"/>
      <c r="DG563" s="13" t="str">
        <f t="shared" si="950"/>
        <v/>
      </c>
      <c r="DH563" s="14" t="str">
        <f t="shared" si="951"/>
        <v/>
      </c>
      <c r="DI563" s="15"/>
      <c r="DJ563" s="1"/>
      <c r="DK563" s="16"/>
      <c r="DL563" s="54"/>
      <c r="DM563" s="13" t="str">
        <f t="shared" si="960"/>
        <v/>
      </c>
      <c r="DN563" s="13"/>
      <c r="DO563" s="13"/>
      <c r="DP563" s="13"/>
      <c r="DQ563" s="13" t="str">
        <f t="shared" si="961"/>
        <v/>
      </c>
      <c r="DR563" s="13"/>
      <c r="DS563" s="13"/>
      <c r="DT563" s="13"/>
      <c r="DU563" s="13" t="str">
        <f t="shared" si="952"/>
        <v/>
      </c>
      <c r="DV563" s="14" t="str">
        <f t="shared" si="953"/>
        <v/>
      </c>
      <c r="DW563" s="15"/>
    </row>
    <row r="564" spans="1:127" ht="15" customHeight="1" thickBot="1" x14ac:dyDescent="0.25">
      <c r="A564" s="26"/>
      <c r="B564" s="46"/>
      <c r="C564" s="29"/>
      <c r="D564" s="61"/>
      <c r="E564" s="62"/>
      <c r="F564" s="27"/>
      <c r="G564" s="27"/>
      <c r="H564" s="27"/>
      <c r="I564" s="107"/>
      <c r="J564" s="30"/>
      <c r="K564" s="62"/>
      <c r="L564" s="27"/>
      <c r="M564" s="28"/>
      <c r="N564" s="15"/>
      <c r="O564" s="2"/>
      <c r="P564" s="26"/>
      <c r="Q564" s="29"/>
      <c r="R564" s="61"/>
      <c r="S564" s="62"/>
      <c r="T564" s="27"/>
      <c r="U564" s="27"/>
      <c r="V564" s="27"/>
      <c r="W564" s="107"/>
      <c r="X564" s="30"/>
      <c r="Y564" s="62"/>
      <c r="Z564" s="27"/>
      <c r="AA564" s="28"/>
      <c r="AB564" s="15"/>
      <c r="AC564" s="15"/>
      <c r="AD564" s="26"/>
      <c r="AE564" s="29"/>
      <c r="AF564" s="61"/>
      <c r="AG564" s="62"/>
      <c r="AH564" s="27"/>
      <c r="AI564" s="27"/>
      <c r="AJ564" s="27"/>
      <c r="AK564" s="107"/>
      <c r="AL564" s="30"/>
      <c r="AM564" s="62"/>
      <c r="AN564" s="27"/>
      <c r="AO564" s="28"/>
      <c r="AP564" s="15"/>
      <c r="AQ564" s="113"/>
      <c r="AR564" s="26"/>
      <c r="AS564" s="29"/>
      <c r="AT564" s="61"/>
      <c r="AU564" s="62"/>
      <c r="AV564" s="27"/>
      <c r="AW564" s="27"/>
      <c r="AX564" s="27"/>
      <c r="AY564" s="107"/>
      <c r="AZ564" s="30"/>
      <c r="BA564" s="62"/>
      <c r="BB564" s="27"/>
      <c r="BC564" s="28"/>
      <c r="BD564" s="15"/>
      <c r="BT564" s="113"/>
      <c r="BU564" s="16"/>
      <c r="BV564" s="54"/>
      <c r="BW564" s="13" t="str">
        <f t="shared" si="954"/>
        <v/>
      </c>
      <c r="BX564" s="13"/>
      <c r="BY564" s="13"/>
      <c r="BZ564" s="13"/>
      <c r="CA564" s="13" t="str">
        <f t="shared" si="955"/>
        <v/>
      </c>
      <c r="CB564" s="13"/>
      <c r="CC564" s="13"/>
      <c r="CD564" s="13"/>
      <c r="CE564" s="13" t="str">
        <f t="shared" si="946"/>
        <v/>
      </c>
      <c r="CF564" s="14" t="str">
        <f t="shared" si="947"/>
        <v/>
      </c>
      <c r="CG564" s="15"/>
      <c r="CH564" s="1"/>
      <c r="CI564" s="16"/>
      <c r="CJ564" s="54"/>
      <c r="CK564" s="13" t="str">
        <f t="shared" si="956"/>
        <v/>
      </c>
      <c r="CL564" s="13"/>
      <c r="CM564" s="13"/>
      <c r="CN564" s="13"/>
      <c r="CO564" s="13" t="str">
        <f t="shared" si="957"/>
        <v/>
      </c>
      <c r="CP564" s="13"/>
      <c r="CQ564" s="13"/>
      <c r="CR564" s="13"/>
      <c r="CS564" s="13" t="str">
        <f t="shared" si="948"/>
        <v/>
      </c>
      <c r="CT564" s="14" t="str">
        <f t="shared" si="949"/>
        <v/>
      </c>
      <c r="CU564" s="15"/>
      <c r="CV564" s="1"/>
      <c r="CW564" s="16"/>
      <c r="CX564" s="54"/>
      <c r="CY564" s="13" t="str">
        <f t="shared" si="958"/>
        <v/>
      </c>
      <c r="CZ564" s="13"/>
      <c r="DA564" s="13"/>
      <c r="DB564" s="13"/>
      <c r="DC564" s="13" t="str">
        <f t="shared" si="959"/>
        <v/>
      </c>
      <c r="DD564" s="13"/>
      <c r="DE564" s="13"/>
      <c r="DF564" s="13"/>
      <c r="DG564" s="13" t="str">
        <f t="shared" si="950"/>
        <v/>
      </c>
      <c r="DH564" s="14" t="str">
        <f t="shared" si="951"/>
        <v/>
      </c>
      <c r="DI564" s="15"/>
      <c r="DJ564" s="1"/>
      <c r="DK564" s="16"/>
      <c r="DL564" s="54"/>
      <c r="DM564" s="13" t="str">
        <f t="shared" si="960"/>
        <v/>
      </c>
      <c r="DN564" s="13"/>
      <c r="DO564" s="13"/>
      <c r="DP564" s="13"/>
      <c r="DQ564" s="13" t="str">
        <f t="shared" si="961"/>
        <v/>
      </c>
      <c r="DR564" s="13"/>
      <c r="DS564" s="13"/>
      <c r="DT564" s="13"/>
      <c r="DU564" s="13" t="str">
        <f t="shared" si="952"/>
        <v/>
      </c>
      <c r="DV564" s="14" t="str">
        <f t="shared" si="953"/>
        <v/>
      </c>
      <c r="DW564" s="15"/>
    </row>
    <row r="565" spans="1:127" ht="15" customHeight="1" thickTop="1" x14ac:dyDescent="0.2">
      <c r="A565" s="79"/>
      <c r="B565" s="74"/>
      <c r="C565" s="53"/>
      <c r="D565" s="53"/>
      <c r="E565" s="53"/>
      <c r="F565" s="31"/>
      <c r="G565" s="53"/>
      <c r="H565" s="53"/>
      <c r="I565" s="80"/>
      <c r="J565" s="75"/>
      <c r="K565" s="76"/>
      <c r="L565" s="31"/>
      <c r="M565" s="32"/>
      <c r="N565" s="15"/>
      <c r="O565" s="2"/>
      <c r="P565" s="79"/>
      <c r="Q565" s="53"/>
      <c r="R565" s="53"/>
      <c r="S565" s="53"/>
      <c r="T565" s="31"/>
      <c r="U565" s="53"/>
      <c r="V565" s="53"/>
      <c r="W565" s="80"/>
      <c r="X565" s="75"/>
      <c r="Y565" s="76"/>
      <c r="Z565" s="31"/>
      <c r="AA565" s="32"/>
      <c r="AB565" s="15"/>
      <c r="AC565" s="15"/>
      <c r="AD565" s="79"/>
      <c r="AE565" s="53"/>
      <c r="AF565" s="53"/>
      <c r="AG565" s="53"/>
      <c r="AH565" s="31"/>
      <c r="AI565" s="53"/>
      <c r="AJ565" s="53"/>
      <c r="AK565" s="80"/>
      <c r="AL565" s="75"/>
      <c r="AM565" s="76"/>
      <c r="AN565" s="31"/>
      <c r="AO565" s="32"/>
      <c r="AP565" s="15"/>
      <c r="AQ565" s="113"/>
      <c r="AR565" s="79"/>
      <c r="AS565" s="53"/>
      <c r="AT565" s="53"/>
      <c r="AU565" s="53"/>
      <c r="AV565" s="31"/>
      <c r="AW565" s="53"/>
      <c r="AX565" s="53"/>
      <c r="AY565" s="80"/>
      <c r="AZ565" s="75"/>
      <c r="BA565" s="76"/>
      <c r="BB565" s="31"/>
      <c r="BC565" s="32"/>
      <c r="BD565" s="15"/>
      <c r="BT565" s="113"/>
      <c r="BU565" s="16"/>
      <c r="BV565" s="54"/>
      <c r="BW565" s="13" t="str">
        <f t="shared" si="954"/>
        <v/>
      </c>
      <c r="BX565" s="13"/>
      <c r="BY565" s="13"/>
      <c r="BZ565" s="13"/>
      <c r="CA565" s="13" t="str">
        <f t="shared" si="955"/>
        <v/>
      </c>
      <c r="CB565" s="13"/>
      <c r="CC565" s="13"/>
      <c r="CD565" s="13"/>
      <c r="CE565" s="13" t="str">
        <f t="shared" si="946"/>
        <v/>
      </c>
      <c r="CF565" s="14" t="str">
        <f t="shared" si="947"/>
        <v/>
      </c>
      <c r="CG565" s="15"/>
      <c r="CH565" s="1"/>
      <c r="CI565" s="16"/>
      <c r="CJ565" s="54"/>
      <c r="CK565" s="13" t="str">
        <f t="shared" si="956"/>
        <v/>
      </c>
      <c r="CL565" s="13"/>
      <c r="CM565" s="13"/>
      <c r="CN565" s="13"/>
      <c r="CO565" s="13" t="str">
        <f t="shared" si="957"/>
        <v/>
      </c>
      <c r="CP565" s="13"/>
      <c r="CQ565" s="13"/>
      <c r="CR565" s="13"/>
      <c r="CS565" s="13" t="str">
        <f t="shared" si="948"/>
        <v/>
      </c>
      <c r="CT565" s="14" t="str">
        <f t="shared" si="949"/>
        <v/>
      </c>
      <c r="CU565" s="15"/>
      <c r="CV565" s="1"/>
      <c r="CW565" s="16"/>
      <c r="CX565" s="54"/>
      <c r="CY565" s="13" t="str">
        <f t="shared" si="958"/>
        <v/>
      </c>
      <c r="CZ565" s="13"/>
      <c r="DA565" s="13"/>
      <c r="DB565" s="13"/>
      <c r="DC565" s="13" t="str">
        <f t="shared" si="959"/>
        <v/>
      </c>
      <c r="DD565" s="13"/>
      <c r="DE565" s="13"/>
      <c r="DF565" s="13"/>
      <c r="DG565" s="13" t="str">
        <f t="shared" si="950"/>
        <v/>
      </c>
      <c r="DH565" s="14" t="str">
        <f t="shared" si="951"/>
        <v/>
      </c>
      <c r="DI565" s="15"/>
      <c r="DJ565" s="1"/>
      <c r="DK565" s="16"/>
      <c r="DL565" s="54"/>
      <c r="DM565" s="13" t="str">
        <f t="shared" si="960"/>
        <v/>
      </c>
      <c r="DN565" s="13"/>
      <c r="DO565" s="13"/>
      <c r="DP565" s="13"/>
      <c r="DQ565" s="13" t="str">
        <f t="shared" si="961"/>
        <v/>
      </c>
      <c r="DR565" s="13"/>
      <c r="DS565" s="13"/>
      <c r="DT565" s="13"/>
      <c r="DU565" s="13" t="str">
        <f t="shared" si="952"/>
        <v/>
      </c>
      <c r="DV565" s="14" t="str">
        <f t="shared" si="953"/>
        <v/>
      </c>
      <c r="DW565" s="15"/>
    </row>
    <row r="566" spans="1:127" ht="15" customHeight="1" x14ac:dyDescent="0.2">
      <c r="A566" s="16"/>
      <c r="B566" s="11"/>
      <c r="C566" s="13"/>
      <c r="D566" s="53"/>
      <c r="E566" s="13"/>
      <c r="F566" s="13"/>
      <c r="G566" s="13"/>
      <c r="H566" s="13"/>
      <c r="I566" s="17"/>
      <c r="J566" s="56"/>
      <c r="K566" s="54"/>
      <c r="L566" s="13"/>
      <c r="M566" s="14"/>
      <c r="N566" s="15"/>
      <c r="O566" s="2"/>
      <c r="P566" s="16"/>
      <c r="Q566" s="13"/>
      <c r="R566" s="53"/>
      <c r="S566" s="13"/>
      <c r="T566" s="13"/>
      <c r="U566" s="13"/>
      <c r="V566" s="13"/>
      <c r="W566" s="17"/>
      <c r="X566" s="56"/>
      <c r="Y566" s="54"/>
      <c r="Z566" s="13"/>
      <c r="AA566" s="14"/>
      <c r="AB566" s="15"/>
      <c r="AC566" s="15"/>
      <c r="AD566" s="16"/>
      <c r="AE566" s="13"/>
      <c r="AF566" s="53"/>
      <c r="AG566" s="13"/>
      <c r="AH566" s="13"/>
      <c r="AI566" s="13"/>
      <c r="AJ566" s="13"/>
      <c r="AK566" s="17"/>
      <c r="AL566" s="56"/>
      <c r="AM566" s="54"/>
      <c r="AN566" s="13"/>
      <c r="AO566" s="14"/>
      <c r="AP566" s="15"/>
      <c r="AQ566" s="113"/>
      <c r="AR566" s="16"/>
      <c r="AS566" s="13"/>
      <c r="AT566" s="127"/>
      <c r="AU566" s="13"/>
      <c r="AV566" s="13"/>
      <c r="AW566" s="13"/>
      <c r="AX566" s="13"/>
      <c r="AY566" s="17"/>
      <c r="AZ566" s="56"/>
      <c r="BA566" s="54"/>
      <c r="BB566" s="13"/>
      <c r="BC566" s="14"/>
      <c r="BD566" s="15"/>
      <c r="BT566" s="113"/>
      <c r="BU566" s="16"/>
      <c r="BV566" s="54"/>
      <c r="BW566" s="13" t="str">
        <f t="shared" si="954"/>
        <v/>
      </c>
      <c r="BX566" s="13"/>
      <c r="BY566" s="13"/>
      <c r="BZ566" s="13"/>
      <c r="CA566" s="13" t="str">
        <f t="shared" si="955"/>
        <v/>
      </c>
      <c r="CB566" s="13"/>
      <c r="CC566" s="13"/>
      <c r="CD566" s="13"/>
      <c r="CE566" s="13" t="str">
        <f t="shared" si="946"/>
        <v/>
      </c>
      <c r="CF566" s="14" t="str">
        <f t="shared" si="947"/>
        <v/>
      </c>
      <c r="CG566" s="15"/>
      <c r="CH566" s="1"/>
      <c r="CI566" s="16"/>
      <c r="CJ566" s="54"/>
      <c r="CK566" s="13" t="str">
        <f t="shared" si="956"/>
        <v/>
      </c>
      <c r="CL566" s="13"/>
      <c r="CM566" s="13"/>
      <c r="CN566" s="13"/>
      <c r="CO566" s="13" t="str">
        <f t="shared" si="957"/>
        <v/>
      </c>
      <c r="CP566" s="13"/>
      <c r="CQ566" s="13"/>
      <c r="CR566" s="13"/>
      <c r="CS566" s="13" t="str">
        <f t="shared" si="948"/>
        <v/>
      </c>
      <c r="CT566" s="14" t="str">
        <f t="shared" si="949"/>
        <v/>
      </c>
      <c r="CU566" s="15"/>
      <c r="CV566" s="1"/>
      <c r="CW566" s="16"/>
      <c r="CX566" s="54"/>
      <c r="CY566" s="13" t="str">
        <f t="shared" si="958"/>
        <v/>
      </c>
      <c r="CZ566" s="13"/>
      <c r="DA566" s="13"/>
      <c r="DB566" s="13"/>
      <c r="DC566" s="13" t="str">
        <f t="shared" si="959"/>
        <v/>
      </c>
      <c r="DD566" s="13"/>
      <c r="DE566" s="13"/>
      <c r="DF566" s="13"/>
      <c r="DG566" s="13" t="str">
        <f t="shared" si="950"/>
        <v/>
      </c>
      <c r="DH566" s="14" t="str">
        <f t="shared" si="951"/>
        <v/>
      </c>
      <c r="DI566" s="15"/>
      <c r="DJ566" s="1"/>
      <c r="DK566" s="16"/>
      <c r="DL566" s="54"/>
      <c r="DM566" s="13" t="str">
        <f t="shared" si="960"/>
        <v/>
      </c>
      <c r="DN566" s="13"/>
      <c r="DO566" s="13"/>
      <c r="DP566" s="13"/>
      <c r="DQ566" s="13" t="str">
        <f t="shared" si="961"/>
        <v/>
      </c>
      <c r="DR566" s="13"/>
      <c r="DS566" s="13"/>
      <c r="DT566" s="13"/>
      <c r="DU566" s="13" t="str">
        <f t="shared" si="952"/>
        <v/>
      </c>
      <c r="DV566" s="14" t="str">
        <f t="shared" si="953"/>
        <v/>
      </c>
      <c r="DW566" s="15"/>
    </row>
    <row r="567" spans="1:127" ht="15" customHeight="1" x14ac:dyDescent="0.2">
      <c r="A567" s="16"/>
      <c r="B567" s="11"/>
      <c r="C567" s="13"/>
      <c r="D567" s="63"/>
      <c r="E567" s="13"/>
      <c r="F567" s="13"/>
      <c r="G567" s="13"/>
      <c r="H567" s="13"/>
      <c r="I567" s="49"/>
      <c r="J567" s="56"/>
      <c r="K567" s="13"/>
      <c r="L567" s="13"/>
      <c r="M567" s="14"/>
      <c r="N567" s="15"/>
      <c r="O567" s="2"/>
      <c r="P567" s="16"/>
      <c r="Q567" s="13"/>
      <c r="R567" s="63"/>
      <c r="S567" s="13"/>
      <c r="T567" s="13"/>
      <c r="U567" s="13"/>
      <c r="V567" s="13"/>
      <c r="W567" s="17"/>
      <c r="X567" s="56"/>
      <c r="Y567" s="13"/>
      <c r="Z567" s="13"/>
      <c r="AA567" s="14"/>
      <c r="AB567" s="15"/>
      <c r="AC567" s="15"/>
      <c r="AD567" s="16"/>
      <c r="AE567" s="13"/>
      <c r="AF567" s="63"/>
      <c r="AG567" s="13"/>
      <c r="AH567" s="13"/>
      <c r="AI567" s="13"/>
      <c r="AJ567" s="13"/>
      <c r="AK567" s="17"/>
      <c r="AL567" s="56"/>
      <c r="AM567" s="13"/>
      <c r="AN567" s="13"/>
      <c r="AO567" s="14"/>
      <c r="AP567" s="15"/>
      <c r="AQ567" s="113"/>
      <c r="AR567" s="16"/>
      <c r="AS567" s="13"/>
      <c r="AT567" s="63"/>
      <c r="AU567" s="13"/>
      <c r="AV567" s="13"/>
      <c r="AW567" s="13"/>
      <c r="AX567" s="13"/>
      <c r="AY567" s="49"/>
      <c r="AZ567" s="56"/>
      <c r="BA567" s="13"/>
      <c r="BB567" s="13"/>
      <c r="BC567" s="14"/>
      <c r="BD567" s="15"/>
      <c r="BT567" s="113"/>
      <c r="BU567" s="16"/>
      <c r="BV567" s="54"/>
      <c r="BW567" s="13" t="str">
        <f t="shared" si="954"/>
        <v/>
      </c>
      <c r="BX567" s="13"/>
      <c r="BY567" s="13"/>
      <c r="BZ567" s="13"/>
      <c r="CA567" s="13" t="str">
        <f t="shared" si="955"/>
        <v/>
      </c>
      <c r="CB567" s="13"/>
      <c r="CC567" s="13"/>
      <c r="CD567" s="13"/>
      <c r="CE567" s="13" t="str">
        <f t="shared" si="946"/>
        <v/>
      </c>
      <c r="CF567" s="14" t="str">
        <f t="shared" si="947"/>
        <v/>
      </c>
      <c r="CG567" s="15"/>
      <c r="CH567" s="1"/>
      <c r="CI567" s="16"/>
      <c r="CJ567" s="54"/>
      <c r="CK567" s="13" t="str">
        <f t="shared" si="956"/>
        <v/>
      </c>
      <c r="CL567" s="13"/>
      <c r="CM567" s="13"/>
      <c r="CN567" s="13"/>
      <c r="CO567" s="13" t="str">
        <f t="shared" si="957"/>
        <v/>
      </c>
      <c r="CP567" s="13"/>
      <c r="CQ567" s="13"/>
      <c r="CR567" s="13"/>
      <c r="CS567" s="13" t="str">
        <f t="shared" si="948"/>
        <v/>
      </c>
      <c r="CT567" s="14" t="str">
        <f t="shared" si="949"/>
        <v/>
      </c>
      <c r="CU567" s="15"/>
      <c r="CV567" s="1"/>
      <c r="CW567" s="16"/>
      <c r="CX567" s="54"/>
      <c r="CY567" s="13" t="str">
        <f t="shared" si="958"/>
        <v/>
      </c>
      <c r="CZ567" s="13"/>
      <c r="DA567" s="13"/>
      <c r="DB567" s="13"/>
      <c r="DC567" s="13" t="str">
        <f t="shared" si="959"/>
        <v/>
      </c>
      <c r="DD567" s="13"/>
      <c r="DE567" s="13"/>
      <c r="DF567" s="13"/>
      <c r="DG567" s="13" t="str">
        <f t="shared" si="950"/>
        <v/>
      </c>
      <c r="DH567" s="14" t="str">
        <f t="shared" si="951"/>
        <v/>
      </c>
      <c r="DI567" s="15"/>
      <c r="DJ567" s="1"/>
      <c r="DK567" s="16"/>
      <c r="DL567" s="54"/>
      <c r="DM567" s="13" t="str">
        <f t="shared" si="960"/>
        <v/>
      </c>
      <c r="DN567" s="13"/>
      <c r="DO567" s="13"/>
      <c r="DP567" s="13"/>
      <c r="DQ567" s="13" t="str">
        <f t="shared" si="961"/>
        <v/>
      </c>
      <c r="DR567" s="13"/>
      <c r="DS567" s="13"/>
      <c r="DT567" s="13"/>
      <c r="DU567" s="13" t="str">
        <f t="shared" si="952"/>
        <v/>
      </c>
      <c r="DV567" s="14" t="str">
        <f t="shared" si="953"/>
        <v/>
      </c>
      <c r="DW567" s="15"/>
    </row>
    <row r="568" spans="1:127" ht="15" customHeight="1" thickBot="1" x14ac:dyDescent="0.25">
      <c r="A568" s="26"/>
      <c r="B568" s="46"/>
      <c r="C568" s="27"/>
      <c r="D568" s="61"/>
      <c r="E568" s="62"/>
      <c r="F568" s="27"/>
      <c r="G568" s="27"/>
      <c r="H568" s="27"/>
      <c r="I568" s="47"/>
      <c r="J568" s="57"/>
      <c r="K568" s="62"/>
      <c r="L568" s="27"/>
      <c r="M568" s="28"/>
      <c r="N568" s="15"/>
      <c r="O568" s="2"/>
      <c r="P568" s="26"/>
      <c r="Q568" s="27"/>
      <c r="R568" s="61"/>
      <c r="S568" s="62"/>
      <c r="T568" s="27"/>
      <c r="U568" s="27"/>
      <c r="V568" s="27"/>
      <c r="W568" s="107"/>
      <c r="X568" s="57"/>
      <c r="Y568" s="62"/>
      <c r="Z568" s="27"/>
      <c r="AA568" s="28"/>
      <c r="AB568" s="15"/>
      <c r="AC568" s="15"/>
      <c r="AD568" s="26"/>
      <c r="AE568" s="27"/>
      <c r="AF568" s="61"/>
      <c r="AG568" s="62"/>
      <c r="AH568" s="27"/>
      <c r="AI568" s="27"/>
      <c r="AJ568" s="27"/>
      <c r="AK568" s="107"/>
      <c r="AL568" s="57"/>
      <c r="AM568" s="62"/>
      <c r="AN568" s="27"/>
      <c r="AO568" s="28"/>
      <c r="AP568" s="15"/>
      <c r="AQ568" s="113"/>
      <c r="AR568" s="26"/>
      <c r="AS568" s="27"/>
      <c r="AT568" s="61"/>
      <c r="AU568" s="62"/>
      <c r="AV568" s="27"/>
      <c r="AW568" s="27"/>
      <c r="AX568" s="27"/>
      <c r="AY568" s="47"/>
      <c r="AZ568" s="57"/>
      <c r="BA568" s="62"/>
      <c r="BB568" s="27"/>
      <c r="BC568" s="28"/>
      <c r="BD568" s="15"/>
      <c r="BT568" s="113"/>
      <c r="BU568" s="16"/>
      <c r="BV568" s="54"/>
      <c r="BW568" s="13" t="str">
        <f t="shared" si="954"/>
        <v/>
      </c>
      <c r="BX568" s="13"/>
      <c r="BY568" s="13"/>
      <c r="BZ568" s="13"/>
      <c r="CA568" s="13" t="str">
        <f t="shared" si="955"/>
        <v/>
      </c>
      <c r="CB568" s="13"/>
      <c r="CC568" s="13"/>
      <c r="CD568" s="13"/>
      <c r="CE568" s="13" t="str">
        <f t="shared" si="946"/>
        <v/>
      </c>
      <c r="CF568" s="14" t="str">
        <f t="shared" si="947"/>
        <v/>
      </c>
      <c r="CG568" s="15"/>
      <c r="CH568" s="1"/>
      <c r="CI568" s="16"/>
      <c r="CJ568" s="54"/>
      <c r="CK568" s="13" t="str">
        <f t="shared" si="956"/>
        <v/>
      </c>
      <c r="CL568" s="13"/>
      <c r="CM568" s="13"/>
      <c r="CN568" s="13"/>
      <c r="CO568" s="13" t="str">
        <f t="shared" si="957"/>
        <v/>
      </c>
      <c r="CP568" s="13"/>
      <c r="CQ568" s="13"/>
      <c r="CR568" s="13"/>
      <c r="CS568" s="13" t="str">
        <f t="shared" si="948"/>
        <v/>
      </c>
      <c r="CT568" s="14" t="str">
        <f t="shared" si="949"/>
        <v/>
      </c>
      <c r="CU568" s="15"/>
      <c r="CV568" s="1"/>
      <c r="CW568" s="16"/>
      <c r="CX568" s="54"/>
      <c r="CY568" s="13" t="str">
        <f t="shared" si="958"/>
        <v/>
      </c>
      <c r="CZ568" s="13"/>
      <c r="DA568" s="13"/>
      <c r="DB568" s="13"/>
      <c r="DC568" s="13" t="str">
        <f t="shared" si="959"/>
        <v/>
      </c>
      <c r="DD568" s="13"/>
      <c r="DE568" s="13"/>
      <c r="DF568" s="13"/>
      <c r="DG568" s="13" t="str">
        <f t="shared" si="950"/>
        <v/>
      </c>
      <c r="DH568" s="14" t="str">
        <f t="shared" si="951"/>
        <v/>
      </c>
      <c r="DI568" s="15"/>
      <c r="DJ568" s="1"/>
      <c r="DK568" s="16"/>
      <c r="DL568" s="54"/>
      <c r="DM568" s="13" t="str">
        <f t="shared" si="960"/>
        <v/>
      </c>
      <c r="DN568" s="13"/>
      <c r="DO568" s="13"/>
      <c r="DP568" s="13"/>
      <c r="DQ568" s="13" t="str">
        <f t="shared" si="961"/>
        <v/>
      </c>
      <c r="DR568" s="13"/>
      <c r="DS568" s="13"/>
      <c r="DT568" s="13"/>
      <c r="DU568" s="13" t="str">
        <f t="shared" si="952"/>
        <v/>
      </c>
      <c r="DV568" s="14" t="str">
        <f t="shared" si="953"/>
        <v/>
      </c>
      <c r="DW568" s="15"/>
    </row>
    <row r="569" spans="1:127" ht="15" customHeight="1" thickTop="1" x14ac:dyDescent="0.2">
      <c r="A569" s="79"/>
      <c r="B569" s="74" t="str">
        <f>IF(A569="","",SUM(D569:D572)+SUM(R569:R572)+SUM(AF569:AF572)+SUM(AT569:AT572)+SUM(BW533,CK533,CY533,DM533))</f>
        <v/>
      </c>
      <c r="C569" s="53"/>
      <c r="D569" s="53" t="str">
        <f t="shared" si="917"/>
        <v/>
      </c>
      <c r="E569" s="53"/>
      <c r="F569" s="31" t="str">
        <f t="shared" si="918"/>
        <v/>
      </c>
      <c r="G569" s="53"/>
      <c r="H569" s="53" t="str">
        <f t="shared" si="919"/>
        <v/>
      </c>
      <c r="I569" s="53"/>
      <c r="J569" s="75" t="str">
        <f t="shared" si="920"/>
        <v/>
      </c>
      <c r="K569" s="76" t="str">
        <f t="shared" si="921"/>
        <v/>
      </c>
      <c r="L569" s="31" t="str">
        <f t="shared" si="922"/>
        <v/>
      </c>
      <c r="M569" s="32" t="str">
        <f t="shared" si="923"/>
        <v/>
      </c>
      <c r="N569" s="15"/>
      <c r="O569" s="2"/>
      <c r="P569" s="79" t="str">
        <f>IF(A569="","",A569)</f>
        <v/>
      </c>
      <c r="Q569" s="53"/>
      <c r="R569" s="53" t="str">
        <f t="shared" si="924"/>
        <v/>
      </c>
      <c r="S569" s="53"/>
      <c r="T569" s="31" t="str">
        <f t="shared" si="925"/>
        <v/>
      </c>
      <c r="U569" s="53"/>
      <c r="V569" s="53" t="str">
        <f t="shared" si="926"/>
        <v/>
      </c>
      <c r="W569" s="53"/>
      <c r="X569" s="75" t="str">
        <f t="shared" si="927"/>
        <v/>
      </c>
      <c r="Y569" s="76" t="str">
        <f t="shared" si="928"/>
        <v/>
      </c>
      <c r="Z569" s="31" t="str">
        <f t="shared" si="929"/>
        <v/>
      </c>
      <c r="AA569" s="32" t="str">
        <f t="shared" si="930"/>
        <v/>
      </c>
      <c r="AB569" s="15"/>
      <c r="AD569" s="79" t="str">
        <f>IF($A569="","",$A569)</f>
        <v/>
      </c>
      <c r="AE569" s="53"/>
      <c r="AF569" s="53" t="str">
        <f t="shared" si="931"/>
        <v/>
      </c>
      <c r="AG569" s="53"/>
      <c r="AH569" s="31" t="str">
        <f t="shared" si="932"/>
        <v/>
      </c>
      <c r="AI569" s="53"/>
      <c r="AJ569" s="53" t="str">
        <f t="shared" si="933"/>
        <v/>
      </c>
      <c r="AK569" s="53"/>
      <c r="AL569" s="75" t="str">
        <f t="shared" si="945"/>
        <v/>
      </c>
      <c r="AM569" s="76" t="str">
        <f t="shared" si="944"/>
        <v/>
      </c>
      <c r="AN569" s="31" t="str">
        <f t="shared" si="935"/>
        <v/>
      </c>
      <c r="AO569" s="32" t="str">
        <f t="shared" si="936"/>
        <v/>
      </c>
      <c r="AP569" s="15"/>
      <c r="AQ569" s="115"/>
      <c r="AR569" s="79" t="str">
        <f>IF($A569="","",$A569)</f>
        <v/>
      </c>
      <c r="AS569" s="53"/>
      <c r="AT569" s="53" t="str">
        <f t="shared" si="937"/>
        <v/>
      </c>
      <c r="AU569" s="53"/>
      <c r="AV569" s="31" t="str">
        <f t="shared" si="938"/>
        <v/>
      </c>
      <c r="AW569" s="53"/>
      <c r="AX569" s="53" t="str">
        <f t="shared" si="939"/>
        <v/>
      </c>
      <c r="AY569" s="53"/>
      <c r="AZ569" s="75" t="str">
        <f t="shared" si="940"/>
        <v/>
      </c>
      <c r="BA569" s="76" t="str">
        <f t="shared" si="941"/>
        <v/>
      </c>
      <c r="BB569" s="31" t="str">
        <f t="shared" si="942"/>
        <v/>
      </c>
      <c r="BC569" s="32" t="str">
        <f t="shared" si="943"/>
        <v/>
      </c>
      <c r="BD569" s="15"/>
      <c r="BT569" s="114"/>
      <c r="BU569" s="16"/>
      <c r="BV569" s="54"/>
      <c r="BW569" s="13"/>
      <c r="BX569" s="13"/>
      <c r="BY569" s="13"/>
      <c r="BZ569" s="13"/>
      <c r="CA569" s="13"/>
      <c r="CB569" s="13"/>
      <c r="CC569" s="13"/>
      <c r="CD569" s="13"/>
      <c r="CE569" s="13"/>
      <c r="CF569" s="14"/>
      <c r="CG569" s="15"/>
      <c r="CH569" s="1"/>
      <c r="CI569" s="16"/>
      <c r="CJ569" s="54"/>
      <c r="CK569" s="13"/>
      <c r="CL569" s="13"/>
      <c r="CM569" s="13"/>
      <c r="CN569" s="13"/>
      <c r="CO569" s="13"/>
      <c r="CP569" s="13"/>
      <c r="CQ569" s="13"/>
      <c r="CR569" s="13"/>
      <c r="CS569" s="13"/>
      <c r="CT569" s="14"/>
      <c r="CU569" s="15"/>
      <c r="CV569" s="1"/>
      <c r="CW569" s="16"/>
      <c r="CX569" s="54"/>
      <c r="CY569" s="13"/>
      <c r="CZ569" s="13"/>
      <c r="DA569" s="13"/>
      <c r="DB569" s="13"/>
      <c r="DC569" s="13"/>
      <c r="DD569" s="13"/>
      <c r="DE569" s="13"/>
      <c r="DF569" s="13"/>
      <c r="DG569" s="13"/>
      <c r="DH569" s="14"/>
      <c r="DI569" s="15"/>
      <c r="DJ569" s="1"/>
      <c r="DK569" s="16"/>
      <c r="DL569" s="54"/>
      <c r="DM569" s="13"/>
      <c r="DN569" s="13"/>
      <c r="DO569" s="13"/>
      <c r="DP569" s="13"/>
      <c r="DQ569" s="13"/>
      <c r="DR569" s="13"/>
      <c r="DS569" s="13"/>
      <c r="DT569" s="13"/>
      <c r="DU569" s="13"/>
      <c r="DV569" s="14"/>
      <c r="DW569" s="15"/>
    </row>
    <row r="570" spans="1:127" ht="15" customHeight="1" x14ac:dyDescent="0.2">
      <c r="A570" s="16"/>
      <c r="B570" s="11"/>
      <c r="C570" s="13"/>
      <c r="D570" s="13" t="str">
        <f t="shared" si="917"/>
        <v/>
      </c>
      <c r="E570" s="13"/>
      <c r="F570" s="13" t="str">
        <f t="shared" si="918"/>
        <v/>
      </c>
      <c r="G570" s="13"/>
      <c r="H570" s="50" t="str">
        <f t="shared" si="919"/>
        <v/>
      </c>
      <c r="I570" s="13"/>
      <c r="J570" s="56" t="str">
        <f t="shared" si="920"/>
        <v/>
      </c>
      <c r="K570" s="54" t="str">
        <f t="shared" si="921"/>
        <v/>
      </c>
      <c r="L570" s="13" t="str">
        <f t="shared" si="922"/>
        <v/>
      </c>
      <c r="M570" s="14" t="str">
        <f t="shared" si="923"/>
        <v/>
      </c>
      <c r="N570" s="15"/>
      <c r="O570" s="2"/>
      <c r="P570" s="16"/>
      <c r="Q570" s="13"/>
      <c r="R570" s="13" t="str">
        <f t="shared" si="924"/>
        <v/>
      </c>
      <c r="S570" s="13"/>
      <c r="T570" s="13" t="str">
        <f t="shared" si="925"/>
        <v/>
      </c>
      <c r="U570" s="13"/>
      <c r="V570" s="50" t="str">
        <f t="shared" si="926"/>
        <v/>
      </c>
      <c r="W570" s="13"/>
      <c r="X570" s="56" t="str">
        <f t="shared" si="927"/>
        <v/>
      </c>
      <c r="Y570" s="54" t="str">
        <f t="shared" si="928"/>
        <v/>
      </c>
      <c r="Z570" s="13" t="str">
        <f t="shared" si="929"/>
        <v/>
      </c>
      <c r="AA570" s="14" t="str">
        <f t="shared" si="930"/>
        <v/>
      </c>
      <c r="AB570" s="15"/>
      <c r="AD570" s="16"/>
      <c r="AE570" s="13"/>
      <c r="AF570" s="13" t="str">
        <f t="shared" si="931"/>
        <v/>
      </c>
      <c r="AG570" s="13"/>
      <c r="AH570" s="13" t="str">
        <f t="shared" si="932"/>
        <v/>
      </c>
      <c r="AI570" s="13"/>
      <c r="AJ570" s="50" t="str">
        <f t="shared" si="933"/>
        <v/>
      </c>
      <c r="AK570" s="13"/>
      <c r="AL570" s="56" t="str">
        <f t="shared" si="945"/>
        <v/>
      </c>
      <c r="AM570" s="54" t="str">
        <f t="shared" si="944"/>
        <v/>
      </c>
      <c r="AN570" s="13" t="str">
        <f t="shared" si="935"/>
        <v/>
      </c>
      <c r="AO570" s="14" t="str">
        <f t="shared" si="936"/>
        <v/>
      </c>
      <c r="AP570" s="15"/>
      <c r="AQ570" s="115"/>
      <c r="AR570" s="16"/>
      <c r="AS570" s="13"/>
      <c r="AT570" s="13" t="str">
        <f t="shared" si="937"/>
        <v/>
      </c>
      <c r="AU570" s="13"/>
      <c r="AV570" s="13" t="str">
        <f t="shared" si="938"/>
        <v/>
      </c>
      <c r="AW570" s="13"/>
      <c r="AX570" s="50" t="str">
        <f t="shared" si="939"/>
        <v/>
      </c>
      <c r="AY570" s="13"/>
      <c r="AZ570" s="56" t="str">
        <f t="shared" si="940"/>
        <v/>
      </c>
      <c r="BA570" s="54" t="str">
        <f t="shared" si="941"/>
        <v/>
      </c>
      <c r="BB570" s="13" t="str">
        <f t="shared" si="942"/>
        <v/>
      </c>
      <c r="BC570" s="14" t="str">
        <f t="shared" si="943"/>
        <v/>
      </c>
      <c r="BD570" s="15"/>
      <c r="BT570" s="114"/>
      <c r="BU570" s="16"/>
      <c r="BV570" s="54"/>
      <c r="BW570" s="13" t="str">
        <f>IF(BV570="","",BV570-#REF!)</f>
        <v/>
      </c>
      <c r="BX570" s="13"/>
      <c r="BY570" s="13"/>
      <c r="BZ570" s="13"/>
      <c r="CA570" s="13" t="str">
        <f>IF(BZ570="","",#REF!+#REF!-BZ570)</f>
        <v/>
      </c>
      <c r="CB570" s="13"/>
      <c r="CC570" s="13"/>
      <c r="CD570" s="13"/>
      <c r="CE570" s="13" t="str">
        <f>IF(CD570="","",CA570*CD570)</f>
        <v/>
      </c>
      <c r="CF570" s="14" t="str">
        <f>IF(CE570="","",CE570/(BW570*100))</f>
        <v/>
      </c>
      <c r="CG570" s="15"/>
      <c r="CH570" s="1"/>
      <c r="CI570" s="16"/>
      <c r="CJ570" s="54"/>
      <c r="CK570" s="13" t="str">
        <f>IF(CJ570="","",CJ570-#REF!)</f>
        <v/>
      </c>
      <c r="CL570" s="13"/>
      <c r="CM570" s="13"/>
      <c r="CN570" s="13"/>
      <c r="CO570" s="13" t="str">
        <f>IF(CN570="","",#REF!+#REF!-CN570)</f>
        <v/>
      </c>
      <c r="CP570" s="13"/>
      <c r="CQ570" s="13"/>
      <c r="CR570" s="13"/>
      <c r="CS570" s="13" t="str">
        <f>IF(CR570="","",CO570*CR570)</f>
        <v/>
      </c>
      <c r="CT570" s="14" t="str">
        <f>IF(CS570="","",CS570/(CK570*100))</f>
        <v/>
      </c>
      <c r="CU570" s="15"/>
      <c r="CV570" s="1"/>
      <c r="CW570" s="16"/>
      <c r="CX570" s="54"/>
      <c r="CY570" s="13" t="str">
        <f>IF(CX570="","",CX570-#REF!)</f>
        <v/>
      </c>
      <c r="CZ570" s="13"/>
      <c r="DA570" s="13"/>
      <c r="DB570" s="13"/>
      <c r="DC570" s="13" t="str">
        <f>IF(DB570="","",#REF!+#REF!-DB570)</f>
        <v/>
      </c>
      <c r="DD570" s="13"/>
      <c r="DE570" s="13"/>
      <c r="DF570" s="13"/>
      <c r="DG570" s="13" t="str">
        <f>IF(DF570="","",DC570*DF570)</f>
        <v/>
      </c>
      <c r="DH570" s="14" t="str">
        <f>IF(DG570="","",DG570/(CY570*100))</f>
        <v/>
      </c>
      <c r="DI570" s="15"/>
      <c r="DJ570" s="1"/>
      <c r="DK570" s="16"/>
      <c r="DL570" s="54"/>
      <c r="DM570" s="13" t="str">
        <f>IF(DL570="","",DL570-#REF!)</f>
        <v/>
      </c>
      <c r="DN570" s="13"/>
      <c r="DO570" s="13"/>
      <c r="DP570" s="13"/>
      <c r="DQ570" s="13" t="str">
        <f>IF(DP570="","",#REF!+#REF!-DP570)</f>
        <v/>
      </c>
      <c r="DR570" s="13"/>
      <c r="DS570" s="13"/>
      <c r="DT570" s="13"/>
      <c r="DU570" s="13" t="str">
        <f>IF(DT570="","",DQ570*DT570)</f>
        <v/>
      </c>
      <c r="DV570" s="14" t="str">
        <f>IF(DU570="","",DU570/(DM570*100))</f>
        <v/>
      </c>
      <c r="DW570" s="15"/>
    </row>
    <row r="571" spans="1:127" ht="15" customHeight="1" x14ac:dyDescent="0.2">
      <c r="A571" s="16"/>
      <c r="B571" s="11"/>
      <c r="C571" s="13"/>
      <c r="D571" s="13" t="str">
        <f t="shared" si="917"/>
        <v/>
      </c>
      <c r="E571" s="13"/>
      <c r="F571" s="13" t="str">
        <f t="shared" si="918"/>
        <v/>
      </c>
      <c r="G571" s="13"/>
      <c r="H571" s="13" t="str">
        <f t="shared" si="919"/>
        <v/>
      </c>
      <c r="I571" s="13"/>
      <c r="J571" s="56" t="str">
        <f t="shared" si="920"/>
        <v/>
      </c>
      <c r="K571" s="13" t="str">
        <f t="shared" si="921"/>
        <v/>
      </c>
      <c r="L571" s="13" t="str">
        <f t="shared" si="922"/>
        <v/>
      </c>
      <c r="M571" s="14" t="str">
        <f t="shared" si="923"/>
        <v/>
      </c>
      <c r="N571" s="15"/>
      <c r="O571" s="2"/>
      <c r="P571" s="16"/>
      <c r="Q571" s="13"/>
      <c r="R571" s="13" t="str">
        <f t="shared" si="924"/>
        <v/>
      </c>
      <c r="S571" s="13"/>
      <c r="T571" s="13" t="str">
        <f t="shared" si="925"/>
        <v/>
      </c>
      <c r="U571" s="13"/>
      <c r="V571" s="13" t="str">
        <f t="shared" si="926"/>
        <v/>
      </c>
      <c r="W571" s="13"/>
      <c r="X571" s="56" t="str">
        <f t="shared" si="927"/>
        <v/>
      </c>
      <c r="Y571" s="13" t="str">
        <f t="shared" si="928"/>
        <v/>
      </c>
      <c r="Z571" s="13" t="str">
        <f t="shared" si="929"/>
        <v/>
      </c>
      <c r="AA571" s="14" t="str">
        <f t="shared" si="930"/>
        <v/>
      </c>
      <c r="AB571" s="15"/>
      <c r="AD571" s="16"/>
      <c r="AE571" s="13"/>
      <c r="AF571" s="13" t="str">
        <f t="shared" si="931"/>
        <v/>
      </c>
      <c r="AG571" s="13"/>
      <c r="AH571" s="13" t="str">
        <f t="shared" si="932"/>
        <v/>
      </c>
      <c r="AI571" s="13"/>
      <c r="AJ571" s="13" t="str">
        <f t="shared" si="933"/>
        <v/>
      </c>
      <c r="AK571" s="13"/>
      <c r="AL571" s="56" t="str">
        <f t="shared" si="945"/>
        <v/>
      </c>
      <c r="AM571" s="13" t="str">
        <f t="shared" si="944"/>
        <v/>
      </c>
      <c r="AN571" s="13" t="str">
        <f t="shared" si="935"/>
        <v/>
      </c>
      <c r="AO571" s="14" t="str">
        <f t="shared" si="936"/>
        <v/>
      </c>
      <c r="AP571" s="15"/>
      <c r="AQ571" s="115"/>
      <c r="AR571" s="16"/>
      <c r="AS571" s="13"/>
      <c r="AT571" s="13" t="str">
        <f t="shared" si="937"/>
        <v/>
      </c>
      <c r="AU571" s="13"/>
      <c r="AV571" s="13" t="str">
        <f t="shared" si="938"/>
        <v/>
      </c>
      <c r="AW571" s="13"/>
      <c r="AX571" s="13" t="str">
        <f t="shared" si="939"/>
        <v/>
      </c>
      <c r="AY571" s="13"/>
      <c r="AZ571" s="56" t="str">
        <f t="shared" si="940"/>
        <v/>
      </c>
      <c r="BA571" s="13" t="str">
        <f t="shared" si="941"/>
        <v/>
      </c>
      <c r="BB571" s="13" t="str">
        <f t="shared" si="942"/>
        <v/>
      </c>
      <c r="BC571" s="14" t="str">
        <f t="shared" si="943"/>
        <v/>
      </c>
      <c r="BD571" s="15"/>
      <c r="BU571" s="16"/>
      <c r="BV571" s="54"/>
      <c r="BW571" s="13" t="str">
        <f>IF(BV571="","",BV571-BV570)</f>
        <v/>
      </c>
      <c r="BX571" s="13"/>
      <c r="BY571" s="13"/>
      <c r="BZ571" s="13"/>
      <c r="CA571" s="13" t="str">
        <f>IF(BZ571="","",BZ570+CB570-BZ571)</f>
        <v/>
      </c>
      <c r="CB571" s="13"/>
      <c r="CC571" s="13"/>
      <c r="CD571" s="13"/>
      <c r="CE571" s="13" t="str">
        <f>IF(CD571="","",CA571*CD571)</f>
        <v/>
      </c>
      <c r="CF571" s="14" t="str">
        <f>IF(CE571="","",CE571/(BW571*100))</f>
        <v/>
      </c>
      <c r="CG571" s="15"/>
      <c r="CH571" s="1"/>
      <c r="CI571" s="16"/>
      <c r="CJ571" s="54"/>
      <c r="CK571" s="13" t="str">
        <f>IF(CJ571="","",CJ571-CJ570)</f>
        <v/>
      </c>
      <c r="CL571" s="13"/>
      <c r="CM571" s="13"/>
      <c r="CN571" s="13"/>
      <c r="CO571" s="13" t="str">
        <f>IF(CN571="","",CN570+CP570-CN571)</f>
        <v/>
      </c>
      <c r="CP571" s="13"/>
      <c r="CQ571" s="13"/>
      <c r="CR571" s="13"/>
      <c r="CS571" s="13" t="str">
        <f>IF(CR571="","",CO571*CR571)</f>
        <v/>
      </c>
      <c r="CT571" s="14" t="str">
        <f>IF(CS571="","",CS571/(CK571*100))</f>
        <v/>
      </c>
      <c r="CU571" s="15"/>
      <c r="CV571" s="1"/>
      <c r="CW571" s="16"/>
      <c r="CX571" s="54"/>
      <c r="CY571" s="13" t="str">
        <f>IF(CX571="","",CX571-CX570)</f>
        <v/>
      </c>
      <c r="CZ571" s="13"/>
      <c r="DA571" s="13"/>
      <c r="DB571" s="13"/>
      <c r="DC571" s="13" t="str">
        <f>IF(DB571="","",DB570+DD570-DB571)</f>
        <v/>
      </c>
      <c r="DD571" s="13"/>
      <c r="DE571" s="13"/>
      <c r="DF571" s="13"/>
      <c r="DG571" s="13" t="str">
        <f>IF(DF571="","",DC571*DF571)</f>
        <v/>
      </c>
      <c r="DH571" s="14" t="str">
        <f>IF(DG571="","",DG571/(CY571*100))</f>
        <v/>
      </c>
      <c r="DI571" s="15"/>
      <c r="DJ571" s="1"/>
      <c r="DK571" s="16"/>
      <c r="DL571" s="54"/>
      <c r="DM571" s="13" t="str">
        <f>IF(DL571="","",DL571-DL570)</f>
        <v/>
      </c>
      <c r="DN571" s="13"/>
      <c r="DO571" s="13"/>
      <c r="DP571" s="13"/>
      <c r="DQ571" s="13" t="str">
        <f>IF(DP571="","",DP570+DR570-DP571)</f>
        <v/>
      </c>
      <c r="DR571" s="13"/>
      <c r="DS571" s="13"/>
      <c r="DT571" s="13"/>
      <c r="DU571" s="13" t="str">
        <f>IF(DT571="","",DQ571*DT571)</f>
        <v/>
      </c>
      <c r="DV571" s="14" t="str">
        <f>IF(DU571="","",DU571/(DM571*100))</f>
        <v/>
      </c>
      <c r="DW571" s="15"/>
    </row>
    <row r="572" spans="1:127" ht="15" customHeight="1" thickBot="1" x14ac:dyDescent="0.25">
      <c r="A572" s="26"/>
      <c r="B572" s="46"/>
      <c r="C572" s="27"/>
      <c r="D572" s="27" t="str">
        <f t="shared" si="917"/>
        <v/>
      </c>
      <c r="E572" s="27"/>
      <c r="F572" s="27" t="str">
        <f t="shared" si="918"/>
        <v/>
      </c>
      <c r="G572" s="27"/>
      <c r="H572" s="27" t="str">
        <f t="shared" si="919"/>
        <v/>
      </c>
      <c r="I572" s="27"/>
      <c r="J572" s="57" t="str">
        <f t="shared" si="920"/>
        <v/>
      </c>
      <c r="K572" s="62" t="str">
        <f t="shared" si="921"/>
        <v/>
      </c>
      <c r="L572" s="27" t="str">
        <f t="shared" si="922"/>
        <v/>
      </c>
      <c r="M572" s="28" t="str">
        <f t="shared" si="923"/>
        <v/>
      </c>
      <c r="N572" s="15"/>
      <c r="O572" s="2"/>
      <c r="P572" s="26"/>
      <c r="Q572" s="27"/>
      <c r="R572" s="27" t="str">
        <f t="shared" si="924"/>
        <v/>
      </c>
      <c r="S572" s="27"/>
      <c r="T572" s="27" t="str">
        <f t="shared" si="925"/>
        <v/>
      </c>
      <c r="U572" s="27"/>
      <c r="V572" s="27" t="str">
        <f t="shared" si="926"/>
        <v/>
      </c>
      <c r="W572" s="27"/>
      <c r="X572" s="57" t="str">
        <f t="shared" si="927"/>
        <v/>
      </c>
      <c r="Y572" s="62" t="str">
        <f t="shared" si="928"/>
        <v/>
      </c>
      <c r="Z572" s="27" t="str">
        <f t="shared" si="929"/>
        <v/>
      </c>
      <c r="AA572" s="28" t="str">
        <f t="shared" si="930"/>
        <v/>
      </c>
      <c r="AB572" s="15"/>
      <c r="AD572" s="26"/>
      <c r="AE572" s="27"/>
      <c r="AF572" s="27" t="str">
        <f t="shared" si="931"/>
        <v/>
      </c>
      <c r="AG572" s="27"/>
      <c r="AH572" s="27" t="str">
        <f t="shared" si="932"/>
        <v/>
      </c>
      <c r="AI572" s="27"/>
      <c r="AJ572" s="27" t="str">
        <f t="shared" si="933"/>
        <v/>
      </c>
      <c r="AK572" s="27"/>
      <c r="AL572" s="57" t="str">
        <f t="shared" si="945"/>
        <v/>
      </c>
      <c r="AM572" s="62" t="str">
        <f t="shared" si="944"/>
        <v/>
      </c>
      <c r="AN572" s="27" t="str">
        <f t="shared" si="935"/>
        <v/>
      </c>
      <c r="AO572" s="28" t="str">
        <f t="shared" si="936"/>
        <v/>
      </c>
      <c r="AP572" s="15"/>
      <c r="AQ572" s="115"/>
      <c r="AR572" s="26"/>
      <c r="AS572" s="27"/>
      <c r="AT572" s="27" t="str">
        <f t="shared" si="937"/>
        <v/>
      </c>
      <c r="AU572" s="27"/>
      <c r="AV572" s="27" t="str">
        <f t="shared" si="938"/>
        <v/>
      </c>
      <c r="AW572" s="27"/>
      <c r="AX572" s="27" t="str">
        <f t="shared" si="939"/>
        <v/>
      </c>
      <c r="AY572" s="27"/>
      <c r="AZ572" s="57" t="str">
        <f t="shared" si="940"/>
        <v/>
      </c>
      <c r="BA572" s="62" t="str">
        <f t="shared" si="941"/>
        <v/>
      </c>
      <c r="BB572" s="27" t="str">
        <f t="shared" si="942"/>
        <v/>
      </c>
      <c r="BC572" s="28" t="str">
        <f t="shared" si="943"/>
        <v/>
      </c>
      <c r="BD572" s="15"/>
      <c r="BU572" s="16"/>
      <c r="BV572" s="54"/>
      <c r="BW572" s="13" t="str">
        <f>IF(BV572="","",BV572-BV571)</f>
        <v/>
      </c>
      <c r="BX572" s="13"/>
      <c r="BY572" s="13"/>
      <c r="BZ572" s="13"/>
      <c r="CA572" s="13" t="str">
        <f>IF(BZ572="","",BZ571+CB571-BZ572)</f>
        <v/>
      </c>
      <c r="CB572" s="13"/>
      <c r="CC572" s="13"/>
      <c r="CD572" s="13"/>
      <c r="CE572" s="13" t="str">
        <f>IF(CD572="","",CA572*CD572)</f>
        <v/>
      </c>
      <c r="CF572" s="14" t="str">
        <f>IF(CE572="","",CE572/(BW572*100))</f>
        <v/>
      </c>
      <c r="CG572" s="15"/>
      <c r="CH572" s="1"/>
      <c r="CI572" s="16"/>
      <c r="CJ572" s="54"/>
      <c r="CK572" s="13" t="str">
        <f>IF(CJ572="","",CJ572-CJ571)</f>
        <v/>
      </c>
      <c r="CL572" s="13"/>
      <c r="CM572" s="13"/>
      <c r="CN572" s="13"/>
      <c r="CO572" s="13" t="str">
        <f>IF(CN572="","",CN571+CP571-CN572)</f>
        <v/>
      </c>
      <c r="CP572" s="13"/>
      <c r="CQ572" s="13"/>
      <c r="CR572" s="13"/>
      <c r="CS572" s="13" t="str">
        <f>IF(CR572="","",CO572*CR572)</f>
        <v/>
      </c>
      <c r="CT572" s="14" t="str">
        <f>IF(CS572="","",CS572/(CK572*100))</f>
        <v/>
      </c>
      <c r="CU572" s="15"/>
      <c r="CV572" s="1"/>
      <c r="CW572" s="16"/>
      <c r="CX572" s="54"/>
      <c r="CY572" s="13" t="str">
        <f>IF(CX572="","",CX572-CX571)</f>
        <v/>
      </c>
      <c r="CZ572" s="13"/>
      <c r="DA572" s="13"/>
      <c r="DB572" s="13"/>
      <c r="DC572" s="13" t="str">
        <f>IF(DB572="","",DB571+DD571-DB572)</f>
        <v/>
      </c>
      <c r="DD572" s="13"/>
      <c r="DE572" s="13"/>
      <c r="DF572" s="13"/>
      <c r="DG572" s="13" t="str">
        <f>IF(DF572="","",DC572*DF572)</f>
        <v/>
      </c>
      <c r="DH572" s="14" t="str">
        <f>IF(DG572="","",DG572/(CY572*100))</f>
        <v/>
      </c>
      <c r="DI572" s="15"/>
      <c r="DJ572" s="1"/>
      <c r="DK572" s="16"/>
      <c r="DL572" s="54"/>
      <c r="DM572" s="13" t="str">
        <f>IF(DL572="","",DL572-DL571)</f>
        <v/>
      </c>
      <c r="DN572" s="13"/>
      <c r="DO572" s="13"/>
      <c r="DP572" s="13"/>
      <c r="DQ572" s="13" t="str">
        <f>IF(DP572="","",DP571+DR571-DP572)</f>
        <v/>
      </c>
      <c r="DR572" s="13"/>
      <c r="DS572" s="13"/>
      <c r="DT572" s="13"/>
      <c r="DU572" s="13" t="str">
        <f>IF(DT572="","",DQ572*DT572)</f>
        <v/>
      </c>
      <c r="DV572" s="14" t="str">
        <f>IF(DU572="","",DU572/(DM572*100))</f>
        <v/>
      </c>
      <c r="DW572" s="15"/>
    </row>
    <row r="573" spans="1:127" ht="15" customHeight="1" thickTop="1" x14ac:dyDescent="0.2">
      <c r="A573" s="79"/>
      <c r="B573" s="74"/>
      <c r="C573" s="53"/>
      <c r="D573" s="53"/>
      <c r="E573" s="53"/>
      <c r="F573" s="53"/>
      <c r="G573" s="53"/>
      <c r="H573" s="53"/>
      <c r="I573" s="53"/>
      <c r="J573" s="75"/>
      <c r="K573" s="53"/>
      <c r="L573" s="53"/>
      <c r="M573" s="53"/>
      <c r="N573" s="15"/>
      <c r="O573" s="2"/>
      <c r="P573" s="79"/>
      <c r="Q573" s="53"/>
      <c r="R573" s="53"/>
      <c r="S573" s="53"/>
      <c r="T573" s="53"/>
      <c r="U573" s="53"/>
      <c r="V573" s="53"/>
      <c r="W573" s="53"/>
      <c r="X573" s="78"/>
      <c r="Y573" s="53"/>
      <c r="Z573" s="53"/>
      <c r="AA573" s="53"/>
      <c r="AB573" s="15"/>
      <c r="AD573" s="79"/>
      <c r="AE573" s="53"/>
      <c r="AF573" s="53"/>
      <c r="AG573" s="53"/>
      <c r="AH573" s="53"/>
      <c r="AI573" s="53"/>
      <c r="AJ573" s="53"/>
      <c r="AK573" s="53"/>
      <c r="AL573" s="75"/>
      <c r="AM573" s="53"/>
      <c r="AN573" s="53"/>
      <c r="AO573" s="53"/>
      <c r="AP573" s="15"/>
      <c r="AQ573" s="2"/>
      <c r="AR573" s="79"/>
      <c r="AS573" s="53"/>
      <c r="AT573" s="53"/>
      <c r="AU573" s="53"/>
      <c r="AV573" s="53"/>
      <c r="AW573" s="53"/>
      <c r="AX573" s="53"/>
      <c r="AY573" s="53"/>
      <c r="AZ573" s="75"/>
      <c r="BA573" s="53"/>
      <c r="BB573" s="53"/>
      <c r="BC573" s="53"/>
      <c r="BD573" s="15"/>
      <c r="BU573" s="16"/>
      <c r="BV573" s="54"/>
      <c r="BW573" s="13"/>
      <c r="BX573" s="13"/>
      <c r="BY573" s="13"/>
      <c r="BZ573" s="13"/>
      <c r="CA573" s="13" t="str">
        <f>IF(BZ573="","",BZ572+CB572-BZ573)</f>
        <v/>
      </c>
      <c r="CB573" s="13"/>
      <c r="CC573" s="13"/>
      <c r="CD573" s="13"/>
      <c r="CE573" s="13" t="str">
        <f>IF(CD573="","",CA573*CD573)</f>
        <v/>
      </c>
      <c r="CF573" s="14" t="str">
        <f>IF(CE573="","",CE573/(BW573*100))</f>
        <v/>
      </c>
      <c r="CG573" s="15"/>
      <c r="CH573" s="1"/>
      <c r="CI573" s="16"/>
      <c r="CJ573" s="54"/>
      <c r="CK573" s="13"/>
      <c r="CL573" s="13"/>
      <c r="CM573" s="13"/>
      <c r="CN573" s="13"/>
      <c r="CO573" s="13" t="str">
        <f>IF(CN573="","",CN572+CP572-CN573)</f>
        <v/>
      </c>
      <c r="CP573" s="13"/>
      <c r="CQ573" s="13"/>
      <c r="CR573" s="13"/>
      <c r="CS573" s="13" t="str">
        <f>IF(CR573="","",CO573*CR573)</f>
        <v/>
      </c>
      <c r="CT573" s="14" t="str">
        <f>IF(CS573="","",CS573/(CK573*100))</f>
        <v/>
      </c>
      <c r="CU573" s="15"/>
      <c r="CV573" s="1"/>
      <c r="CW573" s="16"/>
      <c r="CX573" s="54"/>
      <c r="CY573" s="13"/>
      <c r="CZ573" s="13"/>
      <c r="DA573" s="13"/>
      <c r="DB573" s="13"/>
      <c r="DC573" s="13" t="str">
        <f>IF(DB573="","",DB572+DD572-DB573)</f>
        <v/>
      </c>
      <c r="DD573" s="13"/>
      <c r="DE573" s="13"/>
      <c r="DF573" s="13"/>
      <c r="DG573" s="13" t="str">
        <f>IF(DF573="","",DC573*DF573)</f>
        <v/>
      </c>
      <c r="DH573" s="14" t="str">
        <f>IF(DG573="","",DG573/(CY573*100))</f>
        <v/>
      </c>
      <c r="DI573" s="15"/>
      <c r="DJ573" s="1"/>
      <c r="DK573" s="16"/>
      <c r="DL573" s="54"/>
      <c r="DM573" s="13"/>
      <c r="DN573" s="13"/>
      <c r="DO573" s="13"/>
      <c r="DP573" s="13"/>
      <c r="DQ573" s="13" t="str">
        <f>IF(DP573="","",DP572+DR572-DP573)</f>
        <v/>
      </c>
      <c r="DR573" s="13"/>
      <c r="DS573" s="13"/>
      <c r="DT573" s="13"/>
      <c r="DU573" s="13" t="str">
        <f>IF(DT573="","",DQ573*DT573)</f>
        <v/>
      </c>
      <c r="DV573" s="14" t="str">
        <f>IF(DU573="","",DU573/(DM573*100))</f>
        <v/>
      </c>
      <c r="DW573" s="15"/>
    </row>
    <row r="574" spans="1:127" ht="15" customHeight="1" x14ac:dyDescent="0.2">
      <c r="A574" s="79"/>
      <c r="B574" s="74"/>
      <c r="C574" s="53"/>
      <c r="D574" s="53"/>
      <c r="E574" s="53"/>
      <c r="F574" s="53"/>
      <c r="G574" s="53"/>
      <c r="H574" s="53"/>
      <c r="I574" s="53"/>
      <c r="J574" s="75"/>
      <c r="K574" s="53"/>
      <c r="L574" s="53"/>
      <c r="M574" s="53"/>
      <c r="N574" s="15"/>
      <c r="O574" s="2"/>
      <c r="P574" s="79"/>
      <c r="Q574" s="53"/>
      <c r="R574" s="53"/>
      <c r="S574" s="53"/>
      <c r="T574" s="53"/>
      <c r="U574" s="53"/>
      <c r="V574" s="53"/>
      <c r="W574" s="53"/>
      <c r="X574" s="78"/>
      <c r="Y574" s="53"/>
      <c r="Z574" s="53"/>
      <c r="AA574" s="53"/>
      <c r="AB574" s="15"/>
      <c r="AD574" s="79"/>
      <c r="AE574" s="53"/>
      <c r="AF574" s="53"/>
      <c r="AG574" s="53"/>
      <c r="AH574" s="53"/>
      <c r="AI574" s="53"/>
      <c r="AJ574" s="53"/>
      <c r="AK574" s="53"/>
      <c r="AL574" s="75"/>
      <c r="AM574" s="53"/>
      <c r="AN574" s="53"/>
      <c r="AO574" s="53"/>
      <c r="AP574" s="15"/>
      <c r="AQ574" s="2"/>
      <c r="AR574" s="79"/>
      <c r="AS574" s="53"/>
      <c r="AT574" s="53"/>
      <c r="AU574" s="53"/>
      <c r="AV574" s="53"/>
      <c r="AW574" s="53"/>
      <c r="AX574" s="53"/>
      <c r="AY574" s="53"/>
      <c r="AZ574" s="75"/>
      <c r="BA574" s="53"/>
      <c r="BB574" s="53"/>
      <c r="BC574" s="53"/>
      <c r="BD574" s="15"/>
      <c r="BU574" s="16"/>
      <c r="BV574" s="54"/>
      <c r="BW574" s="13"/>
      <c r="BX574" s="13"/>
      <c r="BY574" s="13"/>
      <c r="BZ574" s="13"/>
      <c r="CA574" s="13"/>
      <c r="CB574" s="13"/>
      <c r="CC574" s="13"/>
      <c r="CD574" s="13"/>
      <c r="CE574" s="13"/>
      <c r="CF574" s="14"/>
      <c r="CG574" s="15"/>
      <c r="CH574" s="1"/>
      <c r="CI574" s="16"/>
      <c r="CJ574" s="54"/>
      <c r="CK574" s="13"/>
      <c r="CL574" s="13"/>
      <c r="CM574" s="13"/>
      <c r="CN574" s="13"/>
      <c r="CO574" s="13"/>
      <c r="CP574" s="13"/>
      <c r="CQ574" s="13"/>
      <c r="CR574" s="13"/>
      <c r="CS574" s="13"/>
      <c r="CT574" s="14"/>
      <c r="CU574" s="15"/>
      <c r="CV574" s="1"/>
      <c r="CW574" s="16"/>
      <c r="CX574" s="54"/>
      <c r="CY574" s="13"/>
      <c r="CZ574" s="13"/>
      <c r="DA574" s="13"/>
      <c r="DB574" s="13"/>
      <c r="DC574" s="13"/>
      <c r="DD574" s="13"/>
      <c r="DE574" s="13"/>
      <c r="DF574" s="13"/>
      <c r="DG574" s="13"/>
      <c r="DH574" s="14"/>
      <c r="DI574" s="15"/>
      <c r="DJ574" s="1"/>
      <c r="DK574" s="16"/>
      <c r="DL574" s="54"/>
      <c r="DM574" s="13"/>
      <c r="DN574" s="13"/>
      <c r="DO574" s="13"/>
      <c r="DP574" s="13"/>
      <c r="DQ574" s="13"/>
      <c r="DR574" s="13"/>
      <c r="DS574" s="13"/>
      <c r="DT574" s="13"/>
      <c r="DU574" s="13"/>
      <c r="DV574" s="14"/>
      <c r="DW574" s="15"/>
    </row>
    <row r="575" spans="1:127" ht="15" customHeight="1" x14ac:dyDescent="0.2">
      <c r="A575" s="79"/>
      <c r="B575" s="74"/>
      <c r="C575" s="53"/>
      <c r="D575" s="53"/>
      <c r="E575" s="53"/>
      <c r="F575" s="53"/>
      <c r="G575" s="53"/>
      <c r="H575" s="53"/>
      <c r="I575" s="53"/>
      <c r="J575" s="75"/>
      <c r="K575" s="53"/>
      <c r="L575" s="53"/>
      <c r="M575" s="53"/>
      <c r="N575" s="15"/>
      <c r="O575" s="2"/>
      <c r="P575" s="79"/>
      <c r="Q575" s="53"/>
      <c r="R575" s="53"/>
      <c r="S575" s="53"/>
      <c r="T575" s="53"/>
      <c r="U575" s="53"/>
      <c r="V575" s="53"/>
      <c r="W575" s="53"/>
      <c r="X575" s="78"/>
      <c r="Y575" s="53"/>
      <c r="Z575" s="53"/>
      <c r="AA575" s="53"/>
      <c r="AB575" s="15"/>
      <c r="AD575" s="79"/>
      <c r="AE575" s="53"/>
      <c r="AF575" s="53"/>
      <c r="AG575" s="53"/>
      <c r="AH575" s="53"/>
      <c r="AI575" s="53"/>
      <c r="AJ575" s="53"/>
      <c r="AK575" s="53"/>
      <c r="AL575" s="75"/>
      <c r="AM575" s="53"/>
      <c r="AN575" s="53"/>
      <c r="AO575" s="53"/>
      <c r="AP575" s="15"/>
      <c r="AQ575" s="2"/>
      <c r="AR575" s="79"/>
      <c r="AS575" s="53"/>
      <c r="AT575" s="53"/>
      <c r="AU575" s="53"/>
      <c r="AV575" s="53"/>
      <c r="AW575" s="53"/>
      <c r="AX575" s="53"/>
      <c r="AY575" s="53"/>
      <c r="AZ575" s="75"/>
      <c r="BA575" s="53"/>
      <c r="BB575" s="53"/>
      <c r="BC575" s="53"/>
      <c r="BD575" s="15"/>
      <c r="BU575" s="16"/>
      <c r="BV575" s="54"/>
      <c r="BW575" s="13"/>
      <c r="BX575" s="13"/>
      <c r="BY575" s="13"/>
      <c r="BZ575" s="13"/>
      <c r="CA575" s="13"/>
      <c r="CB575" s="13"/>
      <c r="CC575" s="13"/>
      <c r="CD575" s="13"/>
      <c r="CE575" s="13"/>
      <c r="CF575" s="14"/>
      <c r="CG575" s="15"/>
      <c r="CH575" s="1"/>
      <c r="CI575" s="16"/>
      <c r="CJ575" s="54"/>
      <c r="CK575" s="13"/>
      <c r="CL575" s="13"/>
      <c r="CM575" s="13"/>
      <c r="CN575" s="13"/>
      <c r="CO575" s="13"/>
      <c r="CP575" s="13"/>
      <c r="CQ575" s="13"/>
      <c r="CR575" s="13"/>
      <c r="CS575" s="13"/>
      <c r="CT575" s="14"/>
      <c r="CU575" s="15"/>
      <c r="CV575" s="1"/>
      <c r="CW575" s="16"/>
      <c r="CX575" s="54"/>
      <c r="CY575" s="13"/>
      <c r="CZ575" s="13"/>
      <c r="DA575" s="13"/>
      <c r="DB575" s="13"/>
      <c r="DC575" s="13"/>
      <c r="DD575" s="13"/>
      <c r="DE575" s="13"/>
      <c r="DF575" s="13"/>
      <c r="DG575" s="13"/>
      <c r="DH575" s="14"/>
      <c r="DI575" s="15"/>
      <c r="DJ575" s="1"/>
      <c r="DK575" s="16"/>
      <c r="DL575" s="54"/>
      <c r="DM575" s="13"/>
      <c r="DN575" s="13"/>
      <c r="DO575" s="13"/>
      <c r="DP575" s="13"/>
      <c r="DQ575" s="13"/>
      <c r="DR575" s="13"/>
      <c r="DS575" s="13"/>
      <c r="DT575" s="13"/>
      <c r="DU575" s="13"/>
      <c r="DV575" s="14"/>
      <c r="DW575" s="15"/>
    </row>
    <row r="576" spans="1:127" ht="15" customHeight="1" x14ac:dyDescent="0.2">
      <c r="A576" s="79"/>
      <c r="B576" s="74"/>
      <c r="C576" s="53"/>
      <c r="D576" s="53"/>
      <c r="E576" s="53"/>
      <c r="F576" s="53"/>
      <c r="G576" s="53"/>
      <c r="H576" s="53"/>
      <c r="I576" s="53"/>
      <c r="J576" s="75"/>
      <c r="K576" s="53"/>
      <c r="L576" s="53"/>
      <c r="M576" s="53"/>
      <c r="N576" s="15"/>
      <c r="O576" s="2"/>
      <c r="P576" s="79"/>
      <c r="Q576" s="53"/>
      <c r="R576" s="53"/>
      <c r="S576" s="53"/>
      <c r="T576" s="53"/>
      <c r="U576" s="53"/>
      <c r="V576" s="53"/>
      <c r="W576" s="53"/>
      <c r="X576" s="78"/>
      <c r="Y576" s="53"/>
      <c r="Z576" s="53"/>
      <c r="AA576" s="53"/>
      <c r="AB576" s="15"/>
      <c r="AD576" s="79"/>
      <c r="AE576" s="53"/>
      <c r="AF576" s="53"/>
      <c r="AG576" s="53"/>
      <c r="AH576" s="53"/>
      <c r="AI576" s="53"/>
      <c r="AJ576" s="53"/>
      <c r="AK576" s="53"/>
      <c r="AL576" s="75"/>
      <c r="AM576" s="53"/>
      <c r="AN576" s="53"/>
      <c r="AO576" s="53"/>
      <c r="AP576" s="15"/>
      <c r="AQ576" s="2"/>
      <c r="AR576" s="79"/>
      <c r="AS576" s="53"/>
      <c r="AT576" s="53"/>
      <c r="AU576" s="53"/>
      <c r="AV576" s="53"/>
      <c r="AW576" s="53"/>
      <c r="AX576" s="53"/>
      <c r="AY576" s="53"/>
      <c r="AZ576" s="75"/>
      <c r="BA576" s="53"/>
      <c r="BB576" s="53"/>
      <c r="BC576" s="53"/>
      <c r="BD576" s="15"/>
      <c r="BU576" s="16"/>
      <c r="BV576" s="54"/>
      <c r="BW576" s="13"/>
      <c r="BX576" s="13"/>
      <c r="BY576" s="13"/>
      <c r="BZ576" s="13"/>
      <c r="CA576" s="13"/>
      <c r="CB576" s="13"/>
      <c r="CC576" s="13"/>
      <c r="CD576" s="13"/>
      <c r="CE576" s="13"/>
      <c r="CF576" s="14"/>
      <c r="CG576" s="15"/>
      <c r="CH576" s="1"/>
      <c r="CI576" s="16"/>
      <c r="CJ576" s="54"/>
      <c r="CK576" s="13"/>
      <c r="CL576" s="13"/>
      <c r="CM576" s="13"/>
      <c r="CN576" s="13"/>
      <c r="CO576" s="13"/>
      <c r="CP576" s="13"/>
      <c r="CQ576" s="13"/>
      <c r="CR576" s="13"/>
      <c r="CS576" s="13"/>
      <c r="CT576" s="14"/>
      <c r="CU576" s="15"/>
      <c r="CV576" s="1"/>
      <c r="CW576" s="16"/>
      <c r="CX576" s="54"/>
      <c r="CY576" s="13"/>
      <c r="CZ576" s="13"/>
      <c r="DA576" s="13"/>
      <c r="DB576" s="13"/>
      <c r="DC576" s="13"/>
      <c r="DD576" s="13"/>
      <c r="DE576" s="13"/>
      <c r="DF576" s="13"/>
      <c r="DG576" s="13"/>
      <c r="DH576" s="14"/>
      <c r="DI576" s="15"/>
      <c r="DJ576" s="1"/>
      <c r="DK576" s="16"/>
      <c r="DL576" s="54"/>
      <c r="DM576" s="13"/>
      <c r="DN576" s="13"/>
      <c r="DO576" s="13"/>
      <c r="DP576" s="13"/>
      <c r="DQ576" s="13"/>
      <c r="DR576" s="13"/>
      <c r="DS576" s="13"/>
      <c r="DT576" s="13"/>
      <c r="DU576" s="13"/>
      <c r="DV576" s="14"/>
      <c r="DW576" s="15"/>
    </row>
    <row r="577" spans="1:127" ht="15" customHeight="1" x14ac:dyDescent="0.2">
      <c r="A577" s="59">
        <v>33</v>
      </c>
      <c r="B577" s="74"/>
      <c r="C577" s="5" t="s">
        <v>19</v>
      </c>
      <c r="D577" s="13">
        <f>SUM(D521:D573)*100</f>
        <v>374900</v>
      </c>
      <c r="E577" s="13"/>
      <c r="F577" s="13"/>
      <c r="G577" s="5"/>
      <c r="H577" s="13"/>
      <c r="I577" s="13"/>
      <c r="J577" s="271" t="s">
        <v>21</v>
      </c>
      <c r="K577" s="271"/>
      <c r="L577" s="13">
        <f>SUM(L521:L573)</f>
        <v>73064</v>
      </c>
      <c r="M577" s="13"/>
      <c r="N577" s="15"/>
      <c r="O577" s="2"/>
      <c r="P577" s="16"/>
      <c r="Q577" s="5" t="s">
        <v>19</v>
      </c>
      <c r="R577" s="13">
        <f>SUM(R521:R573)*100</f>
        <v>380000</v>
      </c>
      <c r="S577" s="13"/>
      <c r="T577" s="13"/>
      <c r="U577" s="5"/>
      <c r="V577" s="13"/>
      <c r="W577" s="13"/>
      <c r="X577" s="271" t="s">
        <v>21</v>
      </c>
      <c r="Y577" s="271"/>
      <c r="Z577" s="13">
        <f>SUM(Z521:Z573)</f>
        <v>39747</v>
      </c>
      <c r="AA577" s="13"/>
      <c r="AB577" s="15"/>
      <c r="AD577" s="16"/>
      <c r="AE577" s="5" t="s">
        <v>19</v>
      </c>
      <c r="AF577" s="13">
        <f>SUM(AF521:AF573)*100</f>
        <v>441200</v>
      </c>
      <c r="AG577" s="13"/>
      <c r="AH577" s="13"/>
      <c r="AI577" s="5"/>
      <c r="AJ577" s="13"/>
      <c r="AK577" s="13"/>
      <c r="AL577" s="271" t="s">
        <v>21</v>
      </c>
      <c r="AM577" s="271"/>
      <c r="AN577" s="13">
        <f>SUM(AN521:AN573)</f>
        <v>37522</v>
      </c>
      <c r="AO577" s="13"/>
      <c r="AP577" s="15"/>
      <c r="AQ577" s="2"/>
      <c r="AR577" s="16"/>
      <c r="AS577" s="5" t="s">
        <v>19</v>
      </c>
      <c r="AT577" s="13">
        <f>SUM(AT521:AT573)*100</f>
        <v>602300</v>
      </c>
      <c r="AU577" s="13"/>
      <c r="AV577" s="13"/>
      <c r="AW577" s="5"/>
      <c r="AX577" s="13"/>
      <c r="AY577" s="13"/>
      <c r="AZ577" s="271" t="s">
        <v>21</v>
      </c>
      <c r="BA577" s="271"/>
      <c r="BB577" s="13">
        <f>SUM(BB521:BB573)</f>
        <v>90514</v>
      </c>
      <c r="BC577" s="13"/>
      <c r="BD577" s="15"/>
      <c r="BU577" s="16"/>
      <c r="BV577" s="69" t="s">
        <v>19</v>
      </c>
      <c r="BW577" s="13">
        <f>SUM(BW521:BW573)*100</f>
        <v>109300</v>
      </c>
      <c r="BX577" s="13"/>
      <c r="BY577" s="13"/>
      <c r="BZ577" s="5"/>
      <c r="CA577" s="13"/>
      <c r="CB577" s="13"/>
      <c r="CC577" s="13"/>
      <c r="CD577" s="13"/>
      <c r="CE577" s="13"/>
      <c r="CF577" s="13"/>
      <c r="CG577" s="15"/>
      <c r="CH577" s="1"/>
      <c r="CI577" s="16"/>
      <c r="CJ577" s="69" t="s">
        <v>19</v>
      </c>
      <c r="CK577" s="13">
        <f>SUM(CK521:CK573)*100</f>
        <v>331600</v>
      </c>
      <c r="CL577" s="13"/>
      <c r="CM577" s="13"/>
      <c r="CN577" s="5"/>
      <c r="CO577" s="13"/>
      <c r="CP577" s="13"/>
      <c r="CQ577" s="13"/>
      <c r="CR577" s="13"/>
      <c r="CS577" s="13"/>
      <c r="CT577" s="13"/>
      <c r="CU577" s="15"/>
      <c r="CV577" s="1"/>
      <c r="CW577" s="16"/>
      <c r="CX577" s="69" t="s">
        <v>19</v>
      </c>
      <c r="CY577" s="13">
        <f>SUM(CY521:CY573)*100</f>
        <v>149700</v>
      </c>
      <c r="CZ577" s="13"/>
      <c r="DA577" s="13"/>
      <c r="DB577" s="5"/>
      <c r="DC577" s="13"/>
      <c r="DD577" s="13"/>
      <c r="DE577" s="13"/>
      <c r="DF577" s="13"/>
      <c r="DG577" s="13"/>
      <c r="DH577" s="13"/>
      <c r="DI577" s="15"/>
      <c r="DJ577" s="1"/>
      <c r="DK577" s="16"/>
      <c r="DL577" s="69" t="s">
        <v>19</v>
      </c>
      <c r="DM577" s="13">
        <f>SUM(DM521:DM573)*100</f>
        <v>131700</v>
      </c>
      <c r="DN577" s="13"/>
      <c r="DO577" s="13"/>
      <c r="DP577" s="5"/>
      <c r="DQ577" s="13"/>
      <c r="DR577" s="13"/>
      <c r="DS577" s="13"/>
      <c r="DT577" s="13"/>
      <c r="DU577" s="13"/>
      <c r="DV577" s="13"/>
      <c r="DW577" s="15"/>
    </row>
    <row r="578" spans="1:127" ht="15" customHeight="1" x14ac:dyDescent="0.2">
      <c r="A578" s="94">
        <f>DATEDIF(A$627,A$557,"d")</f>
        <v>33</v>
      </c>
      <c r="B578">
        <f>SUMIF(B520:B573,"&gt;=0")</f>
        <v>25207</v>
      </c>
      <c r="C578" s="5" t="s">
        <v>22</v>
      </c>
      <c r="D578" s="13">
        <f>D577/A578</f>
        <v>11360.60606060606</v>
      </c>
      <c r="E578" s="13">
        <f>D578*A577</f>
        <v>374900</v>
      </c>
      <c r="F578" s="13"/>
      <c r="G578" s="5"/>
      <c r="H578" s="13"/>
      <c r="I578" s="13"/>
      <c r="J578" s="271" t="s">
        <v>23</v>
      </c>
      <c r="K578" s="271"/>
      <c r="L578" s="13"/>
      <c r="M578" s="36">
        <f>L577/D577</f>
        <v>0.19488930381435049</v>
      </c>
      <c r="N578" s="15"/>
      <c r="O578" s="2"/>
      <c r="P578" s="33"/>
      <c r="Q578" s="5" t="s">
        <v>22</v>
      </c>
      <c r="R578" s="13">
        <f>R577/A578</f>
        <v>11515.151515151516</v>
      </c>
      <c r="S578" s="13">
        <f>R578*A577</f>
        <v>380000</v>
      </c>
      <c r="T578" s="13"/>
      <c r="U578" s="5"/>
      <c r="V578" s="13"/>
      <c r="W578" s="13"/>
      <c r="X578" s="271" t="s">
        <v>23</v>
      </c>
      <c r="Y578" s="271"/>
      <c r="Z578" s="13"/>
      <c r="AA578" s="36">
        <f>Z577/R577</f>
        <v>0.10459736842105263</v>
      </c>
      <c r="AB578" s="15"/>
      <c r="AD578" s="51"/>
      <c r="AE578" s="5" t="s">
        <v>22</v>
      </c>
      <c r="AF578" s="13">
        <f>AF577/A578</f>
        <v>13369.69696969697</v>
      </c>
      <c r="AG578" s="13">
        <f>AF578*A577</f>
        <v>441200</v>
      </c>
      <c r="AH578" s="13"/>
      <c r="AI578" s="5"/>
      <c r="AJ578" s="13"/>
      <c r="AK578" s="13"/>
      <c r="AL578" s="271" t="s">
        <v>23</v>
      </c>
      <c r="AM578" s="271"/>
      <c r="AN578" s="13"/>
      <c r="AO578" s="36">
        <f>AN577/AF577</f>
        <v>8.5045330915684503E-2</v>
      </c>
      <c r="AP578" s="15"/>
      <c r="AQ578" s="2"/>
      <c r="AR578" s="33"/>
      <c r="AS578" s="5" t="s">
        <v>22</v>
      </c>
      <c r="AT578" s="13">
        <f>AT577/A578</f>
        <v>18251.515151515152</v>
      </c>
      <c r="AU578" s="13">
        <f>AT578*A577</f>
        <v>602300</v>
      </c>
      <c r="AV578" s="13"/>
      <c r="AW578" s="5"/>
      <c r="AX578" s="13"/>
      <c r="AY578" s="13"/>
      <c r="AZ578" s="271" t="s">
        <v>23</v>
      </c>
      <c r="BA578" s="271"/>
      <c r="BB578" s="13"/>
      <c r="BC578" s="36">
        <f>BB577/AT577</f>
        <v>0.1502805910675743</v>
      </c>
      <c r="BD578" s="15"/>
      <c r="BU578" s="16"/>
      <c r="BV578" s="69" t="s">
        <v>22</v>
      </c>
      <c r="BW578" s="13">
        <f>BW577/A578</f>
        <v>3312.121212121212</v>
      </c>
      <c r="BX578" s="13">
        <f>BW578*A577</f>
        <v>109300</v>
      </c>
      <c r="BY578" s="13"/>
      <c r="BZ578" s="5"/>
      <c r="CA578" s="13"/>
      <c r="CB578" s="13"/>
      <c r="CC578" s="13"/>
      <c r="CD578" s="13"/>
      <c r="CE578" s="13"/>
      <c r="CF578" s="13"/>
      <c r="CG578" s="15"/>
      <c r="CH578" s="1"/>
      <c r="CI578" s="16"/>
      <c r="CJ578" s="69" t="s">
        <v>22</v>
      </c>
      <c r="CK578" s="13">
        <f>CK577/A578</f>
        <v>10048.484848484848</v>
      </c>
      <c r="CL578" s="13">
        <f>CK578*A577</f>
        <v>331600</v>
      </c>
      <c r="CM578" s="13"/>
      <c r="CN578" s="5"/>
      <c r="CO578" s="13"/>
      <c r="CP578" s="13"/>
      <c r="CQ578" s="13"/>
      <c r="CR578" s="13"/>
      <c r="CS578" s="13"/>
      <c r="CT578" s="13"/>
      <c r="CU578" s="15"/>
      <c r="CV578" s="1"/>
      <c r="CW578" s="16"/>
      <c r="CX578" s="69" t="s">
        <v>22</v>
      </c>
      <c r="CY578" s="13">
        <f>CY577/A578</f>
        <v>4536.363636363636</v>
      </c>
      <c r="CZ578" s="13">
        <f>CY578*A577</f>
        <v>149700</v>
      </c>
      <c r="DA578" s="13"/>
      <c r="DB578" s="5"/>
      <c r="DC578" s="13"/>
      <c r="DD578" s="13"/>
      <c r="DE578" s="13"/>
      <c r="DF578" s="13"/>
      <c r="DG578" s="13"/>
      <c r="DH578" s="13"/>
      <c r="DI578" s="15"/>
      <c r="DJ578" s="1"/>
      <c r="DK578" s="16"/>
      <c r="DL578" s="69" t="s">
        <v>22</v>
      </c>
      <c r="DM578" s="13">
        <f>DM577/A578</f>
        <v>3990.909090909091</v>
      </c>
      <c r="DN578" s="13">
        <f>DM578*A577</f>
        <v>131700</v>
      </c>
      <c r="DO578" s="13"/>
      <c r="DP578" s="5"/>
      <c r="DQ578" s="13"/>
      <c r="DR578" s="13"/>
      <c r="DS578" s="13"/>
      <c r="DT578" s="13"/>
      <c r="DU578" s="13"/>
      <c r="DV578" s="13"/>
      <c r="DW578" s="15"/>
    </row>
    <row r="579" spans="1:127" ht="15" customHeight="1" x14ac:dyDescent="0.2">
      <c r="A579" s="44" t="s">
        <v>22</v>
      </c>
      <c r="B579" s="81">
        <f>B578/A578</f>
        <v>763.84848484848487</v>
      </c>
      <c r="C579" s="69" t="s">
        <v>25</v>
      </c>
      <c r="D579" s="13">
        <f>D577*0.6</f>
        <v>224940</v>
      </c>
      <c r="E579" s="13"/>
      <c r="F579" s="13"/>
      <c r="G579" s="5"/>
      <c r="H579" s="13"/>
      <c r="I579" s="13"/>
      <c r="J579" s="271" t="s">
        <v>26</v>
      </c>
      <c r="K579" s="271"/>
      <c r="L579" s="13">
        <f>D579-L577</f>
        <v>151876</v>
      </c>
      <c r="M579" s="36">
        <f>L579/D577</f>
        <v>0.40511069618564949</v>
      </c>
      <c r="N579" s="15"/>
      <c r="O579" s="2"/>
      <c r="P579" s="16"/>
      <c r="Q579" s="69" t="s">
        <v>25</v>
      </c>
      <c r="R579" s="13">
        <f>R577*0.6</f>
        <v>228000</v>
      </c>
      <c r="S579" s="13"/>
      <c r="T579" s="13"/>
      <c r="U579" s="5"/>
      <c r="V579" s="13"/>
      <c r="W579" s="13"/>
      <c r="X579" s="271" t="s">
        <v>26</v>
      </c>
      <c r="Y579" s="271"/>
      <c r="Z579" s="13">
        <f>R579-Z577</f>
        <v>188253</v>
      </c>
      <c r="AA579" s="36">
        <f>Z579/R577</f>
        <v>0.49540263157894737</v>
      </c>
      <c r="AB579" s="15"/>
      <c r="AD579" s="16"/>
      <c r="AE579" s="69" t="s">
        <v>25</v>
      </c>
      <c r="AF579" s="13">
        <f>AF577*0.6</f>
        <v>264720</v>
      </c>
      <c r="AG579" s="13"/>
      <c r="AH579" s="13"/>
      <c r="AI579" s="5"/>
      <c r="AJ579" s="13"/>
      <c r="AK579" s="13"/>
      <c r="AL579" s="271" t="s">
        <v>26</v>
      </c>
      <c r="AM579" s="271"/>
      <c r="AN579" s="13">
        <f>AF579-AN577</f>
        <v>227198</v>
      </c>
      <c r="AO579" s="36">
        <f>AN579/AF577</f>
        <v>0.51495466908431553</v>
      </c>
      <c r="AP579" s="15"/>
      <c r="AQ579" s="2"/>
      <c r="AR579" s="16"/>
      <c r="AS579" s="69" t="s">
        <v>25</v>
      </c>
      <c r="AT579" s="13">
        <f>AT577*0.6</f>
        <v>361380</v>
      </c>
      <c r="AU579" s="13"/>
      <c r="AV579" s="13"/>
      <c r="AW579" s="5"/>
      <c r="AX579" s="13"/>
      <c r="AY579" s="13"/>
      <c r="AZ579" s="271" t="s">
        <v>26</v>
      </c>
      <c r="BA579" s="271"/>
      <c r="BB579" s="13">
        <f>AT579-BB577</f>
        <v>270866</v>
      </c>
      <c r="BC579" s="36">
        <f>BB579/AT577</f>
        <v>0.44971940893242568</v>
      </c>
      <c r="BD579" s="15"/>
      <c r="BU579" s="16"/>
      <c r="BV579" s="69" t="s">
        <v>25</v>
      </c>
      <c r="BW579" s="13">
        <f>BW577*0.6</f>
        <v>65580</v>
      </c>
      <c r="BX579" s="13"/>
      <c r="BY579" s="13"/>
      <c r="BZ579" s="5" t="s">
        <v>24</v>
      </c>
      <c r="CA579" s="13">
        <f>SUM(CE521:CE573)</f>
        <v>15400</v>
      </c>
      <c r="CB579" s="36">
        <f>CA579/BW577</f>
        <v>0.14089661482159194</v>
      </c>
      <c r="CC579" s="36"/>
      <c r="CD579" s="13"/>
      <c r="CE579" s="13"/>
      <c r="CF579" s="13"/>
      <c r="CG579" s="15"/>
      <c r="CH579" s="1"/>
      <c r="CI579" s="16"/>
      <c r="CJ579" s="69" t="s">
        <v>25</v>
      </c>
      <c r="CK579" s="13">
        <f>CK577*0.6</f>
        <v>198960</v>
      </c>
      <c r="CL579" s="13"/>
      <c r="CM579" s="13"/>
      <c r="CN579" s="5" t="s">
        <v>24</v>
      </c>
      <c r="CO579" s="13">
        <f>SUM(CS521:CS573)</f>
        <v>39325</v>
      </c>
      <c r="CP579" s="36">
        <f>CO579/CK577</f>
        <v>0.11859167671893849</v>
      </c>
      <c r="CQ579" s="36"/>
      <c r="CR579" s="13"/>
      <c r="CS579" s="13"/>
      <c r="CT579" s="13"/>
      <c r="CU579" s="15"/>
      <c r="CV579" s="1"/>
      <c r="CW579" s="16"/>
      <c r="CX579" s="69" t="s">
        <v>25</v>
      </c>
      <c r="CY579" s="13">
        <f>CY577*0.6</f>
        <v>89820</v>
      </c>
      <c r="CZ579" s="13"/>
      <c r="DA579" s="13"/>
      <c r="DB579" s="5" t="s">
        <v>24</v>
      </c>
      <c r="DC579" s="13">
        <f>SUM(DG521:DG573)</f>
        <v>14080</v>
      </c>
      <c r="DD579" s="36">
        <f>DC579/CY577</f>
        <v>9.405477621910488E-2</v>
      </c>
      <c r="DE579" s="36"/>
      <c r="DF579" s="13"/>
      <c r="DG579" s="13"/>
      <c r="DH579" s="13"/>
      <c r="DI579" s="15"/>
      <c r="DJ579" s="1"/>
      <c r="DK579" s="16"/>
      <c r="DL579" s="69" t="s">
        <v>25</v>
      </c>
      <c r="DM579" s="13">
        <f>DM577*0.6</f>
        <v>79020</v>
      </c>
      <c r="DN579" s="13"/>
      <c r="DO579" s="13"/>
      <c r="DP579" s="5" t="s">
        <v>24</v>
      </c>
      <c r="DQ579" s="13">
        <f>SUM(DU521:DU573)</f>
        <v>19800</v>
      </c>
      <c r="DR579" s="36">
        <f>DQ579/DM577</f>
        <v>0.15034168564920272</v>
      </c>
      <c r="DS579" s="36"/>
      <c r="DT579" s="13"/>
      <c r="DU579" s="13"/>
      <c r="DV579" s="13"/>
      <c r="DW579" s="15"/>
    </row>
    <row r="580" spans="1:127" ht="15" customHeight="1" x14ac:dyDescent="0.2">
      <c r="A580" s="79"/>
      <c r="B580" s="74">
        <f>B579*A577</f>
        <v>25207</v>
      </c>
      <c r="C580" s="5" t="s">
        <v>27</v>
      </c>
      <c r="D580" s="13">
        <f>D651</f>
        <v>392100</v>
      </c>
      <c r="E580" s="13"/>
      <c r="F580" s="13"/>
      <c r="G580" s="5"/>
      <c r="H580" s="13"/>
      <c r="I580" s="24"/>
      <c r="J580" s="272" t="s">
        <v>29</v>
      </c>
      <c r="K580" s="272"/>
      <c r="L580" s="53">
        <f>(G553+I553)*K553+(G554+I554)*K554+(G555+I555)*K555+(G556+I556)*K556</f>
        <v>94512</v>
      </c>
      <c r="M580" s="14"/>
      <c r="N580" s="15"/>
      <c r="O580" s="2"/>
      <c r="P580" s="79"/>
      <c r="Q580" s="5" t="s">
        <v>27</v>
      </c>
      <c r="R580" s="13">
        <f>R651</f>
        <v>578500</v>
      </c>
      <c r="S580" s="13"/>
      <c r="T580" s="13"/>
      <c r="U580" s="5"/>
      <c r="V580" s="13"/>
      <c r="W580" s="24"/>
      <c r="X580" s="272" t="s">
        <v>29</v>
      </c>
      <c r="Y580" s="272"/>
      <c r="Z580" s="53">
        <f>(U553+W553)*Y553+(U554+W554)*Y554+(U555+W555)*Y555+(U556+W556)*Y556</f>
        <v>32831</v>
      </c>
      <c r="AA580" s="14"/>
      <c r="AB580" s="15"/>
      <c r="AD580" s="79"/>
      <c r="AE580" s="5" t="s">
        <v>27</v>
      </c>
      <c r="AF580" s="13">
        <f>AF651</f>
        <v>406400</v>
      </c>
      <c r="AG580" s="13"/>
      <c r="AH580" s="13"/>
      <c r="AI580" s="5"/>
      <c r="AJ580" s="13"/>
      <c r="AK580" s="24"/>
      <c r="AL580" s="272" t="s">
        <v>29</v>
      </c>
      <c r="AM580" s="272"/>
      <c r="AN580" s="53">
        <f>(AI553+AK553)*AM553+(AI554+AK554)*AM554+(AI555+AK555)*AM555+(AI556+AK556)*AM556</f>
        <v>43067</v>
      </c>
      <c r="AO580" s="14"/>
      <c r="AP580" s="15"/>
      <c r="AQ580" s="2"/>
      <c r="AR580" s="79"/>
      <c r="AS580" s="5" t="s">
        <v>27</v>
      </c>
      <c r="AT580" s="13">
        <f>AT651</f>
        <v>320300</v>
      </c>
      <c r="AU580" s="13"/>
      <c r="AV580" s="13"/>
      <c r="AW580" s="5"/>
      <c r="AX580" s="13"/>
      <c r="AY580" s="24"/>
      <c r="AZ580" s="272" t="s">
        <v>29</v>
      </c>
      <c r="BA580" s="272"/>
      <c r="BB580" s="53">
        <f>(AW553+AY553)*BA553+(AW554+AY554)*BA554+(AW555+AY555)*BA555+(AW556+AY556)*BA556</f>
        <v>70900</v>
      </c>
      <c r="BC580" s="14"/>
      <c r="BD580" s="15"/>
      <c r="BU580" s="16"/>
      <c r="BV580" s="69" t="s">
        <v>27</v>
      </c>
      <c r="BW580" s="13">
        <f>BW651</f>
        <v>169800</v>
      </c>
      <c r="BX580" s="13"/>
      <c r="BY580" s="13"/>
      <c r="BZ580" s="5" t="s">
        <v>26</v>
      </c>
      <c r="CA580" s="13">
        <f>BW579-CA579</f>
        <v>50180</v>
      </c>
      <c r="CB580" s="36">
        <f>CA580/BW577</f>
        <v>0.45910338517840804</v>
      </c>
      <c r="CC580" s="36"/>
      <c r="CD580" s="14"/>
      <c r="CE580" s="14"/>
      <c r="CF580" s="14"/>
      <c r="CG580" s="15"/>
      <c r="CH580" s="1"/>
      <c r="CI580" s="16"/>
      <c r="CJ580" s="69" t="s">
        <v>27</v>
      </c>
      <c r="CK580" s="13">
        <f>CK651</f>
        <v>162800</v>
      </c>
      <c r="CL580" s="13"/>
      <c r="CM580" s="13"/>
      <c r="CN580" s="5" t="s">
        <v>26</v>
      </c>
      <c r="CO580" s="13">
        <f>CK579-CO579</f>
        <v>159635</v>
      </c>
      <c r="CP580" s="36">
        <f>CO580/CK577</f>
        <v>0.48140832328106153</v>
      </c>
      <c r="CQ580" s="36"/>
      <c r="CR580" s="14"/>
      <c r="CS580" s="14"/>
      <c r="CT580" s="14"/>
      <c r="CU580" s="15"/>
      <c r="CV580" s="1"/>
      <c r="CW580" s="16"/>
      <c r="CX580" s="69" t="s">
        <v>27</v>
      </c>
      <c r="CY580" s="13">
        <f>CY651</f>
        <v>93700</v>
      </c>
      <c r="CZ580" s="13"/>
      <c r="DA580" s="13"/>
      <c r="DB580" s="5" t="s">
        <v>26</v>
      </c>
      <c r="DC580" s="13">
        <f>CY579-DC579</f>
        <v>75740</v>
      </c>
      <c r="DD580" s="36">
        <f>DC580/CY577</f>
        <v>0.50594522378089513</v>
      </c>
      <c r="DE580" s="36"/>
      <c r="DF580" s="14"/>
      <c r="DG580" s="14"/>
      <c r="DH580" s="14"/>
      <c r="DI580" s="15"/>
      <c r="DJ580" s="1"/>
      <c r="DK580" s="16"/>
      <c r="DL580" s="69" t="s">
        <v>27</v>
      </c>
      <c r="DM580" s="13">
        <f>DM651</f>
        <v>86600</v>
      </c>
      <c r="DN580" s="13"/>
      <c r="DO580" s="13"/>
      <c r="DP580" s="5" t="s">
        <v>26</v>
      </c>
      <c r="DQ580" s="13">
        <f>DM579-DQ579</f>
        <v>59220</v>
      </c>
      <c r="DR580" s="36">
        <f>DQ580/DM577</f>
        <v>0.44965831435079728</v>
      </c>
      <c r="DS580" s="36"/>
      <c r="DT580" s="14"/>
      <c r="DU580" s="14"/>
      <c r="DV580" s="14"/>
      <c r="DW580" s="15"/>
    </row>
    <row r="581" spans="1:127" ht="15" customHeight="1" x14ac:dyDescent="0.2">
      <c r="A581" s="273" t="s">
        <v>57</v>
      </c>
      <c r="B581" s="274"/>
      <c r="C581" s="273" t="s">
        <v>62</v>
      </c>
      <c r="D581" s="274"/>
      <c r="E581" s="273" t="s">
        <v>63</v>
      </c>
      <c r="F581" s="275"/>
      <c r="G581" s="5"/>
      <c r="H581" s="13"/>
      <c r="I581" s="24"/>
      <c r="J581" s="99"/>
      <c r="K581" s="102"/>
      <c r="L581" s="53"/>
      <c r="M581" s="14"/>
      <c r="N581" s="15"/>
      <c r="O581" s="2"/>
      <c r="P581" s="85"/>
      <c r="Q581" s="69"/>
      <c r="R581" s="13"/>
      <c r="S581" s="13"/>
      <c r="T581" s="13"/>
      <c r="U581" s="5"/>
      <c r="V581" s="13"/>
      <c r="W581" s="24"/>
      <c r="X581" s="99"/>
      <c r="Y581" s="102"/>
      <c r="Z581" s="53"/>
      <c r="AA581" s="14"/>
      <c r="AB581" s="15"/>
      <c r="AD581" s="85"/>
      <c r="AE581" s="69"/>
      <c r="AF581" s="13"/>
      <c r="AG581" s="13"/>
      <c r="AH581" s="13"/>
      <c r="AI581" s="5"/>
      <c r="AJ581" s="13"/>
      <c r="AK581" s="24"/>
      <c r="AL581" s="99"/>
      <c r="AM581" s="102"/>
      <c r="AN581" s="53"/>
      <c r="AO581" s="14"/>
      <c r="AP581" s="15"/>
      <c r="AQ581" s="2"/>
      <c r="AR581" s="85"/>
      <c r="AS581" s="69"/>
      <c r="AT581" s="13"/>
      <c r="AU581" s="13"/>
      <c r="AV581" s="13"/>
      <c r="AW581" s="5"/>
      <c r="AX581" s="13"/>
      <c r="AY581" s="24"/>
      <c r="AZ581" s="118"/>
      <c r="BA581" s="102"/>
      <c r="BB581" s="53"/>
      <c r="BC581" s="14"/>
      <c r="BD581" s="15"/>
      <c r="BU581" s="16"/>
      <c r="BV581" s="54"/>
      <c r="BW581" s="13"/>
      <c r="BX581" s="13"/>
      <c r="BY581" s="13"/>
      <c r="BZ581" s="263" t="s">
        <v>29</v>
      </c>
      <c r="CA581" s="264"/>
      <c r="CB581" s="13">
        <f>(BZ529+CB529)*CD529</f>
        <v>8250</v>
      </c>
      <c r="CC581" s="13"/>
      <c r="CD581" s="14"/>
      <c r="CE581" s="14"/>
      <c r="CF581" s="14"/>
      <c r="CG581" s="15"/>
      <c r="CH581" s="1"/>
      <c r="CI581" s="16"/>
      <c r="CJ581" s="54"/>
      <c r="CK581" s="13"/>
      <c r="CL581" s="13"/>
      <c r="CM581" s="13"/>
      <c r="CN581" s="263" t="s">
        <v>29</v>
      </c>
      <c r="CO581" s="264"/>
      <c r="CP581" s="13">
        <f>(CN529+CP529)*CR529</f>
        <v>2145</v>
      </c>
      <c r="CQ581" s="13"/>
      <c r="CR581" s="14"/>
      <c r="CS581" s="14"/>
      <c r="CT581" s="14"/>
      <c r="CU581" s="15"/>
      <c r="CV581" s="1"/>
      <c r="CW581" s="16"/>
      <c r="CX581" s="54"/>
      <c r="CY581" s="13"/>
      <c r="CZ581" s="13"/>
      <c r="DA581" s="13"/>
      <c r="DB581" s="263" t="s">
        <v>29</v>
      </c>
      <c r="DC581" s="264"/>
      <c r="DD581" s="13">
        <f>(DB529+DD529)*DF529</f>
        <v>54560</v>
      </c>
      <c r="DE581" s="13"/>
      <c r="DF581" s="14"/>
      <c r="DG581" s="14"/>
      <c r="DH581" s="14"/>
      <c r="DI581" s="15"/>
      <c r="DJ581" s="1"/>
      <c r="DK581" s="16"/>
      <c r="DL581" s="54"/>
      <c r="DM581" s="13"/>
      <c r="DN581" s="13"/>
      <c r="DO581" s="13"/>
      <c r="DP581" s="263" t="s">
        <v>29</v>
      </c>
      <c r="DQ581" s="264"/>
      <c r="DR581" s="13">
        <f>(DP529+DR529)*DT529</f>
        <v>44000</v>
      </c>
      <c r="DS581" s="13"/>
      <c r="DT581" s="14"/>
      <c r="DU581" s="14"/>
      <c r="DV581" s="14"/>
      <c r="DW581" s="15"/>
    </row>
    <row r="582" spans="1:127" ht="15" customHeight="1" x14ac:dyDescent="0.2">
      <c r="A582" s="265">
        <f>E578+S578+AG578+AU578+BX578+CL578+CZ578+DN578</f>
        <v>2520700</v>
      </c>
      <c r="B582" s="266"/>
      <c r="C582" s="267">
        <f>L577+Z577+AN577+BB577</f>
        <v>240847</v>
      </c>
      <c r="D582" s="268"/>
      <c r="E582" s="267">
        <f>L580+Z580+AN580+BB580+CB581+CP581+DD581+DR581</f>
        <v>350265</v>
      </c>
      <c r="F582" s="268"/>
      <c r="G582" s="5"/>
      <c r="H582" s="13"/>
      <c r="I582" s="24"/>
      <c r="J582" s="99"/>
      <c r="K582" s="102"/>
      <c r="L582" s="53"/>
      <c r="M582" s="14"/>
      <c r="N582" s="15"/>
      <c r="O582" s="2"/>
      <c r="P582" s="85"/>
      <c r="Q582" s="69"/>
      <c r="R582" s="13"/>
      <c r="S582" s="13"/>
      <c r="T582" s="13"/>
      <c r="U582" s="5"/>
      <c r="V582" s="13"/>
      <c r="W582" s="24"/>
      <c r="X582" s="99"/>
      <c r="Y582" s="102"/>
      <c r="Z582" s="53"/>
      <c r="AA582" s="14"/>
      <c r="AB582" s="15"/>
      <c r="AD582" s="85"/>
      <c r="AE582" s="69"/>
      <c r="AF582" s="13"/>
      <c r="AG582" s="13"/>
      <c r="AH582" s="13"/>
      <c r="AI582" s="5"/>
      <c r="AJ582" s="13"/>
      <c r="AK582" s="24"/>
      <c r="AL582" s="99"/>
      <c r="AM582" s="102"/>
      <c r="AN582" s="53"/>
      <c r="AO582" s="14"/>
      <c r="AP582" s="15"/>
      <c r="AQ582" s="2"/>
      <c r="AR582" s="85"/>
      <c r="AS582" s="69"/>
      <c r="AT582" s="13"/>
      <c r="AU582" s="13"/>
      <c r="AV582" s="13"/>
      <c r="AW582" s="5"/>
      <c r="AX582" s="13"/>
      <c r="AY582" s="24"/>
      <c r="AZ582" s="118"/>
      <c r="BA582" s="102"/>
      <c r="BB582" s="53"/>
      <c r="BC582" s="14"/>
      <c r="BD582" s="15"/>
      <c r="BU582" s="16"/>
      <c r="BV582" s="54"/>
      <c r="BW582" s="13"/>
      <c r="BX582" s="13"/>
      <c r="BY582" s="13"/>
      <c r="BZ582" s="5"/>
      <c r="CA582" s="13"/>
      <c r="CB582" s="13"/>
      <c r="CC582" s="13"/>
      <c r="CD582" s="14"/>
      <c r="CE582" s="14"/>
      <c r="CF582" s="14"/>
      <c r="CG582" s="15"/>
      <c r="CH582" s="1"/>
      <c r="CI582" s="16"/>
      <c r="CJ582" s="54"/>
      <c r="CK582" s="13"/>
      <c r="CL582" s="13"/>
      <c r="CM582" s="13"/>
      <c r="CN582" s="5"/>
      <c r="CO582" s="13"/>
      <c r="CP582" s="13"/>
      <c r="CQ582" s="13"/>
      <c r="CR582" s="14"/>
      <c r="CS582" s="14"/>
      <c r="CT582" s="14"/>
      <c r="CU582" s="15"/>
      <c r="CV582" s="1"/>
      <c r="CW582" s="16"/>
      <c r="CX582" s="54"/>
      <c r="CY582" s="13"/>
      <c r="CZ582" s="13"/>
      <c r="DA582" s="13"/>
      <c r="DB582" s="5"/>
      <c r="DC582" s="13"/>
      <c r="DD582" s="13"/>
      <c r="DE582" s="13"/>
      <c r="DF582" s="14"/>
      <c r="DG582" s="14"/>
      <c r="DH582" s="14"/>
      <c r="DI582" s="15"/>
      <c r="DJ582" s="1"/>
      <c r="DK582" s="16"/>
      <c r="DL582" s="54"/>
      <c r="DM582" s="13"/>
      <c r="DN582" s="13"/>
      <c r="DO582" s="13"/>
      <c r="DP582" s="5"/>
      <c r="DQ582" s="13"/>
      <c r="DR582" s="13"/>
      <c r="DS582" s="13"/>
      <c r="DT582" s="14"/>
      <c r="DU582" s="14"/>
      <c r="DV582" s="14"/>
      <c r="DW582" s="15"/>
    </row>
    <row r="583" spans="1:127" ht="15" customHeight="1" x14ac:dyDescent="0.2">
      <c r="A583" s="281">
        <v>184000</v>
      </c>
      <c r="B583" s="282"/>
      <c r="C583" s="98"/>
      <c r="D583" s="106">
        <f>C582/A582</f>
        <v>9.5547665331058837E-2</v>
      </c>
      <c r="E583" s="104"/>
      <c r="F583" s="96"/>
      <c r="G583" s="5"/>
      <c r="H583" s="13"/>
      <c r="I583" s="24"/>
      <c r="J583" s="99"/>
      <c r="K583" s="102"/>
      <c r="L583" s="53"/>
      <c r="M583" s="14"/>
      <c r="N583" s="15"/>
      <c r="O583" s="2"/>
      <c r="P583" s="85"/>
      <c r="Q583" s="69"/>
      <c r="R583" s="13"/>
      <c r="S583" s="13"/>
      <c r="T583" s="13"/>
      <c r="U583" s="5"/>
      <c r="V583" s="13"/>
      <c r="W583" s="24"/>
      <c r="X583" s="99"/>
      <c r="Y583" s="102"/>
      <c r="Z583" s="53"/>
      <c r="AA583" s="14"/>
      <c r="AB583" s="15"/>
      <c r="AD583" s="85"/>
      <c r="AE583" s="69"/>
      <c r="AF583" s="13"/>
      <c r="AG583" s="13"/>
      <c r="AH583" s="13"/>
      <c r="AI583" s="5"/>
      <c r="AJ583" s="13"/>
      <c r="AK583" s="24"/>
      <c r="AL583" s="99"/>
      <c r="AM583" s="102"/>
      <c r="AN583" s="53"/>
      <c r="AO583" s="14"/>
      <c r="AP583" s="15"/>
      <c r="AQ583" s="2"/>
      <c r="AR583" s="85"/>
      <c r="AS583" s="69"/>
      <c r="AT583" s="13"/>
      <c r="AU583" s="13"/>
      <c r="AV583" s="13"/>
      <c r="AW583" s="5"/>
      <c r="AX583" s="13"/>
      <c r="AY583" s="24"/>
      <c r="AZ583" s="118"/>
      <c r="BA583" s="102"/>
      <c r="BB583" s="53"/>
      <c r="BC583" s="14"/>
      <c r="BD583" s="15"/>
      <c r="BU583" s="16"/>
      <c r="BV583" s="54"/>
      <c r="BW583" s="13"/>
      <c r="BX583" s="13"/>
      <c r="BY583" s="13"/>
      <c r="BZ583" s="5"/>
      <c r="CA583" s="13"/>
      <c r="CB583" s="36"/>
      <c r="CC583" s="36"/>
      <c r="CD583" s="13"/>
      <c r="CE583" s="13"/>
      <c r="CF583" s="13"/>
      <c r="CG583" s="15"/>
      <c r="CH583" s="1"/>
      <c r="CI583" s="16"/>
      <c r="CJ583" s="54"/>
      <c r="CK583" s="13"/>
      <c r="CL583" s="13"/>
      <c r="CM583" s="13"/>
      <c r="CN583" s="5"/>
      <c r="CO583" s="13"/>
      <c r="CP583" s="36"/>
      <c r="CQ583" s="36"/>
      <c r="CR583" s="13"/>
      <c r="CS583" s="13"/>
      <c r="CT583" s="13"/>
      <c r="CU583" s="15"/>
      <c r="CV583" s="1"/>
      <c r="CW583" s="16"/>
      <c r="CX583" s="54"/>
      <c r="CY583" s="13"/>
      <c r="CZ583" s="13"/>
      <c r="DA583" s="13"/>
      <c r="DB583" s="5"/>
      <c r="DC583" s="13"/>
      <c r="DD583" s="36"/>
      <c r="DE583" s="36"/>
      <c r="DF583" s="13"/>
      <c r="DG583" s="13"/>
      <c r="DH583" s="13"/>
      <c r="DI583" s="15"/>
      <c r="DJ583" s="1"/>
      <c r="DK583" s="16"/>
      <c r="DL583" s="54"/>
      <c r="DM583" s="13"/>
      <c r="DN583" s="13"/>
      <c r="DO583" s="13"/>
      <c r="DP583" s="5"/>
      <c r="DQ583" s="13"/>
      <c r="DR583" s="36"/>
      <c r="DS583" s="36"/>
      <c r="DT583" s="13"/>
      <c r="DU583" s="13"/>
      <c r="DV583" s="13"/>
      <c r="DW583" s="15"/>
    </row>
    <row r="584" spans="1:127" ht="15" customHeight="1" x14ac:dyDescent="0.2">
      <c r="A584" s="153"/>
      <c r="B584" s="154"/>
      <c r="C584" s="98"/>
      <c r="D584" s="96"/>
      <c r="E584" s="5"/>
      <c r="F584" s="13"/>
      <c r="G584" s="5"/>
      <c r="H584" s="13"/>
      <c r="I584" s="13"/>
      <c r="J584" s="68"/>
      <c r="K584" s="82"/>
      <c r="L584" s="14"/>
      <c r="M584" s="14"/>
      <c r="N584" s="15"/>
      <c r="O584" s="2"/>
      <c r="P584" s="86"/>
      <c r="Q584" s="54"/>
      <c r="R584" s="13"/>
      <c r="S584" s="5"/>
      <c r="T584" s="13"/>
      <c r="U584" s="5"/>
      <c r="V584" s="13"/>
      <c r="W584" s="13"/>
      <c r="X584" s="52"/>
      <c r="Y584" s="82"/>
      <c r="Z584" s="14"/>
      <c r="AA584" s="14"/>
      <c r="AB584" s="15"/>
      <c r="AD584" s="86"/>
      <c r="AE584" s="54"/>
      <c r="AF584" s="13"/>
      <c r="AG584" s="5"/>
      <c r="AH584" s="13"/>
      <c r="AI584" s="5"/>
      <c r="AJ584" s="13"/>
      <c r="AK584" s="13"/>
      <c r="AL584" s="68"/>
      <c r="AM584" s="82"/>
      <c r="AN584" s="14"/>
      <c r="AO584" s="14"/>
      <c r="AP584" s="15"/>
      <c r="AQ584" s="2"/>
      <c r="AR584" s="86"/>
      <c r="AS584" s="54"/>
      <c r="AT584" s="13"/>
      <c r="AU584" s="5"/>
      <c r="AV584" s="13"/>
      <c r="AW584" s="5"/>
      <c r="AX584" s="13"/>
      <c r="AY584" s="13"/>
      <c r="AZ584" s="68"/>
      <c r="BA584" s="82"/>
      <c r="BB584" s="14"/>
      <c r="BC584" s="14"/>
      <c r="BD584" s="15"/>
      <c r="BU584" s="16"/>
      <c r="BV584" s="13"/>
      <c r="BW584" s="13"/>
      <c r="BX584" s="13"/>
      <c r="BY584" s="13"/>
      <c r="BZ584" s="5"/>
      <c r="CA584" s="13"/>
      <c r="CB584" s="36"/>
      <c r="CC584" s="36"/>
      <c r="CD584" s="13"/>
      <c r="CE584" s="13"/>
      <c r="CF584" s="13"/>
      <c r="CG584" s="15"/>
      <c r="CH584" s="1"/>
      <c r="CI584" s="16"/>
      <c r="CJ584" s="13"/>
      <c r="CK584" s="13"/>
      <c r="CL584" s="13"/>
      <c r="CM584" s="13"/>
      <c r="CN584" s="5"/>
      <c r="CO584" s="13"/>
      <c r="CP584" s="36"/>
      <c r="CQ584" s="36"/>
      <c r="CR584" s="13"/>
      <c r="CS584" s="13"/>
      <c r="CT584" s="13"/>
      <c r="CU584" s="15"/>
      <c r="CV584" s="1"/>
      <c r="CW584" s="16"/>
      <c r="CX584" s="13"/>
      <c r="CY584" s="13"/>
      <c r="CZ584" s="13"/>
      <c r="DA584" s="13"/>
      <c r="DB584" s="5"/>
      <c r="DC584" s="13"/>
      <c r="DD584" s="36"/>
      <c r="DE584" s="36"/>
      <c r="DF584" s="13"/>
      <c r="DG584" s="13"/>
      <c r="DH584" s="13"/>
      <c r="DI584" s="15"/>
      <c r="DJ584" s="1"/>
      <c r="DK584" s="16"/>
      <c r="DL584" s="13"/>
      <c r="DM584" s="13"/>
      <c r="DN584" s="13"/>
      <c r="DO584" s="13"/>
      <c r="DP584" s="5"/>
      <c r="DQ584" s="13"/>
      <c r="DR584" s="36"/>
      <c r="DS584" s="36"/>
      <c r="DT584" s="13"/>
      <c r="DU584" s="13"/>
      <c r="DV584" s="13"/>
      <c r="DW584" s="15"/>
    </row>
    <row r="585" spans="1:127" ht="15" customHeight="1" x14ac:dyDescent="0.2">
      <c r="A585" s="258" t="s">
        <v>28</v>
      </c>
      <c r="B585" s="260"/>
      <c r="C585" s="259"/>
      <c r="D585" s="38">
        <f>SUM(D521,D525,D529,D533,D537,D541,D545,D549,D553,D557,D561,D565,D569)*100</f>
        <v>72500</v>
      </c>
      <c r="E585" s="54"/>
      <c r="F585" s="13"/>
      <c r="G585" s="5">
        <f>D585/H585</f>
        <v>3452.3809523809523</v>
      </c>
      <c r="H585" s="38">
        <f>SUM(H521,H525,H529,H533,H537,H541,H546,H549,H553,H557,H561,H565,H569)</f>
        <v>21</v>
      </c>
      <c r="I585" s="13"/>
      <c r="J585" s="75" t="str">
        <f t="shared" ref="J585:K588" si="962">J521</f>
        <v>ジャグラーサウンドボタン</v>
      </c>
      <c r="K585" s="76">
        <f t="shared" si="962"/>
        <v>748</v>
      </c>
      <c r="L585" s="38">
        <f>SUM(L521,L525,L529,L533,L537,L541,L546,L549,L553,L557,L561,L565,L569)</f>
        <v>17343</v>
      </c>
      <c r="M585" s="36">
        <f>L585/D585</f>
        <v>0.23921379310344829</v>
      </c>
      <c r="N585" s="15"/>
      <c r="O585" s="2"/>
      <c r="P585" s="258" t="s">
        <v>28</v>
      </c>
      <c r="Q585" s="259"/>
      <c r="R585" s="38">
        <f>SUM(R521,R525,R529,R533,R537,R541,R546,R549,R553,R557,R561,R565,R569)*100</f>
        <v>100700</v>
      </c>
      <c r="S585" s="54"/>
      <c r="T585" s="13"/>
      <c r="U585" s="5">
        <f>R585/V585</f>
        <v>5923.5294117647063</v>
      </c>
      <c r="V585" s="38">
        <f>SUM(V521,V525,V529,V533,V537,V541,V546,V549,V553,V557,V561,V565,V569)</f>
        <v>17</v>
      </c>
      <c r="W585" s="13"/>
      <c r="X585" s="78" t="str">
        <f t="shared" ref="X585:Y588" si="963">X521</f>
        <v>キティフェイスポーチ</v>
      </c>
      <c r="Y585" s="76">
        <f t="shared" si="963"/>
        <v>957</v>
      </c>
      <c r="Z585" s="38">
        <f>SUM(Z521,Z525,Z529,Z533,Z537,Z541,Z546,Z549,Z553,Z557,Z561,Z565,Z569)</f>
        <v>14498</v>
      </c>
      <c r="AA585" s="36">
        <f>Z585/R585</f>
        <v>0.14397219463753724</v>
      </c>
      <c r="AB585" s="15"/>
      <c r="AC585" s="23"/>
      <c r="AD585" s="258" t="s">
        <v>28</v>
      </c>
      <c r="AE585" s="259"/>
      <c r="AF585" s="38">
        <f>SUM(AF521,AF525,AF529,AF533,AF537,AF541,AF545,AF549,AF553,AF557,AF561,AF565,AF569)*100</f>
        <v>77900</v>
      </c>
      <c r="AG585" s="54"/>
      <c r="AH585" s="13"/>
      <c r="AI585" s="5">
        <f>AF585/AJ585</f>
        <v>5992.3076923076924</v>
      </c>
      <c r="AJ585" s="38">
        <f>SUM(AJ521,AJ525,AJ529,AJ533,AJ537,AJ541,AJ546,AJ549,AJ553,AJ557,AJ561,AJ565,AJ569)</f>
        <v>13</v>
      </c>
      <c r="AK585" s="13"/>
      <c r="AL585" s="75" t="str">
        <f t="shared" ref="AL585:AM588" si="964">AL521</f>
        <v>サンリオメタルミニポーチ</v>
      </c>
      <c r="AM585" s="76">
        <f t="shared" si="964"/>
        <v>0</v>
      </c>
      <c r="AN585" s="38">
        <f>SUM(AN521,AN525,AN529,AN533,AN537,AN541,AN546,AN549,AN553,AN557,AN561,AN565,AN569)</f>
        <v>5032</v>
      </c>
      <c r="AO585" s="36">
        <f>AN585/AF585</f>
        <v>6.4595635430038517E-2</v>
      </c>
      <c r="AP585" s="15"/>
      <c r="AQ585" s="2"/>
      <c r="AR585" s="258" t="s">
        <v>28</v>
      </c>
      <c r="AS585" s="259"/>
      <c r="AT585" s="38">
        <f>SUM(AT521,AT525,AT529,AT533,AT537,AT541,AT546,AT549,AT553,AT557,AT561,AT565,AT569)*100</f>
        <v>58300</v>
      </c>
      <c r="AU585" s="54"/>
      <c r="AV585" s="13"/>
      <c r="AW585" s="5">
        <f>AT585/AX585</f>
        <v>2010.344827586207</v>
      </c>
      <c r="AX585" s="38">
        <f>SUM(AX521,AX525,AX529,AX533,AX537,AX541,AX546,AX549,AX553,AX557,AX561,AX565,AX569)</f>
        <v>29</v>
      </c>
      <c r="AY585" s="13"/>
      <c r="AZ585" s="75" t="str">
        <f t="shared" ref="AZ585:BA588" si="965">AZ521</f>
        <v>こびとづかんキーケース</v>
      </c>
      <c r="BA585" s="76">
        <f t="shared" si="965"/>
        <v>726</v>
      </c>
      <c r="BB585" s="38">
        <f>SUM(BB521,BB525,BB529,BB533,BB537,BB541,BB546,BB549,BB553,BB557,BB561,BB565,BB569)</f>
        <v>23074</v>
      </c>
      <c r="BC585" s="36">
        <f>BB585/AT585</f>
        <v>0.39578044596912521</v>
      </c>
      <c r="BD585" s="15"/>
      <c r="BU585" s="16"/>
      <c r="BV585" s="270"/>
      <c r="BW585" s="270"/>
      <c r="BX585" s="10"/>
      <c r="BY585" s="13"/>
      <c r="BZ585" s="5"/>
      <c r="CA585" s="13"/>
      <c r="CB585" s="36"/>
      <c r="CC585" s="36"/>
      <c r="CD585" s="13"/>
      <c r="CE585" s="13"/>
      <c r="CF585" s="13"/>
      <c r="CG585" s="15"/>
      <c r="CH585" s="1"/>
      <c r="CI585" s="16"/>
      <c r="CJ585" s="270"/>
      <c r="CK585" s="270"/>
      <c r="CL585" s="10"/>
      <c r="CM585" s="13"/>
      <c r="CN585" s="5"/>
      <c r="CO585" s="13"/>
      <c r="CP585" s="36"/>
      <c r="CQ585" s="36"/>
      <c r="CR585" s="13"/>
      <c r="CS585" s="13"/>
      <c r="CT585" s="13"/>
      <c r="CU585" s="15"/>
      <c r="CV585" s="1"/>
      <c r="CW585" s="16"/>
      <c r="CX585" s="270"/>
      <c r="CY585" s="270"/>
      <c r="CZ585" s="10"/>
      <c r="DA585" s="13"/>
      <c r="DB585" s="5"/>
      <c r="DC585" s="13"/>
      <c r="DD585" s="36"/>
      <c r="DE585" s="36"/>
      <c r="DF585" s="13"/>
      <c r="DG585" s="13"/>
      <c r="DH585" s="13"/>
      <c r="DI585" s="15"/>
      <c r="DJ585" s="1"/>
      <c r="DK585" s="16"/>
      <c r="DL585" s="270"/>
      <c r="DM585" s="270"/>
      <c r="DN585" s="10"/>
      <c r="DO585" s="13"/>
      <c r="DP585" s="5"/>
      <c r="DQ585" s="13"/>
      <c r="DR585" s="36"/>
      <c r="DS585" s="36"/>
      <c r="DT585" s="13"/>
      <c r="DU585" s="13"/>
      <c r="DV585" s="13"/>
      <c r="DW585" s="15"/>
    </row>
    <row r="586" spans="1:127" x14ac:dyDescent="0.2">
      <c r="A586" s="258" t="s">
        <v>28</v>
      </c>
      <c r="B586" s="260"/>
      <c r="C586" s="259"/>
      <c r="D586" s="38">
        <f>SUM(D522,D526,D530,D534,D538,D542,D546,D550,D554,D558,D562,D566,D570)*100</f>
        <v>72600</v>
      </c>
      <c r="E586" s="54"/>
      <c r="F586" s="13"/>
      <c r="G586" s="5">
        <f>D586/H586</f>
        <v>5584.6153846153848</v>
      </c>
      <c r="H586" s="38">
        <f>SUM(H522,H526,H530,H534,H538,H542,H545,H550,H554,H558,H562,H566,H570)</f>
        <v>13</v>
      </c>
      <c r="I586" s="13"/>
      <c r="J586" s="75" t="str">
        <f t="shared" si="962"/>
        <v>液晶デジカメ</v>
      </c>
      <c r="K586" s="76">
        <f t="shared" si="962"/>
        <v>1075</v>
      </c>
      <c r="L586" s="38">
        <f>SUM(L522,L526,L530,L534,L538,L542,L545,L550,L554,L558,L562,L566,L570)</f>
        <v>13321</v>
      </c>
      <c r="M586" s="36">
        <f>L586/D586</f>
        <v>0.18348484848484847</v>
      </c>
      <c r="N586" s="15"/>
      <c r="O586" s="2"/>
      <c r="P586" s="258" t="s">
        <v>28</v>
      </c>
      <c r="Q586" s="259"/>
      <c r="R586" s="38">
        <f>SUM(R522,R526,R530,R534,R538,R542,R545,R550,R554,R558,R562,R566,R570)*100</f>
        <v>54600</v>
      </c>
      <c r="S586" s="54"/>
      <c r="T586" s="13"/>
      <c r="U586" s="5">
        <f>R586/V586</f>
        <v>3640</v>
      </c>
      <c r="V586" s="38">
        <f>SUM(V522,V526,V530,V534,V538,V542,V545,V550,V554,V558,V562,V566,V570)</f>
        <v>15</v>
      </c>
      <c r="W586" s="13"/>
      <c r="X586" s="78" t="str">
        <f t="shared" si="963"/>
        <v>LOTTEチョコイヤホン</v>
      </c>
      <c r="Y586" s="76">
        <f t="shared" si="963"/>
        <v>1100</v>
      </c>
      <c r="Z586" s="38">
        <f>SUM(Z522,Z526,Z530,Z534,Z538,Z542,Z545,Z550,Z554,Z558,Z562,Z566,Z570)</f>
        <v>16071</v>
      </c>
      <c r="AA586" s="36">
        <f>Z586/R586</f>
        <v>0.29434065934065934</v>
      </c>
      <c r="AB586" s="15"/>
      <c r="AC586" s="1"/>
      <c r="AD586" s="258" t="s">
        <v>28</v>
      </c>
      <c r="AE586" s="259"/>
      <c r="AF586" s="38">
        <f>SUM(AF522,AF526,AF530,AF534,AF538,AF542,AF546,AF550,AF554,AF558,AF562,AF566,AF570)*100</f>
        <v>117500</v>
      </c>
      <c r="AG586" s="54"/>
      <c r="AH586" s="13"/>
      <c r="AI586" s="5">
        <f>AF586/AJ586</f>
        <v>6911.7647058823532</v>
      </c>
      <c r="AJ586" s="38">
        <f>SUM(AJ522,AJ526,AJ530,AJ534,AJ538,AJ542,AJ545,AJ550,AJ554,AJ558,AJ562,AJ566,AJ570)</f>
        <v>17</v>
      </c>
      <c r="AK586" s="13"/>
      <c r="AL586" s="75" t="str">
        <f t="shared" si="964"/>
        <v>キティヒョウ柄マスコット</v>
      </c>
      <c r="AM586" s="76">
        <f t="shared" si="964"/>
        <v>996</v>
      </c>
      <c r="AN586" s="38">
        <f>SUM(AN522,AN526,AN530,AN534,AN538,AN542,AN545,AN550,AN554,AN558,AN562,AN566,AN570)</f>
        <v>16945</v>
      </c>
      <c r="AO586" s="36">
        <f>AN586/AF586</f>
        <v>0.14421276595744681</v>
      </c>
      <c r="AP586" s="15"/>
      <c r="AQ586" s="2"/>
      <c r="AR586" s="258" t="s">
        <v>28</v>
      </c>
      <c r="AS586" s="259"/>
      <c r="AT586" s="38">
        <f>SUM(AT522,AT526,AT530,AT534,AT538,AT542,AT545,AT550,AT554,AT558,AT562,AT566,AT570)*100</f>
        <v>59900</v>
      </c>
      <c r="AU586" s="54"/>
      <c r="AV586" s="13"/>
      <c r="AW586" s="5">
        <f>AT586/AX586</f>
        <v>1932.258064516129</v>
      </c>
      <c r="AX586" s="38">
        <f>SUM(AX522,AX526,AX530,AX534,AX538,AX542,AX545,AX550,AX554,AX558,AX562,AX566,AX570)</f>
        <v>31</v>
      </c>
      <c r="AY586" s="13"/>
      <c r="AZ586" s="75" t="str">
        <f t="shared" si="965"/>
        <v>ねこアイシャドウ</v>
      </c>
      <c r="BA586" s="76">
        <f t="shared" si="965"/>
        <v>1000</v>
      </c>
      <c r="BB586" s="38">
        <f>SUM(BB522,BB526,BB530,BB534,BB538,BB542,BB545,BB550,BB554,BB558,BB562,BB566,BB570)</f>
        <v>30640</v>
      </c>
      <c r="BC586" s="36">
        <f>BB586/AT586</f>
        <v>0.51151919866444073</v>
      </c>
      <c r="BD586" s="15"/>
      <c r="BU586" s="16"/>
      <c r="BV586" s="270"/>
      <c r="BW586" s="270"/>
      <c r="BX586" s="13"/>
      <c r="BY586" s="13"/>
      <c r="BZ586" s="5"/>
      <c r="CA586" s="13"/>
      <c r="CB586" s="36"/>
      <c r="CC586" s="36"/>
      <c r="CD586" s="14"/>
      <c r="CE586" s="14"/>
      <c r="CF586" s="14"/>
      <c r="CG586" s="15"/>
      <c r="CH586" s="1"/>
      <c r="CI586" s="16"/>
      <c r="CJ586" s="270"/>
      <c r="CK586" s="270"/>
      <c r="CL586" s="13"/>
      <c r="CM586" s="13"/>
      <c r="CN586" s="5"/>
      <c r="CO586" s="13"/>
      <c r="CP586" s="36"/>
      <c r="CQ586" s="36"/>
      <c r="CR586" s="14"/>
      <c r="CS586" s="14"/>
      <c r="CT586" s="14"/>
      <c r="CU586" s="15"/>
      <c r="CV586" s="1"/>
      <c r="CW586" s="16"/>
      <c r="CX586" s="270"/>
      <c r="CY586" s="270"/>
      <c r="CZ586" s="13"/>
      <c r="DA586" s="13"/>
      <c r="DB586" s="5"/>
      <c r="DC586" s="13"/>
      <c r="DD586" s="36"/>
      <c r="DE586" s="36"/>
      <c r="DF586" s="14"/>
      <c r="DG586" s="14"/>
      <c r="DH586" s="14"/>
      <c r="DI586" s="15"/>
      <c r="DJ586" s="1"/>
      <c r="DK586" s="16"/>
      <c r="DL586" s="270"/>
      <c r="DM586" s="270"/>
      <c r="DN586" s="13"/>
      <c r="DO586" s="13"/>
      <c r="DP586" s="5"/>
      <c r="DQ586" s="13"/>
      <c r="DR586" s="36"/>
      <c r="DS586" s="36"/>
      <c r="DT586" s="14"/>
      <c r="DU586" s="14"/>
      <c r="DV586" s="14"/>
      <c r="DW586" s="15"/>
    </row>
    <row r="587" spans="1:127" x14ac:dyDescent="0.2">
      <c r="A587" s="258" t="s">
        <v>28</v>
      </c>
      <c r="B587" s="260"/>
      <c r="C587" s="259"/>
      <c r="D587" s="38">
        <f>SUM(D523,D527,D531,D535,D539,D543,D547,D551,D555,D559,D563,D567,D571)*100</f>
        <v>154600</v>
      </c>
      <c r="E587" s="54"/>
      <c r="F587" s="13"/>
      <c r="G587" s="5">
        <f>D587/H587</f>
        <v>1356.140350877193</v>
      </c>
      <c r="H587" s="38">
        <f>SUM(H523,H527,H531,H536,H539,H543,H547,H551,H555,H559,H563,H567,H571)</f>
        <v>114</v>
      </c>
      <c r="I587" s="13"/>
      <c r="J587" s="75" t="str">
        <f t="shared" si="962"/>
        <v>AIモンスタラバー</v>
      </c>
      <c r="K587" s="76">
        <f t="shared" si="962"/>
        <v>200</v>
      </c>
      <c r="L587" s="38">
        <f>SUM(L523,L527,L531,L536,L539,L543,L547,L551,L555,L559,L563,L567,L571)</f>
        <v>24200</v>
      </c>
      <c r="M587" s="36">
        <f>L587/D587</f>
        <v>0.15653298835705046</v>
      </c>
      <c r="N587" s="15"/>
      <c r="O587" s="2"/>
      <c r="P587" s="258" t="s">
        <v>28</v>
      </c>
      <c r="Q587" s="259"/>
      <c r="R587" s="38">
        <f>SUM(R523,R527,R531,R535,R539,R543,R547,R551,R555,R559,R563,R567,R571)*100</f>
        <v>108400</v>
      </c>
      <c r="S587" s="54"/>
      <c r="T587" s="13"/>
      <c r="U587" s="5">
        <f>R587/V587</f>
        <v>3871.4285714285716</v>
      </c>
      <c r="V587" s="38">
        <f>SUM(V523,V527,V531,V536,V539,V543,V547,V551,V555,V559,V563,V567,V571)</f>
        <v>28</v>
      </c>
      <c r="W587" s="13"/>
      <c r="X587" s="78" t="str">
        <f t="shared" si="963"/>
        <v>アングリーキーホルダー</v>
      </c>
      <c r="Y587" s="76">
        <f t="shared" si="963"/>
        <v>100</v>
      </c>
      <c r="Z587" s="38">
        <f>SUM(Z523,Z527,Z531,Z536,Z539,Z543,Z547,Z551,Z555,Z559,Z563,Z567,Z571)</f>
        <v>3544</v>
      </c>
      <c r="AA587" s="36">
        <f>Z587/R587</f>
        <v>3.2693726937269373E-2</v>
      </c>
      <c r="AB587" s="15"/>
      <c r="AC587" s="1"/>
      <c r="AD587" s="258" t="s">
        <v>28</v>
      </c>
      <c r="AE587" s="259"/>
      <c r="AF587" s="38">
        <f>SUM(AF523,AF527,AF531,AF535,AF539,AF543,AF547,AF551,AF555,AF559,AF563,AF567,AF571)*100</f>
        <v>165600</v>
      </c>
      <c r="AG587" s="54"/>
      <c r="AH587" s="13"/>
      <c r="AI587" s="5">
        <f>AF587/AJ587</f>
        <v>12738.461538461539</v>
      </c>
      <c r="AJ587" s="38">
        <f>SUM(AJ523,AJ527,AJ531,AJ536,AJ539,AJ543,AJ547,AJ551,AJ555,AJ559,AJ563,AJ567,AJ571)</f>
        <v>13</v>
      </c>
      <c r="AK587" s="13"/>
      <c r="AL587" s="75" t="str">
        <f t="shared" si="964"/>
        <v>ラブブキーホルダー</v>
      </c>
      <c r="AM587" s="76">
        <f t="shared" si="964"/>
        <v>400</v>
      </c>
      <c r="AN587" s="38">
        <f>SUM(AN523,AN527,AN531,AN536,AN539,AN543,AN547,AN551,AN555,AN559,AN563,AN567,AN571)</f>
        <v>5200</v>
      </c>
      <c r="AO587" s="36">
        <f>AN587/AF587</f>
        <v>3.140096618357488E-2</v>
      </c>
      <c r="AP587" s="15"/>
      <c r="AQ587" s="2"/>
      <c r="AR587" s="258" t="s">
        <v>28</v>
      </c>
      <c r="AS587" s="259"/>
      <c r="AT587" s="38">
        <f>SUM(AT523,AT527,AT531,AT535,AT539,AT543,AT547,AT551,AT555,AT559,AT563,AT567,AT571)*100</f>
        <v>230300</v>
      </c>
      <c r="AU587" s="54"/>
      <c r="AV587" s="13"/>
      <c r="AW587" s="5">
        <f>AT587/AX587</f>
        <v>4345.2830188679245</v>
      </c>
      <c r="AX587" s="38">
        <f>SUM(AX523,AX527,AX531,AX536,AX539,AX543,AX547,AX551,AX555,AX559,AX563,AX567,AX571)</f>
        <v>53</v>
      </c>
      <c r="AY587" s="13"/>
      <c r="AZ587" s="75" t="str">
        <f t="shared" si="965"/>
        <v>ラブブキーホルダーおおきめ</v>
      </c>
      <c r="BA587" s="76">
        <f t="shared" si="965"/>
        <v>500</v>
      </c>
      <c r="BB587" s="38">
        <f>SUM(BB523,BB527,BB531,BB536,BB539,BB543,BB547,BB551,BB555,BB559,BB563,BB567,BB571)</f>
        <v>26400</v>
      </c>
      <c r="BC587" s="36">
        <f>BB587/AT587</f>
        <v>0.11463308727746417</v>
      </c>
      <c r="BD587" s="15"/>
      <c r="BU587" s="16"/>
      <c r="BV587" s="270"/>
      <c r="BW587" s="270"/>
      <c r="BX587" s="36"/>
      <c r="BY587" s="13"/>
      <c r="BZ587" s="5"/>
      <c r="CA587" s="13"/>
      <c r="CB587" s="36"/>
      <c r="CC587" s="36"/>
      <c r="CD587" s="14"/>
      <c r="CE587" s="14"/>
      <c r="CF587" s="14"/>
      <c r="CG587" s="15"/>
      <c r="CH587" s="1"/>
      <c r="CI587" s="16"/>
      <c r="CJ587" s="270"/>
      <c r="CK587" s="270"/>
      <c r="CL587" s="36"/>
      <c r="CM587" s="13"/>
      <c r="CN587" s="5"/>
      <c r="CO587" s="13"/>
      <c r="CP587" s="36"/>
      <c r="CQ587" s="36"/>
      <c r="CR587" s="14"/>
      <c r="CS587" s="14"/>
      <c r="CT587" s="14"/>
      <c r="CU587" s="15"/>
      <c r="CV587" s="1"/>
      <c r="CW587" s="16"/>
      <c r="CX587" s="270"/>
      <c r="CY587" s="270"/>
      <c r="CZ587" s="36"/>
      <c r="DA587" s="13"/>
      <c r="DB587" s="5"/>
      <c r="DC587" s="13"/>
      <c r="DD587" s="36"/>
      <c r="DE587" s="36"/>
      <c r="DF587" s="14"/>
      <c r="DG587" s="14"/>
      <c r="DH587" s="14"/>
      <c r="DI587" s="15"/>
      <c r="DJ587" s="1"/>
      <c r="DK587" s="16"/>
      <c r="DL587" s="270"/>
      <c r="DM587" s="270"/>
      <c r="DN587" s="36"/>
      <c r="DO587" s="13"/>
      <c r="DP587" s="5"/>
      <c r="DQ587" s="13"/>
      <c r="DR587" s="36"/>
      <c r="DS587" s="36"/>
      <c r="DT587" s="14"/>
      <c r="DU587" s="14"/>
      <c r="DV587" s="14"/>
      <c r="DW587" s="15"/>
    </row>
    <row r="588" spans="1:127" x14ac:dyDescent="0.2">
      <c r="A588" s="258" t="s">
        <v>28</v>
      </c>
      <c r="B588" s="260"/>
      <c r="C588" s="259"/>
      <c r="D588" s="38">
        <f>SUM(D524,D528,D532,D536,D540,D544,D548,D552,D556,D560,D564,D568,D572)*100</f>
        <v>75200</v>
      </c>
      <c r="E588" s="54"/>
      <c r="F588" s="13"/>
      <c r="G588" s="5">
        <f>D588/H588</f>
        <v>2685.7142857142858</v>
      </c>
      <c r="H588" s="38">
        <f>SUM(H524,H528,H532,H535,H540,H544,H548,H552,H556,H560,H564,H568,H572)</f>
        <v>28</v>
      </c>
      <c r="I588" s="13"/>
      <c r="J588" s="75" t="str">
        <f t="shared" si="962"/>
        <v>NICIマスコット</v>
      </c>
      <c r="K588" s="76">
        <f t="shared" si="962"/>
        <v>900</v>
      </c>
      <c r="L588" s="38">
        <f>SUM(L524,L528,L532,L535,L540,L544,L548,L552,L556,L560,L564,L568,L572)</f>
        <v>18200</v>
      </c>
      <c r="M588" s="36">
        <f>L588/D588</f>
        <v>0.24202127659574468</v>
      </c>
      <c r="N588" s="15"/>
      <c r="O588" s="2"/>
      <c r="P588" s="258" t="s">
        <v>28</v>
      </c>
      <c r="Q588" s="259"/>
      <c r="R588" s="38">
        <f>SUM(R524,R528,R532,R536,R540,R544,R548,R552,R556,R560,R564,R568,R572)*100</f>
        <v>116300</v>
      </c>
      <c r="S588" s="54"/>
      <c r="T588" s="13"/>
      <c r="U588" s="5">
        <f>R588/V588</f>
        <v>5538.0952380952385</v>
      </c>
      <c r="V588" s="38">
        <f>SUM(V524,V528,V532,V535,V540,V544,V548,V552,V556,V560,V564,V568,V572)</f>
        <v>21</v>
      </c>
      <c r="W588" s="13"/>
      <c r="X588" s="78" t="str">
        <f t="shared" si="963"/>
        <v>ＡＩマスコット</v>
      </c>
      <c r="Y588" s="76">
        <f t="shared" si="963"/>
        <v>286</v>
      </c>
      <c r="Z588" s="38">
        <f>SUM(Z524,Z528,Z532,Z535,Z540,Z544,Z548,Z552,Z556,Z560,Z564,Z568,Z572)</f>
        <v>5634</v>
      </c>
      <c r="AA588" s="36">
        <f>Z588/R588</f>
        <v>4.8443680137575239E-2</v>
      </c>
      <c r="AB588" s="15"/>
      <c r="AC588" s="1"/>
      <c r="AD588" s="258" t="s">
        <v>28</v>
      </c>
      <c r="AE588" s="259"/>
      <c r="AF588" s="38">
        <f>SUM(AF524,AF528,AF532,AF536,AF540,AF544,AF548,AF552,AF556,AF560,AF564,AF568,AF572)*100</f>
        <v>80200</v>
      </c>
      <c r="AG588" s="54"/>
      <c r="AH588" s="13"/>
      <c r="AI588" s="5">
        <f>AF588/AJ588</f>
        <v>3819.0476190476193</v>
      </c>
      <c r="AJ588" s="38">
        <f>SUM(AJ524,AJ528,AJ532,AJ535,AJ540,AJ544,AJ548,AJ552,AJ556,AJ560,AJ564,AJ568,AJ572)</f>
        <v>21</v>
      </c>
      <c r="AK588" s="13"/>
      <c r="AL588" s="75" t="str">
        <f t="shared" si="964"/>
        <v>しなこくま</v>
      </c>
      <c r="AM588" s="76">
        <f t="shared" si="964"/>
        <v>528</v>
      </c>
      <c r="AN588" s="38">
        <f>SUM(AN524,AN528,AN532,AN535,AN540,AN544,AN548,AN552,AN556,AN560,AN564,AN568,AN572)</f>
        <v>10345</v>
      </c>
      <c r="AO588" s="36">
        <f>AN588/AF588</f>
        <v>0.12899002493765585</v>
      </c>
      <c r="AP588" s="15"/>
      <c r="AQ588" s="2"/>
      <c r="AR588" s="258" t="s">
        <v>28</v>
      </c>
      <c r="AS588" s="259"/>
      <c r="AT588" s="38">
        <f>SUM(AT524,AT528,AT532,AT536,AT540,AT544,AT548,AT552,AT556,AT560,AT564,AT568,AT572)*100</f>
        <v>253800</v>
      </c>
      <c r="AU588" s="54"/>
      <c r="AV588" s="13"/>
      <c r="AW588" s="5">
        <f>AT588/AX588</f>
        <v>10152</v>
      </c>
      <c r="AX588" s="38">
        <f>SUM(AX524,AX528,AX532,AX535,AX540,AX544,AX548,AX552,AX556,AX560,AX564,AX568,AX572)</f>
        <v>25</v>
      </c>
      <c r="AY588" s="13"/>
      <c r="AZ588" s="75" t="str">
        <f t="shared" si="965"/>
        <v>ラブブマスコット</v>
      </c>
      <c r="BA588" s="76">
        <f t="shared" si="965"/>
        <v>400</v>
      </c>
      <c r="BB588" s="38">
        <f>SUM(BB524,BB528,BB532,BB535,BB540,BB544,BB548,BB552,BB556,BB560,BB564,BB568,BB572)</f>
        <v>10400</v>
      </c>
      <c r="BC588" s="36">
        <f>BB588/AT588</f>
        <v>4.097714736012608E-2</v>
      </c>
      <c r="BD588" s="15"/>
      <c r="BU588" s="40"/>
      <c r="BV588" s="3"/>
      <c r="BW588" s="2"/>
      <c r="BX588" s="41"/>
      <c r="BY588" s="1"/>
      <c r="BZ588" s="3"/>
      <c r="CA588" s="1"/>
      <c r="CB588" s="23"/>
      <c r="CC588" s="23"/>
      <c r="CD588" s="23"/>
      <c r="CE588" s="23"/>
      <c r="CF588" s="23"/>
      <c r="CG588" s="18"/>
      <c r="CH588" s="1"/>
      <c r="CI588" s="40"/>
      <c r="CJ588" s="3"/>
      <c r="CK588" s="2"/>
      <c r="CL588" s="41"/>
      <c r="CM588" s="1"/>
      <c r="CN588" s="3"/>
      <c r="CO588" s="1"/>
      <c r="CP588" s="23"/>
      <c r="CQ588" s="23"/>
      <c r="CR588" s="23"/>
      <c r="CS588" s="23"/>
      <c r="CT588" s="23"/>
      <c r="CU588" s="18"/>
      <c r="CV588" s="1"/>
      <c r="CW588" s="40"/>
      <c r="CX588" s="3"/>
      <c r="CY588" s="2"/>
      <c r="CZ588" s="41"/>
      <c r="DA588" s="1"/>
      <c r="DB588" s="3"/>
      <c r="DC588" s="1"/>
      <c r="DD588" s="23"/>
      <c r="DE588" s="23"/>
      <c r="DF588" s="23"/>
      <c r="DG588" s="23"/>
      <c r="DH588" s="23"/>
      <c r="DI588" s="18"/>
      <c r="DJ588" s="1"/>
      <c r="DK588" s="40"/>
      <c r="DL588" s="3"/>
      <c r="DM588" s="2"/>
      <c r="DN588" s="41"/>
      <c r="DO588" s="1"/>
      <c r="DP588" s="3"/>
      <c r="DQ588" s="1"/>
      <c r="DR588" s="23"/>
      <c r="DS588" s="23"/>
      <c r="DT588" s="23"/>
      <c r="DU588" s="23"/>
      <c r="DV588" s="23"/>
      <c r="DW588" s="18"/>
    </row>
    <row r="589" spans="1:127" x14ac:dyDescent="0.2">
      <c r="A589" s="16"/>
      <c r="B589" s="11"/>
      <c r="C589" s="5" t="s">
        <v>19</v>
      </c>
      <c r="D589" s="13">
        <f>SUM(D585:D588)</f>
        <v>374900</v>
      </c>
      <c r="E589" s="13"/>
      <c r="F589" s="13"/>
      <c r="G589" s="13"/>
      <c r="H589" s="13">
        <f>SUM(H585:H588)</f>
        <v>176</v>
      </c>
      <c r="I589" s="13"/>
      <c r="J589" s="262" t="s">
        <v>31</v>
      </c>
      <c r="K589" s="259"/>
      <c r="L589" s="53">
        <f>SUM(L585:L588)</f>
        <v>73064</v>
      </c>
      <c r="M589" s="83">
        <f>L589/D589</f>
        <v>0.19488930381435049</v>
      </c>
      <c r="N589" s="84"/>
      <c r="O589" s="2"/>
      <c r="P589" s="16"/>
      <c r="Q589" s="5" t="s">
        <v>19</v>
      </c>
      <c r="R589" s="13">
        <f>SUM(R585:R588)</f>
        <v>380000</v>
      </c>
      <c r="S589" s="54"/>
      <c r="T589" s="13"/>
      <c r="U589" s="13"/>
      <c r="V589" s="13">
        <f>SUM(V585:V588)</f>
        <v>81</v>
      </c>
      <c r="W589" s="13"/>
      <c r="X589" s="262" t="s">
        <v>31</v>
      </c>
      <c r="Y589" s="259"/>
      <c r="Z589" s="53">
        <f>SUM(Z585:Z588)</f>
        <v>39747</v>
      </c>
      <c r="AA589" s="83">
        <f>Z589/R589</f>
        <v>0.10459736842105263</v>
      </c>
      <c r="AB589" s="84"/>
      <c r="AC589" s="1"/>
      <c r="AD589" s="16"/>
      <c r="AE589" s="5" t="s">
        <v>19</v>
      </c>
      <c r="AF589" s="13">
        <f>SUM(AF585:AF588)</f>
        <v>441200</v>
      </c>
      <c r="AG589" s="54"/>
      <c r="AH589" s="13"/>
      <c r="AI589" s="13"/>
      <c r="AJ589" s="13">
        <f>SUM(AJ585:AJ588)</f>
        <v>64</v>
      </c>
      <c r="AK589" s="13"/>
      <c r="AL589" s="262" t="s">
        <v>31</v>
      </c>
      <c r="AM589" s="259"/>
      <c r="AN589" s="53">
        <f>SUM(AN585:AN588)</f>
        <v>37522</v>
      </c>
      <c r="AO589" s="83">
        <f>AN589/AF589</f>
        <v>8.5045330915684503E-2</v>
      </c>
      <c r="AP589" s="84"/>
      <c r="AQ589" s="2"/>
      <c r="AR589" s="16"/>
      <c r="AS589" s="5" t="s">
        <v>19</v>
      </c>
      <c r="AT589" s="13">
        <f>SUM(AT585:AT588)</f>
        <v>602300</v>
      </c>
      <c r="AU589" s="54"/>
      <c r="AV589" s="13"/>
      <c r="AW589" s="13"/>
      <c r="AX589" s="13">
        <f>SUM(AX585:AX588)</f>
        <v>138</v>
      </c>
      <c r="AY589" s="13"/>
      <c r="AZ589" s="262" t="s">
        <v>31</v>
      </c>
      <c r="BA589" s="259"/>
      <c r="BB589" s="53">
        <f>SUM(BB585:BB588)</f>
        <v>90514</v>
      </c>
      <c r="BC589" s="83">
        <f>BB589/AT589</f>
        <v>0.1502805910675743</v>
      </c>
      <c r="BD589" s="84"/>
      <c r="BU589" s="42"/>
      <c r="BV589" s="256"/>
      <c r="BW589" s="256"/>
      <c r="BX589" s="41"/>
      <c r="BY589" s="1"/>
      <c r="BZ589" s="3"/>
      <c r="CA589" s="1"/>
      <c r="CB589" s="23"/>
      <c r="CC589" s="23"/>
      <c r="CD589" s="23"/>
      <c r="CE589" s="23"/>
      <c r="CF589" s="23"/>
      <c r="CG589" s="18"/>
      <c r="CH589" s="1"/>
      <c r="CI589" s="42"/>
      <c r="CJ589" s="256"/>
      <c r="CK589" s="256"/>
      <c r="CL589" s="41"/>
      <c r="CM589" s="1"/>
      <c r="CN589" s="3"/>
      <c r="CO589" s="1"/>
      <c r="CP589" s="23"/>
      <c r="CQ589" s="23"/>
      <c r="CR589" s="23"/>
      <c r="CS589" s="23"/>
      <c r="CT589" s="23"/>
      <c r="CU589" s="18"/>
      <c r="CV589" s="1"/>
      <c r="CW589" s="42"/>
      <c r="CX589" s="256"/>
      <c r="CY589" s="256"/>
      <c r="CZ589" s="41"/>
      <c r="DA589" s="1"/>
      <c r="DB589" s="3"/>
      <c r="DC589" s="1"/>
      <c r="DD589" s="23"/>
      <c r="DE589" s="23"/>
      <c r="DF589" s="23"/>
      <c r="DG589" s="23"/>
      <c r="DH589" s="23"/>
      <c r="DI589" s="18"/>
      <c r="DJ589" s="1"/>
      <c r="DK589" s="42"/>
      <c r="DL589" s="256"/>
      <c r="DM589" s="256"/>
      <c r="DN589" s="41"/>
      <c r="DO589" s="1"/>
      <c r="DP589" s="3"/>
      <c r="DQ589" s="1"/>
      <c r="DR589" s="23"/>
      <c r="DS589" s="23"/>
      <c r="DT589" s="23"/>
      <c r="DU589" s="23"/>
      <c r="DV589" s="23"/>
      <c r="DW589" s="18"/>
    </row>
    <row r="590" spans="1:127" x14ac:dyDescent="0.2">
      <c r="A590" s="85"/>
      <c r="B590" s="101"/>
      <c r="C590" s="35"/>
      <c r="D590" s="54"/>
      <c r="E590" s="24"/>
      <c r="F590" s="54"/>
      <c r="G590" s="5"/>
      <c r="H590" s="13"/>
      <c r="I590" s="24"/>
      <c r="J590" s="99"/>
      <c r="K590" s="100"/>
      <c r="L590" s="76"/>
      <c r="M590" s="14"/>
      <c r="N590" s="15"/>
      <c r="O590" s="2"/>
      <c r="P590" s="79"/>
      <c r="Q590" s="5"/>
      <c r="R590" s="13"/>
      <c r="S590" s="13"/>
      <c r="T590" s="13"/>
      <c r="U590" s="5"/>
      <c r="V590" s="13"/>
      <c r="W590" s="24"/>
      <c r="X590" s="99"/>
      <c r="Y590" s="100"/>
      <c r="Z590" s="76"/>
      <c r="AA590" s="14"/>
      <c r="AB590" s="15"/>
      <c r="AD590" s="79"/>
      <c r="AE590" s="5"/>
      <c r="AF590" s="13"/>
      <c r="AG590" s="13"/>
      <c r="AH590" s="13"/>
      <c r="AI590" s="5"/>
      <c r="AJ590" s="13"/>
      <c r="AK590" s="24"/>
      <c r="AL590" s="99"/>
      <c r="AM590" s="100"/>
      <c r="AN590" s="76"/>
      <c r="AO590" s="14"/>
      <c r="AP590" s="15"/>
      <c r="AQ590" s="2"/>
      <c r="AR590" s="79"/>
      <c r="AS590" s="5"/>
      <c r="AT590" s="13"/>
      <c r="AU590" s="13"/>
      <c r="AV590" s="13"/>
      <c r="AW590" s="5"/>
      <c r="AX590" s="13"/>
      <c r="AY590" s="24"/>
      <c r="AZ590" s="118"/>
      <c r="BA590" s="100"/>
      <c r="BB590" s="76"/>
      <c r="BC590" s="14"/>
      <c r="BD590" s="15"/>
      <c r="BU590" s="42"/>
      <c r="BV590" s="3"/>
      <c r="BX590" s="41"/>
      <c r="BY590" s="1"/>
      <c r="BZ590" s="3"/>
      <c r="CA590" s="1"/>
      <c r="CB590" s="23"/>
      <c r="CC590" s="23"/>
      <c r="CD590" s="23"/>
      <c r="CE590" s="23"/>
      <c r="CF590" s="23"/>
      <c r="CG590" s="18"/>
      <c r="CH590" s="1"/>
      <c r="CI590" s="42"/>
      <c r="CJ590" s="3"/>
      <c r="CL590" s="41"/>
      <c r="CM590" s="1"/>
      <c r="CN590" s="3"/>
      <c r="CO590" s="1"/>
      <c r="CP590" s="23"/>
      <c r="CQ590" s="23"/>
      <c r="CR590" s="23"/>
      <c r="CS590" s="23"/>
      <c r="CT590" s="23"/>
      <c r="CU590" s="18"/>
      <c r="CV590" s="1"/>
      <c r="CW590" s="42"/>
      <c r="CX590" s="3"/>
      <c r="CZ590" s="41"/>
      <c r="DA590" s="1"/>
      <c r="DB590" s="3"/>
      <c r="DC590" s="1"/>
      <c r="DD590" s="23"/>
      <c r="DE590" s="23"/>
      <c r="DF590" s="23"/>
      <c r="DG590" s="23"/>
      <c r="DH590" s="23"/>
      <c r="DI590" s="18"/>
      <c r="DJ590" s="1"/>
      <c r="DK590" s="42"/>
      <c r="DL590" s="3"/>
      <c r="DN590" s="41"/>
      <c r="DO590" s="1"/>
      <c r="DP590" s="3"/>
      <c r="DQ590" s="1"/>
      <c r="DR590" s="23"/>
      <c r="DS590" s="23"/>
      <c r="DT590" s="23"/>
      <c r="DU590" s="23"/>
      <c r="DV590" s="23"/>
      <c r="DW590" s="18"/>
    </row>
    <row r="591" spans="1:127" x14ac:dyDescent="0.2">
      <c r="A591" s="257"/>
      <c r="B591" s="257"/>
      <c r="C591" s="257"/>
      <c r="D591" s="257"/>
      <c r="E591" s="257"/>
      <c r="F591" s="257"/>
      <c r="BU591" s="40"/>
      <c r="BV591" s="256"/>
      <c r="BW591" s="256"/>
      <c r="BX591" s="41"/>
      <c r="BY591" s="1"/>
      <c r="BZ591" s="3"/>
      <c r="CA591" s="1"/>
      <c r="CB591" s="23"/>
      <c r="CC591" s="23"/>
      <c r="CD591" s="23"/>
      <c r="CE591" s="23"/>
      <c r="CF591" s="23"/>
      <c r="CG591" s="18"/>
      <c r="CH591" s="1"/>
      <c r="CI591" s="40"/>
      <c r="CJ591" s="256"/>
      <c r="CK591" s="256"/>
      <c r="CL591" s="41"/>
      <c r="CM591" s="1"/>
      <c r="CN591" s="3"/>
      <c r="CO591" s="1"/>
      <c r="CP591" s="23"/>
      <c r="CQ591" s="23"/>
      <c r="CR591" s="23"/>
      <c r="CS591" s="23"/>
      <c r="CT591" s="23"/>
      <c r="CU591" s="18"/>
      <c r="CV591" s="1"/>
      <c r="CW591" s="40"/>
      <c r="CX591" s="256"/>
      <c r="CY591" s="256"/>
      <c r="CZ591" s="41"/>
      <c r="DA591" s="1"/>
      <c r="DB591" s="3"/>
      <c r="DC591" s="1"/>
      <c r="DD591" s="23"/>
      <c r="DE591" s="23"/>
      <c r="DF591" s="23"/>
      <c r="DG591" s="23"/>
      <c r="DH591" s="23"/>
      <c r="DI591" s="18"/>
      <c r="DJ591" s="1"/>
      <c r="DK591" s="40"/>
      <c r="DL591" s="256"/>
      <c r="DM591" s="256"/>
      <c r="DN591" s="41"/>
      <c r="DO591" s="1"/>
      <c r="DP591" s="3"/>
      <c r="DQ591" s="1"/>
      <c r="DR591" s="23"/>
      <c r="DS591" s="23"/>
      <c r="DT591" s="23"/>
      <c r="DU591" s="23"/>
      <c r="DV591" s="23"/>
      <c r="DW591" s="18"/>
    </row>
    <row r="592" spans="1:127" ht="15" customHeight="1" x14ac:dyDescent="0.2">
      <c r="A592" s="257"/>
      <c r="B592" s="257"/>
      <c r="J592"/>
      <c r="BU592" s="40"/>
      <c r="BV592" s="3"/>
      <c r="BX592" s="41"/>
      <c r="BY592" s="1"/>
      <c r="BZ592" s="3"/>
      <c r="CA592" s="1"/>
      <c r="CB592" s="23"/>
      <c r="CC592" s="23"/>
      <c r="CD592" s="23"/>
      <c r="CE592" s="23"/>
      <c r="CF592" s="23"/>
      <c r="CG592" s="18"/>
      <c r="CH592" s="1"/>
      <c r="CI592" s="40"/>
      <c r="CJ592" s="3"/>
      <c r="CL592" s="41"/>
      <c r="CM592" s="1"/>
      <c r="CN592" s="3"/>
      <c r="CO592" s="1"/>
      <c r="CP592" s="23"/>
      <c r="CQ592" s="23"/>
      <c r="CR592" s="23"/>
      <c r="CS592" s="23"/>
      <c r="CT592" s="23"/>
      <c r="CU592" s="18"/>
      <c r="CV592" s="1"/>
      <c r="CW592" s="40"/>
      <c r="CX592" s="3"/>
      <c r="CZ592" s="41"/>
      <c r="DA592" s="1"/>
      <c r="DB592" s="3"/>
      <c r="DC592" s="1"/>
      <c r="DD592" s="23"/>
      <c r="DE592" s="23"/>
      <c r="DF592" s="23"/>
      <c r="DG592" s="23"/>
      <c r="DH592" s="23"/>
      <c r="DI592" s="18"/>
      <c r="DJ592" s="1"/>
      <c r="DK592" s="40"/>
      <c r="DL592" s="3"/>
      <c r="DN592" s="41"/>
      <c r="DO592" s="1"/>
      <c r="DP592" s="3"/>
      <c r="DQ592" s="1"/>
      <c r="DR592" s="23"/>
      <c r="DS592" s="23"/>
      <c r="DT592" s="23"/>
      <c r="DU592" s="23"/>
      <c r="DV592" s="23"/>
      <c r="DW592" s="18"/>
    </row>
    <row r="593" spans="1:127" x14ac:dyDescent="0.2">
      <c r="A593" s="276" t="s">
        <v>42</v>
      </c>
      <c r="B593" s="276"/>
      <c r="C593" s="276"/>
      <c r="D593" s="276"/>
      <c r="E593" s="70" t="s">
        <v>56</v>
      </c>
      <c r="F593" s="70"/>
      <c r="G593" s="70"/>
      <c r="H593" s="70"/>
      <c r="I593" s="70"/>
      <c r="J593" s="71"/>
      <c r="K593" s="70"/>
      <c r="L593" s="70"/>
      <c r="M593" s="70"/>
      <c r="N593" s="72"/>
      <c r="O593" s="2"/>
      <c r="P593" s="276" t="s">
        <v>43</v>
      </c>
      <c r="Q593" s="276"/>
      <c r="R593" s="276"/>
      <c r="S593" s="70" t="s">
        <v>55</v>
      </c>
      <c r="T593" s="70"/>
      <c r="U593" s="70"/>
      <c r="V593" s="70"/>
      <c r="W593" s="70"/>
      <c r="X593" s="73"/>
      <c r="Y593" s="70"/>
      <c r="Z593" s="70"/>
      <c r="AA593" s="70"/>
      <c r="AB593" s="72"/>
      <c r="AC593" s="1"/>
      <c r="AD593" s="276" t="s">
        <v>54</v>
      </c>
      <c r="AE593" s="276"/>
      <c r="AF593" s="276"/>
      <c r="AG593" s="70" t="s">
        <v>52</v>
      </c>
      <c r="AH593" s="70"/>
      <c r="AI593" s="70"/>
      <c r="AJ593" s="70"/>
      <c r="AK593" s="70"/>
      <c r="AL593" s="71"/>
      <c r="AM593" s="70"/>
      <c r="AN593" s="70"/>
      <c r="AO593" s="70"/>
      <c r="AP593" s="72"/>
      <c r="AQ593" s="2"/>
      <c r="AR593" s="276" t="s">
        <v>54</v>
      </c>
      <c r="AS593" s="276"/>
      <c r="AT593" s="276"/>
      <c r="AU593" s="70" t="s">
        <v>53</v>
      </c>
      <c r="AV593" s="70"/>
      <c r="AW593" s="70"/>
      <c r="AX593" s="70"/>
      <c r="AY593" s="70"/>
      <c r="AZ593" s="71"/>
      <c r="BA593" s="70"/>
      <c r="BB593" s="70"/>
      <c r="BC593" s="70"/>
      <c r="BD593" s="72"/>
      <c r="BU593" s="124"/>
      <c r="BV593" s="277" t="s">
        <v>137</v>
      </c>
      <c r="BW593" s="278"/>
      <c r="BX593" s="278"/>
      <c r="BY593" s="278"/>
      <c r="BZ593" s="125"/>
      <c r="CA593" s="125"/>
      <c r="CB593" s="125"/>
      <c r="CC593" s="125"/>
      <c r="CD593" s="125"/>
      <c r="CE593" s="125"/>
      <c r="CF593" s="125"/>
      <c r="CG593" s="125"/>
      <c r="CH593" s="125"/>
      <c r="CI593" s="124"/>
      <c r="CJ593" s="277" t="s">
        <v>138</v>
      </c>
      <c r="CK593" s="278"/>
      <c r="CL593" s="278"/>
      <c r="CM593" s="278"/>
      <c r="CN593" s="125"/>
      <c r="CO593" s="125"/>
      <c r="CP593" s="125"/>
      <c r="CQ593" s="125"/>
      <c r="CR593" s="125"/>
      <c r="CS593" s="125"/>
      <c r="CT593" s="125"/>
      <c r="CU593" s="125"/>
      <c r="CV593" s="125"/>
      <c r="CW593" s="124"/>
      <c r="CX593" s="277" t="s">
        <v>139</v>
      </c>
      <c r="CY593" s="278"/>
      <c r="CZ593" s="278"/>
      <c r="DA593" s="278"/>
      <c r="DB593" s="125"/>
      <c r="DC593" s="125"/>
      <c r="DD593" s="125"/>
      <c r="DE593" s="125"/>
      <c r="DF593" s="125"/>
      <c r="DG593" s="125"/>
      <c r="DH593" s="125"/>
      <c r="DI593" s="125"/>
      <c r="DJ593" s="125"/>
      <c r="DK593" s="124"/>
      <c r="DL593" s="277" t="s">
        <v>140</v>
      </c>
      <c r="DM593" s="278"/>
      <c r="DN593" s="278"/>
      <c r="DO593" s="278"/>
      <c r="DP593" s="125"/>
      <c r="DQ593" s="125"/>
      <c r="DR593" s="125"/>
      <c r="DS593" s="125"/>
      <c r="DT593" s="125"/>
      <c r="DU593" s="125"/>
      <c r="DV593" s="125"/>
      <c r="DW593" s="125"/>
    </row>
    <row r="594" spans="1:127" x14ac:dyDescent="0.2">
      <c r="A594" s="7" t="s">
        <v>1</v>
      </c>
      <c r="B594" s="4" t="s">
        <v>19</v>
      </c>
      <c r="C594" s="5" t="s">
        <v>2</v>
      </c>
      <c r="D594" s="5" t="s">
        <v>3</v>
      </c>
      <c r="E594" s="6" t="s">
        <v>4</v>
      </c>
      <c r="F594" s="5" t="s">
        <v>3</v>
      </c>
      <c r="G594" s="5" t="s">
        <v>5</v>
      </c>
      <c r="H594" s="5" t="s">
        <v>6</v>
      </c>
      <c r="I594" s="5" t="s">
        <v>7</v>
      </c>
      <c r="J594" s="55" t="s">
        <v>12</v>
      </c>
      <c r="K594" s="5" t="s">
        <v>8</v>
      </c>
      <c r="L594" s="5" t="s">
        <v>6</v>
      </c>
      <c r="M594" s="5" t="s">
        <v>13</v>
      </c>
      <c r="N594" s="5" t="s">
        <v>11</v>
      </c>
      <c r="O594" s="2"/>
      <c r="P594" s="7" t="s">
        <v>1</v>
      </c>
      <c r="Q594" s="5" t="s">
        <v>2</v>
      </c>
      <c r="R594" s="5" t="s">
        <v>3</v>
      </c>
      <c r="S594" s="6" t="s">
        <v>4</v>
      </c>
      <c r="T594" s="5" t="s">
        <v>3</v>
      </c>
      <c r="U594" s="5" t="s">
        <v>5</v>
      </c>
      <c r="V594" s="5" t="s">
        <v>6</v>
      </c>
      <c r="W594" s="5" t="s">
        <v>7</v>
      </c>
      <c r="X594" s="6" t="s">
        <v>12</v>
      </c>
      <c r="Y594" s="5" t="s">
        <v>8</v>
      </c>
      <c r="Z594" s="5" t="s">
        <v>6</v>
      </c>
      <c r="AA594" s="5" t="s">
        <v>13</v>
      </c>
      <c r="AB594" s="5" t="s">
        <v>11</v>
      </c>
      <c r="AC594" s="3"/>
      <c r="AD594" s="7" t="s">
        <v>1</v>
      </c>
      <c r="AE594" s="5" t="s">
        <v>2</v>
      </c>
      <c r="AF594" s="5" t="s">
        <v>3</v>
      </c>
      <c r="AG594" s="6" t="s">
        <v>4</v>
      </c>
      <c r="AH594" s="5" t="s">
        <v>3</v>
      </c>
      <c r="AI594" s="5" t="s">
        <v>5</v>
      </c>
      <c r="AJ594" s="5" t="s">
        <v>6</v>
      </c>
      <c r="AK594" s="5" t="s">
        <v>7</v>
      </c>
      <c r="AL594" s="55" t="s">
        <v>12</v>
      </c>
      <c r="AM594" s="5" t="s">
        <v>8</v>
      </c>
      <c r="AN594" s="5" t="s">
        <v>6</v>
      </c>
      <c r="AO594" s="5" t="s">
        <v>13</v>
      </c>
      <c r="AP594" s="5" t="s">
        <v>11</v>
      </c>
      <c r="AQ594" s="2"/>
      <c r="AR594" s="7" t="s">
        <v>1</v>
      </c>
      <c r="AS594" s="5" t="s">
        <v>2</v>
      </c>
      <c r="AT594" s="5" t="s">
        <v>3</v>
      </c>
      <c r="AU594" s="6" t="s">
        <v>4</v>
      </c>
      <c r="AV594" s="5" t="s">
        <v>3</v>
      </c>
      <c r="AW594" s="5" t="s">
        <v>5</v>
      </c>
      <c r="AX594" s="5" t="s">
        <v>6</v>
      </c>
      <c r="AY594" s="5" t="s">
        <v>7</v>
      </c>
      <c r="AZ594" s="55" t="s">
        <v>12</v>
      </c>
      <c r="BA594" s="5" t="s">
        <v>8</v>
      </c>
      <c r="BB594" s="5" t="s">
        <v>6</v>
      </c>
      <c r="BC594" s="5" t="s">
        <v>13</v>
      </c>
      <c r="BD594" s="5" t="s">
        <v>11</v>
      </c>
      <c r="BU594" s="8" t="s">
        <v>1</v>
      </c>
      <c r="BV594" s="5" t="s">
        <v>2</v>
      </c>
      <c r="BW594" s="5" t="s">
        <v>3</v>
      </c>
      <c r="BX594" s="6" t="s">
        <v>4</v>
      </c>
      <c r="BY594" s="5" t="s">
        <v>3</v>
      </c>
      <c r="BZ594" s="5" t="s">
        <v>5</v>
      </c>
      <c r="CA594" s="5" t="s">
        <v>6</v>
      </c>
      <c r="CB594" s="5" t="s">
        <v>7</v>
      </c>
      <c r="CC594" s="5"/>
      <c r="CD594" s="5" t="s">
        <v>8</v>
      </c>
      <c r="CE594" s="5" t="s">
        <v>9</v>
      </c>
      <c r="CF594" s="5" t="s">
        <v>10</v>
      </c>
      <c r="CG594" s="5" t="s">
        <v>11</v>
      </c>
      <c r="CH594" s="63"/>
      <c r="CI594" s="8" t="s">
        <v>1</v>
      </c>
      <c r="CJ594" s="5" t="s">
        <v>2</v>
      </c>
      <c r="CK594" s="5" t="s">
        <v>3</v>
      </c>
      <c r="CL594" s="6" t="s">
        <v>4</v>
      </c>
      <c r="CM594" s="5" t="s">
        <v>3</v>
      </c>
      <c r="CN594" s="5" t="s">
        <v>5</v>
      </c>
      <c r="CO594" s="5" t="s">
        <v>6</v>
      </c>
      <c r="CP594" s="5" t="s">
        <v>7</v>
      </c>
      <c r="CQ594" s="5"/>
      <c r="CR594" s="5" t="s">
        <v>8</v>
      </c>
      <c r="CS594" s="5" t="s">
        <v>9</v>
      </c>
      <c r="CT594" s="5" t="s">
        <v>10</v>
      </c>
      <c r="CU594" s="5" t="s">
        <v>11</v>
      </c>
      <c r="CV594" s="1"/>
      <c r="CW594" s="8" t="s">
        <v>1</v>
      </c>
      <c r="CX594" s="5" t="s">
        <v>2</v>
      </c>
      <c r="CY594" s="5" t="s">
        <v>3</v>
      </c>
      <c r="CZ594" s="6" t="s">
        <v>4</v>
      </c>
      <c r="DA594" s="5" t="s">
        <v>3</v>
      </c>
      <c r="DB594" s="5" t="s">
        <v>5</v>
      </c>
      <c r="DC594" s="5" t="s">
        <v>6</v>
      </c>
      <c r="DD594" s="5" t="s">
        <v>7</v>
      </c>
      <c r="DE594" s="5"/>
      <c r="DF594" s="5" t="s">
        <v>8</v>
      </c>
      <c r="DG594" s="5" t="s">
        <v>9</v>
      </c>
      <c r="DH594" s="5" t="s">
        <v>10</v>
      </c>
      <c r="DI594" s="5" t="s">
        <v>11</v>
      </c>
      <c r="DJ594" s="63"/>
      <c r="DK594" s="8" t="s">
        <v>1</v>
      </c>
      <c r="DL594" s="5" t="s">
        <v>2</v>
      </c>
      <c r="DM594" s="5" t="s">
        <v>3</v>
      </c>
      <c r="DN594" s="6" t="s">
        <v>4</v>
      </c>
      <c r="DO594" s="5" t="s">
        <v>3</v>
      </c>
      <c r="DP594" s="5" t="s">
        <v>5</v>
      </c>
      <c r="DQ594" s="5" t="s">
        <v>6</v>
      </c>
      <c r="DR594" s="5" t="s">
        <v>7</v>
      </c>
      <c r="DS594" s="5"/>
      <c r="DT594" s="5" t="s">
        <v>8</v>
      </c>
      <c r="DU594" s="5" t="s">
        <v>9</v>
      </c>
      <c r="DV594" s="5" t="s">
        <v>10</v>
      </c>
      <c r="DW594" s="5" t="s">
        <v>11</v>
      </c>
    </row>
    <row r="595" spans="1:127" x14ac:dyDescent="0.2">
      <c r="A595" s="16">
        <v>45914</v>
      </c>
      <c r="B595" s="74">
        <v>1624</v>
      </c>
      <c r="C595" s="53">
        <v>2160</v>
      </c>
      <c r="D595" s="53">
        <v>42</v>
      </c>
      <c r="E595" s="53">
        <v>281</v>
      </c>
      <c r="F595" s="53">
        <v>0</v>
      </c>
      <c r="G595" s="53">
        <v>17</v>
      </c>
      <c r="H595" s="53">
        <v>0</v>
      </c>
      <c r="I595" s="53">
        <v>0</v>
      </c>
      <c r="J595" s="75" t="s">
        <v>60</v>
      </c>
      <c r="K595" s="76">
        <v>748</v>
      </c>
      <c r="L595" s="53">
        <v>0</v>
      </c>
      <c r="M595" s="77">
        <v>0</v>
      </c>
      <c r="N595" s="15"/>
      <c r="O595" s="2"/>
      <c r="P595" s="16">
        <v>45914</v>
      </c>
      <c r="Q595" s="53">
        <v>1331</v>
      </c>
      <c r="R595" s="53">
        <v>120</v>
      </c>
      <c r="S595" s="53">
        <v>77</v>
      </c>
      <c r="T595" s="53">
        <v>2</v>
      </c>
      <c r="U595" s="53">
        <v>5</v>
      </c>
      <c r="V595" s="53">
        <v>4</v>
      </c>
      <c r="W595" s="53">
        <v>1</v>
      </c>
      <c r="X595" s="75" t="s">
        <v>282</v>
      </c>
      <c r="Y595" s="76">
        <v>1100</v>
      </c>
      <c r="Z595" s="53">
        <v>4400</v>
      </c>
      <c r="AA595" s="77">
        <v>0.36666666666666664</v>
      </c>
      <c r="AB595" s="15"/>
      <c r="AC595" s="1"/>
      <c r="AD595" s="16">
        <v>45914</v>
      </c>
      <c r="AE595" s="53">
        <v>7337</v>
      </c>
      <c r="AF595" s="53">
        <v>42</v>
      </c>
      <c r="AG595" s="53">
        <v>166</v>
      </c>
      <c r="AH595" s="53">
        <v>1</v>
      </c>
      <c r="AI595" s="53">
        <v>19</v>
      </c>
      <c r="AJ595" s="53">
        <v>1</v>
      </c>
      <c r="AK595" s="53">
        <v>2</v>
      </c>
      <c r="AL595" s="75" t="s">
        <v>239</v>
      </c>
      <c r="AM595" s="76">
        <v>660</v>
      </c>
      <c r="AN595" s="53">
        <v>660</v>
      </c>
      <c r="AO595" s="77">
        <v>0.15714285714285714</v>
      </c>
      <c r="AP595" s="15"/>
      <c r="AQ595" s="2"/>
      <c r="AR595" s="16">
        <v>45914</v>
      </c>
      <c r="AS595" s="53">
        <v>8055</v>
      </c>
      <c r="AT595" s="53">
        <v>41</v>
      </c>
      <c r="AU595" s="53">
        <v>239</v>
      </c>
      <c r="AV595" s="53">
        <v>1</v>
      </c>
      <c r="AW595" s="53">
        <v>14</v>
      </c>
      <c r="AX595" s="53">
        <v>1</v>
      </c>
      <c r="AY595" s="53">
        <v>0</v>
      </c>
      <c r="AZ595" s="75" t="s">
        <v>194</v>
      </c>
      <c r="BA595" s="76">
        <v>726</v>
      </c>
      <c r="BB595" s="53">
        <v>726</v>
      </c>
      <c r="BC595" s="77">
        <v>0.17707317073170731</v>
      </c>
      <c r="BD595" s="15"/>
      <c r="BU595" s="16">
        <v>45914</v>
      </c>
      <c r="BV595" s="76">
        <v>7201</v>
      </c>
      <c r="BW595" s="53">
        <v>184</v>
      </c>
      <c r="BX595" s="53">
        <v>172</v>
      </c>
      <c r="BY595" s="53">
        <v>6</v>
      </c>
      <c r="BZ595" s="53">
        <v>8</v>
      </c>
      <c r="CA595" s="53">
        <v>7</v>
      </c>
      <c r="CB595" s="53">
        <v>9</v>
      </c>
      <c r="CC595" s="53"/>
      <c r="CD595" s="53">
        <v>495</v>
      </c>
      <c r="CE595" s="13">
        <v>3465</v>
      </c>
      <c r="CF595" s="14">
        <v>0.18831521739130436</v>
      </c>
      <c r="CG595" s="91" t="s">
        <v>290</v>
      </c>
      <c r="CH595" s="1"/>
      <c r="CI595" s="16">
        <v>45914</v>
      </c>
      <c r="CJ595" s="76">
        <v>4028</v>
      </c>
      <c r="CK595" s="53">
        <v>54</v>
      </c>
      <c r="CL595" s="53">
        <v>47</v>
      </c>
      <c r="CM595" s="53">
        <v>1</v>
      </c>
      <c r="CN595" s="53">
        <v>11</v>
      </c>
      <c r="CO595" s="53">
        <v>1</v>
      </c>
      <c r="CP595" s="53">
        <v>0</v>
      </c>
      <c r="CQ595" s="53"/>
      <c r="CR595" s="13">
        <v>1012</v>
      </c>
      <c r="CS595" s="13">
        <v>1012</v>
      </c>
      <c r="CT595" s="14">
        <v>0.18740740740740741</v>
      </c>
      <c r="CU595" s="67"/>
      <c r="CV595" s="1"/>
      <c r="CW595" s="16">
        <v>45914</v>
      </c>
      <c r="CX595" s="76">
        <v>6369</v>
      </c>
      <c r="CY595" s="53">
        <v>81</v>
      </c>
      <c r="CZ595" s="53">
        <v>152</v>
      </c>
      <c r="DA595" s="53">
        <v>1</v>
      </c>
      <c r="DB595" s="53">
        <v>43</v>
      </c>
      <c r="DC595" s="53">
        <v>1</v>
      </c>
      <c r="DD595" s="53">
        <v>0</v>
      </c>
      <c r="DE595" s="53"/>
      <c r="DF595" s="53">
        <v>880</v>
      </c>
      <c r="DG595" s="13">
        <v>880</v>
      </c>
      <c r="DH595" s="14">
        <v>0.10864197530864197</v>
      </c>
      <c r="DI595" s="15" t="s">
        <v>156</v>
      </c>
      <c r="DJ595" s="1"/>
      <c r="DK595" s="16">
        <v>45914</v>
      </c>
      <c r="DL595" s="76">
        <v>4555</v>
      </c>
      <c r="DM595" s="53">
        <v>107</v>
      </c>
      <c r="DN595" s="53">
        <v>206</v>
      </c>
      <c r="DO595" s="53">
        <v>3</v>
      </c>
      <c r="DP595" s="53">
        <v>30</v>
      </c>
      <c r="DQ595" s="53">
        <v>4</v>
      </c>
      <c r="DR595" s="53">
        <v>0</v>
      </c>
      <c r="DS595" s="53"/>
      <c r="DT595" s="13">
        <v>1100</v>
      </c>
      <c r="DU595" s="13">
        <v>4400</v>
      </c>
      <c r="DV595" s="14">
        <v>0.41121495327102803</v>
      </c>
      <c r="DW595" s="22" t="s">
        <v>66</v>
      </c>
    </row>
    <row r="596" spans="1:127" x14ac:dyDescent="0.2">
      <c r="A596" s="16"/>
      <c r="B596" s="11"/>
      <c r="C596" s="13">
        <v>1576</v>
      </c>
      <c r="D596" s="13">
        <v>25</v>
      </c>
      <c r="E596" s="13">
        <v>292</v>
      </c>
      <c r="F596" s="13">
        <v>5</v>
      </c>
      <c r="G596" s="13">
        <v>45</v>
      </c>
      <c r="H596" s="13">
        <v>5</v>
      </c>
      <c r="I596" s="13">
        <v>0</v>
      </c>
      <c r="J596" s="56" t="s">
        <v>249</v>
      </c>
      <c r="K596" s="54">
        <v>220</v>
      </c>
      <c r="L596" s="13">
        <v>1100</v>
      </c>
      <c r="M596" s="14">
        <v>0.44</v>
      </c>
      <c r="N596" s="15"/>
      <c r="O596" s="2"/>
      <c r="P596" s="16"/>
      <c r="Q596" s="13">
        <v>1845</v>
      </c>
      <c r="R596" s="13">
        <v>29</v>
      </c>
      <c r="S596" s="13">
        <v>65</v>
      </c>
      <c r="T596" s="13">
        <v>4</v>
      </c>
      <c r="U596" s="13">
        <v>11</v>
      </c>
      <c r="V596" s="13">
        <v>4</v>
      </c>
      <c r="W596" s="13">
        <v>0</v>
      </c>
      <c r="X596" s="75" t="s">
        <v>291</v>
      </c>
      <c r="Y596" s="53">
        <v>1100</v>
      </c>
      <c r="Z596" s="13">
        <v>4400</v>
      </c>
      <c r="AA596" s="14">
        <v>1.5172413793103448</v>
      </c>
      <c r="AB596" s="15" t="s">
        <v>289</v>
      </c>
      <c r="AC596" s="1"/>
      <c r="AD596" s="16"/>
      <c r="AE596" s="13">
        <v>6401</v>
      </c>
      <c r="AF596" s="13">
        <v>52</v>
      </c>
      <c r="AG596" s="13">
        <v>146</v>
      </c>
      <c r="AH596" s="13">
        <v>1</v>
      </c>
      <c r="AI596" s="13">
        <v>10</v>
      </c>
      <c r="AJ596" s="13">
        <v>1</v>
      </c>
      <c r="AK596" s="13">
        <v>6</v>
      </c>
      <c r="AL596" s="56" t="s">
        <v>288</v>
      </c>
      <c r="AM596" s="54">
        <v>605</v>
      </c>
      <c r="AN596" s="13">
        <v>605</v>
      </c>
      <c r="AO596" s="14">
        <v>0.11634615384615385</v>
      </c>
      <c r="AP596" s="15"/>
      <c r="AQ596" s="2"/>
      <c r="AR596" s="16"/>
      <c r="AS596" s="13">
        <v>5441</v>
      </c>
      <c r="AT596" s="13">
        <v>25</v>
      </c>
      <c r="AU596" s="13">
        <v>271</v>
      </c>
      <c r="AV596" s="13">
        <v>0</v>
      </c>
      <c r="AW596" s="13">
        <v>30</v>
      </c>
      <c r="AX596" s="13">
        <v>0</v>
      </c>
      <c r="AY596" s="13">
        <v>0</v>
      </c>
      <c r="AZ596" s="56" t="s">
        <v>164</v>
      </c>
      <c r="BA596" s="54">
        <v>1000</v>
      </c>
      <c r="BB596" s="13">
        <v>0</v>
      </c>
      <c r="BC596" s="14">
        <v>0</v>
      </c>
      <c r="BD596" s="15"/>
      <c r="BU596" s="79">
        <f>IF($A599="","",$A599)</f>
        <v>45916</v>
      </c>
      <c r="BV596" s="17">
        <v>7473</v>
      </c>
      <c r="BW596" s="13">
        <f t="shared" ref="BW596:BW608" si="966">IF(BV596="","",BV596-BV595)</f>
        <v>272</v>
      </c>
      <c r="BX596" s="13">
        <v>177</v>
      </c>
      <c r="BY596" s="13">
        <f t="shared" ref="BY596:BY608" si="967">IF(BX596="","",BX596-BX595)</f>
        <v>5</v>
      </c>
      <c r="BZ596" s="13">
        <v>12</v>
      </c>
      <c r="CA596" s="13">
        <f t="shared" ref="CA596:CA608" si="968">IF(BZ596="","",BZ595+CB595-BZ596)</f>
        <v>5</v>
      </c>
      <c r="CB596" s="13">
        <v>11</v>
      </c>
      <c r="CC596" s="53"/>
      <c r="CD596" s="53">
        <v>550</v>
      </c>
      <c r="CE596" s="13">
        <f t="shared" ref="CE596:CE608" si="969">IF(CD596="","",CA596*CD596)</f>
        <v>2750</v>
      </c>
      <c r="CF596" s="14">
        <f t="shared" ref="CF596:CF607" si="970">IF(CE596="","",CE596/(BW596*100))</f>
        <v>0.10110294117647059</v>
      </c>
      <c r="CG596" s="15"/>
      <c r="CH596" s="1"/>
      <c r="CI596" s="79">
        <f>IF($A599="","",$A599)</f>
        <v>45916</v>
      </c>
      <c r="CJ596" s="17">
        <v>4134</v>
      </c>
      <c r="CK596" s="13">
        <f t="shared" ref="CK596:CK608" si="971">IF(CJ596="","",CJ596-CJ595)</f>
        <v>106</v>
      </c>
      <c r="CL596" s="13">
        <v>48</v>
      </c>
      <c r="CM596" s="13">
        <f t="shared" ref="CM596:CM608" si="972">IF(CL596="","",CL596-CL595)</f>
        <v>1</v>
      </c>
      <c r="CN596" s="13">
        <v>10</v>
      </c>
      <c r="CO596" s="13">
        <f t="shared" ref="CO596:CO608" si="973">IF(CN596="","",CN595+CP595-CN596)</f>
        <v>1</v>
      </c>
      <c r="CP596" s="13">
        <v>0</v>
      </c>
      <c r="CQ596" s="53"/>
      <c r="CR596" s="53">
        <f t="shared" ref="CR596:CR608" si="974">IF(CJ596="","",CR595)</f>
        <v>1012</v>
      </c>
      <c r="CS596" s="13">
        <f t="shared" ref="CS596:CS608" si="975">IF(CR596="","",CO596*CR596)</f>
        <v>1012</v>
      </c>
      <c r="CT596" s="14">
        <f t="shared" ref="CT596:CT613" si="976">IF(CS596="","",CS596/(CK596*100))</f>
        <v>9.5471698113207548E-2</v>
      </c>
      <c r="CU596" s="15"/>
      <c r="CV596" s="1"/>
      <c r="CW596" s="79">
        <f>IF($A599="","",$A599)</f>
        <v>45916</v>
      </c>
      <c r="CX596" s="17">
        <v>6509</v>
      </c>
      <c r="CY596" s="13">
        <f t="shared" ref="CY596:CY608" si="977">IF(CX596="","",CX596-CX595)</f>
        <v>140</v>
      </c>
      <c r="CZ596" s="13">
        <v>154</v>
      </c>
      <c r="DA596" s="13">
        <f t="shared" ref="DA596:DA608" si="978">IF(CZ596="","",CZ596-CZ595)</f>
        <v>2</v>
      </c>
      <c r="DB596" s="13">
        <v>40</v>
      </c>
      <c r="DC596" s="13">
        <f t="shared" ref="DC596:DC608" si="979">IF(DB596="","",DB595+DD595-DB596)</f>
        <v>3</v>
      </c>
      <c r="DD596" s="13">
        <v>8</v>
      </c>
      <c r="DE596" s="53"/>
      <c r="DF596" s="53">
        <f t="shared" ref="DF596:DF608" si="980">IF(CX596="","",DF595)</f>
        <v>880</v>
      </c>
      <c r="DG596" s="13">
        <f t="shared" ref="DG596:DG608" si="981">IF(DF596="","",DC596*DF596)</f>
        <v>2640</v>
      </c>
      <c r="DH596" s="14">
        <f t="shared" ref="DH596:DH608" si="982">IF(DG596="","",DG596/(CY596*100))</f>
        <v>0.18857142857142858</v>
      </c>
      <c r="DI596" s="15"/>
      <c r="DJ596" s="1"/>
      <c r="DK596" s="79">
        <f>IF($A599="","",$A599)</f>
        <v>45916</v>
      </c>
      <c r="DL596" s="17">
        <v>4637</v>
      </c>
      <c r="DM596" s="13">
        <f t="shared" ref="DM596:DM608" si="983">IF(DL596="","",DL596-DL595)</f>
        <v>82</v>
      </c>
      <c r="DN596" s="13">
        <v>208</v>
      </c>
      <c r="DO596" s="13">
        <f t="shared" ref="DO596:DO608" si="984">IF(DN596="","",DN596-DN595)</f>
        <v>2</v>
      </c>
      <c r="DP596" s="13">
        <v>30</v>
      </c>
      <c r="DQ596" s="13">
        <f t="shared" ref="DQ596:DQ608" si="985">IF(DP596="","",DP595+DR595-DP596)</f>
        <v>0</v>
      </c>
      <c r="DR596" s="13">
        <v>0</v>
      </c>
      <c r="DS596" s="53"/>
      <c r="DT596" s="53">
        <f t="shared" ref="DT596:DT608" si="986">IF(DL596="","",DT595)</f>
        <v>1100</v>
      </c>
      <c r="DU596" s="13">
        <f t="shared" ref="DU596:DU608" si="987">IF(DT596="","",DQ596*DT596)</f>
        <v>0</v>
      </c>
      <c r="DV596" s="14">
        <f t="shared" ref="DV596:DV608" si="988">IF(DU596="","",DU596/(DM596*100))</f>
        <v>0</v>
      </c>
      <c r="DW596" s="15"/>
    </row>
    <row r="597" spans="1:127" x14ac:dyDescent="0.2">
      <c r="A597" s="16"/>
      <c r="B597" s="11"/>
      <c r="C597" s="13">
        <v>5920</v>
      </c>
      <c r="D597" s="13">
        <v>178</v>
      </c>
      <c r="E597" s="13">
        <v>399</v>
      </c>
      <c r="F597" s="13">
        <v>6</v>
      </c>
      <c r="G597" s="13">
        <v>80</v>
      </c>
      <c r="H597" s="13">
        <v>8</v>
      </c>
      <c r="I597" s="13">
        <v>4</v>
      </c>
      <c r="J597" s="56" t="s">
        <v>171</v>
      </c>
      <c r="K597" s="54">
        <v>200</v>
      </c>
      <c r="L597" s="13">
        <v>1600</v>
      </c>
      <c r="M597" s="14">
        <v>8.98876404494382E-2</v>
      </c>
      <c r="N597" s="15"/>
      <c r="O597" s="2"/>
      <c r="P597" s="16"/>
      <c r="Q597" s="13">
        <v>2559</v>
      </c>
      <c r="R597" s="13">
        <v>240</v>
      </c>
      <c r="S597" s="13">
        <v>34</v>
      </c>
      <c r="T597" s="13">
        <v>4</v>
      </c>
      <c r="U597" s="13">
        <v>8</v>
      </c>
      <c r="V597" s="13">
        <v>4</v>
      </c>
      <c r="W597" s="13">
        <v>3</v>
      </c>
      <c r="X597" s="56" t="s">
        <v>293</v>
      </c>
      <c r="Y597" s="54">
        <v>400</v>
      </c>
      <c r="Z597" s="13">
        <v>1800</v>
      </c>
      <c r="AA597" s="14">
        <v>7.4999999999999997E-2</v>
      </c>
      <c r="AB597" s="15"/>
      <c r="AC597" s="105"/>
      <c r="AD597" s="16"/>
      <c r="AE597" s="13">
        <v>6848</v>
      </c>
      <c r="AF597" s="13">
        <v>10</v>
      </c>
      <c r="AG597" s="13">
        <v>257</v>
      </c>
      <c r="AH597" s="13">
        <v>1</v>
      </c>
      <c r="AI597" s="13">
        <v>16</v>
      </c>
      <c r="AJ597" s="13">
        <v>1</v>
      </c>
      <c r="AK597" s="13">
        <v>4</v>
      </c>
      <c r="AL597" s="56" t="s">
        <v>278</v>
      </c>
      <c r="AM597" s="54">
        <v>490</v>
      </c>
      <c r="AN597" s="13">
        <v>490</v>
      </c>
      <c r="AO597" s="14">
        <v>0.49</v>
      </c>
      <c r="AP597" s="15"/>
      <c r="AQ597" s="2"/>
      <c r="AR597" s="16"/>
      <c r="AS597" s="13">
        <v>9035</v>
      </c>
      <c r="AT597" s="13">
        <v>65</v>
      </c>
      <c r="AU597" s="13">
        <v>371</v>
      </c>
      <c r="AV597" s="13">
        <v>1</v>
      </c>
      <c r="AW597" s="13">
        <v>13</v>
      </c>
      <c r="AX597" s="13">
        <v>1</v>
      </c>
      <c r="AY597" s="13">
        <v>0</v>
      </c>
      <c r="AZ597" s="56" t="s">
        <v>268</v>
      </c>
      <c r="BA597" s="54">
        <v>528</v>
      </c>
      <c r="BB597" s="13">
        <v>528</v>
      </c>
      <c r="BC597" s="14">
        <v>8.1230769230769231E-2</v>
      </c>
      <c r="BD597" s="15"/>
      <c r="BU597" s="79">
        <f>IF($A603="","",$A603)</f>
        <v>45919</v>
      </c>
      <c r="BV597" s="17">
        <v>7650</v>
      </c>
      <c r="BW597" s="13">
        <f t="shared" si="966"/>
        <v>177</v>
      </c>
      <c r="BX597" s="13">
        <v>183</v>
      </c>
      <c r="BY597" s="13">
        <f t="shared" si="967"/>
        <v>6</v>
      </c>
      <c r="BZ597" s="13">
        <v>16</v>
      </c>
      <c r="CA597" s="13">
        <f t="shared" si="968"/>
        <v>7</v>
      </c>
      <c r="CB597" s="13">
        <v>10</v>
      </c>
      <c r="CC597" s="53"/>
      <c r="CD597" s="53">
        <f t="shared" ref="CD597:CD608" si="989">IF(BV597="","",CD596)</f>
        <v>550</v>
      </c>
      <c r="CE597" s="13">
        <f t="shared" si="969"/>
        <v>3850</v>
      </c>
      <c r="CF597" s="14">
        <f t="shared" si="970"/>
        <v>0.2175141242937853</v>
      </c>
      <c r="CG597" s="15"/>
      <c r="CH597" s="1"/>
      <c r="CI597" s="79">
        <f>IF($A603="","",$A603)</f>
        <v>45919</v>
      </c>
      <c r="CJ597" s="17">
        <v>4201</v>
      </c>
      <c r="CK597" s="87">
        <f t="shared" si="971"/>
        <v>67</v>
      </c>
      <c r="CL597" s="13">
        <v>49</v>
      </c>
      <c r="CM597" s="13">
        <f t="shared" si="972"/>
        <v>1</v>
      </c>
      <c r="CN597" s="13">
        <v>9</v>
      </c>
      <c r="CO597" s="13">
        <f t="shared" si="973"/>
        <v>1</v>
      </c>
      <c r="CP597" s="13">
        <v>2</v>
      </c>
      <c r="CQ597" s="53"/>
      <c r="CR597" s="53">
        <f t="shared" si="974"/>
        <v>1012</v>
      </c>
      <c r="CS597" s="13">
        <f t="shared" si="975"/>
        <v>1012</v>
      </c>
      <c r="CT597" s="14">
        <f t="shared" si="976"/>
        <v>0.15104477611940298</v>
      </c>
      <c r="CU597" s="15"/>
      <c r="CV597" s="1"/>
      <c r="CW597" s="79">
        <f>IF($A603="","",$A603)</f>
        <v>45919</v>
      </c>
      <c r="CX597" s="17">
        <v>6565</v>
      </c>
      <c r="CY597" s="87">
        <f t="shared" si="977"/>
        <v>56</v>
      </c>
      <c r="CZ597" s="13">
        <v>154</v>
      </c>
      <c r="DA597" s="13">
        <f t="shared" si="978"/>
        <v>0</v>
      </c>
      <c r="DB597" s="13">
        <v>48</v>
      </c>
      <c r="DC597" s="13">
        <f t="shared" si="979"/>
        <v>0</v>
      </c>
      <c r="DD597" s="13">
        <v>0</v>
      </c>
      <c r="DE597" s="53"/>
      <c r="DF597" s="53">
        <f t="shared" si="980"/>
        <v>880</v>
      </c>
      <c r="DG597" s="13">
        <f t="shared" si="981"/>
        <v>0</v>
      </c>
      <c r="DH597" s="14">
        <f t="shared" si="982"/>
        <v>0</v>
      </c>
      <c r="DI597" s="15"/>
      <c r="DJ597" s="1"/>
      <c r="DK597" s="79">
        <f>IF($A603="","",$A603)</f>
        <v>45919</v>
      </c>
      <c r="DL597" s="17">
        <v>4714</v>
      </c>
      <c r="DM597" s="13">
        <f t="shared" si="983"/>
        <v>77</v>
      </c>
      <c r="DN597" s="13">
        <v>208</v>
      </c>
      <c r="DO597" s="13">
        <f t="shared" si="984"/>
        <v>0</v>
      </c>
      <c r="DP597" s="13">
        <v>30</v>
      </c>
      <c r="DQ597" s="13">
        <f t="shared" si="985"/>
        <v>0</v>
      </c>
      <c r="DR597" s="13">
        <v>10</v>
      </c>
      <c r="DS597" s="53"/>
      <c r="DT597" s="53">
        <f t="shared" si="986"/>
        <v>1100</v>
      </c>
      <c r="DU597" s="13">
        <f t="shared" si="987"/>
        <v>0</v>
      </c>
      <c r="DV597" s="14">
        <f t="shared" si="988"/>
        <v>0</v>
      </c>
      <c r="DW597" s="15"/>
    </row>
    <row r="598" spans="1:127" ht="15" customHeight="1" thickBot="1" x14ac:dyDescent="0.25">
      <c r="A598" s="26"/>
      <c r="B598" s="46"/>
      <c r="C598" s="27">
        <v>2768</v>
      </c>
      <c r="D598" s="27">
        <v>99</v>
      </c>
      <c r="E598" s="27">
        <v>362</v>
      </c>
      <c r="F598" s="27">
        <v>2</v>
      </c>
      <c r="G598" s="27">
        <v>48</v>
      </c>
      <c r="H598" s="27">
        <v>2</v>
      </c>
      <c r="I598" s="27">
        <v>10</v>
      </c>
      <c r="J598" s="57" t="s">
        <v>44</v>
      </c>
      <c r="K598" s="27">
        <v>900</v>
      </c>
      <c r="L598" s="27">
        <v>1364</v>
      </c>
      <c r="M598" s="28">
        <v>0.13777777777777778</v>
      </c>
      <c r="N598" s="15"/>
      <c r="O598" s="2"/>
      <c r="P598" s="26"/>
      <c r="Q598" s="27">
        <v>3447</v>
      </c>
      <c r="R598" s="27">
        <v>131</v>
      </c>
      <c r="S598" s="27">
        <v>65</v>
      </c>
      <c r="T598" s="27">
        <v>2</v>
      </c>
      <c r="U598" s="27">
        <v>8</v>
      </c>
      <c r="V598" s="27">
        <v>2</v>
      </c>
      <c r="W598" s="27">
        <v>3</v>
      </c>
      <c r="X598" s="57" t="s">
        <v>232</v>
      </c>
      <c r="Y598" s="27">
        <v>286</v>
      </c>
      <c r="Z598" s="27">
        <v>572</v>
      </c>
      <c r="AA598" s="28">
        <v>4.366412213740458E-2</v>
      </c>
      <c r="AB598" s="142"/>
      <c r="AC598" s="63"/>
      <c r="AD598" s="145"/>
      <c r="AE598" s="27">
        <v>8023</v>
      </c>
      <c r="AF598" s="90">
        <v>62</v>
      </c>
      <c r="AG598" s="27">
        <v>228</v>
      </c>
      <c r="AH598" s="27">
        <v>1</v>
      </c>
      <c r="AI598" s="27">
        <v>11</v>
      </c>
      <c r="AJ598" s="27">
        <v>1</v>
      </c>
      <c r="AK598" s="27">
        <v>0</v>
      </c>
      <c r="AL598" s="108" t="s">
        <v>240</v>
      </c>
      <c r="AM598" s="27">
        <v>528</v>
      </c>
      <c r="AN598" s="27">
        <v>528</v>
      </c>
      <c r="AO598" s="28">
        <v>8.5161290322580643E-2</v>
      </c>
      <c r="AP598" s="15"/>
      <c r="AQ598" s="2"/>
      <c r="AR598" s="26"/>
      <c r="AS598" s="27">
        <v>8298</v>
      </c>
      <c r="AT598" s="27">
        <v>37</v>
      </c>
      <c r="AU598" s="27">
        <v>336</v>
      </c>
      <c r="AV598" s="27">
        <v>1</v>
      </c>
      <c r="AW598" s="27">
        <v>10</v>
      </c>
      <c r="AX598" s="27">
        <v>2</v>
      </c>
      <c r="AY598" s="27">
        <v>0</v>
      </c>
      <c r="AZ598" s="57" t="s">
        <v>260</v>
      </c>
      <c r="BA598" s="27">
        <v>600</v>
      </c>
      <c r="BB598" s="27">
        <v>1200</v>
      </c>
      <c r="BC598" s="28">
        <v>0.32432432432432434</v>
      </c>
      <c r="BD598" s="15"/>
      <c r="BU598" s="79">
        <f>IF($A607="","",$A607)</f>
        <v>45922</v>
      </c>
      <c r="BV598" s="17">
        <v>7904</v>
      </c>
      <c r="BW598" s="13">
        <f t="shared" si="966"/>
        <v>254</v>
      </c>
      <c r="BX598" s="13">
        <v>192</v>
      </c>
      <c r="BY598" s="13">
        <f t="shared" si="967"/>
        <v>9</v>
      </c>
      <c r="BZ598" s="13">
        <v>13</v>
      </c>
      <c r="CA598" s="13">
        <f t="shared" si="968"/>
        <v>13</v>
      </c>
      <c r="CB598" s="13">
        <v>6</v>
      </c>
      <c r="CC598" s="53"/>
      <c r="CD598" s="53">
        <f t="shared" si="989"/>
        <v>550</v>
      </c>
      <c r="CE598" s="13">
        <f t="shared" si="969"/>
        <v>7150</v>
      </c>
      <c r="CF598" s="14">
        <f t="shared" si="970"/>
        <v>0.28149606299212598</v>
      </c>
      <c r="CG598" s="15"/>
      <c r="CH598" s="1"/>
      <c r="CI598" s="79">
        <f>IF($A607="","",$A607)</f>
        <v>45922</v>
      </c>
      <c r="CJ598" s="17">
        <v>4287</v>
      </c>
      <c r="CK598" s="13">
        <f t="shared" si="971"/>
        <v>86</v>
      </c>
      <c r="CL598" s="13">
        <v>51</v>
      </c>
      <c r="CM598" s="13">
        <f t="shared" si="972"/>
        <v>2</v>
      </c>
      <c r="CN598" s="13">
        <v>9</v>
      </c>
      <c r="CO598" s="13">
        <f t="shared" si="973"/>
        <v>2</v>
      </c>
      <c r="CP598" s="13">
        <v>9</v>
      </c>
      <c r="CQ598" s="53"/>
      <c r="CR598" s="53">
        <f t="shared" si="974"/>
        <v>1012</v>
      </c>
      <c r="CS598" s="13">
        <f t="shared" si="975"/>
        <v>2024</v>
      </c>
      <c r="CT598" s="14">
        <f t="shared" si="976"/>
        <v>0.23534883720930233</v>
      </c>
      <c r="CU598" s="15" t="s">
        <v>302</v>
      </c>
      <c r="CV598" s="1"/>
      <c r="CW598" s="79">
        <f>IF($A607="","",$A607)</f>
        <v>45922</v>
      </c>
      <c r="CX598" s="17">
        <v>6669</v>
      </c>
      <c r="CY598" s="13">
        <f t="shared" si="977"/>
        <v>104</v>
      </c>
      <c r="CZ598" s="13">
        <v>154</v>
      </c>
      <c r="DA598" s="13">
        <f t="shared" si="978"/>
        <v>0</v>
      </c>
      <c r="DB598" s="13">
        <v>47</v>
      </c>
      <c r="DC598" s="13">
        <f t="shared" si="979"/>
        <v>1</v>
      </c>
      <c r="DD598" s="13">
        <v>0</v>
      </c>
      <c r="DE598" s="53"/>
      <c r="DF598" s="53">
        <f t="shared" si="980"/>
        <v>880</v>
      </c>
      <c r="DG598" s="13">
        <f t="shared" si="981"/>
        <v>880</v>
      </c>
      <c r="DH598" s="14">
        <f t="shared" si="982"/>
        <v>8.461538461538462E-2</v>
      </c>
      <c r="DI598" s="15" t="s">
        <v>298</v>
      </c>
      <c r="DJ598" s="1"/>
      <c r="DK598" s="79">
        <f>IF($A607="","",$A607)</f>
        <v>45922</v>
      </c>
      <c r="DL598" s="17">
        <v>4841</v>
      </c>
      <c r="DM598" s="13">
        <f t="shared" si="983"/>
        <v>127</v>
      </c>
      <c r="DN598" s="13">
        <v>210</v>
      </c>
      <c r="DO598" s="13">
        <f t="shared" si="984"/>
        <v>2</v>
      </c>
      <c r="DP598" s="13">
        <v>38</v>
      </c>
      <c r="DQ598" s="13">
        <f t="shared" si="985"/>
        <v>2</v>
      </c>
      <c r="DR598" s="13">
        <v>3</v>
      </c>
      <c r="DS598" s="53"/>
      <c r="DT598" s="53">
        <f t="shared" si="986"/>
        <v>1100</v>
      </c>
      <c r="DU598" s="13">
        <f t="shared" si="987"/>
        <v>2200</v>
      </c>
      <c r="DV598" s="14">
        <f t="shared" si="988"/>
        <v>0.17322834645669291</v>
      </c>
      <c r="DW598" s="15"/>
    </row>
    <row r="599" spans="1:127" ht="15" customHeight="1" thickTop="1" x14ac:dyDescent="0.2">
      <c r="A599" s="79">
        <v>45916</v>
      </c>
      <c r="B599" s="74">
        <f>IF(A599="","",SUM(D599:D602)+SUM(R599:R602)+SUM(AF599:AF602)+SUM(AT599:AT602)+SUM(BW596,CK596,CY596,DM596))</f>
        <v>2723</v>
      </c>
      <c r="C599" s="53">
        <v>2210</v>
      </c>
      <c r="D599" s="53">
        <f t="shared" ref="D599:D646" si="990">IF(C599="","",C599-C595)</f>
        <v>50</v>
      </c>
      <c r="E599" s="53">
        <v>281</v>
      </c>
      <c r="F599" s="31">
        <f t="shared" ref="F599:F646" si="991">IF(E599="","",E599-E595)</f>
        <v>0</v>
      </c>
      <c r="G599" s="53">
        <v>14</v>
      </c>
      <c r="H599" s="53">
        <f t="shared" ref="H599:H646" si="992">IF(G599="","",G595+I595-G599)</f>
        <v>3</v>
      </c>
      <c r="I599" s="80">
        <v>2</v>
      </c>
      <c r="J599" s="75" t="str">
        <f t="shared" ref="J599:J611" si="993">IF(C599="","",J595)</f>
        <v>ジャグラーサウンドボタン</v>
      </c>
      <c r="K599" s="76">
        <f t="shared" ref="K599:K611" si="994">IF(D599="","",K595)</f>
        <v>748</v>
      </c>
      <c r="L599" s="31">
        <f t="shared" ref="L599:L646" si="995">IF(G599="","",H599*K599)</f>
        <v>2244</v>
      </c>
      <c r="M599" s="32">
        <f t="shared" ref="M599:M646" si="996">IF(H599="","",L599/(D599*100))</f>
        <v>0.44879999999999998</v>
      </c>
      <c r="N599" s="15"/>
      <c r="O599" s="2"/>
      <c r="P599" s="79">
        <f>IF(A599="","",A599)</f>
        <v>45916</v>
      </c>
      <c r="Q599" s="53">
        <v>1536</v>
      </c>
      <c r="R599" s="53">
        <f t="shared" ref="R599:R646" si="997">IF(Q599="","",Q599-Q595)</f>
        <v>205</v>
      </c>
      <c r="S599" s="53">
        <v>79</v>
      </c>
      <c r="T599" s="31">
        <f t="shared" ref="T599:T646" si="998">IF(S599="","",S599-S595)</f>
        <v>2</v>
      </c>
      <c r="U599" s="53">
        <v>4</v>
      </c>
      <c r="V599" s="53">
        <f t="shared" ref="V599:V646" si="999">IF(U599="","",U595+W595-U599)</f>
        <v>2</v>
      </c>
      <c r="W599" s="53">
        <v>4</v>
      </c>
      <c r="X599" s="75" t="str">
        <f t="shared" ref="X599:X611" si="1000">IF(Q599="","",X595)</f>
        <v>ジャグラーサウンドボタンDX</v>
      </c>
      <c r="Y599" s="76">
        <f t="shared" ref="Y599:Y611" si="1001">IF(R599="","",Y595)</f>
        <v>1100</v>
      </c>
      <c r="Z599" s="31">
        <f t="shared" ref="Z599:Z646" si="1002">IF(U599="","",V599*Y599)</f>
        <v>2200</v>
      </c>
      <c r="AA599" s="32">
        <f t="shared" ref="AA599:AA646" si="1003">IF(V599="","",Z599/(R599*100))</f>
        <v>0.10731707317073171</v>
      </c>
      <c r="AB599" s="143"/>
      <c r="AC599" s="113"/>
      <c r="AD599" s="146">
        <f>IF($A599="","",$A599)</f>
        <v>45916</v>
      </c>
      <c r="AE599" s="53">
        <v>7443</v>
      </c>
      <c r="AF599" s="53">
        <f t="shared" ref="AF599:AF646" si="1004">IF(AE599="","",AE599-AE595)</f>
        <v>106</v>
      </c>
      <c r="AG599" s="53">
        <v>169</v>
      </c>
      <c r="AH599" s="31">
        <f t="shared" ref="AH599:AH646" si="1005">IF(AG599="","",AG599-AG595)</f>
        <v>3</v>
      </c>
      <c r="AI599" s="53">
        <v>17</v>
      </c>
      <c r="AJ599" s="53">
        <f t="shared" ref="AJ599:AJ646" si="1006">IF(AI599="","",AI595+AK595-AI599)</f>
        <v>4</v>
      </c>
      <c r="AK599" s="80">
        <v>0</v>
      </c>
      <c r="AL599" s="75" t="str">
        <f t="shared" ref="AL599:AL611" si="1007">IF(AE599="","",AL595)</f>
        <v>サンリオでかぱっちん</v>
      </c>
      <c r="AM599" s="76">
        <f t="shared" ref="AM599:AM611" si="1008">IF(AF599="","",AM595)</f>
        <v>660</v>
      </c>
      <c r="AN599" s="31">
        <f t="shared" ref="AN599:AN646" si="1009">IF(AI599="","",AJ599*AM599)</f>
        <v>2640</v>
      </c>
      <c r="AO599" s="32">
        <f t="shared" ref="AO599:AO646" si="1010">IF(AJ599="","",AN599/(AF599*100))</f>
        <v>0.24905660377358491</v>
      </c>
      <c r="AP599" s="15"/>
      <c r="AQ599" s="113"/>
      <c r="AR599" s="79">
        <f>IF($A599="","",$A599)</f>
        <v>45916</v>
      </c>
      <c r="AS599" s="53">
        <v>8096</v>
      </c>
      <c r="AT599" s="127">
        <f t="shared" ref="AT599:AT646" si="1011">IF(AS599="","",AS599-AS595)</f>
        <v>41</v>
      </c>
      <c r="AU599" s="53">
        <v>240</v>
      </c>
      <c r="AV599" s="31">
        <f t="shared" ref="AV599:AV646" si="1012">IF(AU599="","",AU599-AU595)</f>
        <v>1</v>
      </c>
      <c r="AW599" s="53">
        <v>13</v>
      </c>
      <c r="AX599" s="53">
        <f t="shared" ref="AX599:AX646" si="1013">IF(AW599="","",AW595+AY595-AW599)</f>
        <v>1</v>
      </c>
      <c r="AY599" s="53">
        <v>4</v>
      </c>
      <c r="AZ599" s="75" t="str">
        <f t="shared" ref="AZ599:AZ646" si="1014">IF(AS599="","",AZ595)</f>
        <v>こびとづかんキーケース</v>
      </c>
      <c r="BA599" s="76">
        <f t="shared" ref="BA599:BA646" si="1015">IF(AT599="","",BA595)</f>
        <v>726</v>
      </c>
      <c r="BB599" s="31">
        <f t="shared" ref="BB599:BB646" si="1016">IF(AW599="","",AX599*BA599)</f>
        <v>726</v>
      </c>
      <c r="BC599" s="32">
        <f t="shared" ref="BC599:BC646" si="1017">IF(AX599="","",BB599/(AT599*100))</f>
        <v>0.17707317073170731</v>
      </c>
      <c r="BD599" s="15"/>
      <c r="BU599" s="79">
        <f>IF($A611="","",$A611)</f>
        <v>45926</v>
      </c>
      <c r="BV599" s="17">
        <v>8089</v>
      </c>
      <c r="BW599" s="13">
        <f t="shared" si="966"/>
        <v>185</v>
      </c>
      <c r="BX599" s="13">
        <v>197</v>
      </c>
      <c r="BY599" s="13">
        <f t="shared" si="967"/>
        <v>5</v>
      </c>
      <c r="BZ599" s="13">
        <v>12</v>
      </c>
      <c r="CA599" s="13">
        <f t="shared" si="968"/>
        <v>7</v>
      </c>
      <c r="CB599" s="13">
        <v>0</v>
      </c>
      <c r="CC599" s="53"/>
      <c r="CD599" s="53">
        <f t="shared" si="989"/>
        <v>550</v>
      </c>
      <c r="CE599" s="13">
        <f t="shared" si="969"/>
        <v>3850</v>
      </c>
      <c r="CF599" s="14">
        <f t="shared" si="970"/>
        <v>0.20810810810810812</v>
      </c>
      <c r="CG599" s="15"/>
      <c r="CH599" s="1"/>
      <c r="CI599" s="79">
        <f>IF($A611="","",$A611)</f>
        <v>45926</v>
      </c>
      <c r="CJ599" s="17">
        <v>4370</v>
      </c>
      <c r="CK599" s="13">
        <f t="shared" si="971"/>
        <v>83</v>
      </c>
      <c r="CL599" s="13">
        <v>64</v>
      </c>
      <c r="CM599" s="13">
        <f t="shared" si="972"/>
        <v>13</v>
      </c>
      <c r="CN599" s="13">
        <v>5</v>
      </c>
      <c r="CO599" s="13">
        <f t="shared" si="973"/>
        <v>13</v>
      </c>
      <c r="CP599" s="13">
        <v>7</v>
      </c>
      <c r="CQ599" s="53"/>
      <c r="CR599" s="53">
        <f t="shared" si="974"/>
        <v>1012</v>
      </c>
      <c r="CS599" s="13">
        <f t="shared" si="975"/>
        <v>13156</v>
      </c>
      <c r="CT599" s="14">
        <f t="shared" si="976"/>
        <v>1.5850602409638554</v>
      </c>
      <c r="CU599" s="15" t="s">
        <v>310</v>
      </c>
      <c r="CV599" s="1"/>
      <c r="CW599" s="79">
        <f>IF($A611="","",$A611)</f>
        <v>45926</v>
      </c>
      <c r="CX599" s="17">
        <v>6782</v>
      </c>
      <c r="CY599" s="13">
        <f t="shared" si="977"/>
        <v>113</v>
      </c>
      <c r="CZ599" s="13">
        <v>156</v>
      </c>
      <c r="DA599" s="13">
        <f t="shared" si="978"/>
        <v>2</v>
      </c>
      <c r="DB599" s="13">
        <v>44</v>
      </c>
      <c r="DC599" s="13">
        <f t="shared" si="979"/>
        <v>3</v>
      </c>
      <c r="DD599" s="13">
        <v>2</v>
      </c>
      <c r="DE599" s="53"/>
      <c r="DF599" s="53">
        <f t="shared" si="980"/>
        <v>880</v>
      </c>
      <c r="DG599" s="13">
        <f t="shared" si="981"/>
        <v>2640</v>
      </c>
      <c r="DH599" s="14">
        <f t="shared" si="982"/>
        <v>0.23362831858407079</v>
      </c>
      <c r="DI599" s="15"/>
      <c r="DJ599" s="1"/>
      <c r="DK599" s="79">
        <f>IF($A611="","",$A611)</f>
        <v>45926</v>
      </c>
      <c r="DL599" s="17">
        <v>4946</v>
      </c>
      <c r="DM599" s="13">
        <f t="shared" si="983"/>
        <v>105</v>
      </c>
      <c r="DN599" s="13">
        <v>211</v>
      </c>
      <c r="DO599" s="13">
        <f t="shared" si="984"/>
        <v>1</v>
      </c>
      <c r="DP599" s="13">
        <v>40</v>
      </c>
      <c r="DQ599" s="13">
        <f t="shared" si="985"/>
        <v>1</v>
      </c>
      <c r="DR599" s="13">
        <v>0</v>
      </c>
      <c r="DS599" s="53"/>
      <c r="DT599" s="53">
        <f t="shared" si="986"/>
        <v>1100</v>
      </c>
      <c r="DU599" s="13">
        <f t="shared" si="987"/>
        <v>1100</v>
      </c>
      <c r="DV599" s="14">
        <f t="shared" si="988"/>
        <v>0.10476190476190476</v>
      </c>
      <c r="DW599" s="15"/>
    </row>
    <row r="600" spans="1:127" x14ac:dyDescent="0.2">
      <c r="A600" s="16"/>
      <c r="B600" s="11"/>
      <c r="C600" s="13">
        <v>1605</v>
      </c>
      <c r="D600" s="127">
        <f t="shared" si="990"/>
        <v>29</v>
      </c>
      <c r="E600" s="13">
        <v>295</v>
      </c>
      <c r="F600" s="13">
        <f t="shared" si="991"/>
        <v>3</v>
      </c>
      <c r="G600" s="13">
        <v>44</v>
      </c>
      <c r="H600" s="13">
        <f t="shared" si="992"/>
        <v>1</v>
      </c>
      <c r="I600" s="17">
        <v>0</v>
      </c>
      <c r="J600" s="111" t="str">
        <f t="shared" si="993"/>
        <v>ジャグラーコインホルダー</v>
      </c>
      <c r="K600" s="54">
        <f t="shared" si="994"/>
        <v>220</v>
      </c>
      <c r="L600" s="13">
        <f t="shared" si="995"/>
        <v>220</v>
      </c>
      <c r="M600" s="14">
        <f t="shared" si="996"/>
        <v>7.586206896551724E-2</v>
      </c>
      <c r="N600" s="15"/>
      <c r="O600" s="2"/>
      <c r="P600" s="16"/>
      <c r="Q600" s="13">
        <v>1880</v>
      </c>
      <c r="R600" s="127">
        <f t="shared" si="997"/>
        <v>35</v>
      </c>
      <c r="S600" s="13">
        <v>67</v>
      </c>
      <c r="T600" s="13">
        <f t="shared" si="998"/>
        <v>2</v>
      </c>
      <c r="U600" s="13">
        <v>9</v>
      </c>
      <c r="V600" s="13">
        <f t="shared" si="999"/>
        <v>2</v>
      </c>
      <c r="W600" s="13">
        <v>0</v>
      </c>
      <c r="X600" s="111" t="str">
        <f t="shared" si="1000"/>
        <v>北斗イヤホン</v>
      </c>
      <c r="Y600" s="54">
        <f t="shared" si="1001"/>
        <v>1100</v>
      </c>
      <c r="Z600" s="13">
        <f t="shared" si="1002"/>
        <v>2200</v>
      </c>
      <c r="AA600" s="14">
        <f t="shared" si="1003"/>
        <v>0.62857142857142856</v>
      </c>
      <c r="AB600" s="144" t="s">
        <v>294</v>
      </c>
      <c r="AC600" s="113"/>
      <c r="AD600" s="147"/>
      <c r="AE600" s="13">
        <v>6467</v>
      </c>
      <c r="AF600" s="53">
        <f t="shared" si="1004"/>
        <v>66</v>
      </c>
      <c r="AG600" s="13">
        <v>148</v>
      </c>
      <c r="AH600" s="13">
        <f t="shared" si="1005"/>
        <v>2</v>
      </c>
      <c r="AI600" s="13">
        <v>13</v>
      </c>
      <c r="AJ600" s="13">
        <f t="shared" si="1006"/>
        <v>3</v>
      </c>
      <c r="AK600" s="17">
        <v>2</v>
      </c>
      <c r="AL600" s="56" t="str">
        <f t="shared" si="1007"/>
        <v>モンチッチキーケース</v>
      </c>
      <c r="AM600" s="54">
        <f t="shared" si="1008"/>
        <v>605</v>
      </c>
      <c r="AN600" s="13">
        <f t="shared" si="1009"/>
        <v>1815</v>
      </c>
      <c r="AO600" s="14">
        <f t="shared" si="1010"/>
        <v>0.27500000000000002</v>
      </c>
      <c r="AP600" s="15"/>
      <c r="AQ600" s="113"/>
      <c r="AR600" s="16"/>
      <c r="AS600" s="13">
        <v>5501</v>
      </c>
      <c r="AT600" s="53">
        <f t="shared" si="1011"/>
        <v>60</v>
      </c>
      <c r="AU600" s="13">
        <v>271</v>
      </c>
      <c r="AV600" s="13">
        <f t="shared" si="1012"/>
        <v>0</v>
      </c>
      <c r="AW600" s="13">
        <v>29</v>
      </c>
      <c r="AX600" s="13">
        <f t="shared" si="1013"/>
        <v>1</v>
      </c>
      <c r="AY600" s="13">
        <v>11</v>
      </c>
      <c r="AZ600" s="56" t="str">
        <f t="shared" si="1014"/>
        <v>ねこアイシャドウ</v>
      </c>
      <c r="BA600" s="54">
        <f t="shared" si="1015"/>
        <v>1000</v>
      </c>
      <c r="BB600" s="13">
        <f t="shared" si="1016"/>
        <v>1000</v>
      </c>
      <c r="BC600" s="14">
        <f t="shared" si="1017"/>
        <v>0.16666666666666666</v>
      </c>
      <c r="BD600" s="15"/>
      <c r="BU600" s="79">
        <f>IF($A615="","",$A615)</f>
        <v>45929</v>
      </c>
      <c r="BV600" s="17">
        <v>8291</v>
      </c>
      <c r="BW600" s="13">
        <f t="shared" si="966"/>
        <v>202</v>
      </c>
      <c r="BX600" s="13">
        <v>202</v>
      </c>
      <c r="BY600" s="13">
        <f t="shared" si="967"/>
        <v>5</v>
      </c>
      <c r="BZ600" s="13">
        <v>7</v>
      </c>
      <c r="CA600" s="13">
        <f t="shared" si="968"/>
        <v>5</v>
      </c>
      <c r="CB600" s="13">
        <v>5</v>
      </c>
      <c r="CC600" s="53"/>
      <c r="CD600" s="53">
        <f t="shared" si="989"/>
        <v>550</v>
      </c>
      <c r="CE600" s="13">
        <f t="shared" si="969"/>
        <v>2750</v>
      </c>
      <c r="CF600" s="14">
        <f t="shared" si="970"/>
        <v>0.13613861386138615</v>
      </c>
      <c r="CG600" s="15"/>
      <c r="CH600" s="1"/>
      <c r="CI600" s="79">
        <f>IF($A615="","",$A615)</f>
        <v>45929</v>
      </c>
      <c r="CJ600" s="17">
        <v>4438</v>
      </c>
      <c r="CK600" s="13">
        <f t="shared" si="971"/>
        <v>68</v>
      </c>
      <c r="CL600" s="13">
        <v>75</v>
      </c>
      <c r="CM600" s="13">
        <f t="shared" si="972"/>
        <v>11</v>
      </c>
      <c r="CN600" s="13">
        <v>0</v>
      </c>
      <c r="CO600" s="13">
        <f t="shared" si="973"/>
        <v>12</v>
      </c>
      <c r="CP600" s="13">
        <v>12</v>
      </c>
      <c r="CQ600" s="53"/>
      <c r="CR600" s="53">
        <v>715</v>
      </c>
      <c r="CS600" s="13">
        <f t="shared" si="975"/>
        <v>8580</v>
      </c>
      <c r="CT600" s="148">
        <f t="shared" si="976"/>
        <v>1.2617647058823529</v>
      </c>
      <c r="CU600" s="15" t="s">
        <v>315</v>
      </c>
      <c r="CV600" s="1"/>
      <c r="CW600" s="79">
        <f>IF($A615="","",$A615)</f>
        <v>45929</v>
      </c>
      <c r="CX600" s="17">
        <v>6938</v>
      </c>
      <c r="CY600" s="13">
        <f t="shared" si="977"/>
        <v>156</v>
      </c>
      <c r="CZ600" s="13">
        <v>159</v>
      </c>
      <c r="DA600" s="13">
        <f t="shared" si="978"/>
        <v>3</v>
      </c>
      <c r="DB600" s="13">
        <v>42</v>
      </c>
      <c r="DC600" s="13">
        <f t="shared" si="979"/>
        <v>4</v>
      </c>
      <c r="DD600" s="13">
        <v>2</v>
      </c>
      <c r="DE600" s="53"/>
      <c r="DF600" s="53">
        <f t="shared" si="980"/>
        <v>880</v>
      </c>
      <c r="DG600" s="13">
        <f t="shared" si="981"/>
        <v>3520</v>
      </c>
      <c r="DH600" s="14">
        <f t="shared" si="982"/>
        <v>0.22564102564102564</v>
      </c>
      <c r="DI600" s="15"/>
      <c r="DJ600" s="1"/>
      <c r="DK600" s="79">
        <f>IF($A615="","",$A615)</f>
        <v>45929</v>
      </c>
      <c r="DL600" s="17">
        <v>5070</v>
      </c>
      <c r="DM600" s="13">
        <f t="shared" si="983"/>
        <v>124</v>
      </c>
      <c r="DN600" s="13">
        <v>213</v>
      </c>
      <c r="DO600" s="13">
        <f t="shared" si="984"/>
        <v>2</v>
      </c>
      <c r="DP600" s="13">
        <v>38</v>
      </c>
      <c r="DQ600" s="13">
        <f t="shared" si="985"/>
        <v>2</v>
      </c>
      <c r="DR600" s="13">
        <v>2</v>
      </c>
      <c r="DS600" s="53"/>
      <c r="DT600" s="53">
        <f t="shared" si="986"/>
        <v>1100</v>
      </c>
      <c r="DU600" s="13">
        <f t="shared" si="987"/>
        <v>2200</v>
      </c>
      <c r="DV600" s="14">
        <f t="shared" si="988"/>
        <v>0.17741935483870969</v>
      </c>
      <c r="DW600" s="15"/>
    </row>
    <row r="601" spans="1:127" x14ac:dyDescent="0.2">
      <c r="A601" s="16"/>
      <c r="B601" s="11"/>
      <c r="C601" s="13">
        <v>6088</v>
      </c>
      <c r="D601" s="63">
        <f t="shared" si="990"/>
        <v>168</v>
      </c>
      <c r="E601" s="13">
        <v>407</v>
      </c>
      <c r="F601" s="13">
        <f t="shared" si="991"/>
        <v>8</v>
      </c>
      <c r="G601" s="13">
        <v>75</v>
      </c>
      <c r="H601" s="13">
        <f t="shared" si="992"/>
        <v>9</v>
      </c>
      <c r="I601" s="17">
        <v>0</v>
      </c>
      <c r="J601" s="56" t="str">
        <f t="shared" si="993"/>
        <v>AIモンスタラバー</v>
      </c>
      <c r="K601" s="13">
        <f t="shared" si="994"/>
        <v>200</v>
      </c>
      <c r="L601" s="13">
        <f t="shared" si="995"/>
        <v>1800</v>
      </c>
      <c r="M601" s="14">
        <f t="shared" si="996"/>
        <v>0.10714285714285714</v>
      </c>
      <c r="N601" s="15"/>
      <c r="O601" s="2"/>
      <c r="P601" s="16"/>
      <c r="Q601" s="13">
        <v>3212</v>
      </c>
      <c r="R601" s="63">
        <f t="shared" si="997"/>
        <v>653</v>
      </c>
      <c r="S601" s="13">
        <v>40</v>
      </c>
      <c r="T601" s="13">
        <f t="shared" si="998"/>
        <v>6</v>
      </c>
      <c r="U601" s="13">
        <v>5</v>
      </c>
      <c r="V601" s="13">
        <f t="shared" si="999"/>
        <v>6</v>
      </c>
      <c r="W601" s="13">
        <v>14</v>
      </c>
      <c r="X601" s="56" t="str">
        <f t="shared" si="1000"/>
        <v>ラブブマスコット</v>
      </c>
      <c r="Y601" s="13">
        <f t="shared" si="1001"/>
        <v>400</v>
      </c>
      <c r="Z601" s="13">
        <f t="shared" si="1002"/>
        <v>2400</v>
      </c>
      <c r="AA601" s="14">
        <f t="shared" si="1003"/>
        <v>3.6753445635528334E-2</v>
      </c>
      <c r="AB601" s="142"/>
      <c r="AC601" s="113"/>
      <c r="AD601" s="147"/>
      <c r="AE601" s="13">
        <v>6879</v>
      </c>
      <c r="AF601" s="128">
        <f t="shared" si="1004"/>
        <v>31</v>
      </c>
      <c r="AG601" s="13">
        <v>257</v>
      </c>
      <c r="AH601" s="13">
        <f t="shared" si="1005"/>
        <v>0</v>
      </c>
      <c r="AI601" s="13">
        <v>20</v>
      </c>
      <c r="AJ601" s="13">
        <f t="shared" si="1006"/>
        <v>0</v>
      </c>
      <c r="AK601" s="17">
        <v>0</v>
      </c>
      <c r="AL601" s="111" t="str">
        <f t="shared" si="1007"/>
        <v>スティッチポーチ</v>
      </c>
      <c r="AM601" s="13">
        <f t="shared" si="1008"/>
        <v>490</v>
      </c>
      <c r="AN601" s="13">
        <f t="shared" si="1009"/>
        <v>0</v>
      </c>
      <c r="AO601" s="14">
        <f t="shared" si="1010"/>
        <v>0</v>
      </c>
      <c r="AP601" s="15"/>
      <c r="AQ601" s="113"/>
      <c r="AR601" s="16"/>
      <c r="AS601" s="13">
        <v>9150</v>
      </c>
      <c r="AT601" s="63">
        <f t="shared" si="1011"/>
        <v>115</v>
      </c>
      <c r="AU601" s="13">
        <v>372</v>
      </c>
      <c r="AV601" s="13">
        <f t="shared" si="1012"/>
        <v>1</v>
      </c>
      <c r="AW601" s="13">
        <v>12</v>
      </c>
      <c r="AX601" s="13">
        <f t="shared" si="1013"/>
        <v>1</v>
      </c>
      <c r="AY601" s="13">
        <v>1</v>
      </c>
      <c r="AZ601" s="56" t="str">
        <f t="shared" si="1014"/>
        <v>モンチッチマスコット</v>
      </c>
      <c r="BA601" s="13">
        <f t="shared" si="1015"/>
        <v>528</v>
      </c>
      <c r="BB601" s="13">
        <f t="shared" si="1016"/>
        <v>528</v>
      </c>
      <c r="BC601" s="14">
        <f t="shared" si="1017"/>
        <v>4.5913043478260869E-2</v>
      </c>
      <c r="BD601" s="15"/>
      <c r="BU601" s="79">
        <f>IF($A619="","",$A619)</f>
        <v>45933</v>
      </c>
      <c r="BV601" s="17">
        <v>8472</v>
      </c>
      <c r="BW601" s="13">
        <f t="shared" si="966"/>
        <v>181</v>
      </c>
      <c r="BX601" s="13">
        <v>206</v>
      </c>
      <c r="BY601" s="13">
        <f t="shared" si="967"/>
        <v>4</v>
      </c>
      <c r="BZ601" s="13">
        <v>13</v>
      </c>
      <c r="CA601" s="13">
        <f t="shared" si="968"/>
        <v>-1</v>
      </c>
      <c r="CB601" s="13">
        <v>4</v>
      </c>
      <c r="CC601" s="53"/>
      <c r="CD601" s="53">
        <f t="shared" si="989"/>
        <v>550</v>
      </c>
      <c r="CE601" s="13">
        <f t="shared" si="969"/>
        <v>-550</v>
      </c>
      <c r="CF601" s="14">
        <f t="shared" si="970"/>
        <v>-3.0386740331491711E-2</v>
      </c>
      <c r="CG601" s="15"/>
      <c r="CH601" s="1"/>
      <c r="CI601" s="79">
        <f>IF($A619="","",$A619)</f>
        <v>45933</v>
      </c>
      <c r="CJ601" s="17">
        <v>4664</v>
      </c>
      <c r="CK601" s="13">
        <f t="shared" si="971"/>
        <v>226</v>
      </c>
      <c r="CL601" s="13">
        <v>78</v>
      </c>
      <c r="CM601" s="13">
        <f t="shared" si="972"/>
        <v>3</v>
      </c>
      <c r="CN601" s="13">
        <v>9</v>
      </c>
      <c r="CO601" s="13">
        <f t="shared" si="973"/>
        <v>3</v>
      </c>
      <c r="CP601" s="13">
        <v>4</v>
      </c>
      <c r="CQ601" s="53"/>
      <c r="CR601" s="53">
        <f t="shared" si="974"/>
        <v>715</v>
      </c>
      <c r="CS601" s="13">
        <f t="shared" si="975"/>
        <v>2145</v>
      </c>
      <c r="CT601" s="14">
        <f t="shared" si="976"/>
        <v>9.4911504424778761E-2</v>
      </c>
      <c r="CU601" s="15"/>
      <c r="CV601" s="1"/>
      <c r="CW601" s="79">
        <f>IF($A619="","",$A619)</f>
        <v>45933</v>
      </c>
      <c r="CX601" s="17">
        <v>7048</v>
      </c>
      <c r="CY601" s="13">
        <f t="shared" si="977"/>
        <v>110</v>
      </c>
      <c r="CZ601" s="13">
        <v>160</v>
      </c>
      <c r="DA601" s="13">
        <f t="shared" si="978"/>
        <v>1</v>
      </c>
      <c r="DB601" s="13">
        <v>42</v>
      </c>
      <c r="DC601" s="13">
        <f t="shared" si="979"/>
        <v>2</v>
      </c>
      <c r="DD601" s="13">
        <v>0</v>
      </c>
      <c r="DE601" s="53"/>
      <c r="DF601" s="53">
        <f t="shared" si="980"/>
        <v>880</v>
      </c>
      <c r="DG601" s="13">
        <f t="shared" si="981"/>
        <v>1760</v>
      </c>
      <c r="DH601" s="14">
        <f t="shared" si="982"/>
        <v>0.16</v>
      </c>
      <c r="DI601" s="15"/>
      <c r="DJ601" s="1"/>
      <c r="DK601" s="79">
        <f>IF($A619="","",$A619)</f>
        <v>45933</v>
      </c>
      <c r="DL601" s="17">
        <v>5154</v>
      </c>
      <c r="DM601" s="13">
        <f t="shared" si="983"/>
        <v>84</v>
      </c>
      <c r="DN601" s="13">
        <v>215</v>
      </c>
      <c r="DO601" s="13">
        <f t="shared" si="984"/>
        <v>2</v>
      </c>
      <c r="DP601" s="13">
        <v>38</v>
      </c>
      <c r="DQ601" s="13">
        <f t="shared" si="985"/>
        <v>2</v>
      </c>
      <c r="DR601" s="13">
        <v>2</v>
      </c>
      <c r="DS601" s="53"/>
      <c r="DT601" s="53">
        <f t="shared" si="986"/>
        <v>1100</v>
      </c>
      <c r="DU601" s="13">
        <f t="shared" si="987"/>
        <v>2200</v>
      </c>
      <c r="DV601" s="14">
        <f t="shared" si="988"/>
        <v>0.26190476190476192</v>
      </c>
      <c r="DW601" s="15"/>
    </row>
    <row r="602" spans="1:127" ht="15" customHeight="1" thickBot="1" x14ac:dyDescent="0.25">
      <c r="A602" s="26"/>
      <c r="B602" s="46"/>
      <c r="C602" s="27">
        <v>2895</v>
      </c>
      <c r="D602" s="61">
        <f t="shared" si="990"/>
        <v>127</v>
      </c>
      <c r="E602" s="62">
        <v>368</v>
      </c>
      <c r="F602" s="27">
        <f t="shared" si="991"/>
        <v>6</v>
      </c>
      <c r="G602" s="27">
        <v>49</v>
      </c>
      <c r="H602" s="27">
        <f t="shared" si="992"/>
        <v>9</v>
      </c>
      <c r="I602" s="107">
        <v>0</v>
      </c>
      <c r="J602" s="57" t="str">
        <f t="shared" si="993"/>
        <v>NICIマスコット</v>
      </c>
      <c r="K602" s="62">
        <f t="shared" si="994"/>
        <v>900</v>
      </c>
      <c r="L602" s="27">
        <f t="shared" si="995"/>
        <v>8100</v>
      </c>
      <c r="M602" s="28">
        <f t="shared" si="996"/>
        <v>0.63779527559055116</v>
      </c>
      <c r="N602" s="15"/>
      <c r="O602" s="2"/>
      <c r="P602" s="26"/>
      <c r="Q602" s="27">
        <v>3560</v>
      </c>
      <c r="R602" s="61">
        <f t="shared" si="997"/>
        <v>113</v>
      </c>
      <c r="S602" s="62">
        <v>67</v>
      </c>
      <c r="T602" s="27">
        <f t="shared" si="998"/>
        <v>2</v>
      </c>
      <c r="U602" s="27">
        <v>8</v>
      </c>
      <c r="V602" s="27">
        <f t="shared" si="999"/>
        <v>3</v>
      </c>
      <c r="W602" s="27">
        <v>4</v>
      </c>
      <c r="X602" s="57" t="str">
        <f t="shared" si="1000"/>
        <v>ＡＩマスコット</v>
      </c>
      <c r="Y602" s="62">
        <f t="shared" si="1001"/>
        <v>286</v>
      </c>
      <c r="Z602" s="27">
        <f t="shared" si="1002"/>
        <v>858</v>
      </c>
      <c r="AA602" s="28">
        <f t="shared" si="1003"/>
        <v>7.5929203539823006E-2</v>
      </c>
      <c r="AB602" s="142"/>
      <c r="AC602" s="113"/>
      <c r="AD602" s="145"/>
      <c r="AE602" s="27">
        <v>8191</v>
      </c>
      <c r="AF602" s="61">
        <f t="shared" si="1004"/>
        <v>168</v>
      </c>
      <c r="AG602" s="62">
        <v>231</v>
      </c>
      <c r="AH602" s="27">
        <f t="shared" si="1005"/>
        <v>3</v>
      </c>
      <c r="AI602" s="27">
        <v>8</v>
      </c>
      <c r="AJ602" s="27">
        <f t="shared" si="1006"/>
        <v>3</v>
      </c>
      <c r="AK602" s="107">
        <v>0</v>
      </c>
      <c r="AL602" s="57" t="str">
        <f t="shared" si="1007"/>
        <v>しなこくま</v>
      </c>
      <c r="AM602" s="62">
        <f t="shared" si="1008"/>
        <v>528</v>
      </c>
      <c r="AN602" s="27">
        <f t="shared" si="1009"/>
        <v>1584</v>
      </c>
      <c r="AO602" s="28">
        <f t="shared" si="1010"/>
        <v>9.4285714285714292E-2</v>
      </c>
      <c r="AP602" s="15"/>
      <c r="AQ602" s="113"/>
      <c r="AR602" s="26"/>
      <c r="AS602" s="27">
        <v>8454</v>
      </c>
      <c r="AT602" s="61">
        <f t="shared" si="1011"/>
        <v>156</v>
      </c>
      <c r="AU602" s="62">
        <v>339</v>
      </c>
      <c r="AV602" s="27">
        <f t="shared" si="1012"/>
        <v>3</v>
      </c>
      <c r="AW602" s="27">
        <v>6</v>
      </c>
      <c r="AX602" s="27">
        <f t="shared" si="1013"/>
        <v>4</v>
      </c>
      <c r="AY602" s="27">
        <v>3</v>
      </c>
      <c r="AZ602" s="57" t="str">
        <f t="shared" si="1014"/>
        <v>サンリオミニリュック</v>
      </c>
      <c r="BA602" s="62">
        <f t="shared" si="1015"/>
        <v>600</v>
      </c>
      <c r="BB602" s="27">
        <f t="shared" si="1016"/>
        <v>2400</v>
      </c>
      <c r="BC602" s="28">
        <f t="shared" si="1017"/>
        <v>0.15384615384615385</v>
      </c>
      <c r="BD602" s="15"/>
      <c r="BU602" s="79">
        <f>IF($A623="","",$A623)</f>
        <v>45936</v>
      </c>
      <c r="BV602" s="17">
        <v>8631</v>
      </c>
      <c r="BW602" s="13">
        <f t="shared" si="966"/>
        <v>159</v>
      </c>
      <c r="BX602" s="13">
        <v>209</v>
      </c>
      <c r="BY602" s="13">
        <f t="shared" si="967"/>
        <v>3</v>
      </c>
      <c r="BZ602" s="13">
        <v>12</v>
      </c>
      <c r="CA602" s="13">
        <f t="shared" si="968"/>
        <v>5</v>
      </c>
      <c r="CB602" s="13">
        <v>3</v>
      </c>
      <c r="CC602" s="53"/>
      <c r="CD602" s="53">
        <f t="shared" si="989"/>
        <v>550</v>
      </c>
      <c r="CE602" s="13">
        <f t="shared" si="969"/>
        <v>2750</v>
      </c>
      <c r="CF602" s="14">
        <f t="shared" si="970"/>
        <v>0.17295597484276728</v>
      </c>
      <c r="CG602" s="15"/>
      <c r="CH602" s="1"/>
      <c r="CI602" s="79">
        <f>IF($A623="","",$A623)</f>
        <v>45936</v>
      </c>
      <c r="CJ602" s="17">
        <v>5286</v>
      </c>
      <c r="CK602" s="13">
        <f t="shared" si="971"/>
        <v>622</v>
      </c>
      <c r="CL602" s="13">
        <v>84</v>
      </c>
      <c r="CM602" s="13">
        <f t="shared" si="972"/>
        <v>6</v>
      </c>
      <c r="CN602" s="13">
        <v>5</v>
      </c>
      <c r="CO602" s="13">
        <f t="shared" si="973"/>
        <v>8</v>
      </c>
      <c r="CP602" s="13">
        <v>10</v>
      </c>
      <c r="CQ602" s="53"/>
      <c r="CR602" s="53">
        <f t="shared" si="974"/>
        <v>715</v>
      </c>
      <c r="CS602" s="13">
        <f t="shared" si="975"/>
        <v>5720</v>
      </c>
      <c r="CT602" s="14">
        <f t="shared" si="976"/>
        <v>9.1961414790996787E-2</v>
      </c>
      <c r="CU602" s="15"/>
      <c r="CV602" s="1"/>
      <c r="CW602" s="79">
        <f>IF($A623="","",$A623)</f>
        <v>45936</v>
      </c>
      <c r="CX602" s="17">
        <v>7138</v>
      </c>
      <c r="CY602" s="13">
        <f t="shared" si="977"/>
        <v>90</v>
      </c>
      <c r="CZ602" s="13">
        <v>162</v>
      </c>
      <c r="DA602" s="13">
        <f t="shared" si="978"/>
        <v>2</v>
      </c>
      <c r="DB602" s="13">
        <v>40</v>
      </c>
      <c r="DC602" s="13">
        <f t="shared" si="979"/>
        <v>2</v>
      </c>
      <c r="DD602" s="13">
        <v>4</v>
      </c>
      <c r="DE602" s="53"/>
      <c r="DF602" s="53">
        <f t="shared" si="980"/>
        <v>880</v>
      </c>
      <c r="DG602" s="13">
        <f t="shared" si="981"/>
        <v>1760</v>
      </c>
      <c r="DH602" s="14">
        <f t="shared" si="982"/>
        <v>0.19555555555555557</v>
      </c>
      <c r="DI602" s="15"/>
      <c r="DJ602" s="1"/>
      <c r="DK602" s="79">
        <f>IF($A623="","",$A623)</f>
        <v>45936</v>
      </c>
      <c r="DL602" s="17">
        <v>5233</v>
      </c>
      <c r="DM602" s="13">
        <f t="shared" si="983"/>
        <v>79</v>
      </c>
      <c r="DN602" s="13">
        <v>216</v>
      </c>
      <c r="DO602" s="13">
        <f t="shared" si="984"/>
        <v>1</v>
      </c>
      <c r="DP602" s="13">
        <v>39</v>
      </c>
      <c r="DQ602" s="13">
        <f t="shared" si="985"/>
        <v>1</v>
      </c>
      <c r="DR602" s="13">
        <v>6</v>
      </c>
      <c r="DS602" s="53"/>
      <c r="DT602" s="53">
        <f t="shared" si="986"/>
        <v>1100</v>
      </c>
      <c r="DU602" s="13">
        <f t="shared" si="987"/>
        <v>1100</v>
      </c>
      <c r="DV602" s="14">
        <f t="shared" si="988"/>
        <v>0.13924050632911392</v>
      </c>
      <c r="DW602" s="15" t="s">
        <v>325</v>
      </c>
    </row>
    <row r="603" spans="1:127" ht="15" customHeight="1" thickTop="1" x14ac:dyDescent="0.2">
      <c r="A603" s="79">
        <v>45919</v>
      </c>
      <c r="B603" s="74">
        <f>IF(A603="","",SUM(D603:D606)+SUM(R603:R606)+SUM(AF603:AF606)+SUM(AT603:AT606)+SUM(BW597,CK597,CY597,DM597))</f>
        <v>1607</v>
      </c>
      <c r="C603" s="53">
        <v>2296</v>
      </c>
      <c r="D603" s="53">
        <f t="shared" si="990"/>
        <v>86</v>
      </c>
      <c r="E603" s="53">
        <v>283</v>
      </c>
      <c r="F603" s="31">
        <f t="shared" si="991"/>
        <v>2</v>
      </c>
      <c r="G603" s="53">
        <v>15</v>
      </c>
      <c r="H603" s="53">
        <f t="shared" si="992"/>
        <v>1</v>
      </c>
      <c r="I603" s="53">
        <v>0</v>
      </c>
      <c r="J603" s="75" t="str">
        <f t="shared" si="993"/>
        <v>ジャグラーサウンドボタン</v>
      </c>
      <c r="K603" s="76">
        <f t="shared" si="994"/>
        <v>748</v>
      </c>
      <c r="L603" s="31">
        <f t="shared" si="995"/>
        <v>748</v>
      </c>
      <c r="M603" s="32">
        <f t="shared" si="996"/>
        <v>8.6976744186046506E-2</v>
      </c>
      <c r="N603" s="15"/>
      <c r="O603" s="2"/>
      <c r="P603" s="79">
        <f>IF(A603="","",A603)</f>
        <v>45919</v>
      </c>
      <c r="Q603" s="53">
        <v>1721</v>
      </c>
      <c r="R603" s="53">
        <f t="shared" si="997"/>
        <v>185</v>
      </c>
      <c r="S603" s="53">
        <v>81</v>
      </c>
      <c r="T603" s="31">
        <f t="shared" si="998"/>
        <v>2</v>
      </c>
      <c r="U603" s="53">
        <v>5</v>
      </c>
      <c r="V603" s="53">
        <f t="shared" si="999"/>
        <v>3</v>
      </c>
      <c r="W603" s="53">
        <v>0</v>
      </c>
      <c r="X603" s="75" t="str">
        <f t="shared" si="1000"/>
        <v>ジャグラーサウンドボタンDX</v>
      </c>
      <c r="Y603" s="76">
        <f t="shared" si="1001"/>
        <v>1100</v>
      </c>
      <c r="Z603" s="31">
        <f t="shared" si="1002"/>
        <v>3300</v>
      </c>
      <c r="AA603" s="32">
        <f t="shared" si="1003"/>
        <v>0.17837837837837839</v>
      </c>
      <c r="AB603" s="142"/>
      <c r="AC603" s="113"/>
      <c r="AD603" s="146">
        <f>IF($A603="","",$A603)</f>
        <v>45919</v>
      </c>
      <c r="AE603" s="53">
        <v>7501</v>
      </c>
      <c r="AF603" s="53">
        <f t="shared" si="1004"/>
        <v>58</v>
      </c>
      <c r="AG603" s="53">
        <v>170</v>
      </c>
      <c r="AH603" s="31">
        <f t="shared" si="1005"/>
        <v>1</v>
      </c>
      <c r="AI603" s="53">
        <v>16</v>
      </c>
      <c r="AJ603" s="53">
        <f t="shared" si="1006"/>
        <v>1</v>
      </c>
      <c r="AK603" s="53">
        <v>0</v>
      </c>
      <c r="AL603" s="75" t="str">
        <f t="shared" si="1007"/>
        <v>サンリオでかぱっちん</v>
      </c>
      <c r="AM603" s="76">
        <f t="shared" si="1008"/>
        <v>660</v>
      </c>
      <c r="AN603" s="31">
        <f t="shared" si="1009"/>
        <v>660</v>
      </c>
      <c r="AO603" s="32">
        <f t="shared" si="1010"/>
        <v>0.11379310344827587</v>
      </c>
      <c r="AP603" s="15"/>
      <c r="AQ603" s="115"/>
      <c r="AR603" s="79">
        <f>IF($A603="","",$A603)</f>
        <v>45919</v>
      </c>
      <c r="AS603" s="53">
        <v>8128</v>
      </c>
      <c r="AT603" s="127">
        <f t="shared" si="1011"/>
        <v>32</v>
      </c>
      <c r="AU603" s="53">
        <v>241</v>
      </c>
      <c r="AV603" s="31">
        <f t="shared" si="1012"/>
        <v>1</v>
      </c>
      <c r="AW603" s="53">
        <v>16</v>
      </c>
      <c r="AX603" s="53">
        <f t="shared" si="1013"/>
        <v>1</v>
      </c>
      <c r="AY603" s="53">
        <v>0</v>
      </c>
      <c r="AZ603" s="75" t="str">
        <f t="shared" si="1014"/>
        <v>こびとづかんキーケース</v>
      </c>
      <c r="BA603" s="76">
        <f t="shared" si="1015"/>
        <v>726</v>
      </c>
      <c r="BB603" s="31">
        <f t="shared" si="1016"/>
        <v>726</v>
      </c>
      <c r="BC603" s="32">
        <f t="shared" si="1017"/>
        <v>0.22687499999999999</v>
      </c>
      <c r="BD603" s="15"/>
      <c r="BT603" s="15"/>
      <c r="BU603" s="79">
        <f>IF($A627="","",$A627)</f>
        <v>45940</v>
      </c>
      <c r="BV603" s="17">
        <v>8715</v>
      </c>
      <c r="BW603" s="13">
        <f t="shared" si="966"/>
        <v>84</v>
      </c>
      <c r="BX603" s="13">
        <v>213</v>
      </c>
      <c r="BY603" s="13">
        <f t="shared" si="967"/>
        <v>4</v>
      </c>
      <c r="BZ603" s="13">
        <v>10</v>
      </c>
      <c r="CA603" s="13">
        <f t="shared" si="968"/>
        <v>5</v>
      </c>
      <c r="CB603" s="13">
        <v>0</v>
      </c>
      <c r="CC603" s="53"/>
      <c r="CD603" s="53">
        <f t="shared" si="989"/>
        <v>550</v>
      </c>
      <c r="CE603" s="13">
        <f t="shared" si="969"/>
        <v>2750</v>
      </c>
      <c r="CF603" s="14">
        <f t="shared" si="970"/>
        <v>0.32738095238095238</v>
      </c>
      <c r="CG603" s="43"/>
      <c r="CH603" s="1"/>
      <c r="CI603" s="79">
        <f>IF($A627="","",$A627)</f>
        <v>45940</v>
      </c>
      <c r="CJ603" s="17">
        <v>5602</v>
      </c>
      <c r="CK603" s="13">
        <f t="shared" si="971"/>
        <v>316</v>
      </c>
      <c r="CL603" s="13">
        <v>90</v>
      </c>
      <c r="CM603" s="13">
        <f t="shared" si="972"/>
        <v>6</v>
      </c>
      <c r="CN603" s="13">
        <v>8</v>
      </c>
      <c r="CO603" s="13">
        <f t="shared" si="973"/>
        <v>7</v>
      </c>
      <c r="CP603" s="13">
        <v>9</v>
      </c>
      <c r="CQ603" s="53"/>
      <c r="CR603" s="53">
        <f t="shared" si="974"/>
        <v>715</v>
      </c>
      <c r="CS603" s="13">
        <f t="shared" si="975"/>
        <v>5005</v>
      </c>
      <c r="CT603" s="14">
        <f t="shared" si="976"/>
        <v>0.1583860759493671</v>
      </c>
      <c r="CU603" s="43"/>
      <c r="CV603" s="1"/>
      <c r="CW603" s="79">
        <f>IF($A627="","",$A627)</f>
        <v>45940</v>
      </c>
      <c r="CX603" s="17">
        <v>7225</v>
      </c>
      <c r="CY603" s="13">
        <f t="shared" si="977"/>
        <v>87</v>
      </c>
      <c r="CZ603" s="13">
        <v>162</v>
      </c>
      <c r="DA603" s="13">
        <f t="shared" si="978"/>
        <v>0</v>
      </c>
      <c r="DB603" s="13">
        <v>44</v>
      </c>
      <c r="DC603" s="13">
        <f t="shared" si="979"/>
        <v>0</v>
      </c>
      <c r="DD603" s="13">
        <v>0</v>
      </c>
      <c r="DE603" s="53"/>
      <c r="DF603" s="53">
        <f t="shared" si="980"/>
        <v>880</v>
      </c>
      <c r="DG603" s="13">
        <f t="shared" si="981"/>
        <v>0</v>
      </c>
      <c r="DH603" s="14">
        <f t="shared" si="982"/>
        <v>0</v>
      </c>
      <c r="DI603" s="43"/>
      <c r="DJ603" s="1"/>
      <c r="DK603" s="79">
        <f>IF($A627="","",$A627)</f>
        <v>45940</v>
      </c>
      <c r="DL603" s="17">
        <v>5314</v>
      </c>
      <c r="DM603" s="13">
        <f t="shared" si="983"/>
        <v>81</v>
      </c>
      <c r="DN603" s="13">
        <v>218</v>
      </c>
      <c r="DO603" s="13">
        <f t="shared" si="984"/>
        <v>2</v>
      </c>
      <c r="DP603" s="13">
        <v>43</v>
      </c>
      <c r="DQ603" s="13">
        <f t="shared" si="985"/>
        <v>2</v>
      </c>
      <c r="DR603" s="13">
        <v>0</v>
      </c>
      <c r="DS603" s="53"/>
      <c r="DT603" s="53">
        <f t="shared" si="986"/>
        <v>1100</v>
      </c>
      <c r="DU603" s="13">
        <f t="shared" si="987"/>
        <v>2200</v>
      </c>
      <c r="DV603" s="14">
        <f t="shared" si="988"/>
        <v>0.27160493827160492</v>
      </c>
      <c r="DW603" s="43"/>
    </row>
    <row r="604" spans="1:127" x14ac:dyDescent="0.2">
      <c r="A604" s="16"/>
      <c r="B604" s="11"/>
      <c r="C604" s="13">
        <v>1630</v>
      </c>
      <c r="D604" s="87">
        <f t="shared" si="990"/>
        <v>25</v>
      </c>
      <c r="E604" s="13">
        <v>297</v>
      </c>
      <c r="F604" s="13">
        <f t="shared" si="991"/>
        <v>2</v>
      </c>
      <c r="G604" s="13">
        <v>42</v>
      </c>
      <c r="H604" s="50">
        <f t="shared" si="992"/>
        <v>2</v>
      </c>
      <c r="I604" s="13">
        <v>20</v>
      </c>
      <c r="J604" s="56" t="str">
        <f t="shared" si="993"/>
        <v>ジャグラーコインホルダー</v>
      </c>
      <c r="K604" s="54">
        <f t="shared" si="994"/>
        <v>220</v>
      </c>
      <c r="L604" s="13">
        <f t="shared" si="995"/>
        <v>440</v>
      </c>
      <c r="M604" s="14">
        <f t="shared" si="996"/>
        <v>0.17599999999999999</v>
      </c>
      <c r="N604" s="15"/>
      <c r="O604" s="2"/>
      <c r="P604" s="16"/>
      <c r="Q604" s="13">
        <v>1919</v>
      </c>
      <c r="R604" s="87">
        <f t="shared" si="997"/>
        <v>39</v>
      </c>
      <c r="S604" s="13">
        <v>68</v>
      </c>
      <c r="T604" s="13">
        <f t="shared" si="998"/>
        <v>1</v>
      </c>
      <c r="U604" s="13">
        <v>8</v>
      </c>
      <c r="V604" s="50">
        <f t="shared" si="999"/>
        <v>1</v>
      </c>
      <c r="W604" s="13">
        <v>0</v>
      </c>
      <c r="X604" s="56" t="str">
        <f t="shared" si="1000"/>
        <v>北斗イヤホン</v>
      </c>
      <c r="Y604" s="54">
        <f t="shared" si="1001"/>
        <v>1100</v>
      </c>
      <c r="Z604" s="13">
        <f t="shared" si="1002"/>
        <v>1100</v>
      </c>
      <c r="AA604" s="14">
        <f t="shared" si="1003"/>
        <v>0.28205128205128205</v>
      </c>
      <c r="AB604" s="142" t="s">
        <v>297</v>
      </c>
      <c r="AC604" s="113"/>
      <c r="AD604" s="147"/>
      <c r="AE604" s="13">
        <v>6495</v>
      </c>
      <c r="AF604" s="87">
        <f t="shared" si="1004"/>
        <v>28</v>
      </c>
      <c r="AG604" s="13">
        <v>148</v>
      </c>
      <c r="AH604" s="13">
        <f t="shared" si="1005"/>
        <v>0</v>
      </c>
      <c r="AI604" s="13">
        <v>15</v>
      </c>
      <c r="AJ604" s="50">
        <f t="shared" si="1006"/>
        <v>0</v>
      </c>
      <c r="AK604" s="13">
        <v>0</v>
      </c>
      <c r="AL604" s="56" t="str">
        <f t="shared" si="1007"/>
        <v>モンチッチキーケース</v>
      </c>
      <c r="AM604" s="54">
        <f t="shared" si="1008"/>
        <v>605</v>
      </c>
      <c r="AN604" s="13">
        <f t="shared" si="1009"/>
        <v>0</v>
      </c>
      <c r="AO604" s="14">
        <f t="shared" si="1010"/>
        <v>0</v>
      </c>
      <c r="AP604" s="15"/>
      <c r="AQ604" s="115"/>
      <c r="AR604" s="16"/>
      <c r="AS604" s="13">
        <v>5550</v>
      </c>
      <c r="AT604" s="13">
        <f t="shared" si="1011"/>
        <v>49</v>
      </c>
      <c r="AU604" s="13">
        <v>273</v>
      </c>
      <c r="AV604" s="13">
        <f t="shared" si="1012"/>
        <v>2</v>
      </c>
      <c r="AW604" s="13">
        <v>38</v>
      </c>
      <c r="AX604" s="50">
        <f t="shared" si="1013"/>
        <v>2</v>
      </c>
      <c r="AY604" s="13">
        <v>0</v>
      </c>
      <c r="AZ604" s="56" t="str">
        <f t="shared" si="1014"/>
        <v>ねこアイシャドウ</v>
      </c>
      <c r="BA604" s="54">
        <f t="shared" si="1015"/>
        <v>1000</v>
      </c>
      <c r="BB604" s="13">
        <f t="shared" si="1016"/>
        <v>2000</v>
      </c>
      <c r="BC604" s="14">
        <f t="shared" si="1017"/>
        <v>0.40816326530612246</v>
      </c>
      <c r="BD604" s="15"/>
      <c r="BT604" s="15"/>
      <c r="BU604" s="79" t="str">
        <f>IF($A631="","",$A631)</f>
        <v/>
      </c>
      <c r="BV604" s="17"/>
      <c r="BW604" s="13"/>
      <c r="BX604" s="13"/>
      <c r="BY604" s="13"/>
      <c r="BZ604" s="13"/>
      <c r="CA604" s="13"/>
      <c r="CB604" s="13"/>
      <c r="CC604" s="53"/>
      <c r="CD604" s="53"/>
      <c r="CE604" s="13"/>
      <c r="CF604" s="14"/>
      <c r="CG604" s="43"/>
      <c r="CH604" s="1"/>
      <c r="CI604" s="79"/>
      <c r="CJ604" s="17"/>
      <c r="CK604" s="13"/>
      <c r="CL604" s="13"/>
      <c r="CM604" s="13"/>
      <c r="CN604" s="13"/>
      <c r="CO604" s="13"/>
      <c r="CP604" s="13"/>
      <c r="CQ604" s="53"/>
      <c r="CR604" s="53"/>
      <c r="CS604" s="13"/>
      <c r="CT604" s="14"/>
      <c r="CU604" s="43"/>
      <c r="CV604" s="1"/>
      <c r="CW604" s="79"/>
      <c r="CX604" s="17"/>
      <c r="CY604" s="13"/>
      <c r="CZ604" s="13"/>
      <c r="DA604" s="13"/>
      <c r="DB604" s="13"/>
      <c r="DC604" s="13"/>
      <c r="DD604" s="13"/>
      <c r="DE604" s="53"/>
      <c r="DF604" s="53"/>
      <c r="DG604" s="13"/>
      <c r="DH604" s="14"/>
      <c r="DI604" s="43"/>
      <c r="DJ604" s="1"/>
      <c r="DK604" s="79"/>
      <c r="DL604" s="17"/>
      <c r="DM604" s="13"/>
      <c r="DN604" s="13"/>
      <c r="DO604" s="13"/>
      <c r="DP604" s="13"/>
      <c r="DQ604" s="13"/>
      <c r="DR604" s="13"/>
      <c r="DS604" s="53"/>
      <c r="DT604" s="53"/>
      <c r="DU604" s="13"/>
      <c r="DV604" s="14"/>
      <c r="DW604" s="43"/>
    </row>
    <row r="605" spans="1:127" x14ac:dyDescent="0.2">
      <c r="A605" s="16"/>
      <c r="B605" s="11"/>
      <c r="C605" s="13">
        <v>6189</v>
      </c>
      <c r="D605" s="13">
        <f t="shared" si="990"/>
        <v>101</v>
      </c>
      <c r="E605" s="13">
        <v>409</v>
      </c>
      <c r="F605" s="13">
        <f t="shared" si="991"/>
        <v>2</v>
      </c>
      <c r="G605" s="13">
        <v>70</v>
      </c>
      <c r="H605" s="13">
        <f t="shared" si="992"/>
        <v>5</v>
      </c>
      <c r="I605" s="13">
        <v>38</v>
      </c>
      <c r="J605" s="56" t="str">
        <f t="shared" si="993"/>
        <v>AIモンスタラバー</v>
      </c>
      <c r="K605" s="13">
        <f t="shared" si="994"/>
        <v>200</v>
      </c>
      <c r="L605" s="13">
        <f t="shared" si="995"/>
        <v>1000</v>
      </c>
      <c r="M605" s="14">
        <f t="shared" si="996"/>
        <v>9.9009900990099015E-2</v>
      </c>
      <c r="N605" s="15"/>
      <c r="O605" s="2"/>
      <c r="P605" s="16"/>
      <c r="Q605" s="13">
        <v>3466</v>
      </c>
      <c r="R605" s="13">
        <f t="shared" si="997"/>
        <v>254</v>
      </c>
      <c r="S605" s="13">
        <v>47</v>
      </c>
      <c r="T605" s="13">
        <f t="shared" si="998"/>
        <v>7</v>
      </c>
      <c r="U605" s="13">
        <v>12</v>
      </c>
      <c r="V605" s="13">
        <f t="shared" si="999"/>
        <v>7</v>
      </c>
      <c r="W605" s="13">
        <v>4</v>
      </c>
      <c r="X605" s="56" t="str">
        <f t="shared" si="1000"/>
        <v>ラブブマスコット</v>
      </c>
      <c r="Y605" s="13">
        <f t="shared" si="1001"/>
        <v>400</v>
      </c>
      <c r="Z605" s="13">
        <f t="shared" si="1002"/>
        <v>2800</v>
      </c>
      <c r="AA605" s="14">
        <f t="shared" si="1003"/>
        <v>0.11023622047244094</v>
      </c>
      <c r="AB605" s="142"/>
      <c r="AC605" s="113"/>
      <c r="AD605" s="147"/>
      <c r="AE605" s="13">
        <v>6879</v>
      </c>
      <c r="AF605" s="13">
        <f t="shared" si="1004"/>
        <v>0</v>
      </c>
      <c r="AG605" s="13">
        <v>257</v>
      </c>
      <c r="AH605" s="13">
        <f t="shared" si="1005"/>
        <v>0</v>
      </c>
      <c r="AI605" s="13">
        <v>20</v>
      </c>
      <c r="AJ605" s="13">
        <f t="shared" si="1006"/>
        <v>0</v>
      </c>
      <c r="AK605" s="13">
        <v>0</v>
      </c>
      <c r="AL605" s="111" t="str">
        <f t="shared" si="1007"/>
        <v>スティッチポーチ</v>
      </c>
      <c r="AM605" s="13">
        <f t="shared" si="1008"/>
        <v>490</v>
      </c>
      <c r="AN605" s="13">
        <f t="shared" si="1009"/>
        <v>0</v>
      </c>
      <c r="AO605" s="14" t="e">
        <f t="shared" si="1010"/>
        <v>#DIV/0!</v>
      </c>
      <c r="AP605" s="92" t="s">
        <v>295</v>
      </c>
      <c r="AQ605" s="115"/>
      <c r="AR605" s="16"/>
      <c r="AS605" s="13">
        <v>9272</v>
      </c>
      <c r="AT605" s="13">
        <f t="shared" si="1011"/>
        <v>122</v>
      </c>
      <c r="AU605" s="13">
        <v>374</v>
      </c>
      <c r="AV605" s="13">
        <f t="shared" si="1012"/>
        <v>2</v>
      </c>
      <c r="AW605" s="13">
        <v>10</v>
      </c>
      <c r="AX605" s="13">
        <f t="shared" si="1013"/>
        <v>3</v>
      </c>
      <c r="AY605" s="13">
        <v>3</v>
      </c>
      <c r="AZ605" s="56" t="str">
        <f t="shared" si="1014"/>
        <v>モンチッチマスコット</v>
      </c>
      <c r="BA605" s="13">
        <f t="shared" si="1015"/>
        <v>528</v>
      </c>
      <c r="BB605" s="13">
        <f t="shared" si="1016"/>
        <v>1584</v>
      </c>
      <c r="BC605" s="14">
        <f t="shared" si="1017"/>
        <v>0.1298360655737705</v>
      </c>
      <c r="BD605" s="15"/>
      <c r="BT605" s="15"/>
      <c r="BU605" s="79" t="str">
        <f>IF($A635="","",$A635)</f>
        <v/>
      </c>
      <c r="BV605" s="17"/>
      <c r="BW605" s="13"/>
      <c r="BX605" s="13"/>
      <c r="BY605" s="13"/>
      <c r="BZ605" s="13"/>
      <c r="CA605" s="13"/>
      <c r="CB605" s="13"/>
      <c r="CC605" s="53"/>
      <c r="CD605" s="53"/>
      <c r="CE605" s="13"/>
      <c r="CF605" s="14"/>
      <c r="CG605" s="43"/>
      <c r="CH605" s="1"/>
      <c r="CI605" s="79"/>
      <c r="CJ605" s="17"/>
      <c r="CK605" s="13"/>
      <c r="CL605" s="13"/>
      <c r="CM605" s="13"/>
      <c r="CN605" s="13"/>
      <c r="CO605" s="13"/>
      <c r="CP605" s="13"/>
      <c r="CQ605" s="53"/>
      <c r="CR605" s="53"/>
      <c r="CS605" s="13"/>
      <c r="CT605" s="14"/>
      <c r="CU605" s="43"/>
      <c r="CV605" s="1"/>
      <c r="CW605" s="79"/>
      <c r="CX605" s="17"/>
      <c r="CY605" s="13"/>
      <c r="CZ605" s="13"/>
      <c r="DA605" s="13"/>
      <c r="DB605" s="13"/>
      <c r="DC605" s="13"/>
      <c r="DD605" s="13"/>
      <c r="DE605" s="53"/>
      <c r="DF605" s="53"/>
      <c r="DG605" s="13"/>
      <c r="DH605" s="14"/>
      <c r="DI605" s="43"/>
      <c r="DJ605" s="1"/>
      <c r="DK605" s="79"/>
      <c r="DL605" s="17"/>
      <c r="DM605" s="13"/>
      <c r="DN605" s="13"/>
      <c r="DO605" s="13"/>
      <c r="DP605" s="13"/>
      <c r="DQ605" s="13"/>
      <c r="DR605" s="13"/>
      <c r="DS605" s="53"/>
      <c r="DT605" s="53"/>
      <c r="DU605" s="13"/>
      <c r="DV605" s="14"/>
      <c r="DW605" s="43"/>
    </row>
    <row r="606" spans="1:127" ht="15" customHeight="1" thickBot="1" x14ac:dyDescent="0.25">
      <c r="A606" s="26"/>
      <c r="B606" s="46"/>
      <c r="C606" s="27">
        <v>2956</v>
      </c>
      <c r="D606" s="27">
        <f t="shared" si="990"/>
        <v>61</v>
      </c>
      <c r="E606" s="27">
        <v>369</v>
      </c>
      <c r="F606" s="27">
        <f t="shared" si="991"/>
        <v>1</v>
      </c>
      <c r="G606" s="27">
        <v>48</v>
      </c>
      <c r="H606" s="27">
        <f t="shared" si="992"/>
        <v>1</v>
      </c>
      <c r="I606" s="27">
        <v>0</v>
      </c>
      <c r="J606" s="57" t="str">
        <f t="shared" si="993"/>
        <v>NICIマスコット</v>
      </c>
      <c r="K606" s="62">
        <f t="shared" si="994"/>
        <v>900</v>
      </c>
      <c r="L606" s="27">
        <f t="shared" si="995"/>
        <v>900</v>
      </c>
      <c r="M606" s="28">
        <f t="shared" si="996"/>
        <v>0.14754098360655737</v>
      </c>
      <c r="N606" s="15"/>
      <c r="O606" s="2"/>
      <c r="P606" s="26"/>
      <c r="Q606" s="27">
        <v>3658</v>
      </c>
      <c r="R606" s="27">
        <f t="shared" si="997"/>
        <v>98</v>
      </c>
      <c r="S606" s="27">
        <v>69</v>
      </c>
      <c r="T606" s="27">
        <f t="shared" si="998"/>
        <v>2</v>
      </c>
      <c r="U606" s="27">
        <v>11</v>
      </c>
      <c r="V606" s="27">
        <f t="shared" si="999"/>
        <v>1</v>
      </c>
      <c r="W606" s="27">
        <v>0</v>
      </c>
      <c r="X606" s="57" t="str">
        <f t="shared" si="1000"/>
        <v>ＡＩマスコット</v>
      </c>
      <c r="Y606" s="62">
        <f t="shared" si="1001"/>
        <v>286</v>
      </c>
      <c r="Z606" s="27">
        <f t="shared" si="1002"/>
        <v>286</v>
      </c>
      <c r="AA606" s="28">
        <f t="shared" si="1003"/>
        <v>2.9183673469387755E-2</v>
      </c>
      <c r="AB606" s="142"/>
      <c r="AC606" s="113"/>
      <c r="AD606" s="145"/>
      <c r="AE606" s="27">
        <v>8259</v>
      </c>
      <c r="AF606" s="27">
        <f t="shared" si="1004"/>
        <v>68</v>
      </c>
      <c r="AG606" s="27">
        <v>233</v>
      </c>
      <c r="AH606" s="27">
        <f t="shared" si="1005"/>
        <v>2</v>
      </c>
      <c r="AI606" s="27">
        <v>6</v>
      </c>
      <c r="AJ606" s="27">
        <f t="shared" si="1006"/>
        <v>2</v>
      </c>
      <c r="AK606" s="27">
        <v>7</v>
      </c>
      <c r="AL606" s="57" t="str">
        <f t="shared" si="1007"/>
        <v>しなこくま</v>
      </c>
      <c r="AM606" s="62">
        <f t="shared" si="1008"/>
        <v>528</v>
      </c>
      <c r="AN606" s="27">
        <f t="shared" si="1009"/>
        <v>1056</v>
      </c>
      <c r="AO606" s="28">
        <f t="shared" si="1010"/>
        <v>0.15529411764705883</v>
      </c>
      <c r="AP606" s="15"/>
      <c r="AQ606" s="115"/>
      <c r="AR606" s="26"/>
      <c r="AS606" s="27">
        <v>8478</v>
      </c>
      <c r="AT606" s="88">
        <f t="shared" si="1011"/>
        <v>24</v>
      </c>
      <c r="AU606" s="27">
        <v>340</v>
      </c>
      <c r="AV606" s="27">
        <f t="shared" si="1012"/>
        <v>1</v>
      </c>
      <c r="AW606" s="27">
        <v>7</v>
      </c>
      <c r="AX606" s="27">
        <f t="shared" si="1013"/>
        <v>2</v>
      </c>
      <c r="AY606" s="27">
        <v>4</v>
      </c>
      <c r="AZ606" s="108" t="str">
        <f t="shared" si="1014"/>
        <v>サンリオミニリュック</v>
      </c>
      <c r="BA606" s="62">
        <f t="shared" si="1015"/>
        <v>600</v>
      </c>
      <c r="BB606" s="27">
        <f t="shared" si="1016"/>
        <v>1200</v>
      </c>
      <c r="BC606" s="28">
        <f t="shared" si="1017"/>
        <v>0.5</v>
      </c>
      <c r="BD606" s="15" t="s">
        <v>296</v>
      </c>
      <c r="BT606" s="15"/>
      <c r="BU606" s="79" t="str">
        <f>IF($A639="","",$A639)</f>
        <v/>
      </c>
      <c r="BV606" s="17"/>
      <c r="BW606" s="13" t="str">
        <f t="shared" si="966"/>
        <v/>
      </c>
      <c r="BX606" s="13"/>
      <c r="BY606" s="13" t="str">
        <f t="shared" si="967"/>
        <v/>
      </c>
      <c r="BZ606" s="13"/>
      <c r="CA606" s="13" t="str">
        <f t="shared" si="968"/>
        <v/>
      </c>
      <c r="CB606" s="13"/>
      <c r="CC606" s="53"/>
      <c r="CD606" s="53" t="str">
        <f t="shared" si="989"/>
        <v/>
      </c>
      <c r="CE606" s="13" t="str">
        <f t="shared" si="969"/>
        <v/>
      </c>
      <c r="CF606" s="14" t="str">
        <f t="shared" si="970"/>
        <v/>
      </c>
      <c r="CG606" s="15"/>
      <c r="CH606" s="1"/>
      <c r="CI606" s="79" t="str">
        <f>IF($A639="","",$A639)</f>
        <v/>
      </c>
      <c r="CJ606" s="17"/>
      <c r="CK606" s="13" t="str">
        <f t="shared" si="971"/>
        <v/>
      </c>
      <c r="CL606" s="13"/>
      <c r="CM606" s="13" t="str">
        <f t="shared" si="972"/>
        <v/>
      </c>
      <c r="CN606" s="13"/>
      <c r="CO606" s="13" t="str">
        <f t="shared" si="973"/>
        <v/>
      </c>
      <c r="CP606" s="13"/>
      <c r="CQ606" s="53"/>
      <c r="CR606" s="53" t="str">
        <f t="shared" si="974"/>
        <v/>
      </c>
      <c r="CS606" s="13" t="str">
        <f t="shared" si="975"/>
        <v/>
      </c>
      <c r="CT606" s="14" t="str">
        <f t="shared" si="976"/>
        <v/>
      </c>
      <c r="CU606" s="15"/>
      <c r="CV606" s="1"/>
      <c r="CW606" s="79" t="str">
        <f>IF($A639="","",$A639)</f>
        <v/>
      </c>
      <c r="CX606" s="17"/>
      <c r="CY606" s="13" t="str">
        <f t="shared" si="977"/>
        <v/>
      </c>
      <c r="CZ606" s="13"/>
      <c r="DA606" s="13" t="str">
        <f t="shared" si="978"/>
        <v/>
      </c>
      <c r="DB606" s="13"/>
      <c r="DC606" s="13" t="str">
        <f t="shared" si="979"/>
        <v/>
      </c>
      <c r="DD606" s="13"/>
      <c r="DE606" s="53"/>
      <c r="DF606" s="53" t="str">
        <f t="shared" si="980"/>
        <v/>
      </c>
      <c r="DG606" s="13" t="str">
        <f t="shared" si="981"/>
        <v/>
      </c>
      <c r="DH606" s="14" t="str">
        <f t="shared" si="982"/>
        <v/>
      </c>
      <c r="DI606" s="15"/>
      <c r="DJ606" s="1"/>
      <c r="DK606" s="79" t="str">
        <f>IF($A639="","",$A639)</f>
        <v/>
      </c>
      <c r="DL606" s="17"/>
      <c r="DM606" s="13" t="str">
        <f t="shared" si="983"/>
        <v/>
      </c>
      <c r="DN606" s="13"/>
      <c r="DO606" s="13" t="str">
        <f t="shared" si="984"/>
        <v/>
      </c>
      <c r="DP606" s="13"/>
      <c r="DQ606" s="13" t="str">
        <f t="shared" si="985"/>
        <v/>
      </c>
      <c r="DR606" s="13"/>
      <c r="DS606" s="53"/>
      <c r="DT606" s="53" t="str">
        <f t="shared" si="986"/>
        <v/>
      </c>
      <c r="DU606" s="13" t="str">
        <f t="shared" si="987"/>
        <v/>
      </c>
      <c r="DV606" s="14" t="str">
        <f t="shared" si="988"/>
        <v/>
      </c>
      <c r="DW606" s="15"/>
    </row>
    <row r="607" spans="1:127" ht="15.75" thickTop="1" x14ac:dyDescent="0.2">
      <c r="A607" s="79">
        <v>45922</v>
      </c>
      <c r="B607" s="74">
        <f>IF(A607="","",SUM(D607:D610)+SUM(R607:R610)+SUM(AF607:AF610)+SUM(AT607:AT610)+SUM(BW598,CK598,CY598,DM598))</f>
        <v>2596</v>
      </c>
      <c r="C607" s="53">
        <v>2397</v>
      </c>
      <c r="D607" s="53">
        <f t="shared" si="990"/>
        <v>101</v>
      </c>
      <c r="E607" s="53">
        <v>284</v>
      </c>
      <c r="F607" s="31">
        <f t="shared" si="991"/>
        <v>1</v>
      </c>
      <c r="G607" s="53">
        <v>14</v>
      </c>
      <c r="H607" s="53">
        <f t="shared" si="992"/>
        <v>1</v>
      </c>
      <c r="I607" s="80">
        <v>0</v>
      </c>
      <c r="J607" s="75" t="str">
        <f t="shared" si="993"/>
        <v>ジャグラーサウンドボタン</v>
      </c>
      <c r="K607" s="76">
        <f t="shared" si="994"/>
        <v>748</v>
      </c>
      <c r="L607" s="31">
        <f t="shared" si="995"/>
        <v>748</v>
      </c>
      <c r="M607" s="32">
        <f t="shared" si="996"/>
        <v>7.4059405940594056E-2</v>
      </c>
      <c r="N607" s="15"/>
      <c r="O607" s="2"/>
      <c r="P607" s="79">
        <f>IF(A607="","",A607)</f>
        <v>45922</v>
      </c>
      <c r="Q607" s="53">
        <v>1879</v>
      </c>
      <c r="R607" s="53">
        <f t="shared" si="997"/>
        <v>158</v>
      </c>
      <c r="S607" s="53">
        <v>84</v>
      </c>
      <c r="T607" s="31">
        <f t="shared" si="998"/>
        <v>3</v>
      </c>
      <c r="U607" s="53">
        <v>2</v>
      </c>
      <c r="V607" s="53">
        <f t="shared" si="999"/>
        <v>3</v>
      </c>
      <c r="W607" s="80">
        <v>2</v>
      </c>
      <c r="X607" s="75" t="str">
        <f t="shared" si="1000"/>
        <v>ジャグラーサウンドボタンDX</v>
      </c>
      <c r="Y607" s="76">
        <f t="shared" si="1001"/>
        <v>1100</v>
      </c>
      <c r="Z607" s="31">
        <f t="shared" si="1002"/>
        <v>3300</v>
      </c>
      <c r="AA607" s="32">
        <f t="shared" si="1003"/>
        <v>0.20886075949367089</v>
      </c>
      <c r="AB607" s="142"/>
      <c r="AC607" s="113"/>
      <c r="AD607" s="146">
        <f>IF($A607="","",$A607)</f>
        <v>45922</v>
      </c>
      <c r="AE607" s="53">
        <v>7576</v>
      </c>
      <c r="AF607" s="53">
        <f t="shared" si="1004"/>
        <v>75</v>
      </c>
      <c r="AG607" s="53">
        <v>173</v>
      </c>
      <c r="AH607" s="31">
        <f t="shared" si="1005"/>
        <v>3</v>
      </c>
      <c r="AI607" s="53">
        <v>13</v>
      </c>
      <c r="AJ607" s="53">
        <f t="shared" si="1006"/>
        <v>3</v>
      </c>
      <c r="AK607" s="80">
        <v>5</v>
      </c>
      <c r="AL607" s="75" t="str">
        <f t="shared" si="1007"/>
        <v>サンリオでかぱっちん</v>
      </c>
      <c r="AM607" s="76">
        <f t="shared" si="1008"/>
        <v>660</v>
      </c>
      <c r="AN607" s="31">
        <f t="shared" si="1009"/>
        <v>1980</v>
      </c>
      <c r="AO607" s="32">
        <f t="shared" si="1010"/>
        <v>0.26400000000000001</v>
      </c>
      <c r="AP607" s="15"/>
      <c r="AQ607" s="15"/>
      <c r="AR607" s="79">
        <f>IF($A607="","",$A607)</f>
        <v>45922</v>
      </c>
      <c r="AS607" s="53">
        <v>8215</v>
      </c>
      <c r="AT607" s="53">
        <f t="shared" si="1011"/>
        <v>87</v>
      </c>
      <c r="AU607" s="53">
        <v>242</v>
      </c>
      <c r="AV607" s="31">
        <f t="shared" si="1012"/>
        <v>1</v>
      </c>
      <c r="AW607" s="53">
        <v>15</v>
      </c>
      <c r="AX607" s="53">
        <f t="shared" si="1013"/>
        <v>1</v>
      </c>
      <c r="AY607" s="80">
        <v>0</v>
      </c>
      <c r="AZ607" s="75" t="str">
        <f t="shared" si="1014"/>
        <v>こびとづかんキーケース</v>
      </c>
      <c r="BA607" s="76">
        <f t="shared" si="1015"/>
        <v>726</v>
      </c>
      <c r="BB607" s="31">
        <f t="shared" si="1016"/>
        <v>726</v>
      </c>
      <c r="BC607" s="32">
        <f t="shared" si="1017"/>
        <v>8.344827586206896E-2</v>
      </c>
      <c r="BD607" s="15"/>
      <c r="BT607" s="15"/>
      <c r="BU607" s="79" t="str">
        <f>IF($A643="","",$A643)</f>
        <v/>
      </c>
      <c r="BV607" s="17"/>
      <c r="BW607" s="13" t="str">
        <f t="shared" si="966"/>
        <v/>
      </c>
      <c r="BX607" s="13"/>
      <c r="BY607" s="13" t="str">
        <f t="shared" si="967"/>
        <v/>
      </c>
      <c r="BZ607" s="13"/>
      <c r="CA607" s="13" t="str">
        <f t="shared" si="968"/>
        <v/>
      </c>
      <c r="CB607" s="13"/>
      <c r="CC607" s="53"/>
      <c r="CD607" s="53" t="str">
        <f t="shared" si="989"/>
        <v/>
      </c>
      <c r="CE607" s="13" t="str">
        <f t="shared" si="969"/>
        <v/>
      </c>
      <c r="CF607" s="14" t="str">
        <f t="shared" si="970"/>
        <v/>
      </c>
      <c r="CG607" s="15"/>
      <c r="CH607" s="1"/>
      <c r="CI607" s="79" t="str">
        <f>IF($A643="","",$A643)</f>
        <v/>
      </c>
      <c r="CJ607" s="17"/>
      <c r="CK607" s="13" t="str">
        <f t="shared" si="971"/>
        <v/>
      </c>
      <c r="CL607" s="13"/>
      <c r="CM607" s="13" t="str">
        <f t="shared" si="972"/>
        <v/>
      </c>
      <c r="CN607" s="13"/>
      <c r="CO607" s="13" t="str">
        <f t="shared" si="973"/>
        <v/>
      </c>
      <c r="CP607" s="13"/>
      <c r="CQ607" s="53"/>
      <c r="CR607" s="53" t="str">
        <f t="shared" si="974"/>
        <v/>
      </c>
      <c r="CS607" s="13" t="str">
        <f t="shared" si="975"/>
        <v/>
      </c>
      <c r="CT607" s="14" t="str">
        <f t="shared" si="976"/>
        <v/>
      </c>
      <c r="CU607" s="15"/>
      <c r="CV607" s="1"/>
      <c r="CW607" s="79" t="str">
        <f>IF($A643="","",$A643)</f>
        <v/>
      </c>
      <c r="CX607" s="17"/>
      <c r="CY607" s="13" t="str">
        <f t="shared" si="977"/>
        <v/>
      </c>
      <c r="CZ607" s="13"/>
      <c r="DA607" s="13" t="str">
        <f t="shared" si="978"/>
        <v/>
      </c>
      <c r="DB607" s="13"/>
      <c r="DC607" s="13" t="str">
        <f t="shared" si="979"/>
        <v/>
      </c>
      <c r="DD607" s="13"/>
      <c r="DE607" s="53"/>
      <c r="DF607" s="53" t="str">
        <f t="shared" si="980"/>
        <v/>
      </c>
      <c r="DG607" s="13" t="str">
        <f t="shared" si="981"/>
        <v/>
      </c>
      <c r="DH607" s="14" t="str">
        <f t="shared" si="982"/>
        <v/>
      </c>
      <c r="DI607" s="15"/>
      <c r="DJ607" s="1"/>
      <c r="DK607" s="79" t="str">
        <f>IF($A643="","",$A643)</f>
        <v/>
      </c>
      <c r="DL607" s="17"/>
      <c r="DM607" s="13" t="str">
        <f t="shared" si="983"/>
        <v/>
      </c>
      <c r="DN607" s="13"/>
      <c r="DO607" s="13" t="str">
        <f t="shared" si="984"/>
        <v/>
      </c>
      <c r="DP607" s="13"/>
      <c r="DQ607" s="13" t="str">
        <f t="shared" si="985"/>
        <v/>
      </c>
      <c r="DR607" s="13"/>
      <c r="DS607" s="53"/>
      <c r="DT607" s="53" t="str">
        <f t="shared" si="986"/>
        <v/>
      </c>
      <c r="DU607" s="13" t="str">
        <f t="shared" si="987"/>
        <v/>
      </c>
      <c r="DV607" s="14" t="str">
        <f t="shared" si="988"/>
        <v/>
      </c>
      <c r="DW607" s="15"/>
    </row>
    <row r="608" spans="1:127" x14ac:dyDescent="0.2">
      <c r="A608" s="16"/>
      <c r="B608" s="11"/>
      <c r="C608" s="13">
        <v>1668</v>
      </c>
      <c r="D608" s="127">
        <f t="shared" si="990"/>
        <v>38</v>
      </c>
      <c r="E608" s="13">
        <v>303</v>
      </c>
      <c r="F608" s="13">
        <f t="shared" si="991"/>
        <v>6</v>
      </c>
      <c r="G608" s="13">
        <v>56</v>
      </c>
      <c r="H608" s="13">
        <f t="shared" si="992"/>
        <v>6</v>
      </c>
      <c r="I608" s="17">
        <v>-44</v>
      </c>
      <c r="J608" s="56" t="str">
        <f t="shared" si="993"/>
        <v>ジャグラーコインホルダー</v>
      </c>
      <c r="K608" s="54">
        <f t="shared" si="994"/>
        <v>220</v>
      </c>
      <c r="L608" s="13">
        <f t="shared" si="995"/>
        <v>1320</v>
      </c>
      <c r="M608" s="14">
        <f t="shared" si="996"/>
        <v>0.3473684210526316</v>
      </c>
      <c r="N608" s="15" t="s">
        <v>300</v>
      </c>
      <c r="O608" s="2"/>
      <c r="P608" s="16"/>
      <c r="Q608" s="13">
        <v>1961</v>
      </c>
      <c r="R608" s="127">
        <f t="shared" si="997"/>
        <v>42</v>
      </c>
      <c r="S608" s="13">
        <v>71</v>
      </c>
      <c r="T608" s="13">
        <f t="shared" si="998"/>
        <v>3</v>
      </c>
      <c r="U608" s="13">
        <v>5</v>
      </c>
      <c r="V608" s="13">
        <f t="shared" si="999"/>
        <v>3</v>
      </c>
      <c r="W608" s="17">
        <v>12</v>
      </c>
      <c r="X608" s="56" t="str">
        <f t="shared" si="1000"/>
        <v>北斗イヤホン</v>
      </c>
      <c r="Y608" s="54">
        <f t="shared" si="1001"/>
        <v>1100</v>
      </c>
      <c r="Z608" s="13">
        <f t="shared" si="1002"/>
        <v>3300</v>
      </c>
      <c r="AA608" s="14">
        <f t="shared" si="1003"/>
        <v>0.7857142857142857</v>
      </c>
      <c r="AB608" s="142" t="s">
        <v>308</v>
      </c>
      <c r="AC608" s="113"/>
      <c r="AD608" s="147"/>
      <c r="AE608" s="13">
        <v>6515</v>
      </c>
      <c r="AF608" s="53">
        <f t="shared" si="1004"/>
        <v>20</v>
      </c>
      <c r="AG608" s="13">
        <v>149</v>
      </c>
      <c r="AH608" s="13">
        <f t="shared" si="1005"/>
        <v>1</v>
      </c>
      <c r="AI608" s="13">
        <v>14</v>
      </c>
      <c r="AJ608" s="13">
        <f t="shared" si="1006"/>
        <v>1</v>
      </c>
      <c r="AK608" s="17">
        <v>4</v>
      </c>
      <c r="AL608" s="56" t="str">
        <f t="shared" si="1007"/>
        <v>モンチッチキーケース</v>
      </c>
      <c r="AM608" s="54">
        <f t="shared" si="1008"/>
        <v>605</v>
      </c>
      <c r="AN608" s="13">
        <f t="shared" si="1009"/>
        <v>605</v>
      </c>
      <c r="AO608" s="14">
        <f t="shared" si="1010"/>
        <v>0.30249999999999999</v>
      </c>
      <c r="AP608" s="15" t="s">
        <v>299</v>
      </c>
      <c r="AQ608" s="15"/>
      <c r="AR608" s="16"/>
      <c r="AS608" s="13">
        <v>5627</v>
      </c>
      <c r="AT608" s="53">
        <f t="shared" si="1011"/>
        <v>77</v>
      </c>
      <c r="AU608" s="13">
        <v>276</v>
      </c>
      <c r="AV608" s="13">
        <f t="shared" si="1012"/>
        <v>3</v>
      </c>
      <c r="AW608" s="13">
        <v>35</v>
      </c>
      <c r="AX608" s="13">
        <f t="shared" si="1013"/>
        <v>3</v>
      </c>
      <c r="AY608" s="17">
        <v>0</v>
      </c>
      <c r="AZ608" s="56" t="str">
        <f t="shared" si="1014"/>
        <v>ねこアイシャドウ</v>
      </c>
      <c r="BA608" s="54">
        <f t="shared" si="1015"/>
        <v>1000</v>
      </c>
      <c r="BB608" s="13">
        <f t="shared" si="1016"/>
        <v>3000</v>
      </c>
      <c r="BC608" s="14">
        <f t="shared" si="1017"/>
        <v>0.38961038961038963</v>
      </c>
      <c r="BD608" s="15"/>
      <c r="BT608" s="15"/>
      <c r="BU608" s="79" t="str">
        <f>IF($A614="","",$A614)</f>
        <v/>
      </c>
      <c r="BV608" s="13"/>
      <c r="BW608" s="13" t="str">
        <f t="shared" si="966"/>
        <v/>
      </c>
      <c r="BX608" s="13"/>
      <c r="BY608" s="13" t="str">
        <f t="shared" si="967"/>
        <v/>
      </c>
      <c r="BZ608" s="13"/>
      <c r="CA608" s="13" t="str">
        <f t="shared" si="968"/>
        <v/>
      </c>
      <c r="CB608" s="13"/>
      <c r="CC608" s="53"/>
      <c r="CD608" s="53" t="str">
        <f t="shared" si="989"/>
        <v/>
      </c>
      <c r="CE608" s="13" t="str">
        <f t="shared" si="969"/>
        <v/>
      </c>
      <c r="CF608" s="14" t="str">
        <f>IF(CE608="","",CE608/(BV608*100))</f>
        <v/>
      </c>
      <c r="CG608" s="67"/>
      <c r="CH608" s="1"/>
      <c r="CI608" s="79" t="str">
        <f>IF($A614="","",$A614)</f>
        <v/>
      </c>
      <c r="CJ608" s="13"/>
      <c r="CK608" s="13" t="str">
        <f t="shared" si="971"/>
        <v/>
      </c>
      <c r="CL608" s="13"/>
      <c r="CM608" s="13" t="str">
        <f t="shared" si="972"/>
        <v/>
      </c>
      <c r="CN608" s="13"/>
      <c r="CO608" s="13" t="str">
        <f t="shared" si="973"/>
        <v/>
      </c>
      <c r="CP608" s="13"/>
      <c r="CQ608" s="53"/>
      <c r="CR608" s="53" t="str">
        <f t="shared" si="974"/>
        <v/>
      </c>
      <c r="CS608" s="13" t="str">
        <f t="shared" si="975"/>
        <v/>
      </c>
      <c r="CT608" s="14" t="str">
        <f t="shared" si="976"/>
        <v/>
      </c>
      <c r="CU608" s="15"/>
      <c r="CV608" s="1"/>
      <c r="CW608" s="79" t="str">
        <f>IF($A614="","",$A614)</f>
        <v/>
      </c>
      <c r="CX608" s="13"/>
      <c r="CY608" s="13" t="str">
        <f t="shared" si="977"/>
        <v/>
      </c>
      <c r="CZ608" s="13"/>
      <c r="DA608" s="13" t="str">
        <f t="shared" si="978"/>
        <v/>
      </c>
      <c r="DB608" s="13"/>
      <c r="DC608" s="13" t="str">
        <f t="shared" si="979"/>
        <v/>
      </c>
      <c r="DD608" s="13"/>
      <c r="DE608" s="53"/>
      <c r="DF608" s="53" t="str">
        <f t="shared" si="980"/>
        <v/>
      </c>
      <c r="DG608" s="13" t="str">
        <f t="shared" si="981"/>
        <v/>
      </c>
      <c r="DH608" s="14" t="str">
        <f t="shared" si="982"/>
        <v/>
      </c>
      <c r="DI608" s="15"/>
      <c r="DJ608" s="1"/>
      <c r="DK608" s="79" t="str">
        <f>IF($A614="","",$A614)</f>
        <v/>
      </c>
      <c r="DL608" s="13"/>
      <c r="DM608" s="13" t="str">
        <f t="shared" si="983"/>
        <v/>
      </c>
      <c r="DN608" s="13"/>
      <c r="DO608" s="13" t="str">
        <f t="shared" si="984"/>
        <v/>
      </c>
      <c r="DP608" s="13"/>
      <c r="DQ608" s="13" t="str">
        <f t="shared" si="985"/>
        <v/>
      </c>
      <c r="DR608" s="13"/>
      <c r="DS608" s="53"/>
      <c r="DT608" s="53" t="str">
        <f t="shared" si="986"/>
        <v/>
      </c>
      <c r="DU608" s="13" t="str">
        <f t="shared" si="987"/>
        <v/>
      </c>
      <c r="DV608" s="14" t="str">
        <f t="shared" si="988"/>
        <v/>
      </c>
      <c r="DW608" s="15"/>
    </row>
    <row r="609" spans="1:127" x14ac:dyDescent="0.2">
      <c r="A609" s="33"/>
      <c r="B609" s="48"/>
      <c r="C609" s="34">
        <v>6445</v>
      </c>
      <c r="D609" s="53">
        <f t="shared" si="990"/>
        <v>256</v>
      </c>
      <c r="E609" s="34">
        <v>422</v>
      </c>
      <c r="F609" s="13">
        <f t="shared" si="991"/>
        <v>13</v>
      </c>
      <c r="G609" s="34">
        <v>90</v>
      </c>
      <c r="H609" s="13">
        <f t="shared" si="992"/>
        <v>18</v>
      </c>
      <c r="I609" s="49">
        <v>14</v>
      </c>
      <c r="J609" s="56" t="str">
        <f t="shared" si="993"/>
        <v>AIモンスタラバー</v>
      </c>
      <c r="K609" s="13">
        <f t="shared" si="994"/>
        <v>200</v>
      </c>
      <c r="L609" s="13">
        <f t="shared" si="995"/>
        <v>3600</v>
      </c>
      <c r="M609" s="14">
        <f t="shared" si="996"/>
        <v>0.140625</v>
      </c>
      <c r="N609" s="15"/>
      <c r="O609" s="2"/>
      <c r="P609" s="33"/>
      <c r="Q609" s="34">
        <v>3971</v>
      </c>
      <c r="R609" s="53">
        <f t="shared" si="997"/>
        <v>505</v>
      </c>
      <c r="S609" s="34">
        <v>52</v>
      </c>
      <c r="T609" s="13">
        <f t="shared" si="998"/>
        <v>5</v>
      </c>
      <c r="U609" s="34">
        <v>9</v>
      </c>
      <c r="V609" s="89">
        <f t="shared" si="999"/>
        <v>7</v>
      </c>
      <c r="W609" s="49">
        <v>3</v>
      </c>
      <c r="X609" s="56" t="str">
        <f t="shared" si="1000"/>
        <v>ラブブマスコット</v>
      </c>
      <c r="Y609" s="13">
        <f t="shared" si="1001"/>
        <v>400</v>
      </c>
      <c r="Z609" s="13">
        <f t="shared" si="1002"/>
        <v>2800</v>
      </c>
      <c r="AA609" s="14">
        <f t="shared" si="1003"/>
        <v>5.5445544554455446E-2</v>
      </c>
      <c r="AB609" s="15"/>
      <c r="AC609" s="84"/>
      <c r="AD609" s="33"/>
      <c r="AE609" s="34">
        <v>6905</v>
      </c>
      <c r="AF609" s="53">
        <f t="shared" si="1004"/>
        <v>26</v>
      </c>
      <c r="AG609" s="34">
        <v>258</v>
      </c>
      <c r="AH609" s="13">
        <f t="shared" si="1005"/>
        <v>1</v>
      </c>
      <c r="AI609" s="34">
        <v>19</v>
      </c>
      <c r="AJ609" s="13">
        <f t="shared" si="1006"/>
        <v>1</v>
      </c>
      <c r="AK609" s="49">
        <v>-7</v>
      </c>
      <c r="AL609" s="56" t="str">
        <f t="shared" si="1007"/>
        <v>スティッチポーチ</v>
      </c>
      <c r="AM609" s="13">
        <f t="shared" si="1008"/>
        <v>490</v>
      </c>
      <c r="AN609" s="13">
        <f t="shared" si="1009"/>
        <v>490</v>
      </c>
      <c r="AO609" s="14">
        <f t="shared" si="1010"/>
        <v>0.18846153846153846</v>
      </c>
      <c r="AP609" s="15" t="s">
        <v>301</v>
      </c>
      <c r="AQ609" s="15"/>
      <c r="AR609" s="33"/>
      <c r="AS609" s="34">
        <v>9404</v>
      </c>
      <c r="AT609" s="53">
        <f t="shared" si="1011"/>
        <v>132</v>
      </c>
      <c r="AU609" s="34">
        <v>377</v>
      </c>
      <c r="AV609" s="13">
        <f t="shared" si="1012"/>
        <v>3</v>
      </c>
      <c r="AW609" s="34">
        <v>10</v>
      </c>
      <c r="AX609" s="13">
        <f t="shared" si="1013"/>
        <v>3</v>
      </c>
      <c r="AY609" s="49">
        <v>2</v>
      </c>
      <c r="AZ609" s="56" t="str">
        <f t="shared" si="1014"/>
        <v>モンチッチマスコット</v>
      </c>
      <c r="BA609" s="13">
        <f t="shared" si="1015"/>
        <v>528</v>
      </c>
      <c r="BB609" s="13">
        <f t="shared" si="1016"/>
        <v>1584</v>
      </c>
      <c r="BC609" s="14">
        <f t="shared" si="1017"/>
        <v>0.12</v>
      </c>
      <c r="BD609" s="15"/>
      <c r="BT609" s="15"/>
      <c r="BU609" s="79" t="e">
        <f>IF(#REF!="","",#REF!)</f>
        <v>#REF!</v>
      </c>
      <c r="BV609" s="13"/>
      <c r="BW609" s="13"/>
      <c r="BX609" s="13"/>
      <c r="BY609" s="13"/>
      <c r="BZ609" s="13"/>
      <c r="CA609" s="13"/>
      <c r="CB609" s="13"/>
      <c r="CC609" s="53"/>
      <c r="CD609" s="53"/>
      <c r="CE609" s="13"/>
      <c r="CF609" s="14" t="str">
        <f>IF(CE609="","",CE609/(BV609*100))</f>
        <v/>
      </c>
      <c r="CG609" s="67"/>
      <c r="CH609" s="1"/>
      <c r="CI609" s="79" t="e">
        <f>IF(#REF!="","",#REF!)</f>
        <v>#REF!</v>
      </c>
      <c r="CJ609" s="13"/>
      <c r="CK609" s="13"/>
      <c r="CL609" s="13"/>
      <c r="CM609" s="13"/>
      <c r="CN609" s="13"/>
      <c r="CO609" s="13"/>
      <c r="CP609" s="13"/>
      <c r="CQ609" s="53"/>
      <c r="CR609" s="53"/>
      <c r="CS609" s="13"/>
      <c r="CT609" s="14" t="str">
        <f t="shared" si="976"/>
        <v/>
      </c>
      <c r="CU609" s="15"/>
      <c r="CV609" s="1"/>
      <c r="CW609" s="79" t="e">
        <f>IF(#REF!="","",#REF!)</f>
        <v>#REF!</v>
      </c>
      <c r="CX609" s="13"/>
      <c r="CY609" s="13"/>
      <c r="CZ609" s="13"/>
      <c r="DA609" s="13"/>
      <c r="DB609" s="13"/>
      <c r="DC609" s="13"/>
      <c r="DD609" s="13"/>
      <c r="DE609" s="53"/>
      <c r="DF609" s="53"/>
      <c r="DG609" s="13"/>
      <c r="DH609" s="14"/>
      <c r="DI609" s="15"/>
      <c r="DJ609" s="1"/>
      <c r="DK609" s="79" t="e">
        <f>IF(#REF!="","",#REF!)</f>
        <v>#REF!</v>
      </c>
      <c r="DL609" s="13"/>
      <c r="DM609" s="13"/>
      <c r="DN609" s="13"/>
      <c r="DO609" s="13"/>
      <c r="DP609" s="13"/>
      <c r="DQ609" s="13"/>
      <c r="DR609" s="13"/>
      <c r="DS609" s="53"/>
      <c r="DT609" s="53"/>
      <c r="DU609" s="13"/>
      <c r="DV609" s="14"/>
      <c r="DW609" s="15"/>
    </row>
    <row r="610" spans="1:127" ht="15" customHeight="1" thickBot="1" x14ac:dyDescent="0.25">
      <c r="A610" s="26"/>
      <c r="B610" s="46"/>
      <c r="C610" s="27">
        <v>3056</v>
      </c>
      <c r="D610" s="61">
        <f t="shared" si="990"/>
        <v>100</v>
      </c>
      <c r="E610" s="27">
        <v>372</v>
      </c>
      <c r="F610" s="27">
        <f t="shared" si="991"/>
        <v>3</v>
      </c>
      <c r="G610" s="27">
        <v>44</v>
      </c>
      <c r="H610" s="27">
        <f t="shared" si="992"/>
        <v>4</v>
      </c>
      <c r="I610" s="47">
        <v>0</v>
      </c>
      <c r="J610" s="57" t="str">
        <f t="shared" si="993"/>
        <v>NICIマスコット</v>
      </c>
      <c r="K610" s="62">
        <f t="shared" si="994"/>
        <v>900</v>
      </c>
      <c r="L610" s="27">
        <f t="shared" si="995"/>
        <v>3600</v>
      </c>
      <c r="M610" s="28">
        <f t="shared" si="996"/>
        <v>0.36</v>
      </c>
      <c r="N610" s="15"/>
      <c r="O610" s="2"/>
      <c r="P610" s="26"/>
      <c r="Q610" s="27">
        <v>3796</v>
      </c>
      <c r="R610" s="61">
        <f t="shared" si="997"/>
        <v>138</v>
      </c>
      <c r="S610" s="27">
        <v>71</v>
      </c>
      <c r="T610" s="27">
        <f t="shared" si="998"/>
        <v>2</v>
      </c>
      <c r="U610" s="27">
        <v>9</v>
      </c>
      <c r="V610" s="27">
        <f t="shared" si="999"/>
        <v>2</v>
      </c>
      <c r="W610" s="47">
        <v>2</v>
      </c>
      <c r="X610" s="57" t="str">
        <f t="shared" si="1000"/>
        <v>ＡＩマスコット</v>
      </c>
      <c r="Y610" s="62">
        <f t="shared" si="1001"/>
        <v>286</v>
      </c>
      <c r="Z610" s="27">
        <f t="shared" si="1002"/>
        <v>572</v>
      </c>
      <c r="AA610" s="28">
        <f t="shared" si="1003"/>
        <v>4.1449275362318842E-2</v>
      </c>
      <c r="AB610" s="15"/>
      <c r="AC610" s="15"/>
      <c r="AD610" s="26"/>
      <c r="AE610" s="27">
        <v>8417</v>
      </c>
      <c r="AF610" s="61">
        <f t="shared" si="1004"/>
        <v>158</v>
      </c>
      <c r="AG610" s="27">
        <v>236</v>
      </c>
      <c r="AH610" s="27">
        <f t="shared" si="1005"/>
        <v>3</v>
      </c>
      <c r="AI610" s="27">
        <v>10</v>
      </c>
      <c r="AJ610" s="27">
        <f t="shared" si="1006"/>
        <v>3</v>
      </c>
      <c r="AK610" s="47">
        <v>1</v>
      </c>
      <c r="AL610" s="57" t="str">
        <f t="shared" si="1007"/>
        <v>しなこくま</v>
      </c>
      <c r="AM610" s="62">
        <f t="shared" si="1008"/>
        <v>528</v>
      </c>
      <c r="AN610" s="27">
        <f t="shared" si="1009"/>
        <v>1584</v>
      </c>
      <c r="AO610" s="28">
        <f t="shared" si="1010"/>
        <v>0.10025316455696202</v>
      </c>
      <c r="AP610" s="15"/>
      <c r="AQ610" s="15"/>
      <c r="AR610" s="26"/>
      <c r="AS610" s="27">
        <v>8590</v>
      </c>
      <c r="AT610" s="61">
        <f t="shared" si="1011"/>
        <v>112</v>
      </c>
      <c r="AU610" s="27">
        <v>342</v>
      </c>
      <c r="AV610" s="27">
        <f t="shared" si="1012"/>
        <v>2</v>
      </c>
      <c r="AW610" s="27">
        <v>9</v>
      </c>
      <c r="AX610" s="27">
        <f t="shared" si="1013"/>
        <v>2</v>
      </c>
      <c r="AY610" s="47">
        <v>2</v>
      </c>
      <c r="AZ610" s="57" t="str">
        <f t="shared" si="1014"/>
        <v>サンリオミニリュック</v>
      </c>
      <c r="BA610" s="62">
        <f t="shared" si="1015"/>
        <v>600</v>
      </c>
      <c r="BB610" s="27">
        <f t="shared" si="1016"/>
        <v>1200</v>
      </c>
      <c r="BC610" s="28">
        <f t="shared" si="1017"/>
        <v>0.10714285714285714</v>
      </c>
      <c r="BD610" s="15"/>
      <c r="BT610" s="15"/>
      <c r="BU610" s="79" t="e">
        <f>IF(#REF!="","",#REF!)</f>
        <v>#REF!</v>
      </c>
      <c r="BV610" s="13"/>
      <c r="BW610" s="13" t="str">
        <f>IF(BV610="","",BV610-BV611)</f>
        <v/>
      </c>
      <c r="BX610" s="13"/>
      <c r="BY610" s="13" t="str">
        <f>IF(BX610="","",BX610-BX611)</f>
        <v/>
      </c>
      <c r="BZ610" s="13"/>
      <c r="CA610" s="13" t="str">
        <f>IF(BZ610="","",BZ611+CB611-BZ610)</f>
        <v/>
      </c>
      <c r="CB610" s="13"/>
      <c r="CC610" s="53"/>
      <c r="CD610" s="53" t="str">
        <f>IF(BV610="","",CD611)</f>
        <v/>
      </c>
      <c r="CE610" s="13" t="str">
        <f t="shared" ref="CE610:CE642" si="1018">IF(CD610="","",CA610*CD610)</f>
        <v/>
      </c>
      <c r="CF610" s="14" t="str">
        <f t="shared" ref="CF610:CF642" si="1019">IF(CE610="","",CE610/(BW610*100))</f>
        <v/>
      </c>
      <c r="CG610" s="67"/>
      <c r="CH610" s="1"/>
      <c r="CI610" s="79" t="e">
        <f>IF(#REF!="","",#REF!)</f>
        <v>#REF!</v>
      </c>
      <c r="CJ610" s="13"/>
      <c r="CK610" s="13" t="str">
        <f>IF(CJ610="","",CJ610-CJ611)</f>
        <v/>
      </c>
      <c r="CL610" s="13"/>
      <c r="CM610" s="13" t="str">
        <f>IF(CL610="","",CL610-CL611)</f>
        <v/>
      </c>
      <c r="CN610" s="13"/>
      <c r="CO610" s="13" t="str">
        <f>IF(CN610="","",CN611+CP611-CN610)</f>
        <v/>
      </c>
      <c r="CP610" s="13"/>
      <c r="CQ610" s="53"/>
      <c r="CR610" s="53" t="str">
        <f>IF(CJ610="","",CR611)</f>
        <v/>
      </c>
      <c r="CS610" s="13" t="str">
        <f t="shared" ref="CS610:CS642" si="1020">IF(CR610="","",CO610*CR610)</f>
        <v/>
      </c>
      <c r="CT610" s="14" t="str">
        <f t="shared" si="976"/>
        <v/>
      </c>
      <c r="CU610" s="15"/>
      <c r="CV610" s="1"/>
      <c r="CW610" s="79" t="e">
        <f>IF(#REF!="","",#REF!)</f>
        <v>#REF!</v>
      </c>
      <c r="CX610" s="13"/>
      <c r="CY610" s="13" t="str">
        <f>IF(CX610="","",CX610-CX611)</f>
        <v/>
      </c>
      <c r="CZ610" s="13"/>
      <c r="DA610" s="13" t="str">
        <f>IF(CZ610="","",CZ610-CZ611)</f>
        <v/>
      </c>
      <c r="DB610" s="13"/>
      <c r="DC610" s="13" t="str">
        <f>IF(DB610="","",DB611+DD611-DB610)</f>
        <v/>
      </c>
      <c r="DD610" s="13"/>
      <c r="DE610" s="53"/>
      <c r="DF610" s="53" t="str">
        <f>IF(CX610="","",DF611)</f>
        <v/>
      </c>
      <c r="DG610" s="13" t="str">
        <f t="shared" ref="DG610:DG642" si="1021">IF(DF610="","",DC610*DF610)</f>
        <v/>
      </c>
      <c r="DH610" s="14" t="str">
        <f t="shared" ref="DH610:DH642" si="1022">IF(DG610="","",DG610/(CY610*100))</f>
        <v/>
      </c>
      <c r="DI610" s="15"/>
      <c r="DJ610" s="1"/>
      <c r="DK610" s="79" t="e">
        <f>IF(#REF!="","",#REF!)</f>
        <v>#REF!</v>
      </c>
      <c r="DL610" s="13"/>
      <c r="DM610" s="13" t="str">
        <f>IF(DL610="","",DL610-DL611)</f>
        <v/>
      </c>
      <c r="DN610" s="13"/>
      <c r="DO610" s="13" t="str">
        <f>IF(DN610="","",DN610-DN611)</f>
        <v/>
      </c>
      <c r="DP610" s="13"/>
      <c r="DQ610" s="13" t="str">
        <f>IF(DP610="","",DP611+DR611-DP610)</f>
        <v/>
      </c>
      <c r="DR610" s="13"/>
      <c r="DS610" s="53"/>
      <c r="DT610" s="53" t="str">
        <f>IF(DL610="","",DT611)</f>
        <v/>
      </c>
      <c r="DU610" s="13" t="str">
        <f t="shared" ref="DU610:DU642" si="1023">IF(DT610="","",DQ610*DT610)</f>
        <v/>
      </c>
      <c r="DV610" s="14" t="str">
        <f t="shared" ref="DV610:DV642" si="1024">IF(DU610="","",DU610/(DM610*100))</f>
        <v/>
      </c>
      <c r="DW610" s="15"/>
    </row>
    <row r="611" spans="1:127" ht="15" customHeight="1" thickTop="1" x14ac:dyDescent="0.2">
      <c r="A611" s="79">
        <v>45926</v>
      </c>
      <c r="B611" s="74">
        <f>IF(A611="","",SUM(D611:D614)+SUM(R611:R614)+SUM(AF611:AF614)+SUM(AT611:AT614)+SUM(BW599,CK599,CY599,DM599))</f>
        <v>2719</v>
      </c>
      <c r="C611" s="53">
        <v>2462</v>
      </c>
      <c r="D611" s="53">
        <f t="shared" si="990"/>
        <v>65</v>
      </c>
      <c r="E611" s="53">
        <v>286</v>
      </c>
      <c r="F611" s="31">
        <f t="shared" si="991"/>
        <v>2</v>
      </c>
      <c r="G611" s="53">
        <v>12</v>
      </c>
      <c r="H611" s="53">
        <f t="shared" si="992"/>
        <v>2</v>
      </c>
      <c r="I611" s="80">
        <v>0</v>
      </c>
      <c r="J611" s="75" t="str">
        <f t="shared" si="993"/>
        <v>ジャグラーサウンドボタン</v>
      </c>
      <c r="K611" s="76">
        <f t="shared" si="994"/>
        <v>748</v>
      </c>
      <c r="L611" s="31">
        <f t="shared" si="995"/>
        <v>1496</v>
      </c>
      <c r="M611" s="32">
        <f t="shared" si="996"/>
        <v>0.23015384615384615</v>
      </c>
      <c r="N611" s="15"/>
      <c r="O611" s="2"/>
      <c r="P611" s="79">
        <f>IF($A611="","",$A611)</f>
        <v>45926</v>
      </c>
      <c r="Q611" s="53">
        <v>2014</v>
      </c>
      <c r="R611" s="53">
        <f t="shared" si="997"/>
        <v>135</v>
      </c>
      <c r="S611" s="53">
        <v>89</v>
      </c>
      <c r="T611" s="31">
        <f t="shared" si="998"/>
        <v>5</v>
      </c>
      <c r="U611" s="53">
        <v>0</v>
      </c>
      <c r="V611" s="53">
        <f t="shared" si="999"/>
        <v>4</v>
      </c>
      <c r="W611" s="80">
        <v>3</v>
      </c>
      <c r="X611" s="75" t="str">
        <f t="shared" si="1000"/>
        <v>ジャグラーサウンドボタンDX</v>
      </c>
      <c r="Y611" s="76">
        <f t="shared" si="1001"/>
        <v>1100</v>
      </c>
      <c r="Z611" s="31">
        <f t="shared" si="1002"/>
        <v>4400</v>
      </c>
      <c r="AA611" s="32">
        <f t="shared" si="1003"/>
        <v>0.32592592592592595</v>
      </c>
      <c r="AB611" s="134" t="s">
        <v>309</v>
      </c>
      <c r="AC611" s="15"/>
      <c r="AD611" s="79">
        <f>IF($A611="","",$A611)</f>
        <v>45926</v>
      </c>
      <c r="AE611" s="53">
        <v>7630</v>
      </c>
      <c r="AF611" s="53">
        <f t="shared" si="1004"/>
        <v>54</v>
      </c>
      <c r="AG611" s="53">
        <v>173</v>
      </c>
      <c r="AH611" s="31">
        <f t="shared" si="1005"/>
        <v>0</v>
      </c>
      <c r="AI611" s="53">
        <v>18</v>
      </c>
      <c r="AJ611" s="53">
        <f t="shared" si="1006"/>
        <v>0</v>
      </c>
      <c r="AK611" s="80">
        <v>0</v>
      </c>
      <c r="AL611" s="75" t="str">
        <f t="shared" si="1007"/>
        <v>サンリオでかぱっちん</v>
      </c>
      <c r="AM611" s="76">
        <f t="shared" si="1008"/>
        <v>660</v>
      </c>
      <c r="AN611" s="31">
        <f t="shared" si="1009"/>
        <v>0</v>
      </c>
      <c r="AO611" s="32">
        <f t="shared" si="1010"/>
        <v>0</v>
      </c>
      <c r="AP611" s="15"/>
      <c r="AQ611" s="15"/>
      <c r="AR611" s="79">
        <f>IF($A611="","",$A611)</f>
        <v>45926</v>
      </c>
      <c r="AS611" s="53">
        <v>8267</v>
      </c>
      <c r="AT611" s="53">
        <f t="shared" si="1011"/>
        <v>52</v>
      </c>
      <c r="AU611" s="53">
        <v>242</v>
      </c>
      <c r="AV611" s="31">
        <f t="shared" si="1012"/>
        <v>0</v>
      </c>
      <c r="AW611" s="53">
        <v>15</v>
      </c>
      <c r="AX611" s="53">
        <f t="shared" si="1013"/>
        <v>0</v>
      </c>
      <c r="AY611" s="80">
        <v>0</v>
      </c>
      <c r="AZ611" s="75" t="str">
        <f t="shared" si="1014"/>
        <v>こびとづかんキーケース</v>
      </c>
      <c r="BA611" s="76">
        <f t="shared" si="1015"/>
        <v>726</v>
      </c>
      <c r="BB611" s="31">
        <f t="shared" si="1016"/>
        <v>0</v>
      </c>
      <c r="BC611" s="32">
        <f t="shared" si="1017"/>
        <v>0</v>
      </c>
      <c r="BD611" s="15"/>
      <c r="BT611" s="15"/>
      <c r="BU611" s="79" t="e">
        <f>IF(#REF!="","",#REF!)</f>
        <v>#REF!</v>
      </c>
      <c r="BV611" s="13"/>
      <c r="BW611" s="13" t="str">
        <f>IF(BV611="","",BV611-BV608)</f>
        <v/>
      </c>
      <c r="BX611" s="13"/>
      <c r="BY611" s="13" t="str">
        <f>IF(BX611="","",BX611-BX608)</f>
        <v/>
      </c>
      <c r="BZ611" s="13"/>
      <c r="CA611" s="13" t="str">
        <f>IF(BZ611="","",BZ608+CB608-BZ611)</f>
        <v/>
      </c>
      <c r="CB611" s="13"/>
      <c r="CC611" s="53"/>
      <c r="CD611" s="53" t="str">
        <f>IF(BV611="","",CD608)</f>
        <v/>
      </c>
      <c r="CE611" s="13" t="str">
        <f t="shared" si="1018"/>
        <v/>
      </c>
      <c r="CF611" s="14" t="str">
        <f t="shared" si="1019"/>
        <v/>
      </c>
      <c r="CG611" s="67"/>
      <c r="CH611" s="1"/>
      <c r="CI611" s="79" t="e">
        <f>IF(#REF!="","",#REF!)</f>
        <v>#REF!</v>
      </c>
      <c r="CJ611" s="13"/>
      <c r="CK611" s="13" t="str">
        <f>IF(CJ611="","",CJ611-CJ608)</f>
        <v/>
      </c>
      <c r="CL611" s="13"/>
      <c r="CM611" s="13" t="str">
        <f>IF(CL611="","",CL611-CL608)</f>
        <v/>
      </c>
      <c r="CN611" s="13"/>
      <c r="CO611" s="13" t="str">
        <f>IF(CN611="","",CN608+CP608-CN611)</f>
        <v/>
      </c>
      <c r="CP611" s="13"/>
      <c r="CQ611" s="53"/>
      <c r="CR611" s="53" t="str">
        <f>IF(CJ611="","",CR608)</f>
        <v/>
      </c>
      <c r="CS611" s="13" t="str">
        <f t="shared" si="1020"/>
        <v/>
      </c>
      <c r="CT611" s="14" t="str">
        <f t="shared" si="976"/>
        <v/>
      </c>
      <c r="CU611" s="15"/>
      <c r="CV611" s="1"/>
      <c r="CW611" s="79" t="e">
        <f>IF(#REF!="","",#REF!)</f>
        <v>#REF!</v>
      </c>
      <c r="CX611" s="13"/>
      <c r="CY611" s="13" t="str">
        <f>IF(CX611="","",CX611-CX608)</f>
        <v/>
      </c>
      <c r="CZ611" s="13"/>
      <c r="DA611" s="13" t="str">
        <f>IF(CZ611="","",CZ611-CZ608)</f>
        <v/>
      </c>
      <c r="DB611" s="13"/>
      <c r="DC611" s="13" t="str">
        <f>IF(DB611="","",DB608+DD608-DB611)</f>
        <v/>
      </c>
      <c r="DD611" s="13"/>
      <c r="DE611" s="53"/>
      <c r="DF611" s="53" t="str">
        <f>IF(CX611="","",DF608)</f>
        <v/>
      </c>
      <c r="DG611" s="13" t="str">
        <f t="shared" si="1021"/>
        <v/>
      </c>
      <c r="DH611" s="14" t="str">
        <f t="shared" si="1022"/>
        <v/>
      </c>
      <c r="DI611" s="15"/>
      <c r="DJ611" s="1"/>
      <c r="DK611" s="79" t="e">
        <f>IF(#REF!="","",#REF!)</f>
        <v>#REF!</v>
      </c>
      <c r="DL611" s="13"/>
      <c r="DM611" s="13" t="str">
        <f>IF(DL611="","",DL611-DL608)</f>
        <v/>
      </c>
      <c r="DN611" s="13"/>
      <c r="DO611" s="13" t="str">
        <f>IF(DN611="","",DN611-DN608)</f>
        <v/>
      </c>
      <c r="DP611" s="13"/>
      <c r="DQ611" s="13" t="str">
        <f>IF(DP611="","",DP608+DR608-DP611)</f>
        <v/>
      </c>
      <c r="DR611" s="13"/>
      <c r="DS611" s="53"/>
      <c r="DT611" s="53" t="str">
        <f>IF(DL611="","",DT608)</f>
        <v/>
      </c>
      <c r="DU611" s="13" t="str">
        <f t="shared" si="1023"/>
        <v/>
      </c>
      <c r="DV611" s="14" t="str">
        <f t="shared" si="1024"/>
        <v/>
      </c>
      <c r="DW611" s="15"/>
    </row>
    <row r="612" spans="1:127" x14ac:dyDescent="0.2">
      <c r="A612" s="136"/>
      <c r="B612" s="11"/>
      <c r="C612" s="13">
        <v>1717</v>
      </c>
      <c r="D612" s="13">
        <f t="shared" si="990"/>
        <v>49</v>
      </c>
      <c r="E612" s="13">
        <v>303</v>
      </c>
      <c r="F612" s="13">
        <f t="shared" si="991"/>
        <v>0</v>
      </c>
      <c r="G612" s="13">
        <v>12</v>
      </c>
      <c r="H612" s="13">
        <f t="shared" si="992"/>
        <v>0</v>
      </c>
      <c r="I612" s="17">
        <v>0</v>
      </c>
      <c r="J612" s="56" t="s">
        <v>304</v>
      </c>
      <c r="K612" s="54">
        <v>1075</v>
      </c>
      <c r="L612" s="13">
        <f t="shared" si="995"/>
        <v>0</v>
      </c>
      <c r="M612" s="14">
        <f t="shared" si="996"/>
        <v>0</v>
      </c>
      <c r="N612" s="15"/>
      <c r="O612" s="2"/>
      <c r="P612" s="79"/>
      <c r="Q612" s="13">
        <v>1998</v>
      </c>
      <c r="R612" s="87">
        <f t="shared" si="997"/>
        <v>37</v>
      </c>
      <c r="S612" s="13">
        <v>73</v>
      </c>
      <c r="T612" s="13">
        <f t="shared" si="998"/>
        <v>2</v>
      </c>
      <c r="U612" s="13">
        <v>15</v>
      </c>
      <c r="V612" s="13">
        <f t="shared" si="999"/>
        <v>2</v>
      </c>
      <c r="W612" s="17">
        <v>0</v>
      </c>
      <c r="X612" s="56" t="s">
        <v>305</v>
      </c>
      <c r="Y612" s="54">
        <v>1100</v>
      </c>
      <c r="Z612" s="13">
        <f t="shared" si="1002"/>
        <v>2200</v>
      </c>
      <c r="AA612" s="14">
        <f t="shared" si="1003"/>
        <v>0.59459459459459463</v>
      </c>
      <c r="AB612" s="15" t="s">
        <v>307</v>
      </c>
      <c r="AC612" s="15"/>
      <c r="AD612" s="79"/>
      <c r="AE612" s="13">
        <v>6814</v>
      </c>
      <c r="AF612" s="13">
        <f t="shared" si="1004"/>
        <v>299</v>
      </c>
      <c r="AG612" s="13">
        <v>154</v>
      </c>
      <c r="AH612" s="13">
        <f t="shared" si="1005"/>
        <v>5</v>
      </c>
      <c r="AI612" s="13">
        <v>12</v>
      </c>
      <c r="AJ612" s="13">
        <f t="shared" si="1006"/>
        <v>6</v>
      </c>
      <c r="AK612" s="17">
        <v>0</v>
      </c>
      <c r="AL612" s="56" t="s">
        <v>303</v>
      </c>
      <c r="AM612" s="54">
        <v>996</v>
      </c>
      <c r="AN612" s="13">
        <f t="shared" si="1009"/>
        <v>5976</v>
      </c>
      <c r="AO612" s="14">
        <f t="shared" si="1010"/>
        <v>0.19986622073578594</v>
      </c>
      <c r="AP612" s="15"/>
      <c r="AQ612" s="15"/>
      <c r="AR612" s="79"/>
      <c r="AS612" s="13">
        <v>5672</v>
      </c>
      <c r="AT612" s="13">
        <f t="shared" si="1011"/>
        <v>45</v>
      </c>
      <c r="AU612" s="13">
        <v>277</v>
      </c>
      <c r="AV612" s="13">
        <f t="shared" si="1012"/>
        <v>1</v>
      </c>
      <c r="AW612" s="13">
        <v>34</v>
      </c>
      <c r="AX612" s="13">
        <f t="shared" si="1013"/>
        <v>1</v>
      </c>
      <c r="AY612" s="17">
        <v>0</v>
      </c>
      <c r="AZ612" s="56" t="str">
        <f t="shared" si="1014"/>
        <v>ねこアイシャドウ</v>
      </c>
      <c r="BA612" s="54">
        <f t="shared" si="1015"/>
        <v>1000</v>
      </c>
      <c r="BB612" s="13">
        <f t="shared" si="1016"/>
        <v>1000</v>
      </c>
      <c r="BC612" s="14">
        <f t="shared" si="1017"/>
        <v>0.22222222222222221</v>
      </c>
      <c r="BD612" s="15"/>
      <c r="BT612" s="15"/>
      <c r="BU612" s="79" t="e">
        <f>IF(#REF!="","",#REF!)</f>
        <v>#REF!</v>
      </c>
      <c r="BV612" s="13"/>
      <c r="BW612" s="13" t="str">
        <f>IF(BV612="","",BV612-BV610)</f>
        <v/>
      </c>
      <c r="BX612" s="13"/>
      <c r="BY612" s="13" t="str">
        <f>IF(BX612="","",BX612-BX610)</f>
        <v/>
      </c>
      <c r="BZ612" s="13"/>
      <c r="CA612" s="13" t="str">
        <f>IF(BZ612="","",BZ610+CB610-BZ612)</f>
        <v/>
      </c>
      <c r="CB612" s="13"/>
      <c r="CC612" s="53"/>
      <c r="CD612" s="53" t="str">
        <f>IF(BV612="","",CD610)</f>
        <v/>
      </c>
      <c r="CE612" s="13" t="str">
        <f t="shared" si="1018"/>
        <v/>
      </c>
      <c r="CF612" s="14" t="str">
        <f t="shared" si="1019"/>
        <v/>
      </c>
      <c r="CG612" s="15"/>
      <c r="CH612" s="1"/>
      <c r="CI612" s="79" t="e">
        <f>IF(#REF!="","",#REF!)</f>
        <v>#REF!</v>
      </c>
      <c r="CJ612" s="13"/>
      <c r="CK612" s="13" t="str">
        <f>IF(CJ612="","",CJ612-CJ610)</f>
        <v/>
      </c>
      <c r="CL612" s="13"/>
      <c r="CM612" s="13" t="str">
        <f>IF(CL612="","",CL612-CL610)</f>
        <v/>
      </c>
      <c r="CN612" s="13"/>
      <c r="CO612" s="13" t="str">
        <f>IF(CN612="","",CN610+CP610-CN612)</f>
        <v/>
      </c>
      <c r="CP612" s="13"/>
      <c r="CQ612" s="53"/>
      <c r="CR612" s="53" t="str">
        <f>IF(CJ612="","",CR610)</f>
        <v/>
      </c>
      <c r="CS612" s="13" t="str">
        <f t="shared" si="1020"/>
        <v/>
      </c>
      <c r="CT612" s="14" t="str">
        <f t="shared" si="976"/>
        <v/>
      </c>
      <c r="CU612" s="15"/>
      <c r="CV612" s="1"/>
      <c r="CW612" s="79" t="e">
        <f>IF(#REF!="","",#REF!)</f>
        <v>#REF!</v>
      </c>
      <c r="CX612" s="13"/>
      <c r="CY612" s="13" t="str">
        <f>IF(CX612="","",CX612-CX610)</f>
        <v/>
      </c>
      <c r="CZ612" s="13"/>
      <c r="DA612" s="13" t="str">
        <f>IF(CZ612="","",CZ612-CZ610)</f>
        <v/>
      </c>
      <c r="DB612" s="13"/>
      <c r="DC612" s="13" t="str">
        <f>IF(DB612="","",DB610+DD610-DB612)</f>
        <v/>
      </c>
      <c r="DD612" s="13"/>
      <c r="DE612" s="53"/>
      <c r="DF612" s="53" t="str">
        <f>IF(CX612="","",DF610)</f>
        <v/>
      </c>
      <c r="DG612" s="13" t="str">
        <f t="shared" si="1021"/>
        <v/>
      </c>
      <c r="DH612" s="14" t="str">
        <f t="shared" si="1022"/>
        <v/>
      </c>
      <c r="DI612" s="15"/>
      <c r="DJ612" s="1"/>
      <c r="DK612" s="79" t="e">
        <f>IF(#REF!="","",#REF!)</f>
        <v>#REF!</v>
      </c>
      <c r="DL612" s="13"/>
      <c r="DM612" s="13" t="str">
        <f>IF(DL612="","",DL612-DL610)</f>
        <v/>
      </c>
      <c r="DN612" s="13"/>
      <c r="DO612" s="13" t="str">
        <f>IF(DN612="","",DN612-DN610)</f>
        <v/>
      </c>
      <c r="DP612" s="13"/>
      <c r="DQ612" s="13" t="str">
        <f>IF(DP612="","",DP610+DR610-DP612)</f>
        <v/>
      </c>
      <c r="DR612" s="13"/>
      <c r="DS612" s="53"/>
      <c r="DT612" s="53" t="str">
        <f>IF(DL612="","",DT610)</f>
        <v/>
      </c>
      <c r="DU612" s="13" t="str">
        <f t="shared" si="1023"/>
        <v/>
      </c>
      <c r="DV612" s="14" t="str">
        <f t="shared" si="1024"/>
        <v/>
      </c>
      <c r="DW612" s="15"/>
    </row>
    <row r="613" spans="1:127" ht="15" customHeight="1" x14ac:dyDescent="0.2">
      <c r="A613" s="79"/>
      <c r="B613" s="11"/>
      <c r="C613" s="34">
        <v>6683</v>
      </c>
      <c r="D613" s="13">
        <f t="shared" si="990"/>
        <v>238</v>
      </c>
      <c r="E613" s="34">
        <v>429</v>
      </c>
      <c r="F613" s="13">
        <f t="shared" si="991"/>
        <v>7</v>
      </c>
      <c r="G613" s="34">
        <v>94</v>
      </c>
      <c r="H613" s="13">
        <f t="shared" si="992"/>
        <v>10</v>
      </c>
      <c r="I613" s="49">
        <v>40</v>
      </c>
      <c r="J613" s="56" t="str">
        <f t="shared" ref="J613:J646" si="1025">IF(C613="","",J609)</f>
        <v>AIモンスタラバー</v>
      </c>
      <c r="K613" s="13">
        <f t="shared" ref="K613:K646" si="1026">IF(D613="","",K609)</f>
        <v>200</v>
      </c>
      <c r="L613" s="13">
        <f t="shared" si="995"/>
        <v>2000</v>
      </c>
      <c r="M613" s="14">
        <f t="shared" si="996"/>
        <v>8.4033613445378158E-2</v>
      </c>
      <c r="N613" s="15"/>
      <c r="O613" s="2"/>
      <c r="P613" s="79"/>
      <c r="Q613" s="34">
        <v>4345</v>
      </c>
      <c r="R613" s="13">
        <f t="shared" si="997"/>
        <v>374</v>
      </c>
      <c r="S613" s="34">
        <v>56</v>
      </c>
      <c r="T613" s="13">
        <f t="shared" si="998"/>
        <v>4</v>
      </c>
      <c r="U613" s="34">
        <v>8</v>
      </c>
      <c r="V613" s="13">
        <f t="shared" si="999"/>
        <v>4</v>
      </c>
      <c r="W613" s="49">
        <v>7</v>
      </c>
      <c r="X613" s="56" t="str">
        <f t="shared" ref="X613:X646" si="1027">IF(Q613="","",X609)</f>
        <v>ラブブマスコット</v>
      </c>
      <c r="Y613" s="13">
        <f t="shared" ref="Y613:Y646" si="1028">IF(R613="","",Y609)</f>
        <v>400</v>
      </c>
      <c r="Z613" s="13">
        <f t="shared" si="1002"/>
        <v>1600</v>
      </c>
      <c r="AA613" s="14">
        <f t="shared" si="1003"/>
        <v>4.2780748663101602E-2</v>
      </c>
      <c r="AB613" s="15"/>
      <c r="AC613" s="15"/>
      <c r="AD613" s="79"/>
      <c r="AE613" s="34">
        <v>7193</v>
      </c>
      <c r="AF613" s="13">
        <f t="shared" si="1004"/>
        <v>288</v>
      </c>
      <c r="AG613" s="34">
        <v>261</v>
      </c>
      <c r="AH613" s="13">
        <f t="shared" si="1005"/>
        <v>3</v>
      </c>
      <c r="AI613" s="34">
        <v>7</v>
      </c>
      <c r="AJ613" s="13">
        <f t="shared" si="1006"/>
        <v>5</v>
      </c>
      <c r="AK613" s="49">
        <v>13</v>
      </c>
      <c r="AL613" s="56" t="s">
        <v>292</v>
      </c>
      <c r="AM613" s="13">
        <v>400</v>
      </c>
      <c r="AN613" s="13">
        <f t="shared" si="1009"/>
        <v>2000</v>
      </c>
      <c r="AO613" s="14">
        <f t="shared" si="1010"/>
        <v>6.9444444444444448E-2</v>
      </c>
      <c r="AP613" s="15"/>
      <c r="AQ613" s="15"/>
      <c r="AR613" s="79"/>
      <c r="AS613" s="34">
        <v>9469</v>
      </c>
      <c r="AT613" s="13">
        <f t="shared" si="1011"/>
        <v>65</v>
      </c>
      <c r="AU613" s="34">
        <v>379</v>
      </c>
      <c r="AV613" s="13">
        <f t="shared" si="1012"/>
        <v>2</v>
      </c>
      <c r="AW613" s="34">
        <v>10</v>
      </c>
      <c r="AX613" s="13">
        <f t="shared" si="1013"/>
        <v>2</v>
      </c>
      <c r="AY613" s="49">
        <v>0</v>
      </c>
      <c r="AZ613" s="56" t="str">
        <f t="shared" si="1014"/>
        <v>モンチッチマスコット</v>
      </c>
      <c r="BA613" s="13">
        <f t="shared" si="1015"/>
        <v>528</v>
      </c>
      <c r="BB613" s="13">
        <f t="shared" si="1016"/>
        <v>1056</v>
      </c>
      <c r="BC613" s="14">
        <f t="shared" si="1017"/>
        <v>0.16246153846153846</v>
      </c>
      <c r="BD613" s="15"/>
      <c r="BT613" s="15"/>
      <c r="BU613" s="79" t="e">
        <f>IF(#REF!="","",#REF!)</f>
        <v>#REF!</v>
      </c>
      <c r="BV613" s="13"/>
      <c r="BW613" s="13" t="str">
        <f>IF(BV613="","",BV613-#REF!)</f>
        <v/>
      </c>
      <c r="BX613" s="13"/>
      <c r="BY613" s="13" t="str">
        <f>IF(BX613="","",BX613-#REF!)</f>
        <v/>
      </c>
      <c r="BZ613" s="13"/>
      <c r="CA613" s="13" t="str">
        <f>IF(BZ613="","",#REF!+#REF!-BZ613)</f>
        <v/>
      </c>
      <c r="CB613" s="13"/>
      <c r="CC613" s="53"/>
      <c r="CD613" s="53" t="str">
        <f>IF(BV613="","",#REF!)</f>
        <v/>
      </c>
      <c r="CE613" s="13" t="str">
        <f t="shared" si="1018"/>
        <v/>
      </c>
      <c r="CF613" s="14" t="str">
        <f t="shared" si="1019"/>
        <v/>
      </c>
      <c r="CG613" s="15"/>
      <c r="CH613" s="1"/>
      <c r="CI613" s="79" t="e">
        <f>IF(#REF!="","",#REF!)</f>
        <v>#REF!</v>
      </c>
      <c r="CJ613" s="13"/>
      <c r="CK613" s="13" t="str">
        <f>IF(CJ613="","",CJ613-#REF!)</f>
        <v/>
      </c>
      <c r="CL613" s="13"/>
      <c r="CM613" s="13" t="str">
        <f>IF(CL613="","",CL613-#REF!)</f>
        <v/>
      </c>
      <c r="CN613" s="13"/>
      <c r="CO613" s="13" t="str">
        <f>IF(CN613="","",#REF!+#REF!-CN613)</f>
        <v/>
      </c>
      <c r="CP613" s="13"/>
      <c r="CQ613" s="53"/>
      <c r="CR613" s="53" t="str">
        <f>IF(CJ613="","",#REF!)</f>
        <v/>
      </c>
      <c r="CS613" s="13" t="str">
        <f t="shared" si="1020"/>
        <v/>
      </c>
      <c r="CT613" s="14" t="str">
        <f t="shared" si="976"/>
        <v/>
      </c>
      <c r="CU613" s="15"/>
      <c r="CV613" s="1"/>
      <c r="CW613" s="79" t="e">
        <f>IF(#REF!="","",#REF!)</f>
        <v>#REF!</v>
      </c>
      <c r="CX613" s="13"/>
      <c r="CY613" s="13" t="str">
        <f>IF(CX613="","",CX613-#REF!)</f>
        <v/>
      </c>
      <c r="CZ613" s="13"/>
      <c r="DA613" s="13" t="str">
        <f>IF(CZ613="","",CZ613-#REF!)</f>
        <v/>
      </c>
      <c r="DB613" s="13"/>
      <c r="DC613" s="13" t="str">
        <f>IF(DB613="","",#REF!+#REF!-DB613)</f>
        <v/>
      </c>
      <c r="DD613" s="13"/>
      <c r="DE613" s="53"/>
      <c r="DF613" s="53" t="str">
        <f>IF(CX613="","",#REF!)</f>
        <v/>
      </c>
      <c r="DG613" s="13" t="str">
        <f t="shared" si="1021"/>
        <v/>
      </c>
      <c r="DH613" s="14" t="str">
        <f t="shared" si="1022"/>
        <v/>
      </c>
      <c r="DI613" s="15"/>
      <c r="DJ613" s="1"/>
      <c r="DK613" s="79" t="e">
        <f>IF(#REF!="","",#REF!)</f>
        <v>#REF!</v>
      </c>
      <c r="DL613" s="13"/>
      <c r="DM613" s="13" t="str">
        <f>IF(DL613="","",DL613-#REF!)</f>
        <v/>
      </c>
      <c r="DN613" s="13"/>
      <c r="DO613" s="13" t="str">
        <f>IF(DN613="","",DN613-#REF!)</f>
        <v/>
      </c>
      <c r="DP613" s="13"/>
      <c r="DQ613" s="13" t="str">
        <f>IF(DP613="","",#REF!+#REF!-DP613)</f>
        <v/>
      </c>
      <c r="DR613" s="13"/>
      <c r="DS613" s="53"/>
      <c r="DT613" s="53" t="str">
        <f>IF(DL613="","",#REF!)</f>
        <v/>
      </c>
      <c r="DU613" s="13" t="str">
        <f t="shared" si="1023"/>
        <v/>
      </c>
      <c r="DV613" s="14" t="str">
        <f t="shared" si="1024"/>
        <v/>
      </c>
      <c r="DW613" s="15"/>
    </row>
    <row r="614" spans="1:127" ht="15" customHeight="1" thickBot="1" x14ac:dyDescent="0.25">
      <c r="A614" s="26"/>
      <c r="B614" s="46"/>
      <c r="C614" s="27">
        <v>3224</v>
      </c>
      <c r="D614" s="27">
        <f t="shared" si="990"/>
        <v>168</v>
      </c>
      <c r="E614" s="27">
        <v>377</v>
      </c>
      <c r="F614" s="27">
        <f t="shared" si="991"/>
        <v>5</v>
      </c>
      <c r="G614" s="27">
        <v>38</v>
      </c>
      <c r="H614" s="27">
        <f t="shared" si="992"/>
        <v>6</v>
      </c>
      <c r="I614" s="47">
        <v>0</v>
      </c>
      <c r="J614" s="57" t="str">
        <f t="shared" si="1025"/>
        <v>NICIマスコット</v>
      </c>
      <c r="K614" s="62">
        <f t="shared" si="1026"/>
        <v>900</v>
      </c>
      <c r="L614" s="27">
        <f t="shared" si="995"/>
        <v>5400</v>
      </c>
      <c r="M614" s="28">
        <f t="shared" si="996"/>
        <v>0.32142857142857145</v>
      </c>
      <c r="N614" s="15" t="s">
        <v>306</v>
      </c>
      <c r="O614" s="2"/>
      <c r="P614" s="26"/>
      <c r="Q614" s="27">
        <v>3966</v>
      </c>
      <c r="R614" s="27">
        <f t="shared" si="997"/>
        <v>170</v>
      </c>
      <c r="S614" s="27">
        <v>73</v>
      </c>
      <c r="T614" s="27">
        <f t="shared" si="998"/>
        <v>2</v>
      </c>
      <c r="U614" s="27">
        <v>8</v>
      </c>
      <c r="V614" s="27">
        <f t="shared" si="999"/>
        <v>3</v>
      </c>
      <c r="W614" s="47">
        <v>4</v>
      </c>
      <c r="X614" s="57" t="str">
        <f t="shared" si="1027"/>
        <v>ＡＩマスコット</v>
      </c>
      <c r="Y614" s="62">
        <f t="shared" si="1028"/>
        <v>286</v>
      </c>
      <c r="Z614" s="27">
        <f t="shared" si="1002"/>
        <v>858</v>
      </c>
      <c r="AA614" s="28">
        <f t="shared" si="1003"/>
        <v>5.0470588235294114E-2</v>
      </c>
      <c r="AB614" s="15"/>
      <c r="AC614" s="15"/>
      <c r="AD614" s="26"/>
      <c r="AE614" s="27">
        <v>8552</v>
      </c>
      <c r="AF614" s="27">
        <f t="shared" si="1004"/>
        <v>135</v>
      </c>
      <c r="AG614" s="27">
        <v>239</v>
      </c>
      <c r="AH614" s="27">
        <f t="shared" si="1005"/>
        <v>3</v>
      </c>
      <c r="AI614" s="27">
        <v>8</v>
      </c>
      <c r="AJ614" s="27">
        <f t="shared" si="1006"/>
        <v>3</v>
      </c>
      <c r="AK614" s="47">
        <v>6</v>
      </c>
      <c r="AL614" s="57" t="str">
        <f t="shared" ref="AL614:AL646" si="1029">IF(AE614="","",AL610)</f>
        <v>しなこくま</v>
      </c>
      <c r="AM614" s="62">
        <f t="shared" ref="AM614:AM646" si="1030">IF(AF614="","",AM610)</f>
        <v>528</v>
      </c>
      <c r="AN614" s="27">
        <f t="shared" si="1009"/>
        <v>1584</v>
      </c>
      <c r="AO614" s="28">
        <f t="shared" si="1010"/>
        <v>0.11733333333333333</v>
      </c>
      <c r="AP614" s="15"/>
      <c r="AQ614" s="15"/>
      <c r="AR614" s="26"/>
      <c r="AS614" s="27">
        <v>8649</v>
      </c>
      <c r="AT614" s="27">
        <f t="shared" si="1011"/>
        <v>59</v>
      </c>
      <c r="AU614" s="27">
        <v>344</v>
      </c>
      <c r="AV614" s="27">
        <f t="shared" si="1012"/>
        <v>2</v>
      </c>
      <c r="AW614" s="27">
        <v>9</v>
      </c>
      <c r="AX614" s="27">
        <f t="shared" si="1013"/>
        <v>2</v>
      </c>
      <c r="AY614" s="47">
        <v>4</v>
      </c>
      <c r="AZ614" s="57" t="str">
        <f t="shared" si="1014"/>
        <v>サンリオミニリュック</v>
      </c>
      <c r="BA614" s="62">
        <f t="shared" si="1015"/>
        <v>600</v>
      </c>
      <c r="BB614" s="27">
        <f t="shared" si="1016"/>
        <v>1200</v>
      </c>
      <c r="BC614" s="28">
        <f t="shared" si="1017"/>
        <v>0.20338983050847459</v>
      </c>
      <c r="BD614" s="15"/>
      <c r="BT614" s="15"/>
      <c r="BU614" s="79" t="e">
        <f>IF(#REF!="","",#REF!)</f>
        <v>#REF!</v>
      </c>
      <c r="BV614" s="13"/>
      <c r="BW614" s="13" t="str">
        <f>IF(BV614="","",BV614-BV613)</f>
        <v/>
      </c>
      <c r="BX614" s="13"/>
      <c r="BY614" s="13" t="str">
        <f>IF(BX614="","",BX614-BX613)</f>
        <v/>
      </c>
      <c r="BZ614" s="13"/>
      <c r="CA614" s="13" t="str">
        <f>IF(BZ614="","",BZ613+CB613-BZ614)</f>
        <v/>
      </c>
      <c r="CB614" s="13"/>
      <c r="CC614" s="53"/>
      <c r="CD614" s="53" t="str">
        <f>IF(BV614="","",CD613)</f>
        <v/>
      </c>
      <c r="CE614" s="13" t="str">
        <f t="shared" si="1018"/>
        <v/>
      </c>
      <c r="CF614" s="14" t="str">
        <f t="shared" si="1019"/>
        <v/>
      </c>
      <c r="CG614" s="15"/>
      <c r="CH614" s="1"/>
      <c r="CI614" s="79" t="e">
        <f>IF(#REF!="","",#REF!)</f>
        <v>#REF!</v>
      </c>
      <c r="CJ614" s="13"/>
      <c r="CK614" s="13" t="str">
        <f>IF(CJ614="","",CJ614-CJ613)</f>
        <v/>
      </c>
      <c r="CL614" s="13"/>
      <c r="CM614" s="13" t="str">
        <f>IF(CL614="","",CL614-CL613)</f>
        <v/>
      </c>
      <c r="CN614" s="13"/>
      <c r="CO614" s="13" t="str">
        <f>IF(CN614="","",CN613+CP613-CN614)</f>
        <v/>
      </c>
      <c r="CP614" s="13"/>
      <c r="CQ614" s="53"/>
      <c r="CR614" s="53" t="str">
        <f>IF(CJ614="","",CR613)</f>
        <v/>
      </c>
      <c r="CS614" s="13" t="str">
        <f t="shared" si="1020"/>
        <v/>
      </c>
      <c r="CT614" s="14" t="str">
        <f>IF(CS614="","",CS614/(CJ614*100))</f>
        <v/>
      </c>
      <c r="CU614" s="15"/>
      <c r="CV614" s="1"/>
      <c r="CW614" s="79" t="e">
        <f>IF(#REF!="","",#REF!)</f>
        <v>#REF!</v>
      </c>
      <c r="CX614" s="13"/>
      <c r="CY614" s="13" t="str">
        <f>IF(CX614="","",CX614-CX613)</f>
        <v/>
      </c>
      <c r="CZ614" s="13"/>
      <c r="DA614" s="13" t="str">
        <f>IF(CZ614="","",CZ614-CZ613)</f>
        <v/>
      </c>
      <c r="DB614" s="13"/>
      <c r="DC614" s="13" t="str">
        <f>IF(DB614="","",DB613+DD613-DB614)</f>
        <v/>
      </c>
      <c r="DD614" s="13"/>
      <c r="DE614" s="53"/>
      <c r="DF614" s="53" t="str">
        <f>IF(CX614="","",DF613)</f>
        <v/>
      </c>
      <c r="DG614" s="13" t="str">
        <f t="shared" si="1021"/>
        <v/>
      </c>
      <c r="DH614" s="14" t="str">
        <f t="shared" si="1022"/>
        <v/>
      </c>
      <c r="DI614" s="15"/>
      <c r="DJ614" s="1"/>
      <c r="DK614" s="79" t="e">
        <f>IF(#REF!="","",#REF!)</f>
        <v>#REF!</v>
      </c>
      <c r="DL614" s="13"/>
      <c r="DM614" s="13" t="str">
        <f>IF(DL614="","",DL614-DL613)</f>
        <v/>
      </c>
      <c r="DN614" s="13"/>
      <c r="DO614" s="13" t="str">
        <f>IF(DN614="","",DN614-DN613)</f>
        <v/>
      </c>
      <c r="DP614" s="13"/>
      <c r="DQ614" s="13" t="str">
        <f>IF(DP614="","",DP613+DR613-DP614)</f>
        <v/>
      </c>
      <c r="DR614" s="13"/>
      <c r="DS614" s="53"/>
      <c r="DT614" s="53" t="str">
        <f>IF(DL614="","",DT613)</f>
        <v/>
      </c>
      <c r="DU614" s="13" t="str">
        <f t="shared" si="1023"/>
        <v/>
      </c>
      <c r="DV614" s="14" t="str">
        <f t="shared" si="1024"/>
        <v/>
      </c>
      <c r="DW614" s="15"/>
    </row>
    <row r="615" spans="1:127" ht="15" customHeight="1" thickTop="1" x14ac:dyDescent="0.2">
      <c r="A615" s="79">
        <v>45929</v>
      </c>
      <c r="B615" s="74">
        <f>IF(A615="","",SUM(D615:D618)+SUM(R615:R618)+SUM(AF615:AF618)+SUM(AT615:AT618)+SUM(BW600,CK600,CY600,DM600))</f>
        <v>3177</v>
      </c>
      <c r="C615" s="53">
        <v>2566</v>
      </c>
      <c r="D615" s="53">
        <f t="shared" si="990"/>
        <v>104</v>
      </c>
      <c r="E615" s="53">
        <v>288</v>
      </c>
      <c r="F615" s="31">
        <f t="shared" si="991"/>
        <v>2</v>
      </c>
      <c r="G615" s="53">
        <v>10</v>
      </c>
      <c r="H615" s="53">
        <f t="shared" si="992"/>
        <v>2</v>
      </c>
      <c r="I615" s="80">
        <v>0</v>
      </c>
      <c r="J615" s="75" t="str">
        <f t="shared" si="1025"/>
        <v>ジャグラーサウンドボタン</v>
      </c>
      <c r="K615" s="76">
        <f t="shared" si="1026"/>
        <v>748</v>
      </c>
      <c r="L615" s="31">
        <f t="shared" si="995"/>
        <v>1496</v>
      </c>
      <c r="M615" s="32">
        <f t="shared" si="996"/>
        <v>0.14384615384615385</v>
      </c>
      <c r="N615" s="15"/>
      <c r="O615" s="2"/>
      <c r="P615" s="79">
        <f>IF($A615="","",$A615)</f>
        <v>45929</v>
      </c>
      <c r="Q615" s="53">
        <v>2145</v>
      </c>
      <c r="R615" s="53">
        <f t="shared" si="997"/>
        <v>131</v>
      </c>
      <c r="S615" s="53">
        <v>91</v>
      </c>
      <c r="T615" s="31">
        <f t="shared" si="998"/>
        <v>2</v>
      </c>
      <c r="U615" s="53">
        <v>0</v>
      </c>
      <c r="V615" s="53">
        <f t="shared" si="999"/>
        <v>3</v>
      </c>
      <c r="W615" s="80">
        <v>8</v>
      </c>
      <c r="X615" s="75" t="str">
        <f t="shared" si="1027"/>
        <v>ジャグラーサウンドボタンDX</v>
      </c>
      <c r="Y615" s="76">
        <f t="shared" si="1028"/>
        <v>1100</v>
      </c>
      <c r="Z615" s="31">
        <f t="shared" si="1002"/>
        <v>3300</v>
      </c>
      <c r="AA615" s="32">
        <f t="shared" si="1003"/>
        <v>0.25190839694656486</v>
      </c>
      <c r="AB615" s="15" t="s">
        <v>317</v>
      </c>
      <c r="AC615" s="15"/>
      <c r="AD615" s="79">
        <f>IF($A615="","",$A615)</f>
        <v>45929</v>
      </c>
      <c r="AE615" s="53">
        <v>7768</v>
      </c>
      <c r="AF615" s="53">
        <f t="shared" si="1004"/>
        <v>138</v>
      </c>
      <c r="AG615" s="53">
        <v>176</v>
      </c>
      <c r="AH615" s="31">
        <f t="shared" si="1005"/>
        <v>3</v>
      </c>
      <c r="AI615" s="53">
        <v>15</v>
      </c>
      <c r="AJ615" s="53">
        <f t="shared" si="1006"/>
        <v>3</v>
      </c>
      <c r="AK615" s="80">
        <v>0</v>
      </c>
      <c r="AL615" s="75" t="str">
        <f t="shared" si="1029"/>
        <v>サンリオでかぱっちん</v>
      </c>
      <c r="AM615" s="76">
        <f t="shared" si="1030"/>
        <v>660</v>
      </c>
      <c r="AN615" s="31">
        <f t="shared" si="1009"/>
        <v>1980</v>
      </c>
      <c r="AO615" s="32">
        <f t="shared" si="1010"/>
        <v>0.14347826086956522</v>
      </c>
      <c r="AP615" s="15"/>
      <c r="AQ615" s="15"/>
      <c r="AR615" s="79">
        <f>IF($A615="","",$A615)</f>
        <v>45929</v>
      </c>
      <c r="AS615" s="53">
        <v>8338</v>
      </c>
      <c r="AT615" s="53">
        <f t="shared" si="1011"/>
        <v>71</v>
      </c>
      <c r="AU615" s="53">
        <v>243</v>
      </c>
      <c r="AV615" s="31">
        <f t="shared" si="1012"/>
        <v>1</v>
      </c>
      <c r="AW615" s="53">
        <v>15</v>
      </c>
      <c r="AX615" s="53">
        <f t="shared" si="1013"/>
        <v>0</v>
      </c>
      <c r="AY615" s="80">
        <v>10</v>
      </c>
      <c r="AZ615" s="75" t="str">
        <f t="shared" si="1014"/>
        <v>こびとづかんキーケース</v>
      </c>
      <c r="BA615" s="76">
        <f t="shared" si="1015"/>
        <v>726</v>
      </c>
      <c r="BB615" s="31">
        <f t="shared" si="1016"/>
        <v>0</v>
      </c>
      <c r="BC615" s="32">
        <f t="shared" si="1017"/>
        <v>0</v>
      </c>
      <c r="BD615" s="15" t="s">
        <v>313</v>
      </c>
      <c r="BT615" s="15"/>
      <c r="BU615" s="79" t="e">
        <f>IF(#REF!="","",#REF!)</f>
        <v>#REF!</v>
      </c>
      <c r="BV615" s="13"/>
      <c r="BW615" s="13" t="str">
        <f>IF(BV615="","",BV615-BV614)</f>
        <v/>
      </c>
      <c r="BX615" s="13"/>
      <c r="BY615" s="13" t="str">
        <f>IF(BX615="","",BX615-BX614)</f>
        <v/>
      </c>
      <c r="BZ615" s="13"/>
      <c r="CA615" s="13" t="str">
        <f>IF(BZ615="","",BZ614+CB614-BZ615)</f>
        <v/>
      </c>
      <c r="CB615" s="13"/>
      <c r="CC615" s="53"/>
      <c r="CD615" s="53" t="str">
        <f>IF(BV615="","",CD614)</f>
        <v/>
      </c>
      <c r="CE615" s="13" t="str">
        <f t="shared" si="1018"/>
        <v/>
      </c>
      <c r="CF615" s="14" t="str">
        <f t="shared" si="1019"/>
        <v/>
      </c>
      <c r="CG615" s="15"/>
      <c r="CH615" s="1"/>
      <c r="CI615" s="79" t="e">
        <f>IF(#REF!="","",#REF!)</f>
        <v>#REF!</v>
      </c>
      <c r="CJ615" s="13"/>
      <c r="CK615" s="13" t="str">
        <f>IF(CJ615="","",CJ615-CJ614)</f>
        <v/>
      </c>
      <c r="CL615" s="13"/>
      <c r="CM615" s="13" t="str">
        <f>IF(CL615="","",CL615-CL614)</f>
        <v/>
      </c>
      <c r="CN615" s="13"/>
      <c r="CO615" s="13" t="str">
        <f>IF(CN615="","",CN614+CP614-CN615)</f>
        <v/>
      </c>
      <c r="CP615" s="13"/>
      <c r="CQ615" s="53"/>
      <c r="CR615" s="53" t="str">
        <f>IF(CJ615="","",CR614)</f>
        <v/>
      </c>
      <c r="CS615" s="13" t="str">
        <f t="shared" si="1020"/>
        <v/>
      </c>
      <c r="CT615" s="14" t="str">
        <f>IF(CS615="","",CS615/(CJ615*100))</f>
        <v/>
      </c>
      <c r="CU615" s="15"/>
      <c r="CV615" s="1"/>
      <c r="CW615" s="79" t="e">
        <f>IF(#REF!="","",#REF!)</f>
        <v>#REF!</v>
      </c>
      <c r="CX615" s="13"/>
      <c r="CY615" s="13" t="str">
        <f>IF(CX615="","",CX615-CX614)</f>
        <v/>
      </c>
      <c r="CZ615" s="13"/>
      <c r="DA615" s="13" t="str">
        <f>IF(CZ615="","",CZ615-CZ614)</f>
        <v/>
      </c>
      <c r="DB615" s="13"/>
      <c r="DC615" s="13" t="str">
        <f>IF(DB615="","",DB614+DD614-DB615)</f>
        <v/>
      </c>
      <c r="DD615" s="13"/>
      <c r="DE615" s="53"/>
      <c r="DF615" s="53" t="str">
        <f>IF(CX615="","",DF614)</f>
        <v/>
      </c>
      <c r="DG615" s="13" t="str">
        <f t="shared" si="1021"/>
        <v/>
      </c>
      <c r="DH615" s="14" t="str">
        <f t="shared" si="1022"/>
        <v/>
      </c>
      <c r="DI615" s="15"/>
      <c r="DJ615" s="1"/>
      <c r="DK615" s="79" t="e">
        <f>IF(#REF!="","",#REF!)</f>
        <v>#REF!</v>
      </c>
      <c r="DL615" s="13"/>
      <c r="DM615" s="13" t="str">
        <f>IF(DL615="","",DL615-DL614)</f>
        <v/>
      </c>
      <c r="DN615" s="13"/>
      <c r="DO615" s="13" t="str">
        <f>IF(DN615="","",DN615-DN614)</f>
        <v/>
      </c>
      <c r="DP615" s="13"/>
      <c r="DQ615" s="13" t="str">
        <f>IF(DP615="","",DP614+DR614-DP615)</f>
        <v/>
      </c>
      <c r="DR615" s="13"/>
      <c r="DS615" s="53"/>
      <c r="DT615" s="53" t="str">
        <f>IF(DL615="","",DT614)</f>
        <v/>
      </c>
      <c r="DU615" s="13" t="str">
        <f t="shared" si="1023"/>
        <v/>
      </c>
      <c r="DV615" s="14" t="str">
        <f t="shared" si="1024"/>
        <v/>
      </c>
      <c r="DW615" s="15"/>
    </row>
    <row r="616" spans="1:127" ht="15" customHeight="1" x14ac:dyDescent="0.2">
      <c r="A616" s="288" t="s">
        <v>318</v>
      </c>
      <c r="B616" s="289"/>
      <c r="C616" s="13">
        <v>1757</v>
      </c>
      <c r="D616" s="87">
        <f t="shared" si="990"/>
        <v>40</v>
      </c>
      <c r="E616" s="13">
        <v>304</v>
      </c>
      <c r="F616" s="13">
        <f t="shared" si="991"/>
        <v>1</v>
      </c>
      <c r="G616" s="13">
        <v>11</v>
      </c>
      <c r="H616" s="13">
        <f t="shared" si="992"/>
        <v>1</v>
      </c>
      <c r="I616" s="17">
        <v>0</v>
      </c>
      <c r="J616" s="56" t="str">
        <f t="shared" si="1025"/>
        <v>液晶デジカメ</v>
      </c>
      <c r="K616" s="54">
        <f t="shared" si="1026"/>
        <v>1075</v>
      </c>
      <c r="L616" s="13">
        <f t="shared" si="995"/>
        <v>1075</v>
      </c>
      <c r="M616" s="14">
        <f t="shared" si="996"/>
        <v>0.26874999999999999</v>
      </c>
      <c r="N616" s="15" t="s">
        <v>311</v>
      </c>
      <c r="O616" s="2"/>
      <c r="P616" s="16"/>
      <c r="Q616" s="13">
        <v>2096</v>
      </c>
      <c r="R616" s="13">
        <f t="shared" si="997"/>
        <v>98</v>
      </c>
      <c r="S616" s="13">
        <v>75</v>
      </c>
      <c r="T616" s="13">
        <f t="shared" si="998"/>
        <v>2</v>
      </c>
      <c r="U616" s="13">
        <v>13</v>
      </c>
      <c r="V616" s="13">
        <f t="shared" si="999"/>
        <v>2</v>
      </c>
      <c r="W616" s="17">
        <v>0</v>
      </c>
      <c r="X616" s="56" t="str">
        <f t="shared" si="1027"/>
        <v>LOTTEチョコイヤホン</v>
      </c>
      <c r="Y616" s="54">
        <f t="shared" si="1028"/>
        <v>1100</v>
      </c>
      <c r="Z616" s="13">
        <f t="shared" si="1002"/>
        <v>2200</v>
      </c>
      <c r="AA616" s="14">
        <f t="shared" si="1003"/>
        <v>0.22448979591836735</v>
      </c>
      <c r="AB616" s="15" t="s">
        <v>316</v>
      </c>
      <c r="AC616" s="15"/>
      <c r="AD616" s="16"/>
      <c r="AE616" s="13">
        <v>6980</v>
      </c>
      <c r="AF616" s="13">
        <f t="shared" si="1004"/>
        <v>166</v>
      </c>
      <c r="AG616" s="13">
        <v>159</v>
      </c>
      <c r="AH616" s="13">
        <f t="shared" si="1005"/>
        <v>5</v>
      </c>
      <c r="AI616" s="13">
        <v>7</v>
      </c>
      <c r="AJ616" s="13">
        <f t="shared" si="1006"/>
        <v>5</v>
      </c>
      <c r="AK616" s="17">
        <v>4</v>
      </c>
      <c r="AL616" s="56" t="str">
        <f t="shared" si="1029"/>
        <v>キティヒョウ柄マスコット</v>
      </c>
      <c r="AM616" s="54">
        <f t="shared" si="1030"/>
        <v>996</v>
      </c>
      <c r="AN616" s="13">
        <f t="shared" si="1009"/>
        <v>4980</v>
      </c>
      <c r="AO616" s="14">
        <f t="shared" si="1010"/>
        <v>0.3</v>
      </c>
      <c r="AP616" s="15" t="s">
        <v>276</v>
      </c>
      <c r="AQ616" s="15"/>
      <c r="AR616" s="16"/>
      <c r="AS616" s="13">
        <v>5727</v>
      </c>
      <c r="AT616" s="13">
        <f t="shared" si="1011"/>
        <v>55</v>
      </c>
      <c r="AU616" s="13">
        <v>277</v>
      </c>
      <c r="AV616" s="13">
        <f t="shared" si="1012"/>
        <v>0</v>
      </c>
      <c r="AW616" s="13">
        <v>32</v>
      </c>
      <c r="AX616" s="13">
        <f t="shared" si="1013"/>
        <v>2</v>
      </c>
      <c r="AY616" s="17">
        <v>0</v>
      </c>
      <c r="AZ616" s="56" t="str">
        <f t="shared" si="1014"/>
        <v>ねこアイシャドウ</v>
      </c>
      <c r="BA616" s="54">
        <f t="shared" si="1015"/>
        <v>1000</v>
      </c>
      <c r="BB616" s="13">
        <f t="shared" si="1016"/>
        <v>2000</v>
      </c>
      <c r="BC616" s="14">
        <f t="shared" si="1017"/>
        <v>0.36363636363636365</v>
      </c>
      <c r="BD616" s="15" t="s">
        <v>312</v>
      </c>
      <c r="BT616" s="15"/>
      <c r="BU616" s="16"/>
      <c r="BV616" s="54"/>
      <c r="BW616" s="13" t="str">
        <f>IF(BV616="","",BV616-BV615)</f>
        <v/>
      </c>
      <c r="BX616" s="13"/>
      <c r="BY616" s="13" t="str">
        <f>IF(BX616="","",BX616-BX615)</f>
        <v/>
      </c>
      <c r="BZ616" s="13"/>
      <c r="CA616" s="13" t="str">
        <f>IF(BZ616="","",BZ615+CB615-BZ616)</f>
        <v/>
      </c>
      <c r="CB616" s="13"/>
      <c r="CC616" s="13"/>
      <c r="CD616" s="13"/>
      <c r="CE616" s="13" t="str">
        <f t="shared" si="1018"/>
        <v/>
      </c>
      <c r="CF616" s="14" t="str">
        <f t="shared" si="1019"/>
        <v/>
      </c>
      <c r="CG616" s="15"/>
      <c r="CH616" s="1"/>
      <c r="CI616" s="16"/>
      <c r="CJ616" s="54"/>
      <c r="CK616" s="13" t="str">
        <f>IF(CJ616="","",CJ616-CJ615)</f>
        <v/>
      </c>
      <c r="CL616" s="13"/>
      <c r="CM616" s="13" t="str">
        <f>IF(CL616="","",CL616-CL615)</f>
        <v/>
      </c>
      <c r="CN616" s="13"/>
      <c r="CO616" s="13" t="str">
        <f>IF(CN616="","",CN615+CP615-CN616)</f>
        <v/>
      </c>
      <c r="CP616" s="13"/>
      <c r="CQ616" s="13"/>
      <c r="CR616" s="13"/>
      <c r="CS616" s="13" t="str">
        <f t="shared" si="1020"/>
        <v/>
      </c>
      <c r="CT616" s="14" t="str">
        <f t="shared" ref="CT616:CT642" si="1031">IF(CS616="","",CS616/(CK616*100))</f>
        <v/>
      </c>
      <c r="CU616" s="15"/>
      <c r="CV616" s="1"/>
      <c r="CW616" s="16"/>
      <c r="CX616" s="54"/>
      <c r="CY616" s="13" t="str">
        <f>IF(CX616="","",CX616-CX615)</f>
        <v/>
      </c>
      <c r="CZ616" s="13"/>
      <c r="DA616" s="13" t="str">
        <f>IF(CZ616="","",CZ616-CZ615)</f>
        <v/>
      </c>
      <c r="DB616" s="13"/>
      <c r="DC616" s="13" t="str">
        <f>IF(DB616="","",DB615+DD615-DB616)</f>
        <v/>
      </c>
      <c r="DD616" s="13"/>
      <c r="DE616" s="13"/>
      <c r="DF616" s="13"/>
      <c r="DG616" s="13" t="str">
        <f t="shared" si="1021"/>
        <v/>
      </c>
      <c r="DH616" s="14" t="str">
        <f t="shared" si="1022"/>
        <v/>
      </c>
      <c r="DI616" s="15"/>
      <c r="DJ616" s="1"/>
      <c r="DK616" s="16"/>
      <c r="DL616" s="54"/>
      <c r="DM616" s="13" t="str">
        <f>IF(DL616="","",DL616-DL615)</f>
        <v/>
      </c>
      <c r="DN616" s="13"/>
      <c r="DO616" s="13" t="str">
        <f>IF(DN616="","",DN616-DN615)</f>
        <v/>
      </c>
      <c r="DP616" s="13"/>
      <c r="DQ616" s="13" t="str">
        <f>IF(DP616="","",DP615+DR615-DP616)</f>
        <v/>
      </c>
      <c r="DR616" s="13"/>
      <c r="DS616" s="13"/>
      <c r="DT616" s="13"/>
      <c r="DU616" s="13" t="str">
        <f t="shared" si="1023"/>
        <v/>
      </c>
      <c r="DV616" s="14" t="str">
        <f t="shared" si="1024"/>
        <v/>
      </c>
      <c r="DW616" s="15"/>
    </row>
    <row r="617" spans="1:127" ht="15" customHeight="1" x14ac:dyDescent="0.2">
      <c r="A617" s="16"/>
      <c r="B617" s="11"/>
      <c r="C617" s="34">
        <v>6915</v>
      </c>
      <c r="D617" s="13">
        <f t="shared" si="990"/>
        <v>232</v>
      </c>
      <c r="E617" s="34">
        <v>438</v>
      </c>
      <c r="F617" s="13">
        <f t="shared" si="991"/>
        <v>9</v>
      </c>
      <c r="G617" s="13">
        <v>132</v>
      </c>
      <c r="H617" s="13">
        <f t="shared" si="992"/>
        <v>2</v>
      </c>
      <c r="I617" s="17">
        <v>22</v>
      </c>
      <c r="J617" s="56" t="str">
        <f t="shared" si="1025"/>
        <v>AIモンスタラバー</v>
      </c>
      <c r="K617" s="13">
        <f t="shared" si="1026"/>
        <v>200</v>
      </c>
      <c r="L617" s="13">
        <f t="shared" si="995"/>
        <v>400</v>
      </c>
      <c r="M617" s="14">
        <f t="shared" si="996"/>
        <v>1.7241379310344827E-2</v>
      </c>
      <c r="N617" s="15"/>
      <c r="O617" s="2"/>
      <c r="P617" s="16"/>
      <c r="Q617" s="34">
        <v>4810</v>
      </c>
      <c r="R617" s="13">
        <f t="shared" si="997"/>
        <v>465</v>
      </c>
      <c r="S617" s="34">
        <v>71</v>
      </c>
      <c r="T617" s="13">
        <f t="shared" si="998"/>
        <v>15</v>
      </c>
      <c r="U617" s="13">
        <v>0</v>
      </c>
      <c r="V617" s="13">
        <f t="shared" si="999"/>
        <v>15</v>
      </c>
      <c r="W617" s="17">
        <v>64</v>
      </c>
      <c r="X617" s="56" t="str">
        <f t="shared" si="1027"/>
        <v>ラブブマスコット</v>
      </c>
      <c r="Y617" s="13">
        <f t="shared" si="1028"/>
        <v>400</v>
      </c>
      <c r="Z617" s="13">
        <f t="shared" si="1002"/>
        <v>6000</v>
      </c>
      <c r="AA617" s="14">
        <f t="shared" si="1003"/>
        <v>0.12903225806451613</v>
      </c>
      <c r="AB617" s="15" t="s">
        <v>314</v>
      </c>
      <c r="AC617" s="15"/>
      <c r="AD617" s="16"/>
      <c r="AE617" s="34">
        <v>7698</v>
      </c>
      <c r="AF617" s="13">
        <f t="shared" si="1004"/>
        <v>505</v>
      </c>
      <c r="AG617" s="34">
        <v>267</v>
      </c>
      <c r="AH617" s="13">
        <f t="shared" si="1005"/>
        <v>6</v>
      </c>
      <c r="AI617" s="13">
        <v>12</v>
      </c>
      <c r="AJ617" s="13">
        <f t="shared" si="1006"/>
        <v>8</v>
      </c>
      <c r="AK617" s="17">
        <v>8</v>
      </c>
      <c r="AL617" s="56" t="str">
        <f t="shared" si="1029"/>
        <v>ラブブキーホルダー</v>
      </c>
      <c r="AM617" s="13">
        <f t="shared" si="1030"/>
        <v>400</v>
      </c>
      <c r="AN617" s="13">
        <f t="shared" si="1009"/>
        <v>3200</v>
      </c>
      <c r="AO617" s="14">
        <f t="shared" si="1010"/>
        <v>6.3366336633663367E-2</v>
      </c>
      <c r="AP617" s="15"/>
      <c r="AQ617" s="15"/>
      <c r="AR617" s="16"/>
      <c r="AS617" s="34">
        <v>9582</v>
      </c>
      <c r="AT617" s="13">
        <f t="shared" si="1011"/>
        <v>113</v>
      </c>
      <c r="AU617" s="34">
        <v>381</v>
      </c>
      <c r="AV617" s="13">
        <f t="shared" si="1012"/>
        <v>2</v>
      </c>
      <c r="AW617" s="13">
        <v>8</v>
      </c>
      <c r="AX617" s="13">
        <f t="shared" si="1013"/>
        <v>2</v>
      </c>
      <c r="AY617" s="17">
        <v>2</v>
      </c>
      <c r="AZ617" s="56" t="str">
        <f t="shared" si="1014"/>
        <v>モンチッチマスコット</v>
      </c>
      <c r="BA617" s="13">
        <f t="shared" si="1015"/>
        <v>528</v>
      </c>
      <c r="BB617" s="13">
        <f t="shared" si="1016"/>
        <v>1056</v>
      </c>
      <c r="BC617" s="14">
        <f t="shared" si="1017"/>
        <v>9.3451327433628315E-2</v>
      </c>
      <c r="BD617" s="15" t="s">
        <v>276</v>
      </c>
      <c r="BT617" s="15"/>
      <c r="BU617" s="16"/>
      <c r="BV617" s="54"/>
      <c r="BW617" s="13" t="str">
        <f>IF(BV617="","",BV617-BV616)</f>
        <v/>
      </c>
      <c r="BX617" s="13"/>
      <c r="BY617" s="13" t="str">
        <f>IF(BX617="","",BX617-BX616)</f>
        <v/>
      </c>
      <c r="BZ617" s="13"/>
      <c r="CA617" s="13" t="str">
        <f>IF(BZ617="","",BZ616+CB616-BZ617)</f>
        <v/>
      </c>
      <c r="CB617" s="13"/>
      <c r="CC617" s="13"/>
      <c r="CD617" s="13"/>
      <c r="CE617" s="13" t="str">
        <f t="shared" si="1018"/>
        <v/>
      </c>
      <c r="CF617" s="14" t="str">
        <f t="shared" si="1019"/>
        <v/>
      </c>
      <c r="CG617" s="15"/>
      <c r="CH617" s="1"/>
      <c r="CI617" s="16"/>
      <c r="CJ617" s="54"/>
      <c r="CK617" s="13" t="str">
        <f>IF(CJ617="","",CJ617-CJ616)</f>
        <v/>
      </c>
      <c r="CL617" s="13"/>
      <c r="CM617" s="13" t="str">
        <f>IF(CL617="","",CL617-CL616)</f>
        <v/>
      </c>
      <c r="CN617" s="13"/>
      <c r="CO617" s="13" t="str">
        <f>IF(CN617="","",CN616+CP616-CN617)</f>
        <v/>
      </c>
      <c r="CP617" s="13"/>
      <c r="CQ617" s="13"/>
      <c r="CR617" s="13"/>
      <c r="CS617" s="13" t="str">
        <f t="shared" si="1020"/>
        <v/>
      </c>
      <c r="CT617" s="14" t="str">
        <f t="shared" si="1031"/>
        <v/>
      </c>
      <c r="CU617" s="15"/>
      <c r="CV617" s="1"/>
      <c r="CW617" s="16"/>
      <c r="CX617" s="54"/>
      <c r="CY617" s="13" t="str">
        <f>IF(CX617="","",CX617-CX616)</f>
        <v/>
      </c>
      <c r="CZ617" s="13"/>
      <c r="DA617" s="13" t="str">
        <f>IF(CZ617="","",CZ617-CZ616)</f>
        <v/>
      </c>
      <c r="DB617" s="13"/>
      <c r="DC617" s="13" t="str">
        <f>IF(DB617="","",DB616+DD616-DB617)</f>
        <v/>
      </c>
      <c r="DD617" s="13"/>
      <c r="DE617" s="13"/>
      <c r="DF617" s="13"/>
      <c r="DG617" s="13" t="str">
        <f t="shared" si="1021"/>
        <v/>
      </c>
      <c r="DH617" s="14" t="str">
        <f t="shared" si="1022"/>
        <v/>
      </c>
      <c r="DI617" s="15"/>
      <c r="DJ617" s="1"/>
      <c r="DK617" s="16"/>
      <c r="DL617" s="54"/>
      <c r="DM617" s="13" t="str">
        <f>IF(DL617="","",DL617-DL616)</f>
        <v/>
      </c>
      <c r="DN617" s="13"/>
      <c r="DO617" s="13" t="str">
        <f>IF(DN617="","",DN617-DN616)</f>
        <v/>
      </c>
      <c r="DP617" s="13"/>
      <c r="DQ617" s="13" t="str">
        <f>IF(DP617="","",DP616+DR616-DP617)</f>
        <v/>
      </c>
      <c r="DR617" s="13"/>
      <c r="DS617" s="13"/>
      <c r="DT617" s="13"/>
      <c r="DU617" s="13" t="str">
        <f t="shared" si="1023"/>
        <v/>
      </c>
      <c r="DV617" s="14" t="str">
        <f t="shared" si="1024"/>
        <v/>
      </c>
      <c r="DW617" s="15"/>
    </row>
    <row r="618" spans="1:127" ht="15" customHeight="1" thickBot="1" x14ac:dyDescent="0.25">
      <c r="A618" s="26"/>
      <c r="B618" s="46"/>
      <c r="C618" s="27">
        <v>3330</v>
      </c>
      <c r="D618" s="27">
        <f t="shared" si="990"/>
        <v>106</v>
      </c>
      <c r="E618" s="27">
        <v>379</v>
      </c>
      <c r="F618" s="27">
        <f t="shared" si="991"/>
        <v>2</v>
      </c>
      <c r="G618" s="27">
        <v>37</v>
      </c>
      <c r="H618" s="27">
        <f t="shared" si="992"/>
        <v>1</v>
      </c>
      <c r="I618" s="47">
        <v>1</v>
      </c>
      <c r="J618" s="57" t="str">
        <f t="shared" si="1025"/>
        <v>NICIマスコット</v>
      </c>
      <c r="K618" s="62">
        <f t="shared" si="1026"/>
        <v>900</v>
      </c>
      <c r="L618" s="27">
        <f t="shared" si="995"/>
        <v>900</v>
      </c>
      <c r="M618" s="28">
        <f t="shared" si="996"/>
        <v>8.4905660377358486E-2</v>
      </c>
      <c r="N618" s="15"/>
      <c r="O618" s="2"/>
      <c r="P618" s="26"/>
      <c r="Q618" s="27">
        <v>4131</v>
      </c>
      <c r="R618" s="27">
        <f t="shared" si="997"/>
        <v>165</v>
      </c>
      <c r="S618" s="27">
        <v>76</v>
      </c>
      <c r="T618" s="27">
        <f t="shared" si="998"/>
        <v>3</v>
      </c>
      <c r="U618" s="27">
        <v>9</v>
      </c>
      <c r="V618" s="27">
        <f t="shared" si="999"/>
        <v>3</v>
      </c>
      <c r="W618" s="47">
        <v>4</v>
      </c>
      <c r="X618" s="57" t="str">
        <f t="shared" si="1027"/>
        <v>ＡＩマスコット</v>
      </c>
      <c r="Y618" s="62">
        <f t="shared" si="1028"/>
        <v>286</v>
      </c>
      <c r="Z618" s="27">
        <f t="shared" si="1002"/>
        <v>858</v>
      </c>
      <c r="AA618" s="28">
        <f t="shared" si="1003"/>
        <v>5.1999999999999998E-2</v>
      </c>
      <c r="AB618" s="15"/>
      <c r="AC618" s="15"/>
      <c r="AD618" s="26"/>
      <c r="AE618" s="27">
        <v>8706</v>
      </c>
      <c r="AF618" s="27">
        <f t="shared" si="1004"/>
        <v>154</v>
      </c>
      <c r="AG618" s="27">
        <v>244</v>
      </c>
      <c r="AH618" s="27">
        <f t="shared" si="1005"/>
        <v>5</v>
      </c>
      <c r="AI618" s="27">
        <v>9</v>
      </c>
      <c r="AJ618" s="27">
        <f t="shared" si="1006"/>
        <v>5</v>
      </c>
      <c r="AK618" s="47">
        <v>4</v>
      </c>
      <c r="AL618" s="57" t="str">
        <f t="shared" si="1029"/>
        <v>しなこくま</v>
      </c>
      <c r="AM618" s="62">
        <f t="shared" si="1030"/>
        <v>528</v>
      </c>
      <c r="AN618" s="27">
        <f t="shared" si="1009"/>
        <v>2640</v>
      </c>
      <c r="AO618" s="28">
        <f t="shared" si="1010"/>
        <v>0.17142857142857143</v>
      </c>
      <c r="AP618" s="15" t="s">
        <v>276</v>
      </c>
      <c r="AQ618" s="15"/>
      <c r="AR618" s="26"/>
      <c r="AS618" s="27">
        <v>8733</v>
      </c>
      <c r="AT618" s="27">
        <f t="shared" si="1011"/>
        <v>84</v>
      </c>
      <c r="AU618" s="27">
        <v>345</v>
      </c>
      <c r="AV618" s="27">
        <f t="shared" si="1012"/>
        <v>1</v>
      </c>
      <c r="AW618" s="27">
        <v>11</v>
      </c>
      <c r="AX618" s="27">
        <f t="shared" si="1013"/>
        <v>2</v>
      </c>
      <c r="AY618" s="47">
        <v>2</v>
      </c>
      <c r="AZ618" s="57" t="str">
        <f t="shared" si="1014"/>
        <v>サンリオミニリュック</v>
      </c>
      <c r="BA618" s="62">
        <f t="shared" si="1015"/>
        <v>600</v>
      </c>
      <c r="BB618" s="27">
        <f t="shared" si="1016"/>
        <v>1200</v>
      </c>
      <c r="BC618" s="28">
        <f t="shared" si="1017"/>
        <v>0.14285714285714285</v>
      </c>
      <c r="BD618" s="15"/>
      <c r="BT618" s="15"/>
      <c r="BU618" s="16"/>
      <c r="BV618" s="54"/>
      <c r="BW618" s="13" t="str">
        <f>IF(BV618="","",BV618-BV617)</f>
        <v/>
      </c>
      <c r="BX618" s="13"/>
      <c r="BY618" s="13"/>
      <c r="BZ618" s="13"/>
      <c r="CA618" s="13" t="str">
        <f>IF(BZ618="","",BZ617+CB617-BZ618)</f>
        <v/>
      </c>
      <c r="CB618" s="13"/>
      <c r="CC618" s="13"/>
      <c r="CD618" s="13"/>
      <c r="CE618" s="13" t="str">
        <f t="shared" si="1018"/>
        <v/>
      </c>
      <c r="CF618" s="14" t="str">
        <f t="shared" si="1019"/>
        <v/>
      </c>
      <c r="CG618" s="15"/>
      <c r="CH618" s="1"/>
      <c r="CI618" s="16"/>
      <c r="CJ618" s="54"/>
      <c r="CK618" s="13" t="str">
        <f>IF(CJ618="","",CJ618-CJ617)</f>
        <v/>
      </c>
      <c r="CL618" s="13"/>
      <c r="CM618" s="13"/>
      <c r="CN618" s="13"/>
      <c r="CO618" s="13" t="str">
        <f>IF(CN618="","",CN617+CP617-CN618)</f>
        <v/>
      </c>
      <c r="CP618" s="13"/>
      <c r="CQ618" s="13"/>
      <c r="CR618" s="13"/>
      <c r="CS618" s="13" t="str">
        <f t="shared" si="1020"/>
        <v/>
      </c>
      <c r="CT618" s="14" t="str">
        <f t="shared" si="1031"/>
        <v/>
      </c>
      <c r="CU618" s="15"/>
      <c r="CV618" s="1"/>
      <c r="CW618" s="16"/>
      <c r="CX618" s="54"/>
      <c r="CY618" s="13" t="str">
        <f>IF(CX618="","",CX618-CX617)</f>
        <v/>
      </c>
      <c r="CZ618" s="13"/>
      <c r="DA618" s="13"/>
      <c r="DB618" s="13"/>
      <c r="DC618" s="13" t="str">
        <f>IF(DB618="","",DB617+DD617-DB618)</f>
        <v/>
      </c>
      <c r="DD618" s="13"/>
      <c r="DE618" s="13"/>
      <c r="DF618" s="13"/>
      <c r="DG618" s="13" t="str">
        <f t="shared" si="1021"/>
        <v/>
      </c>
      <c r="DH618" s="14" t="str">
        <f t="shared" si="1022"/>
        <v/>
      </c>
      <c r="DI618" s="15"/>
      <c r="DJ618" s="1"/>
      <c r="DK618" s="16"/>
      <c r="DL618" s="54"/>
      <c r="DM618" s="13" t="str">
        <f>IF(DL618="","",DL618-DL617)</f>
        <v/>
      </c>
      <c r="DN618" s="13"/>
      <c r="DO618" s="13"/>
      <c r="DP618" s="13"/>
      <c r="DQ618" s="13" t="str">
        <f>IF(DP618="","",DP617+DR617-DP618)</f>
        <v/>
      </c>
      <c r="DR618" s="13"/>
      <c r="DS618" s="13"/>
      <c r="DT618" s="13"/>
      <c r="DU618" s="13" t="str">
        <f t="shared" si="1023"/>
        <v/>
      </c>
      <c r="DV618" s="14" t="str">
        <f t="shared" si="1024"/>
        <v/>
      </c>
      <c r="DW618" s="15"/>
    </row>
    <row r="619" spans="1:127" ht="15" customHeight="1" thickTop="1" x14ac:dyDescent="0.2">
      <c r="A619" s="16">
        <v>45933</v>
      </c>
      <c r="B619" s="74">
        <f>IF(A619="","",SUM(D619:D622)+SUM(R619:R622)+SUM(AF619:AF622)+SUM(AT619:AT622)+SUM(BW601,CK601,CY601,DM601))</f>
        <v>2207</v>
      </c>
      <c r="C619" s="13">
        <v>2623</v>
      </c>
      <c r="D619" s="53">
        <f t="shared" si="990"/>
        <v>57</v>
      </c>
      <c r="E619" s="13">
        <v>291</v>
      </c>
      <c r="F619" s="31">
        <f t="shared" si="991"/>
        <v>3</v>
      </c>
      <c r="G619" s="13">
        <v>7</v>
      </c>
      <c r="H619" s="53">
        <f t="shared" si="992"/>
        <v>3</v>
      </c>
      <c r="I619" s="17">
        <v>6</v>
      </c>
      <c r="J619" s="75" t="str">
        <f t="shared" si="1025"/>
        <v>ジャグラーサウンドボタン</v>
      </c>
      <c r="K619" s="76">
        <f t="shared" si="1026"/>
        <v>748</v>
      </c>
      <c r="L619" s="31">
        <f t="shared" si="995"/>
        <v>2244</v>
      </c>
      <c r="M619" s="32">
        <f t="shared" si="996"/>
        <v>0.3936842105263158</v>
      </c>
      <c r="N619" s="15"/>
      <c r="O619" s="2"/>
      <c r="P619" s="79">
        <f>IF($A619="","",$A619)</f>
        <v>45933</v>
      </c>
      <c r="Q619" s="13">
        <v>2266</v>
      </c>
      <c r="R619" s="53">
        <f t="shared" si="997"/>
        <v>121</v>
      </c>
      <c r="S619" s="13">
        <v>92</v>
      </c>
      <c r="T619" s="31">
        <f t="shared" si="998"/>
        <v>1</v>
      </c>
      <c r="U619" s="13">
        <v>7</v>
      </c>
      <c r="V619" s="53">
        <f t="shared" si="999"/>
        <v>1</v>
      </c>
      <c r="W619" s="17">
        <v>0</v>
      </c>
      <c r="X619" s="75" t="s">
        <v>293</v>
      </c>
      <c r="Y619" s="76">
        <v>500</v>
      </c>
      <c r="Z619" s="31">
        <f t="shared" si="1002"/>
        <v>500</v>
      </c>
      <c r="AA619" s="32">
        <f t="shared" si="1003"/>
        <v>4.1322314049586778E-2</v>
      </c>
      <c r="AB619" s="15" t="s">
        <v>321</v>
      </c>
      <c r="AC619" s="15"/>
      <c r="AD619" s="79">
        <f>IF($A619="","",$A619)</f>
        <v>45933</v>
      </c>
      <c r="AE619" s="13">
        <v>7837</v>
      </c>
      <c r="AF619" s="53">
        <f t="shared" si="1004"/>
        <v>69</v>
      </c>
      <c r="AG619" s="13">
        <v>177</v>
      </c>
      <c r="AH619" s="31">
        <f t="shared" si="1005"/>
        <v>1</v>
      </c>
      <c r="AI619" s="13">
        <v>14</v>
      </c>
      <c r="AJ619" s="53">
        <f t="shared" si="1006"/>
        <v>1</v>
      </c>
      <c r="AK619" s="17">
        <v>6</v>
      </c>
      <c r="AL619" s="75" t="str">
        <f t="shared" si="1029"/>
        <v>サンリオでかぱっちん</v>
      </c>
      <c r="AM619" s="76">
        <f t="shared" si="1030"/>
        <v>660</v>
      </c>
      <c r="AN619" s="31">
        <f t="shared" si="1009"/>
        <v>660</v>
      </c>
      <c r="AO619" s="32">
        <f t="shared" si="1010"/>
        <v>9.5652173913043481E-2</v>
      </c>
      <c r="AP619" s="15"/>
      <c r="AQ619" s="15"/>
      <c r="AR619" s="79">
        <f>IF($A619="","",$A619)</f>
        <v>45933</v>
      </c>
      <c r="AS619" s="13">
        <v>8389</v>
      </c>
      <c r="AT619" s="53">
        <f t="shared" si="1011"/>
        <v>51</v>
      </c>
      <c r="AU619" s="13">
        <v>245</v>
      </c>
      <c r="AV619" s="31">
        <f t="shared" si="1012"/>
        <v>2</v>
      </c>
      <c r="AW619" s="13">
        <v>23</v>
      </c>
      <c r="AX619" s="53">
        <f t="shared" si="1013"/>
        <v>2</v>
      </c>
      <c r="AY619" s="17">
        <v>0</v>
      </c>
      <c r="AZ619" s="75" t="str">
        <f t="shared" si="1014"/>
        <v>こびとづかんキーケース</v>
      </c>
      <c r="BA619" s="76">
        <f t="shared" si="1015"/>
        <v>726</v>
      </c>
      <c r="BB619" s="31">
        <f t="shared" si="1016"/>
        <v>1452</v>
      </c>
      <c r="BC619" s="32">
        <f t="shared" si="1017"/>
        <v>0.2847058823529412</v>
      </c>
      <c r="BD619" s="15"/>
      <c r="BT619" s="15"/>
      <c r="BU619" s="16"/>
      <c r="BV619" s="13"/>
      <c r="BW619" s="13" t="str">
        <f>IF(BV619="","",BV619-BV620)</f>
        <v/>
      </c>
      <c r="BX619" s="13"/>
      <c r="BY619" s="13" t="str">
        <f>IF(BX619="","",BX619-BX620)</f>
        <v/>
      </c>
      <c r="BZ619" s="13"/>
      <c r="CA619" s="13" t="str">
        <f>IF(BZ619="","",BZ620+CB620-BZ619)</f>
        <v/>
      </c>
      <c r="CB619" s="13"/>
      <c r="CC619" s="13"/>
      <c r="CD619" s="13"/>
      <c r="CE619" s="13" t="str">
        <f t="shared" si="1018"/>
        <v/>
      </c>
      <c r="CF619" s="14" t="str">
        <f t="shared" si="1019"/>
        <v/>
      </c>
      <c r="CG619" s="15"/>
      <c r="CH619" s="1"/>
      <c r="CI619" s="16"/>
      <c r="CJ619" s="13"/>
      <c r="CK619" s="13" t="str">
        <f>IF(CJ619="","",CJ619-CJ620)</f>
        <v/>
      </c>
      <c r="CL619" s="13"/>
      <c r="CM619" s="13" t="str">
        <f>IF(CL619="","",CL619-CL620)</f>
        <v/>
      </c>
      <c r="CN619" s="13"/>
      <c r="CO619" s="13" t="str">
        <f>IF(CN619="","",CN620+CP620-CN619)</f>
        <v/>
      </c>
      <c r="CP619" s="13"/>
      <c r="CQ619" s="13"/>
      <c r="CR619" s="13"/>
      <c r="CS619" s="13" t="str">
        <f t="shared" si="1020"/>
        <v/>
      </c>
      <c r="CT619" s="14" t="str">
        <f t="shared" si="1031"/>
        <v/>
      </c>
      <c r="CU619" s="15"/>
      <c r="CV619" s="1"/>
      <c r="CW619" s="16"/>
      <c r="CX619" s="13"/>
      <c r="CY619" s="13" t="str">
        <f>IF(CX619="","",CX619-CX620)</f>
        <v/>
      </c>
      <c r="CZ619" s="13"/>
      <c r="DA619" s="13" t="str">
        <f>IF(CZ619="","",CZ619-CZ620)</f>
        <v/>
      </c>
      <c r="DB619" s="13"/>
      <c r="DC619" s="13" t="str">
        <f>IF(DB619="","",DB620+DD620-DB619)</f>
        <v/>
      </c>
      <c r="DD619" s="13"/>
      <c r="DE619" s="13"/>
      <c r="DF619" s="13"/>
      <c r="DG619" s="13" t="str">
        <f t="shared" si="1021"/>
        <v/>
      </c>
      <c r="DH619" s="14" t="str">
        <f t="shared" si="1022"/>
        <v/>
      </c>
      <c r="DI619" s="15"/>
      <c r="DJ619" s="1"/>
      <c r="DK619" s="16"/>
      <c r="DL619" s="13"/>
      <c r="DM619" s="13" t="str">
        <f>IF(DL619="","",DL619-DL620)</f>
        <v/>
      </c>
      <c r="DN619" s="13"/>
      <c r="DO619" s="13" t="str">
        <f>IF(DN619="","",DN619-DN620)</f>
        <v/>
      </c>
      <c r="DP619" s="13"/>
      <c r="DQ619" s="13" t="str">
        <f>IF(DP619="","",DP620+DR620-DP619)</f>
        <v/>
      </c>
      <c r="DR619" s="13"/>
      <c r="DS619" s="13"/>
      <c r="DT619" s="13"/>
      <c r="DU619" s="13" t="str">
        <f t="shared" si="1023"/>
        <v/>
      </c>
      <c r="DV619" s="14" t="str">
        <f t="shared" si="1024"/>
        <v/>
      </c>
      <c r="DW619" s="15"/>
    </row>
    <row r="620" spans="1:127" ht="15" customHeight="1" x14ac:dyDescent="0.2">
      <c r="A620" s="79"/>
      <c r="B620" s="11"/>
      <c r="C620" s="53">
        <v>1825</v>
      </c>
      <c r="D620" s="13">
        <f t="shared" si="990"/>
        <v>68</v>
      </c>
      <c r="E620" s="53">
        <v>305</v>
      </c>
      <c r="F620" s="13">
        <f t="shared" si="991"/>
        <v>1</v>
      </c>
      <c r="G620" s="13">
        <v>10</v>
      </c>
      <c r="H620" s="13">
        <f t="shared" si="992"/>
        <v>1</v>
      </c>
      <c r="I620" s="17">
        <v>1</v>
      </c>
      <c r="J620" s="56" t="str">
        <f t="shared" si="1025"/>
        <v>液晶デジカメ</v>
      </c>
      <c r="K620" s="54">
        <f t="shared" si="1026"/>
        <v>1075</v>
      </c>
      <c r="L620" s="13">
        <f t="shared" si="995"/>
        <v>1075</v>
      </c>
      <c r="M620" s="14">
        <f t="shared" si="996"/>
        <v>0.15808823529411764</v>
      </c>
      <c r="N620" s="15" t="s">
        <v>322</v>
      </c>
      <c r="O620" s="2"/>
      <c r="P620" s="79" t="str">
        <f>IF(A620="","",A620)</f>
        <v/>
      </c>
      <c r="Q620" s="53">
        <v>2213</v>
      </c>
      <c r="R620" s="13">
        <f t="shared" si="997"/>
        <v>117</v>
      </c>
      <c r="S620" s="53">
        <v>76</v>
      </c>
      <c r="T620" s="13">
        <f t="shared" si="998"/>
        <v>1</v>
      </c>
      <c r="U620" s="13">
        <v>12</v>
      </c>
      <c r="V620" s="13">
        <f t="shared" si="999"/>
        <v>1</v>
      </c>
      <c r="W620" s="17">
        <v>6</v>
      </c>
      <c r="X620" s="56" t="str">
        <f t="shared" si="1027"/>
        <v>LOTTEチョコイヤホン</v>
      </c>
      <c r="Y620" s="54">
        <f t="shared" si="1028"/>
        <v>1100</v>
      </c>
      <c r="Z620" s="13">
        <f t="shared" si="1002"/>
        <v>1100</v>
      </c>
      <c r="AA620" s="14">
        <f t="shared" si="1003"/>
        <v>9.4017094017094016E-2</v>
      </c>
      <c r="AB620" s="15"/>
      <c r="AC620" s="15"/>
      <c r="AD620" s="79" t="str">
        <f>IF(O620="","",O620)</f>
        <v/>
      </c>
      <c r="AE620" s="53">
        <v>7181</v>
      </c>
      <c r="AF620" s="13">
        <f t="shared" si="1004"/>
        <v>201</v>
      </c>
      <c r="AG620" s="53">
        <v>166</v>
      </c>
      <c r="AH620" s="13">
        <f t="shared" si="1005"/>
        <v>7</v>
      </c>
      <c r="AI620" s="13">
        <v>4</v>
      </c>
      <c r="AJ620" s="13">
        <f t="shared" si="1006"/>
        <v>7</v>
      </c>
      <c r="AK620" s="17">
        <v>11</v>
      </c>
      <c r="AL620" s="56" t="str">
        <f t="shared" si="1029"/>
        <v>キティヒョウ柄マスコット</v>
      </c>
      <c r="AM620" s="54">
        <f t="shared" si="1030"/>
        <v>996</v>
      </c>
      <c r="AN620" s="13">
        <f t="shared" si="1009"/>
        <v>6972</v>
      </c>
      <c r="AO620" s="14">
        <f t="shared" si="1010"/>
        <v>0.34686567164179105</v>
      </c>
      <c r="AP620" s="15" t="s">
        <v>200</v>
      </c>
      <c r="AQ620" s="15"/>
      <c r="AR620" s="79" t="str">
        <f>IF(AC620="","",AC620)</f>
        <v/>
      </c>
      <c r="AS620" s="53">
        <v>5778</v>
      </c>
      <c r="AT620" s="13">
        <f t="shared" si="1011"/>
        <v>51</v>
      </c>
      <c r="AU620" s="53">
        <v>279</v>
      </c>
      <c r="AV620" s="13">
        <f t="shared" si="1012"/>
        <v>2</v>
      </c>
      <c r="AW620" s="13">
        <v>30</v>
      </c>
      <c r="AX620" s="13">
        <f t="shared" si="1013"/>
        <v>2</v>
      </c>
      <c r="AY620" s="17">
        <v>0</v>
      </c>
      <c r="AZ620" s="56" t="str">
        <f t="shared" si="1014"/>
        <v>ねこアイシャドウ</v>
      </c>
      <c r="BA620" s="54">
        <f t="shared" si="1015"/>
        <v>1000</v>
      </c>
      <c r="BB620" s="13">
        <f t="shared" si="1016"/>
        <v>2000</v>
      </c>
      <c r="BC620" s="14">
        <f t="shared" si="1017"/>
        <v>0.39215686274509803</v>
      </c>
      <c r="BD620" s="15"/>
      <c r="BT620" s="15"/>
      <c r="BU620" s="16"/>
      <c r="BV620" s="13"/>
      <c r="BW620" s="13" t="str">
        <f>IF(BV620="","",BV620-BV618)</f>
        <v/>
      </c>
      <c r="BX620" s="13"/>
      <c r="BY620" s="13" t="str">
        <f>IF(BX620="","",BX620-BX618)</f>
        <v/>
      </c>
      <c r="BZ620" s="13"/>
      <c r="CA620" s="13" t="str">
        <f>IF(BZ620="","",BZ618+CB618-BZ620)</f>
        <v/>
      </c>
      <c r="CB620" s="13"/>
      <c r="CC620" s="13"/>
      <c r="CD620" s="13"/>
      <c r="CE620" s="13" t="str">
        <f t="shared" si="1018"/>
        <v/>
      </c>
      <c r="CF620" s="14" t="str">
        <f t="shared" si="1019"/>
        <v/>
      </c>
      <c r="CG620" s="15"/>
      <c r="CH620" s="1"/>
      <c r="CI620" s="16"/>
      <c r="CJ620" s="13"/>
      <c r="CK620" s="13" t="str">
        <f>IF(CJ620="","",CJ620-CJ618)</f>
        <v/>
      </c>
      <c r="CL620" s="13"/>
      <c r="CM620" s="13" t="str">
        <f>IF(CL620="","",CL620-CL618)</f>
        <v/>
      </c>
      <c r="CN620" s="13"/>
      <c r="CO620" s="13" t="str">
        <f>IF(CN620="","",CN618+CP618-CN620)</f>
        <v/>
      </c>
      <c r="CP620" s="13"/>
      <c r="CQ620" s="13"/>
      <c r="CR620" s="13"/>
      <c r="CS620" s="13" t="str">
        <f t="shared" si="1020"/>
        <v/>
      </c>
      <c r="CT620" s="14" t="str">
        <f t="shared" si="1031"/>
        <v/>
      </c>
      <c r="CU620" s="15"/>
      <c r="CV620" s="1"/>
      <c r="CW620" s="16"/>
      <c r="CX620" s="13"/>
      <c r="CY620" s="13" t="str">
        <f>IF(CX620="","",CX620-CX618)</f>
        <v/>
      </c>
      <c r="CZ620" s="13"/>
      <c r="DA620" s="13" t="str">
        <f>IF(CZ620="","",CZ620-CZ618)</f>
        <v/>
      </c>
      <c r="DB620" s="13"/>
      <c r="DC620" s="13" t="str">
        <f>IF(DB620="","",DB618+DD618-DB620)</f>
        <v/>
      </c>
      <c r="DD620" s="13"/>
      <c r="DE620" s="13"/>
      <c r="DF620" s="13"/>
      <c r="DG620" s="13" t="str">
        <f t="shared" si="1021"/>
        <v/>
      </c>
      <c r="DH620" s="14" t="str">
        <f t="shared" si="1022"/>
        <v/>
      </c>
      <c r="DI620" s="15"/>
      <c r="DJ620" s="1"/>
      <c r="DK620" s="16"/>
      <c r="DL620" s="13"/>
      <c r="DM620" s="13" t="str">
        <f>IF(DL620="","",DL620-DL618)</f>
        <v/>
      </c>
      <c r="DN620" s="13"/>
      <c r="DO620" s="13" t="str">
        <f>IF(DN620="","",DN620-DN618)</f>
        <v/>
      </c>
      <c r="DP620" s="13"/>
      <c r="DQ620" s="13" t="str">
        <f>IF(DP620="","",DP618+DR618-DP620)</f>
        <v/>
      </c>
      <c r="DR620" s="13"/>
      <c r="DS620" s="13"/>
      <c r="DT620" s="13"/>
      <c r="DU620" s="13" t="str">
        <f t="shared" si="1023"/>
        <v/>
      </c>
      <c r="DV620" s="14" t="str">
        <f t="shared" si="1024"/>
        <v/>
      </c>
      <c r="DW620" s="15"/>
    </row>
    <row r="621" spans="1:127" ht="15" customHeight="1" x14ac:dyDescent="0.2">
      <c r="A621" s="16"/>
      <c r="B621" s="11"/>
      <c r="C621" s="13">
        <v>7108</v>
      </c>
      <c r="D621" s="13">
        <f t="shared" si="990"/>
        <v>193</v>
      </c>
      <c r="E621" s="13">
        <v>449</v>
      </c>
      <c r="F621" s="13">
        <f t="shared" si="991"/>
        <v>11</v>
      </c>
      <c r="G621" s="13">
        <v>143</v>
      </c>
      <c r="H621" s="13">
        <f t="shared" si="992"/>
        <v>11</v>
      </c>
      <c r="I621" s="17">
        <v>8</v>
      </c>
      <c r="J621" s="56" t="str">
        <f>IF(C621="","",J617)</f>
        <v>AIモンスタラバー</v>
      </c>
      <c r="K621" s="13">
        <f t="shared" si="1026"/>
        <v>200</v>
      </c>
      <c r="L621" s="13">
        <f t="shared" si="995"/>
        <v>2200</v>
      </c>
      <c r="M621" s="14">
        <f t="shared" si="996"/>
        <v>0.11398963730569948</v>
      </c>
      <c r="N621" s="15"/>
      <c r="O621" s="2"/>
      <c r="P621" s="16"/>
      <c r="Q621" s="13">
        <v>4863</v>
      </c>
      <c r="R621" s="13">
        <f t="shared" si="997"/>
        <v>53</v>
      </c>
      <c r="S621" s="13">
        <v>71</v>
      </c>
      <c r="T621" s="13">
        <f t="shared" si="998"/>
        <v>0</v>
      </c>
      <c r="U621" s="13">
        <v>64</v>
      </c>
      <c r="V621" s="13">
        <f t="shared" si="999"/>
        <v>0</v>
      </c>
      <c r="W621" s="17">
        <v>0</v>
      </c>
      <c r="X621" s="56" t="s">
        <v>332</v>
      </c>
      <c r="Y621" s="13">
        <v>100</v>
      </c>
      <c r="Z621" s="13">
        <f t="shared" si="1002"/>
        <v>0</v>
      </c>
      <c r="AA621" s="14">
        <f t="shared" si="1003"/>
        <v>0</v>
      </c>
      <c r="AB621" s="15" t="s">
        <v>323</v>
      </c>
      <c r="AC621" s="15"/>
      <c r="AD621" s="16"/>
      <c r="AE621" s="13">
        <v>7973</v>
      </c>
      <c r="AF621" s="13">
        <f t="shared" si="1004"/>
        <v>275</v>
      </c>
      <c r="AG621" s="13">
        <v>269</v>
      </c>
      <c r="AH621" s="13">
        <f t="shared" si="1005"/>
        <v>2</v>
      </c>
      <c r="AI621" s="13">
        <v>17</v>
      </c>
      <c r="AJ621" s="13">
        <f t="shared" si="1006"/>
        <v>3</v>
      </c>
      <c r="AK621" s="17">
        <v>16</v>
      </c>
      <c r="AL621" s="56" t="str">
        <f t="shared" si="1029"/>
        <v>ラブブキーホルダー</v>
      </c>
      <c r="AM621" s="13">
        <f t="shared" si="1030"/>
        <v>400</v>
      </c>
      <c r="AN621" s="13">
        <f t="shared" si="1009"/>
        <v>1200</v>
      </c>
      <c r="AO621" s="14">
        <f t="shared" si="1010"/>
        <v>4.363636363636364E-2</v>
      </c>
      <c r="AP621" s="15"/>
      <c r="AQ621" s="15"/>
      <c r="AR621" s="16"/>
      <c r="AS621" s="13">
        <v>9673</v>
      </c>
      <c r="AT621" s="13">
        <f t="shared" si="1011"/>
        <v>91</v>
      </c>
      <c r="AU621" s="13">
        <v>382</v>
      </c>
      <c r="AV621" s="13">
        <f t="shared" si="1012"/>
        <v>1</v>
      </c>
      <c r="AW621" s="13">
        <v>9</v>
      </c>
      <c r="AX621" s="13">
        <f t="shared" si="1013"/>
        <v>1</v>
      </c>
      <c r="AY621" s="17">
        <v>1</v>
      </c>
      <c r="AZ621" s="56" t="str">
        <f t="shared" si="1014"/>
        <v>モンチッチマスコット</v>
      </c>
      <c r="BA621" s="13">
        <f t="shared" si="1015"/>
        <v>528</v>
      </c>
      <c r="BB621" s="13">
        <f t="shared" si="1016"/>
        <v>528</v>
      </c>
      <c r="BC621" s="14">
        <f t="shared" si="1017"/>
        <v>5.8021978021978025E-2</v>
      </c>
      <c r="BD621" s="15"/>
      <c r="BT621" s="15"/>
      <c r="BU621" s="16"/>
      <c r="BV621" s="54"/>
      <c r="BW621" s="13" t="str">
        <f>IF(BV621="","",BV621-BV619)</f>
        <v/>
      </c>
      <c r="BX621" s="13"/>
      <c r="BY621" s="13"/>
      <c r="BZ621" s="13"/>
      <c r="CA621" s="13" t="str">
        <f>IF(BZ621="","",BZ619+CB619-BZ621)</f>
        <v/>
      </c>
      <c r="CB621" s="13"/>
      <c r="CC621" s="13"/>
      <c r="CD621" s="13"/>
      <c r="CE621" s="13" t="str">
        <f t="shared" si="1018"/>
        <v/>
      </c>
      <c r="CF621" s="14" t="str">
        <f t="shared" si="1019"/>
        <v/>
      </c>
      <c r="CG621" s="15"/>
      <c r="CH621" s="1"/>
      <c r="CI621" s="16"/>
      <c r="CJ621" s="54"/>
      <c r="CK621" s="13" t="str">
        <f>IF(CJ621="","",CJ621-CJ619)</f>
        <v/>
      </c>
      <c r="CL621" s="13"/>
      <c r="CM621" s="13"/>
      <c r="CN621" s="13"/>
      <c r="CO621" s="13" t="str">
        <f>IF(CN621="","",CN619+CP619-CN621)</f>
        <v/>
      </c>
      <c r="CP621" s="13"/>
      <c r="CQ621" s="13"/>
      <c r="CR621" s="13"/>
      <c r="CS621" s="13" t="str">
        <f t="shared" si="1020"/>
        <v/>
      </c>
      <c r="CT621" s="14" t="str">
        <f t="shared" si="1031"/>
        <v/>
      </c>
      <c r="CU621" s="15"/>
      <c r="CV621" s="1"/>
      <c r="CW621" s="16"/>
      <c r="CX621" s="54"/>
      <c r="CY621" s="13" t="str">
        <f>IF(CX621="","",CX621-CX619)</f>
        <v/>
      </c>
      <c r="CZ621" s="13"/>
      <c r="DA621" s="13"/>
      <c r="DB621" s="13"/>
      <c r="DC621" s="13" t="str">
        <f>IF(DB621="","",DB619+DD619-DB621)</f>
        <v/>
      </c>
      <c r="DD621" s="13"/>
      <c r="DE621" s="13"/>
      <c r="DF621" s="13"/>
      <c r="DG621" s="13" t="str">
        <f t="shared" si="1021"/>
        <v/>
      </c>
      <c r="DH621" s="14" t="str">
        <f t="shared" si="1022"/>
        <v/>
      </c>
      <c r="DI621" s="15"/>
      <c r="DJ621" s="1"/>
      <c r="DK621" s="16"/>
      <c r="DL621" s="54"/>
      <c r="DM621" s="13" t="str">
        <f>IF(DL621="","",DL621-DL619)</f>
        <v/>
      </c>
      <c r="DN621" s="13"/>
      <c r="DO621" s="13"/>
      <c r="DP621" s="13"/>
      <c r="DQ621" s="13" t="str">
        <f>IF(DP621="","",DP619+DR619-DP621)</f>
        <v/>
      </c>
      <c r="DR621" s="13"/>
      <c r="DS621" s="13"/>
      <c r="DT621" s="13"/>
      <c r="DU621" s="13" t="str">
        <f t="shared" si="1023"/>
        <v/>
      </c>
      <c r="DV621" s="14" t="str">
        <f t="shared" si="1024"/>
        <v/>
      </c>
      <c r="DW621" s="15"/>
    </row>
    <row r="622" spans="1:127" ht="15" customHeight="1" thickBot="1" x14ac:dyDescent="0.25">
      <c r="A622" s="26"/>
      <c r="B622" s="46"/>
      <c r="C622" s="27">
        <v>3418</v>
      </c>
      <c r="D622" s="27">
        <f t="shared" si="990"/>
        <v>88</v>
      </c>
      <c r="E622" s="27">
        <v>379</v>
      </c>
      <c r="F622" s="27">
        <f t="shared" si="991"/>
        <v>0</v>
      </c>
      <c r="G622" s="27">
        <v>38</v>
      </c>
      <c r="H622" s="27">
        <f t="shared" si="992"/>
        <v>0</v>
      </c>
      <c r="I622" s="47">
        <v>5</v>
      </c>
      <c r="J622" s="57" t="str">
        <f t="shared" si="1025"/>
        <v>NICIマスコット</v>
      </c>
      <c r="K622" s="62">
        <f t="shared" si="1026"/>
        <v>900</v>
      </c>
      <c r="L622" s="27">
        <f t="shared" si="995"/>
        <v>0</v>
      </c>
      <c r="M622" s="28">
        <f t="shared" si="996"/>
        <v>0</v>
      </c>
      <c r="N622" s="15"/>
      <c r="O622" s="2"/>
      <c r="P622" s="26"/>
      <c r="Q622" s="27">
        <v>4187</v>
      </c>
      <c r="R622" s="27">
        <f t="shared" si="997"/>
        <v>56</v>
      </c>
      <c r="S622" s="27">
        <v>76</v>
      </c>
      <c r="T622" s="27">
        <f t="shared" si="998"/>
        <v>0</v>
      </c>
      <c r="U622" s="27">
        <v>13</v>
      </c>
      <c r="V622" s="27">
        <f t="shared" si="999"/>
        <v>0</v>
      </c>
      <c r="W622" s="47">
        <v>3</v>
      </c>
      <c r="X622" s="57" t="str">
        <f t="shared" si="1027"/>
        <v>ＡＩマスコット</v>
      </c>
      <c r="Y622" s="62">
        <f t="shared" si="1028"/>
        <v>286</v>
      </c>
      <c r="Z622" s="27">
        <f t="shared" si="1002"/>
        <v>0</v>
      </c>
      <c r="AA622" s="28">
        <f t="shared" si="1003"/>
        <v>0</v>
      </c>
      <c r="AB622" s="15"/>
      <c r="AC622" s="15"/>
      <c r="AD622" s="26"/>
      <c r="AE622" s="27">
        <v>8792</v>
      </c>
      <c r="AF622" s="27">
        <f t="shared" si="1004"/>
        <v>86</v>
      </c>
      <c r="AG622" s="27">
        <v>247</v>
      </c>
      <c r="AH622" s="27">
        <f t="shared" si="1005"/>
        <v>3</v>
      </c>
      <c r="AI622" s="27">
        <v>10</v>
      </c>
      <c r="AJ622" s="27">
        <f t="shared" si="1006"/>
        <v>3</v>
      </c>
      <c r="AK622" s="47">
        <v>4</v>
      </c>
      <c r="AL622" s="57" t="str">
        <f t="shared" si="1029"/>
        <v>しなこくま</v>
      </c>
      <c r="AM622" s="62">
        <f t="shared" si="1030"/>
        <v>528</v>
      </c>
      <c r="AN622" s="27">
        <f t="shared" si="1009"/>
        <v>1584</v>
      </c>
      <c r="AO622" s="28">
        <f t="shared" si="1010"/>
        <v>0.1841860465116279</v>
      </c>
      <c r="AP622" s="15"/>
      <c r="AQ622" s="15"/>
      <c r="AR622" s="26"/>
      <c r="AS622" s="27">
        <v>8762</v>
      </c>
      <c r="AT622" s="27">
        <f t="shared" si="1011"/>
        <v>29</v>
      </c>
      <c r="AU622" s="27">
        <v>348</v>
      </c>
      <c r="AV622" s="27">
        <f t="shared" si="1012"/>
        <v>3</v>
      </c>
      <c r="AW622" s="27">
        <v>10</v>
      </c>
      <c r="AX622" s="27">
        <f t="shared" si="1013"/>
        <v>3</v>
      </c>
      <c r="AY622" s="47">
        <v>13</v>
      </c>
      <c r="AZ622" s="57" t="str">
        <f t="shared" si="1014"/>
        <v>サンリオミニリュック</v>
      </c>
      <c r="BA622" s="62">
        <f t="shared" si="1015"/>
        <v>600</v>
      </c>
      <c r="BB622" s="27">
        <f t="shared" si="1016"/>
        <v>1800</v>
      </c>
      <c r="BC622" s="28">
        <f t="shared" si="1017"/>
        <v>0.62068965517241381</v>
      </c>
      <c r="BD622" s="15" t="s">
        <v>320</v>
      </c>
      <c r="BT622" s="15"/>
      <c r="BU622" s="16"/>
      <c r="BV622" s="54"/>
      <c r="BW622" s="13" t="str">
        <f t="shared" ref="BW622:BW642" si="1032">IF(BV622="","",BV622-BV621)</f>
        <v/>
      </c>
      <c r="BX622" s="13"/>
      <c r="BY622" s="13"/>
      <c r="BZ622" s="13"/>
      <c r="CA622" s="13" t="str">
        <f t="shared" ref="CA622:CA642" si="1033">IF(BZ622="","",BZ621+CB621-BZ622)</f>
        <v/>
      </c>
      <c r="CB622" s="13"/>
      <c r="CC622" s="13"/>
      <c r="CD622" s="13"/>
      <c r="CE622" s="13" t="str">
        <f t="shared" si="1018"/>
        <v/>
      </c>
      <c r="CF622" s="14" t="str">
        <f t="shared" si="1019"/>
        <v/>
      </c>
      <c r="CG622" s="15"/>
      <c r="CH622" s="1"/>
      <c r="CI622" s="16"/>
      <c r="CJ622" s="54"/>
      <c r="CK622" s="13" t="str">
        <f t="shared" ref="CK622:CK642" si="1034">IF(CJ622="","",CJ622-CJ621)</f>
        <v/>
      </c>
      <c r="CL622" s="13"/>
      <c r="CM622" s="13"/>
      <c r="CN622" s="13"/>
      <c r="CO622" s="13" t="str">
        <f t="shared" ref="CO622:CO642" si="1035">IF(CN622="","",CN621+CP621-CN622)</f>
        <v/>
      </c>
      <c r="CP622" s="13"/>
      <c r="CQ622" s="13"/>
      <c r="CR622" s="13"/>
      <c r="CS622" s="13" t="str">
        <f t="shared" si="1020"/>
        <v/>
      </c>
      <c r="CT622" s="14" t="str">
        <f t="shared" si="1031"/>
        <v/>
      </c>
      <c r="CU622" s="15"/>
      <c r="CV622" s="1"/>
      <c r="CW622" s="16"/>
      <c r="CX622" s="54"/>
      <c r="CY622" s="13" t="str">
        <f t="shared" ref="CY622:CY642" si="1036">IF(CX622="","",CX622-CX621)</f>
        <v/>
      </c>
      <c r="CZ622" s="13"/>
      <c r="DA622" s="13"/>
      <c r="DB622" s="13"/>
      <c r="DC622" s="13" t="str">
        <f t="shared" ref="DC622:DC642" si="1037">IF(DB622="","",DB621+DD621-DB622)</f>
        <v/>
      </c>
      <c r="DD622" s="13"/>
      <c r="DE622" s="13"/>
      <c r="DF622" s="13"/>
      <c r="DG622" s="13" t="str">
        <f t="shared" si="1021"/>
        <v/>
      </c>
      <c r="DH622" s="14" t="str">
        <f t="shared" si="1022"/>
        <v/>
      </c>
      <c r="DI622" s="15"/>
      <c r="DJ622" s="1"/>
      <c r="DK622" s="16"/>
      <c r="DL622" s="54"/>
      <c r="DM622" s="13" t="str">
        <f t="shared" ref="DM622:DM642" si="1038">IF(DL622="","",DL622-DL621)</f>
        <v/>
      </c>
      <c r="DN622" s="13"/>
      <c r="DO622" s="13"/>
      <c r="DP622" s="13"/>
      <c r="DQ622" s="13" t="str">
        <f t="shared" ref="DQ622:DQ642" si="1039">IF(DP622="","",DP621+DR621-DP622)</f>
        <v/>
      </c>
      <c r="DR622" s="13"/>
      <c r="DS622" s="13"/>
      <c r="DT622" s="13"/>
      <c r="DU622" s="13" t="str">
        <f t="shared" si="1023"/>
        <v/>
      </c>
      <c r="DV622" s="14" t="str">
        <f t="shared" si="1024"/>
        <v/>
      </c>
      <c r="DW622" s="15"/>
    </row>
    <row r="623" spans="1:127" ht="15" customHeight="1" thickTop="1" x14ac:dyDescent="0.2">
      <c r="A623" s="79">
        <v>45936</v>
      </c>
      <c r="B623" s="74">
        <f>IF(A623="","",SUM(D623:D626)+SUM(R623:R626)+SUM(AF623:AF626)+SUM(AT623:AT626)+SUM(BW602,CK602,CY602,DM602))</f>
        <v>3591</v>
      </c>
      <c r="C623" s="13">
        <v>2763</v>
      </c>
      <c r="D623" s="53">
        <f t="shared" si="990"/>
        <v>140</v>
      </c>
      <c r="E623" s="13">
        <v>292</v>
      </c>
      <c r="F623" s="31">
        <f t="shared" si="991"/>
        <v>1</v>
      </c>
      <c r="G623" s="13">
        <v>11</v>
      </c>
      <c r="H623" s="53">
        <f t="shared" si="992"/>
        <v>2</v>
      </c>
      <c r="I623" s="80">
        <v>4</v>
      </c>
      <c r="J623" s="75" t="str">
        <f t="shared" si="1025"/>
        <v>ジャグラーサウンドボタン</v>
      </c>
      <c r="K623" s="76">
        <f t="shared" si="1026"/>
        <v>748</v>
      </c>
      <c r="L623" s="31">
        <f t="shared" si="995"/>
        <v>1496</v>
      </c>
      <c r="M623" s="32">
        <f t="shared" si="996"/>
        <v>0.10685714285714286</v>
      </c>
      <c r="N623" s="15"/>
      <c r="O623" s="2"/>
      <c r="P623" s="79">
        <f>IF($A623="","",$A623)</f>
        <v>45936</v>
      </c>
      <c r="Q623" s="13">
        <v>2324</v>
      </c>
      <c r="R623" s="53">
        <f t="shared" si="997"/>
        <v>58</v>
      </c>
      <c r="S623" s="13">
        <v>94</v>
      </c>
      <c r="T623" s="31">
        <f t="shared" si="998"/>
        <v>2</v>
      </c>
      <c r="U623" s="13">
        <v>5</v>
      </c>
      <c r="V623" s="53">
        <f t="shared" si="999"/>
        <v>2</v>
      </c>
      <c r="W623" s="80">
        <v>2</v>
      </c>
      <c r="X623" s="75" t="s">
        <v>166</v>
      </c>
      <c r="Y623" s="76"/>
      <c r="Z623" s="31">
        <f t="shared" si="1002"/>
        <v>0</v>
      </c>
      <c r="AA623" s="32">
        <f t="shared" si="1003"/>
        <v>0</v>
      </c>
      <c r="AB623" s="15" t="s">
        <v>326</v>
      </c>
      <c r="AC623" s="15"/>
      <c r="AD623" s="79">
        <f>IF($A623="","",$A623)</f>
        <v>45936</v>
      </c>
      <c r="AE623" s="13">
        <v>7854</v>
      </c>
      <c r="AF623" s="53">
        <f t="shared" si="1004"/>
        <v>17</v>
      </c>
      <c r="AG623" s="13">
        <v>179</v>
      </c>
      <c r="AH623" s="31">
        <f t="shared" si="1005"/>
        <v>2</v>
      </c>
      <c r="AI623" s="13">
        <v>18</v>
      </c>
      <c r="AJ623" s="53">
        <f t="shared" si="1006"/>
        <v>2</v>
      </c>
      <c r="AK623" s="80">
        <v>0</v>
      </c>
      <c r="AL623" s="135" t="str">
        <f t="shared" si="1029"/>
        <v>サンリオでかぱっちん</v>
      </c>
      <c r="AM623" s="76">
        <f t="shared" si="1030"/>
        <v>660</v>
      </c>
      <c r="AN623" s="31">
        <f t="shared" si="1009"/>
        <v>1320</v>
      </c>
      <c r="AO623" s="32">
        <f t="shared" si="1010"/>
        <v>0.77647058823529413</v>
      </c>
      <c r="AP623" s="15"/>
      <c r="AQ623" s="15"/>
      <c r="AR623" s="79">
        <f>IF($A623="","",$A623)</f>
        <v>45936</v>
      </c>
      <c r="AS623" s="13">
        <v>8460</v>
      </c>
      <c r="AT623" s="53">
        <f t="shared" si="1011"/>
        <v>71</v>
      </c>
      <c r="AU623" s="13">
        <v>249</v>
      </c>
      <c r="AV623" s="31">
        <f t="shared" si="1012"/>
        <v>4</v>
      </c>
      <c r="AW623" s="13">
        <v>19</v>
      </c>
      <c r="AX623" s="53">
        <f t="shared" si="1013"/>
        <v>4</v>
      </c>
      <c r="AY623" s="80">
        <v>4</v>
      </c>
      <c r="AZ623" s="75" t="str">
        <f t="shared" si="1014"/>
        <v>こびとづかんキーケース</v>
      </c>
      <c r="BA623" s="76">
        <f t="shared" si="1015"/>
        <v>726</v>
      </c>
      <c r="BB623" s="31">
        <f t="shared" si="1016"/>
        <v>2904</v>
      </c>
      <c r="BC623" s="32">
        <f t="shared" si="1017"/>
        <v>0.40901408450704224</v>
      </c>
      <c r="BD623" s="15"/>
      <c r="BT623" s="15"/>
      <c r="BU623" s="16"/>
      <c r="BV623" s="54"/>
      <c r="BW623" s="13" t="str">
        <f t="shared" si="1032"/>
        <v/>
      </c>
      <c r="BX623" s="13"/>
      <c r="BY623" s="13"/>
      <c r="BZ623" s="13"/>
      <c r="CA623" s="13" t="str">
        <f t="shared" si="1033"/>
        <v/>
      </c>
      <c r="CB623" s="13"/>
      <c r="CC623" s="13"/>
      <c r="CD623" s="13"/>
      <c r="CE623" s="13" t="str">
        <f t="shared" si="1018"/>
        <v/>
      </c>
      <c r="CF623" s="14" t="str">
        <f t="shared" si="1019"/>
        <v/>
      </c>
      <c r="CG623" s="15"/>
      <c r="CH623" s="1"/>
      <c r="CI623" s="16"/>
      <c r="CJ623" s="54"/>
      <c r="CK623" s="13" t="str">
        <f t="shared" si="1034"/>
        <v/>
      </c>
      <c r="CL623" s="13"/>
      <c r="CM623" s="13"/>
      <c r="CN623" s="13"/>
      <c r="CO623" s="13" t="str">
        <f t="shared" si="1035"/>
        <v/>
      </c>
      <c r="CP623" s="13"/>
      <c r="CQ623" s="13"/>
      <c r="CR623" s="13"/>
      <c r="CS623" s="13" t="str">
        <f t="shared" si="1020"/>
        <v/>
      </c>
      <c r="CT623" s="14" t="str">
        <f t="shared" si="1031"/>
        <v/>
      </c>
      <c r="CU623" s="15"/>
      <c r="CV623" s="1"/>
      <c r="CW623" s="16"/>
      <c r="CX623" s="54"/>
      <c r="CY623" s="13" t="str">
        <f t="shared" si="1036"/>
        <v/>
      </c>
      <c r="CZ623" s="13"/>
      <c r="DA623" s="13"/>
      <c r="DB623" s="13"/>
      <c r="DC623" s="13" t="str">
        <f t="shared" si="1037"/>
        <v/>
      </c>
      <c r="DD623" s="13"/>
      <c r="DE623" s="13"/>
      <c r="DF623" s="13"/>
      <c r="DG623" s="13" t="str">
        <f t="shared" si="1021"/>
        <v/>
      </c>
      <c r="DH623" s="14" t="str">
        <f t="shared" si="1022"/>
        <v/>
      </c>
      <c r="DI623" s="15"/>
      <c r="DJ623" s="1"/>
      <c r="DK623" s="16"/>
      <c r="DL623" s="54"/>
      <c r="DM623" s="13" t="str">
        <f t="shared" si="1038"/>
        <v/>
      </c>
      <c r="DN623" s="13"/>
      <c r="DO623" s="13"/>
      <c r="DP623" s="13"/>
      <c r="DQ623" s="13" t="str">
        <f t="shared" si="1039"/>
        <v/>
      </c>
      <c r="DR623" s="13"/>
      <c r="DS623" s="13"/>
      <c r="DT623" s="13"/>
      <c r="DU623" s="13" t="str">
        <f t="shared" si="1023"/>
        <v/>
      </c>
      <c r="DV623" s="14" t="str">
        <f t="shared" si="1024"/>
        <v/>
      </c>
      <c r="DW623" s="15"/>
    </row>
    <row r="624" spans="1:127" ht="15" customHeight="1" x14ac:dyDescent="0.2">
      <c r="A624" s="121"/>
      <c r="B624" s="74"/>
      <c r="C624" s="53">
        <v>1982</v>
      </c>
      <c r="D624" s="13">
        <f t="shared" si="990"/>
        <v>157</v>
      </c>
      <c r="E624" s="53">
        <v>312</v>
      </c>
      <c r="F624" s="13">
        <f t="shared" si="991"/>
        <v>7</v>
      </c>
      <c r="G624" s="13">
        <v>4</v>
      </c>
      <c r="H624" s="13">
        <f t="shared" si="992"/>
        <v>7</v>
      </c>
      <c r="I624" s="17">
        <v>4</v>
      </c>
      <c r="J624" s="56" t="str">
        <f t="shared" si="1025"/>
        <v>液晶デジカメ</v>
      </c>
      <c r="K624" s="54">
        <f t="shared" si="1026"/>
        <v>1075</v>
      </c>
      <c r="L624" s="13">
        <f t="shared" si="995"/>
        <v>7525</v>
      </c>
      <c r="M624" s="14">
        <f t="shared" si="996"/>
        <v>0.47929936305732485</v>
      </c>
      <c r="N624" s="15" t="s">
        <v>324</v>
      </c>
      <c r="O624" s="2"/>
      <c r="P624" s="16"/>
      <c r="Q624" s="53">
        <v>2297</v>
      </c>
      <c r="R624" s="13">
        <f t="shared" si="997"/>
        <v>84</v>
      </c>
      <c r="S624" s="53">
        <v>79</v>
      </c>
      <c r="T624" s="13">
        <f t="shared" si="998"/>
        <v>3</v>
      </c>
      <c r="U624" s="13">
        <v>15</v>
      </c>
      <c r="V624" s="13">
        <f t="shared" si="999"/>
        <v>3</v>
      </c>
      <c r="W624" s="17">
        <v>0</v>
      </c>
      <c r="X624" s="56" t="str">
        <f t="shared" si="1027"/>
        <v>LOTTEチョコイヤホン</v>
      </c>
      <c r="Y624" s="54">
        <f t="shared" si="1028"/>
        <v>1100</v>
      </c>
      <c r="Z624" s="13">
        <f t="shared" si="1002"/>
        <v>3300</v>
      </c>
      <c r="AA624" s="14">
        <f t="shared" si="1003"/>
        <v>0.39285714285714285</v>
      </c>
      <c r="AB624" s="15"/>
      <c r="AC624" s="15"/>
      <c r="AD624" s="16"/>
      <c r="AE624" s="53">
        <v>7270</v>
      </c>
      <c r="AF624" s="13">
        <f t="shared" si="1004"/>
        <v>89</v>
      </c>
      <c r="AG624" s="53">
        <v>169</v>
      </c>
      <c r="AH624" s="13">
        <f t="shared" si="1005"/>
        <v>3</v>
      </c>
      <c r="AI624" s="13">
        <v>12</v>
      </c>
      <c r="AJ624" s="13">
        <f t="shared" si="1006"/>
        <v>3</v>
      </c>
      <c r="AK624" s="17">
        <v>0</v>
      </c>
      <c r="AL624" s="56" t="str">
        <f t="shared" si="1029"/>
        <v>キティヒョウ柄マスコット</v>
      </c>
      <c r="AM624" s="54">
        <f t="shared" si="1030"/>
        <v>996</v>
      </c>
      <c r="AN624" s="13">
        <f t="shared" si="1009"/>
        <v>2988</v>
      </c>
      <c r="AO624" s="14">
        <f t="shared" si="1010"/>
        <v>0.33573033707865169</v>
      </c>
      <c r="AP624" s="15"/>
      <c r="AQ624" s="15"/>
      <c r="AR624" s="16"/>
      <c r="AS624" s="53">
        <v>5849</v>
      </c>
      <c r="AT624" s="13">
        <f t="shared" si="1011"/>
        <v>71</v>
      </c>
      <c r="AU624" s="53">
        <v>284</v>
      </c>
      <c r="AV624" s="13">
        <f t="shared" si="1012"/>
        <v>5</v>
      </c>
      <c r="AW624" s="13">
        <v>25</v>
      </c>
      <c r="AX624" s="13">
        <f t="shared" si="1013"/>
        <v>5</v>
      </c>
      <c r="AY624" s="17">
        <v>14</v>
      </c>
      <c r="AZ624" s="56" t="str">
        <f t="shared" si="1014"/>
        <v>ねこアイシャドウ</v>
      </c>
      <c r="BA624" s="54">
        <f t="shared" si="1015"/>
        <v>1000</v>
      </c>
      <c r="BB624" s="13">
        <f t="shared" si="1016"/>
        <v>5000</v>
      </c>
      <c r="BC624" s="14">
        <f t="shared" si="1017"/>
        <v>0.70422535211267601</v>
      </c>
      <c r="BD624" s="15"/>
      <c r="BT624" s="15"/>
      <c r="BU624" s="16"/>
      <c r="BV624" s="54"/>
      <c r="BW624" s="13" t="str">
        <f t="shared" si="1032"/>
        <v/>
      </c>
      <c r="BX624" s="13"/>
      <c r="BY624" s="13"/>
      <c r="BZ624" s="13"/>
      <c r="CA624" s="13" t="str">
        <f t="shared" si="1033"/>
        <v/>
      </c>
      <c r="CB624" s="13"/>
      <c r="CC624" s="13"/>
      <c r="CD624" s="13"/>
      <c r="CE624" s="13" t="str">
        <f t="shared" si="1018"/>
        <v/>
      </c>
      <c r="CF624" s="14" t="str">
        <f t="shared" si="1019"/>
        <v/>
      </c>
      <c r="CG624" s="15"/>
      <c r="CH624" s="1"/>
      <c r="CI624" s="16"/>
      <c r="CJ624" s="54"/>
      <c r="CK624" s="13" t="str">
        <f t="shared" si="1034"/>
        <v/>
      </c>
      <c r="CL624" s="13"/>
      <c r="CM624" s="13"/>
      <c r="CN624" s="13"/>
      <c r="CO624" s="13" t="str">
        <f t="shared" si="1035"/>
        <v/>
      </c>
      <c r="CP624" s="13"/>
      <c r="CQ624" s="13"/>
      <c r="CR624" s="13"/>
      <c r="CS624" s="13" t="str">
        <f t="shared" si="1020"/>
        <v/>
      </c>
      <c r="CT624" s="14" t="str">
        <f t="shared" si="1031"/>
        <v/>
      </c>
      <c r="CU624" s="15"/>
      <c r="CV624" s="1"/>
      <c r="CW624" s="16"/>
      <c r="CX624" s="54"/>
      <c r="CY624" s="13" t="str">
        <f t="shared" si="1036"/>
        <v/>
      </c>
      <c r="CZ624" s="13"/>
      <c r="DA624" s="13"/>
      <c r="DB624" s="13"/>
      <c r="DC624" s="13" t="str">
        <f t="shared" si="1037"/>
        <v/>
      </c>
      <c r="DD624" s="13"/>
      <c r="DE624" s="13"/>
      <c r="DF624" s="13"/>
      <c r="DG624" s="13" t="str">
        <f t="shared" si="1021"/>
        <v/>
      </c>
      <c r="DH624" s="14" t="str">
        <f t="shared" si="1022"/>
        <v/>
      </c>
      <c r="DI624" s="15"/>
      <c r="DJ624" s="1"/>
      <c r="DK624" s="16"/>
      <c r="DL624" s="54"/>
      <c r="DM624" s="13" t="str">
        <f t="shared" si="1038"/>
        <v/>
      </c>
      <c r="DN624" s="13"/>
      <c r="DO624" s="13"/>
      <c r="DP624" s="13"/>
      <c r="DQ624" s="13" t="str">
        <f t="shared" si="1039"/>
        <v/>
      </c>
      <c r="DR624" s="13"/>
      <c r="DS624" s="13"/>
      <c r="DT624" s="13"/>
      <c r="DU624" s="13" t="str">
        <f t="shared" si="1023"/>
        <v/>
      </c>
      <c r="DV624" s="14" t="str">
        <f t="shared" si="1024"/>
        <v/>
      </c>
      <c r="DW624" s="15"/>
    </row>
    <row r="625" spans="1:127" ht="15" customHeight="1" x14ac:dyDescent="0.2">
      <c r="A625" s="16"/>
      <c r="B625" s="11"/>
      <c r="C625" s="13">
        <v>7453</v>
      </c>
      <c r="D625" s="13">
        <f t="shared" si="990"/>
        <v>345</v>
      </c>
      <c r="E625" s="13">
        <v>464</v>
      </c>
      <c r="F625" s="13">
        <f t="shared" si="991"/>
        <v>15</v>
      </c>
      <c r="G625" s="13">
        <v>136</v>
      </c>
      <c r="H625" s="13">
        <f t="shared" si="992"/>
        <v>15</v>
      </c>
      <c r="I625" s="49">
        <v>0</v>
      </c>
      <c r="J625" s="56" t="str">
        <f t="shared" si="1025"/>
        <v>AIモンスタラバー</v>
      </c>
      <c r="K625" s="13">
        <f t="shared" si="1026"/>
        <v>200</v>
      </c>
      <c r="L625" s="13">
        <f t="shared" si="995"/>
        <v>3000</v>
      </c>
      <c r="M625" s="14">
        <f t="shared" si="996"/>
        <v>8.6956521739130432E-2</v>
      </c>
      <c r="N625" s="15"/>
      <c r="O625" s="2"/>
      <c r="P625" s="16"/>
      <c r="Q625" s="13">
        <v>5119</v>
      </c>
      <c r="R625" s="13">
        <f t="shared" si="997"/>
        <v>256</v>
      </c>
      <c r="S625" s="13">
        <v>77</v>
      </c>
      <c r="T625" s="13">
        <f t="shared" si="998"/>
        <v>6</v>
      </c>
      <c r="U625" s="13">
        <v>62</v>
      </c>
      <c r="V625" s="13">
        <f t="shared" si="999"/>
        <v>2</v>
      </c>
      <c r="W625" s="49">
        <v>19</v>
      </c>
      <c r="X625" s="56" t="str">
        <f t="shared" si="1027"/>
        <v>アングリーキーホルダー</v>
      </c>
      <c r="Y625" s="13">
        <f t="shared" si="1028"/>
        <v>100</v>
      </c>
      <c r="Z625" s="13">
        <f t="shared" si="1002"/>
        <v>200</v>
      </c>
      <c r="AA625" s="14">
        <f t="shared" si="1003"/>
        <v>7.8125E-3</v>
      </c>
      <c r="AB625" s="15"/>
      <c r="AC625" s="15"/>
      <c r="AD625" s="16"/>
      <c r="AE625" s="13">
        <v>8214</v>
      </c>
      <c r="AF625" s="13">
        <f t="shared" si="1004"/>
        <v>241</v>
      </c>
      <c r="AG625" s="13">
        <v>272</v>
      </c>
      <c r="AH625" s="13">
        <f t="shared" si="1005"/>
        <v>3</v>
      </c>
      <c r="AI625" s="13">
        <v>30</v>
      </c>
      <c r="AJ625" s="13">
        <f t="shared" si="1006"/>
        <v>3</v>
      </c>
      <c r="AK625" s="49">
        <v>20</v>
      </c>
      <c r="AL625" s="56" t="str">
        <f t="shared" si="1029"/>
        <v>ラブブキーホルダー</v>
      </c>
      <c r="AM625" s="13">
        <f t="shared" si="1030"/>
        <v>400</v>
      </c>
      <c r="AN625" s="13">
        <f t="shared" si="1009"/>
        <v>1200</v>
      </c>
      <c r="AO625" s="14">
        <f t="shared" si="1010"/>
        <v>4.9792531120331947E-2</v>
      </c>
      <c r="AP625" s="15" t="s">
        <v>153</v>
      </c>
      <c r="AQ625" s="15"/>
      <c r="AR625" s="16"/>
      <c r="AS625" s="13">
        <v>9716</v>
      </c>
      <c r="AT625" s="13">
        <f t="shared" si="1011"/>
        <v>43</v>
      </c>
      <c r="AU625" s="13">
        <v>382</v>
      </c>
      <c r="AV625" s="13">
        <f t="shared" si="1012"/>
        <v>0</v>
      </c>
      <c r="AW625" s="13">
        <v>10</v>
      </c>
      <c r="AX625" s="13">
        <f t="shared" si="1013"/>
        <v>0</v>
      </c>
      <c r="AY625" s="49">
        <v>0</v>
      </c>
      <c r="AZ625" s="56" t="str">
        <f t="shared" si="1014"/>
        <v>モンチッチマスコット</v>
      </c>
      <c r="BA625" s="13">
        <f t="shared" si="1015"/>
        <v>528</v>
      </c>
      <c r="BB625" s="13">
        <f t="shared" si="1016"/>
        <v>0</v>
      </c>
      <c r="BC625" s="14">
        <f t="shared" si="1017"/>
        <v>0</v>
      </c>
      <c r="BD625" s="15"/>
      <c r="BT625" s="15"/>
      <c r="BU625" s="16"/>
      <c r="BV625" s="54"/>
      <c r="BW625" s="13" t="str">
        <f t="shared" si="1032"/>
        <v/>
      </c>
      <c r="BX625" s="13"/>
      <c r="BY625" s="13"/>
      <c r="BZ625" s="13"/>
      <c r="CA625" s="13" t="str">
        <f t="shared" si="1033"/>
        <v/>
      </c>
      <c r="CB625" s="13"/>
      <c r="CC625" s="13"/>
      <c r="CD625" s="13"/>
      <c r="CE625" s="13" t="str">
        <f t="shared" si="1018"/>
        <v/>
      </c>
      <c r="CF625" s="14" t="str">
        <f t="shared" si="1019"/>
        <v/>
      </c>
      <c r="CG625" s="15"/>
      <c r="CH625" s="1"/>
      <c r="CI625" s="16"/>
      <c r="CJ625" s="54"/>
      <c r="CK625" s="13" t="str">
        <f t="shared" si="1034"/>
        <v/>
      </c>
      <c r="CL625" s="13"/>
      <c r="CM625" s="13"/>
      <c r="CN625" s="13"/>
      <c r="CO625" s="13" t="str">
        <f t="shared" si="1035"/>
        <v/>
      </c>
      <c r="CP625" s="13"/>
      <c r="CQ625" s="13"/>
      <c r="CR625" s="13"/>
      <c r="CS625" s="13" t="str">
        <f t="shared" si="1020"/>
        <v/>
      </c>
      <c r="CT625" s="14" t="str">
        <f t="shared" si="1031"/>
        <v/>
      </c>
      <c r="CU625" s="15"/>
      <c r="CV625" s="1"/>
      <c r="CW625" s="16"/>
      <c r="CX625" s="54"/>
      <c r="CY625" s="13" t="str">
        <f t="shared" si="1036"/>
        <v/>
      </c>
      <c r="CZ625" s="13"/>
      <c r="DA625" s="13"/>
      <c r="DB625" s="13"/>
      <c r="DC625" s="13" t="str">
        <f t="shared" si="1037"/>
        <v/>
      </c>
      <c r="DD625" s="13"/>
      <c r="DE625" s="13"/>
      <c r="DF625" s="13"/>
      <c r="DG625" s="13" t="str">
        <f t="shared" si="1021"/>
        <v/>
      </c>
      <c r="DH625" s="14" t="str">
        <f t="shared" si="1022"/>
        <v/>
      </c>
      <c r="DI625" s="15"/>
      <c r="DJ625" s="1"/>
      <c r="DK625" s="16"/>
      <c r="DL625" s="54"/>
      <c r="DM625" s="13" t="str">
        <f t="shared" si="1038"/>
        <v/>
      </c>
      <c r="DN625" s="13"/>
      <c r="DO625" s="13"/>
      <c r="DP625" s="13"/>
      <c r="DQ625" s="13" t="str">
        <f t="shared" si="1039"/>
        <v/>
      </c>
      <c r="DR625" s="13"/>
      <c r="DS625" s="13"/>
      <c r="DT625" s="13"/>
      <c r="DU625" s="13" t="str">
        <f t="shared" si="1023"/>
        <v/>
      </c>
      <c r="DV625" s="14" t="str">
        <f t="shared" si="1024"/>
        <v/>
      </c>
      <c r="DW625" s="15"/>
    </row>
    <row r="626" spans="1:127" ht="15" customHeight="1" thickBot="1" x14ac:dyDescent="0.25">
      <c r="A626" s="26"/>
      <c r="B626" s="46"/>
      <c r="C626" s="27">
        <v>3582</v>
      </c>
      <c r="D626" s="27">
        <f t="shared" si="990"/>
        <v>164</v>
      </c>
      <c r="E626" s="27">
        <v>381</v>
      </c>
      <c r="F626" s="27">
        <f t="shared" si="991"/>
        <v>2</v>
      </c>
      <c r="G626" s="27">
        <v>39</v>
      </c>
      <c r="H626" s="27">
        <f t="shared" si="992"/>
        <v>4</v>
      </c>
      <c r="I626" s="47">
        <v>0</v>
      </c>
      <c r="J626" s="57" t="str">
        <f t="shared" si="1025"/>
        <v>NICIマスコット</v>
      </c>
      <c r="K626" s="62">
        <f t="shared" si="1026"/>
        <v>900</v>
      </c>
      <c r="L626" s="27">
        <f t="shared" si="995"/>
        <v>3600</v>
      </c>
      <c r="M626" s="28">
        <f t="shared" si="996"/>
        <v>0.21951219512195122</v>
      </c>
      <c r="N626" s="15"/>
      <c r="O626" s="2"/>
      <c r="P626" s="26"/>
      <c r="Q626" s="27">
        <v>4376</v>
      </c>
      <c r="R626" s="27">
        <f t="shared" si="997"/>
        <v>189</v>
      </c>
      <c r="S626" s="27">
        <v>78</v>
      </c>
      <c r="T626" s="27">
        <f t="shared" si="998"/>
        <v>2</v>
      </c>
      <c r="U626" s="27">
        <v>12</v>
      </c>
      <c r="V626" s="27">
        <f t="shared" si="999"/>
        <v>4</v>
      </c>
      <c r="W626" s="47">
        <v>0</v>
      </c>
      <c r="X626" s="57" t="str">
        <f t="shared" si="1027"/>
        <v>ＡＩマスコット</v>
      </c>
      <c r="Y626" s="62">
        <f t="shared" si="1028"/>
        <v>286</v>
      </c>
      <c r="Z626" s="27">
        <f t="shared" si="1002"/>
        <v>1144</v>
      </c>
      <c r="AA626" s="28">
        <f t="shared" si="1003"/>
        <v>6.052910052910053E-2</v>
      </c>
      <c r="AB626" s="15"/>
      <c r="AC626" s="15"/>
      <c r="AD626" s="26"/>
      <c r="AE626" s="27">
        <v>8905</v>
      </c>
      <c r="AF626" s="27">
        <f t="shared" si="1004"/>
        <v>113</v>
      </c>
      <c r="AG626" s="27">
        <v>248</v>
      </c>
      <c r="AH626" s="27">
        <f t="shared" si="1005"/>
        <v>1</v>
      </c>
      <c r="AI626" s="27">
        <v>13</v>
      </c>
      <c r="AJ626" s="27">
        <f t="shared" si="1006"/>
        <v>1</v>
      </c>
      <c r="AK626" s="47">
        <v>0</v>
      </c>
      <c r="AL626" s="57" t="str">
        <f t="shared" si="1029"/>
        <v>しなこくま</v>
      </c>
      <c r="AM626" s="62">
        <f t="shared" si="1030"/>
        <v>528</v>
      </c>
      <c r="AN626" s="27">
        <f t="shared" si="1009"/>
        <v>528</v>
      </c>
      <c r="AO626" s="28">
        <f t="shared" si="1010"/>
        <v>4.6725663716814157E-2</v>
      </c>
      <c r="AP626" s="15"/>
      <c r="AQ626" s="15"/>
      <c r="AR626" s="26"/>
      <c r="AS626" s="27">
        <v>9365</v>
      </c>
      <c r="AT626" s="27">
        <f t="shared" si="1011"/>
        <v>603</v>
      </c>
      <c r="AU626" s="27">
        <v>350</v>
      </c>
      <c r="AV626" s="27">
        <f t="shared" si="1012"/>
        <v>2</v>
      </c>
      <c r="AW626" s="27">
        <v>18</v>
      </c>
      <c r="AX626" s="27">
        <f t="shared" si="1013"/>
        <v>5</v>
      </c>
      <c r="AY626" s="47">
        <v>0</v>
      </c>
      <c r="AZ626" s="57" t="s">
        <v>293</v>
      </c>
      <c r="BA626" s="62">
        <v>400</v>
      </c>
      <c r="BB626" s="27">
        <f t="shared" si="1016"/>
        <v>2000</v>
      </c>
      <c r="BC626" s="28">
        <f t="shared" si="1017"/>
        <v>3.316749585406302E-2</v>
      </c>
      <c r="BD626" s="15"/>
      <c r="BT626" s="15"/>
      <c r="BU626" s="16"/>
      <c r="BV626" s="54"/>
      <c r="BW626" s="13" t="str">
        <f t="shared" si="1032"/>
        <v/>
      </c>
      <c r="BX626" s="13"/>
      <c r="BY626" s="13"/>
      <c r="BZ626" s="13"/>
      <c r="CA626" s="13" t="str">
        <f t="shared" si="1033"/>
        <v/>
      </c>
      <c r="CB626" s="13"/>
      <c r="CC626" s="13"/>
      <c r="CD626" s="13"/>
      <c r="CE626" s="13" t="str">
        <f t="shared" si="1018"/>
        <v/>
      </c>
      <c r="CF626" s="14" t="str">
        <f t="shared" si="1019"/>
        <v/>
      </c>
      <c r="CG626" s="15"/>
      <c r="CH626" s="1"/>
      <c r="CI626" s="16"/>
      <c r="CJ626" s="54"/>
      <c r="CK626" s="13" t="str">
        <f t="shared" si="1034"/>
        <v/>
      </c>
      <c r="CL626" s="13"/>
      <c r="CM626" s="13"/>
      <c r="CN626" s="13"/>
      <c r="CO626" s="13" t="str">
        <f t="shared" si="1035"/>
        <v/>
      </c>
      <c r="CP626" s="13"/>
      <c r="CQ626" s="13"/>
      <c r="CR626" s="13"/>
      <c r="CS626" s="13" t="str">
        <f t="shared" si="1020"/>
        <v/>
      </c>
      <c r="CT626" s="14" t="str">
        <f t="shared" si="1031"/>
        <v/>
      </c>
      <c r="CU626" s="15"/>
      <c r="CV626" s="1"/>
      <c r="CW626" s="16"/>
      <c r="CX626" s="54"/>
      <c r="CY626" s="13" t="str">
        <f t="shared" si="1036"/>
        <v/>
      </c>
      <c r="CZ626" s="13"/>
      <c r="DA626" s="13"/>
      <c r="DB626" s="13"/>
      <c r="DC626" s="13" t="str">
        <f t="shared" si="1037"/>
        <v/>
      </c>
      <c r="DD626" s="13"/>
      <c r="DE626" s="13"/>
      <c r="DF626" s="13"/>
      <c r="DG626" s="13" t="str">
        <f t="shared" si="1021"/>
        <v/>
      </c>
      <c r="DH626" s="14" t="str">
        <f t="shared" si="1022"/>
        <v/>
      </c>
      <c r="DI626" s="15"/>
      <c r="DJ626" s="1"/>
      <c r="DK626" s="16"/>
      <c r="DL626" s="54"/>
      <c r="DM626" s="13" t="str">
        <f t="shared" si="1038"/>
        <v/>
      </c>
      <c r="DN626" s="13"/>
      <c r="DO626" s="13"/>
      <c r="DP626" s="13"/>
      <c r="DQ626" s="13" t="str">
        <f t="shared" si="1039"/>
        <v/>
      </c>
      <c r="DR626" s="13"/>
      <c r="DS626" s="13"/>
      <c r="DT626" s="13"/>
      <c r="DU626" s="13" t="str">
        <f t="shared" si="1023"/>
        <v/>
      </c>
      <c r="DV626" s="14" t="str">
        <f t="shared" si="1024"/>
        <v/>
      </c>
      <c r="DW626" s="15"/>
    </row>
    <row r="627" spans="1:127" ht="15" customHeight="1" thickTop="1" x14ac:dyDescent="0.2">
      <c r="A627" s="79">
        <v>45940</v>
      </c>
      <c r="B627" s="74">
        <f>IF(A627="","",SUM(D627:D630)+SUM(R627:R630)+SUM(AF627:AF630)+SUM(AT627:AT630)+SUM(BW603,CK603,CY603,DM603))</f>
        <v>1858</v>
      </c>
      <c r="C627" s="13">
        <v>2814</v>
      </c>
      <c r="D627" s="53">
        <f t="shared" si="990"/>
        <v>51</v>
      </c>
      <c r="E627" s="13">
        <v>293</v>
      </c>
      <c r="F627" s="31">
        <f t="shared" si="991"/>
        <v>1</v>
      </c>
      <c r="G627" s="13">
        <v>14</v>
      </c>
      <c r="H627" s="53">
        <f t="shared" si="992"/>
        <v>1</v>
      </c>
      <c r="I627" s="80">
        <v>4</v>
      </c>
      <c r="J627" s="75" t="str">
        <f t="shared" si="1025"/>
        <v>ジャグラーサウンドボタン</v>
      </c>
      <c r="K627" s="76">
        <f t="shared" si="1026"/>
        <v>748</v>
      </c>
      <c r="L627" s="31">
        <f t="shared" si="995"/>
        <v>748</v>
      </c>
      <c r="M627" s="32">
        <f t="shared" si="996"/>
        <v>0.14666666666666667</v>
      </c>
      <c r="N627" s="15"/>
      <c r="O627" s="2"/>
      <c r="P627" s="79">
        <f>IF($A627="","",$A627)</f>
        <v>45940</v>
      </c>
      <c r="Q627" s="13">
        <v>2371</v>
      </c>
      <c r="R627" s="53">
        <f t="shared" si="997"/>
        <v>47</v>
      </c>
      <c r="S627" s="13">
        <v>96</v>
      </c>
      <c r="T627" s="31">
        <f t="shared" si="998"/>
        <v>2</v>
      </c>
      <c r="U627" s="13">
        <v>5</v>
      </c>
      <c r="V627" s="53">
        <f t="shared" si="999"/>
        <v>2</v>
      </c>
      <c r="W627" s="80">
        <v>2</v>
      </c>
      <c r="X627" s="75" t="str">
        <f t="shared" si="1027"/>
        <v>キティフェイスポーチ</v>
      </c>
      <c r="Y627" s="76">
        <f t="shared" si="1028"/>
        <v>0</v>
      </c>
      <c r="Z627" s="31">
        <f t="shared" si="1002"/>
        <v>0</v>
      </c>
      <c r="AA627" s="32">
        <f t="shared" si="1003"/>
        <v>0</v>
      </c>
      <c r="AB627" s="15"/>
      <c r="AC627" s="15"/>
      <c r="AD627" s="79">
        <f>IF($A627="","",$A627)</f>
        <v>45940</v>
      </c>
      <c r="AE627" s="13">
        <v>7877</v>
      </c>
      <c r="AF627" s="53">
        <f t="shared" si="1004"/>
        <v>23</v>
      </c>
      <c r="AG627" s="13">
        <v>179</v>
      </c>
      <c r="AH627" s="31">
        <f t="shared" si="1005"/>
        <v>0</v>
      </c>
      <c r="AI627" s="13">
        <v>18</v>
      </c>
      <c r="AJ627" s="53">
        <f t="shared" si="1006"/>
        <v>0</v>
      </c>
      <c r="AK627" s="80">
        <v>-6</v>
      </c>
      <c r="AL627" s="75" t="str">
        <f t="shared" si="1029"/>
        <v>サンリオでかぱっちん</v>
      </c>
      <c r="AM627" s="76">
        <f t="shared" si="1030"/>
        <v>660</v>
      </c>
      <c r="AN627" s="31">
        <f t="shared" si="1009"/>
        <v>0</v>
      </c>
      <c r="AO627" s="32">
        <f t="shared" si="1010"/>
        <v>0</v>
      </c>
      <c r="AP627" s="15" t="s">
        <v>327</v>
      </c>
      <c r="AQ627" s="15"/>
      <c r="AR627" s="79">
        <f>IF($A627="","",$A627)</f>
        <v>45940</v>
      </c>
      <c r="AS627" s="13">
        <v>8507</v>
      </c>
      <c r="AT627" s="53">
        <f t="shared" si="1011"/>
        <v>47</v>
      </c>
      <c r="AU627" s="13">
        <v>252</v>
      </c>
      <c r="AV627" s="31">
        <f t="shared" si="1012"/>
        <v>3</v>
      </c>
      <c r="AW627" s="13">
        <v>21</v>
      </c>
      <c r="AX627" s="53">
        <f t="shared" si="1013"/>
        <v>2</v>
      </c>
      <c r="AY627" s="80">
        <v>0</v>
      </c>
      <c r="AZ627" s="75" t="str">
        <f t="shared" si="1014"/>
        <v>こびとづかんキーケース</v>
      </c>
      <c r="BA627" s="76">
        <f t="shared" si="1015"/>
        <v>726</v>
      </c>
      <c r="BB627" s="31">
        <f t="shared" si="1016"/>
        <v>1452</v>
      </c>
      <c r="BC627" s="32">
        <f t="shared" si="1017"/>
        <v>0.30893617021276598</v>
      </c>
      <c r="BD627" s="15"/>
      <c r="BT627" s="15"/>
      <c r="BU627" s="16"/>
      <c r="BV627" s="54"/>
      <c r="BW627" s="13" t="str">
        <f t="shared" si="1032"/>
        <v/>
      </c>
      <c r="BX627" s="13"/>
      <c r="BY627" s="13"/>
      <c r="BZ627" s="13"/>
      <c r="CA627" s="13" t="str">
        <f t="shared" si="1033"/>
        <v/>
      </c>
      <c r="CB627" s="13"/>
      <c r="CC627" s="13"/>
      <c r="CD627" s="13"/>
      <c r="CE627" s="13" t="str">
        <f t="shared" si="1018"/>
        <v/>
      </c>
      <c r="CF627" s="14" t="str">
        <f t="shared" si="1019"/>
        <v/>
      </c>
      <c r="CG627" s="15"/>
      <c r="CH627" s="1"/>
      <c r="CI627" s="16"/>
      <c r="CJ627" s="54"/>
      <c r="CK627" s="13" t="str">
        <f t="shared" si="1034"/>
        <v/>
      </c>
      <c r="CL627" s="13"/>
      <c r="CM627" s="13"/>
      <c r="CN627" s="13"/>
      <c r="CO627" s="13" t="str">
        <f t="shared" si="1035"/>
        <v/>
      </c>
      <c r="CP627" s="13"/>
      <c r="CQ627" s="13"/>
      <c r="CR627" s="13"/>
      <c r="CS627" s="13" t="str">
        <f t="shared" si="1020"/>
        <v/>
      </c>
      <c r="CT627" s="14" t="str">
        <f t="shared" si="1031"/>
        <v/>
      </c>
      <c r="CU627" s="15"/>
      <c r="CV627" s="1"/>
      <c r="CW627" s="16"/>
      <c r="CX627" s="54"/>
      <c r="CY627" s="13" t="str">
        <f t="shared" si="1036"/>
        <v/>
      </c>
      <c r="CZ627" s="13"/>
      <c r="DA627" s="13"/>
      <c r="DB627" s="13"/>
      <c r="DC627" s="13" t="str">
        <f t="shared" si="1037"/>
        <v/>
      </c>
      <c r="DD627" s="13"/>
      <c r="DE627" s="13"/>
      <c r="DF627" s="13"/>
      <c r="DG627" s="13" t="str">
        <f t="shared" si="1021"/>
        <v/>
      </c>
      <c r="DH627" s="14" t="str">
        <f t="shared" si="1022"/>
        <v/>
      </c>
      <c r="DI627" s="15"/>
      <c r="DJ627" s="1"/>
      <c r="DK627" s="16"/>
      <c r="DL627" s="54"/>
      <c r="DM627" s="13" t="str">
        <f t="shared" si="1038"/>
        <v/>
      </c>
      <c r="DN627" s="13"/>
      <c r="DO627" s="13"/>
      <c r="DP627" s="13"/>
      <c r="DQ627" s="13" t="str">
        <f t="shared" si="1039"/>
        <v/>
      </c>
      <c r="DR627" s="13"/>
      <c r="DS627" s="13"/>
      <c r="DT627" s="13"/>
      <c r="DU627" s="13" t="str">
        <f t="shared" si="1023"/>
        <v/>
      </c>
      <c r="DV627" s="14" t="str">
        <f t="shared" si="1024"/>
        <v/>
      </c>
      <c r="DW627" s="15"/>
    </row>
    <row r="628" spans="1:127" ht="15" customHeight="1" x14ac:dyDescent="0.2">
      <c r="A628" s="133"/>
      <c r="B628" s="11"/>
      <c r="C628" s="53">
        <v>2016</v>
      </c>
      <c r="D628" s="13">
        <f t="shared" si="990"/>
        <v>34</v>
      </c>
      <c r="E628" s="53">
        <v>313</v>
      </c>
      <c r="F628" s="13">
        <f t="shared" si="991"/>
        <v>1</v>
      </c>
      <c r="G628" s="13">
        <v>7</v>
      </c>
      <c r="H628" s="13">
        <f t="shared" si="992"/>
        <v>1</v>
      </c>
      <c r="I628" s="17">
        <v>4</v>
      </c>
      <c r="J628" s="56" t="str">
        <f t="shared" si="1025"/>
        <v>液晶デジカメ</v>
      </c>
      <c r="K628" s="54">
        <f t="shared" si="1026"/>
        <v>1075</v>
      </c>
      <c r="L628" s="13">
        <f t="shared" si="995"/>
        <v>1075</v>
      </c>
      <c r="M628" s="14">
        <f t="shared" si="996"/>
        <v>0.31617647058823528</v>
      </c>
      <c r="N628" s="15" t="s">
        <v>109</v>
      </c>
      <c r="O628" s="2"/>
      <c r="P628" s="16"/>
      <c r="Q628" s="53">
        <v>2332</v>
      </c>
      <c r="R628" s="13">
        <f t="shared" si="997"/>
        <v>35</v>
      </c>
      <c r="S628" s="53">
        <v>79</v>
      </c>
      <c r="T628" s="13">
        <f t="shared" si="998"/>
        <v>0</v>
      </c>
      <c r="U628" s="13">
        <v>15</v>
      </c>
      <c r="V628" s="13">
        <f t="shared" si="999"/>
        <v>0</v>
      </c>
      <c r="W628" s="17">
        <v>0</v>
      </c>
      <c r="X628" s="56" t="str">
        <f t="shared" si="1027"/>
        <v>LOTTEチョコイヤホン</v>
      </c>
      <c r="Y628" s="54">
        <f t="shared" si="1028"/>
        <v>1100</v>
      </c>
      <c r="Z628" s="13">
        <f t="shared" si="1002"/>
        <v>0</v>
      </c>
      <c r="AA628" s="14">
        <f t="shared" si="1003"/>
        <v>0</v>
      </c>
      <c r="AB628" s="15" t="s">
        <v>201</v>
      </c>
      <c r="AC628" s="15"/>
      <c r="AD628" s="16"/>
      <c r="AE628" s="53">
        <v>7345</v>
      </c>
      <c r="AF628" s="13">
        <f t="shared" si="1004"/>
        <v>75</v>
      </c>
      <c r="AG628" s="53">
        <v>170</v>
      </c>
      <c r="AH628" s="13">
        <f t="shared" si="1005"/>
        <v>1</v>
      </c>
      <c r="AI628" s="13">
        <v>11</v>
      </c>
      <c r="AJ628" s="13">
        <f t="shared" si="1006"/>
        <v>1</v>
      </c>
      <c r="AK628" s="17">
        <v>2</v>
      </c>
      <c r="AL628" s="56" t="str">
        <f t="shared" si="1029"/>
        <v>キティヒョウ柄マスコット</v>
      </c>
      <c r="AM628" s="54">
        <f t="shared" si="1030"/>
        <v>996</v>
      </c>
      <c r="AN628" s="13">
        <f t="shared" si="1009"/>
        <v>996</v>
      </c>
      <c r="AO628" s="14">
        <f t="shared" si="1010"/>
        <v>0.1328</v>
      </c>
      <c r="AP628" s="15"/>
      <c r="AQ628" s="15"/>
      <c r="AR628" s="16"/>
      <c r="AS628" s="53">
        <v>5886</v>
      </c>
      <c r="AT628" s="13">
        <f t="shared" si="1011"/>
        <v>37</v>
      </c>
      <c r="AU628" s="53">
        <v>286</v>
      </c>
      <c r="AV628" s="13">
        <f t="shared" si="1012"/>
        <v>2</v>
      </c>
      <c r="AW628" s="13">
        <v>37</v>
      </c>
      <c r="AX628" s="13">
        <f t="shared" si="1013"/>
        <v>2</v>
      </c>
      <c r="AY628" s="17">
        <v>0</v>
      </c>
      <c r="AZ628" s="56" t="str">
        <f t="shared" si="1014"/>
        <v>ねこアイシャドウ</v>
      </c>
      <c r="BA628" s="54">
        <f t="shared" si="1015"/>
        <v>1000</v>
      </c>
      <c r="BB628" s="13">
        <f t="shared" si="1016"/>
        <v>2000</v>
      </c>
      <c r="BC628" s="14">
        <f t="shared" si="1017"/>
        <v>0.54054054054054057</v>
      </c>
      <c r="BD628" s="15"/>
      <c r="BT628" s="15"/>
      <c r="BU628" s="16"/>
      <c r="BV628" s="54"/>
      <c r="BW628" s="13" t="str">
        <f t="shared" si="1032"/>
        <v/>
      </c>
      <c r="BX628" s="13"/>
      <c r="BY628" s="13"/>
      <c r="BZ628" s="13"/>
      <c r="CA628" s="13" t="str">
        <f t="shared" si="1033"/>
        <v/>
      </c>
      <c r="CB628" s="13"/>
      <c r="CC628" s="13"/>
      <c r="CD628" s="13"/>
      <c r="CE628" s="13" t="str">
        <f t="shared" si="1018"/>
        <v/>
      </c>
      <c r="CF628" s="14" t="str">
        <f t="shared" si="1019"/>
        <v/>
      </c>
      <c r="CG628" s="15"/>
      <c r="CH628" s="1"/>
      <c r="CI628" s="16"/>
      <c r="CJ628" s="54"/>
      <c r="CK628" s="13" t="str">
        <f t="shared" si="1034"/>
        <v/>
      </c>
      <c r="CL628" s="13"/>
      <c r="CM628" s="13"/>
      <c r="CN628" s="13"/>
      <c r="CO628" s="13" t="str">
        <f t="shared" si="1035"/>
        <v/>
      </c>
      <c r="CP628" s="13"/>
      <c r="CQ628" s="13"/>
      <c r="CR628" s="13"/>
      <c r="CS628" s="13" t="str">
        <f t="shared" si="1020"/>
        <v/>
      </c>
      <c r="CT628" s="14" t="str">
        <f t="shared" si="1031"/>
        <v/>
      </c>
      <c r="CU628" s="15"/>
      <c r="CV628" s="1"/>
      <c r="CW628" s="16"/>
      <c r="CX628" s="54"/>
      <c r="CY628" s="13" t="str">
        <f t="shared" si="1036"/>
        <v/>
      </c>
      <c r="CZ628" s="13"/>
      <c r="DA628" s="13"/>
      <c r="DB628" s="13"/>
      <c r="DC628" s="13" t="str">
        <f t="shared" si="1037"/>
        <v/>
      </c>
      <c r="DD628" s="13"/>
      <c r="DE628" s="13"/>
      <c r="DF628" s="13"/>
      <c r="DG628" s="13" t="str">
        <f t="shared" si="1021"/>
        <v/>
      </c>
      <c r="DH628" s="14" t="str">
        <f t="shared" si="1022"/>
        <v/>
      </c>
      <c r="DI628" s="15"/>
      <c r="DJ628" s="1"/>
      <c r="DK628" s="16"/>
      <c r="DL628" s="54"/>
      <c r="DM628" s="13" t="str">
        <f t="shared" si="1038"/>
        <v/>
      </c>
      <c r="DN628" s="13"/>
      <c r="DO628" s="13"/>
      <c r="DP628" s="13"/>
      <c r="DQ628" s="13" t="str">
        <f t="shared" si="1039"/>
        <v/>
      </c>
      <c r="DR628" s="13"/>
      <c r="DS628" s="13"/>
      <c r="DT628" s="13"/>
      <c r="DU628" s="13" t="str">
        <f t="shared" si="1023"/>
        <v/>
      </c>
      <c r="DV628" s="14" t="str">
        <f t="shared" si="1024"/>
        <v/>
      </c>
      <c r="DW628" s="15"/>
    </row>
    <row r="629" spans="1:127" ht="15" customHeight="1" x14ac:dyDescent="0.2">
      <c r="A629" s="141" t="s">
        <v>189</v>
      </c>
      <c r="B629" s="11"/>
      <c r="C629" s="13">
        <v>7518</v>
      </c>
      <c r="D629" s="13">
        <f t="shared" si="990"/>
        <v>65</v>
      </c>
      <c r="E629" s="13">
        <v>466</v>
      </c>
      <c r="F629" s="13">
        <f t="shared" si="991"/>
        <v>2</v>
      </c>
      <c r="G629" s="13">
        <v>133</v>
      </c>
      <c r="H629" s="13">
        <f t="shared" si="992"/>
        <v>3</v>
      </c>
      <c r="I629" s="17">
        <v>0</v>
      </c>
      <c r="J629" s="56" t="str">
        <f t="shared" si="1025"/>
        <v>AIモンスタラバー</v>
      </c>
      <c r="K629" s="13">
        <f t="shared" si="1026"/>
        <v>200</v>
      </c>
      <c r="L629" s="13">
        <f t="shared" si="995"/>
        <v>600</v>
      </c>
      <c r="M629" s="14">
        <f t="shared" si="996"/>
        <v>9.2307692307692313E-2</v>
      </c>
      <c r="N629" s="15"/>
      <c r="O629" s="2"/>
      <c r="P629" s="16"/>
      <c r="Q629" s="13">
        <v>5261</v>
      </c>
      <c r="R629" s="13">
        <f t="shared" si="997"/>
        <v>142</v>
      </c>
      <c r="S629" s="13">
        <v>82</v>
      </c>
      <c r="T629" s="13">
        <f t="shared" si="998"/>
        <v>5</v>
      </c>
      <c r="U629" s="13">
        <v>75</v>
      </c>
      <c r="V629" s="13">
        <f t="shared" si="999"/>
        <v>6</v>
      </c>
      <c r="W629" s="17">
        <v>14</v>
      </c>
      <c r="X629" s="56" t="str">
        <f t="shared" si="1027"/>
        <v>アングリーキーホルダー</v>
      </c>
      <c r="Y629" s="13">
        <f t="shared" si="1028"/>
        <v>100</v>
      </c>
      <c r="Z629" s="13">
        <f t="shared" si="1002"/>
        <v>600</v>
      </c>
      <c r="AA629" s="14">
        <f t="shared" si="1003"/>
        <v>4.2253521126760563E-2</v>
      </c>
      <c r="AB629" s="15"/>
      <c r="AC629" s="15"/>
      <c r="AD629" s="16"/>
      <c r="AE629" s="13">
        <v>8324</v>
      </c>
      <c r="AF629" s="13">
        <f t="shared" si="1004"/>
        <v>110</v>
      </c>
      <c r="AG629" s="13">
        <v>273</v>
      </c>
      <c r="AH629" s="13">
        <f t="shared" si="1005"/>
        <v>1</v>
      </c>
      <c r="AI629" s="13">
        <v>48</v>
      </c>
      <c r="AJ629" s="13">
        <f t="shared" si="1006"/>
        <v>2</v>
      </c>
      <c r="AK629" s="17">
        <v>0</v>
      </c>
      <c r="AL629" s="56" t="str">
        <f t="shared" si="1029"/>
        <v>ラブブキーホルダー</v>
      </c>
      <c r="AM629" s="13">
        <f t="shared" si="1030"/>
        <v>400</v>
      </c>
      <c r="AN629" s="13">
        <f t="shared" si="1009"/>
        <v>800</v>
      </c>
      <c r="AO629" s="14">
        <f t="shared" si="1010"/>
        <v>7.2727272727272724E-2</v>
      </c>
      <c r="AP629" s="15"/>
      <c r="AQ629" s="15"/>
      <c r="AR629" s="16"/>
      <c r="AS629" s="13">
        <v>9782</v>
      </c>
      <c r="AT629" s="13">
        <f t="shared" si="1011"/>
        <v>66</v>
      </c>
      <c r="AU629" s="13">
        <v>384</v>
      </c>
      <c r="AV629" s="13">
        <f t="shared" si="1012"/>
        <v>2</v>
      </c>
      <c r="AW629" s="13">
        <v>8</v>
      </c>
      <c r="AX629" s="13">
        <f t="shared" si="1013"/>
        <v>2</v>
      </c>
      <c r="AY629" s="17">
        <v>11</v>
      </c>
      <c r="AZ629" s="56" t="str">
        <f t="shared" si="1014"/>
        <v>モンチッチマスコット</v>
      </c>
      <c r="BA629" s="13">
        <f t="shared" si="1015"/>
        <v>528</v>
      </c>
      <c r="BB629" s="13">
        <f t="shared" si="1016"/>
        <v>1056</v>
      </c>
      <c r="BC629" s="14">
        <f t="shared" si="1017"/>
        <v>0.16</v>
      </c>
      <c r="BD629" s="15" t="s">
        <v>328</v>
      </c>
      <c r="BT629" s="15"/>
      <c r="BU629" s="16"/>
      <c r="BV629" s="54"/>
      <c r="BW629" s="13" t="str">
        <f t="shared" si="1032"/>
        <v/>
      </c>
      <c r="BX629" s="13"/>
      <c r="BY629" s="13"/>
      <c r="BZ629" s="13"/>
      <c r="CA629" s="13" t="str">
        <f t="shared" si="1033"/>
        <v/>
      </c>
      <c r="CB629" s="13"/>
      <c r="CC629" s="13"/>
      <c r="CD629" s="13"/>
      <c r="CE629" s="13" t="str">
        <f t="shared" si="1018"/>
        <v/>
      </c>
      <c r="CF629" s="14" t="str">
        <f t="shared" si="1019"/>
        <v/>
      </c>
      <c r="CG629" s="15"/>
      <c r="CH629" s="1"/>
      <c r="CI629" s="16"/>
      <c r="CJ629" s="54"/>
      <c r="CK629" s="13" t="str">
        <f t="shared" si="1034"/>
        <v/>
      </c>
      <c r="CL629" s="13"/>
      <c r="CM629" s="13"/>
      <c r="CN629" s="13"/>
      <c r="CO629" s="13" t="str">
        <f t="shared" si="1035"/>
        <v/>
      </c>
      <c r="CP629" s="13"/>
      <c r="CQ629" s="13"/>
      <c r="CR629" s="13"/>
      <c r="CS629" s="13" t="str">
        <f t="shared" si="1020"/>
        <v/>
      </c>
      <c r="CT629" s="14" t="str">
        <f t="shared" si="1031"/>
        <v/>
      </c>
      <c r="CU629" s="15"/>
      <c r="CV629" s="1"/>
      <c r="CW629" s="16"/>
      <c r="CX629" s="54"/>
      <c r="CY629" s="13" t="str">
        <f t="shared" si="1036"/>
        <v/>
      </c>
      <c r="CZ629" s="13"/>
      <c r="DA629" s="13"/>
      <c r="DB629" s="13"/>
      <c r="DC629" s="13" t="str">
        <f t="shared" si="1037"/>
        <v/>
      </c>
      <c r="DD629" s="13"/>
      <c r="DE629" s="13"/>
      <c r="DF629" s="13"/>
      <c r="DG629" s="13" t="str">
        <f t="shared" si="1021"/>
        <v/>
      </c>
      <c r="DH629" s="14" t="str">
        <f t="shared" si="1022"/>
        <v/>
      </c>
      <c r="DI629" s="15"/>
      <c r="DJ629" s="1"/>
      <c r="DK629" s="16"/>
      <c r="DL629" s="54"/>
      <c r="DM629" s="13" t="str">
        <f t="shared" si="1038"/>
        <v/>
      </c>
      <c r="DN629" s="13"/>
      <c r="DO629" s="13"/>
      <c r="DP629" s="13"/>
      <c r="DQ629" s="13" t="str">
        <f t="shared" si="1039"/>
        <v/>
      </c>
      <c r="DR629" s="13"/>
      <c r="DS629" s="13"/>
      <c r="DT629" s="13"/>
      <c r="DU629" s="13" t="str">
        <f t="shared" si="1023"/>
        <v/>
      </c>
      <c r="DV629" s="14" t="str">
        <f t="shared" si="1024"/>
        <v/>
      </c>
      <c r="DW629" s="15"/>
    </row>
    <row r="630" spans="1:127" ht="15" customHeight="1" thickBot="1" x14ac:dyDescent="0.25">
      <c r="A630" s="26"/>
      <c r="B630" s="46"/>
      <c r="C630" s="27">
        <v>3653</v>
      </c>
      <c r="D630" s="27">
        <f t="shared" si="990"/>
        <v>71</v>
      </c>
      <c r="E630" s="27">
        <v>383</v>
      </c>
      <c r="F630" s="27">
        <f t="shared" si="991"/>
        <v>2</v>
      </c>
      <c r="G630" s="27">
        <v>37</v>
      </c>
      <c r="H630" s="27">
        <f t="shared" si="992"/>
        <v>2</v>
      </c>
      <c r="I630" s="47">
        <v>10</v>
      </c>
      <c r="J630" s="57" t="str">
        <f t="shared" si="1025"/>
        <v>NICIマスコット</v>
      </c>
      <c r="K630" s="62">
        <f t="shared" si="1026"/>
        <v>900</v>
      </c>
      <c r="L630" s="27">
        <f t="shared" si="995"/>
        <v>1800</v>
      </c>
      <c r="M630" s="28">
        <f t="shared" si="996"/>
        <v>0.25352112676056338</v>
      </c>
      <c r="N630" s="15"/>
      <c r="O630" s="2"/>
      <c r="P630" s="26"/>
      <c r="Q630" s="27">
        <v>4483</v>
      </c>
      <c r="R630" s="27">
        <f t="shared" si="997"/>
        <v>107</v>
      </c>
      <c r="S630" s="27">
        <v>80</v>
      </c>
      <c r="T630" s="27">
        <f t="shared" si="998"/>
        <v>2</v>
      </c>
      <c r="U630" s="27">
        <v>10</v>
      </c>
      <c r="V630" s="27">
        <f t="shared" si="999"/>
        <v>2</v>
      </c>
      <c r="W630" s="47">
        <v>3</v>
      </c>
      <c r="X630" s="57" t="str">
        <f t="shared" si="1027"/>
        <v>ＡＩマスコット</v>
      </c>
      <c r="Y630" s="62">
        <f t="shared" si="1028"/>
        <v>286</v>
      </c>
      <c r="Z630" s="27">
        <f t="shared" si="1002"/>
        <v>572</v>
      </c>
      <c r="AA630" s="28">
        <f t="shared" si="1003"/>
        <v>5.3457943925233647E-2</v>
      </c>
      <c r="AB630" s="15"/>
      <c r="AC630" s="15"/>
      <c r="AD630" s="26"/>
      <c r="AE630" s="27">
        <v>8961</v>
      </c>
      <c r="AF630" s="27">
        <f t="shared" si="1004"/>
        <v>56</v>
      </c>
      <c r="AG630" s="27">
        <v>250</v>
      </c>
      <c r="AH630" s="27">
        <f t="shared" si="1005"/>
        <v>2</v>
      </c>
      <c r="AI630" s="27">
        <v>11</v>
      </c>
      <c r="AJ630" s="27">
        <f t="shared" si="1006"/>
        <v>2</v>
      </c>
      <c r="AK630" s="47">
        <v>0</v>
      </c>
      <c r="AL630" s="57" t="str">
        <f t="shared" si="1029"/>
        <v>しなこくま</v>
      </c>
      <c r="AM630" s="62">
        <f t="shared" si="1030"/>
        <v>528</v>
      </c>
      <c r="AN630" s="27">
        <f t="shared" si="1009"/>
        <v>1056</v>
      </c>
      <c r="AO630" s="28">
        <f t="shared" si="1010"/>
        <v>0.18857142857142858</v>
      </c>
      <c r="AP630" s="15"/>
      <c r="AQ630" s="39"/>
      <c r="AR630" s="26"/>
      <c r="AS630" s="27">
        <v>9689</v>
      </c>
      <c r="AT630" s="27">
        <f t="shared" si="1011"/>
        <v>324</v>
      </c>
      <c r="AU630" s="27">
        <v>355</v>
      </c>
      <c r="AV630" s="27">
        <f t="shared" si="1012"/>
        <v>5</v>
      </c>
      <c r="AW630" s="27">
        <v>13</v>
      </c>
      <c r="AX630" s="27">
        <f t="shared" si="1013"/>
        <v>5</v>
      </c>
      <c r="AY630" s="47">
        <v>6</v>
      </c>
      <c r="AZ630" s="57" t="str">
        <f t="shared" si="1014"/>
        <v>ラブブマスコット</v>
      </c>
      <c r="BA630" s="62">
        <f t="shared" si="1015"/>
        <v>400</v>
      </c>
      <c r="BB630" s="27">
        <f t="shared" si="1016"/>
        <v>2000</v>
      </c>
      <c r="BC630" s="28">
        <f t="shared" si="1017"/>
        <v>6.1728395061728392E-2</v>
      </c>
      <c r="BD630" s="15"/>
      <c r="BT630" s="39"/>
      <c r="BU630" s="16"/>
      <c r="BV630" s="54"/>
      <c r="BW630" s="13" t="str">
        <f t="shared" si="1032"/>
        <v/>
      </c>
      <c r="BX630" s="13"/>
      <c r="BY630" s="13"/>
      <c r="BZ630" s="13"/>
      <c r="CA630" s="13" t="str">
        <f t="shared" si="1033"/>
        <v/>
      </c>
      <c r="CB630" s="13"/>
      <c r="CC630" s="13"/>
      <c r="CD630" s="13"/>
      <c r="CE630" s="13" t="str">
        <f t="shared" si="1018"/>
        <v/>
      </c>
      <c r="CF630" s="14" t="str">
        <f t="shared" si="1019"/>
        <v/>
      </c>
      <c r="CG630" s="15"/>
      <c r="CH630" s="1"/>
      <c r="CI630" s="16"/>
      <c r="CJ630" s="54"/>
      <c r="CK630" s="13" t="str">
        <f t="shared" si="1034"/>
        <v/>
      </c>
      <c r="CL630" s="13"/>
      <c r="CM630" s="13"/>
      <c r="CN630" s="13"/>
      <c r="CO630" s="13" t="str">
        <f t="shared" si="1035"/>
        <v/>
      </c>
      <c r="CP630" s="13"/>
      <c r="CQ630" s="13"/>
      <c r="CR630" s="13"/>
      <c r="CS630" s="13" t="str">
        <f t="shared" si="1020"/>
        <v/>
      </c>
      <c r="CT630" s="14" t="str">
        <f t="shared" si="1031"/>
        <v/>
      </c>
      <c r="CU630" s="15"/>
      <c r="CV630" s="1"/>
      <c r="CW630" s="16"/>
      <c r="CX630" s="54"/>
      <c r="CY630" s="13" t="str">
        <f t="shared" si="1036"/>
        <v/>
      </c>
      <c r="CZ630" s="13"/>
      <c r="DA630" s="13"/>
      <c r="DB630" s="13"/>
      <c r="DC630" s="13" t="str">
        <f t="shared" si="1037"/>
        <v/>
      </c>
      <c r="DD630" s="13"/>
      <c r="DE630" s="13"/>
      <c r="DF630" s="13"/>
      <c r="DG630" s="13" t="str">
        <f t="shared" si="1021"/>
        <v/>
      </c>
      <c r="DH630" s="14" t="str">
        <f t="shared" si="1022"/>
        <v/>
      </c>
      <c r="DI630" s="15"/>
      <c r="DJ630" s="1"/>
      <c r="DK630" s="16"/>
      <c r="DL630" s="54"/>
      <c r="DM630" s="13" t="str">
        <f t="shared" si="1038"/>
        <v/>
      </c>
      <c r="DN630" s="13"/>
      <c r="DO630" s="13"/>
      <c r="DP630" s="13"/>
      <c r="DQ630" s="13" t="str">
        <f t="shared" si="1039"/>
        <v/>
      </c>
      <c r="DR630" s="13"/>
      <c r="DS630" s="13"/>
      <c r="DT630" s="13"/>
      <c r="DU630" s="13" t="str">
        <f t="shared" si="1023"/>
        <v/>
      </c>
      <c r="DV630" s="14" t="str">
        <f t="shared" si="1024"/>
        <v/>
      </c>
      <c r="DW630" s="15"/>
    </row>
    <row r="631" spans="1:127" ht="15" customHeight="1" thickTop="1" x14ac:dyDescent="0.2">
      <c r="A631" s="16"/>
      <c r="B631" s="74"/>
      <c r="C631" s="53"/>
      <c r="D631" s="53"/>
      <c r="E631" s="53"/>
      <c r="F631" s="31"/>
      <c r="G631" s="53"/>
      <c r="H631" s="53"/>
      <c r="I631" s="80"/>
      <c r="J631" s="75"/>
      <c r="K631" s="76"/>
      <c r="L631" s="31"/>
      <c r="M631" s="32"/>
      <c r="N631" s="15"/>
      <c r="O631" s="2"/>
      <c r="P631" s="79"/>
      <c r="Q631" s="53"/>
      <c r="R631" s="127"/>
      <c r="S631" s="53"/>
      <c r="T631" s="31"/>
      <c r="U631" s="53"/>
      <c r="V631" s="53"/>
      <c r="W631" s="80"/>
      <c r="X631" s="75"/>
      <c r="Y631" s="76"/>
      <c r="Z631" s="31"/>
      <c r="AA631" s="32"/>
      <c r="AB631" s="15"/>
      <c r="AC631" s="15"/>
      <c r="AD631" s="79"/>
      <c r="AE631" s="53"/>
      <c r="AF631" s="53"/>
      <c r="AG631" s="53"/>
      <c r="AH631" s="31"/>
      <c r="AI631" s="53"/>
      <c r="AJ631" s="53"/>
      <c r="AK631" s="80"/>
      <c r="AL631" s="75"/>
      <c r="AM631" s="76"/>
      <c r="AN631" s="31"/>
      <c r="AO631" s="32"/>
      <c r="AP631" s="15"/>
      <c r="AQ631" s="113"/>
      <c r="AR631" s="79"/>
      <c r="AS631" s="53"/>
      <c r="AT631" s="53"/>
      <c r="AU631" s="53"/>
      <c r="AV631" s="31"/>
      <c r="AW631" s="53"/>
      <c r="AX631" s="53"/>
      <c r="AY631" s="80"/>
      <c r="AZ631" s="75"/>
      <c r="BA631" s="76"/>
      <c r="BB631" s="31"/>
      <c r="BC631" s="32"/>
      <c r="BD631" s="15"/>
      <c r="BT631" s="113"/>
      <c r="BU631" s="16"/>
      <c r="BV631" s="54"/>
      <c r="BW631" s="13" t="str">
        <f t="shared" si="1032"/>
        <v/>
      </c>
      <c r="BX631" s="13"/>
      <c r="BY631" s="13"/>
      <c r="BZ631" s="13"/>
      <c r="CA631" s="13" t="str">
        <f t="shared" si="1033"/>
        <v/>
      </c>
      <c r="CB631" s="13"/>
      <c r="CC631" s="13"/>
      <c r="CD631" s="13"/>
      <c r="CE631" s="13" t="str">
        <f t="shared" si="1018"/>
        <v/>
      </c>
      <c r="CF631" s="14" t="str">
        <f t="shared" si="1019"/>
        <v/>
      </c>
      <c r="CG631" s="15"/>
      <c r="CH631" s="1"/>
      <c r="CI631" s="16"/>
      <c r="CJ631" s="54"/>
      <c r="CK631" s="13" t="str">
        <f t="shared" si="1034"/>
        <v/>
      </c>
      <c r="CL631" s="13"/>
      <c r="CM631" s="13"/>
      <c r="CN631" s="13"/>
      <c r="CO631" s="13" t="str">
        <f t="shared" si="1035"/>
        <v/>
      </c>
      <c r="CP631" s="13"/>
      <c r="CQ631" s="13"/>
      <c r="CR631" s="13"/>
      <c r="CS631" s="13" t="str">
        <f t="shared" si="1020"/>
        <v/>
      </c>
      <c r="CT631" s="14" t="str">
        <f t="shared" si="1031"/>
        <v/>
      </c>
      <c r="CU631" s="15"/>
      <c r="CV631" s="1"/>
      <c r="CW631" s="16"/>
      <c r="CX631" s="54"/>
      <c r="CY631" s="13" t="str">
        <f t="shared" si="1036"/>
        <v/>
      </c>
      <c r="CZ631" s="13"/>
      <c r="DA631" s="13"/>
      <c r="DB631" s="13"/>
      <c r="DC631" s="13" t="str">
        <f t="shared" si="1037"/>
        <v/>
      </c>
      <c r="DD631" s="13"/>
      <c r="DE631" s="13"/>
      <c r="DF631" s="13"/>
      <c r="DG631" s="13" t="str">
        <f t="shared" si="1021"/>
        <v/>
      </c>
      <c r="DH631" s="14" t="str">
        <f t="shared" si="1022"/>
        <v/>
      </c>
      <c r="DI631" s="15"/>
      <c r="DJ631" s="1"/>
      <c r="DK631" s="16"/>
      <c r="DL631" s="54"/>
      <c r="DM631" s="13" t="str">
        <f t="shared" si="1038"/>
        <v/>
      </c>
      <c r="DN631" s="13"/>
      <c r="DO631" s="13"/>
      <c r="DP631" s="13"/>
      <c r="DQ631" s="13" t="str">
        <f t="shared" si="1039"/>
        <v/>
      </c>
      <c r="DR631" s="13"/>
      <c r="DS631" s="13"/>
      <c r="DT631" s="13"/>
      <c r="DU631" s="13" t="str">
        <f t="shared" si="1023"/>
        <v/>
      </c>
      <c r="DV631" s="14" t="str">
        <f t="shared" si="1024"/>
        <v/>
      </c>
      <c r="DW631" s="15"/>
    </row>
    <row r="632" spans="1:127" x14ac:dyDescent="0.2">
      <c r="A632" s="16"/>
      <c r="B632" s="11"/>
      <c r="C632" s="13"/>
      <c r="D632" s="53"/>
      <c r="E632" s="13"/>
      <c r="F632" s="13"/>
      <c r="G632" s="13"/>
      <c r="H632" s="13"/>
      <c r="I632" s="17"/>
      <c r="J632" s="56"/>
      <c r="K632" s="54"/>
      <c r="L632" s="13"/>
      <c r="M632" s="14"/>
      <c r="N632" s="15"/>
      <c r="O632" s="2"/>
      <c r="P632" s="16"/>
      <c r="Q632" s="13"/>
      <c r="R632" s="127"/>
      <c r="S632" s="13"/>
      <c r="T632" s="13"/>
      <c r="U632" s="13"/>
      <c r="V632" s="13"/>
      <c r="W632" s="17"/>
      <c r="X632" s="56"/>
      <c r="Y632" s="54"/>
      <c r="Z632" s="13"/>
      <c r="AA632" s="14"/>
      <c r="AB632" s="15"/>
      <c r="AC632" s="15"/>
      <c r="AD632" s="16"/>
      <c r="AE632" s="13"/>
      <c r="AF632" s="53"/>
      <c r="AG632" s="13"/>
      <c r="AH632" s="13"/>
      <c r="AI632" s="13"/>
      <c r="AJ632" s="13"/>
      <c r="AK632" s="17"/>
      <c r="AL632" s="56"/>
      <c r="AM632" s="54"/>
      <c r="AN632" s="13"/>
      <c r="AO632" s="14"/>
      <c r="AP632" s="15"/>
      <c r="AQ632" s="113"/>
      <c r="AR632" s="16"/>
      <c r="AS632" s="13"/>
      <c r="AT632" s="53"/>
      <c r="AU632" s="13"/>
      <c r="AV632" s="13"/>
      <c r="AW632" s="13"/>
      <c r="AX632" s="13"/>
      <c r="AY632" s="17"/>
      <c r="AZ632" s="56"/>
      <c r="BA632" s="54"/>
      <c r="BB632" s="13"/>
      <c r="BC632" s="14"/>
      <c r="BD632" s="15"/>
      <c r="BT632" s="113"/>
      <c r="BU632" s="16"/>
      <c r="BV632" s="54"/>
      <c r="BW632" s="13" t="str">
        <f t="shared" si="1032"/>
        <v/>
      </c>
      <c r="BX632" s="13"/>
      <c r="BY632" s="13"/>
      <c r="BZ632" s="13"/>
      <c r="CA632" s="13" t="str">
        <f t="shared" si="1033"/>
        <v/>
      </c>
      <c r="CB632" s="13"/>
      <c r="CC632" s="13"/>
      <c r="CD632" s="13"/>
      <c r="CE632" s="13" t="str">
        <f t="shared" si="1018"/>
        <v/>
      </c>
      <c r="CF632" s="14" t="str">
        <f t="shared" si="1019"/>
        <v/>
      </c>
      <c r="CG632" s="15"/>
      <c r="CH632" s="1"/>
      <c r="CI632" s="16"/>
      <c r="CJ632" s="54"/>
      <c r="CK632" s="13" t="str">
        <f t="shared" si="1034"/>
        <v/>
      </c>
      <c r="CL632" s="13"/>
      <c r="CM632" s="13"/>
      <c r="CN632" s="13"/>
      <c r="CO632" s="13" t="str">
        <f t="shared" si="1035"/>
        <v/>
      </c>
      <c r="CP632" s="13"/>
      <c r="CQ632" s="13"/>
      <c r="CR632" s="13"/>
      <c r="CS632" s="13" t="str">
        <f t="shared" si="1020"/>
        <v/>
      </c>
      <c r="CT632" s="14" t="str">
        <f t="shared" si="1031"/>
        <v/>
      </c>
      <c r="CU632" s="15"/>
      <c r="CV632" s="1"/>
      <c r="CW632" s="16"/>
      <c r="CX632" s="54"/>
      <c r="CY632" s="13" t="str">
        <f t="shared" si="1036"/>
        <v/>
      </c>
      <c r="CZ632" s="13"/>
      <c r="DA632" s="13"/>
      <c r="DB632" s="13"/>
      <c r="DC632" s="13" t="str">
        <f t="shared" si="1037"/>
        <v/>
      </c>
      <c r="DD632" s="13"/>
      <c r="DE632" s="13"/>
      <c r="DF632" s="13"/>
      <c r="DG632" s="13" t="str">
        <f t="shared" si="1021"/>
        <v/>
      </c>
      <c r="DH632" s="14" t="str">
        <f t="shared" si="1022"/>
        <v/>
      </c>
      <c r="DI632" s="15"/>
      <c r="DJ632" s="1"/>
      <c r="DK632" s="16"/>
      <c r="DL632" s="54"/>
      <c r="DM632" s="13" t="str">
        <f t="shared" si="1038"/>
        <v/>
      </c>
      <c r="DN632" s="13"/>
      <c r="DO632" s="13"/>
      <c r="DP632" s="13"/>
      <c r="DQ632" s="13" t="str">
        <f t="shared" si="1039"/>
        <v/>
      </c>
      <c r="DR632" s="13"/>
      <c r="DS632" s="13"/>
      <c r="DT632" s="13"/>
      <c r="DU632" s="13" t="str">
        <f t="shared" si="1023"/>
        <v/>
      </c>
      <c r="DV632" s="14" t="str">
        <f t="shared" si="1024"/>
        <v/>
      </c>
      <c r="DW632" s="15"/>
    </row>
    <row r="633" spans="1:127" ht="15" customHeight="1" x14ac:dyDescent="0.2">
      <c r="A633" s="149"/>
      <c r="B633" s="11"/>
      <c r="C633" s="13"/>
      <c r="D633" s="63"/>
      <c r="E633" s="13"/>
      <c r="F633" s="13"/>
      <c r="G633" s="34"/>
      <c r="H633" s="34"/>
      <c r="I633" s="17"/>
      <c r="J633" s="56"/>
      <c r="K633" s="13"/>
      <c r="L633" s="13"/>
      <c r="M633" s="14"/>
      <c r="N633" s="15"/>
      <c r="O633" s="2"/>
      <c r="P633" s="16"/>
      <c r="Q633" s="13"/>
      <c r="R633" s="63"/>
      <c r="S633" s="13"/>
      <c r="T633" s="13"/>
      <c r="U633" s="34"/>
      <c r="V633" s="34"/>
      <c r="W633" s="17"/>
      <c r="X633" s="56"/>
      <c r="Y633" s="13"/>
      <c r="Z633" s="13"/>
      <c r="AA633" s="14"/>
      <c r="AB633" s="15"/>
      <c r="AC633" s="15"/>
      <c r="AD633" s="16"/>
      <c r="AE633" s="13"/>
      <c r="AF633" s="63"/>
      <c r="AG633" s="13"/>
      <c r="AH633" s="13"/>
      <c r="AI633" s="34"/>
      <c r="AJ633" s="34"/>
      <c r="AK633" s="17"/>
      <c r="AL633" s="56"/>
      <c r="AM633" s="13"/>
      <c r="AN633" s="13"/>
      <c r="AO633" s="14"/>
      <c r="AP633" s="15"/>
      <c r="AQ633" s="113"/>
      <c r="AR633" s="16"/>
      <c r="AS633" s="13"/>
      <c r="AT633" s="63"/>
      <c r="AU633" s="13"/>
      <c r="AV633" s="13"/>
      <c r="AW633" s="34"/>
      <c r="AX633" s="34"/>
      <c r="AY633" s="17"/>
      <c r="AZ633" s="56"/>
      <c r="BA633" s="13"/>
      <c r="BB633" s="13"/>
      <c r="BC633" s="14"/>
      <c r="BD633" s="15"/>
      <c r="BT633" s="113"/>
      <c r="BU633" s="16"/>
      <c r="BV633" s="54"/>
      <c r="BW633" s="13" t="str">
        <f t="shared" si="1032"/>
        <v/>
      </c>
      <c r="BX633" s="13"/>
      <c r="BY633" s="13"/>
      <c r="BZ633" s="13"/>
      <c r="CA633" s="13" t="str">
        <f t="shared" si="1033"/>
        <v/>
      </c>
      <c r="CB633" s="13"/>
      <c r="CC633" s="13"/>
      <c r="CD633" s="13"/>
      <c r="CE633" s="13" t="str">
        <f t="shared" si="1018"/>
        <v/>
      </c>
      <c r="CF633" s="14" t="str">
        <f t="shared" si="1019"/>
        <v/>
      </c>
      <c r="CG633" s="15"/>
      <c r="CH633" s="1"/>
      <c r="CI633" s="16"/>
      <c r="CJ633" s="54"/>
      <c r="CK633" s="13" t="str">
        <f t="shared" si="1034"/>
        <v/>
      </c>
      <c r="CL633" s="13"/>
      <c r="CM633" s="13"/>
      <c r="CN633" s="13"/>
      <c r="CO633" s="13" t="str">
        <f t="shared" si="1035"/>
        <v/>
      </c>
      <c r="CP633" s="13"/>
      <c r="CQ633" s="13"/>
      <c r="CR633" s="13"/>
      <c r="CS633" s="13" t="str">
        <f t="shared" si="1020"/>
        <v/>
      </c>
      <c r="CT633" s="14" t="str">
        <f t="shared" si="1031"/>
        <v/>
      </c>
      <c r="CU633" s="15"/>
      <c r="CV633" s="1"/>
      <c r="CW633" s="16"/>
      <c r="CX633" s="54"/>
      <c r="CY633" s="13" t="str">
        <f t="shared" si="1036"/>
        <v/>
      </c>
      <c r="CZ633" s="13"/>
      <c r="DA633" s="13"/>
      <c r="DB633" s="13"/>
      <c r="DC633" s="13" t="str">
        <f t="shared" si="1037"/>
        <v/>
      </c>
      <c r="DD633" s="13"/>
      <c r="DE633" s="13"/>
      <c r="DF633" s="13"/>
      <c r="DG633" s="13" t="str">
        <f t="shared" si="1021"/>
        <v/>
      </c>
      <c r="DH633" s="14" t="str">
        <f t="shared" si="1022"/>
        <v/>
      </c>
      <c r="DI633" s="15"/>
      <c r="DJ633" s="1"/>
      <c r="DK633" s="16"/>
      <c r="DL633" s="54"/>
      <c r="DM633" s="13" t="str">
        <f t="shared" si="1038"/>
        <v/>
      </c>
      <c r="DN633" s="13"/>
      <c r="DO633" s="13"/>
      <c r="DP633" s="13"/>
      <c r="DQ633" s="13" t="str">
        <f t="shared" si="1039"/>
        <v/>
      </c>
      <c r="DR633" s="13"/>
      <c r="DS633" s="13"/>
      <c r="DT633" s="13"/>
      <c r="DU633" s="13" t="str">
        <f t="shared" si="1023"/>
        <v/>
      </c>
      <c r="DV633" s="14" t="str">
        <f t="shared" si="1024"/>
        <v/>
      </c>
      <c r="DW633" s="15"/>
    </row>
    <row r="634" spans="1:127" ht="15" customHeight="1" thickBot="1" x14ac:dyDescent="0.25">
      <c r="A634" s="26"/>
      <c r="B634" s="46"/>
      <c r="C634" s="29"/>
      <c r="D634" s="93"/>
      <c r="E634" s="62"/>
      <c r="F634" s="29"/>
      <c r="G634" s="64"/>
      <c r="H634" s="64"/>
      <c r="I634" s="107"/>
      <c r="J634" s="57"/>
      <c r="K634" s="62"/>
      <c r="L634" s="27"/>
      <c r="M634" s="28"/>
      <c r="N634" s="15"/>
      <c r="O634" s="2"/>
      <c r="P634" s="26"/>
      <c r="Q634" s="29"/>
      <c r="R634" s="61"/>
      <c r="S634" s="62"/>
      <c r="T634" s="29"/>
      <c r="U634" s="64"/>
      <c r="V634" s="64"/>
      <c r="W634" s="107"/>
      <c r="X634" s="57"/>
      <c r="Y634" s="62"/>
      <c r="Z634" s="27"/>
      <c r="AA634" s="28"/>
      <c r="AB634" s="15"/>
      <c r="AC634" s="15"/>
      <c r="AD634" s="26"/>
      <c r="AE634" s="29"/>
      <c r="AF634" s="61"/>
      <c r="AG634" s="62"/>
      <c r="AH634" s="29"/>
      <c r="AI634" s="64"/>
      <c r="AJ634" s="64"/>
      <c r="AK634" s="107"/>
      <c r="AL634" s="57"/>
      <c r="AM634" s="62"/>
      <c r="AN634" s="27"/>
      <c r="AO634" s="28"/>
      <c r="AP634" s="15"/>
      <c r="AQ634" s="113"/>
      <c r="AR634" s="26"/>
      <c r="AS634" s="29"/>
      <c r="AT634" s="61"/>
      <c r="AU634" s="62"/>
      <c r="AV634" s="29"/>
      <c r="AW634" s="64"/>
      <c r="AX634" s="64"/>
      <c r="AY634" s="107"/>
      <c r="AZ634" s="57"/>
      <c r="BA634" s="62"/>
      <c r="BB634" s="27"/>
      <c r="BC634" s="28"/>
      <c r="BD634" s="15"/>
      <c r="BT634" s="113"/>
      <c r="BU634" s="16"/>
      <c r="BV634" s="54"/>
      <c r="BW634" s="13" t="str">
        <f t="shared" si="1032"/>
        <v/>
      </c>
      <c r="BX634" s="13"/>
      <c r="BY634" s="13"/>
      <c r="BZ634" s="13"/>
      <c r="CA634" s="13" t="str">
        <f t="shared" si="1033"/>
        <v/>
      </c>
      <c r="CB634" s="13"/>
      <c r="CC634" s="13"/>
      <c r="CD634" s="13"/>
      <c r="CE634" s="13" t="str">
        <f t="shared" si="1018"/>
        <v/>
      </c>
      <c r="CF634" s="14" t="str">
        <f t="shared" si="1019"/>
        <v/>
      </c>
      <c r="CG634" s="15"/>
      <c r="CH634" s="1"/>
      <c r="CI634" s="16"/>
      <c r="CJ634" s="54"/>
      <c r="CK634" s="13" t="str">
        <f t="shared" si="1034"/>
        <v/>
      </c>
      <c r="CL634" s="13"/>
      <c r="CM634" s="13"/>
      <c r="CN634" s="13"/>
      <c r="CO634" s="13" t="str">
        <f t="shared" si="1035"/>
        <v/>
      </c>
      <c r="CP634" s="13"/>
      <c r="CQ634" s="13"/>
      <c r="CR634" s="13"/>
      <c r="CS634" s="13" t="str">
        <f t="shared" si="1020"/>
        <v/>
      </c>
      <c r="CT634" s="14" t="str">
        <f t="shared" si="1031"/>
        <v/>
      </c>
      <c r="CU634" s="15"/>
      <c r="CV634" s="1"/>
      <c r="CW634" s="16"/>
      <c r="CX634" s="54"/>
      <c r="CY634" s="13" t="str">
        <f t="shared" si="1036"/>
        <v/>
      </c>
      <c r="CZ634" s="13"/>
      <c r="DA634" s="13"/>
      <c r="DB634" s="13"/>
      <c r="DC634" s="13" t="str">
        <f t="shared" si="1037"/>
        <v/>
      </c>
      <c r="DD634" s="13"/>
      <c r="DE634" s="13"/>
      <c r="DF634" s="13"/>
      <c r="DG634" s="13" t="str">
        <f t="shared" si="1021"/>
        <v/>
      </c>
      <c r="DH634" s="14" t="str">
        <f t="shared" si="1022"/>
        <v/>
      </c>
      <c r="DI634" s="15"/>
      <c r="DJ634" s="1"/>
      <c r="DK634" s="16"/>
      <c r="DL634" s="54"/>
      <c r="DM634" s="13" t="str">
        <f t="shared" si="1038"/>
        <v/>
      </c>
      <c r="DN634" s="13"/>
      <c r="DO634" s="13"/>
      <c r="DP634" s="13"/>
      <c r="DQ634" s="13" t="str">
        <f t="shared" si="1039"/>
        <v/>
      </c>
      <c r="DR634" s="13"/>
      <c r="DS634" s="13"/>
      <c r="DT634" s="13"/>
      <c r="DU634" s="13" t="str">
        <f t="shared" si="1023"/>
        <v/>
      </c>
      <c r="DV634" s="14" t="str">
        <f t="shared" si="1024"/>
        <v/>
      </c>
      <c r="DW634" s="15"/>
    </row>
    <row r="635" spans="1:127" ht="15" customHeight="1" thickTop="1" x14ac:dyDescent="0.2">
      <c r="A635" s="79"/>
      <c r="B635" s="74"/>
      <c r="C635" s="53"/>
      <c r="D635" s="53"/>
      <c r="E635" s="53"/>
      <c r="F635" s="31"/>
      <c r="G635" s="53"/>
      <c r="H635" s="53"/>
      <c r="I635" s="80"/>
      <c r="J635" s="21"/>
      <c r="K635" s="54"/>
      <c r="L635" s="31"/>
      <c r="M635" s="32"/>
      <c r="N635" s="15"/>
      <c r="O635" s="2"/>
      <c r="P635" s="79"/>
      <c r="Q635" s="53"/>
      <c r="R635" s="53"/>
      <c r="S635" s="53"/>
      <c r="T635" s="31"/>
      <c r="U635" s="53"/>
      <c r="V635" s="53"/>
      <c r="W635" s="80"/>
      <c r="X635" s="21"/>
      <c r="Y635" s="54"/>
      <c r="Z635" s="31"/>
      <c r="AA635" s="32"/>
      <c r="AB635" s="15"/>
      <c r="AC635" s="15"/>
      <c r="AD635" s="79"/>
      <c r="AE635" s="53"/>
      <c r="AF635" s="53"/>
      <c r="AG635" s="53"/>
      <c r="AH635" s="31"/>
      <c r="AI635" s="53"/>
      <c r="AJ635" s="53"/>
      <c r="AK635" s="80"/>
      <c r="AL635" s="21"/>
      <c r="AM635" s="54"/>
      <c r="AN635" s="31"/>
      <c r="AO635" s="32"/>
      <c r="AP635" s="15"/>
      <c r="AQ635" s="113"/>
      <c r="AR635" s="79"/>
      <c r="AS635" s="53"/>
      <c r="AT635" s="53"/>
      <c r="AU635" s="53"/>
      <c r="AV635" s="31"/>
      <c r="AW635" s="53"/>
      <c r="AX635" s="53"/>
      <c r="AY635" s="80"/>
      <c r="AZ635" s="21"/>
      <c r="BA635" s="54"/>
      <c r="BB635" s="31"/>
      <c r="BC635" s="32"/>
      <c r="BD635" s="15"/>
      <c r="BT635" s="113"/>
      <c r="BU635" s="16"/>
      <c r="BV635" s="54"/>
      <c r="BW635" s="13" t="str">
        <f t="shared" si="1032"/>
        <v/>
      </c>
      <c r="BX635" s="13"/>
      <c r="BY635" s="13"/>
      <c r="BZ635" s="13"/>
      <c r="CA635" s="13" t="str">
        <f t="shared" si="1033"/>
        <v/>
      </c>
      <c r="CB635" s="13"/>
      <c r="CC635" s="13"/>
      <c r="CD635" s="13"/>
      <c r="CE635" s="13" t="str">
        <f t="shared" si="1018"/>
        <v/>
      </c>
      <c r="CF635" s="14" t="str">
        <f t="shared" si="1019"/>
        <v/>
      </c>
      <c r="CG635" s="15"/>
      <c r="CH635" s="1"/>
      <c r="CI635" s="16"/>
      <c r="CJ635" s="54"/>
      <c r="CK635" s="13" t="str">
        <f t="shared" si="1034"/>
        <v/>
      </c>
      <c r="CL635" s="13"/>
      <c r="CM635" s="13"/>
      <c r="CN635" s="13"/>
      <c r="CO635" s="13" t="str">
        <f t="shared" si="1035"/>
        <v/>
      </c>
      <c r="CP635" s="13"/>
      <c r="CQ635" s="13"/>
      <c r="CR635" s="13"/>
      <c r="CS635" s="13" t="str">
        <f t="shared" si="1020"/>
        <v/>
      </c>
      <c r="CT635" s="14" t="str">
        <f t="shared" si="1031"/>
        <v/>
      </c>
      <c r="CU635" s="15"/>
      <c r="CV635" s="1"/>
      <c r="CW635" s="16"/>
      <c r="CX635" s="54"/>
      <c r="CY635" s="13" t="str">
        <f t="shared" si="1036"/>
        <v/>
      </c>
      <c r="CZ635" s="13"/>
      <c r="DA635" s="13"/>
      <c r="DB635" s="13"/>
      <c r="DC635" s="13" t="str">
        <f t="shared" si="1037"/>
        <v/>
      </c>
      <c r="DD635" s="13"/>
      <c r="DE635" s="13"/>
      <c r="DF635" s="13"/>
      <c r="DG635" s="13" t="str">
        <f t="shared" si="1021"/>
        <v/>
      </c>
      <c r="DH635" s="14" t="str">
        <f t="shared" si="1022"/>
        <v/>
      </c>
      <c r="DI635" s="15"/>
      <c r="DJ635" s="1"/>
      <c r="DK635" s="16"/>
      <c r="DL635" s="54"/>
      <c r="DM635" s="13" t="str">
        <f t="shared" si="1038"/>
        <v/>
      </c>
      <c r="DN635" s="13"/>
      <c r="DO635" s="13"/>
      <c r="DP635" s="13"/>
      <c r="DQ635" s="13" t="str">
        <f t="shared" si="1039"/>
        <v/>
      </c>
      <c r="DR635" s="13"/>
      <c r="DS635" s="13"/>
      <c r="DT635" s="13"/>
      <c r="DU635" s="13" t="str">
        <f t="shared" si="1023"/>
        <v/>
      </c>
      <c r="DV635" s="14" t="str">
        <f t="shared" si="1024"/>
        <v/>
      </c>
      <c r="DW635" s="15"/>
    </row>
    <row r="636" spans="1:127" ht="15" customHeight="1" x14ac:dyDescent="0.2">
      <c r="A636" s="16"/>
      <c r="B636" s="11"/>
      <c r="C636" s="13"/>
      <c r="D636" s="53"/>
      <c r="E636" s="13"/>
      <c r="F636" s="13"/>
      <c r="G636" s="13"/>
      <c r="H636" s="13"/>
      <c r="I636" s="17"/>
      <c r="J636" s="21"/>
      <c r="K636" s="54"/>
      <c r="L636" s="13"/>
      <c r="M636" s="14"/>
      <c r="N636" s="15"/>
      <c r="O636" s="2"/>
      <c r="P636" s="16"/>
      <c r="Q636" s="13"/>
      <c r="R636" s="53"/>
      <c r="S636" s="13"/>
      <c r="T636" s="13"/>
      <c r="U636" s="13"/>
      <c r="V636" s="13"/>
      <c r="W636" s="17"/>
      <c r="X636" s="21"/>
      <c r="Y636" s="54"/>
      <c r="Z636" s="13"/>
      <c r="AA636" s="14"/>
      <c r="AB636" s="15"/>
      <c r="AC636" s="15"/>
      <c r="AD636" s="16"/>
      <c r="AE636" s="13"/>
      <c r="AF636" s="53"/>
      <c r="AG636" s="13"/>
      <c r="AH636" s="13"/>
      <c r="AI636" s="13"/>
      <c r="AJ636" s="13"/>
      <c r="AK636" s="17"/>
      <c r="AL636" s="21"/>
      <c r="AM636" s="54"/>
      <c r="AN636" s="13"/>
      <c r="AO636" s="14"/>
      <c r="AP636" s="15"/>
      <c r="AQ636" s="113"/>
      <c r="AR636" s="16"/>
      <c r="AS636" s="13"/>
      <c r="AT636" s="53"/>
      <c r="AU636" s="13"/>
      <c r="AV636" s="13"/>
      <c r="AW636" s="13"/>
      <c r="AX636" s="13"/>
      <c r="AY636" s="17"/>
      <c r="AZ636" s="21"/>
      <c r="BA636" s="54"/>
      <c r="BB636" s="13"/>
      <c r="BC636" s="14"/>
      <c r="BD636" s="15"/>
      <c r="BT636" s="113"/>
      <c r="BU636" s="16"/>
      <c r="BV636" s="54"/>
      <c r="BW636" s="13" t="str">
        <f t="shared" si="1032"/>
        <v/>
      </c>
      <c r="BX636" s="13"/>
      <c r="BY636" s="13"/>
      <c r="BZ636" s="13"/>
      <c r="CA636" s="13" t="str">
        <f t="shared" si="1033"/>
        <v/>
      </c>
      <c r="CB636" s="13"/>
      <c r="CC636" s="13"/>
      <c r="CD636" s="13"/>
      <c r="CE636" s="13" t="str">
        <f t="shared" si="1018"/>
        <v/>
      </c>
      <c r="CF636" s="14" t="str">
        <f t="shared" si="1019"/>
        <v/>
      </c>
      <c r="CG636" s="15"/>
      <c r="CH636" s="1"/>
      <c r="CI636" s="16"/>
      <c r="CJ636" s="54"/>
      <c r="CK636" s="13" t="str">
        <f t="shared" si="1034"/>
        <v/>
      </c>
      <c r="CL636" s="13"/>
      <c r="CM636" s="13"/>
      <c r="CN636" s="13"/>
      <c r="CO636" s="13" t="str">
        <f t="shared" si="1035"/>
        <v/>
      </c>
      <c r="CP636" s="13"/>
      <c r="CQ636" s="13"/>
      <c r="CR636" s="13"/>
      <c r="CS636" s="13" t="str">
        <f t="shared" si="1020"/>
        <v/>
      </c>
      <c r="CT636" s="14" t="str">
        <f t="shared" si="1031"/>
        <v/>
      </c>
      <c r="CU636" s="15"/>
      <c r="CV636" s="1"/>
      <c r="CW636" s="16"/>
      <c r="CX636" s="54"/>
      <c r="CY636" s="13" t="str">
        <f t="shared" si="1036"/>
        <v/>
      </c>
      <c r="CZ636" s="13"/>
      <c r="DA636" s="13"/>
      <c r="DB636" s="13"/>
      <c r="DC636" s="13" t="str">
        <f t="shared" si="1037"/>
        <v/>
      </c>
      <c r="DD636" s="13"/>
      <c r="DE636" s="13"/>
      <c r="DF636" s="13"/>
      <c r="DG636" s="13" t="str">
        <f t="shared" si="1021"/>
        <v/>
      </c>
      <c r="DH636" s="14" t="str">
        <f t="shared" si="1022"/>
        <v/>
      </c>
      <c r="DI636" s="15"/>
      <c r="DJ636" s="1"/>
      <c r="DK636" s="16"/>
      <c r="DL636" s="54"/>
      <c r="DM636" s="13" t="str">
        <f t="shared" si="1038"/>
        <v/>
      </c>
      <c r="DN636" s="13"/>
      <c r="DO636" s="13"/>
      <c r="DP636" s="13"/>
      <c r="DQ636" s="13" t="str">
        <f t="shared" si="1039"/>
        <v/>
      </c>
      <c r="DR636" s="13"/>
      <c r="DS636" s="13"/>
      <c r="DT636" s="13"/>
      <c r="DU636" s="13" t="str">
        <f t="shared" si="1023"/>
        <v/>
      </c>
      <c r="DV636" s="14" t="str">
        <f t="shared" si="1024"/>
        <v/>
      </c>
      <c r="DW636" s="15"/>
    </row>
    <row r="637" spans="1:127" ht="15" customHeight="1" x14ac:dyDescent="0.2">
      <c r="A637" s="16"/>
      <c r="B637" s="11"/>
      <c r="C637" s="13"/>
      <c r="D637" s="63"/>
      <c r="E637" s="13"/>
      <c r="F637" s="13"/>
      <c r="G637" s="13"/>
      <c r="H637" s="13"/>
      <c r="I637" s="17"/>
      <c r="J637" s="21"/>
      <c r="K637" s="54"/>
      <c r="L637" s="13"/>
      <c r="M637" s="14"/>
      <c r="N637" s="15"/>
      <c r="O637" s="2"/>
      <c r="P637" s="16"/>
      <c r="Q637" s="13"/>
      <c r="R637" s="63"/>
      <c r="S637" s="13"/>
      <c r="T637" s="13"/>
      <c r="U637" s="13"/>
      <c r="V637" s="13"/>
      <c r="W637" s="17"/>
      <c r="X637" s="21"/>
      <c r="Y637" s="54"/>
      <c r="Z637" s="13"/>
      <c r="AA637" s="14"/>
      <c r="AB637" s="15"/>
      <c r="AC637" s="15"/>
      <c r="AD637" s="16"/>
      <c r="AE637" s="13"/>
      <c r="AF637" s="63"/>
      <c r="AG637" s="13"/>
      <c r="AH637" s="13"/>
      <c r="AI637" s="13"/>
      <c r="AJ637" s="13"/>
      <c r="AK637" s="17"/>
      <c r="AL637" s="21"/>
      <c r="AM637" s="54"/>
      <c r="AN637" s="13"/>
      <c r="AO637" s="14"/>
      <c r="AP637" s="15"/>
      <c r="AQ637" s="113"/>
      <c r="AR637" s="16"/>
      <c r="AS637" s="13"/>
      <c r="AT637" s="63"/>
      <c r="AU637" s="13"/>
      <c r="AV637" s="13"/>
      <c r="AW637" s="13"/>
      <c r="AX637" s="13"/>
      <c r="AY637" s="17"/>
      <c r="AZ637" s="21"/>
      <c r="BA637" s="54"/>
      <c r="BB637" s="13"/>
      <c r="BC637" s="14"/>
      <c r="BD637" s="15"/>
      <c r="BT637" s="113"/>
      <c r="BU637" s="16"/>
      <c r="BV637" s="54"/>
      <c r="BW637" s="13" t="str">
        <f t="shared" si="1032"/>
        <v/>
      </c>
      <c r="BX637" s="13"/>
      <c r="BY637" s="13"/>
      <c r="BZ637" s="13"/>
      <c r="CA637" s="13" t="str">
        <f t="shared" si="1033"/>
        <v/>
      </c>
      <c r="CB637" s="13"/>
      <c r="CC637" s="13"/>
      <c r="CD637" s="13"/>
      <c r="CE637" s="13" t="str">
        <f t="shared" si="1018"/>
        <v/>
      </c>
      <c r="CF637" s="14" t="str">
        <f t="shared" si="1019"/>
        <v/>
      </c>
      <c r="CG637" s="15"/>
      <c r="CH637" s="1"/>
      <c r="CI637" s="16"/>
      <c r="CJ637" s="54"/>
      <c r="CK637" s="13" t="str">
        <f t="shared" si="1034"/>
        <v/>
      </c>
      <c r="CL637" s="13"/>
      <c r="CM637" s="13"/>
      <c r="CN637" s="13"/>
      <c r="CO637" s="13" t="str">
        <f t="shared" si="1035"/>
        <v/>
      </c>
      <c r="CP637" s="13"/>
      <c r="CQ637" s="13"/>
      <c r="CR637" s="13"/>
      <c r="CS637" s="13" t="str">
        <f t="shared" si="1020"/>
        <v/>
      </c>
      <c r="CT637" s="14" t="str">
        <f t="shared" si="1031"/>
        <v/>
      </c>
      <c r="CU637" s="15"/>
      <c r="CV637" s="1"/>
      <c r="CW637" s="16"/>
      <c r="CX637" s="54"/>
      <c r="CY637" s="13" t="str">
        <f t="shared" si="1036"/>
        <v/>
      </c>
      <c r="CZ637" s="13"/>
      <c r="DA637" s="13"/>
      <c r="DB637" s="13"/>
      <c r="DC637" s="13" t="str">
        <f t="shared" si="1037"/>
        <v/>
      </c>
      <c r="DD637" s="13"/>
      <c r="DE637" s="13"/>
      <c r="DF637" s="13"/>
      <c r="DG637" s="13" t="str">
        <f t="shared" si="1021"/>
        <v/>
      </c>
      <c r="DH637" s="14" t="str">
        <f t="shared" si="1022"/>
        <v/>
      </c>
      <c r="DI637" s="15"/>
      <c r="DJ637" s="1"/>
      <c r="DK637" s="16"/>
      <c r="DL637" s="54"/>
      <c r="DM637" s="13" t="str">
        <f t="shared" si="1038"/>
        <v/>
      </c>
      <c r="DN637" s="13"/>
      <c r="DO637" s="13"/>
      <c r="DP637" s="13"/>
      <c r="DQ637" s="13" t="str">
        <f t="shared" si="1039"/>
        <v/>
      </c>
      <c r="DR637" s="13"/>
      <c r="DS637" s="13"/>
      <c r="DT637" s="13"/>
      <c r="DU637" s="13" t="str">
        <f t="shared" si="1023"/>
        <v/>
      </c>
      <c r="DV637" s="14" t="str">
        <f t="shared" si="1024"/>
        <v/>
      </c>
      <c r="DW637" s="15"/>
    </row>
    <row r="638" spans="1:127" ht="15" customHeight="1" thickBot="1" x14ac:dyDescent="0.25">
      <c r="A638" s="26"/>
      <c r="B638" s="46"/>
      <c r="C638" s="29"/>
      <c r="D638" s="61"/>
      <c r="E638" s="62"/>
      <c r="F638" s="27"/>
      <c r="G638" s="27"/>
      <c r="H638" s="27"/>
      <c r="I638" s="107"/>
      <c r="J638" s="30"/>
      <c r="K638" s="62"/>
      <c r="L638" s="27"/>
      <c r="M638" s="28"/>
      <c r="N638" s="15"/>
      <c r="O638" s="2"/>
      <c r="P638" s="26"/>
      <c r="Q638" s="29"/>
      <c r="R638" s="61"/>
      <c r="S638" s="62"/>
      <c r="T638" s="27"/>
      <c r="U638" s="27"/>
      <c r="V638" s="27"/>
      <c r="W638" s="107"/>
      <c r="X638" s="30"/>
      <c r="Y638" s="62"/>
      <c r="Z638" s="27"/>
      <c r="AA638" s="28"/>
      <c r="AB638" s="15"/>
      <c r="AC638" s="15"/>
      <c r="AD638" s="26"/>
      <c r="AE638" s="29"/>
      <c r="AF638" s="61"/>
      <c r="AG638" s="62"/>
      <c r="AH638" s="27"/>
      <c r="AI638" s="27"/>
      <c r="AJ638" s="27"/>
      <c r="AK638" s="107"/>
      <c r="AL638" s="30"/>
      <c r="AM638" s="62"/>
      <c r="AN638" s="27"/>
      <c r="AO638" s="28"/>
      <c r="AP638" s="15"/>
      <c r="AQ638" s="113"/>
      <c r="AR638" s="26"/>
      <c r="AS638" s="29"/>
      <c r="AT638" s="61"/>
      <c r="AU638" s="62"/>
      <c r="AV638" s="27"/>
      <c r="AW638" s="27"/>
      <c r="AX638" s="27"/>
      <c r="AY638" s="107"/>
      <c r="AZ638" s="30"/>
      <c r="BA638" s="62"/>
      <c r="BB638" s="27"/>
      <c r="BC638" s="28"/>
      <c r="BD638" s="15"/>
      <c r="BT638" s="113"/>
      <c r="BU638" s="16"/>
      <c r="BV638" s="54"/>
      <c r="BW638" s="13" t="str">
        <f t="shared" si="1032"/>
        <v/>
      </c>
      <c r="BX638" s="13"/>
      <c r="BY638" s="13"/>
      <c r="BZ638" s="13"/>
      <c r="CA638" s="13" t="str">
        <f t="shared" si="1033"/>
        <v/>
      </c>
      <c r="CB638" s="13"/>
      <c r="CC638" s="13"/>
      <c r="CD638" s="13"/>
      <c r="CE638" s="13" t="str">
        <f t="shared" si="1018"/>
        <v/>
      </c>
      <c r="CF638" s="14" t="str">
        <f t="shared" si="1019"/>
        <v/>
      </c>
      <c r="CG638" s="15"/>
      <c r="CH638" s="1"/>
      <c r="CI638" s="16"/>
      <c r="CJ638" s="54"/>
      <c r="CK638" s="13" t="str">
        <f t="shared" si="1034"/>
        <v/>
      </c>
      <c r="CL638" s="13"/>
      <c r="CM638" s="13"/>
      <c r="CN638" s="13"/>
      <c r="CO638" s="13" t="str">
        <f t="shared" si="1035"/>
        <v/>
      </c>
      <c r="CP638" s="13"/>
      <c r="CQ638" s="13"/>
      <c r="CR638" s="13"/>
      <c r="CS638" s="13" t="str">
        <f t="shared" si="1020"/>
        <v/>
      </c>
      <c r="CT638" s="14" t="str">
        <f t="shared" si="1031"/>
        <v/>
      </c>
      <c r="CU638" s="15"/>
      <c r="CV638" s="1"/>
      <c r="CW638" s="16"/>
      <c r="CX638" s="54"/>
      <c r="CY638" s="13" t="str">
        <f t="shared" si="1036"/>
        <v/>
      </c>
      <c r="CZ638" s="13"/>
      <c r="DA638" s="13"/>
      <c r="DB638" s="13"/>
      <c r="DC638" s="13" t="str">
        <f t="shared" si="1037"/>
        <v/>
      </c>
      <c r="DD638" s="13"/>
      <c r="DE638" s="13"/>
      <c r="DF638" s="13"/>
      <c r="DG638" s="13" t="str">
        <f t="shared" si="1021"/>
        <v/>
      </c>
      <c r="DH638" s="14" t="str">
        <f t="shared" si="1022"/>
        <v/>
      </c>
      <c r="DI638" s="15"/>
      <c r="DJ638" s="1"/>
      <c r="DK638" s="16"/>
      <c r="DL638" s="54"/>
      <c r="DM638" s="13" t="str">
        <f t="shared" si="1038"/>
        <v/>
      </c>
      <c r="DN638" s="13"/>
      <c r="DO638" s="13"/>
      <c r="DP638" s="13"/>
      <c r="DQ638" s="13" t="str">
        <f t="shared" si="1039"/>
        <v/>
      </c>
      <c r="DR638" s="13"/>
      <c r="DS638" s="13"/>
      <c r="DT638" s="13"/>
      <c r="DU638" s="13" t="str">
        <f t="shared" si="1023"/>
        <v/>
      </c>
      <c r="DV638" s="14" t="str">
        <f t="shared" si="1024"/>
        <v/>
      </c>
      <c r="DW638" s="15"/>
    </row>
    <row r="639" spans="1:127" ht="15" customHeight="1" thickTop="1" x14ac:dyDescent="0.2">
      <c r="A639" s="79"/>
      <c r="B639" s="74"/>
      <c r="C639" s="53"/>
      <c r="D639" s="53"/>
      <c r="E639" s="53"/>
      <c r="F639" s="31"/>
      <c r="G639" s="53"/>
      <c r="H639" s="53"/>
      <c r="I639" s="80"/>
      <c r="J639" s="75"/>
      <c r="K639" s="76"/>
      <c r="L639" s="31"/>
      <c r="M639" s="32"/>
      <c r="N639" s="15"/>
      <c r="O639" s="2"/>
      <c r="P639" s="79"/>
      <c r="Q639" s="53"/>
      <c r="R639" s="53"/>
      <c r="S639" s="53"/>
      <c r="T639" s="31"/>
      <c r="U639" s="53"/>
      <c r="V639" s="53"/>
      <c r="W639" s="80"/>
      <c r="X639" s="75"/>
      <c r="Y639" s="76"/>
      <c r="Z639" s="31"/>
      <c r="AA639" s="32"/>
      <c r="AB639" s="15"/>
      <c r="AC639" s="15"/>
      <c r="AD639" s="79"/>
      <c r="AE639" s="53"/>
      <c r="AF639" s="53"/>
      <c r="AG639" s="53"/>
      <c r="AH639" s="31"/>
      <c r="AI639" s="53"/>
      <c r="AJ639" s="53"/>
      <c r="AK639" s="80"/>
      <c r="AL639" s="75"/>
      <c r="AM639" s="76"/>
      <c r="AN639" s="31"/>
      <c r="AO639" s="32"/>
      <c r="AP639" s="15"/>
      <c r="AQ639" s="113"/>
      <c r="AR639" s="79"/>
      <c r="AS639" s="53"/>
      <c r="AT639" s="53"/>
      <c r="AU639" s="53"/>
      <c r="AV639" s="31"/>
      <c r="AW639" s="53"/>
      <c r="AX639" s="53"/>
      <c r="AY639" s="80"/>
      <c r="AZ639" s="75"/>
      <c r="BA639" s="76"/>
      <c r="BB639" s="31"/>
      <c r="BC639" s="32"/>
      <c r="BD639" s="15"/>
      <c r="BT639" s="113"/>
      <c r="BU639" s="16"/>
      <c r="BV639" s="54"/>
      <c r="BW639" s="13" t="str">
        <f t="shared" si="1032"/>
        <v/>
      </c>
      <c r="BX639" s="13"/>
      <c r="BY639" s="13"/>
      <c r="BZ639" s="13"/>
      <c r="CA639" s="13" t="str">
        <f t="shared" si="1033"/>
        <v/>
      </c>
      <c r="CB639" s="13"/>
      <c r="CC639" s="13"/>
      <c r="CD639" s="13"/>
      <c r="CE639" s="13" t="str">
        <f t="shared" si="1018"/>
        <v/>
      </c>
      <c r="CF639" s="14" t="str">
        <f t="shared" si="1019"/>
        <v/>
      </c>
      <c r="CG639" s="15"/>
      <c r="CH639" s="1"/>
      <c r="CI639" s="16"/>
      <c r="CJ639" s="54"/>
      <c r="CK639" s="13" t="str">
        <f t="shared" si="1034"/>
        <v/>
      </c>
      <c r="CL639" s="13"/>
      <c r="CM639" s="13"/>
      <c r="CN639" s="13"/>
      <c r="CO639" s="13" t="str">
        <f t="shared" si="1035"/>
        <v/>
      </c>
      <c r="CP639" s="13"/>
      <c r="CQ639" s="13"/>
      <c r="CR639" s="13"/>
      <c r="CS639" s="13" t="str">
        <f t="shared" si="1020"/>
        <v/>
      </c>
      <c r="CT639" s="14" t="str">
        <f t="shared" si="1031"/>
        <v/>
      </c>
      <c r="CU639" s="15"/>
      <c r="CV639" s="1"/>
      <c r="CW639" s="16"/>
      <c r="CX639" s="54"/>
      <c r="CY639" s="13" t="str">
        <f t="shared" si="1036"/>
        <v/>
      </c>
      <c r="CZ639" s="13"/>
      <c r="DA639" s="13"/>
      <c r="DB639" s="13"/>
      <c r="DC639" s="13" t="str">
        <f t="shared" si="1037"/>
        <v/>
      </c>
      <c r="DD639" s="13"/>
      <c r="DE639" s="13"/>
      <c r="DF639" s="13"/>
      <c r="DG639" s="13" t="str">
        <f t="shared" si="1021"/>
        <v/>
      </c>
      <c r="DH639" s="14" t="str">
        <f t="shared" si="1022"/>
        <v/>
      </c>
      <c r="DI639" s="15"/>
      <c r="DJ639" s="1"/>
      <c r="DK639" s="16"/>
      <c r="DL639" s="54"/>
      <c r="DM639" s="13" t="str">
        <f t="shared" si="1038"/>
        <v/>
      </c>
      <c r="DN639" s="13"/>
      <c r="DO639" s="13"/>
      <c r="DP639" s="13"/>
      <c r="DQ639" s="13" t="str">
        <f t="shared" si="1039"/>
        <v/>
      </c>
      <c r="DR639" s="13"/>
      <c r="DS639" s="13"/>
      <c r="DT639" s="13"/>
      <c r="DU639" s="13" t="str">
        <f t="shared" si="1023"/>
        <v/>
      </c>
      <c r="DV639" s="14" t="str">
        <f t="shared" si="1024"/>
        <v/>
      </c>
      <c r="DW639" s="15"/>
    </row>
    <row r="640" spans="1:127" ht="15" customHeight="1" x14ac:dyDescent="0.2">
      <c r="A640" s="16"/>
      <c r="B640" s="11"/>
      <c r="C640" s="13"/>
      <c r="D640" s="53"/>
      <c r="E640" s="13"/>
      <c r="F640" s="13"/>
      <c r="G640" s="13"/>
      <c r="H640" s="13"/>
      <c r="I640" s="17"/>
      <c r="J640" s="56"/>
      <c r="K640" s="54"/>
      <c r="L640" s="13"/>
      <c r="M640" s="14"/>
      <c r="N640" s="15"/>
      <c r="O640" s="2"/>
      <c r="P640" s="16"/>
      <c r="Q640" s="13"/>
      <c r="R640" s="53"/>
      <c r="S640" s="13"/>
      <c r="T640" s="13"/>
      <c r="U640" s="13"/>
      <c r="V640" s="13"/>
      <c r="W640" s="17"/>
      <c r="X640" s="56"/>
      <c r="Y640" s="54"/>
      <c r="Z640" s="13"/>
      <c r="AA640" s="14"/>
      <c r="AB640" s="15"/>
      <c r="AC640" s="15"/>
      <c r="AD640" s="16"/>
      <c r="AE640" s="13"/>
      <c r="AF640" s="53"/>
      <c r="AG640" s="13"/>
      <c r="AH640" s="13"/>
      <c r="AI640" s="13"/>
      <c r="AJ640" s="13"/>
      <c r="AK640" s="17"/>
      <c r="AL640" s="56"/>
      <c r="AM640" s="54"/>
      <c r="AN640" s="13"/>
      <c r="AO640" s="14"/>
      <c r="AP640" s="15"/>
      <c r="AQ640" s="113"/>
      <c r="AR640" s="16"/>
      <c r="AS640" s="13"/>
      <c r="AT640" s="53"/>
      <c r="AU640" s="13"/>
      <c r="AV640" s="13"/>
      <c r="AW640" s="13"/>
      <c r="AX640" s="13"/>
      <c r="AY640" s="17"/>
      <c r="AZ640" s="56"/>
      <c r="BA640" s="54"/>
      <c r="BB640" s="13"/>
      <c r="BC640" s="14"/>
      <c r="BD640" s="15"/>
      <c r="BT640" s="113"/>
      <c r="BU640" s="16"/>
      <c r="BV640" s="54"/>
      <c r="BW640" s="13" t="str">
        <f t="shared" si="1032"/>
        <v/>
      </c>
      <c r="BX640" s="13"/>
      <c r="BY640" s="13"/>
      <c r="BZ640" s="13"/>
      <c r="CA640" s="13" t="str">
        <f t="shared" si="1033"/>
        <v/>
      </c>
      <c r="CB640" s="13"/>
      <c r="CC640" s="13"/>
      <c r="CD640" s="13"/>
      <c r="CE640" s="13" t="str">
        <f t="shared" si="1018"/>
        <v/>
      </c>
      <c r="CF640" s="14" t="str">
        <f t="shared" si="1019"/>
        <v/>
      </c>
      <c r="CG640" s="15"/>
      <c r="CH640" s="1"/>
      <c r="CI640" s="16"/>
      <c r="CJ640" s="54"/>
      <c r="CK640" s="13" t="str">
        <f t="shared" si="1034"/>
        <v/>
      </c>
      <c r="CL640" s="13"/>
      <c r="CM640" s="13"/>
      <c r="CN640" s="13"/>
      <c r="CO640" s="13" t="str">
        <f t="shared" si="1035"/>
        <v/>
      </c>
      <c r="CP640" s="13"/>
      <c r="CQ640" s="13"/>
      <c r="CR640" s="13"/>
      <c r="CS640" s="13" t="str">
        <f t="shared" si="1020"/>
        <v/>
      </c>
      <c r="CT640" s="14" t="str">
        <f t="shared" si="1031"/>
        <v/>
      </c>
      <c r="CU640" s="15"/>
      <c r="CV640" s="1"/>
      <c r="CW640" s="16"/>
      <c r="CX640" s="54"/>
      <c r="CY640" s="13" t="str">
        <f t="shared" si="1036"/>
        <v/>
      </c>
      <c r="CZ640" s="13"/>
      <c r="DA640" s="13"/>
      <c r="DB640" s="13"/>
      <c r="DC640" s="13" t="str">
        <f t="shared" si="1037"/>
        <v/>
      </c>
      <c r="DD640" s="13"/>
      <c r="DE640" s="13"/>
      <c r="DF640" s="13"/>
      <c r="DG640" s="13" t="str">
        <f t="shared" si="1021"/>
        <v/>
      </c>
      <c r="DH640" s="14" t="str">
        <f t="shared" si="1022"/>
        <v/>
      </c>
      <c r="DI640" s="15"/>
      <c r="DJ640" s="1"/>
      <c r="DK640" s="16"/>
      <c r="DL640" s="54"/>
      <c r="DM640" s="13" t="str">
        <f t="shared" si="1038"/>
        <v/>
      </c>
      <c r="DN640" s="13"/>
      <c r="DO640" s="13"/>
      <c r="DP640" s="13"/>
      <c r="DQ640" s="13" t="str">
        <f t="shared" si="1039"/>
        <v/>
      </c>
      <c r="DR640" s="13"/>
      <c r="DS640" s="13"/>
      <c r="DT640" s="13"/>
      <c r="DU640" s="13" t="str">
        <f t="shared" si="1023"/>
        <v/>
      </c>
      <c r="DV640" s="14" t="str">
        <f t="shared" si="1024"/>
        <v/>
      </c>
      <c r="DW640" s="15"/>
    </row>
    <row r="641" spans="1:127" ht="15" customHeight="1" x14ac:dyDescent="0.2">
      <c r="A641" s="16"/>
      <c r="B641" s="11"/>
      <c r="C641" s="13"/>
      <c r="D641" s="63"/>
      <c r="E641" s="13"/>
      <c r="F641" s="13"/>
      <c r="G641" s="13"/>
      <c r="H641" s="13"/>
      <c r="I641" s="17"/>
      <c r="J641" s="56"/>
      <c r="K641" s="13"/>
      <c r="L641" s="13"/>
      <c r="M641" s="14"/>
      <c r="N641" s="15"/>
      <c r="O641" s="2"/>
      <c r="P641" s="16"/>
      <c r="Q641" s="13"/>
      <c r="R641" s="63"/>
      <c r="S641" s="13"/>
      <c r="T641" s="13"/>
      <c r="U641" s="13"/>
      <c r="V641" s="13"/>
      <c r="W641" s="17"/>
      <c r="X641" s="56"/>
      <c r="Y641" s="13"/>
      <c r="Z641" s="13"/>
      <c r="AA641" s="14"/>
      <c r="AB641" s="15"/>
      <c r="AC641" s="15"/>
      <c r="AD641" s="16"/>
      <c r="AE641" s="13"/>
      <c r="AF641" s="63"/>
      <c r="AG641" s="13"/>
      <c r="AH641" s="13"/>
      <c r="AI641" s="13"/>
      <c r="AJ641" s="13"/>
      <c r="AK641" s="17"/>
      <c r="AL641" s="56"/>
      <c r="AM641" s="13"/>
      <c r="AN641" s="13"/>
      <c r="AO641" s="14"/>
      <c r="AP641" s="15"/>
      <c r="AQ641" s="113"/>
      <c r="AR641" s="16"/>
      <c r="AS641" s="13"/>
      <c r="AT641" s="63"/>
      <c r="AU641" s="13"/>
      <c r="AV641" s="13"/>
      <c r="AW641" s="13"/>
      <c r="AX641" s="13"/>
      <c r="AY641" s="17"/>
      <c r="AZ641" s="56"/>
      <c r="BA641" s="13"/>
      <c r="BB641" s="13"/>
      <c r="BC641" s="14"/>
      <c r="BD641" s="15"/>
      <c r="BT641" s="113"/>
      <c r="BU641" s="16"/>
      <c r="BV641" s="54"/>
      <c r="BW641" s="13" t="str">
        <f t="shared" si="1032"/>
        <v/>
      </c>
      <c r="BX641" s="13"/>
      <c r="BY641" s="13"/>
      <c r="BZ641" s="13"/>
      <c r="CA641" s="13" t="str">
        <f t="shared" si="1033"/>
        <v/>
      </c>
      <c r="CB641" s="13"/>
      <c r="CC641" s="13"/>
      <c r="CD641" s="13"/>
      <c r="CE641" s="13" t="str">
        <f t="shared" si="1018"/>
        <v/>
      </c>
      <c r="CF641" s="14" t="str">
        <f t="shared" si="1019"/>
        <v/>
      </c>
      <c r="CG641" s="15"/>
      <c r="CH641" s="1"/>
      <c r="CI641" s="16"/>
      <c r="CJ641" s="54"/>
      <c r="CK641" s="13" t="str">
        <f t="shared" si="1034"/>
        <v/>
      </c>
      <c r="CL641" s="13"/>
      <c r="CM641" s="13"/>
      <c r="CN641" s="13"/>
      <c r="CO641" s="13" t="str">
        <f t="shared" si="1035"/>
        <v/>
      </c>
      <c r="CP641" s="13"/>
      <c r="CQ641" s="13"/>
      <c r="CR641" s="13"/>
      <c r="CS641" s="13" t="str">
        <f t="shared" si="1020"/>
        <v/>
      </c>
      <c r="CT641" s="14" t="str">
        <f t="shared" si="1031"/>
        <v/>
      </c>
      <c r="CU641" s="15"/>
      <c r="CV641" s="1"/>
      <c r="CW641" s="16"/>
      <c r="CX641" s="54"/>
      <c r="CY641" s="13" t="str">
        <f t="shared" si="1036"/>
        <v/>
      </c>
      <c r="CZ641" s="13"/>
      <c r="DA641" s="13"/>
      <c r="DB641" s="13"/>
      <c r="DC641" s="13" t="str">
        <f t="shared" si="1037"/>
        <v/>
      </c>
      <c r="DD641" s="13"/>
      <c r="DE641" s="13"/>
      <c r="DF641" s="13"/>
      <c r="DG641" s="13" t="str">
        <f t="shared" si="1021"/>
        <v/>
      </c>
      <c r="DH641" s="14" t="str">
        <f t="shared" si="1022"/>
        <v/>
      </c>
      <c r="DI641" s="15"/>
      <c r="DJ641" s="1"/>
      <c r="DK641" s="16"/>
      <c r="DL641" s="54"/>
      <c r="DM641" s="13" t="str">
        <f t="shared" si="1038"/>
        <v/>
      </c>
      <c r="DN641" s="13"/>
      <c r="DO641" s="13"/>
      <c r="DP641" s="13"/>
      <c r="DQ641" s="13" t="str">
        <f t="shared" si="1039"/>
        <v/>
      </c>
      <c r="DR641" s="13"/>
      <c r="DS641" s="13"/>
      <c r="DT641" s="13"/>
      <c r="DU641" s="13" t="str">
        <f t="shared" si="1023"/>
        <v/>
      </c>
      <c r="DV641" s="14" t="str">
        <f t="shared" si="1024"/>
        <v/>
      </c>
      <c r="DW641" s="15"/>
    </row>
    <row r="642" spans="1:127" ht="15" customHeight="1" thickBot="1" x14ac:dyDescent="0.25">
      <c r="A642" s="26"/>
      <c r="B642" s="46"/>
      <c r="C642" s="27"/>
      <c r="D642" s="61"/>
      <c r="E642" s="62"/>
      <c r="F642" s="27"/>
      <c r="G642" s="27"/>
      <c r="H642" s="27"/>
      <c r="I642" s="107"/>
      <c r="J642" s="57"/>
      <c r="K642" s="62"/>
      <c r="L642" s="27"/>
      <c r="M642" s="28"/>
      <c r="N642" s="15"/>
      <c r="O642" s="2"/>
      <c r="P642" s="26"/>
      <c r="Q642" s="27"/>
      <c r="R642" s="61"/>
      <c r="S642" s="62"/>
      <c r="T642" s="27"/>
      <c r="U642" s="27"/>
      <c r="V642" s="27"/>
      <c r="W642" s="107"/>
      <c r="X642" s="57"/>
      <c r="Y642" s="62"/>
      <c r="Z642" s="27"/>
      <c r="AA642" s="28"/>
      <c r="AB642" s="15"/>
      <c r="AC642" s="15"/>
      <c r="AD642" s="26"/>
      <c r="AE642" s="27"/>
      <c r="AF642" s="61"/>
      <c r="AG642" s="62"/>
      <c r="AH642" s="27"/>
      <c r="AI642" s="27"/>
      <c r="AJ642" s="27"/>
      <c r="AK642" s="107"/>
      <c r="AL642" s="57"/>
      <c r="AM642" s="62"/>
      <c r="AN642" s="27"/>
      <c r="AO642" s="28"/>
      <c r="AP642" s="15"/>
      <c r="AQ642" s="113"/>
      <c r="AR642" s="26"/>
      <c r="AS642" s="27"/>
      <c r="AT642" s="61"/>
      <c r="AU642" s="62"/>
      <c r="AV642" s="27"/>
      <c r="AW642" s="27"/>
      <c r="AX642" s="27"/>
      <c r="AY642" s="107"/>
      <c r="AZ642" s="57"/>
      <c r="BA642" s="62"/>
      <c r="BB642" s="27"/>
      <c r="BC642" s="28"/>
      <c r="BD642" s="15"/>
      <c r="BT642" s="113"/>
      <c r="BU642" s="16"/>
      <c r="BV642" s="54"/>
      <c r="BW642" s="13" t="str">
        <f t="shared" si="1032"/>
        <v/>
      </c>
      <c r="BX642" s="13"/>
      <c r="BY642" s="13"/>
      <c r="BZ642" s="13"/>
      <c r="CA642" s="13" t="str">
        <f t="shared" si="1033"/>
        <v/>
      </c>
      <c r="CB642" s="13"/>
      <c r="CC642" s="13"/>
      <c r="CD642" s="13"/>
      <c r="CE642" s="13" t="str">
        <f t="shared" si="1018"/>
        <v/>
      </c>
      <c r="CF642" s="14" t="str">
        <f t="shared" si="1019"/>
        <v/>
      </c>
      <c r="CG642" s="15"/>
      <c r="CH642" s="1"/>
      <c r="CI642" s="16"/>
      <c r="CJ642" s="54"/>
      <c r="CK642" s="13" t="str">
        <f t="shared" si="1034"/>
        <v/>
      </c>
      <c r="CL642" s="13"/>
      <c r="CM642" s="13"/>
      <c r="CN642" s="13"/>
      <c r="CO642" s="13" t="str">
        <f t="shared" si="1035"/>
        <v/>
      </c>
      <c r="CP642" s="13"/>
      <c r="CQ642" s="13"/>
      <c r="CR642" s="13"/>
      <c r="CS642" s="13" t="str">
        <f t="shared" si="1020"/>
        <v/>
      </c>
      <c r="CT642" s="14" t="str">
        <f t="shared" si="1031"/>
        <v/>
      </c>
      <c r="CU642" s="15"/>
      <c r="CV642" s="1"/>
      <c r="CW642" s="16"/>
      <c r="CX642" s="54"/>
      <c r="CY642" s="13" t="str">
        <f t="shared" si="1036"/>
        <v/>
      </c>
      <c r="CZ642" s="13"/>
      <c r="DA642" s="13"/>
      <c r="DB642" s="13"/>
      <c r="DC642" s="13" t="str">
        <f t="shared" si="1037"/>
        <v/>
      </c>
      <c r="DD642" s="13"/>
      <c r="DE642" s="13"/>
      <c r="DF642" s="13"/>
      <c r="DG642" s="13" t="str">
        <f t="shared" si="1021"/>
        <v/>
      </c>
      <c r="DH642" s="14" t="str">
        <f t="shared" si="1022"/>
        <v/>
      </c>
      <c r="DI642" s="15"/>
      <c r="DJ642" s="1"/>
      <c r="DK642" s="16"/>
      <c r="DL642" s="54"/>
      <c r="DM642" s="13" t="str">
        <f t="shared" si="1038"/>
        <v/>
      </c>
      <c r="DN642" s="13"/>
      <c r="DO642" s="13"/>
      <c r="DP642" s="13"/>
      <c r="DQ642" s="13" t="str">
        <f t="shared" si="1039"/>
        <v/>
      </c>
      <c r="DR642" s="13"/>
      <c r="DS642" s="13"/>
      <c r="DT642" s="13"/>
      <c r="DU642" s="13" t="str">
        <f t="shared" si="1023"/>
        <v/>
      </c>
      <c r="DV642" s="14" t="str">
        <f t="shared" si="1024"/>
        <v/>
      </c>
      <c r="DW642" s="15"/>
    </row>
    <row r="643" spans="1:127" ht="15" customHeight="1" thickTop="1" x14ac:dyDescent="0.2">
      <c r="A643" s="79"/>
      <c r="B643" s="74" t="str">
        <f>IF(A643="","",SUM(D643:D646)+SUM(R643:R646)+SUM(AF643:AF646)+SUM(AT643:AT646)+SUM(BW607,CK607,CY607,DM607))</f>
        <v/>
      </c>
      <c r="C643" s="53"/>
      <c r="D643" s="53" t="str">
        <f t="shared" si="990"/>
        <v/>
      </c>
      <c r="E643" s="53"/>
      <c r="F643" s="31" t="str">
        <f t="shared" si="991"/>
        <v/>
      </c>
      <c r="G643" s="53"/>
      <c r="H643" s="53" t="str">
        <f t="shared" si="992"/>
        <v/>
      </c>
      <c r="I643" s="53"/>
      <c r="J643" s="75" t="str">
        <f t="shared" si="1025"/>
        <v/>
      </c>
      <c r="K643" s="76" t="str">
        <f t="shared" si="1026"/>
        <v/>
      </c>
      <c r="L643" s="31" t="str">
        <f t="shared" si="995"/>
        <v/>
      </c>
      <c r="M643" s="32" t="str">
        <f t="shared" si="996"/>
        <v/>
      </c>
      <c r="N643" s="15"/>
      <c r="O643" s="2"/>
      <c r="P643" s="79" t="str">
        <f>IF(A643="","",A643)</f>
        <v/>
      </c>
      <c r="Q643" s="53"/>
      <c r="R643" s="53" t="str">
        <f t="shared" si="997"/>
        <v/>
      </c>
      <c r="S643" s="53"/>
      <c r="T643" s="31" t="str">
        <f t="shared" si="998"/>
        <v/>
      </c>
      <c r="U643" s="53"/>
      <c r="V643" s="53" t="str">
        <f t="shared" si="999"/>
        <v/>
      </c>
      <c r="W643" s="53"/>
      <c r="X643" s="75" t="str">
        <f t="shared" si="1027"/>
        <v/>
      </c>
      <c r="Y643" s="76" t="str">
        <f t="shared" si="1028"/>
        <v/>
      </c>
      <c r="Z643" s="31" t="str">
        <f t="shared" si="1002"/>
        <v/>
      </c>
      <c r="AA643" s="32" t="str">
        <f t="shared" si="1003"/>
        <v/>
      </c>
      <c r="AB643" s="15"/>
      <c r="AD643" s="79" t="str">
        <f>IF($A643="","",$A643)</f>
        <v/>
      </c>
      <c r="AE643" s="53"/>
      <c r="AF643" s="53" t="str">
        <f t="shared" si="1004"/>
        <v/>
      </c>
      <c r="AG643" s="53"/>
      <c r="AH643" s="31" t="str">
        <f t="shared" si="1005"/>
        <v/>
      </c>
      <c r="AI643" s="53"/>
      <c r="AJ643" s="53" t="str">
        <f t="shared" si="1006"/>
        <v/>
      </c>
      <c r="AK643" s="53"/>
      <c r="AL643" s="75" t="str">
        <f t="shared" si="1029"/>
        <v/>
      </c>
      <c r="AM643" s="76" t="str">
        <f t="shared" si="1030"/>
        <v/>
      </c>
      <c r="AN643" s="31" t="str">
        <f t="shared" si="1009"/>
        <v/>
      </c>
      <c r="AO643" s="32" t="str">
        <f t="shared" si="1010"/>
        <v/>
      </c>
      <c r="AP643" s="15"/>
      <c r="AQ643" s="115"/>
      <c r="AR643" s="79" t="str">
        <f>IF($A643="","",$A643)</f>
        <v/>
      </c>
      <c r="AS643" s="53"/>
      <c r="AT643" s="53" t="str">
        <f t="shared" si="1011"/>
        <v/>
      </c>
      <c r="AU643" s="53"/>
      <c r="AV643" s="31" t="str">
        <f t="shared" si="1012"/>
        <v/>
      </c>
      <c r="AW643" s="53"/>
      <c r="AX643" s="53" t="str">
        <f t="shared" si="1013"/>
        <v/>
      </c>
      <c r="AY643" s="53"/>
      <c r="AZ643" s="75" t="str">
        <f t="shared" si="1014"/>
        <v/>
      </c>
      <c r="BA643" s="76" t="str">
        <f t="shared" si="1015"/>
        <v/>
      </c>
      <c r="BB643" s="31" t="str">
        <f t="shared" si="1016"/>
        <v/>
      </c>
      <c r="BC643" s="32" t="str">
        <f t="shared" si="1017"/>
        <v/>
      </c>
      <c r="BD643" s="15"/>
      <c r="BT643" s="114"/>
      <c r="BU643" s="16"/>
      <c r="BV643" s="54"/>
      <c r="BW643" s="13"/>
      <c r="BX643" s="13"/>
      <c r="BY643" s="13"/>
      <c r="BZ643" s="13"/>
      <c r="CA643" s="13"/>
      <c r="CB643" s="13"/>
      <c r="CC643" s="13"/>
      <c r="CD643" s="13"/>
      <c r="CE643" s="13"/>
      <c r="CF643" s="14"/>
      <c r="CG643" s="15"/>
      <c r="CH643" s="1"/>
      <c r="CI643" s="16"/>
      <c r="CJ643" s="54"/>
      <c r="CK643" s="13"/>
      <c r="CL643" s="13"/>
      <c r="CM643" s="13"/>
      <c r="CN643" s="13"/>
      <c r="CO643" s="13"/>
      <c r="CP643" s="13"/>
      <c r="CQ643" s="13"/>
      <c r="CR643" s="13"/>
      <c r="CS643" s="13"/>
      <c r="CT643" s="14"/>
      <c r="CU643" s="15"/>
      <c r="CV643" s="1"/>
      <c r="CW643" s="16"/>
      <c r="CX643" s="54"/>
      <c r="CY643" s="13"/>
      <c r="CZ643" s="13"/>
      <c r="DA643" s="13"/>
      <c r="DB643" s="13"/>
      <c r="DC643" s="13"/>
      <c r="DD643" s="13"/>
      <c r="DE643" s="13"/>
      <c r="DF643" s="13"/>
      <c r="DG643" s="13"/>
      <c r="DH643" s="14"/>
      <c r="DI643" s="15"/>
      <c r="DJ643" s="1"/>
      <c r="DK643" s="16"/>
      <c r="DL643" s="54"/>
      <c r="DM643" s="13"/>
      <c r="DN643" s="13"/>
      <c r="DO643" s="13"/>
      <c r="DP643" s="13"/>
      <c r="DQ643" s="13"/>
      <c r="DR643" s="13"/>
      <c r="DS643" s="13"/>
      <c r="DT643" s="13"/>
      <c r="DU643" s="13"/>
      <c r="DV643" s="14"/>
      <c r="DW643" s="15"/>
    </row>
    <row r="644" spans="1:127" ht="15" customHeight="1" x14ac:dyDescent="0.2">
      <c r="A644" s="16"/>
      <c r="B644" s="11"/>
      <c r="C644" s="13"/>
      <c r="D644" s="13" t="str">
        <f t="shared" si="990"/>
        <v/>
      </c>
      <c r="E644" s="13"/>
      <c r="F644" s="13" t="str">
        <f t="shared" si="991"/>
        <v/>
      </c>
      <c r="G644" s="13"/>
      <c r="H644" s="50" t="str">
        <f t="shared" si="992"/>
        <v/>
      </c>
      <c r="I644" s="13"/>
      <c r="J644" s="56" t="str">
        <f t="shared" si="1025"/>
        <v/>
      </c>
      <c r="K644" s="54" t="str">
        <f t="shared" si="1026"/>
        <v/>
      </c>
      <c r="L644" s="13" t="str">
        <f t="shared" si="995"/>
        <v/>
      </c>
      <c r="M644" s="14" t="str">
        <f t="shared" si="996"/>
        <v/>
      </c>
      <c r="N644" s="15"/>
      <c r="O644" s="2"/>
      <c r="P644" s="16"/>
      <c r="Q644" s="13"/>
      <c r="R644" s="13" t="str">
        <f t="shared" si="997"/>
        <v/>
      </c>
      <c r="S644" s="13"/>
      <c r="T644" s="13" t="str">
        <f t="shared" si="998"/>
        <v/>
      </c>
      <c r="U644" s="13"/>
      <c r="V644" s="50" t="str">
        <f t="shared" si="999"/>
        <v/>
      </c>
      <c r="W644" s="13"/>
      <c r="X644" s="56" t="str">
        <f t="shared" si="1027"/>
        <v/>
      </c>
      <c r="Y644" s="54" t="str">
        <f t="shared" si="1028"/>
        <v/>
      </c>
      <c r="Z644" s="13" t="str">
        <f t="shared" si="1002"/>
        <v/>
      </c>
      <c r="AA644" s="14" t="str">
        <f t="shared" si="1003"/>
        <v/>
      </c>
      <c r="AB644" s="15"/>
      <c r="AD644" s="16"/>
      <c r="AE644" s="13"/>
      <c r="AF644" s="13" t="str">
        <f t="shared" si="1004"/>
        <v/>
      </c>
      <c r="AG644" s="13"/>
      <c r="AH644" s="13" t="str">
        <f t="shared" si="1005"/>
        <v/>
      </c>
      <c r="AI644" s="13"/>
      <c r="AJ644" s="50" t="str">
        <f t="shared" si="1006"/>
        <v/>
      </c>
      <c r="AK644" s="13"/>
      <c r="AL644" s="56" t="str">
        <f t="shared" si="1029"/>
        <v/>
      </c>
      <c r="AM644" s="54" t="str">
        <f t="shared" si="1030"/>
        <v/>
      </c>
      <c r="AN644" s="13" t="str">
        <f t="shared" si="1009"/>
        <v/>
      </c>
      <c r="AO644" s="14" t="str">
        <f t="shared" si="1010"/>
        <v/>
      </c>
      <c r="AP644" s="15"/>
      <c r="AQ644" s="115"/>
      <c r="AR644" s="16"/>
      <c r="AS644" s="13"/>
      <c r="AT644" s="13" t="str">
        <f t="shared" si="1011"/>
        <v/>
      </c>
      <c r="AU644" s="13"/>
      <c r="AV644" s="13" t="str">
        <f t="shared" si="1012"/>
        <v/>
      </c>
      <c r="AW644" s="13"/>
      <c r="AX644" s="50" t="str">
        <f t="shared" si="1013"/>
        <v/>
      </c>
      <c r="AY644" s="13"/>
      <c r="AZ644" s="56" t="str">
        <f t="shared" si="1014"/>
        <v/>
      </c>
      <c r="BA644" s="54" t="str">
        <f t="shared" si="1015"/>
        <v/>
      </c>
      <c r="BB644" s="13" t="str">
        <f t="shared" si="1016"/>
        <v/>
      </c>
      <c r="BC644" s="14" t="str">
        <f t="shared" si="1017"/>
        <v/>
      </c>
      <c r="BD644" s="15"/>
      <c r="BT644" s="114"/>
      <c r="BU644" s="16"/>
      <c r="BV644" s="54"/>
      <c r="BW644" s="13" t="str">
        <f>IF(BV644="","",BV644-#REF!)</f>
        <v/>
      </c>
      <c r="BX644" s="13"/>
      <c r="BY644" s="13"/>
      <c r="BZ644" s="13"/>
      <c r="CA644" s="13" t="str">
        <f>IF(BZ644="","",#REF!+#REF!-BZ644)</f>
        <v/>
      </c>
      <c r="CB644" s="13"/>
      <c r="CC644" s="13"/>
      <c r="CD644" s="13"/>
      <c r="CE644" s="13" t="str">
        <f>IF(CD644="","",CA644*CD644)</f>
        <v/>
      </c>
      <c r="CF644" s="14" t="str">
        <f>IF(CE644="","",CE644/(BW644*100))</f>
        <v/>
      </c>
      <c r="CG644" s="15"/>
      <c r="CH644" s="1"/>
      <c r="CI644" s="16"/>
      <c r="CJ644" s="54"/>
      <c r="CK644" s="13" t="str">
        <f>IF(CJ644="","",CJ644-#REF!)</f>
        <v/>
      </c>
      <c r="CL644" s="13"/>
      <c r="CM644" s="13"/>
      <c r="CN644" s="13"/>
      <c r="CO644" s="13" t="str">
        <f>IF(CN644="","",#REF!+#REF!-CN644)</f>
        <v/>
      </c>
      <c r="CP644" s="13"/>
      <c r="CQ644" s="13"/>
      <c r="CR644" s="13"/>
      <c r="CS644" s="13" t="str">
        <f>IF(CR644="","",CO644*CR644)</f>
        <v/>
      </c>
      <c r="CT644" s="14" t="str">
        <f>IF(CS644="","",CS644/(CK644*100))</f>
        <v/>
      </c>
      <c r="CU644" s="15"/>
      <c r="CV644" s="1"/>
      <c r="CW644" s="16"/>
      <c r="CX644" s="54"/>
      <c r="CY644" s="13" t="str">
        <f>IF(CX644="","",CX644-#REF!)</f>
        <v/>
      </c>
      <c r="CZ644" s="13"/>
      <c r="DA644" s="13"/>
      <c r="DB644" s="13"/>
      <c r="DC644" s="13" t="str">
        <f>IF(DB644="","",#REF!+#REF!-DB644)</f>
        <v/>
      </c>
      <c r="DD644" s="13"/>
      <c r="DE644" s="13"/>
      <c r="DF644" s="13"/>
      <c r="DG644" s="13" t="str">
        <f>IF(DF644="","",DC644*DF644)</f>
        <v/>
      </c>
      <c r="DH644" s="14" t="str">
        <f>IF(DG644="","",DG644/(CY644*100))</f>
        <v/>
      </c>
      <c r="DI644" s="15"/>
      <c r="DJ644" s="1"/>
      <c r="DK644" s="16"/>
      <c r="DL644" s="54"/>
      <c r="DM644" s="13" t="str">
        <f>IF(DL644="","",DL644-#REF!)</f>
        <v/>
      </c>
      <c r="DN644" s="13"/>
      <c r="DO644" s="13"/>
      <c r="DP644" s="13"/>
      <c r="DQ644" s="13" t="str">
        <f>IF(DP644="","",#REF!+#REF!-DP644)</f>
        <v/>
      </c>
      <c r="DR644" s="13"/>
      <c r="DS644" s="13"/>
      <c r="DT644" s="13"/>
      <c r="DU644" s="13" t="str">
        <f>IF(DT644="","",DQ644*DT644)</f>
        <v/>
      </c>
      <c r="DV644" s="14" t="str">
        <f>IF(DU644="","",DU644/(DM644*100))</f>
        <v/>
      </c>
      <c r="DW644" s="15"/>
    </row>
    <row r="645" spans="1:127" ht="15" customHeight="1" x14ac:dyDescent="0.2">
      <c r="A645" s="16"/>
      <c r="B645" s="11"/>
      <c r="C645" s="13"/>
      <c r="D645" s="13" t="str">
        <f t="shared" si="990"/>
        <v/>
      </c>
      <c r="E645" s="13"/>
      <c r="F645" s="13" t="str">
        <f t="shared" si="991"/>
        <v/>
      </c>
      <c r="G645" s="13"/>
      <c r="H645" s="13" t="str">
        <f t="shared" si="992"/>
        <v/>
      </c>
      <c r="I645" s="13"/>
      <c r="J645" s="56" t="str">
        <f t="shared" si="1025"/>
        <v/>
      </c>
      <c r="K645" s="13" t="str">
        <f t="shared" si="1026"/>
        <v/>
      </c>
      <c r="L645" s="13" t="str">
        <f t="shared" si="995"/>
        <v/>
      </c>
      <c r="M645" s="14" t="str">
        <f t="shared" si="996"/>
        <v/>
      </c>
      <c r="N645" s="15"/>
      <c r="O645" s="2"/>
      <c r="P645" s="16"/>
      <c r="Q645" s="13"/>
      <c r="R645" s="13" t="str">
        <f t="shared" si="997"/>
        <v/>
      </c>
      <c r="S645" s="13"/>
      <c r="T645" s="13" t="str">
        <f t="shared" si="998"/>
        <v/>
      </c>
      <c r="U645" s="13"/>
      <c r="V645" s="13" t="str">
        <f t="shared" si="999"/>
        <v/>
      </c>
      <c r="W645" s="13"/>
      <c r="X645" s="56" t="str">
        <f t="shared" si="1027"/>
        <v/>
      </c>
      <c r="Y645" s="13" t="str">
        <f t="shared" si="1028"/>
        <v/>
      </c>
      <c r="Z645" s="13" t="str">
        <f t="shared" si="1002"/>
        <v/>
      </c>
      <c r="AA645" s="14" t="str">
        <f t="shared" si="1003"/>
        <v/>
      </c>
      <c r="AB645" s="15"/>
      <c r="AD645" s="16"/>
      <c r="AE645" s="13"/>
      <c r="AF645" s="13" t="str">
        <f t="shared" si="1004"/>
        <v/>
      </c>
      <c r="AG645" s="13"/>
      <c r="AH645" s="13" t="str">
        <f t="shared" si="1005"/>
        <v/>
      </c>
      <c r="AI645" s="13"/>
      <c r="AJ645" s="13" t="str">
        <f t="shared" si="1006"/>
        <v/>
      </c>
      <c r="AK645" s="13"/>
      <c r="AL645" s="56" t="str">
        <f t="shared" si="1029"/>
        <v/>
      </c>
      <c r="AM645" s="13" t="str">
        <f t="shared" si="1030"/>
        <v/>
      </c>
      <c r="AN645" s="13" t="str">
        <f t="shared" si="1009"/>
        <v/>
      </c>
      <c r="AO645" s="14" t="str">
        <f t="shared" si="1010"/>
        <v/>
      </c>
      <c r="AP645" s="15"/>
      <c r="AQ645" s="115"/>
      <c r="AR645" s="16"/>
      <c r="AS645" s="13"/>
      <c r="AT645" s="13" t="str">
        <f t="shared" si="1011"/>
        <v/>
      </c>
      <c r="AU645" s="13"/>
      <c r="AV645" s="13" t="str">
        <f t="shared" si="1012"/>
        <v/>
      </c>
      <c r="AW645" s="13"/>
      <c r="AX645" s="13" t="str">
        <f t="shared" si="1013"/>
        <v/>
      </c>
      <c r="AY645" s="13"/>
      <c r="AZ645" s="56" t="str">
        <f t="shared" si="1014"/>
        <v/>
      </c>
      <c r="BA645" s="13" t="str">
        <f t="shared" si="1015"/>
        <v/>
      </c>
      <c r="BB645" s="13" t="str">
        <f t="shared" si="1016"/>
        <v/>
      </c>
      <c r="BC645" s="14" t="str">
        <f t="shared" si="1017"/>
        <v/>
      </c>
      <c r="BD645" s="15"/>
      <c r="BU645" s="16"/>
      <c r="BV645" s="54"/>
      <c r="BW645" s="13" t="str">
        <f>IF(BV645="","",BV645-BV644)</f>
        <v/>
      </c>
      <c r="BX645" s="13"/>
      <c r="BY645" s="13"/>
      <c r="BZ645" s="13"/>
      <c r="CA645" s="13" t="str">
        <f>IF(BZ645="","",BZ644+CB644-BZ645)</f>
        <v/>
      </c>
      <c r="CB645" s="13"/>
      <c r="CC645" s="13"/>
      <c r="CD645" s="13"/>
      <c r="CE645" s="13" t="str">
        <f>IF(CD645="","",CA645*CD645)</f>
        <v/>
      </c>
      <c r="CF645" s="14" t="str">
        <f>IF(CE645="","",CE645/(BW645*100))</f>
        <v/>
      </c>
      <c r="CG645" s="15"/>
      <c r="CH645" s="1"/>
      <c r="CI645" s="16"/>
      <c r="CJ645" s="54"/>
      <c r="CK645" s="13" t="str">
        <f>IF(CJ645="","",CJ645-CJ644)</f>
        <v/>
      </c>
      <c r="CL645" s="13"/>
      <c r="CM645" s="13"/>
      <c r="CN645" s="13"/>
      <c r="CO645" s="13" t="str">
        <f>IF(CN645="","",CN644+CP644-CN645)</f>
        <v/>
      </c>
      <c r="CP645" s="13"/>
      <c r="CQ645" s="13"/>
      <c r="CR645" s="13"/>
      <c r="CS645" s="13" t="str">
        <f>IF(CR645="","",CO645*CR645)</f>
        <v/>
      </c>
      <c r="CT645" s="14" t="str">
        <f>IF(CS645="","",CS645/(CK645*100))</f>
        <v/>
      </c>
      <c r="CU645" s="15"/>
      <c r="CV645" s="1"/>
      <c r="CW645" s="16"/>
      <c r="CX645" s="54"/>
      <c r="CY645" s="13" t="str">
        <f>IF(CX645="","",CX645-CX644)</f>
        <v/>
      </c>
      <c r="CZ645" s="13"/>
      <c r="DA645" s="13"/>
      <c r="DB645" s="13"/>
      <c r="DC645" s="13" t="str">
        <f>IF(DB645="","",DB644+DD644-DB645)</f>
        <v/>
      </c>
      <c r="DD645" s="13"/>
      <c r="DE645" s="13"/>
      <c r="DF645" s="13"/>
      <c r="DG645" s="13" t="str">
        <f>IF(DF645="","",DC645*DF645)</f>
        <v/>
      </c>
      <c r="DH645" s="14" t="str">
        <f>IF(DG645="","",DG645/(CY645*100))</f>
        <v/>
      </c>
      <c r="DI645" s="15"/>
      <c r="DJ645" s="1"/>
      <c r="DK645" s="16"/>
      <c r="DL645" s="54"/>
      <c r="DM645" s="13" t="str">
        <f>IF(DL645="","",DL645-DL644)</f>
        <v/>
      </c>
      <c r="DN645" s="13"/>
      <c r="DO645" s="13"/>
      <c r="DP645" s="13"/>
      <c r="DQ645" s="13" t="str">
        <f>IF(DP645="","",DP644+DR644-DP645)</f>
        <v/>
      </c>
      <c r="DR645" s="13"/>
      <c r="DS645" s="13"/>
      <c r="DT645" s="13"/>
      <c r="DU645" s="13" t="str">
        <f>IF(DT645="","",DQ645*DT645)</f>
        <v/>
      </c>
      <c r="DV645" s="14" t="str">
        <f>IF(DU645="","",DU645/(DM645*100))</f>
        <v/>
      </c>
      <c r="DW645" s="15"/>
    </row>
    <row r="646" spans="1:127" ht="15" customHeight="1" thickBot="1" x14ac:dyDescent="0.25">
      <c r="A646" s="26"/>
      <c r="B646" s="46"/>
      <c r="C646" s="27"/>
      <c r="D646" s="27" t="str">
        <f t="shared" si="990"/>
        <v/>
      </c>
      <c r="E646" s="27"/>
      <c r="F646" s="27" t="str">
        <f t="shared" si="991"/>
        <v/>
      </c>
      <c r="G646" s="27"/>
      <c r="H646" s="27" t="str">
        <f t="shared" si="992"/>
        <v/>
      </c>
      <c r="I646" s="27"/>
      <c r="J646" s="57" t="str">
        <f t="shared" si="1025"/>
        <v/>
      </c>
      <c r="K646" s="62" t="str">
        <f t="shared" si="1026"/>
        <v/>
      </c>
      <c r="L646" s="27" t="str">
        <f t="shared" si="995"/>
        <v/>
      </c>
      <c r="M646" s="28" t="str">
        <f t="shared" si="996"/>
        <v/>
      </c>
      <c r="N646" s="15"/>
      <c r="O646" s="2"/>
      <c r="P646" s="26"/>
      <c r="Q646" s="27"/>
      <c r="R646" s="27" t="str">
        <f t="shared" si="997"/>
        <v/>
      </c>
      <c r="S646" s="27"/>
      <c r="T646" s="27" t="str">
        <f t="shared" si="998"/>
        <v/>
      </c>
      <c r="U646" s="27"/>
      <c r="V646" s="27" t="str">
        <f t="shared" si="999"/>
        <v/>
      </c>
      <c r="W646" s="27"/>
      <c r="X646" s="57" t="str">
        <f t="shared" si="1027"/>
        <v/>
      </c>
      <c r="Y646" s="62" t="str">
        <f t="shared" si="1028"/>
        <v/>
      </c>
      <c r="Z646" s="27" t="str">
        <f t="shared" si="1002"/>
        <v/>
      </c>
      <c r="AA646" s="28" t="str">
        <f t="shared" si="1003"/>
        <v/>
      </c>
      <c r="AB646" s="15"/>
      <c r="AD646" s="26"/>
      <c r="AE646" s="27"/>
      <c r="AF646" s="27" t="str">
        <f t="shared" si="1004"/>
        <v/>
      </c>
      <c r="AG646" s="27"/>
      <c r="AH646" s="27" t="str">
        <f t="shared" si="1005"/>
        <v/>
      </c>
      <c r="AI646" s="27"/>
      <c r="AJ646" s="27" t="str">
        <f t="shared" si="1006"/>
        <v/>
      </c>
      <c r="AK646" s="27"/>
      <c r="AL646" s="57" t="str">
        <f t="shared" si="1029"/>
        <v/>
      </c>
      <c r="AM646" s="62" t="str">
        <f t="shared" si="1030"/>
        <v/>
      </c>
      <c r="AN646" s="27" t="str">
        <f t="shared" si="1009"/>
        <v/>
      </c>
      <c r="AO646" s="28" t="str">
        <f t="shared" si="1010"/>
        <v/>
      </c>
      <c r="AP646" s="15"/>
      <c r="AQ646" s="115"/>
      <c r="AR646" s="26"/>
      <c r="AS646" s="27"/>
      <c r="AT646" s="27" t="str">
        <f t="shared" si="1011"/>
        <v/>
      </c>
      <c r="AU646" s="27"/>
      <c r="AV646" s="27" t="str">
        <f t="shared" si="1012"/>
        <v/>
      </c>
      <c r="AW646" s="27"/>
      <c r="AX646" s="27" t="str">
        <f t="shared" si="1013"/>
        <v/>
      </c>
      <c r="AY646" s="27"/>
      <c r="AZ646" s="57" t="str">
        <f t="shared" si="1014"/>
        <v/>
      </c>
      <c r="BA646" s="62" t="str">
        <f t="shared" si="1015"/>
        <v/>
      </c>
      <c r="BB646" s="27" t="str">
        <f t="shared" si="1016"/>
        <v/>
      </c>
      <c r="BC646" s="28" t="str">
        <f t="shared" si="1017"/>
        <v/>
      </c>
      <c r="BD646" s="15"/>
      <c r="BU646" s="16"/>
      <c r="BV646" s="54"/>
      <c r="BW646" s="13" t="str">
        <f>IF(BV646="","",BV646-BV645)</f>
        <v/>
      </c>
      <c r="BX646" s="13"/>
      <c r="BY646" s="13"/>
      <c r="BZ646" s="13"/>
      <c r="CA646" s="13" t="str">
        <f>IF(BZ646="","",BZ645+CB645-BZ646)</f>
        <v/>
      </c>
      <c r="CB646" s="13"/>
      <c r="CC646" s="13"/>
      <c r="CD646" s="13"/>
      <c r="CE646" s="13" t="str">
        <f>IF(CD646="","",CA646*CD646)</f>
        <v/>
      </c>
      <c r="CF646" s="14" t="str">
        <f>IF(CE646="","",CE646/(BW646*100))</f>
        <v/>
      </c>
      <c r="CG646" s="15"/>
      <c r="CH646" s="1"/>
      <c r="CI646" s="16"/>
      <c r="CJ646" s="54"/>
      <c r="CK646" s="13" t="str">
        <f>IF(CJ646="","",CJ646-CJ645)</f>
        <v/>
      </c>
      <c r="CL646" s="13"/>
      <c r="CM646" s="13"/>
      <c r="CN646" s="13"/>
      <c r="CO646" s="13" t="str">
        <f>IF(CN646="","",CN645+CP645-CN646)</f>
        <v/>
      </c>
      <c r="CP646" s="13"/>
      <c r="CQ646" s="13"/>
      <c r="CR646" s="13"/>
      <c r="CS646" s="13" t="str">
        <f>IF(CR646="","",CO646*CR646)</f>
        <v/>
      </c>
      <c r="CT646" s="14" t="str">
        <f>IF(CS646="","",CS646/(CK646*100))</f>
        <v/>
      </c>
      <c r="CU646" s="15"/>
      <c r="CV646" s="1"/>
      <c r="CW646" s="16"/>
      <c r="CX646" s="54"/>
      <c r="CY646" s="13" t="str">
        <f>IF(CX646="","",CX646-CX645)</f>
        <v/>
      </c>
      <c r="CZ646" s="13"/>
      <c r="DA646" s="13"/>
      <c r="DB646" s="13"/>
      <c r="DC646" s="13" t="str">
        <f>IF(DB646="","",DB645+DD645-DB646)</f>
        <v/>
      </c>
      <c r="DD646" s="13"/>
      <c r="DE646" s="13"/>
      <c r="DF646" s="13"/>
      <c r="DG646" s="13" t="str">
        <f>IF(DF646="","",DC646*DF646)</f>
        <v/>
      </c>
      <c r="DH646" s="14" t="str">
        <f>IF(DG646="","",DG646/(CY646*100))</f>
        <v/>
      </c>
      <c r="DI646" s="15"/>
      <c r="DJ646" s="1"/>
      <c r="DK646" s="16"/>
      <c r="DL646" s="54"/>
      <c r="DM646" s="13" t="str">
        <f>IF(DL646="","",DL646-DL645)</f>
        <v/>
      </c>
      <c r="DN646" s="13"/>
      <c r="DO646" s="13"/>
      <c r="DP646" s="13"/>
      <c r="DQ646" s="13" t="str">
        <f>IF(DP646="","",DP645+DR645-DP646)</f>
        <v/>
      </c>
      <c r="DR646" s="13"/>
      <c r="DS646" s="13"/>
      <c r="DT646" s="13"/>
      <c r="DU646" s="13" t="str">
        <f>IF(DT646="","",DQ646*DT646)</f>
        <v/>
      </c>
      <c r="DV646" s="14" t="str">
        <f>IF(DU646="","",DU646/(DM646*100))</f>
        <v/>
      </c>
      <c r="DW646" s="15"/>
    </row>
    <row r="647" spans="1:127" ht="15" customHeight="1" thickTop="1" x14ac:dyDescent="0.2">
      <c r="A647" s="79"/>
      <c r="B647" s="74"/>
      <c r="C647" s="53"/>
      <c r="D647" s="53"/>
      <c r="E647" s="53"/>
      <c r="F647" s="53"/>
      <c r="G647" s="53"/>
      <c r="H647" s="53"/>
      <c r="I647" s="53"/>
      <c r="J647" s="75"/>
      <c r="K647" s="53"/>
      <c r="L647" s="53"/>
      <c r="M647" s="53"/>
      <c r="N647" s="15"/>
      <c r="O647" s="2"/>
      <c r="P647" s="79"/>
      <c r="Q647" s="53"/>
      <c r="R647" s="53"/>
      <c r="S647" s="53"/>
      <c r="T647" s="53"/>
      <c r="U647" s="53"/>
      <c r="V647" s="53"/>
      <c r="W647" s="53"/>
      <c r="X647" s="78"/>
      <c r="Y647" s="53"/>
      <c r="Z647" s="53"/>
      <c r="AA647" s="53"/>
      <c r="AB647" s="15"/>
      <c r="AD647" s="79"/>
      <c r="AE647" s="53"/>
      <c r="AF647" s="53"/>
      <c r="AG647" s="53"/>
      <c r="AH647" s="53"/>
      <c r="AI647" s="53"/>
      <c r="AJ647" s="53"/>
      <c r="AK647" s="53"/>
      <c r="AL647" s="75"/>
      <c r="AM647" s="53"/>
      <c r="AN647" s="53"/>
      <c r="AO647" s="53"/>
      <c r="AP647" s="15"/>
      <c r="AQ647" s="2"/>
      <c r="AR647" s="79"/>
      <c r="AS647" s="53"/>
      <c r="AT647" s="53"/>
      <c r="AU647" s="53"/>
      <c r="AV647" s="53"/>
      <c r="AW647" s="53"/>
      <c r="AX647" s="53"/>
      <c r="AY647" s="53"/>
      <c r="AZ647" s="75"/>
      <c r="BA647" s="53"/>
      <c r="BB647" s="53"/>
      <c r="BC647" s="53"/>
      <c r="BD647" s="15"/>
      <c r="BU647" s="16"/>
      <c r="BV647" s="54"/>
      <c r="BW647" s="13"/>
      <c r="BX647" s="13"/>
      <c r="BY647" s="13"/>
      <c r="BZ647" s="13"/>
      <c r="CA647" s="13" t="str">
        <f>IF(BZ647="","",BZ646+CB646-BZ647)</f>
        <v/>
      </c>
      <c r="CB647" s="13"/>
      <c r="CC647" s="13"/>
      <c r="CD647" s="13"/>
      <c r="CE647" s="13" t="str">
        <f>IF(CD647="","",CA647*CD647)</f>
        <v/>
      </c>
      <c r="CF647" s="14" t="str">
        <f>IF(CE647="","",CE647/(BW647*100))</f>
        <v/>
      </c>
      <c r="CG647" s="15"/>
      <c r="CH647" s="1"/>
      <c r="CI647" s="16"/>
      <c r="CJ647" s="54"/>
      <c r="CK647" s="13"/>
      <c r="CL647" s="13"/>
      <c r="CM647" s="13"/>
      <c r="CN647" s="13"/>
      <c r="CO647" s="13" t="str">
        <f>IF(CN647="","",CN646+CP646-CN647)</f>
        <v/>
      </c>
      <c r="CP647" s="13"/>
      <c r="CQ647" s="13"/>
      <c r="CR647" s="13"/>
      <c r="CS647" s="13" t="str">
        <f>IF(CR647="","",CO647*CR647)</f>
        <v/>
      </c>
      <c r="CT647" s="14" t="str">
        <f>IF(CS647="","",CS647/(CK647*100))</f>
        <v/>
      </c>
      <c r="CU647" s="15"/>
      <c r="CV647" s="1"/>
      <c r="CW647" s="16"/>
      <c r="CX647" s="54"/>
      <c r="CY647" s="13"/>
      <c r="CZ647" s="13"/>
      <c r="DA647" s="13"/>
      <c r="DB647" s="13"/>
      <c r="DC647" s="13" t="str">
        <f>IF(DB647="","",DB646+DD646-DB647)</f>
        <v/>
      </c>
      <c r="DD647" s="13"/>
      <c r="DE647" s="13"/>
      <c r="DF647" s="13"/>
      <c r="DG647" s="13" t="str">
        <f>IF(DF647="","",DC647*DF647)</f>
        <v/>
      </c>
      <c r="DH647" s="14" t="str">
        <f>IF(DG647="","",DG647/(CY647*100))</f>
        <v/>
      </c>
      <c r="DI647" s="15"/>
      <c r="DJ647" s="1"/>
      <c r="DK647" s="16"/>
      <c r="DL647" s="54"/>
      <c r="DM647" s="13"/>
      <c r="DN647" s="13"/>
      <c r="DO647" s="13"/>
      <c r="DP647" s="13"/>
      <c r="DQ647" s="13" t="str">
        <f>IF(DP647="","",DP646+DR646-DP647)</f>
        <v/>
      </c>
      <c r="DR647" s="13"/>
      <c r="DS647" s="13"/>
      <c r="DT647" s="13"/>
      <c r="DU647" s="13" t="str">
        <f>IF(DT647="","",DQ647*DT647)</f>
        <v/>
      </c>
      <c r="DV647" s="14" t="str">
        <f>IF(DU647="","",DU647/(DM647*100))</f>
        <v/>
      </c>
      <c r="DW647" s="15"/>
    </row>
    <row r="648" spans="1:127" ht="15" customHeight="1" x14ac:dyDescent="0.2">
      <c r="A648" s="79"/>
      <c r="B648" s="74"/>
      <c r="C648" s="53"/>
      <c r="D648" s="53"/>
      <c r="E648" s="53"/>
      <c r="F648" s="53"/>
      <c r="G648" s="53"/>
      <c r="H648" s="53"/>
      <c r="I648" s="53"/>
      <c r="J648" s="75"/>
      <c r="K648" s="53"/>
      <c r="L648" s="53"/>
      <c r="M648" s="53"/>
      <c r="N648" s="15"/>
      <c r="O648" s="2"/>
      <c r="P648" s="79"/>
      <c r="Q648" s="53"/>
      <c r="R648" s="53"/>
      <c r="S648" s="53"/>
      <c r="T648" s="53"/>
      <c r="U648" s="53"/>
      <c r="V648" s="53"/>
      <c r="W648" s="53"/>
      <c r="X648" s="78"/>
      <c r="Y648" s="53"/>
      <c r="Z648" s="53"/>
      <c r="AA648" s="53"/>
      <c r="AB648" s="15"/>
      <c r="AD648" s="79"/>
      <c r="AE648" s="53"/>
      <c r="AF648" s="53"/>
      <c r="AG648" s="53"/>
      <c r="AH648" s="53"/>
      <c r="AI648" s="53"/>
      <c r="AJ648" s="53"/>
      <c r="AK648" s="53"/>
      <c r="AL648" s="75"/>
      <c r="AM648" s="53"/>
      <c r="AN648" s="53"/>
      <c r="AO648" s="53"/>
      <c r="AP648" s="15"/>
      <c r="AQ648" s="2"/>
      <c r="AR648" s="79"/>
      <c r="AS648" s="53"/>
      <c r="AT648" s="53"/>
      <c r="AU648" s="53"/>
      <c r="AV648" s="53"/>
      <c r="AW648" s="53"/>
      <c r="AX648" s="53"/>
      <c r="AY648" s="53"/>
      <c r="AZ648" s="75"/>
      <c r="BA648" s="53"/>
      <c r="BB648" s="53"/>
      <c r="BC648" s="53"/>
      <c r="BD648" s="15"/>
      <c r="BU648" s="16"/>
      <c r="BV648" s="54"/>
      <c r="BW648" s="13"/>
      <c r="BX648" s="13"/>
      <c r="BY648" s="13"/>
      <c r="BZ648" s="13"/>
      <c r="CA648" s="13"/>
      <c r="CB648" s="13"/>
      <c r="CC648" s="13"/>
      <c r="CD648" s="13"/>
      <c r="CE648" s="13"/>
      <c r="CF648" s="14"/>
      <c r="CG648" s="15"/>
      <c r="CH648" s="1"/>
      <c r="CI648" s="16"/>
      <c r="CJ648" s="54"/>
      <c r="CK648" s="13"/>
      <c r="CL648" s="13"/>
      <c r="CM648" s="13"/>
      <c r="CN648" s="13"/>
      <c r="CO648" s="13"/>
      <c r="CP648" s="13"/>
      <c r="CQ648" s="13"/>
      <c r="CR648" s="13"/>
      <c r="CS648" s="13"/>
      <c r="CT648" s="14"/>
      <c r="CU648" s="15"/>
      <c r="CV648" s="1"/>
      <c r="CW648" s="16"/>
      <c r="CX648" s="54"/>
      <c r="CY648" s="13"/>
      <c r="CZ648" s="13"/>
      <c r="DA648" s="13"/>
      <c r="DB648" s="13"/>
      <c r="DC648" s="13"/>
      <c r="DD648" s="13"/>
      <c r="DE648" s="13"/>
      <c r="DF648" s="13"/>
      <c r="DG648" s="13"/>
      <c r="DH648" s="14"/>
      <c r="DI648" s="15"/>
      <c r="DJ648" s="1"/>
      <c r="DK648" s="16"/>
      <c r="DL648" s="54"/>
      <c r="DM648" s="13"/>
      <c r="DN648" s="13"/>
      <c r="DO648" s="13"/>
      <c r="DP648" s="13"/>
      <c r="DQ648" s="13"/>
      <c r="DR648" s="13"/>
      <c r="DS648" s="13"/>
      <c r="DT648" s="13"/>
      <c r="DU648" s="13"/>
      <c r="DV648" s="14"/>
      <c r="DW648" s="15"/>
    </row>
    <row r="649" spans="1:127" ht="15" customHeight="1" x14ac:dyDescent="0.2">
      <c r="A649" s="79"/>
      <c r="B649" s="74"/>
      <c r="C649" s="53"/>
      <c r="D649" s="53"/>
      <c r="E649" s="53"/>
      <c r="F649" s="53"/>
      <c r="G649" s="53"/>
      <c r="H649" s="53"/>
      <c r="I649" s="53"/>
      <c r="J649" s="75"/>
      <c r="K649" s="53"/>
      <c r="L649" s="53"/>
      <c r="M649" s="53"/>
      <c r="N649" s="15"/>
      <c r="O649" s="2"/>
      <c r="P649" s="79"/>
      <c r="Q649" s="53"/>
      <c r="R649" s="53"/>
      <c r="S649" s="53"/>
      <c r="T649" s="53"/>
      <c r="U649" s="53"/>
      <c r="V649" s="53"/>
      <c r="W649" s="53"/>
      <c r="X649" s="78"/>
      <c r="Y649" s="53"/>
      <c r="Z649" s="53"/>
      <c r="AA649" s="53"/>
      <c r="AB649" s="15"/>
      <c r="AD649" s="79"/>
      <c r="AE649" s="53"/>
      <c r="AF649" s="53"/>
      <c r="AG649" s="53"/>
      <c r="AH649" s="53"/>
      <c r="AI649" s="53"/>
      <c r="AJ649" s="53"/>
      <c r="AK649" s="53"/>
      <c r="AL649" s="75"/>
      <c r="AM649" s="53"/>
      <c r="AN649" s="53"/>
      <c r="AO649" s="53"/>
      <c r="AP649" s="15"/>
      <c r="AQ649" s="2"/>
      <c r="AR649" s="79"/>
      <c r="AS649" s="53"/>
      <c r="AT649" s="53"/>
      <c r="AU649" s="53"/>
      <c r="AV649" s="53"/>
      <c r="AW649" s="53"/>
      <c r="AX649" s="53"/>
      <c r="AY649" s="53"/>
      <c r="AZ649" s="75"/>
      <c r="BA649" s="53"/>
      <c r="BB649" s="53"/>
      <c r="BC649" s="53"/>
      <c r="BD649" s="15"/>
      <c r="BU649" s="16"/>
      <c r="BV649" s="54"/>
      <c r="BW649" s="13"/>
      <c r="BX649" s="13"/>
      <c r="BY649" s="13"/>
      <c r="BZ649" s="13"/>
      <c r="CA649" s="13"/>
      <c r="CB649" s="13"/>
      <c r="CC649" s="13"/>
      <c r="CD649" s="13"/>
      <c r="CE649" s="13"/>
      <c r="CF649" s="14"/>
      <c r="CG649" s="15"/>
      <c r="CH649" s="1"/>
      <c r="CI649" s="16"/>
      <c r="CJ649" s="54"/>
      <c r="CK649" s="13"/>
      <c r="CL649" s="13"/>
      <c r="CM649" s="13"/>
      <c r="CN649" s="13"/>
      <c r="CO649" s="13"/>
      <c r="CP649" s="13"/>
      <c r="CQ649" s="13"/>
      <c r="CR649" s="13"/>
      <c r="CS649" s="13"/>
      <c r="CT649" s="14"/>
      <c r="CU649" s="15"/>
      <c r="CV649" s="1"/>
      <c r="CW649" s="16"/>
      <c r="CX649" s="54"/>
      <c r="CY649" s="13"/>
      <c r="CZ649" s="13"/>
      <c r="DA649" s="13"/>
      <c r="DB649" s="13"/>
      <c r="DC649" s="13"/>
      <c r="DD649" s="13"/>
      <c r="DE649" s="13"/>
      <c r="DF649" s="13"/>
      <c r="DG649" s="13"/>
      <c r="DH649" s="14"/>
      <c r="DI649" s="15"/>
      <c r="DJ649" s="1"/>
      <c r="DK649" s="16"/>
      <c r="DL649" s="54"/>
      <c r="DM649" s="13"/>
      <c r="DN649" s="13"/>
      <c r="DO649" s="13"/>
      <c r="DP649" s="13"/>
      <c r="DQ649" s="13"/>
      <c r="DR649" s="13"/>
      <c r="DS649" s="13"/>
      <c r="DT649" s="13"/>
      <c r="DU649" s="13"/>
      <c r="DV649" s="14"/>
      <c r="DW649" s="15"/>
    </row>
    <row r="650" spans="1:127" ht="15" customHeight="1" x14ac:dyDescent="0.2">
      <c r="A650" s="79"/>
      <c r="B650" s="74"/>
      <c r="C650" s="53"/>
      <c r="D650" s="53"/>
      <c r="E650" s="53"/>
      <c r="F650" s="53"/>
      <c r="G650" s="53"/>
      <c r="H650" s="53"/>
      <c r="I650" s="53"/>
      <c r="J650" s="75"/>
      <c r="K650" s="53"/>
      <c r="L650" s="53"/>
      <c r="M650" s="53"/>
      <c r="N650" s="15"/>
      <c r="O650" s="2"/>
      <c r="P650" s="79"/>
      <c r="Q650" s="53"/>
      <c r="R650" s="53"/>
      <c r="S650" s="53"/>
      <c r="T650" s="53"/>
      <c r="U650" s="53"/>
      <c r="V650" s="53"/>
      <c r="W650" s="53"/>
      <c r="X650" s="78"/>
      <c r="Y650" s="53"/>
      <c r="Z650" s="53"/>
      <c r="AA650" s="53"/>
      <c r="AB650" s="15"/>
      <c r="AD650" s="79"/>
      <c r="AE650" s="53"/>
      <c r="AF650" s="53"/>
      <c r="AG650" s="53"/>
      <c r="AH650" s="53"/>
      <c r="AI650" s="53"/>
      <c r="AJ650" s="53"/>
      <c r="AK650" s="53"/>
      <c r="AL650" s="75"/>
      <c r="AM650" s="53"/>
      <c r="AN650" s="53"/>
      <c r="AO650" s="53"/>
      <c r="AP650" s="15"/>
      <c r="AQ650" s="2"/>
      <c r="AR650" s="79"/>
      <c r="AS650" s="53"/>
      <c r="AT650" s="53"/>
      <c r="AU650" s="53"/>
      <c r="AV650" s="53"/>
      <c r="AW650" s="53"/>
      <c r="AX650" s="53"/>
      <c r="AY650" s="53"/>
      <c r="AZ650" s="75"/>
      <c r="BA650" s="53"/>
      <c r="BB650" s="53"/>
      <c r="BC650" s="53"/>
      <c r="BD650" s="15"/>
      <c r="BU650" s="16"/>
      <c r="BV650" s="54"/>
      <c r="BW650" s="13"/>
      <c r="BX650" s="13"/>
      <c r="BY650" s="13"/>
      <c r="BZ650" s="13"/>
      <c r="CA650" s="13"/>
      <c r="CB650" s="13"/>
      <c r="CC650" s="13"/>
      <c r="CD650" s="13"/>
      <c r="CE650" s="13"/>
      <c r="CF650" s="14"/>
      <c r="CG650" s="15"/>
      <c r="CH650" s="1"/>
      <c r="CI650" s="16"/>
      <c r="CJ650" s="54"/>
      <c r="CK650" s="13"/>
      <c r="CL650" s="13"/>
      <c r="CM650" s="13"/>
      <c r="CN650" s="13"/>
      <c r="CO650" s="13"/>
      <c r="CP650" s="13"/>
      <c r="CQ650" s="13"/>
      <c r="CR650" s="13"/>
      <c r="CS650" s="13"/>
      <c r="CT650" s="14"/>
      <c r="CU650" s="15"/>
      <c r="CV650" s="1"/>
      <c r="CW650" s="16"/>
      <c r="CX650" s="54"/>
      <c r="CY650" s="13"/>
      <c r="CZ650" s="13"/>
      <c r="DA650" s="13"/>
      <c r="DB650" s="13"/>
      <c r="DC650" s="13"/>
      <c r="DD650" s="13"/>
      <c r="DE650" s="13"/>
      <c r="DF650" s="13"/>
      <c r="DG650" s="13"/>
      <c r="DH650" s="14"/>
      <c r="DI650" s="15"/>
      <c r="DJ650" s="1"/>
      <c r="DK650" s="16"/>
      <c r="DL650" s="54"/>
      <c r="DM650" s="13"/>
      <c r="DN650" s="13"/>
      <c r="DO650" s="13"/>
      <c r="DP650" s="13"/>
      <c r="DQ650" s="13"/>
      <c r="DR650" s="13"/>
      <c r="DS650" s="13"/>
      <c r="DT650" s="13"/>
      <c r="DU650" s="13"/>
      <c r="DV650" s="14"/>
      <c r="DW650" s="15"/>
    </row>
    <row r="651" spans="1:127" ht="15" customHeight="1" x14ac:dyDescent="0.2">
      <c r="A651" s="59">
        <v>28</v>
      </c>
      <c r="B651" s="74"/>
      <c r="C651" s="5" t="s">
        <v>19</v>
      </c>
      <c r="D651" s="13">
        <f>SUM(D595:D647)*100</f>
        <v>392100</v>
      </c>
      <c r="E651" s="13"/>
      <c r="F651" s="13"/>
      <c r="G651" s="5"/>
      <c r="H651" s="13"/>
      <c r="I651" s="13"/>
      <c r="J651" s="271" t="s">
        <v>21</v>
      </c>
      <c r="K651" s="271"/>
      <c r="L651" s="13">
        <f>SUM(L595:L647)</f>
        <v>66914</v>
      </c>
      <c r="M651" s="13"/>
      <c r="N651" s="15"/>
      <c r="O651" s="2"/>
      <c r="P651" s="16"/>
      <c r="Q651" s="5" t="s">
        <v>19</v>
      </c>
      <c r="R651" s="13">
        <f>SUM(R595:R647)*100</f>
        <v>578500</v>
      </c>
      <c r="S651" s="13"/>
      <c r="T651" s="13"/>
      <c r="U651" s="5"/>
      <c r="V651" s="13"/>
      <c r="W651" s="13"/>
      <c r="X651" s="271" t="s">
        <v>21</v>
      </c>
      <c r="Y651" s="271"/>
      <c r="Z651" s="13">
        <f>SUM(Z595:Z647)</f>
        <v>65120</v>
      </c>
      <c r="AA651" s="13"/>
      <c r="AB651" s="15"/>
      <c r="AD651" s="16"/>
      <c r="AE651" s="5" t="s">
        <v>19</v>
      </c>
      <c r="AF651" s="13">
        <f>SUM(AF595:AF647)*100</f>
        <v>406400</v>
      </c>
      <c r="AG651" s="13"/>
      <c r="AH651" s="13"/>
      <c r="AI651" s="5"/>
      <c r="AJ651" s="13"/>
      <c r="AK651" s="13"/>
      <c r="AL651" s="271" t="s">
        <v>21</v>
      </c>
      <c r="AM651" s="271"/>
      <c r="AN651" s="13">
        <f>SUM(AN595:AN647)</f>
        <v>56361</v>
      </c>
      <c r="AO651" s="13"/>
      <c r="AP651" s="15"/>
      <c r="AQ651" s="2"/>
      <c r="AR651" s="16"/>
      <c r="AS651" s="5" t="s">
        <v>19</v>
      </c>
      <c r="AT651" s="13">
        <f>SUM(AT595:AT647)*100</f>
        <v>320300</v>
      </c>
      <c r="AU651" s="13"/>
      <c r="AV651" s="13"/>
      <c r="AW651" s="5"/>
      <c r="AX651" s="13"/>
      <c r="AY651" s="13"/>
      <c r="AZ651" s="271" t="s">
        <v>21</v>
      </c>
      <c r="BA651" s="271"/>
      <c r="BB651" s="13">
        <f>SUM(BB595:BB647)</f>
        <v>48832</v>
      </c>
      <c r="BC651" s="13"/>
      <c r="BD651" s="15"/>
      <c r="BU651" s="16"/>
      <c r="BV651" s="69" t="s">
        <v>19</v>
      </c>
      <c r="BW651" s="13">
        <f>SUM(BW595:BW647)*100</f>
        <v>169800</v>
      </c>
      <c r="BX651" s="13"/>
      <c r="BY651" s="13"/>
      <c r="BZ651" s="5"/>
      <c r="CA651" s="13"/>
      <c r="CB651" s="13"/>
      <c r="CC651" s="13"/>
      <c r="CD651" s="13"/>
      <c r="CE651" s="13"/>
      <c r="CF651" s="13"/>
      <c r="CG651" s="15"/>
      <c r="CH651" s="1"/>
      <c r="CI651" s="16"/>
      <c r="CJ651" s="69" t="s">
        <v>19</v>
      </c>
      <c r="CK651" s="13">
        <f>SUM(CK595:CK647)*100</f>
        <v>162800</v>
      </c>
      <c r="CL651" s="13"/>
      <c r="CM651" s="13"/>
      <c r="CN651" s="5"/>
      <c r="CO651" s="13"/>
      <c r="CP651" s="13"/>
      <c r="CQ651" s="13"/>
      <c r="CR651" s="13"/>
      <c r="CS651" s="13"/>
      <c r="CT651" s="13"/>
      <c r="CU651" s="15"/>
      <c r="CV651" s="1"/>
      <c r="CW651" s="16"/>
      <c r="CX651" s="69" t="s">
        <v>19</v>
      </c>
      <c r="CY651" s="13">
        <f>SUM(CY595:CY647)*100</f>
        <v>93700</v>
      </c>
      <c r="CZ651" s="13"/>
      <c r="DA651" s="13"/>
      <c r="DB651" s="5"/>
      <c r="DC651" s="13"/>
      <c r="DD651" s="13"/>
      <c r="DE651" s="13"/>
      <c r="DF651" s="13"/>
      <c r="DG651" s="13"/>
      <c r="DH651" s="13"/>
      <c r="DI651" s="15"/>
      <c r="DJ651" s="1"/>
      <c r="DK651" s="16"/>
      <c r="DL651" s="69" t="s">
        <v>19</v>
      </c>
      <c r="DM651" s="13">
        <f>SUM(DM595:DM647)*100</f>
        <v>86600</v>
      </c>
      <c r="DN651" s="13"/>
      <c r="DO651" s="13"/>
      <c r="DP651" s="5"/>
      <c r="DQ651" s="13"/>
      <c r="DR651" s="13"/>
      <c r="DS651" s="13"/>
      <c r="DT651" s="13"/>
      <c r="DU651" s="13"/>
      <c r="DV651" s="13"/>
      <c r="DW651" s="15"/>
    </row>
    <row r="652" spans="1:127" ht="15" customHeight="1" x14ac:dyDescent="0.2">
      <c r="A652" s="94">
        <f>DATEDIF(A$705,A$627,"d")</f>
        <v>28</v>
      </c>
      <c r="B652">
        <f>SUMIF(B594:B647,"&gt;=0")</f>
        <v>22102</v>
      </c>
      <c r="C652" s="5" t="s">
        <v>22</v>
      </c>
      <c r="D652" s="13">
        <f>D651/A652</f>
        <v>14003.571428571429</v>
      </c>
      <c r="E652" s="13">
        <f>D652*A651</f>
        <v>392100</v>
      </c>
      <c r="F652" s="13"/>
      <c r="G652" s="5"/>
      <c r="H652" s="13"/>
      <c r="I652" s="13"/>
      <c r="J652" s="271" t="s">
        <v>23</v>
      </c>
      <c r="K652" s="271"/>
      <c r="L652" s="13"/>
      <c r="M652" s="36">
        <f>L651/D651</f>
        <v>0.17065544503953073</v>
      </c>
      <c r="N652" s="15"/>
      <c r="O652" s="2"/>
      <c r="P652" s="33"/>
      <c r="Q652" s="5" t="s">
        <v>22</v>
      </c>
      <c r="R652" s="13">
        <f>R651/A652</f>
        <v>20660.714285714286</v>
      </c>
      <c r="S652" s="13">
        <f>R652*A651</f>
        <v>578500</v>
      </c>
      <c r="T652" s="13"/>
      <c r="U652" s="5"/>
      <c r="V652" s="13"/>
      <c r="W652" s="13"/>
      <c r="X652" s="271" t="s">
        <v>23</v>
      </c>
      <c r="Y652" s="271"/>
      <c r="Z652" s="13"/>
      <c r="AA652" s="36">
        <f>Z651/R651</f>
        <v>0.11256698357821954</v>
      </c>
      <c r="AB652" s="15"/>
      <c r="AD652" s="51"/>
      <c r="AE652" s="5" t="s">
        <v>22</v>
      </c>
      <c r="AF652" s="13">
        <f>AF651/A652</f>
        <v>14514.285714285714</v>
      </c>
      <c r="AG652" s="13">
        <f>AF652*A651</f>
        <v>406400</v>
      </c>
      <c r="AH652" s="13"/>
      <c r="AI652" s="5"/>
      <c r="AJ652" s="13"/>
      <c r="AK652" s="13"/>
      <c r="AL652" s="271" t="s">
        <v>23</v>
      </c>
      <c r="AM652" s="271"/>
      <c r="AN652" s="13"/>
      <c r="AO652" s="36">
        <f>AN651/AF651</f>
        <v>0.13868356299212597</v>
      </c>
      <c r="AP652" s="15"/>
      <c r="AQ652" s="2"/>
      <c r="AR652" s="33"/>
      <c r="AS652" s="5" t="s">
        <v>22</v>
      </c>
      <c r="AT652" s="13">
        <f>AT651/A652</f>
        <v>11439.285714285714</v>
      </c>
      <c r="AU652" s="13">
        <f>AT652*A651</f>
        <v>320300</v>
      </c>
      <c r="AV652" s="13"/>
      <c r="AW652" s="5"/>
      <c r="AX652" s="13"/>
      <c r="AY652" s="13"/>
      <c r="AZ652" s="271" t="s">
        <v>23</v>
      </c>
      <c r="BA652" s="271"/>
      <c r="BB652" s="13"/>
      <c r="BC652" s="36">
        <f>BB651/AT651</f>
        <v>0.152457071495473</v>
      </c>
      <c r="BD652" s="15"/>
      <c r="BU652" s="16"/>
      <c r="BV652" s="69" t="s">
        <v>22</v>
      </c>
      <c r="BW652" s="13">
        <f>BW651/A652</f>
        <v>6064.2857142857147</v>
      </c>
      <c r="BX652" s="13">
        <f>BW652*A651</f>
        <v>169800</v>
      </c>
      <c r="BY652" s="13"/>
      <c r="BZ652" s="5"/>
      <c r="CA652" s="13"/>
      <c r="CB652" s="13"/>
      <c r="CC652" s="13"/>
      <c r="CD652" s="13"/>
      <c r="CE652" s="13"/>
      <c r="CF652" s="13"/>
      <c r="CG652" s="15"/>
      <c r="CH652" s="1"/>
      <c r="CI652" s="16"/>
      <c r="CJ652" s="69" t="s">
        <v>22</v>
      </c>
      <c r="CK652" s="13">
        <f>CK651/A652</f>
        <v>5814.2857142857147</v>
      </c>
      <c r="CL652" s="13">
        <f>CK652*A651</f>
        <v>162800</v>
      </c>
      <c r="CM652" s="13"/>
      <c r="CN652" s="5"/>
      <c r="CO652" s="13"/>
      <c r="CP652" s="13"/>
      <c r="CQ652" s="13"/>
      <c r="CR652" s="13"/>
      <c r="CS652" s="13"/>
      <c r="CT652" s="13"/>
      <c r="CU652" s="15"/>
      <c r="CV652" s="1"/>
      <c r="CW652" s="16"/>
      <c r="CX652" s="69" t="s">
        <v>22</v>
      </c>
      <c r="CY652" s="13">
        <f>CY651/A652</f>
        <v>3346.4285714285716</v>
      </c>
      <c r="CZ652" s="13">
        <f>CY652*A651</f>
        <v>93700</v>
      </c>
      <c r="DA652" s="13"/>
      <c r="DB652" s="5"/>
      <c r="DC652" s="13"/>
      <c r="DD652" s="13"/>
      <c r="DE652" s="13"/>
      <c r="DF652" s="13"/>
      <c r="DG652" s="13"/>
      <c r="DH652" s="13"/>
      <c r="DI652" s="15"/>
      <c r="DJ652" s="1"/>
      <c r="DK652" s="16"/>
      <c r="DL652" s="69" t="s">
        <v>22</v>
      </c>
      <c r="DM652" s="13">
        <f>DM651/A652</f>
        <v>3092.8571428571427</v>
      </c>
      <c r="DN652" s="13">
        <f>DM652*A651</f>
        <v>86600</v>
      </c>
      <c r="DO652" s="13"/>
      <c r="DP652" s="5"/>
      <c r="DQ652" s="13"/>
      <c r="DR652" s="13"/>
      <c r="DS652" s="13"/>
      <c r="DT652" s="13"/>
      <c r="DU652" s="13"/>
      <c r="DV652" s="13"/>
      <c r="DW652" s="15"/>
    </row>
    <row r="653" spans="1:127" ht="15" customHeight="1" x14ac:dyDescent="0.2">
      <c r="A653" s="44" t="s">
        <v>22</v>
      </c>
      <c r="B653" s="81">
        <f>B652/A652</f>
        <v>789.35714285714289</v>
      </c>
      <c r="C653" s="69" t="s">
        <v>25</v>
      </c>
      <c r="D653" s="13">
        <f>D651*0.6</f>
        <v>235260</v>
      </c>
      <c r="E653" s="13"/>
      <c r="F653" s="13"/>
      <c r="G653" s="5"/>
      <c r="H653" s="13"/>
      <c r="I653" s="13"/>
      <c r="J653" s="271" t="s">
        <v>26</v>
      </c>
      <c r="K653" s="271"/>
      <c r="L653" s="13">
        <f>D653-L651</f>
        <v>168346</v>
      </c>
      <c r="M653" s="36">
        <f>L653/D651</f>
        <v>0.42934455496046925</v>
      </c>
      <c r="N653" s="15"/>
      <c r="O653" s="2"/>
      <c r="P653" s="16"/>
      <c r="Q653" s="69" t="s">
        <v>25</v>
      </c>
      <c r="R653" s="13">
        <f>R651*0.6</f>
        <v>347100</v>
      </c>
      <c r="S653" s="13"/>
      <c r="T653" s="13"/>
      <c r="U653" s="5"/>
      <c r="V653" s="13"/>
      <c r="W653" s="13"/>
      <c r="X653" s="271" t="s">
        <v>26</v>
      </c>
      <c r="Y653" s="271"/>
      <c r="Z653" s="13">
        <f>R653-Z651</f>
        <v>281980</v>
      </c>
      <c r="AA653" s="36">
        <f>Z653/R651</f>
        <v>0.48743301642178044</v>
      </c>
      <c r="AB653" s="15"/>
      <c r="AD653" s="16"/>
      <c r="AE653" s="69" t="s">
        <v>25</v>
      </c>
      <c r="AF653" s="13">
        <f>AF651*0.6</f>
        <v>243840</v>
      </c>
      <c r="AG653" s="13"/>
      <c r="AH653" s="13"/>
      <c r="AI653" s="5"/>
      <c r="AJ653" s="13"/>
      <c r="AK653" s="13"/>
      <c r="AL653" s="271" t="s">
        <v>26</v>
      </c>
      <c r="AM653" s="271"/>
      <c r="AN653" s="13">
        <f>AF653-AN651</f>
        <v>187479</v>
      </c>
      <c r="AO653" s="36">
        <f>AN653/AF651</f>
        <v>0.461316437007874</v>
      </c>
      <c r="AP653" s="15"/>
      <c r="AQ653" s="2"/>
      <c r="AR653" s="16"/>
      <c r="AS653" s="69" t="s">
        <v>25</v>
      </c>
      <c r="AT653" s="13">
        <f>AT651*0.6</f>
        <v>192180</v>
      </c>
      <c r="AU653" s="13"/>
      <c r="AV653" s="13"/>
      <c r="AW653" s="5"/>
      <c r="AX653" s="13"/>
      <c r="AY653" s="13"/>
      <c r="AZ653" s="271" t="s">
        <v>26</v>
      </c>
      <c r="BA653" s="271"/>
      <c r="BB653" s="13">
        <f>AT653-BB651</f>
        <v>143348</v>
      </c>
      <c r="BC653" s="36">
        <f>BB653/AT651</f>
        <v>0.44754292850452698</v>
      </c>
      <c r="BD653" s="15"/>
      <c r="BU653" s="16"/>
      <c r="BV653" s="69" t="s">
        <v>25</v>
      </c>
      <c r="BW653" s="13">
        <f>BW651*0.6</f>
        <v>101880</v>
      </c>
      <c r="BX653" s="13"/>
      <c r="BY653" s="13"/>
      <c r="BZ653" s="5" t="s">
        <v>24</v>
      </c>
      <c r="CA653" s="13">
        <f>SUM(CE595:CE647)</f>
        <v>28765</v>
      </c>
      <c r="CB653" s="36">
        <f>CA653/BW651</f>
        <v>0.16940518256772674</v>
      </c>
      <c r="CC653" s="36"/>
      <c r="CD653" s="13"/>
      <c r="CE653" s="13"/>
      <c r="CF653" s="13"/>
      <c r="CG653" s="15"/>
      <c r="CH653" s="1"/>
      <c r="CI653" s="16"/>
      <c r="CJ653" s="69" t="s">
        <v>25</v>
      </c>
      <c r="CK653" s="13">
        <f>CK651*0.6</f>
        <v>97680</v>
      </c>
      <c r="CL653" s="13"/>
      <c r="CM653" s="13"/>
      <c r="CN653" s="5" t="s">
        <v>24</v>
      </c>
      <c r="CO653" s="13">
        <f>SUM(CS595:CS647)</f>
        <v>39666</v>
      </c>
      <c r="CP653" s="36">
        <f>CO653/CK651</f>
        <v>0.24364864864864866</v>
      </c>
      <c r="CQ653" s="36"/>
      <c r="CR653" s="13"/>
      <c r="CS653" s="13"/>
      <c r="CT653" s="13"/>
      <c r="CU653" s="15"/>
      <c r="CV653" s="1"/>
      <c r="CW653" s="16"/>
      <c r="CX653" s="69" t="s">
        <v>25</v>
      </c>
      <c r="CY653" s="13">
        <f>CY651*0.6</f>
        <v>56220</v>
      </c>
      <c r="CZ653" s="13"/>
      <c r="DA653" s="13"/>
      <c r="DB653" s="5" t="s">
        <v>24</v>
      </c>
      <c r="DC653" s="13">
        <f>SUM(DG595:DG647)</f>
        <v>14080</v>
      </c>
      <c r="DD653" s="36">
        <f>DC653/CY651</f>
        <v>0.15026680896478123</v>
      </c>
      <c r="DE653" s="36"/>
      <c r="DF653" s="13"/>
      <c r="DG653" s="13"/>
      <c r="DH653" s="13"/>
      <c r="DI653" s="15"/>
      <c r="DJ653" s="1"/>
      <c r="DK653" s="16"/>
      <c r="DL653" s="69" t="s">
        <v>25</v>
      </c>
      <c r="DM653" s="13">
        <f>DM651*0.6</f>
        <v>51960</v>
      </c>
      <c r="DN653" s="13"/>
      <c r="DO653" s="13"/>
      <c r="DP653" s="5" t="s">
        <v>24</v>
      </c>
      <c r="DQ653" s="13">
        <f>SUM(DU595:DU647)</f>
        <v>15400</v>
      </c>
      <c r="DR653" s="36">
        <f>DQ653/DM651</f>
        <v>0.17782909930715934</v>
      </c>
      <c r="DS653" s="36"/>
      <c r="DT653" s="13"/>
      <c r="DU653" s="13"/>
      <c r="DV653" s="13"/>
      <c r="DW653" s="15"/>
    </row>
    <row r="654" spans="1:127" ht="15" customHeight="1" x14ac:dyDescent="0.2">
      <c r="A654" s="79"/>
      <c r="B654" s="74">
        <f>B653*A651</f>
        <v>22102</v>
      </c>
      <c r="C654" s="5" t="s">
        <v>27</v>
      </c>
      <c r="D654" s="13">
        <f>D725</f>
        <v>661200</v>
      </c>
      <c r="E654" s="13"/>
      <c r="F654" s="13"/>
      <c r="G654" s="5"/>
      <c r="H654" s="13"/>
      <c r="I654" s="24"/>
      <c r="J654" s="272" t="s">
        <v>29</v>
      </c>
      <c r="K654" s="272"/>
      <c r="L654" s="53">
        <f>(G627+I627)*K627+(G628+I628)*K628+(G629+I629)*K629+(G630+I630)*K630</f>
        <v>94189</v>
      </c>
      <c r="M654" s="14"/>
      <c r="N654" s="15"/>
      <c r="O654" s="2"/>
      <c r="P654" s="79"/>
      <c r="Q654" s="5" t="s">
        <v>27</v>
      </c>
      <c r="R654" s="13">
        <f>R725</f>
        <v>553000</v>
      </c>
      <c r="S654" s="13"/>
      <c r="T654" s="13"/>
      <c r="U654" s="5"/>
      <c r="V654" s="13"/>
      <c r="W654" s="24"/>
      <c r="X654" s="272" t="s">
        <v>29</v>
      </c>
      <c r="Y654" s="272"/>
      <c r="Z654" s="53">
        <f>(U627+W627)*Y627+(U628+W628)*Y628+(U629+W629)*Y629+(U630+W630)*Y630</f>
        <v>29118</v>
      </c>
      <c r="AA654" s="14"/>
      <c r="AB654" s="15"/>
      <c r="AD654" s="79"/>
      <c r="AE654" s="5" t="s">
        <v>27</v>
      </c>
      <c r="AF654" s="13">
        <f>AF725</f>
        <v>421200</v>
      </c>
      <c r="AG654" s="13"/>
      <c r="AH654" s="13"/>
      <c r="AI654" s="5"/>
      <c r="AJ654" s="13"/>
      <c r="AK654" s="24"/>
      <c r="AL654" s="272" t="s">
        <v>29</v>
      </c>
      <c r="AM654" s="272"/>
      <c r="AN654" s="53">
        <f>(AI627+AK627)*AM627+(AI628+AK628)*AM628+(AI629+AK629)*AM629+(AI630+AK630)*AM630</f>
        <v>45876</v>
      </c>
      <c r="AO654" s="14"/>
      <c r="AP654" s="15"/>
      <c r="AQ654" s="2"/>
      <c r="AR654" s="79"/>
      <c r="AS654" s="5" t="s">
        <v>27</v>
      </c>
      <c r="AT654" s="13">
        <f>AT725</f>
        <v>411200</v>
      </c>
      <c r="AU654" s="13"/>
      <c r="AV654" s="13"/>
      <c r="AW654" s="5"/>
      <c r="AX654" s="13"/>
      <c r="AY654" s="24"/>
      <c r="AZ654" s="272" t="s">
        <v>29</v>
      </c>
      <c r="BA654" s="272"/>
      <c r="BB654" s="53">
        <f>(AW627+AY627)*BA627+(AW628+AY628)*BA628+(AW629+AY629)*BA629+(AW630+AY630)*BA630</f>
        <v>69878</v>
      </c>
      <c r="BC654" s="14"/>
      <c r="BD654" s="15"/>
      <c r="BU654" s="16"/>
      <c r="BV654" s="69" t="s">
        <v>27</v>
      </c>
      <c r="BW654" s="13">
        <f>BW725</f>
        <v>323700</v>
      </c>
      <c r="BX654" s="13"/>
      <c r="BY654" s="13"/>
      <c r="BZ654" s="5" t="s">
        <v>26</v>
      </c>
      <c r="CA654" s="13">
        <f>BW653-CA653</f>
        <v>73115</v>
      </c>
      <c r="CB654" s="36">
        <f>CA654/BW651</f>
        <v>0.43059481743227324</v>
      </c>
      <c r="CC654" s="36"/>
      <c r="CD654" s="14"/>
      <c r="CE654" s="14"/>
      <c r="CF654" s="14"/>
      <c r="CG654" s="15"/>
      <c r="CH654" s="1"/>
      <c r="CI654" s="16"/>
      <c r="CJ654" s="69" t="s">
        <v>27</v>
      </c>
      <c r="CK654" s="13">
        <f>CK725</f>
        <v>126600</v>
      </c>
      <c r="CL654" s="13"/>
      <c r="CM654" s="13"/>
      <c r="CN654" s="5" t="s">
        <v>26</v>
      </c>
      <c r="CO654" s="13">
        <f>CK653-CO653</f>
        <v>58014</v>
      </c>
      <c r="CP654" s="36">
        <f>CO654/CK651</f>
        <v>0.35635135135135138</v>
      </c>
      <c r="CQ654" s="36"/>
      <c r="CR654" s="14"/>
      <c r="CS654" s="14"/>
      <c r="CT654" s="14"/>
      <c r="CU654" s="15"/>
      <c r="CV654" s="1"/>
      <c r="CW654" s="16"/>
      <c r="CX654" s="69" t="s">
        <v>27</v>
      </c>
      <c r="CY654" s="13">
        <f>CY725</f>
        <v>159700</v>
      </c>
      <c r="CZ654" s="13"/>
      <c r="DA654" s="13"/>
      <c r="DB654" s="5" t="s">
        <v>26</v>
      </c>
      <c r="DC654" s="13">
        <f>CY653-DC653</f>
        <v>42140</v>
      </c>
      <c r="DD654" s="36">
        <f>DC654/CY651</f>
        <v>0.4497331910352188</v>
      </c>
      <c r="DE654" s="36"/>
      <c r="DF654" s="14"/>
      <c r="DG654" s="14"/>
      <c r="DH654" s="14"/>
      <c r="DI654" s="15"/>
      <c r="DJ654" s="1"/>
      <c r="DK654" s="16"/>
      <c r="DL654" s="69" t="s">
        <v>27</v>
      </c>
      <c r="DM654" s="13">
        <f>DM725</f>
        <v>119300</v>
      </c>
      <c r="DN654" s="13"/>
      <c r="DO654" s="13"/>
      <c r="DP654" s="5" t="s">
        <v>26</v>
      </c>
      <c r="DQ654" s="13">
        <f>DM653-DQ653</f>
        <v>36560</v>
      </c>
      <c r="DR654" s="36">
        <f>DQ654/DM651</f>
        <v>0.42217090069284063</v>
      </c>
      <c r="DS654" s="36"/>
      <c r="DT654" s="14"/>
      <c r="DU654" s="14"/>
      <c r="DV654" s="14"/>
      <c r="DW654" s="15"/>
    </row>
    <row r="655" spans="1:127" ht="15" customHeight="1" x14ac:dyDescent="0.2">
      <c r="A655" s="273" t="s">
        <v>57</v>
      </c>
      <c r="B655" s="274"/>
      <c r="C655" s="273" t="s">
        <v>62</v>
      </c>
      <c r="D655" s="274"/>
      <c r="E655" s="273" t="s">
        <v>63</v>
      </c>
      <c r="F655" s="275"/>
      <c r="G655" s="5"/>
      <c r="H655" s="13"/>
      <c r="I655" s="24"/>
      <c r="J655" s="99"/>
      <c r="K655" s="102"/>
      <c r="L655" s="53"/>
      <c r="M655" s="14"/>
      <c r="N655" s="15"/>
      <c r="O655" s="2"/>
      <c r="P655" s="85"/>
      <c r="Q655" s="69"/>
      <c r="R655" s="13"/>
      <c r="S655" s="13"/>
      <c r="T655" s="13"/>
      <c r="U655" s="5"/>
      <c r="V655" s="13"/>
      <c r="W655" s="24"/>
      <c r="X655" s="99"/>
      <c r="Y655" s="102"/>
      <c r="Z655" s="53"/>
      <c r="AA655" s="14"/>
      <c r="AB655" s="15"/>
      <c r="AD655" s="85"/>
      <c r="AE655" s="69"/>
      <c r="AF655" s="13"/>
      <c r="AG655" s="13"/>
      <c r="AH655" s="13"/>
      <c r="AI655" s="5"/>
      <c r="AJ655" s="13"/>
      <c r="AK655" s="24"/>
      <c r="AL655" s="99"/>
      <c r="AM655" s="102"/>
      <c r="AN655" s="53"/>
      <c r="AO655" s="14"/>
      <c r="AP655" s="15"/>
      <c r="AQ655" s="2"/>
      <c r="AR655" s="85"/>
      <c r="AS655" s="69"/>
      <c r="AT655" s="13"/>
      <c r="AU655" s="13"/>
      <c r="AV655" s="13"/>
      <c r="AW655" s="5"/>
      <c r="AX655" s="13"/>
      <c r="AY655" s="24"/>
      <c r="AZ655" s="118"/>
      <c r="BA655" s="102"/>
      <c r="BB655" s="53"/>
      <c r="BC655" s="14"/>
      <c r="BD655" s="15"/>
      <c r="BU655" s="16"/>
      <c r="BV655" s="54"/>
      <c r="BW655" s="13"/>
      <c r="BX655" s="13"/>
      <c r="BY655" s="13"/>
      <c r="BZ655" s="263" t="s">
        <v>29</v>
      </c>
      <c r="CA655" s="264"/>
      <c r="CB655" s="13">
        <f>(BZ603+CB603)*CD603</f>
        <v>5500</v>
      </c>
      <c r="CC655" s="13"/>
      <c r="CD655" s="14"/>
      <c r="CE655" s="14"/>
      <c r="CF655" s="14"/>
      <c r="CG655" s="15"/>
      <c r="CH655" s="1"/>
      <c r="CI655" s="16"/>
      <c r="CJ655" s="54"/>
      <c r="CK655" s="13"/>
      <c r="CL655" s="13"/>
      <c r="CM655" s="13"/>
      <c r="CN655" s="263" t="s">
        <v>29</v>
      </c>
      <c r="CO655" s="264"/>
      <c r="CP655" s="13">
        <f>(CN603+CP603)*CR603</f>
        <v>12155</v>
      </c>
      <c r="CQ655" s="13"/>
      <c r="CR655" s="14"/>
      <c r="CS655" s="14"/>
      <c r="CT655" s="14"/>
      <c r="CU655" s="15"/>
      <c r="CV655" s="1"/>
      <c r="CW655" s="16"/>
      <c r="CX655" s="54"/>
      <c r="CY655" s="13"/>
      <c r="CZ655" s="13"/>
      <c r="DA655" s="13"/>
      <c r="DB655" s="263" t="s">
        <v>29</v>
      </c>
      <c r="DC655" s="264"/>
      <c r="DD655" s="13">
        <f>(DB603+DD603)*DF603</f>
        <v>38720</v>
      </c>
      <c r="DE655" s="13"/>
      <c r="DF655" s="14"/>
      <c r="DG655" s="14"/>
      <c r="DH655" s="14"/>
      <c r="DI655" s="15"/>
      <c r="DJ655" s="1"/>
      <c r="DK655" s="16"/>
      <c r="DL655" s="54"/>
      <c r="DM655" s="13"/>
      <c r="DN655" s="13"/>
      <c r="DO655" s="13"/>
      <c r="DP655" s="263" t="s">
        <v>29</v>
      </c>
      <c r="DQ655" s="264"/>
      <c r="DR655" s="13">
        <f>(DP603+DR603)*DT603</f>
        <v>47300</v>
      </c>
      <c r="DS655" s="13"/>
      <c r="DT655" s="14"/>
      <c r="DU655" s="14"/>
      <c r="DV655" s="14"/>
      <c r="DW655" s="15"/>
    </row>
    <row r="656" spans="1:127" ht="15" customHeight="1" x14ac:dyDescent="0.2">
      <c r="A656" s="283">
        <f>E652+S652+AG652+AU652+BX652+CL652+CZ652+DN652</f>
        <v>2210200</v>
      </c>
      <c r="B656" s="284"/>
      <c r="C656" s="267">
        <f>L651+Z651+AN651+BB651</f>
        <v>237227</v>
      </c>
      <c r="D656" s="268"/>
      <c r="E656" s="267">
        <f>L654+Z654+AN654+BB654+CB655+CP655+DD655+DR655</f>
        <v>342736</v>
      </c>
      <c r="F656" s="268"/>
      <c r="G656" s="5"/>
      <c r="H656" s="13"/>
      <c r="I656" s="24"/>
      <c r="J656" s="99"/>
      <c r="K656" s="102"/>
      <c r="L656" s="53"/>
      <c r="M656" s="14"/>
      <c r="N656" s="15"/>
      <c r="O656" s="2"/>
      <c r="P656" s="85"/>
      <c r="Q656" s="69"/>
      <c r="R656" s="13"/>
      <c r="S656" s="13"/>
      <c r="T656" s="13"/>
      <c r="U656" s="5"/>
      <c r="V656" s="13"/>
      <c r="W656" s="24"/>
      <c r="X656" s="99"/>
      <c r="Y656" s="102"/>
      <c r="Z656" s="53"/>
      <c r="AA656" s="14"/>
      <c r="AB656" s="15"/>
      <c r="AD656" s="85"/>
      <c r="AE656" s="69"/>
      <c r="AF656" s="13"/>
      <c r="AG656" s="13"/>
      <c r="AH656" s="13"/>
      <c r="AI656" s="5"/>
      <c r="AJ656" s="13"/>
      <c r="AK656" s="24"/>
      <c r="AL656" s="99"/>
      <c r="AM656" s="102"/>
      <c r="AN656" s="53"/>
      <c r="AO656" s="14"/>
      <c r="AP656" s="15"/>
      <c r="AQ656" s="2"/>
      <c r="AR656" s="85"/>
      <c r="AS656" s="69"/>
      <c r="AT656" s="13"/>
      <c r="AU656" s="13"/>
      <c r="AV656" s="13"/>
      <c r="AW656" s="5"/>
      <c r="AX656" s="13"/>
      <c r="AY656" s="24"/>
      <c r="AZ656" s="118"/>
      <c r="BA656" s="102"/>
      <c r="BB656" s="53"/>
      <c r="BC656" s="14"/>
      <c r="BD656" s="15"/>
      <c r="BU656" s="16"/>
      <c r="BV656" s="54"/>
      <c r="BW656" s="13"/>
      <c r="BX656" s="13"/>
      <c r="BY656" s="13"/>
      <c r="BZ656" s="5"/>
      <c r="CA656" s="13"/>
      <c r="CB656" s="13"/>
      <c r="CC656" s="13"/>
      <c r="CD656" s="14"/>
      <c r="CE656" s="14"/>
      <c r="CF656" s="14"/>
      <c r="CG656" s="15"/>
      <c r="CH656" s="1"/>
      <c r="CI656" s="16"/>
      <c r="CJ656" s="54"/>
      <c r="CK656" s="13"/>
      <c r="CL656" s="13"/>
      <c r="CM656" s="13"/>
      <c r="CN656" s="5"/>
      <c r="CO656" s="13"/>
      <c r="CP656" s="13"/>
      <c r="CQ656" s="13"/>
      <c r="CR656" s="14"/>
      <c r="CS656" s="14"/>
      <c r="CT656" s="14"/>
      <c r="CU656" s="15"/>
      <c r="CV656" s="1"/>
      <c r="CW656" s="16"/>
      <c r="CX656" s="54"/>
      <c r="CY656" s="13"/>
      <c r="CZ656" s="13"/>
      <c r="DA656" s="13"/>
      <c r="DB656" s="5"/>
      <c r="DC656" s="13"/>
      <c r="DD656" s="13"/>
      <c r="DE656" s="13"/>
      <c r="DF656" s="14"/>
      <c r="DG656" s="14"/>
      <c r="DH656" s="14"/>
      <c r="DI656" s="15"/>
      <c r="DJ656" s="1"/>
      <c r="DK656" s="16"/>
      <c r="DL656" s="54"/>
      <c r="DM656" s="13"/>
      <c r="DN656" s="13"/>
      <c r="DO656" s="13"/>
      <c r="DP656" s="5"/>
      <c r="DQ656" s="13"/>
      <c r="DR656" s="13"/>
      <c r="DS656" s="13"/>
      <c r="DT656" s="14"/>
      <c r="DU656" s="14"/>
      <c r="DV656" s="14"/>
      <c r="DW656" s="15"/>
    </row>
    <row r="657" spans="1:127" ht="15" customHeight="1" x14ac:dyDescent="0.2">
      <c r="A657" s="95"/>
      <c r="B657" s="97"/>
      <c r="C657" s="98"/>
      <c r="D657" s="106">
        <f>C656/A656</f>
        <v>0.10733282055922541</v>
      </c>
      <c r="E657" s="104"/>
      <c r="F657" s="96"/>
      <c r="G657" s="5"/>
      <c r="H657" s="13"/>
      <c r="I657" s="24"/>
      <c r="J657" s="99"/>
      <c r="K657" s="102"/>
      <c r="L657" s="53"/>
      <c r="M657" s="14"/>
      <c r="N657" s="15"/>
      <c r="O657" s="2"/>
      <c r="P657" s="85"/>
      <c r="Q657" s="69"/>
      <c r="R657" s="13"/>
      <c r="S657" s="13"/>
      <c r="T657" s="13"/>
      <c r="U657" s="5"/>
      <c r="V657" s="13"/>
      <c r="W657" s="24"/>
      <c r="X657" s="99"/>
      <c r="Y657" s="102"/>
      <c r="Z657" s="53"/>
      <c r="AA657" s="14"/>
      <c r="AB657" s="15"/>
      <c r="AD657" s="85"/>
      <c r="AE657" s="69"/>
      <c r="AF657" s="13"/>
      <c r="AG657" s="13"/>
      <c r="AH657" s="13"/>
      <c r="AI657" s="5"/>
      <c r="AJ657" s="13"/>
      <c r="AK657" s="24"/>
      <c r="AL657" s="99"/>
      <c r="AM657" s="102"/>
      <c r="AN657" s="53"/>
      <c r="AO657" s="14"/>
      <c r="AP657" s="15"/>
      <c r="AQ657" s="2"/>
      <c r="AR657" s="85"/>
      <c r="AS657" s="69"/>
      <c r="AT657" s="13"/>
      <c r="AU657" s="13"/>
      <c r="AV657" s="13"/>
      <c r="AW657" s="5"/>
      <c r="AX657" s="13"/>
      <c r="AY657" s="24"/>
      <c r="AZ657" s="118"/>
      <c r="BA657" s="102"/>
      <c r="BB657" s="53"/>
      <c r="BC657" s="14"/>
      <c r="BD657" s="15"/>
      <c r="BU657" s="16"/>
      <c r="BV657" s="54"/>
      <c r="BW657" s="13"/>
      <c r="BX657" s="13"/>
      <c r="BY657" s="13"/>
      <c r="BZ657" s="5"/>
      <c r="CA657" s="13"/>
      <c r="CB657" s="36"/>
      <c r="CC657" s="36"/>
      <c r="CD657" s="13"/>
      <c r="CE657" s="13"/>
      <c r="CF657" s="13"/>
      <c r="CG657" s="15"/>
      <c r="CH657" s="1"/>
      <c r="CI657" s="16"/>
      <c r="CJ657" s="54"/>
      <c r="CK657" s="13"/>
      <c r="CL657" s="13"/>
      <c r="CM657" s="13"/>
      <c r="CN657" s="5"/>
      <c r="CO657" s="13"/>
      <c r="CP657" s="36"/>
      <c r="CQ657" s="36"/>
      <c r="CR657" s="13"/>
      <c r="CS657" s="13"/>
      <c r="CT657" s="13"/>
      <c r="CU657" s="15"/>
      <c r="CV657" s="1"/>
      <c r="CW657" s="16"/>
      <c r="CX657" s="54"/>
      <c r="CY657" s="13"/>
      <c r="CZ657" s="13"/>
      <c r="DA657" s="13"/>
      <c r="DB657" s="5"/>
      <c r="DC657" s="13"/>
      <c r="DD657" s="36"/>
      <c r="DE657" s="36"/>
      <c r="DF657" s="13"/>
      <c r="DG657" s="13"/>
      <c r="DH657" s="13"/>
      <c r="DI657" s="15"/>
      <c r="DJ657" s="1"/>
      <c r="DK657" s="16"/>
      <c r="DL657" s="54"/>
      <c r="DM657" s="13"/>
      <c r="DN657" s="13"/>
      <c r="DO657" s="13"/>
      <c r="DP657" s="5"/>
      <c r="DQ657" s="13"/>
      <c r="DR657" s="36"/>
      <c r="DS657" s="36"/>
      <c r="DT657" s="13"/>
      <c r="DU657" s="13"/>
      <c r="DV657" s="13"/>
      <c r="DW657" s="15"/>
    </row>
    <row r="658" spans="1:127" ht="15" customHeight="1" x14ac:dyDescent="0.2">
      <c r="A658" s="95"/>
      <c r="B658" s="97"/>
      <c r="C658" s="98"/>
      <c r="D658" s="96"/>
      <c r="E658" s="5"/>
      <c r="F658" s="13"/>
      <c r="G658" s="5"/>
      <c r="H658" s="13"/>
      <c r="I658" s="13"/>
      <c r="J658" s="68"/>
      <c r="K658" s="82"/>
      <c r="L658" s="14"/>
      <c r="M658" s="14"/>
      <c r="N658" s="15"/>
      <c r="O658" s="2"/>
      <c r="P658" s="86"/>
      <c r="Q658" s="54"/>
      <c r="R658" s="13"/>
      <c r="S658" s="5"/>
      <c r="T658" s="13"/>
      <c r="U658" s="5"/>
      <c r="V658" s="13"/>
      <c r="W658" s="13"/>
      <c r="X658" s="52"/>
      <c r="Y658" s="82"/>
      <c r="Z658" s="14"/>
      <c r="AA658" s="14"/>
      <c r="AB658" s="15"/>
      <c r="AD658" s="86"/>
      <c r="AE658" s="54"/>
      <c r="AF658" s="13"/>
      <c r="AG658" s="5"/>
      <c r="AH658" s="13"/>
      <c r="AI658" s="5"/>
      <c r="AJ658" s="13"/>
      <c r="AK658" s="13"/>
      <c r="AL658" s="68"/>
      <c r="AM658" s="82"/>
      <c r="AN658" s="14"/>
      <c r="AO658" s="14"/>
      <c r="AP658" s="15"/>
      <c r="AQ658" s="2"/>
      <c r="AR658" s="86"/>
      <c r="AS658" s="54"/>
      <c r="AT658" s="13"/>
      <c r="AU658" s="5"/>
      <c r="AV658" s="13"/>
      <c r="AW658" s="5"/>
      <c r="AX658" s="13"/>
      <c r="AY658" s="13"/>
      <c r="AZ658" s="68"/>
      <c r="BA658" s="82"/>
      <c r="BB658" s="14"/>
      <c r="BC658" s="14"/>
      <c r="BD658" s="15"/>
      <c r="BU658" s="16"/>
      <c r="BV658" s="13"/>
      <c r="BW658" s="13"/>
      <c r="BX658" s="13"/>
      <c r="BY658" s="13"/>
      <c r="BZ658" s="5"/>
      <c r="CA658" s="13"/>
      <c r="CB658" s="36"/>
      <c r="CC658" s="36"/>
      <c r="CD658" s="13"/>
      <c r="CE658" s="13"/>
      <c r="CF658" s="13"/>
      <c r="CG658" s="15"/>
      <c r="CH658" s="1"/>
      <c r="CI658" s="16"/>
      <c r="CJ658" s="13"/>
      <c r="CK658" s="13"/>
      <c r="CL658" s="13"/>
      <c r="CM658" s="13"/>
      <c r="CN658" s="5"/>
      <c r="CO658" s="13"/>
      <c r="CP658" s="36"/>
      <c r="CQ658" s="36"/>
      <c r="CR658" s="13"/>
      <c r="CS658" s="13"/>
      <c r="CT658" s="13"/>
      <c r="CU658" s="15"/>
      <c r="CV658" s="1"/>
      <c r="CW658" s="16"/>
      <c r="CX658" s="13"/>
      <c r="CY658" s="13"/>
      <c r="CZ658" s="13"/>
      <c r="DA658" s="13"/>
      <c r="DB658" s="5"/>
      <c r="DC658" s="13"/>
      <c r="DD658" s="36"/>
      <c r="DE658" s="36"/>
      <c r="DF658" s="13"/>
      <c r="DG658" s="13"/>
      <c r="DH658" s="13"/>
      <c r="DI658" s="15"/>
      <c r="DJ658" s="1"/>
      <c r="DK658" s="16"/>
      <c r="DL658" s="13"/>
      <c r="DM658" s="13"/>
      <c r="DN658" s="13"/>
      <c r="DO658" s="13"/>
      <c r="DP658" s="5"/>
      <c r="DQ658" s="13"/>
      <c r="DR658" s="36"/>
      <c r="DS658" s="36"/>
      <c r="DT658" s="13"/>
      <c r="DU658" s="13"/>
      <c r="DV658" s="13"/>
      <c r="DW658" s="15"/>
    </row>
    <row r="659" spans="1:127" ht="15" customHeight="1" x14ac:dyDescent="0.2">
      <c r="A659" s="258" t="s">
        <v>28</v>
      </c>
      <c r="B659" s="260"/>
      <c r="C659" s="259"/>
      <c r="D659" s="38">
        <f>SUM(D595,D599,D603,D607,D611,D615,D619,D623,D627,D631,D635,D639,D643)*100</f>
        <v>69600</v>
      </c>
      <c r="E659" s="54"/>
      <c r="F659" s="13"/>
      <c r="G659" s="5">
        <f>D659/H659</f>
        <v>5353.8461538461543</v>
      </c>
      <c r="H659" s="38">
        <f>SUM(H595,H599,H603,H607,H611,H615,H620,H623,H627,H631,H635,H639,H643)</f>
        <v>13</v>
      </c>
      <c r="I659" s="13"/>
      <c r="J659" s="75" t="str">
        <f t="shared" ref="J659:K662" si="1040">J595</f>
        <v>ジャグラーサウンドボタン</v>
      </c>
      <c r="K659" s="76">
        <f t="shared" si="1040"/>
        <v>748</v>
      </c>
      <c r="L659" s="38">
        <f>SUM(L595,L599,L603,L607,L611,L615,L620,L623,L627,L631,L635,L639,L643)</f>
        <v>10051</v>
      </c>
      <c r="M659" s="36">
        <f>L659/D659</f>
        <v>0.14441091954022989</v>
      </c>
      <c r="N659" s="15"/>
      <c r="O659" s="2"/>
      <c r="P659" s="258" t="s">
        <v>28</v>
      </c>
      <c r="Q659" s="259"/>
      <c r="R659" s="38">
        <f>SUM(R595,R599,R603,R607,R611,R615,R620,R623,R627,R631,R635,R639,R643)*100</f>
        <v>115600</v>
      </c>
      <c r="S659" s="54"/>
      <c r="T659" s="13"/>
      <c r="U659" s="5">
        <f>R659/V659</f>
        <v>4816.666666666667</v>
      </c>
      <c r="V659" s="38">
        <f>SUM(V595,V599,V603,V607,V611,V615,V620,V623,V627,V631,V635,V639,V643)</f>
        <v>24</v>
      </c>
      <c r="W659" s="13"/>
      <c r="X659" s="78" t="str">
        <f t="shared" ref="X659:Y662" si="1041">X595</f>
        <v>ジャグラーサウンドボタンDX</v>
      </c>
      <c r="Y659" s="76">
        <f t="shared" si="1041"/>
        <v>1100</v>
      </c>
      <c r="Z659" s="38">
        <f>SUM(Z595,Z599,Z603,Z607,Z611,Z615,Z620,Z623,Z627,Z631,Z635,Z639,Z643)</f>
        <v>22000</v>
      </c>
      <c r="AA659" s="36">
        <f>Z659/R659</f>
        <v>0.19031141868512111</v>
      </c>
      <c r="AB659" s="15"/>
      <c r="AC659" s="23"/>
      <c r="AD659" s="258" t="s">
        <v>28</v>
      </c>
      <c r="AE659" s="259"/>
      <c r="AF659" s="38">
        <f>SUM(AF595,AF599,AF603,AF607,AF611,AF615,AF619,AF623,AF627,AF631,AF635,AF639,AF643)*100</f>
        <v>58200</v>
      </c>
      <c r="AG659" s="54"/>
      <c r="AH659" s="13"/>
      <c r="AI659" s="5">
        <f>AF659/AJ659</f>
        <v>2771.4285714285716</v>
      </c>
      <c r="AJ659" s="38">
        <f>SUM(AJ595,AJ599,AJ603,AJ607,AJ611,AJ615,AJ620,AJ623,AJ627,AJ631,AJ635,AJ639,AJ643)</f>
        <v>21</v>
      </c>
      <c r="AK659" s="13"/>
      <c r="AL659" s="75" t="str">
        <f t="shared" ref="AL659:AM662" si="1042">AL595</f>
        <v>サンリオでかぱっちん</v>
      </c>
      <c r="AM659" s="76">
        <f t="shared" si="1042"/>
        <v>660</v>
      </c>
      <c r="AN659" s="38">
        <f>SUM(AN595,AN599,AN603,AN607,AN611,AN615,AN620,AN623,AN627,AN631,AN635,AN639,AN643)</f>
        <v>16212</v>
      </c>
      <c r="AO659" s="36">
        <f>AN659/AF659</f>
        <v>0.27855670103092783</v>
      </c>
      <c r="AP659" s="15"/>
      <c r="AQ659" s="2"/>
      <c r="AR659" s="258" t="s">
        <v>28</v>
      </c>
      <c r="AS659" s="259"/>
      <c r="AT659" s="38">
        <f>SUM(AT595,AT599,AT603,AT607,AT611,AT615,AT620,AT623,AT627,AT631,AT635,AT639,AT643)*100</f>
        <v>49300</v>
      </c>
      <c r="AU659" s="54"/>
      <c r="AV659" s="13"/>
      <c r="AW659" s="5">
        <f>AT659/AX659</f>
        <v>4108.333333333333</v>
      </c>
      <c r="AX659" s="38">
        <f>SUM(AX595,AX599,AX603,AX607,AX611,AX615,AX620,AX623,AX627,AX631,AX635,AX639,AX643)</f>
        <v>12</v>
      </c>
      <c r="AY659" s="13"/>
      <c r="AZ659" s="75" t="str">
        <f t="shared" ref="AZ659:BA662" si="1043">AZ595</f>
        <v>こびとづかんキーケース</v>
      </c>
      <c r="BA659" s="76">
        <f t="shared" si="1043"/>
        <v>726</v>
      </c>
      <c r="BB659" s="38">
        <f>SUM(BB595,BB599,BB603,BB607,BB611,BB615,BB620,BB623,BB627,BB631,BB635,BB639,BB643)</f>
        <v>9260</v>
      </c>
      <c r="BC659" s="36">
        <f>BB659/AT659</f>
        <v>0.18782961460446249</v>
      </c>
      <c r="BD659" s="15"/>
      <c r="BU659" s="16"/>
      <c r="BV659" s="270"/>
      <c r="BW659" s="270"/>
      <c r="BX659" s="10"/>
      <c r="BY659" s="13"/>
      <c r="BZ659" s="5"/>
      <c r="CA659" s="13"/>
      <c r="CB659" s="36"/>
      <c r="CC659" s="36"/>
      <c r="CD659" s="13"/>
      <c r="CE659" s="13"/>
      <c r="CF659" s="13"/>
      <c r="CG659" s="15"/>
      <c r="CH659" s="1"/>
      <c r="CI659" s="16"/>
      <c r="CJ659" s="270"/>
      <c r="CK659" s="270"/>
      <c r="CL659" s="10"/>
      <c r="CM659" s="13"/>
      <c r="CN659" s="5"/>
      <c r="CO659" s="13"/>
      <c r="CP659" s="36"/>
      <c r="CQ659" s="36"/>
      <c r="CR659" s="13"/>
      <c r="CS659" s="13"/>
      <c r="CT659" s="13"/>
      <c r="CU659" s="15"/>
      <c r="CV659" s="1"/>
      <c r="CW659" s="16"/>
      <c r="CX659" s="270"/>
      <c r="CY659" s="270"/>
      <c r="CZ659" s="10"/>
      <c r="DA659" s="13"/>
      <c r="DB659" s="5"/>
      <c r="DC659" s="13"/>
      <c r="DD659" s="36"/>
      <c r="DE659" s="36"/>
      <c r="DF659" s="13"/>
      <c r="DG659" s="13"/>
      <c r="DH659" s="13"/>
      <c r="DI659" s="15"/>
      <c r="DJ659" s="1"/>
      <c r="DK659" s="16"/>
      <c r="DL659" s="270"/>
      <c r="DM659" s="270"/>
      <c r="DN659" s="10"/>
      <c r="DO659" s="13"/>
      <c r="DP659" s="5"/>
      <c r="DQ659" s="13"/>
      <c r="DR659" s="36"/>
      <c r="DS659" s="36"/>
      <c r="DT659" s="13"/>
      <c r="DU659" s="13"/>
      <c r="DV659" s="13"/>
      <c r="DW659" s="15"/>
    </row>
    <row r="660" spans="1:127" x14ac:dyDescent="0.2">
      <c r="A660" s="258" t="s">
        <v>28</v>
      </c>
      <c r="B660" s="260"/>
      <c r="C660" s="259"/>
      <c r="D660" s="38">
        <f>SUM(D596,D600,D604,D608,D612,D616,D620,D624,D628,D632,D636,D640,D644)*100</f>
        <v>46500</v>
      </c>
      <c r="E660" s="54"/>
      <c r="F660" s="13"/>
      <c r="G660" s="5">
        <f>D660/H660</f>
        <v>1788.4615384615386</v>
      </c>
      <c r="H660" s="38">
        <f>SUM(H596,H600,H604,H608,H612,H616,H619,H624,H628,H632,H636,H640,H644)</f>
        <v>26</v>
      </c>
      <c r="I660" s="13"/>
      <c r="J660" s="75" t="str">
        <f t="shared" si="1040"/>
        <v>ジャグラーコインホルダー</v>
      </c>
      <c r="K660" s="76">
        <f t="shared" si="1040"/>
        <v>220</v>
      </c>
      <c r="L660" s="38">
        <f>SUM(L596,L600,L604,L608,L612,L616,L619,L624,L628,L632,L636,L640,L644)</f>
        <v>14999</v>
      </c>
      <c r="M660" s="36">
        <f>L660/D660</f>
        <v>0.32255913978494621</v>
      </c>
      <c r="N660" s="15"/>
      <c r="O660" s="2"/>
      <c r="P660" s="258" t="s">
        <v>28</v>
      </c>
      <c r="Q660" s="259"/>
      <c r="R660" s="38">
        <f>SUM(R596,R600,R604,R608,R612,R616,R619,R624,R628,R632,R636,R640,R644)*100</f>
        <v>52000</v>
      </c>
      <c r="S660" s="54"/>
      <c r="T660" s="13"/>
      <c r="U660" s="5">
        <f>R660/V660</f>
        <v>2888.8888888888887</v>
      </c>
      <c r="V660" s="38">
        <f>SUM(V596,V600,V604,V608,V612,V616,V619,V624,V628,V632,V636,V640,V644)</f>
        <v>18</v>
      </c>
      <c r="W660" s="13"/>
      <c r="X660" s="78" t="str">
        <f t="shared" si="1041"/>
        <v>北斗イヤホン</v>
      </c>
      <c r="Y660" s="76">
        <f t="shared" si="1041"/>
        <v>1100</v>
      </c>
      <c r="Z660" s="38">
        <f>SUM(Z596,Z600,Z604,Z608,Z612,Z616,Z619,Z624,Z628,Z632,Z636,Z640,Z644)</f>
        <v>19200</v>
      </c>
      <c r="AA660" s="36">
        <f>Z660/R660</f>
        <v>0.36923076923076925</v>
      </c>
      <c r="AB660" s="15"/>
      <c r="AC660" s="1"/>
      <c r="AD660" s="258" t="s">
        <v>28</v>
      </c>
      <c r="AE660" s="259"/>
      <c r="AF660" s="38">
        <f>SUM(AF596,AF600,AF604,AF608,AF612,AF616,AF620,AF624,AF628,AF632,AF636,AF640,AF644)*100</f>
        <v>99600</v>
      </c>
      <c r="AG660" s="54"/>
      <c r="AH660" s="13"/>
      <c r="AI660" s="5">
        <f>AF660/AJ660</f>
        <v>4742.8571428571431</v>
      </c>
      <c r="AJ660" s="38">
        <f>SUM(AJ596,AJ600,AJ604,AJ608,AJ612,AJ616,AJ619,AJ624,AJ628,AJ632,AJ636,AJ640,AJ644)</f>
        <v>21</v>
      </c>
      <c r="AK660" s="13"/>
      <c r="AL660" s="75" t="str">
        <f t="shared" si="1042"/>
        <v>モンチッチキーケース</v>
      </c>
      <c r="AM660" s="76">
        <f t="shared" si="1042"/>
        <v>605</v>
      </c>
      <c r="AN660" s="38">
        <f>SUM(AN596,AN600,AN604,AN608,AN612,AN616,AN619,AN624,AN628,AN632,AN636,AN640,AN644)</f>
        <v>18625</v>
      </c>
      <c r="AO660" s="36">
        <f>AN660/AF660</f>
        <v>0.18699799196787148</v>
      </c>
      <c r="AP660" s="15"/>
      <c r="AQ660" s="2"/>
      <c r="AR660" s="258" t="s">
        <v>28</v>
      </c>
      <c r="AS660" s="259"/>
      <c r="AT660" s="38">
        <f>SUM(AT596,AT600,AT604,AT608,AT612,AT616,AT619,AT624,AT628,AT632,AT636,AT640,AT644)*100</f>
        <v>47000</v>
      </c>
      <c r="AU660" s="54"/>
      <c r="AV660" s="13"/>
      <c r="AW660" s="5">
        <f>AT660/AX660</f>
        <v>2611.1111111111113</v>
      </c>
      <c r="AX660" s="38">
        <f>SUM(AX596,AX600,AX604,AX608,AX612,AX616,AX619,AX624,AX628,AX632,AX636,AX640,AX644)</f>
        <v>18</v>
      </c>
      <c r="AY660" s="13"/>
      <c r="AZ660" s="75" t="str">
        <f t="shared" si="1043"/>
        <v>ねこアイシャドウ</v>
      </c>
      <c r="BA660" s="76">
        <f t="shared" si="1043"/>
        <v>1000</v>
      </c>
      <c r="BB660" s="38">
        <f>SUM(BB596,BB600,BB604,BB608,BB612,BB616,BB619,BB624,BB628,BB632,BB636,BB640,BB644)</f>
        <v>17452</v>
      </c>
      <c r="BC660" s="36">
        <f>BB660/AT660</f>
        <v>0.37131914893617024</v>
      </c>
      <c r="BD660" s="15"/>
      <c r="BU660" s="16"/>
      <c r="BV660" s="270"/>
      <c r="BW660" s="270"/>
      <c r="BX660" s="13"/>
      <c r="BY660" s="13"/>
      <c r="BZ660" s="5"/>
      <c r="CA660" s="13"/>
      <c r="CB660" s="36"/>
      <c r="CC660" s="36"/>
      <c r="CD660" s="14"/>
      <c r="CE660" s="14"/>
      <c r="CF660" s="14"/>
      <c r="CG660" s="15"/>
      <c r="CH660" s="1"/>
      <c r="CI660" s="16"/>
      <c r="CJ660" s="270"/>
      <c r="CK660" s="270"/>
      <c r="CL660" s="13"/>
      <c r="CM660" s="13"/>
      <c r="CN660" s="5"/>
      <c r="CO660" s="13"/>
      <c r="CP660" s="36"/>
      <c r="CQ660" s="36"/>
      <c r="CR660" s="14"/>
      <c r="CS660" s="14"/>
      <c r="CT660" s="14"/>
      <c r="CU660" s="15"/>
      <c r="CV660" s="1"/>
      <c r="CW660" s="16"/>
      <c r="CX660" s="270"/>
      <c r="CY660" s="270"/>
      <c r="CZ660" s="13"/>
      <c r="DA660" s="13"/>
      <c r="DB660" s="5"/>
      <c r="DC660" s="13"/>
      <c r="DD660" s="36"/>
      <c r="DE660" s="36"/>
      <c r="DF660" s="14"/>
      <c r="DG660" s="14"/>
      <c r="DH660" s="14"/>
      <c r="DI660" s="15"/>
      <c r="DJ660" s="1"/>
      <c r="DK660" s="16"/>
      <c r="DL660" s="270"/>
      <c r="DM660" s="270"/>
      <c r="DN660" s="13"/>
      <c r="DO660" s="13"/>
      <c r="DP660" s="5"/>
      <c r="DQ660" s="13"/>
      <c r="DR660" s="36"/>
      <c r="DS660" s="36"/>
      <c r="DT660" s="14"/>
      <c r="DU660" s="14"/>
      <c r="DV660" s="14"/>
      <c r="DW660" s="15"/>
    </row>
    <row r="661" spans="1:127" x14ac:dyDescent="0.2">
      <c r="A661" s="258" t="s">
        <v>28</v>
      </c>
      <c r="B661" s="260"/>
      <c r="C661" s="259"/>
      <c r="D661" s="38">
        <f>SUM(D597,D601,D605,D609,D613,D617,D621,D625,D629,D633,D637,D641,D645)*100</f>
        <v>177600</v>
      </c>
      <c r="E661" s="54"/>
      <c r="F661" s="13"/>
      <c r="G661" s="5">
        <f>D661/H661</f>
        <v>2650.7462686567164</v>
      </c>
      <c r="H661" s="38">
        <f>SUM(H597,H601,H605,H610,H613,H617,H621,H625,H629,H633,H637,H641,H645)</f>
        <v>67</v>
      </c>
      <c r="I661" s="13"/>
      <c r="J661" s="75" t="str">
        <f t="shared" si="1040"/>
        <v>AIモンスタラバー</v>
      </c>
      <c r="K661" s="76">
        <f t="shared" si="1040"/>
        <v>200</v>
      </c>
      <c r="L661" s="38">
        <f>SUM(L597,L601,L605,L610,L613,L617,L621,L625,L629,L633,L637,L641,L645)</f>
        <v>16200</v>
      </c>
      <c r="M661" s="36">
        <f>L661/D661</f>
        <v>9.1216216216216214E-2</v>
      </c>
      <c r="N661" s="15"/>
      <c r="O661" s="2"/>
      <c r="P661" s="258" t="s">
        <v>28</v>
      </c>
      <c r="Q661" s="259"/>
      <c r="R661" s="38">
        <f>SUM(R597,R601,R605,R609,R613,R617,R621,R625,R629,R633,R637,R641,R645)*100</f>
        <v>294200</v>
      </c>
      <c r="S661" s="54"/>
      <c r="T661" s="13"/>
      <c r="U661" s="5">
        <f>R661/V661</f>
        <v>6395.652173913043</v>
      </c>
      <c r="V661" s="38">
        <f>SUM(V597,V601,V605,V610,V613,V617,V621,V625,V629,V633,V637,V641,V645)</f>
        <v>46</v>
      </c>
      <c r="W661" s="13"/>
      <c r="X661" s="78" t="str">
        <f t="shared" si="1041"/>
        <v>ラブブマスコット</v>
      </c>
      <c r="Y661" s="76">
        <f t="shared" si="1041"/>
        <v>400</v>
      </c>
      <c r="Z661" s="38">
        <f>SUM(Z597,Z601,Z605,Z610,Z613,Z617,Z621,Z625,Z629,Z633,Z637,Z641,Z645)</f>
        <v>15972</v>
      </c>
      <c r="AA661" s="36">
        <f>Z661/R661</f>
        <v>5.4289598912304553E-2</v>
      </c>
      <c r="AB661" s="15"/>
      <c r="AC661" s="1"/>
      <c r="AD661" s="258" t="s">
        <v>28</v>
      </c>
      <c r="AE661" s="259"/>
      <c r="AF661" s="38">
        <f>SUM(AF597,AF601,AF605,AF609,AF613,AF617,AF621,AF625,AF629,AF633,AF637,AF641,AF645)*100</f>
        <v>148600</v>
      </c>
      <c r="AG661" s="54"/>
      <c r="AH661" s="13"/>
      <c r="AI661" s="5">
        <f>AF661/AJ661</f>
        <v>5944</v>
      </c>
      <c r="AJ661" s="38">
        <f>SUM(AJ597,AJ601,AJ605,AJ610,AJ613,AJ617,AJ621,AJ625,AJ629,AJ633,AJ637,AJ641,AJ645)</f>
        <v>25</v>
      </c>
      <c r="AK661" s="13"/>
      <c r="AL661" s="75" t="str">
        <f t="shared" si="1042"/>
        <v>スティッチポーチ</v>
      </c>
      <c r="AM661" s="76">
        <f t="shared" si="1042"/>
        <v>490</v>
      </c>
      <c r="AN661" s="38">
        <f>SUM(AN597,AN601,AN605,AN610,AN613,AN617,AN621,AN625,AN629,AN633,AN637,AN641,AN645)</f>
        <v>10474</v>
      </c>
      <c r="AO661" s="36">
        <f>AN661/AF661</f>
        <v>7.0484522207267836E-2</v>
      </c>
      <c r="AP661" s="15"/>
      <c r="AQ661" s="2"/>
      <c r="AR661" s="258" t="s">
        <v>28</v>
      </c>
      <c r="AS661" s="259"/>
      <c r="AT661" s="38">
        <f>SUM(AT597,AT601,AT605,AT609,AT613,AT617,AT621,AT625,AT629,AT633,AT637,AT641,AT645)*100</f>
        <v>81200</v>
      </c>
      <c r="AU661" s="54"/>
      <c r="AV661" s="13"/>
      <c r="AW661" s="5">
        <f>AT661/AX661</f>
        <v>5800</v>
      </c>
      <c r="AX661" s="38">
        <f>SUM(AX597,AX601,AX605,AX610,AX613,AX617,AX621,AX625,AX629,AX633,AX637,AX641,AX645)</f>
        <v>14</v>
      </c>
      <c r="AY661" s="13"/>
      <c r="AZ661" s="75" t="str">
        <f t="shared" si="1043"/>
        <v>モンチッチマスコット</v>
      </c>
      <c r="BA661" s="76">
        <f t="shared" si="1043"/>
        <v>528</v>
      </c>
      <c r="BB661" s="38">
        <f>SUM(BB597,BB601,BB605,BB610,BB613,BB617,BB621,BB625,BB629,BB633,BB637,BB641,BB645)</f>
        <v>7536</v>
      </c>
      <c r="BC661" s="36">
        <f>BB661/AT661</f>
        <v>9.280788177339902E-2</v>
      </c>
      <c r="BD661" s="15"/>
      <c r="BU661" s="16"/>
      <c r="BV661" s="270"/>
      <c r="BW661" s="270"/>
      <c r="BX661" s="36"/>
      <c r="BY661" s="13"/>
      <c r="BZ661" s="5"/>
      <c r="CA661" s="13"/>
      <c r="CB661" s="36"/>
      <c r="CC661" s="36"/>
      <c r="CD661" s="14"/>
      <c r="CE661" s="14"/>
      <c r="CF661" s="14"/>
      <c r="CG661" s="15"/>
      <c r="CH661" s="1"/>
      <c r="CI661" s="16"/>
      <c r="CJ661" s="270"/>
      <c r="CK661" s="270"/>
      <c r="CL661" s="36"/>
      <c r="CM661" s="13"/>
      <c r="CN661" s="5"/>
      <c r="CO661" s="13"/>
      <c r="CP661" s="36"/>
      <c r="CQ661" s="36"/>
      <c r="CR661" s="14"/>
      <c r="CS661" s="14"/>
      <c r="CT661" s="14"/>
      <c r="CU661" s="15"/>
      <c r="CV661" s="1"/>
      <c r="CW661" s="16"/>
      <c r="CX661" s="270"/>
      <c r="CY661" s="270"/>
      <c r="CZ661" s="36"/>
      <c r="DA661" s="13"/>
      <c r="DB661" s="5"/>
      <c r="DC661" s="13"/>
      <c r="DD661" s="36"/>
      <c r="DE661" s="36"/>
      <c r="DF661" s="14"/>
      <c r="DG661" s="14"/>
      <c r="DH661" s="14"/>
      <c r="DI661" s="15"/>
      <c r="DJ661" s="1"/>
      <c r="DK661" s="16"/>
      <c r="DL661" s="270"/>
      <c r="DM661" s="270"/>
      <c r="DN661" s="36"/>
      <c r="DO661" s="13"/>
      <c r="DP661" s="5"/>
      <c r="DQ661" s="13"/>
      <c r="DR661" s="36"/>
      <c r="DS661" s="36"/>
      <c r="DT661" s="14"/>
      <c r="DU661" s="14"/>
      <c r="DV661" s="14"/>
      <c r="DW661" s="15"/>
    </row>
    <row r="662" spans="1:127" x14ac:dyDescent="0.2">
      <c r="A662" s="258" t="s">
        <v>28</v>
      </c>
      <c r="B662" s="260"/>
      <c r="C662" s="259"/>
      <c r="D662" s="38">
        <f>SUM(D598,D602,D606,D610,D614,D618,D622,D626,D630,D634,D638,D642,D646)*100</f>
        <v>98400</v>
      </c>
      <c r="E662" s="54"/>
      <c r="F662" s="13"/>
      <c r="G662" s="5">
        <f>D662/H662</f>
        <v>2288.3720930232557</v>
      </c>
      <c r="H662" s="38">
        <f>SUM(H598,H602,H606,H609,H614,H618,H622,H626,H630,H634,H638,H642,H646)</f>
        <v>43</v>
      </c>
      <c r="I662" s="13"/>
      <c r="J662" s="75" t="str">
        <f t="shared" si="1040"/>
        <v>NICIマスコット</v>
      </c>
      <c r="K662" s="76">
        <f t="shared" si="1040"/>
        <v>900</v>
      </c>
      <c r="L662" s="38">
        <f>SUM(L598,L602,L606,L609,L614,L618,L622,L626,L630,L634,L638,L642,L646)</f>
        <v>25664</v>
      </c>
      <c r="M662" s="36">
        <f>L662/D662</f>
        <v>0.26081300813008129</v>
      </c>
      <c r="N662" s="15"/>
      <c r="O662" s="2"/>
      <c r="P662" s="258" t="s">
        <v>28</v>
      </c>
      <c r="Q662" s="259"/>
      <c r="R662" s="38">
        <f>SUM(R598,R602,R606,R610,R614,R618,R622,R626,R630,R634,R638,R642,R646)*100</f>
        <v>116700</v>
      </c>
      <c r="S662" s="54"/>
      <c r="T662" s="13"/>
      <c r="U662" s="5">
        <f>R662/V662</f>
        <v>4668</v>
      </c>
      <c r="V662" s="38">
        <f>SUM(V598,V602,V606,V609,V614,V618,V622,V626,V630,V634,V638,V642,V646)</f>
        <v>25</v>
      </c>
      <c r="W662" s="13"/>
      <c r="X662" s="78" t="str">
        <f t="shared" si="1041"/>
        <v>ＡＩマスコット</v>
      </c>
      <c r="Y662" s="76">
        <f t="shared" si="1041"/>
        <v>286</v>
      </c>
      <c r="Z662" s="38">
        <f>SUM(Z598,Z602,Z606,Z609,Z614,Z618,Z622,Z626,Z630,Z634,Z638,Z642,Z646)</f>
        <v>7948</v>
      </c>
      <c r="AA662" s="36">
        <f>Z662/R662</f>
        <v>6.8106255355612683E-2</v>
      </c>
      <c r="AB662" s="15"/>
      <c r="AC662" s="1"/>
      <c r="AD662" s="258" t="s">
        <v>28</v>
      </c>
      <c r="AE662" s="259"/>
      <c r="AF662" s="38">
        <f>SUM(AF598,AF602,AF606,AF610,AF614,AF618,AF622,AF626,AF630,AF634,AF638,AF642,AF646)*100</f>
        <v>100000</v>
      </c>
      <c r="AG662" s="54"/>
      <c r="AH662" s="13"/>
      <c r="AI662" s="5">
        <f>AF662/AJ662</f>
        <v>4761.9047619047615</v>
      </c>
      <c r="AJ662" s="38">
        <f>SUM(AJ598,AJ602,AJ606,AJ609,AJ614,AJ618,AJ622,AJ626,AJ630,AJ634,AJ638,AJ642,AJ646)</f>
        <v>21</v>
      </c>
      <c r="AK662" s="13"/>
      <c r="AL662" s="75" t="str">
        <f t="shared" si="1042"/>
        <v>しなこくま</v>
      </c>
      <c r="AM662" s="76">
        <f t="shared" si="1042"/>
        <v>528</v>
      </c>
      <c r="AN662" s="38">
        <f>SUM(AN598,AN602,AN606,AN609,AN614,AN618,AN622,AN626,AN630,AN634,AN638,AN642,AN646)</f>
        <v>11050</v>
      </c>
      <c r="AO662" s="36">
        <f>AN662/AF662</f>
        <v>0.1105</v>
      </c>
      <c r="AP662" s="15"/>
      <c r="AQ662" s="2"/>
      <c r="AR662" s="258" t="s">
        <v>28</v>
      </c>
      <c r="AS662" s="259"/>
      <c r="AT662" s="38">
        <f>SUM(AT598,AT602,AT606,AT610,AT614,AT618,AT622,AT626,AT630,AT634,AT638,AT642,AT646)*100</f>
        <v>142800</v>
      </c>
      <c r="AU662" s="54"/>
      <c r="AV662" s="13"/>
      <c r="AW662" s="5">
        <f>AT662/AX662</f>
        <v>5100</v>
      </c>
      <c r="AX662" s="38">
        <f>SUM(AX598,AX602,AX606,AX609,AX614,AX618,AX622,AX626,AX630,AX634,AX638,AX642,AX646)</f>
        <v>28</v>
      </c>
      <c r="AY662" s="13"/>
      <c r="AZ662" s="75" t="str">
        <f t="shared" si="1043"/>
        <v>サンリオミニリュック</v>
      </c>
      <c r="BA662" s="76">
        <f t="shared" si="1043"/>
        <v>600</v>
      </c>
      <c r="BB662" s="38">
        <f>SUM(BB598,BB602,BB606,BB609,BB614,BB618,BB622,BB626,BB630,BB634,BB638,BB642,BB646)</f>
        <v>14584</v>
      </c>
      <c r="BC662" s="36">
        <f>BB662/AT662</f>
        <v>0.10212885154061625</v>
      </c>
      <c r="BD662" s="15"/>
      <c r="BU662" s="40"/>
      <c r="BV662" s="3"/>
      <c r="BW662" s="2"/>
      <c r="BX662" s="41"/>
      <c r="BY662" s="1"/>
      <c r="BZ662" s="3"/>
      <c r="CA662" s="1"/>
      <c r="CB662" s="23"/>
      <c r="CC662" s="23"/>
      <c r="CD662" s="23"/>
      <c r="CE662" s="23"/>
      <c r="CF662" s="23"/>
      <c r="CG662" s="18"/>
      <c r="CH662" s="1"/>
      <c r="CI662" s="40"/>
      <c r="CJ662" s="3"/>
      <c r="CK662" s="2"/>
      <c r="CL662" s="41"/>
      <c r="CM662" s="1"/>
      <c r="CN662" s="3"/>
      <c r="CO662" s="1"/>
      <c r="CP662" s="23"/>
      <c r="CQ662" s="23"/>
      <c r="CR662" s="23"/>
      <c r="CS662" s="23"/>
      <c r="CT662" s="23"/>
      <c r="CU662" s="18"/>
      <c r="CV662" s="1"/>
      <c r="CW662" s="40"/>
      <c r="CX662" s="3"/>
      <c r="CY662" s="2"/>
      <c r="CZ662" s="41"/>
      <c r="DA662" s="1"/>
      <c r="DB662" s="3"/>
      <c r="DC662" s="1"/>
      <c r="DD662" s="23"/>
      <c r="DE662" s="23"/>
      <c r="DF662" s="23"/>
      <c r="DG662" s="23"/>
      <c r="DH662" s="23"/>
      <c r="DI662" s="18"/>
      <c r="DJ662" s="1"/>
      <c r="DK662" s="40"/>
      <c r="DL662" s="3"/>
      <c r="DM662" s="2"/>
      <c r="DN662" s="41"/>
      <c r="DO662" s="1"/>
      <c r="DP662" s="3"/>
      <c r="DQ662" s="1"/>
      <c r="DR662" s="23"/>
      <c r="DS662" s="23"/>
      <c r="DT662" s="23"/>
      <c r="DU662" s="23"/>
      <c r="DV662" s="23"/>
      <c r="DW662" s="18"/>
    </row>
    <row r="663" spans="1:127" x14ac:dyDescent="0.2">
      <c r="A663" s="16"/>
      <c r="B663" s="11"/>
      <c r="C663" s="5" t="s">
        <v>19</v>
      </c>
      <c r="D663" s="13">
        <f>SUM(D659:D662)</f>
        <v>392100</v>
      </c>
      <c r="E663" s="13"/>
      <c r="F663" s="13"/>
      <c r="G663" s="13"/>
      <c r="H663" s="13">
        <f>SUM(H659:H662)</f>
        <v>149</v>
      </c>
      <c r="I663" s="13"/>
      <c r="J663" s="262" t="s">
        <v>31</v>
      </c>
      <c r="K663" s="259"/>
      <c r="L663" s="53">
        <f>SUM(L659:L662)</f>
        <v>66914</v>
      </c>
      <c r="M663" s="83">
        <f>L663/D663</f>
        <v>0.17065544503953073</v>
      </c>
      <c r="N663" s="84"/>
      <c r="O663" s="2"/>
      <c r="P663" s="16"/>
      <c r="Q663" s="5" t="s">
        <v>19</v>
      </c>
      <c r="R663" s="13">
        <f>SUM(R659:R662)</f>
        <v>578500</v>
      </c>
      <c r="S663" s="54"/>
      <c r="T663" s="13"/>
      <c r="U663" s="13"/>
      <c r="V663" s="13">
        <f>SUM(V659:V662)</f>
        <v>113</v>
      </c>
      <c r="W663" s="13"/>
      <c r="X663" s="262" t="s">
        <v>31</v>
      </c>
      <c r="Y663" s="259"/>
      <c r="Z663" s="53">
        <f>SUM(Z659:Z662)</f>
        <v>65120</v>
      </c>
      <c r="AA663" s="83">
        <f>Z663/R663</f>
        <v>0.11256698357821954</v>
      </c>
      <c r="AB663" s="84"/>
      <c r="AC663" s="1"/>
      <c r="AD663" s="16"/>
      <c r="AE663" s="5" t="s">
        <v>19</v>
      </c>
      <c r="AF663" s="13">
        <f>SUM(AF659:AF662)</f>
        <v>406400</v>
      </c>
      <c r="AG663" s="54"/>
      <c r="AH663" s="13"/>
      <c r="AI663" s="13"/>
      <c r="AJ663" s="13">
        <f>SUM(AJ659:AJ662)</f>
        <v>88</v>
      </c>
      <c r="AK663" s="13"/>
      <c r="AL663" s="262" t="s">
        <v>31</v>
      </c>
      <c r="AM663" s="259"/>
      <c r="AN663" s="53">
        <f>SUM(AN659:AN662)</f>
        <v>56361</v>
      </c>
      <c r="AO663" s="83">
        <f>AN663/AF663</f>
        <v>0.13868356299212597</v>
      </c>
      <c r="AP663" s="84"/>
      <c r="AQ663" s="2"/>
      <c r="AR663" s="16"/>
      <c r="AS663" s="5" t="s">
        <v>19</v>
      </c>
      <c r="AT663" s="13">
        <f>SUM(AT659:AT662)</f>
        <v>320300</v>
      </c>
      <c r="AU663" s="54"/>
      <c r="AV663" s="13"/>
      <c r="AW663" s="13"/>
      <c r="AX663" s="13">
        <f>SUM(AX659:AX662)</f>
        <v>72</v>
      </c>
      <c r="AY663" s="13"/>
      <c r="AZ663" s="262" t="s">
        <v>31</v>
      </c>
      <c r="BA663" s="259"/>
      <c r="BB663" s="53">
        <f>SUM(BB659:BB662)</f>
        <v>48832</v>
      </c>
      <c r="BC663" s="83">
        <f>BB663/AT663</f>
        <v>0.152457071495473</v>
      </c>
      <c r="BD663" s="84"/>
      <c r="BU663" s="42"/>
      <c r="BV663" s="256"/>
      <c r="BW663" s="256"/>
      <c r="BX663" s="41"/>
      <c r="BY663" s="1"/>
      <c r="BZ663" s="3"/>
      <c r="CA663" s="1"/>
      <c r="CB663" s="23"/>
      <c r="CC663" s="23"/>
      <c r="CD663" s="23"/>
      <c r="CE663" s="23"/>
      <c r="CF663" s="23"/>
      <c r="CG663" s="18"/>
      <c r="CH663" s="1"/>
      <c r="CI663" s="42"/>
      <c r="CJ663" s="256"/>
      <c r="CK663" s="256"/>
      <c r="CL663" s="41"/>
      <c r="CM663" s="1"/>
      <c r="CN663" s="3"/>
      <c r="CO663" s="1"/>
      <c r="CP663" s="23"/>
      <c r="CQ663" s="23"/>
      <c r="CR663" s="23"/>
      <c r="CS663" s="23"/>
      <c r="CT663" s="23"/>
      <c r="CU663" s="18"/>
      <c r="CV663" s="1"/>
      <c r="CW663" s="42"/>
      <c r="CX663" s="256"/>
      <c r="CY663" s="256"/>
      <c r="CZ663" s="41"/>
      <c r="DA663" s="1"/>
      <c r="DB663" s="3"/>
      <c r="DC663" s="1"/>
      <c r="DD663" s="23"/>
      <c r="DE663" s="23"/>
      <c r="DF663" s="23"/>
      <c r="DG663" s="23"/>
      <c r="DH663" s="23"/>
      <c r="DI663" s="18"/>
      <c r="DJ663" s="1"/>
      <c r="DK663" s="42"/>
      <c r="DL663" s="256"/>
      <c r="DM663" s="256"/>
      <c r="DN663" s="41"/>
      <c r="DO663" s="1"/>
      <c r="DP663" s="3"/>
      <c r="DQ663" s="1"/>
      <c r="DR663" s="23"/>
      <c r="DS663" s="23"/>
      <c r="DT663" s="23"/>
      <c r="DU663" s="23"/>
      <c r="DV663" s="23"/>
      <c r="DW663" s="18"/>
    </row>
    <row r="664" spans="1:127" x14ac:dyDescent="0.2">
      <c r="A664" s="85"/>
      <c r="B664" s="101"/>
      <c r="C664" s="35"/>
      <c r="D664" s="54"/>
      <c r="E664" s="24"/>
      <c r="F664" s="54"/>
      <c r="G664" s="5"/>
      <c r="H664" s="13"/>
      <c r="I664" s="24"/>
      <c r="J664" s="99"/>
      <c r="K664" s="100"/>
      <c r="L664" s="76"/>
      <c r="M664" s="14"/>
      <c r="N664" s="15"/>
      <c r="O664" s="2"/>
      <c r="P664" s="79"/>
      <c r="Q664" s="5"/>
      <c r="R664" s="13"/>
      <c r="S664" s="13"/>
      <c r="T664" s="13"/>
      <c r="U664" s="5"/>
      <c r="V664" s="13"/>
      <c r="W664" s="24"/>
      <c r="X664" s="99"/>
      <c r="Y664" s="100"/>
      <c r="Z664" s="76"/>
      <c r="AA664" s="14"/>
      <c r="AB664" s="15"/>
      <c r="AD664" s="79"/>
      <c r="AE664" s="5"/>
      <c r="AF664" s="13"/>
      <c r="AG664" s="13"/>
      <c r="AH664" s="13"/>
      <c r="AI664" s="5"/>
      <c r="AJ664" s="13"/>
      <c r="AK664" s="24"/>
      <c r="AL664" s="99"/>
      <c r="AM664" s="100"/>
      <c r="AN664" s="76"/>
      <c r="AO664" s="14"/>
      <c r="AP664" s="15"/>
      <c r="AQ664" s="2"/>
      <c r="AR664" s="79"/>
      <c r="AS664" s="5"/>
      <c r="AT664" s="13"/>
      <c r="AU664" s="13"/>
      <c r="AV664" s="13"/>
      <c r="AW664" s="5"/>
      <c r="AX664" s="13"/>
      <c r="AY664" s="24"/>
      <c r="AZ664" s="118"/>
      <c r="BA664" s="100"/>
      <c r="BB664" s="76"/>
      <c r="BC664" s="14"/>
      <c r="BD664" s="15"/>
      <c r="BU664" s="42"/>
      <c r="BV664" s="3"/>
      <c r="BX664" s="41"/>
      <c r="BY664" s="1"/>
      <c r="BZ664" s="3"/>
      <c r="CA664" s="1"/>
      <c r="CB664" s="23"/>
      <c r="CC664" s="23"/>
      <c r="CD664" s="23"/>
      <c r="CE664" s="23"/>
      <c r="CF664" s="23"/>
      <c r="CG664" s="18"/>
      <c r="CH664" s="1"/>
      <c r="CI664" s="42"/>
      <c r="CJ664" s="3"/>
      <c r="CL664" s="41"/>
      <c r="CM664" s="1"/>
      <c r="CN664" s="3"/>
      <c r="CO664" s="1"/>
      <c r="CP664" s="23"/>
      <c r="CQ664" s="23"/>
      <c r="CR664" s="23"/>
      <c r="CS664" s="23"/>
      <c r="CT664" s="23"/>
      <c r="CU664" s="18"/>
      <c r="CV664" s="1"/>
      <c r="CW664" s="42"/>
      <c r="CX664" s="3"/>
      <c r="CZ664" s="41"/>
      <c r="DA664" s="1"/>
      <c r="DB664" s="3"/>
      <c r="DC664" s="1"/>
      <c r="DD664" s="23"/>
      <c r="DE664" s="23"/>
      <c r="DF664" s="23"/>
      <c r="DG664" s="23"/>
      <c r="DH664" s="23"/>
      <c r="DI664" s="18"/>
      <c r="DJ664" s="1"/>
      <c r="DK664" s="42"/>
      <c r="DL664" s="3"/>
      <c r="DN664" s="41"/>
      <c r="DO664" s="1"/>
      <c r="DP664" s="3"/>
      <c r="DQ664" s="1"/>
      <c r="DR664" s="23"/>
      <c r="DS664" s="23"/>
      <c r="DT664" s="23"/>
      <c r="DU664" s="23"/>
      <c r="DV664" s="23"/>
      <c r="DW664" s="18"/>
    </row>
    <row r="665" spans="1:127" x14ac:dyDescent="0.2">
      <c r="A665" s="257"/>
      <c r="B665" s="257"/>
      <c r="C665" s="257"/>
      <c r="D665" s="257"/>
      <c r="E665" s="257"/>
      <c r="F665" s="257"/>
      <c r="BU665" s="40"/>
      <c r="BV665" s="256"/>
      <c r="BW665" s="256"/>
      <c r="BX665" s="41"/>
      <c r="BY665" s="1"/>
      <c r="BZ665" s="3"/>
      <c r="CA665" s="1"/>
      <c r="CB665" s="23"/>
      <c r="CC665" s="23"/>
      <c r="CD665" s="23"/>
      <c r="CE665" s="23"/>
      <c r="CF665" s="23"/>
      <c r="CG665" s="18"/>
      <c r="CH665" s="1"/>
      <c r="CI665" s="40"/>
      <c r="CJ665" s="256"/>
      <c r="CK665" s="256"/>
      <c r="CL665" s="41"/>
      <c r="CM665" s="1"/>
      <c r="CN665" s="3"/>
      <c r="CO665" s="1"/>
      <c r="CP665" s="23"/>
      <c r="CQ665" s="23"/>
      <c r="CR665" s="23"/>
      <c r="CS665" s="23"/>
      <c r="CT665" s="23"/>
      <c r="CU665" s="18"/>
      <c r="CV665" s="1"/>
      <c r="CW665" s="40"/>
      <c r="CX665" s="256"/>
      <c r="CY665" s="256"/>
      <c r="CZ665" s="41"/>
      <c r="DA665" s="1"/>
      <c r="DB665" s="3"/>
      <c r="DC665" s="1"/>
      <c r="DD665" s="23"/>
      <c r="DE665" s="23"/>
      <c r="DF665" s="23"/>
      <c r="DG665" s="23"/>
      <c r="DH665" s="23"/>
      <c r="DI665" s="18"/>
      <c r="DJ665" s="1"/>
      <c r="DK665" s="40"/>
      <c r="DL665" s="256"/>
      <c r="DM665" s="256"/>
      <c r="DN665" s="41"/>
      <c r="DO665" s="1"/>
      <c r="DP665" s="3"/>
      <c r="DQ665" s="1"/>
      <c r="DR665" s="23"/>
      <c r="DS665" s="23"/>
      <c r="DT665" s="23"/>
      <c r="DU665" s="23"/>
      <c r="DV665" s="23"/>
      <c r="DW665" s="18"/>
    </row>
    <row r="666" spans="1:127" ht="15" customHeight="1" x14ac:dyDescent="0.2">
      <c r="A666" s="257"/>
      <c r="B666" s="257"/>
      <c r="J666"/>
      <c r="BU666" s="40"/>
      <c r="BV666" s="3"/>
      <c r="BX666" s="41"/>
      <c r="BY666" s="1"/>
      <c r="BZ666" s="3"/>
      <c r="CA666" s="1"/>
      <c r="CB666" s="23"/>
      <c r="CC666" s="23"/>
      <c r="CD666" s="23"/>
      <c r="CE666" s="23"/>
      <c r="CF666" s="23"/>
      <c r="CG666" s="18"/>
      <c r="CH666" s="1"/>
      <c r="CI666" s="40"/>
      <c r="CJ666" s="3"/>
      <c r="CL666" s="41"/>
      <c r="CM666" s="1"/>
      <c r="CN666" s="3"/>
      <c r="CO666" s="1"/>
      <c r="CP666" s="23"/>
      <c r="CQ666" s="23"/>
      <c r="CR666" s="23"/>
      <c r="CS666" s="23"/>
      <c r="CT666" s="23"/>
      <c r="CU666" s="18"/>
      <c r="CV666" s="1"/>
      <c r="CW666" s="40"/>
      <c r="CX666" s="3"/>
      <c r="CZ666" s="41"/>
      <c r="DA666" s="1"/>
      <c r="DB666" s="3"/>
      <c r="DC666" s="1"/>
      <c r="DD666" s="23"/>
      <c r="DE666" s="23"/>
      <c r="DF666" s="23"/>
      <c r="DG666" s="23"/>
      <c r="DH666" s="23"/>
      <c r="DI666" s="18"/>
      <c r="DJ666" s="1"/>
      <c r="DK666" s="40"/>
      <c r="DL666" s="3"/>
      <c r="DN666" s="41"/>
      <c r="DO666" s="1"/>
      <c r="DP666" s="3"/>
      <c r="DQ666" s="1"/>
      <c r="DR666" s="23"/>
      <c r="DS666" s="23"/>
      <c r="DT666" s="23"/>
      <c r="DU666" s="23"/>
      <c r="DV666" s="23"/>
      <c r="DW666" s="18"/>
    </row>
    <row r="667" spans="1:127" x14ac:dyDescent="0.2">
      <c r="A667" s="276" t="s">
        <v>42</v>
      </c>
      <c r="B667" s="276"/>
      <c r="C667" s="276"/>
      <c r="D667" s="276"/>
      <c r="E667" s="70" t="s">
        <v>56</v>
      </c>
      <c r="F667" s="70"/>
      <c r="G667" s="70"/>
      <c r="H667" s="70"/>
      <c r="I667" s="70"/>
      <c r="J667" s="71"/>
      <c r="K667" s="70"/>
      <c r="L667" s="70"/>
      <c r="M667" s="70"/>
      <c r="N667" s="72"/>
      <c r="O667" s="2"/>
      <c r="P667" s="276" t="s">
        <v>43</v>
      </c>
      <c r="Q667" s="276"/>
      <c r="R667" s="276"/>
      <c r="S667" s="70" t="s">
        <v>55</v>
      </c>
      <c r="T667" s="70"/>
      <c r="U667" s="70"/>
      <c r="V667" s="70"/>
      <c r="W667" s="70"/>
      <c r="X667" s="73"/>
      <c r="Y667" s="70"/>
      <c r="Z667" s="70"/>
      <c r="AA667" s="70"/>
      <c r="AB667" s="72"/>
      <c r="AC667" s="1"/>
      <c r="AD667" s="276" t="s">
        <v>54</v>
      </c>
      <c r="AE667" s="276"/>
      <c r="AF667" s="276"/>
      <c r="AG667" s="70" t="s">
        <v>52</v>
      </c>
      <c r="AH667" s="70"/>
      <c r="AI667" s="70"/>
      <c r="AJ667" s="70"/>
      <c r="AK667" s="70"/>
      <c r="AL667" s="71"/>
      <c r="AM667" s="70"/>
      <c r="AN667" s="70"/>
      <c r="AO667" s="70"/>
      <c r="AP667" s="72"/>
      <c r="AQ667" s="2"/>
      <c r="AR667" s="276" t="s">
        <v>54</v>
      </c>
      <c r="AS667" s="276"/>
      <c r="AT667" s="276"/>
      <c r="AU667" s="70" t="s">
        <v>53</v>
      </c>
      <c r="AV667" s="70"/>
      <c r="AW667" s="70"/>
      <c r="AX667" s="70"/>
      <c r="AY667" s="70"/>
      <c r="AZ667" s="71"/>
      <c r="BA667" s="70"/>
      <c r="BB667" s="70"/>
      <c r="BC667" s="70"/>
      <c r="BD667" s="72"/>
      <c r="BU667" s="124"/>
      <c r="BV667" s="277" t="s">
        <v>137</v>
      </c>
      <c r="BW667" s="278"/>
      <c r="BX667" s="278"/>
      <c r="BY667" s="278"/>
      <c r="BZ667" s="125"/>
      <c r="CA667" s="125"/>
      <c r="CB667" s="125"/>
      <c r="CC667" s="125"/>
      <c r="CD667" s="125"/>
      <c r="CE667" s="125"/>
      <c r="CF667" s="125"/>
      <c r="CG667" s="125"/>
      <c r="CH667" s="125"/>
      <c r="CI667" s="124"/>
      <c r="CJ667" s="277" t="s">
        <v>138</v>
      </c>
      <c r="CK667" s="278"/>
      <c r="CL667" s="278"/>
      <c r="CM667" s="278"/>
      <c r="CN667" s="125"/>
      <c r="CO667" s="125"/>
      <c r="CP667" s="125"/>
      <c r="CQ667" s="125"/>
      <c r="CR667" s="125"/>
      <c r="CS667" s="125"/>
      <c r="CT667" s="125"/>
      <c r="CU667" s="125"/>
      <c r="CV667" s="125"/>
      <c r="CW667" s="124"/>
      <c r="CX667" s="277" t="s">
        <v>139</v>
      </c>
      <c r="CY667" s="278"/>
      <c r="CZ667" s="278"/>
      <c r="DA667" s="278"/>
      <c r="DB667" s="125"/>
      <c r="DC667" s="125"/>
      <c r="DD667" s="125"/>
      <c r="DE667" s="125"/>
      <c r="DF667" s="125"/>
      <c r="DG667" s="125"/>
      <c r="DH667" s="125"/>
      <c r="DI667" s="125"/>
      <c r="DJ667" s="125"/>
      <c r="DK667" s="124"/>
      <c r="DL667" s="277" t="s">
        <v>140</v>
      </c>
      <c r="DM667" s="278"/>
      <c r="DN667" s="278"/>
      <c r="DO667" s="278"/>
      <c r="DP667" s="125"/>
      <c r="DQ667" s="125"/>
      <c r="DR667" s="125"/>
      <c r="DS667" s="125"/>
      <c r="DT667" s="125"/>
      <c r="DU667" s="125"/>
      <c r="DV667" s="125"/>
      <c r="DW667" s="125"/>
    </row>
    <row r="668" spans="1:127" x14ac:dyDescent="0.2">
      <c r="A668" s="7" t="s">
        <v>1</v>
      </c>
      <c r="B668" s="4" t="s">
        <v>19</v>
      </c>
      <c r="C668" s="5" t="s">
        <v>2</v>
      </c>
      <c r="D668" s="5" t="s">
        <v>3</v>
      </c>
      <c r="E668" s="6" t="s">
        <v>4</v>
      </c>
      <c r="F668" s="5" t="s">
        <v>3</v>
      </c>
      <c r="G668" s="5" t="s">
        <v>5</v>
      </c>
      <c r="H668" s="5" t="s">
        <v>6</v>
      </c>
      <c r="I668" s="5" t="s">
        <v>7</v>
      </c>
      <c r="J668" s="55" t="s">
        <v>12</v>
      </c>
      <c r="K668" s="5" t="s">
        <v>8</v>
      </c>
      <c r="L668" s="5" t="s">
        <v>6</v>
      </c>
      <c r="M668" s="5" t="s">
        <v>13</v>
      </c>
      <c r="N668" s="5" t="s">
        <v>11</v>
      </c>
      <c r="O668" s="2"/>
      <c r="P668" s="7" t="s">
        <v>1</v>
      </c>
      <c r="Q668" s="5" t="s">
        <v>2</v>
      </c>
      <c r="R668" s="5" t="s">
        <v>3</v>
      </c>
      <c r="S668" s="6" t="s">
        <v>4</v>
      </c>
      <c r="T668" s="5" t="s">
        <v>3</v>
      </c>
      <c r="U668" s="5" t="s">
        <v>5</v>
      </c>
      <c r="V668" s="5" t="s">
        <v>6</v>
      </c>
      <c r="W668" s="5" t="s">
        <v>7</v>
      </c>
      <c r="X668" s="6" t="s">
        <v>12</v>
      </c>
      <c r="Y668" s="5" t="s">
        <v>8</v>
      </c>
      <c r="Z668" s="5" t="s">
        <v>6</v>
      </c>
      <c r="AA668" s="5" t="s">
        <v>13</v>
      </c>
      <c r="AB668" s="5" t="s">
        <v>11</v>
      </c>
      <c r="AC668" s="3"/>
      <c r="AD668" s="7" t="s">
        <v>1</v>
      </c>
      <c r="AE668" s="5" t="s">
        <v>2</v>
      </c>
      <c r="AF668" s="5" t="s">
        <v>3</v>
      </c>
      <c r="AG668" s="6" t="s">
        <v>4</v>
      </c>
      <c r="AH668" s="5" t="s">
        <v>3</v>
      </c>
      <c r="AI668" s="5" t="s">
        <v>5</v>
      </c>
      <c r="AJ668" s="5" t="s">
        <v>6</v>
      </c>
      <c r="AK668" s="5" t="s">
        <v>7</v>
      </c>
      <c r="AL668" s="55" t="s">
        <v>12</v>
      </c>
      <c r="AM668" s="5" t="s">
        <v>8</v>
      </c>
      <c r="AN668" s="5" t="s">
        <v>6</v>
      </c>
      <c r="AO668" s="5" t="s">
        <v>13</v>
      </c>
      <c r="AP668" s="5" t="s">
        <v>11</v>
      </c>
      <c r="AQ668" s="2"/>
      <c r="AR668" s="7" t="s">
        <v>1</v>
      </c>
      <c r="AS668" s="5" t="s">
        <v>2</v>
      </c>
      <c r="AT668" s="5" t="s">
        <v>3</v>
      </c>
      <c r="AU668" s="6" t="s">
        <v>4</v>
      </c>
      <c r="AV668" s="5" t="s">
        <v>3</v>
      </c>
      <c r="AW668" s="5" t="s">
        <v>5</v>
      </c>
      <c r="AX668" s="5" t="s">
        <v>6</v>
      </c>
      <c r="AY668" s="5" t="s">
        <v>7</v>
      </c>
      <c r="AZ668" s="55" t="s">
        <v>12</v>
      </c>
      <c r="BA668" s="5" t="s">
        <v>8</v>
      </c>
      <c r="BB668" s="5" t="s">
        <v>6</v>
      </c>
      <c r="BC668" s="5" t="s">
        <v>13</v>
      </c>
      <c r="BD668" s="5" t="s">
        <v>11</v>
      </c>
      <c r="BU668" s="8" t="s">
        <v>1</v>
      </c>
      <c r="BV668" s="5" t="s">
        <v>2</v>
      </c>
      <c r="BW668" s="5" t="s">
        <v>3</v>
      </c>
      <c r="BX668" s="6" t="s">
        <v>4</v>
      </c>
      <c r="BY668" s="5" t="s">
        <v>3</v>
      </c>
      <c r="BZ668" s="5" t="s">
        <v>5</v>
      </c>
      <c r="CA668" s="5" t="s">
        <v>6</v>
      </c>
      <c r="CB668" s="5" t="s">
        <v>7</v>
      </c>
      <c r="CC668" s="5"/>
      <c r="CD668" s="5" t="s">
        <v>8</v>
      </c>
      <c r="CE668" s="5" t="s">
        <v>9</v>
      </c>
      <c r="CF668" s="5" t="s">
        <v>10</v>
      </c>
      <c r="CG668" s="5" t="s">
        <v>11</v>
      </c>
      <c r="CH668" s="63"/>
      <c r="CI668" s="8" t="s">
        <v>1</v>
      </c>
      <c r="CJ668" s="5" t="s">
        <v>2</v>
      </c>
      <c r="CK668" s="5" t="s">
        <v>3</v>
      </c>
      <c r="CL668" s="6" t="s">
        <v>4</v>
      </c>
      <c r="CM668" s="5" t="s">
        <v>3</v>
      </c>
      <c r="CN668" s="5" t="s">
        <v>5</v>
      </c>
      <c r="CO668" s="5" t="s">
        <v>6</v>
      </c>
      <c r="CP668" s="5" t="s">
        <v>7</v>
      </c>
      <c r="CQ668" s="5"/>
      <c r="CR668" s="5" t="s">
        <v>8</v>
      </c>
      <c r="CS668" s="5" t="s">
        <v>9</v>
      </c>
      <c r="CT668" s="5" t="s">
        <v>10</v>
      </c>
      <c r="CU668" s="5" t="s">
        <v>11</v>
      </c>
      <c r="CV668" s="1"/>
      <c r="CW668" s="8" t="s">
        <v>1</v>
      </c>
      <c r="CX668" s="5" t="s">
        <v>2</v>
      </c>
      <c r="CY668" s="5" t="s">
        <v>3</v>
      </c>
      <c r="CZ668" s="6" t="s">
        <v>4</v>
      </c>
      <c r="DA668" s="5" t="s">
        <v>3</v>
      </c>
      <c r="DB668" s="5" t="s">
        <v>5</v>
      </c>
      <c r="DC668" s="5" t="s">
        <v>6</v>
      </c>
      <c r="DD668" s="5" t="s">
        <v>7</v>
      </c>
      <c r="DE668" s="5"/>
      <c r="DF668" s="5" t="s">
        <v>8</v>
      </c>
      <c r="DG668" s="5" t="s">
        <v>9</v>
      </c>
      <c r="DH668" s="5" t="s">
        <v>10</v>
      </c>
      <c r="DI668" s="5" t="s">
        <v>11</v>
      </c>
      <c r="DJ668" s="63"/>
      <c r="DK668" s="8" t="s">
        <v>1</v>
      </c>
      <c r="DL668" s="5" t="s">
        <v>2</v>
      </c>
      <c r="DM668" s="5" t="s">
        <v>3</v>
      </c>
      <c r="DN668" s="6" t="s">
        <v>4</v>
      </c>
      <c r="DO668" s="5" t="s">
        <v>3</v>
      </c>
      <c r="DP668" s="5" t="s">
        <v>5</v>
      </c>
      <c r="DQ668" s="5" t="s">
        <v>6</v>
      </c>
      <c r="DR668" s="5" t="s">
        <v>7</v>
      </c>
      <c r="DS668" s="5"/>
      <c r="DT668" s="5" t="s">
        <v>8</v>
      </c>
      <c r="DU668" s="5" t="s">
        <v>9</v>
      </c>
      <c r="DV668" s="5" t="s">
        <v>10</v>
      </c>
      <c r="DW668" s="5" t="s">
        <v>11</v>
      </c>
    </row>
    <row r="669" spans="1:127" x14ac:dyDescent="0.2">
      <c r="A669" s="16">
        <v>45883</v>
      </c>
      <c r="B669" s="74">
        <v>3819</v>
      </c>
      <c r="C669" s="53">
        <v>941</v>
      </c>
      <c r="D669" s="53">
        <v>94</v>
      </c>
      <c r="E669" s="53">
        <v>262</v>
      </c>
      <c r="F669" s="53">
        <v>8</v>
      </c>
      <c r="G669" s="53">
        <v>3</v>
      </c>
      <c r="H669" s="53">
        <v>9</v>
      </c>
      <c r="I669" s="53">
        <v>7</v>
      </c>
      <c r="J669" s="75" t="s">
        <v>60</v>
      </c>
      <c r="K669" s="76">
        <v>748</v>
      </c>
      <c r="L669" s="53">
        <v>6732</v>
      </c>
      <c r="M669" s="77">
        <v>0.71617021276595749</v>
      </c>
      <c r="N669" s="15" t="s">
        <v>244</v>
      </c>
      <c r="O669" s="2"/>
      <c r="P669" s="16">
        <v>45883</v>
      </c>
      <c r="Q669" s="53">
        <v>654</v>
      </c>
      <c r="R669" s="53">
        <v>111</v>
      </c>
      <c r="S669" s="53">
        <v>50</v>
      </c>
      <c r="T669" s="53">
        <v>8</v>
      </c>
      <c r="U669" s="53">
        <v>12</v>
      </c>
      <c r="V669" s="53">
        <v>8</v>
      </c>
      <c r="W669" s="53"/>
      <c r="X669" s="78" t="s">
        <v>185</v>
      </c>
      <c r="Y669" s="76">
        <v>500</v>
      </c>
      <c r="Z669" s="53">
        <v>4000</v>
      </c>
      <c r="AA669" s="77">
        <v>0.36036036036036034</v>
      </c>
      <c r="AB669" s="15"/>
      <c r="AC669" s="1"/>
      <c r="AD669" s="16">
        <v>45883</v>
      </c>
      <c r="AE669" s="53">
        <v>6554</v>
      </c>
      <c r="AF669" s="53">
        <v>104</v>
      </c>
      <c r="AG669" s="53">
        <v>126</v>
      </c>
      <c r="AH669" s="53">
        <v>0</v>
      </c>
      <c r="AI669" s="53">
        <v>39</v>
      </c>
      <c r="AJ669" s="53">
        <v>0</v>
      </c>
      <c r="AK669" s="53"/>
      <c r="AL669" s="75" t="s">
        <v>15</v>
      </c>
      <c r="AM669" s="76">
        <v>1100</v>
      </c>
      <c r="AN669" s="53">
        <v>0</v>
      </c>
      <c r="AO669" s="77">
        <v>0</v>
      </c>
      <c r="AP669" s="15"/>
      <c r="AQ669" s="2"/>
      <c r="AR669" s="16">
        <v>45883</v>
      </c>
      <c r="AS669" s="53">
        <v>7218</v>
      </c>
      <c r="AT669" s="53">
        <v>219</v>
      </c>
      <c r="AU669" s="53">
        <v>227</v>
      </c>
      <c r="AV669" s="53">
        <v>5</v>
      </c>
      <c r="AW669" s="53">
        <v>9</v>
      </c>
      <c r="AX669" s="53">
        <v>4</v>
      </c>
      <c r="AY669" s="53">
        <v>0</v>
      </c>
      <c r="AZ669" s="75" t="s">
        <v>194</v>
      </c>
      <c r="BA669" s="76">
        <v>726</v>
      </c>
      <c r="BB669" s="53">
        <v>4200</v>
      </c>
      <c r="BC669" s="77">
        <v>0.19178082191780821</v>
      </c>
      <c r="BD669" s="15"/>
      <c r="BU669" s="16">
        <v>45883</v>
      </c>
      <c r="BV669" s="76">
        <v>4257</v>
      </c>
      <c r="BW669" s="53">
        <v>477</v>
      </c>
      <c r="BX669" s="53">
        <v>135</v>
      </c>
      <c r="BY669" s="53">
        <v>7</v>
      </c>
      <c r="BZ669" s="53">
        <v>5</v>
      </c>
      <c r="CA669" s="53">
        <v>9</v>
      </c>
      <c r="CB669" s="53">
        <v>9</v>
      </c>
      <c r="CC669" s="53"/>
      <c r="CD669" s="53">
        <v>495</v>
      </c>
      <c r="CE669" s="13">
        <v>4455</v>
      </c>
      <c r="CF669" s="14">
        <v>9.3396226415094333E-2</v>
      </c>
      <c r="CG669" s="91" t="s">
        <v>246</v>
      </c>
      <c r="CH669" s="1"/>
      <c r="CI669" s="16">
        <v>45883</v>
      </c>
      <c r="CJ669" s="76">
        <v>2919</v>
      </c>
      <c r="CK669" s="53">
        <v>211</v>
      </c>
      <c r="CL669" s="53">
        <v>31</v>
      </c>
      <c r="CM669" s="53">
        <v>3</v>
      </c>
      <c r="CN669" s="53">
        <v>11</v>
      </c>
      <c r="CO669" s="53">
        <v>3</v>
      </c>
      <c r="CP669" s="53">
        <v>10</v>
      </c>
      <c r="CQ669" s="53"/>
      <c r="CR669" s="13">
        <v>1012</v>
      </c>
      <c r="CS669" s="13">
        <v>3036</v>
      </c>
      <c r="CT669" s="14">
        <v>0.14388625592417062</v>
      </c>
      <c r="CU669" s="67" t="s">
        <v>158</v>
      </c>
      <c r="CV669" s="1"/>
      <c r="CW669" s="16">
        <v>45883</v>
      </c>
      <c r="CX669" s="76">
        <v>4910</v>
      </c>
      <c r="CY669" s="53">
        <v>219</v>
      </c>
      <c r="CZ669" s="53">
        <v>123</v>
      </c>
      <c r="DA669" s="53">
        <v>8</v>
      </c>
      <c r="DB669" s="53">
        <v>36</v>
      </c>
      <c r="DC669" s="53">
        <v>9</v>
      </c>
      <c r="DD669" s="53">
        <v>6</v>
      </c>
      <c r="DE669" s="53"/>
      <c r="DF669" s="53">
        <v>880</v>
      </c>
      <c r="DG669" s="13">
        <v>7920</v>
      </c>
      <c r="DH669" s="14">
        <v>0.36164383561643837</v>
      </c>
      <c r="DI669" s="15" t="s">
        <v>221</v>
      </c>
      <c r="DJ669" s="1"/>
      <c r="DK669" s="16">
        <v>45883</v>
      </c>
      <c r="DL669" s="76">
        <v>3346</v>
      </c>
      <c r="DM669" s="53">
        <v>91</v>
      </c>
      <c r="DN669" s="53">
        <v>159</v>
      </c>
      <c r="DO669" s="53">
        <v>11</v>
      </c>
      <c r="DP669" s="53">
        <v>33</v>
      </c>
      <c r="DQ669" s="53">
        <v>11</v>
      </c>
      <c r="DR669" s="53">
        <v>0</v>
      </c>
      <c r="DS669" s="53"/>
      <c r="DT669" s="13">
        <v>396</v>
      </c>
      <c r="DU669" s="13">
        <v>4356</v>
      </c>
      <c r="DV669" s="14">
        <v>0.47868131868131869</v>
      </c>
      <c r="DW669" s="22" t="s">
        <v>245</v>
      </c>
    </row>
    <row r="670" spans="1:127" x14ac:dyDescent="0.2">
      <c r="A670" s="16"/>
      <c r="B670" s="11"/>
      <c r="C670" s="13">
        <v>807</v>
      </c>
      <c r="D670" s="13">
        <v>97</v>
      </c>
      <c r="E670" s="13">
        <v>241</v>
      </c>
      <c r="F670" s="13">
        <v>3</v>
      </c>
      <c r="G670" s="13">
        <v>13</v>
      </c>
      <c r="H670" s="13">
        <v>3</v>
      </c>
      <c r="I670" s="13">
        <v>27</v>
      </c>
      <c r="J670" s="56" t="s">
        <v>36</v>
      </c>
      <c r="K670" s="54">
        <v>1100</v>
      </c>
      <c r="L670" s="13">
        <v>3300</v>
      </c>
      <c r="M670" s="14">
        <v>0.34020618556701032</v>
      </c>
      <c r="N670" s="15" t="s">
        <v>242</v>
      </c>
      <c r="O670" s="2"/>
      <c r="P670" s="16"/>
      <c r="Q670" s="13">
        <v>1050</v>
      </c>
      <c r="R670" s="13">
        <v>172</v>
      </c>
      <c r="S670" s="13">
        <v>33</v>
      </c>
      <c r="T670" s="13">
        <v>8</v>
      </c>
      <c r="U670" s="13">
        <v>0</v>
      </c>
      <c r="V670" s="13">
        <v>11</v>
      </c>
      <c r="W670" s="13">
        <v>8</v>
      </c>
      <c r="X670" s="78" t="s">
        <v>102</v>
      </c>
      <c r="Y670" s="53">
        <v>1100</v>
      </c>
      <c r="Z670" s="13">
        <v>12100</v>
      </c>
      <c r="AA670" s="14">
        <v>0.70348837209302328</v>
      </c>
      <c r="AB670" s="15" t="s">
        <v>243</v>
      </c>
      <c r="AC670" s="1"/>
      <c r="AD670" s="16"/>
      <c r="AE670" s="13">
        <v>5696</v>
      </c>
      <c r="AF670" s="13">
        <v>109</v>
      </c>
      <c r="AG670" s="13">
        <v>131</v>
      </c>
      <c r="AH670" s="13">
        <v>2</v>
      </c>
      <c r="AI670" s="13">
        <v>17</v>
      </c>
      <c r="AJ670" s="13">
        <v>2</v>
      </c>
      <c r="AK670" s="13">
        <v>2</v>
      </c>
      <c r="AL670" s="56" t="s">
        <v>81</v>
      </c>
      <c r="AM670" s="54">
        <v>800</v>
      </c>
      <c r="AN670" s="13">
        <v>1600</v>
      </c>
      <c r="AO670" s="14">
        <v>0.14678899082568808</v>
      </c>
      <c r="AP670" s="15"/>
      <c r="AQ670" s="2"/>
      <c r="AR670" s="16"/>
      <c r="AS670" s="13">
        <v>4700</v>
      </c>
      <c r="AT670" s="13">
        <v>92</v>
      </c>
      <c r="AU670" s="13">
        <v>254</v>
      </c>
      <c r="AV670" s="13">
        <v>2</v>
      </c>
      <c r="AW670" s="13">
        <v>24</v>
      </c>
      <c r="AX670" s="13">
        <v>2</v>
      </c>
      <c r="AY670" s="13">
        <v>0</v>
      </c>
      <c r="AZ670" s="56" t="s">
        <v>164</v>
      </c>
      <c r="BA670" s="54">
        <v>1000</v>
      </c>
      <c r="BB670" s="13">
        <v>2000</v>
      </c>
      <c r="BC670" s="14">
        <v>0.21739130434782608</v>
      </c>
      <c r="BD670" s="15"/>
      <c r="BU670" s="79">
        <f>IF($A673="","",$A673)</f>
        <v>45885</v>
      </c>
      <c r="BV670" s="17">
        <v>4489</v>
      </c>
      <c r="BW670" s="13">
        <f t="shared" ref="BW670:BW682" si="1044">IF(BV670="","",BV670-BV669)</f>
        <v>232</v>
      </c>
      <c r="BX670" s="13">
        <v>140</v>
      </c>
      <c r="BY670" s="13">
        <f t="shared" ref="BY670:BY682" si="1045">IF(BX670="","",BX670-BX669)</f>
        <v>5</v>
      </c>
      <c r="BZ670" s="13">
        <v>8</v>
      </c>
      <c r="CA670" s="13">
        <f t="shared" ref="CA670:CA682" si="1046">IF(BZ670="","",BZ669+CB669-BZ670)</f>
        <v>6</v>
      </c>
      <c r="CB670" s="13">
        <v>4</v>
      </c>
      <c r="CC670" s="53"/>
      <c r="CD670" s="53">
        <f t="shared" ref="CD670:CD682" si="1047">IF(BV670="","",CD669)</f>
        <v>495</v>
      </c>
      <c r="CE670" s="13">
        <f t="shared" ref="CE670:CE682" si="1048">IF(CD670="","",CA670*CD670)</f>
        <v>2970</v>
      </c>
      <c r="CF670" s="14">
        <f t="shared" ref="CF670:CF678" si="1049">IF(CE670="","",CE670/(BW670*100))</f>
        <v>0.12801724137931034</v>
      </c>
      <c r="CG670" s="43"/>
      <c r="CH670" s="1"/>
      <c r="CI670" s="79">
        <f>IF($A673="","",$A673)</f>
        <v>45885</v>
      </c>
      <c r="CJ670" s="17">
        <v>3019</v>
      </c>
      <c r="CK670" s="13">
        <f t="shared" ref="CK670:CK682" si="1050">IF(CJ670="","",CJ670-CJ669)</f>
        <v>100</v>
      </c>
      <c r="CL670" s="13">
        <v>35</v>
      </c>
      <c r="CM670" s="13">
        <f t="shared" ref="CM670:CM682" si="1051">IF(CL670="","",CL670-CL669)</f>
        <v>4</v>
      </c>
      <c r="CN670" s="13">
        <v>17</v>
      </c>
      <c r="CO670" s="13">
        <f t="shared" ref="CO670:CO682" si="1052">IF(CN670="","",CN669+CP669-CN670)</f>
        <v>4</v>
      </c>
      <c r="CP670" s="13">
        <v>4</v>
      </c>
      <c r="CQ670" s="53"/>
      <c r="CR670" s="53">
        <f t="shared" ref="CR670:CR682" si="1053">IF(CJ670="","",CR669)</f>
        <v>1012</v>
      </c>
      <c r="CS670" s="13">
        <f t="shared" ref="CS670:CS682" si="1054">IF(CR670="","",CO670*CR670)</f>
        <v>4048</v>
      </c>
      <c r="CT670" s="14">
        <f t="shared" ref="CT670:CT687" si="1055">IF(CS670="","",CS670/(CK670*100))</f>
        <v>0.40479999999999999</v>
      </c>
      <c r="CU670" s="43"/>
      <c r="CV670" s="1"/>
      <c r="CW670" s="79">
        <f>IF($A673="","",$A673)</f>
        <v>45885</v>
      </c>
      <c r="CX670" s="17">
        <v>5133</v>
      </c>
      <c r="CY670" s="13">
        <f t="shared" ref="CY670:CY682" si="1056">IF(CX670="","",CX670-CX669)</f>
        <v>223</v>
      </c>
      <c r="CZ670" s="13">
        <v>126</v>
      </c>
      <c r="DA670" s="13">
        <f t="shared" ref="DA670:DA682" si="1057">IF(CZ670="","",CZ670-CZ669)</f>
        <v>3</v>
      </c>
      <c r="DB670" s="13">
        <v>36</v>
      </c>
      <c r="DC670" s="13">
        <f t="shared" ref="DC670:DC682" si="1058">IF(DB670="","",DB669+DD669-DB670)</f>
        <v>6</v>
      </c>
      <c r="DD670" s="13">
        <v>4</v>
      </c>
      <c r="DE670" s="53"/>
      <c r="DF670" s="53">
        <f t="shared" ref="DF670:DF682" si="1059">IF(CX670="","",DF669)</f>
        <v>880</v>
      </c>
      <c r="DG670" s="13">
        <f t="shared" ref="DG670:DG682" si="1060">IF(DF670="","",DC670*DF670)</f>
        <v>5280</v>
      </c>
      <c r="DH670" s="14">
        <f t="shared" ref="DH670:DH682" si="1061">IF(DG670="","",DG670/(CY670*100))</f>
        <v>0.23677130044843051</v>
      </c>
      <c r="DI670" s="43"/>
      <c r="DJ670" s="1"/>
      <c r="DK670" s="79">
        <f>IF($A673="","",$A673)</f>
        <v>45885</v>
      </c>
      <c r="DL670" s="17">
        <v>3426</v>
      </c>
      <c r="DM670" s="13">
        <f t="shared" ref="DM670:DM682" si="1062">IF(DL670="","",DL670-DL669)</f>
        <v>80</v>
      </c>
      <c r="DN670" s="13">
        <v>166</v>
      </c>
      <c r="DO670" s="13">
        <f t="shared" ref="DO670:DO682" si="1063">IF(DN670="","",DN670-DN669)</f>
        <v>7</v>
      </c>
      <c r="DP670" s="13">
        <v>26</v>
      </c>
      <c r="DQ670" s="13">
        <f t="shared" ref="DQ670:DQ682" si="1064">IF(DP670="","",DP669+DR669-DP670)</f>
        <v>7</v>
      </c>
      <c r="DR670" s="13">
        <v>-6</v>
      </c>
      <c r="DS670" s="53"/>
      <c r="DT670" s="53">
        <f t="shared" ref="DT670:DT682" si="1065">IF(DL670="","",DT669)</f>
        <v>396</v>
      </c>
      <c r="DU670" s="13">
        <f t="shared" ref="DU670:DU682" si="1066">IF(DT670="","",DQ670*DT670)</f>
        <v>2772</v>
      </c>
      <c r="DV670" s="14">
        <f t="shared" ref="DV670:DV682" si="1067">IF(DU670="","",DU670/(DM670*100))</f>
        <v>0.34649999999999997</v>
      </c>
      <c r="DW670" s="43" t="s">
        <v>248</v>
      </c>
    </row>
    <row r="671" spans="1:127" x14ac:dyDescent="0.2">
      <c r="A671" s="16"/>
      <c r="B671" s="11"/>
      <c r="C671" s="13">
        <v>3232</v>
      </c>
      <c r="D671" s="13">
        <v>548</v>
      </c>
      <c r="E671" s="13">
        <v>315</v>
      </c>
      <c r="F671" s="13">
        <v>18</v>
      </c>
      <c r="G671" s="13">
        <v>96</v>
      </c>
      <c r="H671" s="13">
        <v>18</v>
      </c>
      <c r="I671" s="13">
        <v>23</v>
      </c>
      <c r="J671" s="56" t="s">
        <v>171</v>
      </c>
      <c r="K671" s="54">
        <v>200</v>
      </c>
      <c r="L671" s="13">
        <v>3600</v>
      </c>
      <c r="M671" s="14">
        <v>6.569343065693431E-2</v>
      </c>
      <c r="N671" s="15"/>
      <c r="O671" s="2"/>
      <c r="P671" s="16"/>
      <c r="Q671" s="13">
        <v>1353</v>
      </c>
      <c r="R671" s="13">
        <v>293</v>
      </c>
      <c r="S671" s="13">
        <v>14</v>
      </c>
      <c r="T671" s="13">
        <v>5</v>
      </c>
      <c r="U671" s="13">
        <v>3</v>
      </c>
      <c r="V671" s="13">
        <v>5</v>
      </c>
      <c r="W671" s="13">
        <v>4</v>
      </c>
      <c r="X671" s="21" t="s">
        <v>166</v>
      </c>
      <c r="Y671" s="54">
        <v>957</v>
      </c>
      <c r="Z671" s="13">
        <v>4785</v>
      </c>
      <c r="AA671" s="14">
        <v>0.16331058020477815</v>
      </c>
      <c r="AB671" s="15"/>
      <c r="AC671" s="1"/>
      <c r="AD671" s="16"/>
      <c r="AE671" s="13">
        <v>6166</v>
      </c>
      <c r="AF671" s="13">
        <v>122</v>
      </c>
      <c r="AG671" s="13">
        <v>240</v>
      </c>
      <c r="AH671" s="13">
        <v>3</v>
      </c>
      <c r="AI671" s="13">
        <v>4</v>
      </c>
      <c r="AJ671" s="13">
        <v>3</v>
      </c>
      <c r="AK671" s="13">
        <v>3</v>
      </c>
      <c r="AL671" s="56" t="s">
        <v>192</v>
      </c>
      <c r="AM671" s="54">
        <v>1050</v>
      </c>
      <c r="AN671" s="13">
        <v>3150</v>
      </c>
      <c r="AO671" s="14">
        <v>0.25819672131147542</v>
      </c>
      <c r="AP671" s="15"/>
      <c r="AQ671" s="2"/>
      <c r="AR671" s="16"/>
      <c r="AS671" s="13">
        <v>8005</v>
      </c>
      <c r="AT671" s="13">
        <v>95</v>
      </c>
      <c r="AU671" s="13">
        <v>325</v>
      </c>
      <c r="AV671" s="13">
        <v>1</v>
      </c>
      <c r="AW671" s="13">
        <v>108</v>
      </c>
      <c r="AX671" s="13">
        <v>2</v>
      </c>
      <c r="AY671" s="13">
        <v>10</v>
      </c>
      <c r="AZ671" s="56" t="s">
        <v>238</v>
      </c>
      <c r="BA671" s="54">
        <v>200</v>
      </c>
      <c r="BB671" s="13">
        <v>400</v>
      </c>
      <c r="BC671" s="14">
        <v>4.2105263157894736E-2</v>
      </c>
      <c r="BD671" s="15"/>
      <c r="BU671" s="79">
        <f>IF($A677="","",$A677)</f>
        <v>45887</v>
      </c>
      <c r="BV671" s="17">
        <v>4722</v>
      </c>
      <c r="BW671" s="13">
        <f t="shared" si="1044"/>
        <v>233</v>
      </c>
      <c r="BX671" s="13">
        <v>140</v>
      </c>
      <c r="BY671" s="13">
        <f t="shared" si="1045"/>
        <v>0</v>
      </c>
      <c r="BZ671" s="13">
        <v>12</v>
      </c>
      <c r="CA671" s="13">
        <f t="shared" si="1046"/>
        <v>0</v>
      </c>
      <c r="CB671" s="13">
        <v>2</v>
      </c>
      <c r="CC671" s="53"/>
      <c r="CD671" s="53">
        <f t="shared" si="1047"/>
        <v>495</v>
      </c>
      <c r="CE671" s="13">
        <f t="shared" si="1048"/>
        <v>0</v>
      </c>
      <c r="CF671" s="14">
        <f t="shared" si="1049"/>
        <v>0</v>
      </c>
      <c r="CG671" s="15"/>
      <c r="CH671" s="1"/>
      <c r="CI671" s="79">
        <f>IF($A677="","",$A677)</f>
        <v>45887</v>
      </c>
      <c r="CJ671" s="17">
        <v>3188</v>
      </c>
      <c r="CK671" s="13">
        <f t="shared" si="1050"/>
        <v>169</v>
      </c>
      <c r="CL671" s="13">
        <v>35</v>
      </c>
      <c r="CM671" s="13">
        <f t="shared" si="1051"/>
        <v>0</v>
      </c>
      <c r="CN671" s="13">
        <v>21</v>
      </c>
      <c r="CO671" s="13">
        <f t="shared" si="1052"/>
        <v>0</v>
      </c>
      <c r="CP671" s="13">
        <v>0</v>
      </c>
      <c r="CQ671" s="53"/>
      <c r="CR671" s="53">
        <f t="shared" si="1053"/>
        <v>1012</v>
      </c>
      <c r="CS671" s="13">
        <f t="shared" si="1054"/>
        <v>0</v>
      </c>
      <c r="CT671" s="14">
        <f t="shared" si="1055"/>
        <v>0</v>
      </c>
      <c r="CU671" s="15"/>
      <c r="CV671" s="1"/>
      <c r="CW671" s="79">
        <f>IF($A677="","",$A677)</f>
        <v>45887</v>
      </c>
      <c r="CX671" s="17">
        <v>5329</v>
      </c>
      <c r="CY671" s="13">
        <f t="shared" si="1056"/>
        <v>196</v>
      </c>
      <c r="CZ671" s="13">
        <v>131</v>
      </c>
      <c r="DA671" s="13">
        <f t="shared" si="1057"/>
        <v>5</v>
      </c>
      <c r="DB671" s="13">
        <v>35</v>
      </c>
      <c r="DC671" s="13">
        <f t="shared" si="1058"/>
        <v>5</v>
      </c>
      <c r="DD671" s="13">
        <v>4</v>
      </c>
      <c r="DE671" s="53"/>
      <c r="DF671" s="53">
        <f t="shared" si="1059"/>
        <v>880</v>
      </c>
      <c r="DG671" s="13">
        <f t="shared" si="1060"/>
        <v>4400</v>
      </c>
      <c r="DH671" s="14">
        <f t="shared" si="1061"/>
        <v>0.22448979591836735</v>
      </c>
      <c r="DI671" s="15"/>
      <c r="DJ671" s="1"/>
      <c r="DK671" s="79">
        <f>IF($A677="","",$A677)</f>
        <v>45887</v>
      </c>
      <c r="DL671" s="17">
        <v>3502</v>
      </c>
      <c r="DM671" s="13">
        <f t="shared" si="1062"/>
        <v>76</v>
      </c>
      <c r="DN671" s="13">
        <v>172</v>
      </c>
      <c r="DO671" s="13">
        <f t="shared" si="1063"/>
        <v>6</v>
      </c>
      <c r="DP671" s="13">
        <v>14</v>
      </c>
      <c r="DQ671" s="13">
        <f t="shared" si="1064"/>
        <v>6</v>
      </c>
      <c r="DR671" s="13">
        <v>6</v>
      </c>
      <c r="DS671" s="53"/>
      <c r="DT671" s="53">
        <f t="shared" si="1065"/>
        <v>396</v>
      </c>
      <c r="DU671" s="13">
        <f t="shared" si="1066"/>
        <v>2376</v>
      </c>
      <c r="DV671" s="14">
        <f t="shared" si="1067"/>
        <v>0.31263157894736843</v>
      </c>
      <c r="DW671" s="15" t="s">
        <v>250</v>
      </c>
    </row>
    <row r="672" spans="1:127" ht="15" customHeight="1" thickBot="1" x14ac:dyDescent="0.25">
      <c r="A672" s="26"/>
      <c r="B672" s="46"/>
      <c r="C672" s="27">
        <v>1398</v>
      </c>
      <c r="D672" s="27">
        <v>171</v>
      </c>
      <c r="E672" s="27">
        <v>305</v>
      </c>
      <c r="F672" s="27">
        <v>13</v>
      </c>
      <c r="G672" s="27">
        <v>31</v>
      </c>
      <c r="H672" s="27">
        <v>13</v>
      </c>
      <c r="I672" s="27">
        <v>12</v>
      </c>
      <c r="J672" s="57" t="s">
        <v>44</v>
      </c>
      <c r="K672" s="27">
        <v>682</v>
      </c>
      <c r="L672" s="27">
        <v>8866</v>
      </c>
      <c r="M672" s="28">
        <v>0.51847953216374265</v>
      </c>
      <c r="N672" s="15" t="s">
        <v>241</v>
      </c>
      <c r="O672" s="2"/>
      <c r="P672" s="26"/>
      <c r="Q672" s="27">
        <v>1063</v>
      </c>
      <c r="R672" s="27">
        <v>412</v>
      </c>
      <c r="S672" s="27">
        <v>23</v>
      </c>
      <c r="T672" s="27">
        <v>14</v>
      </c>
      <c r="U672" s="27">
        <v>3</v>
      </c>
      <c r="V672" s="27">
        <v>17</v>
      </c>
      <c r="W672" s="27">
        <v>12</v>
      </c>
      <c r="X672" s="30" t="s">
        <v>232</v>
      </c>
      <c r="Y672" s="27">
        <v>286</v>
      </c>
      <c r="Z672" s="27">
        <v>4862</v>
      </c>
      <c r="AA672" s="28">
        <v>0.11800970873786408</v>
      </c>
      <c r="AB672" s="15"/>
      <c r="AC672" s="1"/>
      <c r="AD672" s="26"/>
      <c r="AE672" s="27">
        <v>6199</v>
      </c>
      <c r="AF672" s="90">
        <v>49</v>
      </c>
      <c r="AG672" s="27">
        <v>189</v>
      </c>
      <c r="AH672" s="27">
        <v>0</v>
      </c>
      <c r="AI672" s="27">
        <v>12</v>
      </c>
      <c r="AJ672" s="27">
        <v>0</v>
      </c>
      <c r="AK672" s="27">
        <v>3</v>
      </c>
      <c r="AL672" s="108" t="s">
        <v>213</v>
      </c>
      <c r="AM672" s="27">
        <v>710</v>
      </c>
      <c r="AN672" s="27">
        <v>0</v>
      </c>
      <c r="AO672" s="28">
        <v>0</v>
      </c>
      <c r="AP672" s="15" t="s">
        <v>233</v>
      </c>
      <c r="AQ672" s="2"/>
      <c r="AR672" s="26"/>
      <c r="AS672" s="27">
        <v>7165</v>
      </c>
      <c r="AT672" s="27">
        <v>133</v>
      </c>
      <c r="AU672" s="27">
        <v>293</v>
      </c>
      <c r="AV672" s="27">
        <v>4</v>
      </c>
      <c r="AW672" s="27">
        <v>94</v>
      </c>
      <c r="AX672" s="27">
        <v>4</v>
      </c>
      <c r="AY672" s="27">
        <v>0</v>
      </c>
      <c r="AZ672" s="57" t="s">
        <v>165</v>
      </c>
      <c r="BA672" s="27">
        <v>600</v>
      </c>
      <c r="BB672" s="27">
        <v>2400</v>
      </c>
      <c r="BC672" s="28">
        <v>0.18045112781954886</v>
      </c>
      <c r="BD672" s="15"/>
      <c r="BU672" s="79">
        <f>IF($A681="","",$A681)</f>
        <v>45891</v>
      </c>
      <c r="BV672" s="17">
        <v>5056</v>
      </c>
      <c r="BW672" s="13">
        <f t="shared" si="1044"/>
        <v>334</v>
      </c>
      <c r="BX672" s="13">
        <v>145</v>
      </c>
      <c r="BY672" s="13">
        <f t="shared" si="1045"/>
        <v>5</v>
      </c>
      <c r="BZ672" s="13">
        <v>9</v>
      </c>
      <c r="CA672" s="13">
        <f t="shared" si="1046"/>
        <v>5</v>
      </c>
      <c r="CB672" s="13">
        <v>4</v>
      </c>
      <c r="CC672" s="53"/>
      <c r="CD672" s="53">
        <f t="shared" si="1047"/>
        <v>495</v>
      </c>
      <c r="CE672" s="13">
        <f t="shared" si="1048"/>
        <v>2475</v>
      </c>
      <c r="CF672" s="14">
        <f t="shared" si="1049"/>
        <v>7.410179640718563E-2</v>
      </c>
      <c r="CG672" s="15"/>
      <c r="CH672" s="1"/>
      <c r="CI672" s="79">
        <f>IF($A681="","",$A681)</f>
        <v>45891</v>
      </c>
      <c r="CJ672" s="17">
        <v>3347</v>
      </c>
      <c r="CK672" s="13">
        <f t="shared" si="1050"/>
        <v>159</v>
      </c>
      <c r="CL672" s="13">
        <v>38</v>
      </c>
      <c r="CM672" s="13">
        <f t="shared" si="1051"/>
        <v>3</v>
      </c>
      <c r="CN672" s="13">
        <v>18</v>
      </c>
      <c r="CO672" s="13">
        <f t="shared" si="1052"/>
        <v>3</v>
      </c>
      <c r="CP672" s="13">
        <v>2</v>
      </c>
      <c r="CQ672" s="53"/>
      <c r="CR672" s="53">
        <f t="shared" si="1053"/>
        <v>1012</v>
      </c>
      <c r="CS672" s="13">
        <f t="shared" si="1054"/>
        <v>3036</v>
      </c>
      <c r="CT672" s="14">
        <f t="shared" si="1055"/>
        <v>0.1909433962264151</v>
      </c>
      <c r="CU672" s="15"/>
      <c r="CV672" s="1"/>
      <c r="CW672" s="79">
        <f>IF($A681="","",$A681)</f>
        <v>45891</v>
      </c>
      <c r="CX672" s="17">
        <v>5506</v>
      </c>
      <c r="CY672" s="13">
        <f t="shared" si="1056"/>
        <v>177</v>
      </c>
      <c r="CZ672" s="13">
        <v>131</v>
      </c>
      <c r="DA672" s="13">
        <f t="shared" si="1057"/>
        <v>0</v>
      </c>
      <c r="DB672" s="13">
        <v>38</v>
      </c>
      <c r="DC672" s="13">
        <f t="shared" si="1058"/>
        <v>1</v>
      </c>
      <c r="DD672" s="13">
        <v>0</v>
      </c>
      <c r="DE672" s="53"/>
      <c r="DF672" s="53">
        <f t="shared" si="1059"/>
        <v>880</v>
      </c>
      <c r="DG672" s="13">
        <f t="shared" si="1060"/>
        <v>880</v>
      </c>
      <c r="DH672" s="14">
        <f t="shared" si="1061"/>
        <v>4.9717514124293788E-2</v>
      </c>
      <c r="DI672" s="15"/>
      <c r="DJ672" s="1"/>
      <c r="DK672" s="79">
        <f>IF($A681="","",$A681)</f>
        <v>45891</v>
      </c>
      <c r="DL672" s="17">
        <v>3677</v>
      </c>
      <c r="DM672" s="13">
        <f t="shared" si="1062"/>
        <v>175</v>
      </c>
      <c r="DN672" s="13">
        <v>187</v>
      </c>
      <c r="DO672" s="13">
        <f t="shared" si="1063"/>
        <v>15</v>
      </c>
      <c r="DP672" s="13">
        <v>3</v>
      </c>
      <c r="DQ672" s="13">
        <f t="shared" si="1064"/>
        <v>17</v>
      </c>
      <c r="DR672" s="13">
        <v>12</v>
      </c>
      <c r="DS672" s="53"/>
      <c r="DT672" s="53">
        <v>1100</v>
      </c>
      <c r="DU672" s="13">
        <f t="shared" si="1066"/>
        <v>18700</v>
      </c>
      <c r="DV672" s="14">
        <f t="shared" si="1067"/>
        <v>1.0685714285714285</v>
      </c>
      <c r="DW672" s="15" t="s">
        <v>255</v>
      </c>
    </row>
    <row r="673" spans="1:127" ht="15" customHeight="1" thickTop="1" x14ac:dyDescent="0.2">
      <c r="A673" s="79">
        <v>45885</v>
      </c>
      <c r="B673" s="74">
        <f>IF(A673="","",SUM(D673:D676)+SUM(R673:R676)+SUM(AF673:AF676)+SUM(AT673:AT676)+SUM(BW670,CK670,CY670,DM670))</f>
        <v>2697</v>
      </c>
      <c r="C673" s="53">
        <v>1072</v>
      </c>
      <c r="D673" s="53">
        <f t="shared" ref="D673:D708" si="1068">IF(C673="","",C673-C669)</f>
        <v>131</v>
      </c>
      <c r="E673" s="53">
        <v>264</v>
      </c>
      <c r="F673" s="31">
        <f t="shared" ref="F673:F708" si="1069">IF(E673="","",E673-E669)</f>
        <v>2</v>
      </c>
      <c r="G673" s="53">
        <v>8</v>
      </c>
      <c r="H673" s="53">
        <f>IF(G673="","",G669+I669-G673)</f>
        <v>2</v>
      </c>
      <c r="I673" s="80">
        <v>4</v>
      </c>
      <c r="J673" s="75" t="str">
        <f>IF(C673="","",J669)</f>
        <v>ジャグラーサウンドボタン</v>
      </c>
      <c r="K673" s="76">
        <f>IF(D673="","",K669)</f>
        <v>748</v>
      </c>
      <c r="L673" s="31">
        <f t="shared" ref="L673:L708" si="1070">IF(G673="","",H673*K673)</f>
        <v>1496</v>
      </c>
      <c r="M673" s="32">
        <f t="shared" ref="M673:M708" si="1071">IF(H673="","",L673/(D673*100))</f>
        <v>0.11419847328244274</v>
      </c>
      <c r="N673" s="15"/>
      <c r="O673" s="2"/>
      <c r="P673" s="79">
        <f>IF(A673="","",A673)</f>
        <v>45885</v>
      </c>
      <c r="Q673" s="53">
        <v>719</v>
      </c>
      <c r="R673" s="53">
        <f t="shared" ref="R673:R708" si="1072">IF(Q673="","",Q673-Q669)</f>
        <v>65</v>
      </c>
      <c r="S673" s="53">
        <v>56</v>
      </c>
      <c r="T673" s="31">
        <f t="shared" ref="T673:T708" si="1073">IF(S673="","",S673-S669)</f>
        <v>6</v>
      </c>
      <c r="U673" s="53">
        <v>9</v>
      </c>
      <c r="V673" s="53">
        <f t="shared" ref="V673:V708" si="1074">IF(U673="","",U669+W669-U673)</f>
        <v>3</v>
      </c>
      <c r="W673" s="80">
        <v>0</v>
      </c>
      <c r="X673" s="75" t="str">
        <f t="shared" ref="X673:X708" si="1075">IF(Q673="","",X669)</f>
        <v>ジャグラーパネルKH</v>
      </c>
      <c r="Y673" s="76">
        <f t="shared" ref="Y673:Y708" si="1076">IF(R673="","",Y669)</f>
        <v>500</v>
      </c>
      <c r="Z673" s="31">
        <f t="shared" ref="Z673:Z708" si="1077">IF(U673="","",V673*Y673)</f>
        <v>1500</v>
      </c>
      <c r="AA673" s="32">
        <f t="shared" ref="AA673:AA708" si="1078">IF(V673="","",Z673/(R673*100))</f>
        <v>0.23076923076923078</v>
      </c>
      <c r="AB673" s="15"/>
      <c r="AC673" s="15"/>
      <c r="AD673" s="79">
        <f>IF($A673="","",$A673)</f>
        <v>45885</v>
      </c>
      <c r="AE673" s="53">
        <v>6637</v>
      </c>
      <c r="AF673" s="53">
        <f t="shared" ref="AF673:AF708" si="1079">IF(AE673="","",AE673-AE669)</f>
        <v>83</v>
      </c>
      <c r="AG673" s="53">
        <v>127</v>
      </c>
      <c r="AH673" s="31">
        <f t="shared" ref="AH673:AH708" si="1080">IF(AG673="","",AG673-AG669)</f>
        <v>1</v>
      </c>
      <c r="AI673" s="53">
        <v>38</v>
      </c>
      <c r="AJ673" s="53">
        <f t="shared" ref="AJ673:AJ708" si="1081">IF(AI673="","",AI669+AK669-AI673)</f>
        <v>1</v>
      </c>
      <c r="AK673" s="80">
        <v>4</v>
      </c>
      <c r="AL673" s="75" t="str">
        <f t="shared" ref="AL673:AM675" si="1082">IF(AE673="","",AL669)</f>
        <v>ミニ香水</v>
      </c>
      <c r="AM673" s="76">
        <f t="shared" si="1082"/>
        <v>1100</v>
      </c>
      <c r="AN673" s="31">
        <f t="shared" ref="AN673:AN708" si="1083">IF(AI673="","",AJ673*AM673)</f>
        <v>1100</v>
      </c>
      <c r="AO673" s="32">
        <f t="shared" ref="AO673:AO708" si="1084">IF(AJ673="","",AN673/(AF673*100))</f>
        <v>0.13253012048192772</v>
      </c>
      <c r="AP673" s="15"/>
      <c r="AQ673" s="113"/>
      <c r="AR673" s="79">
        <f>IF($A673="","",$A673)</f>
        <v>45885</v>
      </c>
      <c r="AS673" s="53">
        <v>7282</v>
      </c>
      <c r="AT673" s="53">
        <f t="shared" ref="AT673:AT708" si="1085">IF(AS673="","",AS673-AS669)</f>
        <v>64</v>
      </c>
      <c r="AU673" s="53">
        <v>227</v>
      </c>
      <c r="AV673" s="31">
        <f t="shared" ref="AV673:AV708" si="1086">IF(AU673="","",AU673-AU669)</f>
        <v>0</v>
      </c>
      <c r="AW673" s="53">
        <v>9</v>
      </c>
      <c r="AX673" s="53">
        <f t="shared" ref="AX673:AX708" si="1087">IF(AW673="","",AW669+AY669-AW673)</f>
        <v>0</v>
      </c>
      <c r="AY673" s="80">
        <v>2</v>
      </c>
      <c r="AZ673" s="75" t="str">
        <f t="shared" ref="AZ673:AZ708" si="1088">IF(AS673="","",AZ669)</f>
        <v>こびとづかんキーケース</v>
      </c>
      <c r="BA673" s="76">
        <f t="shared" ref="BA673:BA708" si="1089">IF(AT673="","",BA669)</f>
        <v>726</v>
      </c>
      <c r="BB673" s="31">
        <f t="shared" ref="BB673:BB708" si="1090">IF(AW673="","",AX673*BA673)</f>
        <v>0</v>
      </c>
      <c r="BC673" s="32">
        <f t="shared" ref="BC673:BC708" si="1091">IF(AX673="","",BB673/(AT673*100))</f>
        <v>0</v>
      </c>
      <c r="BD673" s="15"/>
      <c r="BU673" s="79">
        <f>IF($A685="","",$A685)</f>
        <v>45894</v>
      </c>
      <c r="BV673" s="17">
        <v>5478</v>
      </c>
      <c r="BW673" s="13">
        <f t="shared" si="1044"/>
        <v>422</v>
      </c>
      <c r="BX673" s="13">
        <v>149</v>
      </c>
      <c r="BY673" s="13">
        <f t="shared" si="1045"/>
        <v>4</v>
      </c>
      <c r="BZ673" s="13">
        <v>8</v>
      </c>
      <c r="CA673" s="13">
        <f t="shared" si="1046"/>
        <v>5</v>
      </c>
      <c r="CB673" s="13">
        <v>5</v>
      </c>
      <c r="CC673" s="53"/>
      <c r="CD673" s="53">
        <f t="shared" si="1047"/>
        <v>495</v>
      </c>
      <c r="CE673" s="13">
        <f t="shared" si="1048"/>
        <v>2475</v>
      </c>
      <c r="CF673" s="14">
        <f t="shared" si="1049"/>
        <v>5.8649289099526068E-2</v>
      </c>
      <c r="CG673" s="15"/>
      <c r="CH673" s="1"/>
      <c r="CI673" s="79">
        <f>IF($A685="","",$A685)</f>
        <v>45894</v>
      </c>
      <c r="CJ673" s="17">
        <v>3525</v>
      </c>
      <c r="CK673" s="13">
        <f t="shared" si="1050"/>
        <v>178</v>
      </c>
      <c r="CL673" s="13">
        <v>39</v>
      </c>
      <c r="CM673" s="13">
        <f t="shared" si="1051"/>
        <v>1</v>
      </c>
      <c r="CN673" s="13">
        <v>19</v>
      </c>
      <c r="CO673" s="13">
        <f t="shared" si="1052"/>
        <v>1</v>
      </c>
      <c r="CP673" s="13">
        <v>0</v>
      </c>
      <c r="CQ673" s="53"/>
      <c r="CR673" s="53">
        <f t="shared" si="1053"/>
        <v>1012</v>
      </c>
      <c r="CS673" s="13">
        <f t="shared" si="1054"/>
        <v>1012</v>
      </c>
      <c r="CT673" s="14">
        <f t="shared" si="1055"/>
        <v>5.6853932584269663E-2</v>
      </c>
      <c r="CU673" s="15"/>
      <c r="CV673" s="1"/>
      <c r="CW673" s="79">
        <f>IF($A685="","",$A685)</f>
        <v>45894</v>
      </c>
      <c r="CX673" s="17">
        <v>5678</v>
      </c>
      <c r="CY673" s="13">
        <f t="shared" si="1056"/>
        <v>172</v>
      </c>
      <c r="CZ673" s="13">
        <v>139</v>
      </c>
      <c r="DA673" s="13">
        <f t="shared" si="1057"/>
        <v>8</v>
      </c>
      <c r="DB673" s="13">
        <v>29</v>
      </c>
      <c r="DC673" s="13">
        <f t="shared" si="1058"/>
        <v>9</v>
      </c>
      <c r="DD673" s="13">
        <v>8</v>
      </c>
      <c r="DE673" s="53"/>
      <c r="DF673" s="53">
        <f t="shared" si="1059"/>
        <v>880</v>
      </c>
      <c r="DG673" s="13">
        <f t="shared" si="1060"/>
        <v>7920</v>
      </c>
      <c r="DH673" s="14">
        <f t="shared" si="1061"/>
        <v>0.46046511627906977</v>
      </c>
      <c r="DI673" s="15"/>
      <c r="DJ673" s="1"/>
      <c r="DK673" s="79">
        <f>IF($A685="","",$A685)</f>
        <v>45894</v>
      </c>
      <c r="DL673" s="17">
        <v>3859</v>
      </c>
      <c r="DM673" s="13">
        <f t="shared" si="1062"/>
        <v>182</v>
      </c>
      <c r="DN673" s="13">
        <v>190</v>
      </c>
      <c r="DO673" s="13">
        <f t="shared" si="1063"/>
        <v>3</v>
      </c>
      <c r="DP673" s="13">
        <v>12</v>
      </c>
      <c r="DQ673" s="13">
        <f t="shared" si="1064"/>
        <v>3</v>
      </c>
      <c r="DR673" s="13">
        <v>13</v>
      </c>
      <c r="DS673" s="53"/>
      <c r="DT673" s="53">
        <f t="shared" si="1065"/>
        <v>1100</v>
      </c>
      <c r="DU673" s="13">
        <f t="shared" si="1066"/>
        <v>3300</v>
      </c>
      <c r="DV673" s="14">
        <f t="shared" si="1067"/>
        <v>0.18131868131868131</v>
      </c>
      <c r="DW673" s="15"/>
    </row>
    <row r="674" spans="1:127" x14ac:dyDescent="0.2">
      <c r="A674" s="16"/>
      <c r="B674" s="11"/>
      <c r="C674" s="13">
        <v>910</v>
      </c>
      <c r="D674" s="53">
        <f t="shared" si="1068"/>
        <v>103</v>
      </c>
      <c r="E674" s="13">
        <v>245</v>
      </c>
      <c r="F674" s="13">
        <f t="shared" si="1069"/>
        <v>4</v>
      </c>
      <c r="G674" s="13">
        <v>36</v>
      </c>
      <c r="H674" s="53">
        <f>IF(G674="","",G670+I670-G674)</f>
        <v>4</v>
      </c>
      <c r="I674" s="17">
        <v>0</v>
      </c>
      <c r="J674" s="56" t="s">
        <v>249</v>
      </c>
      <c r="K674" s="137">
        <v>220</v>
      </c>
      <c r="L674" s="13">
        <f t="shared" si="1070"/>
        <v>880</v>
      </c>
      <c r="M674" s="14">
        <f t="shared" si="1071"/>
        <v>8.5436893203883493E-2</v>
      </c>
      <c r="N674" s="15"/>
      <c r="O674" s="2"/>
      <c r="P674" s="16"/>
      <c r="Q674" s="13">
        <v>1192</v>
      </c>
      <c r="R674" s="53">
        <f t="shared" si="1072"/>
        <v>142</v>
      </c>
      <c r="S674" s="13">
        <v>39</v>
      </c>
      <c r="T674" s="13">
        <f t="shared" si="1073"/>
        <v>6</v>
      </c>
      <c r="U674" s="13">
        <v>2</v>
      </c>
      <c r="V674" s="13">
        <f t="shared" si="1074"/>
        <v>6</v>
      </c>
      <c r="W674" s="17">
        <v>5</v>
      </c>
      <c r="X674" s="56" t="str">
        <f t="shared" si="1075"/>
        <v>サンリオFAN</v>
      </c>
      <c r="Y674" s="54">
        <f t="shared" si="1076"/>
        <v>1100</v>
      </c>
      <c r="Z674" s="13">
        <f t="shared" si="1077"/>
        <v>6600</v>
      </c>
      <c r="AA674" s="14">
        <f t="shared" si="1078"/>
        <v>0.46478873239436619</v>
      </c>
      <c r="AB674" s="15"/>
      <c r="AC674" s="15"/>
      <c r="AD674" s="16"/>
      <c r="AE674" s="13">
        <v>5770</v>
      </c>
      <c r="AF674" s="53">
        <f t="shared" si="1079"/>
        <v>74</v>
      </c>
      <c r="AG674" s="13">
        <v>132</v>
      </c>
      <c r="AH674" s="13">
        <f t="shared" si="1080"/>
        <v>1</v>
      </c>
      <c r="AI674" s="13">
        <v>18</v>
      </c>
      <c r="AJ674" s="13">
        <f t="shared" si="1081"/>
        <v>1</v>
      </c>
      <c r="AK674" s="17">
        <v>0</v>
      </c>
      <c r="AL674" s="56" t="str">
        <f t="shared" si="1082"/>
        <v>デジタルミニカメラ</v>
      </c>
      <c r="AM674" s="54">
        <f t="shared" si="1082"/>
        <v>800</v>
      </c>
      <c r="AN674" s="13">
        <f t="shared" si="1083"/>
        <v>800</v>
      </c>
      <c r="AO674" s="14">
        <f t="shared" si="1084"/>
        <v>0.10810810810810811</v>
      </c>
      <c r="AP674" s="15"/>
      <c r="AQ674" s="113"/>
      <c r="AR674" s="16"/>
      <c r="AS674" s="13">
        <v>4751</v>
      </c>
      <c r="AT674" s="53">
        <f t="shared" si="1085"/>
        <v>51</v>
      </c>
      <c r="AU674" s="13">
        <v>255</v>
      </c>
      <c r="AV674" s="13">
        <f t="shared" si="1086"/>
        <v>1</v>
      </c>
      <c r="AW674" s="13">
        <v>23</v>
      </c>
      <c r="AX674" s="13">
        <f t="shared" si="1087"/>
        <v>1</v>
      </c>
      <c r="AY674" s="17">
        <v>8</v>
      </c>
      <c r="AZ674" s="56" t="str">
        <f t="shared" si="1088"/>
        <v>ねこアイシャドウ</v>
      </c>
      <c r="BA674" s="54">
        <f t="shared" si="1089"/>
        <v>1000</v>
      </c>
      <c r="BB674" s="13">
        <f t="shared" si="1090"/>
        <v>1000</v>
      </c>
      <c r="BC674" s="14">
        <f t="shared" si="1091"/>
        <v>0.19607843137254902</v>
      </c>
      <c r="BD674" s="15"/>
      <c r="BU674" s="79">
        <f>IF($A689="","",$A689)</f>
        <v>45898</v>
      </c>
      <c r="BV674" s="17">
        <v>5828</v>
      </c>
      <c r="BW674" s="13">
        <f t="shared" si="1044"/>
        <v>350</v>
      </c>
      <c r="BX674" s="13">
        <v>152</v>
      </c>
      <c r="BY674" s="13">
        <f t="shared" si="1045"/>
        <v>3</v>
      </c>
      <c r="BZ674" s="13">
        <v>10</v>
      </c>
      <c r="CA674" s="13">
        <f t="shared" si="1046"/>
        <v>3</v>
      </c>
      <c r="CB674" s="13">
        <v>1</v>
      </c>
      <c r="CC674" s="53"/>
      <c r="CD674" s="53">
        <f t="shared" si="1047"/>
        <v>495</v>
      </c>
      <c r="CE674" s="13">
        <f t="shared" si="1048"/>
        <v>1485</v>
      </c>
      <c r="CF674" s="14">
        <f t="shared" si="1049"/>
        <v>4.2428571428571427E-2</v>
      </c>
      <c r="CG674" s="15"/>
      <c r="CH674" s="1"/>
      <c r="CI674" s="79">
        <f>IF($A689="","",$A689)</f>
        <v>45898</v>
      </c>
      <c r="CJ674" s="17">
        <v>3603</v>
      </c>
      <c r="CK674" s="13">
        <f t="shared" si="1050"/>
        <v>78</v>
      </c>
      <c r="CL674" s="13">
        <v>42</v>
      </c>
      <c r="CM674" s="13">
        <f t="shared" si="1051"/>
        <v>3</v>
      </c>
      <c r="CN674" s="13">
        <v>16</v>
      </c>
      <c r="CO674" s="13">
        <f t="shared" si="1052"/>
        <v>3</v>
      </c>
      <c r="CP674" s="13">
        <v>0</v>
      </c>
      <c r="CQ674" s="53"/>
      <c r="CR674" s="53">
        <f t="shared" si="1053"/>
        <v>1012</v>
      </c>
      <c r="CS674" s="13">
        <f t="shared" si="1054"/>
        <v>3036</v>
      </c>
      <c r="CT674" s="14">
        <f t="shared" si="1055"/>
        <v>0.38923076923076921</v>
      </c>
      <c r="CU674" s="15"/>
      <c r="CV674" s="1"/>
      <c r="CW674" s="79">
        <f>IF($A689="","",$A689)</f>
        <v>45898</v>
      </c>
      <c r="CX674" s="17">
        <v>5769</v>
      </c>
      <c r="CY674" s="13">
        <f t="shared" si="1056"/>
        <v>91</v>
      </c>
      <c r="CZ674" s="13">
        <v>144</v>
      </c>
      <c r="DA674" s="13">
        <f t="shared" si="1057"/>
        <v>5</v>
      </c>
      <c r="DB674" s="13">
        <v>32</v>
      </c>
      <c r="DC674" s="13">
        <f t="shared" si="1058"/>
        <v>5</v>
      </c>
      <c r="DD674" s="13">
        <v>5</v>
      </c>
      <c r="DE674" s="53"/>
      <c r="DF674" s="53">
        <f t="shared" si="1059"/>
        <v>880</v>
      </c>
      <c r="DG674" s="13">
        <f t="shared" si="1060"/>
        <v>4400</v>
      </c>
      <c r="DH674" s="14">
        <f t="shared" si="1061"/>
        <v>0.48351648351648352</v>
      </c>
      <c r="DI674" s="15" t="s">
        <v>267</v>
      </c>
      <c r="DJ674" s="1"/>
      <c r="DK674" s="79">
        <f>IF($A689="","",$A689)</f>
        <v>45898</v>
      </c>
      <c r="DL674" s="17">
        <v>3974</v>
      </c>
      <c r="DM674" s="13">
        <f t="shared" si="1062"/>
        <v>115</v>
      </c>
      <c r="DN674" s="13">
        <v>193</v>
      </c>
      <c r="DO674" s="13">
        <f t="shared" si="1063"/>
        <v>3</v>
      </c>
      <c r="DP674" s="13">
        <v>22</v>
      </c>
      <c r="DQ674" s="13">
        <f t="shared" si="1064"/>
        <v>3</v>
      </c>
      <c r="DR674" s="13">
        <v>10</v>
      </c>
      <c r="DS674" s="53"/>
      <c r="DT674" s="53">
        <f t="shared" si="1065"/>
        <v>1100</v>
      </c>
      <c r="DU674" s="13">
        <f t="shared" si="1066"/>
        <v>3300</v>
      </c>
      <c r="DV674" s="14">
        <f t="shared" si="1067"/>
        <v>0.28695652173913044</v>
      </c>
      <c r="DW674" s="15"/>
    </row>
    <row r="675" spans="1:127" x14ac:dyDescent="0.2">
      <c r="A675" s="16"/>
      <c r="B675" s="11"/>
      <c r="C675" s="13">
        <v>3488</v>
      </c>
      <c r="D675" s="63">
        <f t="shared" si="1068"/>
        <v>256</v>
      </c>
      <c r="E675" s="13">
        <v>323</v>
      </c>
      <c r="F675" s="13">
        <f t="shared" si="1069"/>
        <v>8</v>
      </c>
      <c r="G675" s="13">
        <v>106</v>
      </c>
      <c r="H675" s="13">
        <f t="shared" ref="H675:H708" si="1092">IF(G675="","",G671+I671-G675)</f>
        <v>13</v>
      </c>
      <c r="I675" s="17">
        <v>14</v>
      </c>
      <c r="J675" s="56" t="str">
        <f t="shared" ref="J675:J708" si="1093">IF(C675="","",J671)</f>
        <v>AIモンスタラバー</v>
      </c>
      <c r="K675" s="13">
        <f t="shared" ref="K675:K708" si="1094">IF(D675="","",K671)</f>
        <v>200</v>
      </c>
      <c r="L675" s="13">
        <f t="shared" si="1070"/>
        <v>2600</v>
      </c>
      <c r="M675" s="14">
        <f t="shared" si="1071"/>
        <v>0.1015625</v>
      </c>
      <c r="N675" s="15"/>
      <c r="O675" s="2"/>
      <c r="P675" s="16"/>
      <c r="Q675" s="13">
        <v>1461</v>
      </c>
      <c r="R675" s="63">
        <f t="shared" si="1072"/>
        <v>108</v>
      </c>
      <c r="S675" s="13">
        <v>16</v>
      </c>
      <c r="T675" s="13">
        <f t="shared" si="1073"/>
        <v>2</v>
      </c>
      <c r="U675" s="13">
        <v>5</v>
      </c>
      <c r="V675" s="13">
        <f t="shared" si="1074"/>
        <v>2</v>
      </c>
      <c r="W675" s="17">
        <v>2</v>
      </c>
      <c r="X675" s="56" t="str">
        <f t="shared" si="1075"/>
        <v>キティフェイスポーチ</v>
      </c>
      <c r="Y675" s="13">
        <f t="shared" si="1076"/>
        <v>957</v>
      </c>
      <c r="Z675" s="13">
        <f t="shared" si="1077"/>
        <v>1914</v>
      </c>
      <c r="AA675" s="14">
        <f t="shared" si="1078"/>
        <v>0.17722222222222223</v>
      </c>
      <c r="AB675" s="15"/>
      <c r="AC675" s="15"/>
      <c r="AD675" s="16"/>
      <c r="AE675" s="13">
        <v>6304</v>
      </c>
      <c r="AF675" s="63">
        <f t="shared" si="1079"/>
        <v>138</v>
      </c>
      <c r="AG675" s="13">
        <v>246</v>
      </c>
      <c r="AH675" s="13">
        <f t="shared" si="1080"/>
        <v>6</v>
      </c>
      <c r="AI675" s="13">
        <v>0</v>
      </c>
      <c r="AJ675" s="13">
        <f t="shared" si="1081"/>
        <v>7</v>
      </c>
      <c r="AK675" s="17">
        <v>3</v>
      </c>
      <c r="AL675" s="56" t="str">
        <f t="shared" si="1082"/>
        <v>ジョージファン</v>
      </c>
      <c r="AM675" s="13">
        <f t="shared" si="1082"/>
        <v>1050</v>
      </c>
      <c r="AN675" s="13">
        <f t="shared" si="1083"/>
        <v>7350</v>
      </c>
      <c r="AO675" s="14">
        <f t="shared" si="1084"/>
        <v>0.53260869565217395</v>
      </c>
      <c r="AP675" s="15" t="s">
        <v>247</v>
      </c>
      <c r="AQ675" s="113"/>
      <c r="AR675" s="16"/>
      <c r="AS675" s="13">
        <v>8078</v>
      </c>
      <c r="AT675" s="63">
        <f t="shared" si="1085"/>
        <v>73</v>
      </c>
      <c r="AU675" s="13">
        <v>329</v>
      </c>
      <c r="AV675" s="13">
        <f t="shared" si="1086"/>
        <v>4</v>
      </c>
      <c r="AW675" s="13">
        <v>110</v>
      </c>
      <c r="AX675" s="13">
        <f t="shared" si="1087"/>
        <v>8</v>
      </c>
      <c r="AY675" s="17">
        <v>30</v>
      </c>
      <c r="AZ675" s="56" t="str">
        <f t="shared" si="1088"/>
        <v>SPGラバーキーホルダー</v>
      </c>
      <c r="BA675" s="13">
        <f t="shared" si="1089"/>
        <v>200</v>
      </c>
      <c r="BB675" s="13">
        <f t="shared" si="1090"/>
        <v>1600</v>
      </c>
      <c r="BC675" s="14">
        <f t="shared" si="1091"/>
        <v>0.21917808219178081</v>
      </c>
      <c r="BD675" s="15"/>
      <c r="BU675" s="79">
        <f>IF($A693="","",$A693)</f>
        <v>45901</v>
      </c>
      <c r="BV675" s="17">
        <v>6155</v>
      </c>
      <c r="BW675" s="13">
        <f t="shared" si="1044"/>
        <v>327</v>
      </c>
      <c r="BX675" s="13">
        <v>157</v>
      </c>
      <c r="BY675" s="13">
        <f t="shared" si="1045"/>
        <v>5</v>
      </c>
      <c r="BZ675" s="13">
        <v>6</v>
      </c>
      <c r="CA675" s="13">
        <f t="shared" si="1046"/>
        <v>5</v>
      </c>
      <c r="CB675" s="13">
        <v>4</v>
      </c>
      <c r="CC675" s="53"/>
      <c r="CD675" s="53">
        <f t="shared" si="1047"/>
        <v>495</v>
      </c>
      <c r="CE675" s="13">
        <f t="shared" si="1048"/>
        <v>2475</v>
      </c>
      <c r="CF675" s="14">
        <f t="shared" si="1049"/>
        <v>7.5688073394495417E-2</v>
      </c>
      <c r="CG675" s="15"/>
      <c r="CH675" s="1"/>
      <c r="CI675" s="79">
        <f>IF($A693="","",$A693)</f>
        <v>45901</v>
      </c>
      <c r="CJ675" s="17">
        <v>3695</v>
      </c>
      <c r="CK675" s="13">
        <f t="shared" si="1050"/>
        <v>92</v>
      </c>
      <c r="CL675" s="13">
        <v>43</v>
      </c>
      <c r="CM675" s="13">
        <f t="shared" si="1051"/>
        <v>1</v>
      </c>
      <c r="CN675" s="13">
        <v>15</v>
      </c>
      <c r="CO675" s="13">
        <f t="shared" si="1052"/>
        <v>1</v>
      </c>
      <c r="CP675" s="13">
        <v>0</v>
      </c>
      <c r="CQ675" s="53"/>
      <c r="CR675" s="53">
        <f t="shared" si="1053"/>
        <v>1012</v>
      </c>
      <c r="CS675" s="13">
        <f t="shared" si="1054"/>
        <v>1012</v>
      </c>
      <c r="CT675" s="14">
        <f t="shared" si="1055"/>
        <v>0.11</v>
      </c>
      <c r="CU675" s="15" t="s">
        <v>270</v>
      </c>
      <c r="CV675" s="1"/>
      <c r="CW675" s="79">
        <f>IF($A693="","",$A693)</f>
        <v>45901</v>
      </c>
      <c r="CX675" s="17">
        <v>5930</v>
      </c>
      <c r="CY675" s="13">
        <f t="shared" si="1056"/>
        <v>161</v>
      </c>
      <c r="CZ675" s="13">
        <v>146</v>
      </c>
      <c r="DA675" s="13">
        <f t="shared" si="1057"/>
        <v>2</v>
      </c>
      <c r="DB675" s="13">
        <v>35</v>
      </c>
      <c r="DC675" s="13">
        <f t="shared" si="1058"/>
        <v>2</v>
      </c>
      <c r="DD675" s="13">
        <v>6</v>
      </c>
      <c r="DE675" s="53"/>
      <c r="DF675" s="53">
        <f t="shared" si="1059"/>
        <v>880</v>
      </c>
      <c r="DG675" s="13">
        <f t="shared" si="1060"/>
        <v>1760</v>
      </c>
      <c r="DH675" s="14">
        <f t="shared" si="1061"/>
        <v>0.1093167701863354</v>
      </c>
      <c r="DI675" s="15"/>
      <c r="DJ675" s="1"/>
      <c r="DK675" s="79">
        <f>IF($A693="","",$A693)</f>
        <v>45901</v>
      </c>
      <c r="DL675" s="17">
        <v>4166</v>
      </c>
      <c r="DM675" s="13">
        <f t="shared" si="1062"/>
        <v>192</v>
      </c>
      <c r="DN675" s="13">
        <v>197</v>
      </c>
      <c r="DO675" s="13">
        <f t="shared" si="1063"/>
        <v>4</v>
      </c>
      <c r="DP675" s="13">
        <v>28</v>
      </c>
      <c r="DQ675" s="13">
        <f t="shared" si="1064"/>
        <v>4</v>
      </c>
      <c r="DR675" s="13">
        <v>4</v>
      </c>
      <c r="DS675" s="53"/>
      <c r="DT675" s="53">
        <f t="shared" si="1065"/>
        <v>1100</v>
      </c>
      <c r="DU675" s="13">
        <f t="shared" si="1066"/>
        <v>4400</v>
      </c>
      <c r="DV675" s="14">
        <f t="shared" si="1067"/>
        <v>0.22916666666666666</v>
      </c>
      <c r="DW675" s="15"/>
    </row>
    <row r="676" spans="1:127" ht="15" customHeight="1" thickBot="1" x14ac:dyDescent="0.25">
      <c r="A676" s="26"/>
      <c r="B676" s="46"/>
      <c r="C676" s="29">
        <v>1529</v>
      </c>
      <c r="D676" s="61">
        <f t="shared" si="1068"/>
        <v>131</v>
      </c>
      <c r="E676" s="62">
        <v>307</v>
      </c>
      <c r="F676" s="27">
        <f t="shared" si="1069"/>
        <v>2</v>
      </c>
      <c r="G676" s="27">
        <v>41</v>
      </c>
      <c r="H676" s="27">
        <f t="shared" si="1092"/>
        <v>2</v>
      </c>
      <c r="I676" s="47">
        <v>6</v>
      </c>
      <c r="J676" s="57" t="str">
        <f t="shared" si="1093"/>
        <v>NICIマスコット</v>
      </c>
      <c r="K676" s="62">
        <f t="shared" si="1094"/>
        <v>682</v>
      </c>
      <c r="L676" s="27">
        <f t="shared" si="1070"/>
        <v>1364</v>
      </c>
      <c r="M676" s="28">
        <f t="shared" si="1071"/>
        <v>0.10412213740458015</v>
      </c>
      <c r="N676" s="15"/>
      <c r="O676" s="2"/>
      <c r="P676" s="26"/>
      <c r="Q676" s="29">
        <v>1252</v>
      </c>
      <c r="R676" s="61">
        <f t="shared" si="1072"/>
        <v>189</v>
      </c>
      <c r="S676" s="62">
        <v>26</v>
      </c>
      <c r="T676" s="27">
        <f t="shared" si="1073"/>
        <v>3</v>
      </c>
      <c r="U676" s="27">
        <v>12</v>
      </c>
      <c r="V676" s="27">
        <f t="shared" si="1074"/>
        <v>3</v>
      </c>
      <c r="W676" s="47">
        <v>3</v>
      </c>
      <c r="X676" s="57" t="str">
        <f t="shared" si="1075"/>
        <v>ＡＩマスコット</v>
      </c>
      <c r="Y676" s="62">
        <f t="shared" si="1076"/>
        <v>286</v>
      </c>
      <c r="Z676" s="27">
        <f t="shared" si="1077"/>
        <v>858</v>
      </c>
      <c r="AA676" s="28">
        <f t="shared" si="1078"/>
        <v>4.5396825396825394E-2</v>
      </c>
      <c r="AB676" s="15"/>
      <c r="AC676" s="15"/>
      <c r="AD676" s="26"/>
      <c r="AE676" s="29">
        <v>6478</v>
      </c>
      <c r="AF676" s="61">
        <f t="shared" si="1079"/>
        <v>279</v>
      </c>
      <c r="AG676" s="62">
        <v>193</v>
      </c>
      <c r="AH676" s="27">
        <f t="shared" si="1080"/>
        <v>4</v>
      </c>
      <c r="AI676" s="27">
        <v>9</v>
      </c>
      <c r="AJ676" s="27">
        <f t="shared" si="1081"/>
        <v>6</v>
      </c>
      <c r="AK676" s="47">
        <v>6</v>
      </c>
      <c r="AL676" s="57" t="s">
        <v>240</v>
      </c>
      <c r="AM676" s="62">
        <v>528</v>
      </c>
      <c r="AN676" s="27">
        <f t="shared" si="1083"/>
        <v>3168</v>
      </c>
      <c r="AO676" s="28">
        <f t="shared" si="1084"/>
        <v>0.1135483870967742</v>
      </c>
      <c r="AP676" s="15"/>
      <c r="AQ676" s="113"/>
      <c r="AR676" s="26"/>
      <c r="AS676" s="29">
        <v>7340</v>
      </c>
      <c r="AT676" s="61">
        <f t="shared" si="1085"/>
        <v>175</v>
      </c>
      <c r="AU676" s="62">
        <v>303</v>
      </c>
      <c r="AV676" s="27">
        <f t="shared" si="1086"/>
        <v>10</v>
      </c>
      <c r="AW676" s="27">
        <v>84</v>
      </c>
      <c r="AX676" s="27">
        <f t="shared" si="1087"/>
        <v>10</v>
      </c>
      <c r="AY676" s="47">
        <v>0</v>
      </c>
      <c r="AZ676" s="57" t="str">
        <f t="shared" si="1088"/>
        <v>キティサンダルキーホルダー</v>
      </c>
      <c r="BA676" s="62">
        <f t="shared" si="1089"/>
        <v>600</v>
      </c>
      <c r="BB676" s="27">
        <f t="shared" si="1090"/>
        <v>6000</v>
      </c>
      <c r="BC676" s="28">
        <f t="shared" si="1091"/>
        <v>0.34285714285714286</v>
      </c>
      <c r="BD676" s="15"/>
      <c r="BU676" s="79">
        <f>IF($A697="","",$A697)</f>
        <v>45905</v>
      </c>
      <c r="BV676" s="17">
        <v>6401</v>
      </c>
      <c r="BW676" s="13">
        <f t="shared" si="1044"/>
        <v>246</v>
      </c>
      <c r="BX676" s="13">
        <v>159</v>
      </c>
      <c r="BY676" s="13">
        <f t="shared" si="1045"/>
        <v>2</v>
      </c>
      <c r="BZ676" s="13">
        <v>5</v>
      </c>
      <c r="CA676" s="13">
        <f t="shared" si="1046"/>
        <v>5</v>
      </c>
      <c r="CB676" s="13">
        <v>8</v>
      </c>
      <c r="CC676" s="53"/>
      <c r="CD676" s="53">
        <f t="shared" si="1047"/>
        <v>495</v>
      </c>
      <c r="CE676" s="13">
        <f t="shared" si="1048"/>
        <v>2475</v>
      </c>
      <c r="CF676" s="14">
        <f t="shared" si="1049"/>
        <v>0.10060975609756098</v>
      </c>
      <c r="CG676" s="15"/>
      <c r="CH676" s="1"/>
      <c r="CI676" s="79">
        <f>IF($A697="","",$A697)</f>
        <v>45905</v>
      </c>
      <c r="CJ676" s="17">
        <v>3758</v>
      </c>
      <c r="CK676" s="13">
        <f t="shared" si="1050"/>
        <v>63</v>
      </c>
      <c r="CL676" s="13">
        <v>44</v>
      </c>
      <c r="CM676" s="13">
        <f t="shared" si="1051"/>
        <v>1</v>
      </c>
      <c r="CN676" s="13">
        <v>15</v>
      </c>
      <c r="CO676" s="13">
        <f t="shared" si="1052"/>
        <v>0</v>
      </c>
      <c r="CP676" s="13">
        <v>0</v>
      </c>
      <c r="CQ676" s="53"/>
      <c r="CR676" s="53">
        <f t="shared" si="1053"/>
        <v>1012</v>
      </c>
      <c r="CS676" s="13">
        <f t="shared" si="1054"/>
        <v>0</v>
      </c>
      <c r="CT676" s="14">
        <f t="shared" si="1055"/>
        <v>0</v>
      </c>
      <c r="CU676" s="15"/>
      <c r="CV676" s="1"/>
      <c r="CW676" s="79">
        <f>IF($A697="","",$A697)</f>
        <v>45905</v>
      </c>
      <c r="CX676" s="17">
        <v>6022</v>
      </c>
      <c r="CY676" s="13">
        <f t="shared" si="1056"/>
        <v>92</v>
      </c>
      <c r="CZ676" s="13">
        <v>146</v>
      </c>
      <c r="DA676" s="13">
        <f t="shared" si="1057"/>
        <v>0</v>
      </c>
      <c r="DB676" s="13">
        <v>40</v>
      </c>
      <c r="DC676" s="13">
        <f t="shared" si="1058"/>
        <v>1</v>
      </c>
      <c r="DD676" s="13">
        <v>0</v>
      </c>
      <c r="DE676" s="53"/>
      <c r="DF676" s="53">
        <f t="shared" si="1059"/>
        <v>880</v>
      </c>
      <c r="DG676" s="13">
        <f t="shared" si="1060"/>
        <v>880</v>
      </c>
      <c r="DH676" s="14">
        <f t="shared" si="1061"/>
        <v>9.5652173913043481E-2</v>
      </c>
      <c r="DI676" s="15"/>
      <c r="DJ676" s="1"/>
      <c r="DK676" s="79">
        <f>IF($A697="","",$A697)</f>
        <v>45905</v>
      </c>
      <c r="DL676" s="17">
        <v>4250</v>
      </c>
      <c r="DM676" s="13">
        <f t="shared" si="1062"/>
        <v>84</v>
      </c>
      <c r="DN676" s="13">
        <v>200</v>
      </c>
      <c r="DO676" s="13">
        <f t="shared" si="1063"/>
        <v>3</v>
      </c>
      <c r="DP676" s="13">
        <v>29</v>
      </c>
      <c r="DQ676" s="13">
        <f t="shared" si="1064"/>
        <v>3</v>
      </c>
      <c r="DR676" s="13">
        <v>4</v>
      </c>
      <c r="DS676" s="53"/>
      <c r="DT676" s="53">
        <f t="shared" si="1065"/>
        <v>1100</v>
      </c>
      <c r="DU676" s="13">
        <f t="shared" si="1066"/>
        <v>3300</v>
      </c>
      <c r="DV676" s="14">
        <f t="shared" si="1067"/>
        <v>0.39285714285714285</v>
      </c>
      <c r="DW676" s="15"/>
    </row>
    <row r="677" spans="1:127" ht="15.75" thickTop="1" x14ac:dyDescent="0.2">
      <c r="A677" s="79">
        <v>45887</v>
      </c>
      <c r="B677" s="74">
        <f>IF(A677="","",SUM(D677:D680)+SUM(R677:R680)+SUM(AF677:AF680)+SUM(AT677:AT680)+SUM(BW671,CK671,CY671,DM671))</f>
        <v>2409</v>
      </c>
      <c r="C677" s="53">
        <v>1146</v>
      </c>
      <c r="D677" s="53">
        <f t="shared" si="1068"/>
        <v>74</v>
      </c>
      <c r="E677" s="53">
        <v>268</v>
      </c>
      <c r="F677" s="31">
        <f t="shared" si="1069"/>
        <v>4</v>
      </c>
      <c r="G677" s="53">
        <v>9</v>
      </c>
      <c r="H677" s="53">
        <f t="shared" si="1092"/>
        <v>3</v>
      </c>
      <c r="I677" s="53">
        <v>3</v>
      </c>
      <c r="J677" s="21" t="str">
        <f t="shared" si="1093"/>
        <v>ジャグラーサウンドボタン</v>
      </c>
      <c r="K677" s="54">
        <f t="shared" si="1094"/>
        <v>748</v>
      </c>
      <c r="L677" s="31">
        <f t="shared" si="1070"/>
        <v>2244</v>
      </c>
      <c r="M677" s="32">
        <f t="shared" si="1071"/>
        <v>0.30324324324324325</v>
      </c>
      <c r="N677" s="15"/>
      <c r="O677" s="2"/>
      <c r="P677" s="79">
        <f>IF(A677="","",A677)</f>
        <v>45887</v>
      </c>
      <c r="Q677" s="53">
        <v>748</v>
      </c>
      <c r="R677" s="127">
        <f t="shared" si="1072"/>
        <v>29</v>
      </c>
      <c r="S677" s="53">
        <v>58</v>
      </c>
      <c r="T677" s="31">
        <f t="shared" si="1073"/>
        <v>2</v>
      </c>
      <c r="U677" s="53">
        <v>8</v>
      </c>
      <c r="V677" s="53">
        <f t="shared" si="1074"/>
        <v>1</v>
      </c>
      <c r="W677" s="53">
        <v>3</v>
      </c>
      <c r="X677" s="21" t="str">
        <f t="shared" si="1075"/>
        <v>ジャグラーパネルKH</v>
      </c>
      <c r="Y677" s="54">
        <f t="shared" si="1076"/>
        <v>500</v>
      </c>
      <c r="Z677" s="31">
        <f t="shared" si="1077"/>
        <v>500</v>
      </c>
      <c r="AA677" s="32">
        <f t="shared" si="1078"/>
        <v>0.17241379310344829</v>
      </c>
      <c r="AB677" s="15" t="s">
        <v>251</v>
      </c>
      <c r="AD677" s="79">
        <f>IF($A677="","",$A677)</f>
        <v>45887</v>
      </c>
      <c r="AE677" s="53">
        <v>6709</v>
      </c>
      <c r="AF677" s="53">
        <f t="shared" si="1079"/>
        <v>72</v>
      </c>
      <c r="AG677" s="53">
        <v>132</v>
      </c>
      <c r="AH677" s="31">
        <f t="shared" si="1080"/>
        <v>5</v>
      </c>
      <c r="AI677" s="53">
        <v>36</v>
      </c>
      <c r="AJ677" s="53">
        <f t="shared" si="1081"/>
        <v>6</v>
      </c>
      <c r="AK677" s="53">
        <v>0</v>
      </c>
      <c r="AL677" s="56" t="str">
        <f t="shared" ref="AL677:AL708" si="1095">IF(AE677="","",AL673)</f>
        <v>ミニ香水</v>
      </c>
      <c r="AM677" s="54">
        <f t="shared" ref="AM677:AM708" si="1096">IF(AF677="","",AM673)</f>
        <v>1100</v>
      </c>
      <c r="AN677" s="31">
        <f t="shared" si="1083"/>
        <v>6600</v>
      </c>
      <c r="AO677" s="32">
        <f t="shared" si="1084"/>
        <v>0.91666666666666663</v>
      </c>
      <c r="AP677" s="15"/>
      <c r="AQ677" s="115"/>
      <c r="AR677" s="79">
        <f>IF($A677="","",$A677)</f>
        <v>45887</v>
      </c>
      <c r="AS677" s="53">
        <v>7385</v>
      </c>
      <c r="AT677" s="53">
        <f t="shared" si="1085"/>
        <v>103</v>
      </c>
      <c r="AU677" s="53">
        <v>229</v>
      </c>
      <c r="AV677" s="31">
        <f t="shared" si="1086"/>
        <v>2</v>
      </c>
      <c r="AW677" s="53">
        <v>9</v>
      </c>
      <c r="AX677" s="53">
        <f t="shared" si="1087"/>
        <v>2</v>
      </c>
      <c r="AY677" s="53">
        <v>6</v>
      </c>
      <c r="AZ677" s="56" t="str">
        <f t="shared" si="1088"/>
        <v>こびとづかんキーケース</v>
      </c>
      <c r="BA677" s="54">
        <f t="shared" si="1089"/>
        <v>726</v>
      </c>
      <c r="BB677" s="31">
        <f t="shared" si="1090"/>
        <v>1452</v>
      </c>
      <c r="BC677" s="32">
        <f t="shared" si="1091"/>
        <v>0.14097087378640777</v>
      </c>
      <c r="BD677" s="15"/>
      <c r="BT677" s="15"/>
      <c r="BU677" s="79">
        <v>45908</v>
      </c>
      <c r="BV677" s="17">
        <v>6745</v>
      </c>
      <c r="BW677" s="13">
        <f t="shared" si="1044"/>
        <v>344</v>
      </c>
      <c r="BX677" s="13">
        <v>162</v>
      </c>
      <c r="BY677" s="13">
        <f t="shared" si="1045"/>
        <v>3</v>
      </c>
      <c r="BZ677" s="13">
        <v>8</v>
      </c>
      <c r="CA677" s="13">
        <f t="shared" si="1046"/>
        <v>5</v>
      </c>
      <c r="CB677" s="13">
        <v>7</v>
      </c>
      <c r="CC677" s="53"/>
      <c r="CD677" s="53">
        <f t="shared" si="1047"/>
        <v>495</v>
      </c>
      <c r="CE677" s="13">
        <f t="shared" si="1048"/>
        <v>2475</v>
      </c>
      <c r="CF677" s="14">
        <f t="shared" si="1049"/>
        <v>7.1947674418604654E-2</v>
      </c>
      <c r="CG677" s="43" t="s">
        <v>277</v>
      </c>
      <c r="CH677" s="1"/>
      <c r="CI677" s="79">
        <f>IF($A701="","",$A701)</f>
        <v>45908</v>
      </c>
      <c r="CJ677" s="17">
        <v>3879</v>
      </c>
      <c r="CK677" s="13">
        <f t="shared" si="1050"/>
        <v>121</v>
      </c>
      <c r="CL677" s="13">
        <v>46</v>
      </c>
      <c r="CM677" s="13">
        <f t="shared" si="1051"/>
        <v>2</v>
      </c>
      <c r="CN677" s="13">
        <v>12</v>
      </c>
      <c r="CO677" s="13">
        <f t="shared" si="1052"/>
        <v>3</v>
      </c>
      <c r="CP677" s="13">
        <v>0</v>
      </c>
      <c r="CQ677" s="53"/>
      <c r="CR677" s="53">
        <f t="shared" si="1053"/>
        <v>1012</v>
      </c>
      <c r="CS677" s="13">
        <f t="shared" si="1054"/>
        <v>3036</v>
      </c>
      <c r="CT677" s="14">
        <f t="shared" si="1055"/>
        <v>0.25090909090909091</v>
      </c>
      <c r="CU677" s="43"/>
      <c r="CV677" s="1"/>
      <c r="CW677" s="79">
        <f>IF($A701="","",$A701)</f>
        <v>45908</v>
      </c>
      <c r="CX677" s="17">
        <v>6190</v>
      </c>
      <c r="CY677" s="13">
        <f t="shared" si="1056"/>
        <v>168</v>
      </c>
      <c r="CZ677" s="13">
        <v>149</v>
      </c>
      <c r="DA677" s="13">
        <f t="shared" si="1057"/>
        <v>3</v>
      </c>
      <c r="DB677" s="13">
        <v>35</v>
      </c>
      <c r="DC677" s="13">
        <f t="shared" si="1058"/>
        <v>5</v>
      </c>
      <c r="DD677" s="13">
        <v>3</v>
      </c>
      <c r="DE677" s="53"/>
      <c r="DF677" s="53">
        <f t="shared" si="1059"/>
        <v>880</v>
      </c>
      <c r="DG677" s="13">
        <f t="shared" si="1060"/>
        <v>4400</v>
      </c>
      <c r="DH677" s="14">
        <f t="shared" si="1061"/>
        <v>0.26190476190476192</v>
      </c>
      <c r="DI677" s="43"/>
      <c r="DJ677" s="1"/>
      <c r="DK677" s="79">
        <f>IF($A701="","",$A701)</f>
        <v>45908</v>
      </c>
      <c r="DL677" s="17">
        <v>4332</v>
      </c>
      <c r="DM677" s="13">
        <f t="shared" si="1062"/>
        <v>82</v>
      </c>
      <c r="DN677" s="13">
        <v>202</v>
      </c>
      <c r="DO677" s="13">
        <f t="shared" si="1063"/>
        <v>2</v>
      </c>
      <c r="DP677" s="13">
        <v>31</v>
      </c>
      <c r="DQ677" s="13">
        <f t="shared" si="1064"/>
        <v>2</v>
      </c>
      <c r="DR677" s="13">
        <v>0</v>
      </c>
      <c r="DS677" s="53"/>
      <c r="DT677" s="53">
        <f t="shared" si="1065"/>
        <v>1100</v>
      </c>
      <c r="DU677" s="13">
        <f t="shared" si="1066"/>
        <v>2200</v>
      </c>
      <c r="DV677" s="14">
        <f t="shared" si="1067"/>
        <v>0.26829268292682928</v>
      </c>
      <c r="DW677" s="43" t="s">
        <v>276</v>
      </c>
    </row>
    <row r="678" spans="1:127" x14ac:dyDescent="0.2">
      <c r="A678" s="16"/>
      <c r="B678" s="11"/>
      <c r="C678" s="13">
        <v>1001</v>
      </c>
      <c r="D678" s="13">
        <f t="shared" si="1068"/>
        <v>91</v>
      </c>
      <c r="E678" s="13">
        <v>248</v>
      </c>
      <c r="F678" s="13">
        <f t="shared" si="1069"/>
        <v>3</v>
      </c>
      <c r="G678" s="13">
        <v>33</v>
      </c>
      <c r="H678" s="13">
        <f t="shared" si="1092"/>
        <v>3</v>
      </c>
      <c r="I678" s="13">
        <v>20</v>
      </c>
      <c r="J678" s="21" t="str">
        <f t="shared" si="1093"/>
        <v>ジャグラーコインホルダー</v>
      </c>
      <c r="K678" s="54">
        <f t="shared" si="1094"/>
        <v>220</v>
      </c>
      <c r="L678" s="13">
        <f t="shared" si="1070"/>
        <v>660</v>
      </c>
      <c r="M678" s="14">
        <f t="shared" si="1071"/>
        <v>7.2527472527472533E-2</v>
      </c>
      <c r="N678" s="15"/>
      <c r="O678" s="2"/>
      <c r="P678" s="16"/>
      <c r="Q678" s="13">
        <v>1249</v>
      </c>
      <c r="R678" s="13">
        <f t="shared" si="1072"/>
        <v>57</v>
      </c>
      <c r="S678" s="13">
        <v>40</v>
      </c>
      <c r="T678" s="13">
        <f t="shared" si="1073"/>
        <v>1</v>
      </c>
      <c r="U678" s="13">
        <v>5</v>
      </c>
      <c r="V678" s="13">
        <f t="shared" si="1074"/>
        <v>2</v>
      </c>
      <c r="W678" s="13">
        <v>2</v>
      </c>
      <c r="X678" s="21" t="str">
        <f t="shared" si="1075"/>
        <v>サンリオFAN</v>
      </c>
      <c r="Y678" s="54">
        <f t="shared" si="1076"/>
        <v>1100</v>
      </c>
      <c r="Z678" s="13">
        <f t="shared" si="1077"/>
        <v>2200</v>
      </c>
      <c r="AA678" s="14">
        <f t="shared" si="1078"/>
        <v>0.38596491228070173</v>
      </c>
      <c r="AB678" s="15"/>
      <c r="AD678" s="16"/>
      <c r="AE678" s="13">
        <v>5845</v>
      </c>
      <c r="AF678" s="13">
        <f t="shared" si="1079"/>
        <v>75</v>
      </c>
      <c r="AG678" s="13">
        <v>133</v>
      </c>
      <c r="AH678" s="13">
        <f t="shared" si="1080"/>
        <v>1</v>
      </c>
      <c r="AI678" s="13">
        <v>17</v>
      </c>
      <c r="AJ678" s="13">
        <f t="shared" si="1081"/>
        <v>1</v>
      </c>
      <c r="AK678" s="13">
        <v>2</v>
      </c>
      <c r="AL678" s="56" t="str">
        <f t="shared" si="1095"/>
        <v>デジタルミニカメラ</v>
      </c>
      <c r="AM678" s="54">
        <f t="shared" si="1096"/>
        <v>800</v>
      </c>
      <c r="AN678" s="13">
        <f t="shared" si="1083"/>
        <v>800</v>
      </c>
      <c r="AO678" s="14">
        <f t="shared" si="1084"/>
        <v>0.10666666666666667</v>
      </c>
      <c r="AP678" s="15"/>
      <c r="AQ678" s="115"/>
      <c r="AR678" s="16"/>
      <c r="AS678" s="13">
        <v>4835</v>
      </c>
      <c r="AT678" s="13">
        <f t="shared" si="1085"/>
        <v>84</v>
      </c>
      <c r="AU678" s="13">
        <v>257</v>
      </c>
      <c r="AV678" s="13">
        <f t="shared" si="1086"/>
        <v>2</v>
      </c>
      <c r="AW678" s="13">
        <v>28</v>
      </c>
      <c r="AX678" s="13">
        <f t="shared" si="1087"/>
        <v>3</v>
      </c>
      <c r="AY678" s="13">
        <v>0</v>
      </c>
      <c r="AZ678" s="56" t="str">
        <f t="shared" si="1088"/>
        <v>ねこアイシャドウ</v>
      </c>
      <c r="BA678" s="54">
        <f t="shared" si="1089"/>
        <v>1000</v>
      </c>
      <c r="BB678" s="13">
        <f t="shared" si="1090"/>
        <v>3000</v>
      </c>
      <c r="BC678" s="14">
        <f t="shared" si="1091"/>
        <v>0.35714285714285715</v>
      </c>
      <c r="BD678" s="15"/>
      <c r="BT678" s="15"/>
      <c r="BU678" s="79">
        <f>IF($A705="","",$A705)</f>
        <v>45912</v>
      </c>
      <c r="BV678" s="17">
        <v>7017</v>
      </c>
      <c r="BW678" s="13">
        <f t="shared" si="1044"/>
        <v>272</v>
      </c>
      <c r="BX678" s="13">
        <v>166</v>
      </c>
      <c r="BY678" s="13">
        <f t="shared" si="1045"/>
        <v>4</v>
      </c>
      <c r="BZ678" s="13">
        <v>8</v>
      </c>
      <c r="CA678" s="13">
        <f t="shared" si="1046"/>
        <v>7</v>
      </c>
      <c r="CB678" s="13">
        <v>7</v>
      </c>
      <c r="CC678" s="53"/>
      <c r="CD678" s="53">
        <f t="shared" si="1047"/>
        <v>495</v>
      </c>
      <c r="CE678" s="13">
        <f t="shared" si="1048"/>
        <v>3465</v>
      </c>
      <c r="CF678" s="14">
        <f t="shared" si="1049"/>
        <v>0.12738970588235293</v>
      </c>
      <c r="CG678" s="43"/>
      <c r="CH678" s="1"/>
      <c r="CI678" s="79">
        <f>IF($A705="","",$A705)</f>
        <v>45912</v>
      </c>
      <c r="CJ678" s="17">
        <v>3974</v>
      </c>
      <c r="CK678" s="13">
        <f t="shared" si="1050"/>
        <v>95</v>
      </c>
      <c r="CL678" s="13">
        <v>46</v>
      </c>
      <c r="CM678" s="13">
        <f t="shared" si="1051"/>
        <v>0</v>
      </c>
      <c r="CN678" s="13">
        <v>12</v>
      </c>
      <c r="CO678" s="13">
        <f t="shared" si="1052"/>
        <v>0</v>
      </c>
      <c r="CP678" s="13">
        <v>0</v>
      </c>
      <c r="CQ678" s="53"/>
      <c r="CR678" s="53">
        <f t="shared" si="1053"/>
        <v>1012</v>
      </c>
      <c r="CS678" s="13">
        <f t="shared" si="1054"/>
        <v>0</v>
      </c>
      <c r="CT678" s="14">
        <f t="shared" si="1055"/>
        <v>0</v>
      </c>
      <c r="CU678" s="43"/>
      <c r="CV678" s="1"/>
      <c r="CW678" s="79">
        <f>IF($A705="","",$A705)</f>
        <v>45912</v>
      </c>
      <c r="CX678" s="17">
        <v>6288</v>
      </c>
      <c r="CY678" s="13">
        <f t="shared" si="1056"/>
        <v>98</v>
      </c>
      <c r="CZ678" s="13">
        <v>151</v>
      </c>
      <c r="DA678" s="13">
        <f t="shared" si="1057"/>
        <v>2</v>
      </c>
      <c r="DB678" s="13">
        <v>35</v>
      </c>
      <c r="DC678" s="13">
        <f t="shared" si="1058"/>
        <v>3</v>
      </c>
      <c r="DD678" s="13">
        <v>9</v>
      </c>
      <c r="DE678" s="53"/>
      <c r="DF678" s="53">
        <f t="shared" si="1059"/>
        <v>880</v>
      </c>
      <c r="DG678" s="13">
        <f t="shared" si="1060"/>
        <v>2640</v>
      </c>
      <c r="DH678" s="14">
        <f t="shared" si="1061"/>
        <v>0.26938775510204083</v>
      </c>
      <c r="DI678" s="43" t="s">
        <v>287</v>
      </c>
      <c r="DJ678" s="1"/>
      <c r="DK678" s="79">
        <f>IF($A705="","",$A705)</f>
        <v>45912</v>
      </c>
      <c r="DL678" s="17">
        <v>4448</v>
      </c>
      <c r="DM678" s="13">
        <f t="shared" si="1062"/>
        <v>116</v>
      </c>
      <c r="DN678" s="13">
        <v>203</v>
      </c>
      <c r="DO678" s="13">
        <f t="shared" si="1063"/>
        <v>1</v>
      </c>
      <c r="DP678" s="13">
        <v>30</v>
      </c>
      <c r="DQ678" s="13">
        <f t="shared" si="1064"/>
        <v>1</v>
      </c>
      <c r="DR678" s="13">
        <v>4</v>
      </c>
      <c r="DS678" s="53"/>
      <c r="DT678" s="53">
        <f t="shared" si="1065"/>
        <v>1100</v>
      </c>
      <c r="DU678" s="13">
        <f t="shared" si="1066"/>
        <v>1100</v>
      </c>
      <c r="DV678" s="14">
        <f t="shared" si="1067"/>
        <v>9.4827586206896547E-2</v>
      </c>
      <c r="DW678" s="43"/>
    </row>
    <row r="679" spans="1:127" x14ac:dyDescent="0.2">
      <c r="A679" s="16"/>
      <c r="B679" s="11"/>
      <c r="C679" s="13">
        <v>3692</v>
      </c>
      <c r="D679" s="13">
        <f t="shared" si="1068"/>
        <v>204</v>
      </c>
      <c r="E679" s="13">
        <v>329</v>
      </c>
      <c r="F679" s="13">
        <f t="shared" si="1069"/>
        <v>6</v>
      </c>
      <c r="G679" s="13">
        <v>85</v>
      </c>
      <c r="H679" s="13">
        <f t="shared" si="1092"/>
        <v>35</v>
      </c>
      <c r="I679" s="13">
        <v>10</v>
      </c>
      <c r="J679" s="21" t="str">
        <f t="shared" si="1093"/>
        <v>AIモンスタラバー</v>
      </c>
      <c r="K679" s="54">
        <f t="shared" si="1094"/>
        <v>200</v>
      </c>
      <c r="L679" s="13">
        <f t="shared" si="1070"/>
        <v>7000</v>
      </c>
      <c r="M679" s="14">
        <f t="shared" si="1071"/>
        <v>0.34313725490196079</v>
      </c>
      <c r="N679" s="15"/>
      <c r="O679" s="2"/>
      <c r="P679" s="16"/>
      <c r="Q679" s="13">
        <v>1568</v>
      </c>
      <c r="R679" s="13">
        <f t="shared" si="1072"/>
        <v>107</v>
      </c>
      <c r="S679" s="13">
        <v>17</v>
      </c>
      <c r="T679" s="13">
        <f t="shared" si="1073"/>
        <v>1</v>
      </c>
      <c r="U679" s="13">
        <v>6</v>
      </c>
      <c r="V679" s="13">
        <f t="shared" si="1074"/>
        <v>1</v>
      </c>
      <c r="W679" s="13">
        <v>1</v>
      </c>
      <c r="X679" s="21" t="str">
        <f t="shared" si="1075"/>
        <v>キティフェイスポーチ</v>
      </c>
      <c r="Y679" s="54">
        <f t="shared" si="1076"/>
        <v>957</v>
      </c>
      <c r="Z679" s="13">
        <f t="shared" si="1077"/>
        <v>957</v>
      </c>
      <c r="AA679" s="14">
        <f t="shared" si="1078"/>
        <v>8.9439252336448602E-2</v>
      </c>
      <c r="AB679" s="15"/>
      <c r="AD679" s="16"/>
      <c r="AE679" s="13">
        <v>6443</v>
      </c>
      <c r="AF679" s="13">
        <f t="shared" si="1079"/>
        <v>139</v>
      </c>
      <c r="AG679" s="13">
        <v>247</v>
      </c>
      <c r="AH679" s="13">
        <f t="shared" si="1080"/>
        <v>1</v>
      </c>
      <c r="AI679" s="13">
        <v>2</v>
      </c>
      <c r="AJ679" s="13">
        <f t="shared" si="1081"/>
        <v>1</v>
      </c>
      <c r="AK679" s="13">
        <v>0</v>
      </c>
      <c r="AL679" s="56" t="str">
        <f t="shared" si="1095"/>
        <v>ジョージファン</v>
      </c>
      <c r="AM679" s="54">
        <f t="shared" si="1096"/>
        <v>1050</v>
      </c>
      <c r="AN679" s="13">
        <f t="shared" si="1083"/>
        <v>1050</v>
      </c>
      <c r="AO679" s="14">
        <f t="shared" si="1084"/>
        <v>7.5539568345323743E-2</v>
      </c>
      <c r="AP679" s="15"/>
      <c r="AQ679" s="115"/>
      <c r="AR679" s="16"/>
      <c r="AS679" s="13">
        <v>8157</v>
      </c>
      <c r="AT679" s="13">
        <f t="shared" si="1085"/>
        <v>79</v>
      </c>
      <c r="AU679" s="13">
        <v>337</v>
      </c>
      <c r="AV679" s="13">
        <f t="shared" si="1086"/>
        <v>8</v>
      </c>
      <c r="AW679" s="13">
        <v>130</v>
      </c>
      <c r="AX679" s="13">
        <f t="shared" si="1087"/>
        <v>10</v>
      </c>
      <c r="AY679" s="13">
        <v>40</v>
      </c>
      <c r="AZ679" s="56" t="str">
        <f t="shared" si="1088"/>
        <v>SPGラバーキーホルダー</v>
      </c>
      <c r="BA679" s="54">
        <f t="shared" si="1089"/>
        <v>200</v>
      </c>
      <c r="BB679" s="13">
        <f t="shared" si="1090"/>
        <v>2000</v>
      </c>
      <c r="BC679" s="14">
        <f t="shared" si="1091"/>
        <v>0.25316455696202533</v>
      </c>
      <c r="BD679" s="15"/>
      <c r="BT679" s="15"/>
      <c r="BU679" s="79" t="str">
        <f>IF($A709="","",$A709)</f>
        <v/>
      </c>
      <c r="BV679" s="17"/>
      <c r="BW679" s="13"/>
      <c r="BX679" s="13"/>
      <c r="BY679" s="13"/>
      <c r="BZ679" s="13"/>
      <c r="CA679" s="13"/>
      <c r="CB679" s="13"/>
      <c r="CC679" s="53"/>
      <c r="CD679" s="53"/>
      <c r="CE679" s="13"/>
      <c r="CF679" s="14"/>
      <c r="CG679" s="43"/>
      <c r="CH679" s="1"/>
      <c r="CI679" s="79"/>
      <c r="CJ679" s="17"/>
      <c r="CK679" s="87"/>
      <c r="CL679" s="13"/>
      <c r="CM679" s="13"/>
      <c r="CN679" s="13"/>
      <c r="CO679" s="13"/>
      <c r="CP679" s="13"/>
      <c r="CQ679" s="53"/>
      <c r="CR679" s="53"/>
      <c r="CS679" s="13"/>
      <c r="CT679" s="14"/>
      <c r="CU679" s="43"/>
      <c r="CV679" s="1"/>
      <c r="CW679" s="79"/>
      <c r="CX679" s="17"/>
      <c r="CY679" s="13"/>
      <c r="CZ679" s="13"/>
      <c r="DA679" s="13"/>
      <c r="DB679" s="13"/>
      <c r="DC679" s="13"/>
      <c r="DD679" s="13"/>
      <c r="DE679" s="53"/>
      <c r="DF679" s="53"/>
      <c r="DG679" s="13"/>
      <c r="DH679" s="14"/>
      <c r="DI679" s="43"/>
      <c r="DJ679" s="1"/>
      <c r="DK679" s="79"/>
      <c r="DL679" s="17"/>
      <c r="DM679" s="13"/>
      <c r="DN679" s="13"/>
      <c r="DO679" s="13"/>
      <c r="DP679" s="13"/>
      <c r="DQ679" s="13"/>
      <c r="DR679" s="13"/>
      <c r="DS679" s="53"/>
      <c r="DT679" s="53"/>
      <c r="DU679" s="13"/>
      <c r="DV679" s="14"/>
      <c r="DW679" s="43"/>
    </row>
    <row r="680" spans="1:127" ht="15" customHeight="1" thickBot="1" x14ac:dyDescent="0.25">
      <c r="A680" s="26"/>
      <c r="B680" s="46"/>
      <c r="C680" s="27">
        <v>1680</v>
      </c>
      <c r="D680" s="27">
        <f t="shared" si="1068"/>
        <v>151</v>
      </c>
      <c r="E680" s="27">
        <v>321</v>
      </c>
      <c r="F680" s="27">
        <f t="shared" si="1069"/>
        <v>14</v>
      </c>
      <c r="G680" s="27">
        <v>33</v>
      </c>
      <c r="H680" s="27">
        <f t="shared" si="1092"/>
        <v>14</v>
      </c>
      <c r="I680" s="27">
        <v>2</v>
      </c>
      <c r="J680" s="30" t="str">
        <f t="shared" si="1093"/>
        <v>NICIマスコット</v>
      </c>
      <c r="K680" s="62">
        <f t="shared" si="1094"/>
        <v>682</v>
      </c>
      <c r="L680" s="27">
        <f t="shared" si="1070"/>
        <v>9548</v>
      </c>
      <c r="M680" s="28">
        <f t="shared" si="1071"/>
        <v>0.63231788079470197</v>
      </c>
      <c r="N680" s="15"/>
      <c r="O680" s="2"/>
      <c r="P680" s="26"/>
      <c r="Q680" s="27">
        <v>1507</v>
      </c>
      <c r="R680" s="27">
        <f t="shared" si="1072"/>
        <v>255</v>
      </c>
      <c r="S680" s="27">
        <v>30</v>
      </c>
      <c r="T680" s="27">
        <f t="shared" si="1073"/>
        <v>4</v>
      </c>
      <c r="U680" s="27">
        <v>10</v>
      </c>
      <c r="V680" s="27">
        <f t="shared" si="1074"/>
        <v>5</v>
      </c>
      <c r="W680" s="27">
        <v>5</v>
      </c>
      <c r="X680" s="30" t="str">
        <f t="shared" si="1075"/>
        <v>ＡＩマスコット</v>
      </c>
      <c r="Y680" s="62">
        <f t="shared" si="1076"/>
        <v>286</v>
      </c>
      <c r="Z680" s="27">
        <f t="shared" si="1077"/>
        <v>1430</v>
      </c>
      <c r="AA680" s="28">
        <f t="shared" si="1078"/>
        <v>5.6078431372549017E-2</v>
      </c>
      <c r="AB680" s="15"/>
      <c r="AD680" s="26"/>
      <c r="AE680" s="27">
        <v>6616</v>
      </c>
      <c r="AF680" s="27">
        <f t="shared" si="1079"/>
        <v>138</v>
      </c>
      <c r="AG680" s="27">
        <v>195</v>
      </c>
      <c r="AH680" s="27">
        <f t="shared" si="1080"/>
        <v>2</v>
      </c>
      <c r="AI680" s="27">
        <v>13</v>
      </c>
      <c r="AJ680" s="27">
        <f t="shared" si="1081"/>
        <v>2</v>
      </c>
      <c r="AK680" s="27">
        <v>2</v>
      </c>
      <c r="AL680" s="57" t="str">
        <f t="shared" si="1095"/>
        <v>しなこくま</v>
      </c>
      <c r="AM680" s="62">
        <f t="shared" si="1096"/>
        <v>528</v>
      </c>
      <c r="AN680" s="27">
        <f t="shared" si="1083"/>
        <v>1056</v>
      </c>
      <c r="AO680" s="28">
        <f t="shared" si="1084"/>
        <v>7.6521739130434779E-2</v>
      </c>
      <c r="AP680" s="15"/>
      <c r="AQ680" s="115"/>
      <c r="AR680" s="26"/>
      <c r="AS680" s="27">
        <v>7417</v>
      </c>
      <c r="AT680" s="27">
        <f t="shared" si="1085"/>
        <v>77</v>
      </c>
      <c r="AU680" s="27">
        <v>307</v>
      </c>
      <c r="AV680" s="27">
        <f t="shared" si="1086"/>
        <v>4</v>
      </c>
      <c r="AW680" s="27">
        <v>80</v>
      </c>
      <c r="AX680" s="27">
        <f t="shared" si="1087"/>
        <v>4</v>
      </c>
      <c r="AY680" s="27">
        <v>0</v>
      </c>
      <c r="AZ680" s="57" t="str">
        <f t="shared" si="1088"/>
        <v>キティサンダルキーホルダー</v>
      </c>
      <c r="BA680" s="62">
        <f t="shared" si="1089"/>
        <v>600</v>
      </c>
      <c r="BB680" s="27">
        <f t="shared" si="1090"/>
        <v>2400</v>
      </c>
      <c r="BC680" s="28">
        <f t="shared" si="1091"/>
        <v>0.31168831168831168</v>
      </c>
      <c r="BD680" s="15"/>
      <c r="BT680" s="15"/>
      <c r="BU680" s="79" t="str">
        <f>IF($A713="","",$A713)</f>
        <v/>
      </c>
      <c r="BV680" s="17"/>
      <c r="BW680" s="13"/>
      <c r="BX680" s="13"/>
      <c r="BY680" s="13"/>
      <c r="BZ680" s="13"/>
      <c r="CA680" s="13"/>
      <c r="CB680" s="13"/>
      <c r="CC680" s="53"/>
      <c r="CD680" s="53"/>
      <c r="CE680" s="13"/>
      <c r="CF680" s="14"/>
      <c r="CG680" s="15"/>
      <c r="CH680" s="1"/>
      <c r="CI680" s="79"/>
      <c r="CJ680" s="17"/>
      <c r="CK680" s="13"/>
      <c r="CL680" s="13"/>
      <c r="CM680" s="13"/>
      <c r="CN680" s="13"/>
      <c r="CO680" s="13"/>
      <c r="CP680" s="13"/>
      <c r="CQ680" s="53"/>
      <c r="CR680" s="53"/>
      <c r="CS680" s="13"/>
      <c r="CT680" s="14"/>
      <c r="CU680" s="15"/>
      <c r="CV680" s="1"/>
      <c r="CW680" s="79"/>
      <c r="CX680" s="17"/>
      <c r="CY680" s="13"/>
      <c r="CZ680" s="13"/>
      <c r="DA680" s="13"/>
      <c r="DB680" s="13"/>
      <c r="DC680" s="13"/>
      <c r="DD680" s="13"/>
      <c r="DE680" s="53"/>
      <c r="DF680" s="53"/>
      <c r="DG680" s="13"/>
      <c r="DH680" s="14"/>
      <c r="DI680" s="15"/>
      <c r="DJ680" s="1"/>
      <c r="DK680" s="79"/>
      <c r="DL680" s="17"/>
      <c r="DM680" s="13"/>
      <c r="DN680" s="13"/>
      <c r="DO680" s="13"/>
      <c r="DP680" s="13"/>
      <c r="DQ680" s="13"/>
      <c r="DR680" s="13"/>
      <c r="DS680" s="53"/>
      <c r="DT680" s="53"/>
      <c r="DU680" s="13"/>
      <c r="DV680" s="14"/>
      <c r="DW680" s="15"/>
    </row>
    <row r="681" spans="1:127" ht="15" customHeight="1" thickTop="1" x14ac:dyDescent="0.2">
      <c r="A681" s="79">
        <v>45891</v>
      </c>
      <c r="B681" s="74">
        <f>IF(A681="","",SUM(D681:D684)+SUM(R681:R684)+SUM(AF681:AF684)+SUM(AT681:AT684)+SUM(BW672,CK672,CY672,DM672))</f>
        <v>2918</v>
      </c>
      <c r="C681" s="53">
        <v>1364</v>
      </c>
      <c r="D681" s="53">
        <f t="shared" si="1068"/>
        <v>218</v>
      </c>
      <c r="E681" s="53">
        <v>271</v>
      </c>
      <c r="F681" s="31">
        <f t="shared" si="1069"/>
        <v>3</v>
      </c>
      <c r="G681" s="53">
        <v>9</v>
      </c>
      <c r="H681" s="53">
        <f t="shared" si="1092"/>
        <v>3</v>
      </c>
      <c r="I681" s="80">
        <v>5</v>
      </c>
      <c r="J681" s="75" t="str">
        <f t="shared" si="1093"/>
        <v>ジャグラーサウンドボタン</v>
      </c>
      <c r="K681" s="76">
        <f t="shared" si="1094"/>
        <v>748</v>
      </c>
      <c r="L681" s="31">
        <f t="shared" si="1070"/>
        <v>2244</v>
      </c>
      <c r="M681" s="32">
        <f t="shared" si="1071"/>
        <v>0.10293577981651376</v>
      </c>
      <c r="N681" s="15"/>
      <c r="O681" s="2"/>
      <c r="P681" s="79">
        <f>IF(A681="","",A681)</f>
        <v>45891</v>
      </c>
      <c r="Q681" s="53">
        <v>805</v>
      </c>
      <c r="R681" s="127">
        <f t="shared" si="1072"/>
        <v>57</v>
      </c>
      <c r="S681" s="53">
        <v>59</v>
      </c>
      <c r="T681" s="31">
        <f t="shared" si="1073"/>
        <v>1</v>
      </c>
      <c r="U681" s="53">
        <v>9</v>
      </c>
      <c r="V681" s="53">
        <f t="shared" si="1074"/>
        <v>2</v>
      </c>
      <c r="W681" s="80">
        <v>3</v>
      </c>
      <c r="X681" s="75" t="s">
        <v>254</v>
      </c>
      <c r="Y681" s="76">
        <v>1100</v>
      </c>
      <c r="Z681" s="31">
        <f t="shared" si="1077"/>
        <v>2200</v>
      </c>
      <c r="AA681" s="32">
        <f t="shared" si="1078"/>
        <v>0.38596491228070173</v>
      </c>
      <c r="AB681" s="15" t="s">
        <v>256</v>
      </c>
      <c r="AC681" s="15"/>
      <c r="AD681" s="79">
        <f>IF($A681="","",$A681)</f>
        <v>45891</v>
      </c>
      <c r="AE681" s="53">
        <v>6746</v>
      </c>
      <c r="AF681" s="53">
        <f t="shared" si="1079"/>
        <v>37</v>
      </c>
      <c r="AG681" s="53">
        <v>132</v>
      </c>
      <c r="AH681" s="31">
        <f t="shared" si="1080"/>
        <v>0</v>
      </c>
      <c r="AI681" s="53">
        <v>36</v>
      </c>
      <c r="AJ681" s="53">
        <f t="shared" si="1081"/>
        <v>0</v>
      </c>
      <c r="AK681" s="80">
        <v>36</v>
      </c>
      <c r="AL681" s="75" t="str">
        <f t="shared" si="1095"/>
        <v>ミニ香水</v>
      </c>
      <c r="AM681" s="76">
        <f t="shared" si="1096"/>
        <v>1100</v>
      </c>
      <c r="AN681" s="31">
        <f>IF(AI681="","",AJ681*AM681)</f>
        <v>0</v>
      </c>
      <c r="AO681" s="32">
        <f t="shared" si="1084"/>
        <v>0</v>
      </c>
      <c r="AP681" s="15" t="s">
        <v>161</v>
      </c>
      <c r="AQ681" s="15"/>
      <c r="AR681" s="79">
        <f>IF($A681="","",$A681)</f>
        <v>45891</v>
      </c>
      <c r="AS681" s="53">
        <v>7453</v>
      </c>
      <c r="AT681" s="53">
        <f t="shared" si="1085"/>
        <v>68</v>
      </c>
      <c r="AU681" s="53">
        <v>230</v>
      </c>
      <c r="AV681" s="31">
        <f t="shared" si="1086"/>
        <v>1</v>
      </c>
      <c r="AW681" s="53">
        <v>14</v>
      </c>
      <c r="AX681" s="53">
        <f t="shared" si="1087"/>
        <v>1</v>
      </c>
      <c r="AY681" s="80">
        <v>0</v>
      </c>
      <c r="AZ681" s="75" t="str">
        <f t="shared" si="1088"/>
        <v>こびとづかんキーケース</v>
      </c>
      <c r="BA681" s="76">
        <f t="shared" si="1089"/>
        <v>726</v>
      </c>
      <c r="BB681" s="31">
        <f t="shared" si="1090"/>
        <v>726</v>
      </c>
      <c r="BC681" s="32">
        <f t="shared" si="1091"/>
        <v>0.10676470588235294</v>
      </c>
      <c r="BD681" s="15"/>
      <c r="BT681" s="15"/>
      <c r="BU681" s="79" t="str">
        <f>IF($A717="","",$A717)</f>
        <v/>
      </c>
      <c r="BV681" s="17"/>
      <c r="BW681" s="13"/>
      <c r="BX681" s="13"/>
      <c r="BY681" s="13"/>
      <c r="BZ681" s="13"/>
      <c r="CA681" s="13"/>
      <c r="CB681" s="13"/>
      <c r="CC681" s="53"/>
      <c r="CD681" s="53"/>
      <c r="CE681" s="13"/>
      <c r="CF681" s="14"/>
      <c r="CG681" s="15"/>
      <c r="CH681" s="1"/>
      <c r="CI681" s="79"/>
      <c r="CJ681" s="17"/>
      <c r="CK681" s="87"/>
      <c r="CL681" s="13"/>
      <c r="CM681" s="13"/>
      <c r="CN681" s="13"/>
      <c r="CO681" s="13"/>
      <c r="CP681" s="13"/>
      <c r="CQ681" s="53"/>
      <c r="CR681" s="53"/>
      <c r="CS681" s="13"/>
      <c r="CT681" s="14"/>
      <c r="CU681" s="15"/>
      <c r="CV681" s="1"/>
      <c r="CW681" s="79"/>
      <c r="CX681" s="17"/>
      <c r="CY681" s="87"/>
      <c r="CZ681" s="13"/>
      <c r="DA681" s="13"/>
      <c r="DB681" s="13"/>
      <c r="DC681" s="13"/>
      <c r="DD681" s="13"/>
      <c r="DE681" s="53"/>
      <c r="DF681" s="53"/>
      <c r="DG681" s="13"/>
      <c r="DH681" s="14"/>
      <c r="DI681" s="15"/>
      <c r="DJ681" s="1"/>
      <c r="DK681" s="79"/>
      <c r="DL681" s="17"/>
      <c r="DM681" s="13"/>
      <c r="DN681" s="13"/>
      <c r="DO681" s="13"/>
      <c r="DP681" s="13"/>
      <c r="DQ681" s="13"/>
      <c r="DR681" s="13"/>
      <c r="DS681" s="53"/>
      <c r="DT681" s="53"/>
      <c r="DU681" s="13"/>
      <c r="DV681" s="14"/>
      <c r="DW681" s="15"/>
    </row>
    <row r="682" spans="1:127" x14ac:dyDescent="0.2">
      <c r="A682" s="16"/>
      <c r="B682" s="11"/>
      <c r="C682" s="13">
        <v>1092</v>
      </c>
      <c r="D682" s="53">
        <f t="shared" si="1068"/>
        <v>91</v>
      </c>
      <c r="E682" s="13">
        <v>255</v>
      </c>
      <c r="F682" s="13">
        <f t="shared" si="1069"/>
        <v>7</v>
      </c>
      <c r="G682" s="13">
        <v>45</v>
      </c>
      <c r="H682" s="13">
        <f t="shared" si="1092"/>
        <v>8</v>
      </c>
      <c r="I682" s="17">
        <v>0</v>
      </c>
      <c r="J682" s="56" t="str">
        <f t="shared" si="1093"/>
        <v>ジャグラーコインホルダー</v>
      </c>
      <c r="K682" s="54">
        <f t="shared" si="1094"/>
        <v>220</v>
      </c>
      <c r="L682" s="13">
        <f t="shared" si="1070"/>
        <v>1760</v>
      </c>
      <c r="M682" s="14">
        <f t="shared" si="1071"/>
        <v>0.19340659340659341</v>
      </c>
      <c r="N682" s="15"/>
      <c r="O682" s="2"/>
      <c r="P682" s="16"/>
      <c r="Q682" s="13">
        <v>1331</v>
      </c>
      <c r="R682" s="53">
        <f t="shared" si="1072"/>
        <v>82</v>
      </c>
      <c r="S682" s="13">
        <v>44</v>
      </c>
      <c r="T682" s="13">
        <f t="shared" si="1073"/>
        <v>4</v>
      </c>
      <c r="U682" s="13">
        <v>2</v>
      </c>
      <c r="V682" s="13">
        <f t="shared" si="1074"/>
        <v>5</v>
      </c>
      <c r="W682" s="17">
        <v>5</v>
      </c>
      <c r="X682" s="56" t="str">
        <f t="shared" si="1075"/>
        <v>サンリオFAN</v>
      </c>
      <c r="Y682" s="54">
        <f t="shared" si="1076"/>
        <v>1100</v>
      </c>
      <c r="Z682" s="13">
        <f t="shared" si="1077"/>
        <v>5500</v>
      </c>
      <c r="AA682" s="14">
        <f t="shared" si="1078"/>
        <v>0.67073170731707321</v>
      </c>
      <c r="AB682" s="15"/>
      <c r="AC682" s="15"/>
      <c r="AD682" s="16"/>
      <c r="AE682" s="13">
        <v>5926</v>
      </c>
      <c r="AF682" s="53">
        <f t="shared" si="1079"/>
        <v>81</v>
      </c>
      <c r="AG682" s="13">
        <v>135</v>
      </c>
      <c r="AH682" s="13">
        <f t="shared" si="1080"/>
        <v>2</v>
      </c>
      <c r="AI682" s="13">
        <v>17</v>
      </c>
      <c r="AJ682" s="13">
        <f t="shared" si="1081"/>
        <v>2</v>
      </c>
      <c r="AK682" s="17">
        <v>0</v>
      </c>
      <c r="AL682" s="56" t="str">
        <f t="shared" si="1095"/>
        <v>デジタルミニカメラ</v>
      </c>
      <c r="AM682" s="54">
        <f t="shared" si="1096"/>
        <v>800</v>
      </c>
      <c r="AN682" s="13">
        <f t="shared" si="1083"/>
        <v>1600</v>
      </c>
      <c r="AO682" s="14">
        <f t="shared" si="1084"/>
        <v>0.19753086419753085</v>
      </c>
      <c r="AP682" s="15"/>
      <c r="AQ682" s="15"/>
      <c r="AR682" s="16"/>
      <c r="AS682" s="13">
        <v>4927</v>
      </c>
      <c r="AT682" s="53">
        <f t="shared" si="1085"/>
        <v>92</v>
      </c>
      <c r="AU682" s="13">
        <v>259</v>
      </c>
      <c r="AV682" s="13">
        <f t="shared" si="1086"/>
        <v>2</v>
      </c>
      <c r="AW682" s="13">
        <v>26</v>
      </c>
      <c r="AX682" s="13">
        <f t="shared" si="1087"/>
        <v>2</v>
      </c>
      <c r="AY682" s="17">
        <v>0</v>
      </c>
      <c r="AZ682" s="56" t="str">
        <f t="shared" si="1088"/>
        <v>ねこアイシャドウ</v>
      </c>
      <c r="BA682" s="54">
        <f t="shared" si="1089"/>
        <v>1000</v>
      </c>
      <c r="BB682" s="13">
        <f t="shared" si="1090"/>
        <v>2000</v>
      </c>
      <c r="BC682" s="14">
        <f t="shared" si="1091"/>
        <v>0.21739130434782608</v>
      </c>
      <c r="BD682" s="15"/>
      <c r="BT682" s="15"/>
      <c r="BU682" s="79" t="str">
        <f>IF($A688="","",$A688)</f>
        <v/>
      </c>
      <c r="BV682" s="13"/>
      <c r="BW682" s="13" t="str">
        <f t="shared" si="1044"/>
        <v/>
      </c>
      <c r="BX682" s="13"/>
      <c r="BY682" s="13" t="str">
        <f t="shared" si="1045"/>
        <v/>
      </c>
      <c r="BZ682" s="13"/>
      <c r="CA682" s="13" t="str">
        <f t="shared" si="1046"/>
        <v/>
      </c>
      <c r="CB682" s="13"/>
      <c r="CC682" s="53"/>
      <c r="CD682" s="53" t="str">
        <f t="shared" si="1047"/>
        <v/>
      </c>
      <c r="CE682" s="13" t="str">
        <f t="shared" si="1048"/>
        <v/>
      </c>
      <c r="CF682" s="14" t="str">
        <f>IF(CE682="","",CE682/(BV682*100))</f>
        <v/>
      </c>
      <c r="CG682" s="67"/>
      <c r="CH682" s="1"/>
      <c r="CI682" s="79" t="str">
        <f>IF($A688="","",$A688)</f>
        <v/>
      </c>
      <c r="CJ682" s="13"/>
      <c r="CK682" s="13" t="str">
        <f t="shared" si="1050"/>
        <v/>
      </c>
      <c r="CL682" s="13"/>
      <c r="CM682" s="13" t="str">
        <f t="shared" si="1051"/>
        <v/>
      </c>
      <c r="CN682" s="13"/>
      <c r="CO682" s="13" t="str">
        <f t="shared" si="1052"/>
        <v/>
      </c>
      <c r="CP682" s="13"/>
      <c r="CQ682" s="53"/>
      <c r="CR682" s="53" t="str">
        <f t="shared" si="1053"/>
        <v/>
      </c>
      <c r="CS682" s="13" t="str">
        <f t="shared" si="1054"/>
        <v/>
      </c>
      <c r="CT682" s="14" t="str">
        <f t="shared" si="1055"/>
        <v/>
      </c>
      <c r="CU682" s="15"/>
      <c r="CV682" s="1"/>
      <c r="CW682" s="79" t="str">
        <f>IF($A688="","",$A688)</f>
        <v/>
      </c>
      <c r="CX682" s="13"/>
      <c r="CY682" s="13" t="str">
        <f t="shared" si="1056"/>
        <v/>
      </c>
      <c r="CZ682" s="13"/>
      <c r="DA682" s="13" t="str">
        <f t="shared" si="1057"/>
        <v/>
      </c>
      <c r="DB682" s="13"/>
      <c r="DC682" s="13" t="str">
        <f t="shared" si="1058"/>
        <v/>
      </c>
      <c r="DD682" s="13"/>
      <c r="DE682" s="53"/>
      <c r="DF682" s="53" t="str">
        <f t="shared" si="1059"/>
        <v/>
      </c>
      <c r="DG682" s="13" t="str">
        <f t="shared" si="1060"/>
        <v/>
      </c>
      <c r="DH682" s="14" t="str">
        <f t="shared" si="1061"/>
        <v/>
      </c>
      <c r="DI682" s="15"/>
      <c r="DJ682" s="1"/>
      <c r="DK682" s="79" t="str">
        <f>IF($A688="","",$A688)</f>
        <v/>
      </c>
      <c r="DL682" s="13"/>
      <c r="DM682" s="13" t="str">
        <f t="shared" si="1062"/>
        <v/>
      </c>
      <c r="DN682" s="13"/>
      <c r="DO682" s="13" t="str">
        <f t="shared" si="1063"/>
        <v/>
      </c>
      <c r="DP682" s="13"/>
      <c r="DQ682" s="13" t="str">
        <f t="shared" si="1064"/>
        <v/>
      </c>
      <c r="DR682" s="13"/>
      <c r="DS682" s="53"/>
      <c r="DT682" s="53" t="str">
        <f t="shared" si="1065"/>
        <v/>
      </c>
      <c r="DU682" s="13" t="str">
        <f t="shared" si="1066"/>
        <v/>
      </c>
      <c r="DV682" s="14" t="str">
        <f t="shared" si="1067"/>
        <v/>
      </c>
      <c r="DW682" s="15"/>
    </row>
    <row r="683" spans="1:127" x14ac:dyDescent="0.2">
      <c r="A683" s="33"/>
      <c r="B683" s="48"/>
      <c r="C683" s="34">
        <v>3921</v>
      </c>
      <c r="D683" s="53">
        <f t="shared" si="1068"/>
        <v>229</v>
      </c>
      <c r="E683" s="34">
        <v>334</v>
      </c>
      <c r="F683" s="13">
        <f t="shared" si="1069"/>
        <v>5</v>
      </c>
      <c r="G683" s="34">
        <v>83</v>
      </c>
      <c r="H683" s="13">
        <f t="shared" si="1092"/>
        <v>12</v>
      </c>
      <c r="I683" s="49">
        <v>8</v>
      </c>
      <c r="J683" s="56" t="str">
        <f t="shared" si="1093"/>
        <v>AIモンスタラバー</v>
      </c>
      <c r="K683" s="13">
        <f t="shared" si="1094"/>
        <v>200</v>
      </c>
      <c r="L683" s="13">
        <f t="shared" si="1070"/>
        <v>2400</v>
      </c>
      <c r="M683" s="14">
        <f t="shared" si="1071"/>
        <v>0.10480349344978165</v>
      </c>
      <c r="N683" s="15"/>
      <c r="O683" s="2"/>
      <c r="P683" s="33"/>
      <c r="Q683" s="34">
        <v>1775</v>
      </c>
      <c r="R683" s="53">
        <f t="shared" si="1072"/>
        <v>207</v>
      </c>
      <c r="S683" s="34">
        <v>21</v>
      </c>
      <c r="T683" s="13">
        <f t="shared" si="1073"/>
        <v>4</v>
      </c>
      <c r="U683" s="34">
        <v>4</v>
      </c>
      <c r="V683" s="13">
        <f t="shared" si="1074"/>
        <v>3</v>
      </c>
      <c r="W683" s="49">
        <v>1</v>
      </c>
      <c r="X683" s="56" t="str">
        <f t="shared" si="1075"/>
        <v>キティフェイスポーチ</v>
      </c>
      <c r="Y683" s="13">
        <f t="shared" si="1076"/>
        <v>957</v>
      </c>
      <c r="Z683" s="13">
        <f t="shared" si="1077"/>
        <v>2871</v>
      </c>
      <c r="AA683" s="14">
        <f t="shared" si="1078"/>
        <v>0.13869565217391305</v>
      </c>
      <c r="AB683" s="15"/>
      <c r="AC683" s="15"/>
      <c r="AD683" s="33"/>
      <c r="AE683" s="34">
        <v>6486</v>
      </c>
      <c r="AF683" s="53">
        <f t="shared" si="1079"/>
        <v>43</v>
      </c>
      <c r="AG683" s="34">
        <v>249</v>
      </c>
      <c r="AH683" s="13">
        <f t="shared" si="1080"/>
        <v>2</v>
      </c>
      <c r="AI683" s="34">
        <v>0</v>
      </c>
      <c r="AJ683" s="13">
        <f t="shared" si="1081"/>
        <v>2</v>
      </c>
      <c r="AK683" s="49">
        <v>3</v>
      </c>
      <c r="AL683" s="56" t="str">
        <f t="shared" si="1095"/>
        <v>ジョージファン</v>
      </c>
      <c r="AM683" s="13">
        <f t="shared" si="1096"/>
        <v>1050</v>
      </c>
      <c r="AN683" s="13">
        <f t="shared" si="1083"/>
        <v>2100</v>
      </c>
      <c r="AO683" s="14">
        <f t="shared" si="1084"/>
        <v>0.48837209302325579</v>
      </c>
      <c r="AP683" s="15" t="s">
        <v>50</v>
      </c>
      <c r="AQ683" s="15"/>
      <c r="AR683" s="33"/>
      <c r="AS683" s="34">
        <v>8319</v>
      </c>
      <c r="AT683" s="53">
        <f t="shared" si="1085"/>
        <v>162</v>
      </c>
      <c r="AU683" s="34">
        <v>345</v>
      </c>
      <c r="AV683" s="13">
        <f t="shared" si="1086"/>
        <v>8</v>
      </c>
      <c r="AW683" s="34">
        <v>160</v>
      </c>
      <c r="AX683" s="13">
        <f t="shared" si="1087"/>
        <v>10</v>
      </c>
      <c r="AY683" s="49">
        <v>0</v>
      </c>
      <c r="AZ683" s="56" t="str">
        <f t="shared" si="1088"/>
        <v>SPGラバーキーホルダー</v>
      </c>
      <c r="BA683" s="13">
        <f t="shared" si="1089"/>
        <v>200</v>
      </c>
      <c r="BB683" s="13">
        <f t="shared" si="1090"/>
        <v>2000</v>
      </c>
      <c r="BC683" s="14">
        <f t="shared" si="1091"/>
        <v>0.12345679012345678</v>
      </c>
      <c r="BD683" s="15"/>
      <c r="BT683" s="15"/>
      <c r="BU683" s="79" t="e">
        <f>IF(#REF!="","",#REF!)</f>
        <v>#REF!</v>
      </c>
      <c r="BV683" s="13"/>
      <c r="BW683" s="13"/>
      <c r="BX683" s="13"/>
      <c r="BY683" s="13"/>
      <c r="BZ683" s="13"/>
      <c r="CA683" s="13"/>
      <c r="CB683" s="13"/>
      <c r="CC683" s="53"/>
      <c r="CD683" s="53"/>
      <c r="CE683" s="13"/>
      <c r="CF683" s="14" t="str">
        <f>IF(CE683="","",CE683/(BV683*100))</f>
        <v/>
      </c>
      <c r="CG683" s="67"/>
      <c r="CH683" s="1"/>
      <c r="CI683" s="79" t="e">
        <f>IF(#REF!="","",#REF!)</f>
        <v>#REF!</v>
      </c>
      <c r="CJ683" s="13"/>
      <c r="CK683" s="13"/>
      <c r="CL683" s="13"/>
      <c r="CM683" s="13"/>
      <c r="CN683" s="13"/>
      <c r="CO683" s="13"/>
      <c r="CP683" s="13"/>
      <c r="CQ683" s="53"/>
      <c r="CR683" s="53"/>
      <c r="CS683" s="13"/>
      <c r="CT683" s="14" t="str">
        <f t="shared" si="1055"/>
        <v/>
      </c>
      <c r="CU683" s="15"/>
      <c r="CV683" s="1"/>
      <c r="CW683" s="79" t="e">
        <f>IF(#REF!="","",#REF!)</f>
        <v>#REF!</v>
      </c>
      <c r="CX683" s="13"/>
      <c r="CY683" s="13"/>
      <c r="CZ683" s="13"/>
      <c r="DA683" s="13"/>
      <c r="DB683" s="13"/>
      <c r="DC683" s="13"/>
      <c r="DD683" s="13"/>
      <c r="DE683" s="53"/>
      <c r="DF683" s="53"/>
      <c r="DG683" s="13"/>
      <c r="DH683" s="14"/>
      <c r="DI683" s="15"/>
      <c r="DJ683" s="1"/>
      <c r="DK683" s="79" t="e">
        <f>IF(#REF!="","",#REF!)</f>
        <v>#REF!</v>
      </c>
      <c r="DL683" s="13"/>
      <c r="DM683" s="13"/>
      <c r="DN683" s="13"/>
      <c r="DO683" s="13"/>
      <c r="DP683" s="13"/>
      <c r="DQ683" s="13"/>
      <c r="DR683" s="13"/>
      <c r="DS683" s="53"/>
      <c r="DT683" s="53"/>
      <c r="DU683" s="13"/>
      <c r="DV683" s="14"/>
      <c r="DW683" s="15"/>
    </row>
    <row r="684" spans="1:127" ht="15" customHeight="1" thickBot="1" x14ac:dyDescent="0.25">
      <c r="A684" s="26"/>
      <c r="B684" s="46"/>
      <c r="C684" s="27">
        <v>1902</v>
      </c>
      <c r="D684" s="61">
        <f t="shared" si="1068"/>
        <v>222</v>
      </c>
      <c r="E684" s="27">
        <v>327</v>
      </c>
      <c r="F684" s="27">
        <f t="shared" si="1069"/>
        <v>6</v>
      </c>
      <c r="G684" s="27">
        <v>28</v>
      </c>
      <c r="H684" s="27">
        <f t="shared" si="1092"/>
        <v>7</v>
      </c>
      <c r="I684" s="47">
        <v>0</v>
      </c>
      <c r="J684" s="57" t="str">
        <f t="shared" si="1093"/>
        <v>NICIマスコット</v>
      </c>
      <c r="K684" s="62">
        <f t="shared" si="1094"/>
        <v>682</v>
      </c>
      <c r="L684" s="27">
        <f t="shared" si="1070"/>
        <v>4774</v>
      </c>
      <c r="M684" s="28">
        <f t="shared" si="1071"/>
        <v>0.21504504504504504</v>
      </c>
      <c r="N684" s="15"/>
      <c r="O684" s="2"/>
      <c r="P684" s="26"/>
      <c r="Q684" s="27">
        <v>1733</v>
      </c>
      <c r="R684" s="61">
        <f t="shared" si="1072"/>
        <v>226</v>
      </c>
      <c r="S684" s="27">
        <v>35</v>
      </c>
      <c r="T684" s="27">
        <f t="shared" si="1073"/>
        <v>5</v>
      </c>
      <c r="U684" s="27">
        <v>12</v>
      </c>
      <c r="V684" s="27">
        <f t="shared" si="1074"/>
        <v>3</v>
      </c>
      <c r="W684" s="47">
        <v>3</v>
      </c>
      <c r="X684" s="57" t="str">
        <f t="shared" si="1075"/>
        <v>ＡＩマスコット</v>
      </c>
      <c r="Y684" s="62">
        <f t="shared" si="1076"/>
        <v>286</v>
      </c>
      <c r="Z684" s="27">
        <f t="shared" si="1077"/>
        <v>858</v>
      </c>
      <c r="AA684" s="28">
        <f t="shared" si="1078"/>
        <v>3.7964601769911503E-2</v>
      </c>
      <c r="AB684" s="15"/>
      <c r="AC684" s="15"/>
      <c r="AD684" s="26"/>
      <c r="AE684" s="27">
        <v>6815</v>
      </c>
      <c r="AF684" s="61">
        <f t="shared" si="1079"/>
        <v>199</v>
      </c>
      <c r="AG684" s="27">
        <v>199</v>
      </c>
      <c r="AH684" s="27">
        <f t="shared" si="1080"/>
        <v>4</v>
      </c>
      <c r="AI684" s="27">
        <v>11</v>
      </c>
      <c r="AJ684" s="27">
        <f t="shared" si="1081"/>
        <v>4</v>
      </c>
      <c r="AK684" s="47">
        <v>2</v>
      </c>
      <c r="AL684" s="57" t="str">
        <f t="shared" si="1095"/>
        <v>しなこくま</v>
      </c>
      <c r="AM684" s="62">
        <f t="shared" si="1096"/>
        <v>528</v>
      </c>
      <c r="AN684" s="27">
        <f t="shared" si="1083"/>
        <v>2112</v>
      </c>
      <c r="AO684" s="28">
        <f t="shared" si="1084"/>
        <v>0.10613065326633166</v>
      </c>
      <c r="AP684" s="15"/>
      <c r="AQ684" s="15"/>
      <c r="AR684" s="26"/>
      <c r="AS684" s="27">
        <v>7476</v>
      </c>
      <c r="AT684" s="61">
        <f t="shared" si="1085"/>
        <v>59</v>
      </c>
      <c r="AU684" s="27">
        <v>315</v>
      </c>
      <c r="AV684" s="27">
        <f t="shared" si="1086"/>
        <v>8</v>
      </c>
      <c r="AW684" s="27">
        <v>72</v>
      </c>
      <c r="AX684" s="27">
        <f t="shared" si="1087"/>
        <v>8</v>
      </c>
      <c r="AY684" s="47">
        <v>-56</v>
      </c>
      <c r="AZ684" s="57" t="str">
        <f t="shared" si="1088"/>
        <v>キティサンダルキーホルダー</v>
      </c>
      <c r="BA684" s="62">
        <f t="shared" si="1089"/>
        <v>600</v>
      </c>
      <c r="BB684" s="27">
        <f t="shared" si="1090"/>
        <v>4800</v>
      </c>
      <c r="BC684" s="28">
        <f t="shared" si="1091"/>
        <v>0.81355932203389836</v>
      </c>
      <c r="BD684" s="15" t="s">
        <v>257</v>
      </c>
      <c r="BT684" s="15"/>
      <c r="BU684" s="79" t="e">
        <f>IF(#REF!="","",#REF!)</f>
        <v>#REF!</v>
      </c>
      <c r="BV684" s="13"/>
      <c r="BW684" s="13" t="str">
        <f>IF(BV684="","",BV684-BV685)</f>
        <v/>
      </c>
      <c r="BX684" s="13"/>
      <c r="BY684" s="13" t="str">
        <f>IF(BX684="","",BX684-BX685)</f>
        <v/>
      </c>
      <c r="BZ684" s="13"/>
      <c r="CA684" s="13" t="str">
        <f>IF(BZ684="","",BZ685+CB685-BZ684)</f>
        <v/>
      </c>
      <c r="CB684" s="13"/>
      <c r="CC684" s="53"/>
      <c r="CD684" s="53" t="str">
        <f>IF(BV684="","",CD685)</f>
        <v/>
      </c>
      <c r="CE684" s="13" t="str">
        <f t="shared" ref="CE684:CE716" si="1097">IF(CD684="","",CA684*CD684)</f>
        <v/>
      </c>
      <c r="CF684" s="14" t="str">
        <f t="shared" ref="CF684:CF716" si="1098">IF(CE684="","",CE684/(BW684*100))</f>
        <v/>
      </c>
      <c r="CG684" s="67"/>
      <c r="CH684" s="1"/>
      <c r="CI684" s="79" t="e">
        <f>IF(#REF!="","",#REF!)</f>
        <v>#REF!</v>
      </c>
      <c r="CJ684" s="13"/>
      <c r="CK684" s="13" t="str">
        <f>IF(CJ684="","",CJ684-CJ685)</f>
        <v/>
      </c>
      <c r="CL684" s="13"/>
      <c r="CM684" s="13" t="str">
        <f>IF(CL684="","",CL684-CL685)</f>
        <v/>
      </c>
      <c r="CN684" s="13"/>
      <c r="CO684" s="13" t="str">
        <f>IF(CN684="","",CN685+CP685-CN684)</f>
        <v/>
      </c>
      <c r="CP684" s="13"/>
      <c r="CQ684" s="53"/>
      <c r="CR684" s="53" t="str">
        <f>IF(CJ684="","",CR685)</f>
        <v/>
      </c>
      <c r="CS684" s="13" t="str">
        <f t="shared" ref="CS684:CS716" si="1099">IF(CR684="","",CO684*CR684)</f>
        <v/>
      </c>
      <c r="CT684" s="14" t="str">
        <f t="shared" si="1055"/>
        <v/>
      </c>
      <c r="CU684" s="15"/>
      <c r="CV684" s="1"/>
      <c r="CW684" s="79" t="e">
        <f>IF(#REF!="","",#REF!)</f>
        <v>#REF!</v>
      </c>
      <c r="CX684" s="13"/>
      <c r="CY684" s="13" t="str">
        <f>IF(CX684="","",CX684-CX685)</f>
        <v/>
      </c>
      <c r="CZ684" s="13"/>
      <c r="DA684" s="13" t="str">
        <f>IF(CZ684="","",CZ684-CZ685)</f>
        <v/>
      </c>
      <c r="DB684" s="13"/>
      <c r="DC684" s="13" t="str">
        <f>IF(DB684="","",DB685+DD685-DB684)</f>
        <v/>
      </c>
      <c r="DD684" s="13"/>
      <c r="DE684" s="53"/>
      <c r="DF684" s="53" t="str">
        <f>IF(CX684="","",DF685)</f>
        <v/>
      </c>
      <c r="DG684" s="13" t="str">
        <f t="shared" ref="DG684:DG716" si="1100">IF(DF684="","",DC684*DF684)</f>
        <v/>
      </c>
      <c r="DH684" s="14" t="str">
        <f t="shared" ref="DH684:DH716" si="1101">IF(DG684="","",DG684/(CY684*100))</f>
        <v/>
      </c>
      <c r="DI684" s="15"/>
      <c r="DJ684" s="1"/>
      <c r="DK684" s="79" t="e">
        <f>IF(#REF!="","",#REF!)</f>
        <v>#REF!</v>
      </c>
      <c r="DL684" s="13"/>
      <c r="DM684" s="13" t="str">
        <f>IF(DL684="","",DL684-DL685)</f>
        <v/>
      </c>
      <c r="DN684" s="13"/>
      <c r="DO684" s="13" t="str">
        <f>IF(DN684="","",DN684-DN685)</f>
        <v/>
      </c>
      <c r="DP684" s="13"/>
      <c r="DQ684" s="13" t="str">
        <f>IF(DP684="","",DP685+DR685-DP684)</f>
        <v/>
      </c>
      <c r="DR684" s="13"/>
      <c r="DS684" s="53"/>
      <c r="DT684" s="53" t="str">
        <f>IF(DL684="","",DT685)</f>
        <v/>
      </c>
      <c r="DU684" s="13" t="str">
        <f t="shared" ref="DU684:DU716" si="1102">IF(DT684="","",DQ684*DT684)</f>
        <v/>
      </c>
      <c r="DV684" s="14" t="str">
        <f t="shared" ref="DV684:DV716" si="1103">IF(DU684="","",DU684/(DM684*100))</f>
        <v/>
      </c>
      <c r="DW684" s="15"/>
    </row>
    <row r="685" spans="1:127" ht="15" customHeight="1" thickTop="1" x14ac:dyDescent="0.2">
      <c r="A685" s="79">
        <v>45894</v>
      </c>
      <c r="B685" s="74">
        <f>IF(A685="","",SUM(D685:D688)+SUM(R685:R688)+SUM(AF685:AF688)+SUM(AT685:AT688)+SUM(BW673,CK673,CY673,DM673))</f>
        <v>3495</v>
      </c>
      <c r="C685" s="53">
        <v>1513</v>
      </c>
      <c r="D685" s="53">
        <f t="shared" si="1068"/>
        <v>149</v>
      </c>
      <c r="E685" s="53">
        <v>274</v>
      </c>
      <c r="F685" s="31">
        <f t="shared" si="1069"/>
        <v>3</v>
      </c>
      <c r="G685" s="53">
        <v>10</v>
      </c>
      <c r="H685" s="53">
        <f t="shared" si="1092"/>
        <v>4</v>
      </c>
      <c r="I685" s="80">
        <v>4</v>
      </c>
      <c r="J685" s="75" t="str">
        <f t="shared" si="1093"/>
        <v>ジャグラーサウンドボタン</v>
      </c>
      <c r="K685" s="76">
        <f t="shared" si="1094"/>
        <v>748</v>
      </c>
      <c r="L685" s="31">
        <f t="shared" si="1070"/>
        <v>2992</v>
      </c>
      <c r="M685" s="32">
        <f t="shared" si="1071"/>
        <v>0.20080536912751679</v>
      </c>
      <c r="N685" s="15"/>
      <c r="O685" s="2"/>
      <c r="P685" s="79">
        <f>IF($A685="","",$A685)</f>
        <v>45894</v>
      </c>
      <c r="Q685" s="53">
        <v>845</v>
      </c>
      <c r="R685" s="127">
        <f t="shared" si="1072"/>
        <v>40</v>
      </c>
      <c r="S685" s="53">
        <v>60</v>
      </c>
      <c r="T685" s="31">
        <f t="shared" si="1073"/>
        <v>1</v>
      </c>
      <c r="U685" s="53">
        <v>11</v>
      </c>
      <c r="V685" s="53">
        <f t="shared" si="1074"/>
        <v>1</v>
      </c>
      <c r="W685" s="80">
        <v>4</v>
      </c>
      <c r="X685" s="75" t="str">
        <f t="shared" si="1075"/>
        <v>ガーナイヤホン</v>
      </c>
      <c r="Y685" s="76">
        <f t="shared" si="1076"/>
        <v>1100</v>
      </c>
      <c r="Z685" s="31">
        <f t="shared" si="1077"/>
        <v>1100</v>
      </c>
      <c r="AA685" s="32">
        <f t="shared" si="1078"/>
        <v>0.27500000000000002</v>
      </c>
      <c r="AB685" s="15" t="s">
        <v>262</v>
      </c>
      <c r="AC685" s="15"/>
      <c r="AD685" s="79">
        <f>IF($A685="","",$A685)</f>
        <v>45894</v>
      </c>
      <c r="AE685" s="53">
        <v>6896</v>
      </c>
      <c r="AF685" s="53">
        <f t="shared" si="1079"/>
        <v>150</v>
      </c>
      <c r="AG685" s="53">
        <v>143</v>
      </c>
      <c r="AH685" s="31">
        <f t="shared" si="1080"/>
        <v>11</v>
      </c>
      <c r="AI685" s="53">
        <v>50</v>
      </c>
      <c r="AJ685" s="129">
        <f t="shared" si="1081"/>
        <v>22</v>
      </c>
      <c r="AK685" s="80">
        <v>0</v>
      </c>
      <c r="AL685" s="75" t="s">
        <v>259</v>
      </c>
      <c r="AM685" s="76">
        <v>600</v>
      </c>
      <c r="AN685" s="31">
        <f t="shared" si="1083"/>
        <v>13200</v>
      </c>
      <c r="AO685" s="32">
        <f t="shared" si="1084"/>
        <v>0.88</v>
      </c>
      <c r="AP685" s="15"/>
      <c r="AQ685" s="15"/>
      <c r="AR685" s="79">
        <f>IF($A685="","",$A685)</f>
        <v>45894</v>
      </c>
      <c r="AS685" s="53">
        <v>7568</v>
      </c>
      <c r="AT685" s="53">
        <f t="shared" si="1085"/>
        <v>115</v>
      </c>
      <c r="AU685" s="53">
        <v>231</v>
      </c>
      <c r="AV685" s="31">
        <f t="shared" si="1086"/>
        <v>1</v>
      </c>
      <c r="AW685" s="53">
        <v>13</v>
      </c>
      <c r="AX685" s="53">
        <f t="shared" si="1087"/>
        <v>1</v>
      </c>
      <c r="AY685" s="80">
        <v>4</v>
      </c>
      <c r="AZ685" s="75" t="str">
        <f t="shared" si="1088"/>
        <v>こびとづかんキーケース</v>
      </c>
      <c r="BA685" s="76">
        <f t="shared" si="1089"/>
        <v>726</v>
      </c>
      <c r="BB685" s="31">
        <f t="shared" si="1090"/>
        <v>726</v>
      </c>
      <c r="BC685" s="32">
        <f t="shared" si="1091"/>
        <v>6.3130434782608699E-2</v>
      </c>
      <c r="BD685" s="15"/>
      <c r="BT685" s="15"/>
      <c r="BU685" s="79" t="e">
        <f>IF(#REF!="","",#REF!)</f>
        <v>#REF!</v>
      </c>
      <c r="BV685" s="13"/>
      <c r="BW685" s="13" t="str">
        <f>IF(BV685="","",BV685-BV682)</f>
        <v/>
      </c>
      <c r="BX685" s="13"/>
      <c r="BY685" s="13" t="str">
        <f>IF(BX685="","",BX685-BX682)</f>
        <v/>
      </c>
      <c r="BZ685" s="13"/>
      <c r="CA685" s="13" t="str">
        <f>IF(BZ685="","",BZ682+CB682-BZ685)</f>
        <v/>
      </c>
      <c r="CB685" s="13"/>
      <c r="CC685" s="53"/>
      <c r="CD685" s="53" t="str">
        <f>IF(BV685="","",CD682)</f>
        <v/>
      </c>
      <c r="CE685" s="13" t="str">
        <f t="shared" si="1097"/>
        <v/>
      </c>
      <c r="CF685" s="14" t="str">
        <f t="shared" si="1098"/>
        <v/>
      </c>
      <c r="CG685" s="67"/>
      <c r="CH685" s="1"/>
      <c r="CI685" s="79" t="e">
        <f>IF(#REF!="","",#REF!)</f>
        <v>#REF!</v>
      </c>
      <c r="CJ685" s="13"/>
      <c r="CK685" s="13" t="str">
        <f>IF(CJ685="","",CJ685-CJ682)</f>
        <v/>
      </c>
      <c r="CL685" s="13"/>
      <c r="CM685" s="13" t="str">
        <f>IF(CL685="","",CL685-CL682)</f>
        <v/>
      </c>
      <c r="CN685" s="13"/>
      <c r="CO685" s="13" t="str">
        <f>IF(CN685="","",CN682+CP682-CN685)</f>
        <v/>
      </c>
      <c r="CP685" s="13"/>
      <c r="CQ685" s="53"/>
      <c r="CR685" s="53" t="str">
        <f>IF(CJ685="","",CR682)</f>
        <v/>
      </c>
      <c r="CS685" s="13" t="str">
        <f t="shared" si="1099"/>
        <v/>
      </c>
      <c r="CT685" s="14" t="str">
        <f t="shared" si="1055"/>
        <v/>
      </c>
      <c r="CU685" s="15"/>
      <c r="CV685" s="1"/>
      <c r="CW685" s="79" t="e">
        <f>IF(#REF!="","",#REF!)</f>
        <v>#REF!</v>
      </c>
      <c r="CX685" s="13"/>
      <c r="CY685" s="13" t="str">
        <f>IF(CX685="","",CX685-CX682)</f>
        <v/>
      </c>
      <c r="CZ685" s="13"/>
      <c r="DA685" s="13" t="str">
        <f>IF(CZ685="","",CZ685-CZ682)</f>
        <v/>
      </c>
      <c r="DB685" s="13"/>
      <c r="DC685" s="13" t="str">
        <f>IF(DB685="","",DB682+DD682-DB685)</f>
        <v/>
      </c>
      <c r="DD685" s="13"/>
      <c r="DE685" s="53"/>
      <c r="DF685" s="53" t="str">
        <f>IF(CX685="","",DF682)</f>
        <v/>
      </c>
      <c r="DG685" s="13" t="str">
        <f t="shared" si="1100"/>
        <v/>
      </c>
      <c r="DH685" s="14" t="str">
        <f t="shared" si="1101"/>
        <v/>
      </c>
      <c r="DI685" s="15"/>
      <c r="DJ685" s="1"/>
      <c r="DK685" s="79" t="e">
        <f>IF(#REF!="","",#REF!)</f>
        <v>#REF!</v>
      </c>
      <c r="DL685" s="13"/>
      <c r="DM685" s="13" t="str">
        <f>IF(DL685="","",DL685-DL682)</f>
        <v/>
      </c>
      <c r="DN685" s="13"/>
      <c r="DO685" s="13" t="str">
        <f>IF(DN685="","",DN685-DN682)</f>
        <v/>
      </c>
      <c r="DP685" s="13"/>
      <c r="DQ685" s="13" t="str">
        <f>IF(DP685="","",DP682+DR682-DP685)</f>
        <v/>
      </c>
      <c r="DR685" s="13"/>
      <c r="DS685" s="53"/>
      <c r="DT685" s="53" t="str">
        <f>IF(DL685="","",DT682)</f>
        <v/>
      </c>
      <c r="DU685" s="13" t="str">
        <f t="shared" si="1102"/>
        <v/>
      </c>
      <c r="DV685" s="14" t="str">
        <f t="shared" si="1103"/>
        <v/>
      </c>
      <c r="DW685" s="15"/>
    </row>
    <row r="686" spans="1:127" x14ac:dyDescent="0.2">
      <c r="A686" s="136"/>
      <c r="B686" s="11"/>
      <c r="C686" s="13">
        <v>1220</v>
      </c>
      <c r="D686" s="13">
        <f t="shared" si="1068"/>
        <v>128</v>
      </c>
      <c r="E686" s="13">
        <v>266</v>
      </c>
      <c r="F686" s="13">
        <f t="shared" si="1069"/>
        <v>11</v>
      </c>
      <c r="G686" s="13">
        <v>33</v>
      </c>
      <c r="H686" s="13">
        <f t="shared" si="1092"/>
        <v>12</v>
      </c>
      <c r="I686" s="17">
        <v>20</v>
      </c>
      <c r="J686" s="56" t="str">
        <f t="shared" si="1093"/>
        <v>ジャグラーコインホルダー</v>
      </c>
      <c r="K686" s="54">
        <f t="shared" si="1094"/>
        <v>220</v>
      </c>
      <c r="L686" s="13">
        <f t="shared" si="1070"/>
        <v>2640</v>
      </c>
      <c r="M686" s="14">
        <f t="shared" si="1071"/>
        <v>0.20624999999999999</v>
      </c>
      <c r="N686" s="15"/>
      <c r="O686" s="2"/>
      <c r="P686" s="79"/>
      <c r="Q686" s="13">
        <v>1409</v>
      </c>
      <c r="R686" s="13">
        <f t="shared" si="1072"/>
        <v>78</v>
      </c>
      <c r="S686" s="13">
        <v>45</v>
      </c>
      <c r="T686" s="13">
        <f t="shared" si="1073"/>
        <v>1</v>
      </c>
      <c r="U686" s="13">
        <v>6</v>
      </c>
      <c r="V686" s="13">
        <f t="shared" si="1074"/>
        <v>1</v>
      </c>
      <c r="W686" s="17">
        <v>3</v>
      </c>
      <c r="X686" s="56" t="str">
        <f t="shared" si="1075"/>
        <v>サンリオFAN</v>
      </c>
      <c r="Y686" s="54">
        <f t="shared" si="1076"/>
        <v>1100</v>
      </c>
      <c r="Z686" s="13">
        <f t="shared" si="1077"/>
        <v>1100</v>
      </c>
      <c r="AA686" s="14">
        <f t="shared" si="1078"/>
        <v>0.14102564102564102</v>
      </c>
      <c r="AB686" s="15"/>
      <c r="AC686" s="15"/>
      <c r="AD686" s="79"/>
      <c r="AE686" s="13">
        <v>6033</v>
      </c>
      <c r="AF686" s="13">
        <f t="shared" si="1079"/>
        <v>107</v>
      </c>
      <c r="AG686" s="13">
        <v>136</v>
      </c>
      <c r="AH686" s="13">
        <f t="shared" si="1080"/>
        <v>1</v>
      </c>
      <c r="AI686" s="13">
        <v>16</v>
      </c>
      <c r="AJ686" s="13">
        <f t="shared" si="1081"/>
        <v>1</v>
      </c>
      <c r="AK686" s="17">
        <v>0</v>
      </c>
      <c r="AL686" s="56" t="str">
        <f t="shared" si="1095"/>
        <v>デジタルミニカメラ</v>
      </c>
      <c r="AM686" s="54">
        <f t="shared" si="1096"/>
        <v>800</v>
      </c>
      <c r="AN686" s="13">
        <f t="shared" si="1083"/>
        <v>800</v>
      </c>
      <c r="AO686" s="14">
        <f t="shared" si="1084"/>
        <v>7.476635514018691E-2</v>
      </c>
      <c r="AP686" s="15"/>
      <c r="AQ686" s="15"/>
      <c r="AR686" s="79"/>
      <c r="AS686" s="13">
        <v>5014</v>
      </c>
      <c r="AT686" s="13">
        <f t="shared" si="1085"/>
        <v>87</v>
      </c>
      <c r="AU686" s="13">
        <v>263</v>
      </c>
      <c r="AV686" s="13">
        <f t="shared" si="1086"/>
        <v>4</v>
      </c>
      <c r="AW686" s="13">
        <v>23</v>
      </c>
      <c r="AX686" s="13">
        <f t="shared" si="1087"/>
        <v>3</v>
      </c>
      <c r="AY686" s="17">
        <v>11</v>
      </c>
      <c r="AZ686" s="56" t="str">
        <f t="shared" si="1088"/>
        <v>ねこアイシャドウ</v>
      </c>
      <c r="BA686" s="54">
        <f t="shared" si="1089"/>
        <v>1000</v>
      </c>
      <c r="BB686" s="13">
        <f t="shared" si="1090"/>
        <v>3000</v>
      </c>
      <c r="BC686" s="14">
        <f t="shared" si="1091"/>
        <v>0.34482758620689657</v>
      </c>
      <c r="BD686" s="15" t="s">
        <v>263</v>
      </c>
      <c r="BT686" s="15"/>
      <c r="BU686" s="79" t="e">
        <f>IF(#REF!="","",#REF!)</f>
        <v>#REF!</v>
      </c>
      <c r="BV686" s="13"/>
      <c r="BW686" s="13" t="str">
        <f>IF(BV686="","",BV686-BV684)</f>
        <v/>
      </c>
      <c r="BX686" s="13"/>
      <c r="BY686" s="13" t="str">
        <f>IF(BX686="","",BX686-BX684)</f>
        <v/>
      </c>
      <c r="BZ686" s="13"/>
      <c r="CA686" s="13" t="str">
        <f>IF(BZ686="","",BZ684+CB684-BZ686)</f>
        <v/>
      </c>
      <c r="CB686" s="13"/>
      <c r="CC686" s="53"/>
      <c r="CD686" s="53" t="str">
        <f>IF(BV686="","",CD684)</f>
        <v/>
      </c>
      <c r="CE686" s="13" t="str">
        <f t="shared" si="1097"/>
        <v/>
      </c>
      <c r="CF686" s="14" t="str">
        <f t="shared" si="1098"/>
        <v/>
      </c>
      <c r="CG686" s="15"/>
      <c r="CH686" s="1"/>
      <c r="CI686" s="79" t="e">
        <f>IF(#REF!="","",#REF!)</f>
        <v>#REF!</v>
      </c>
      <c r="CJ686" s="13"/>
      <c r="CK686" s="13" t="str">
        <f>IF(CJ686="","",CJ686-CJ684)</f>
        <v/>
      </c>
      <c r="CL686" s="13"/>
      <c r="CM686" s="13" t="str">
        <f>IF(CL686="","",CL686-CL684)</f>
        <v/>
      </c>
      <c r="CN686" s="13"/>
      <c r="CO686" s="13" t="str">
        <f>IF(CN686="","",CN684+CP684-CN686)</f>
        <v/>
      </c>
      <c r="CP686" s="13"/>
      <c r="CQ686" s="53"/>
      <c r="CR686" s="53" t="str">
        <f>IF(CJ686="","",CR684)</f>
        <v/>
      </c>
      <c r="CS686" s="13" t="str">
        <f t="shared" si="1099"/>
        <v/>
      </c>
      <c r="CT686" s="14" t="str">
        <f t="shared" si="1055"/>
        <v/>
      </c>
      <c r="CU686" s="15"/>
      <c r="CV686" s="1"/>
      <c r="CW686" s="79" t="e">
        <f>IF(#REF!="","",#REF!)</f>
        <v>#REF!</v>
      </c>
      <c r="CX686" s="13"/>
      <c r="CY686" s="13" t="str">
        <f>IF(CX686="","",CX686-CX684)</f>
        <v/>
      </c>
      <c r="CZ686" s="13"/>
      <c r="DA686" s="13" t="str">
        <f>IF(CZ686="","",CZ686-CZ684)</f>
        <v/>
      </c>
      <c r="DB686" s="13"/>
      <c r="DC686" s="13" t="str">
        <f>IF(DB686="","",DB684+DD684-DB686)</f>
        <v/>
      </c>
      <c r="DD686" s="13"/>
      <c r="DE686" s="53"/>
      <c r="DF686" s="53" t="str">
        <f>IF(CX686="","",DF684)</f>
        <v/>
      </c>
      <c r="DG686" s="13" t="str">
        <f t="shared" si="1100"/>
        <v/>
      </c>
      <c r="DH686" s="14" t="str">
        <f t="shared" si="1101"/>
        <v/>
      </c>
      <c r="DI686" s="15"/>
      <c r="DJ686" s="1"/>
      <c r="DK686" s="79" t="e">
        <f>IF(#REF!="","",#REF!)</f>
        <v>#REF!</v>
      </c>
      <c r="DL686" s="13"/>
      <c r="DM686" s="13" t="str">
        <f>IF(DL686="","",DL686-DL684)</f>
        <v/>
      </c>
      <c r="DN686" s="13"/>
      <c r="DO686" s="13" t="str">
        <f>IF(DN686="","",DN686-DN684)</f>
        <v/>
      </c>
      <c r="DP686" s="13"/>
      <c r="DQ686" s="13" t="str">
        <f>IF(DP686="","",DP684+DR684-DP686)</f>
        <v/>
      </c>
      <c r="DR686" s="13"/>
      <c r="DS686" s="53"/>
      <c r="DT686" s="53" t="str">
        <f>IF(DL686="","",DT684)</f>
        <v/>
      </c>
      <c r="DU686" s="13" t="str">
        <f t="shared" si="1102"/>
        <v/>
      </c>
      <c r="DV686" s="14" t="str">
        <f t="shared" si="1103"/>
        <v/>
      </c>
      <c r="DW686" s="15"/>
    </row>
    <row r="687" spans="1:127" ht="15" customHeight="1" x14ac:dyDescent="0.2">
      <c r="A687" s="79"/>
      <c r="B687" s="11"/>
      <c r="C687" s="34">
        <v>4263</v>
      </c>
      <c r="D687" s="13">
        <f t="shared" si="1068"/>
        <v>342</v>
      </c>
      <c r="E687" s="34">
        <v>347</v>
      </c>
      <c r="F687" s="13">
        <f t="shared" si="1069"/>
        <v>13</v>
      </c>
      <c r="G687" s="34">
        <v>79</v>
      </c>
      <c r="H687" s="13">
        <f t="shared" si="1092"/>
        <v>12</v>
      </c>
      <c r="I687" s="49">
        <v>35</v>
      </c>
      <c r="J687" s="56" t="str">
        <f t="shared" si="1093"/>
        <v>AIモンスタラバー</v>
      </c>
      <c r="K687" s="13">
        <f t="shared" si="1094"/>
        <v>200</v>
      </c>
      <c r="L687" s="13">
        <f t="shared" si="1070"/>
        <v>2400</v>
      </c>
      <c r="M687" s="14">
        <f t="shared" si="1071"/>
        <v>7.0175438596491224E-2</v>
      </c>
      <c r="N687" s="15"/>
      <c r="O687" s="2"/>
      <c r="P687" s="79"/>
      <c r="Q687" s="34">
        <v>1916</v>
      </c>
      <c r="R687" s="13">
        <f t="shared" si="1072"/>
        <v>141</v>
      </c>
      <c r="S687" s="34">
        <v>23</v>
      </c>
      <c r="T687" s="13">
        <f t="shared" si="1073"/>
        <v>2</v>
      </c>
      <c r="U687" s="34">
        <v>3</v>
      </c>
      <c r="V687" s="13">
        <f t="shared" si="1074"/>
        <v>2</v>
      </c>
      <c r="W687" s="49">
        <v>3</v>
      </c>
      <c r="X687" s="56" t="str">
        <f t="shared" si="1075"/>
        <v>キティフェイスポーチ</v>
      </c>
      <c r="Y687" s="13">
        <f t="shared" si="1076"/>
        <v>957</v>
      </c>
      <c r="Z687" s="13">
        <f t="shared" si="1077"/>
        <v>1914</v>
      </c>
      <c r="AA687" s="14">
        <f t="shared" si="1078"/>
        <v>0.13574468085106384</v>
      </c>
      <c r="AB687" s="15"/>
      <c r="AC687" s="15"/>
      <c r="AD687" s="79"/>
      <c r="AE687" s="34">
        <v>6559</v>
      </c>
      <c r="AF687" s="13">
        <f t="shared" si="1079"/>
        <v>73</v>
      </c>
      <c r="AG687" s="34">
        <v>252</v>
      </c>
      <c r="AH687" s="13">
        <f t="shared" si="1080"/>
        <v>3</v>
      </c>
      <c r="AI687" s="34">
        <v>0</v>
      </c>
      <c r="AJ687" s="13">
        <f t="shared" si="1081"/>
        <v>3</v>
      </c>
      <c r="AK687" s="139">
        <v>8</v>
      </c>
      <c r="AL687" s="56" t="str">
        <f t="shared" si="1095"/>
        <v>ジョージファン</v>
      </c>
      <c r="AM687" s="13">
        <f t="shared" si="1096"/>
        <v>1050</v>
      </c>
      <c r="AN687" s="13">
        <f t="shared" si="1083"/>
        <v>3150</v>
      </c>
      <c r="AO687" s="14">
        <f t="shared" si="1084"/>
        <v>0.4315068493150685</v>
      </c>
      <c r="AP687" s="15" t="s">
        <v>261</v>
      </c>
      <c r="AQ687" s="15"/>
      <c r="AR687" s="79"/>
      <c r="AS687" s="34">
        <v>8492</v>
      </c>
      <c r="AT687" s="13">
        <f t="shared" si="1085"/>
        <v>173</v>
      </c>
      <c r="AU687" s="34">
        <v>353</v>
      </c>
      <c r="AV687" s="13">
        <f t="shared" si="1086"/>
        <v>8</v>
      </c>
      <c r="AW687" s="34">
        <v>150</v>
      </c>
      <c r="AX687" s="13">
        <f t="shared" si="1087"/>
        <v>10</v>
      </c>
      <c r="AY687" s="49">
        <v>0</v>
      </c>
      <c r="AZ687" s="56" t="str">
        <f t="shared" si="1088"/>
        <v>SPGラバーキーホルダー</v>
      </c>
      <c r="BA687" s="13">
        <f t="shared" si="1089"/>
        <v>200</v>
      </c>
      <c r="BB687" s="13">
        <f t="shared" si="1090"/>
        <v>2000</v>
      </c>
      <c r="BC687" s="14">
        <f t="shared" si="1091"/>
        <v>0.11560693641618497</v>
      </c>
      <c r="BD687" s="15"/>
      <c r="BT687" s="15"/>
      <c r="BU687" s="79" t="e">
        <f>IF(#REF!="","",#REF!)</f>
        <v>#REF!</v>
      </c>
      <c r="BV687" s="13"/>
      <c r="BW687" s="13" t="str">
        <f>IF(BV687="","",BV687-#REF!)</f>
        <v/>
      </c>
      <c r="BX687" s="13"/>
      <c r="BY687" s="13" t="str">
        <f>IF(BX687="","",BX687-#REF!)</f>
        <v/>
      </c>
      <c r="BZ687" s="13"/>
      <c r="CA687" s="13" t="str">
        <f>IF(BZ687="","",#REF!+#REF!-BZ687)</f>
        <v/>
      </c>
      <c r="CB687" s="13"/>
      <c r="CC687" s="53"/>
      <c r="CD687" s="53" t="str">
        <f>IF(BV687="","",#REF!)</f>
        <v/>
      </c>
      <c r="CE687" s="13" t="str">
        <f t="shared" si="1097"/>
        <v/>
      </c>
      <c r="CF687" s="14" t="str">
        <f t="shared" si="1098"/>
        <v/>
      </c>
      <c r="CG687" s="15"/>
      <c r="CH687" s="1"/>
      <c r="CI687" s="79" t="e">
        <f>IF(#REF!="","",#REF!)</f>
        <v>#REF!</v>
      </c>
      <c r="CJ687" s="13"/>
      <c r="CK687" s="13" t="str">
        <f>IF(CJ687="","",CJ687-#REF!)</f>
        <v/>
      </c>
      <c r="CL687" s="13"/>
      <c r="CM687" s="13" t="str">
        <f>IF(CL687="","",CL687-#REF!)</f>
        <v/>
      </c>
      <c r="CN687" s="13"/>
      <c r="CO687" s="13" t="str">
        <f>IF(CN687="","",#REF!+#REF!-CN687)</f>
        <v/>
      </c>
      <c r="CP687" s="13"/>
      <c r="CQ687" s="53"/>
      <c r="CR687" s="53" t="str">
        <f>IF(CJ687="","",#REF!)</f>
        <v/>
      </c>
      <c r="CS687" s="13" t="str">
        <f t="shared" si="1099"/>
        <v/>
      </c>
      <c r="CT687" s="14" t="str">
        <f t="shared" si="1055"/>
        <v/>
      </c>
      <c r="CU687" s="15"/>
      <c r="CV687" s="1"/>
      <c r="CW687" s="79" t="e">
        <f>IF(#REF!="","",#REF!)</f>
        <v>#REF!</v>
      </c>
      <c r="CX687" s="13"/>
      <c r="CY687" s="13" t="str">
        <f>IF(CX687="","",CX687-#REF!)</f>
        <v/>
      </c>
      <c r="CZ687" s="13"/>
      <c r="DA687" s="13" t="str">
        <f>IF(CZ687="","",CZ687-#REF!)</f>
        <v/>
      </c>
      <c r="DB687" s="13"/>
      <c r="DC687" s="13" t="str">
        <f>IF(DB687="","",#REF!+#REF!-DB687)</f>
        <v/>
      </c>
      <c r="DD687" s="13"/>
      <c r="DE687" s="53"/>
      <c r="DF687" s="53" t="str">
        <f>IF(CX687="","",#REF!)</f>
        <v/>
      </c>
      <c r="DG687" s="13" t="str">
        <f t="shared" si="1100"/>
        <v/>
      </c>
      <c r="DH687" s="14" t="str">
        <f t="shared" si="1101"/>
        <v/>
      </c>
      <c r="DI687" s="15"/>
      <c r="DJ687" s="1"/>
      <c r="DK687" s="79" t="e">
        <f>IF(#REF!="","",#REF!)</f>
        <v>#REF!</v>
      </c>
      <c r="DL687" s="13"/>
      <c r="DM687" s="13" t="str">
        <f>IF(DL687="","",DL687-#REF!)</f>
        <v/>
      </c>
      <c r="DN687" s="13"/>
      <c r="DO687" s="13" t="str">
        <f>IF(DN687="","",DN687-#REF!)</f>
        <v/>
      </c>
      <c r="DP687" s="13"/>
      <c r="DQ687" s="13" t="str">
        <f>IF(DP687="","",#REF!+#REF!-DP687)</f>
        <v/>
      </c>
      <c r="DR687" s="13"/>
      <c r="DS687" s="53"/>
      <c r="DT687" s="53" t="str">
        <f>IF(DL687="","",#REF!)</f>
        <v/>
      </c>
      <c r="DU687" s="13" t="str">
        <f t="shared" si="1102"/>
        <v/>
      </c>
      <c r="DV687" s="14" t="str">
        <f t="shared" si="1103"/>
        <v/>
      </c>
      <c r="DW687" s="15"/>
    </row>
    <row r="688" spans="1:127" ht="15" customHeight="1" thickBot="1" x14ac:dyDescent="0.25">
      <c r="A688" s="26"/>
      <c r="B688" s="46"/>
      <c r="C688" s="27">
        <v>2120</v>
      </c>
      <c r="D688" s="27">
        <f t="shared" si="1068"/>
        <v>218</v>
      </c>
      <c r="E688" s="27">
        <v>334</v>
      </c>
      <c r="F688" s="27">
        <f t="shared" si="1069"/>
        <v>7</v>
      </c>
      <c r="G688" s="27">
        <v>22</v>
      </c>
      <c r="H688" s="27">
        <f t="shared" si="1092"/>
        <v>6</v>
      </c>
      <c r="I688" s="47">
        <v>30</v>
      </c>
      <c r="J688" s="57" t="str">
        <f t="shared" si="1093"/>
        <v>NICIマスコット</v>
      </c>
      <c r="K688" s="62">
        <f t="shared" si="1094"/>
        <v>682</v>
      </c>
      <c r="L688" s="27">
        <f t="shared" si="1070"/>
        <v>4092</v>
      </c>
      <c r="M688" s="28">
        <f t="shared" si="1071"/>
        <v>0.18770642201834861</v>
      </c>
      <c r="N688" s="15"/>
      <c r="O688" s="2"/>
      <c r="P688" s="26"/>
      <c r="Q688" s="27">
        <v>2043</v>
      </c>
      <c r="R688" s="27">
        <f t="shared" si="1072"/>
        <v>310</v>
      </c>
      <c r="S688" s="27">
        <v>41</v>
      </c>
      <c r="T688" s="27">
        <f t="shared" si="1073"/>
        <v>6</v>
      </c>
      <c r="U688" s="27">
        <v>8</v>
      </c>
      <c r="V688" s="27">
        <f t="shared" si="1074"/>
        <v>7</v>
      </c>
      <c r="W688" s="140">
        <v>7</v>
      </c>
      <c r="X688" s="57" t="str">
        <f t="shared" si="1075"/>
        <v>ＡＩマスコット</v>
      </c>
      <c r="Y688" s="62">
        <f t="shared" si="1076"/>
        <v>286</v>
      </c>
      <c r="Z688" s="27">
        <f t="shared" si="1077"/>
        <v>2002</v>
      </c>
      <c r="AA688" s="28">
        <f t="shared" si="1078"/>
        <v>6.458064516129032E-2</v>
      </c>
      <c r="AB688" s="15"/>
      <c r="AC688" s="15"/>
      <c r="AD688" s="26"/>
      <c r="AE688" s="27">
        <v>7010</v>
      </c>
      <c r="AF688" s="27">
        <f t="shared" si="1079"/>
        <v>195</v>
      </c>
      <c r="AG688" s="27">
        <v>207</v>
      </c>
      <c r="AH688" s="27">
        <f t="shared" si="1080"/>
        <v>8</v>
      </c>
      <c r="AI688" s="27">
        <v>4</v>
      </c>
      <c r="AJ688" s="27">
        <f t="shared" si="1081"/>
        <v>9</v>
      </c>
      <c r="AK688" s="140">
        <v>4</v>
      </c>
      <c r="AL688" s="57" t="str">
        <f t="shared" si="1095"/>
        <v>しなこくま</v>
      </c>
      <c r="AM688" s="62">
        <f t="shared" si="1096"/>
        <v>528</v>
      </c>
      <c r="AN688" s="27">
        <f t="shared" si="1083"/>
        <v>4752</v>
      </c>
      <c r="AO688" s="28">
        <f t="shared" si="1084"/>
        <v>0.24369230769230768</v>
      </c>
      <c r="AP688" s="15"/>
      <c r="AQ688" s="15"/>
      <c r="AR688" s="26"/>
      <c r="AS688" s="27">
        <v>7711</v>
      </c>
      <c r="AT688" s="27">
        <f t="shared" si="1085"/>
        <v>235</v>
      </c>
      <c r="AU688" s="27">
        <v>322</v>
      </c>
      <c r="AV688" s="27">
        <f t="shared" si="1086"/>
        <v>7</v>
      </c>
      <c r="AW688" s="27">
        <v>8</v>
      </c>
      <c r="AX688" s="27">
        <f t="shared" si="1087"/>
        <v>8</v>
      </c>
      <c r="AY688" s="47">
        <v>7</v>
      </c>
      <c r="AZ688" s="57" t="s">
        <v>260</v>
      </c>
      <c r="BA688" s="62">
        <v>600</v>
      </c>
      <c r="BB688" s="27">
        <f t="shared" si="1090"/>
        <v>4800</v>
      </c>
      <c r="BC688" s="28">
        <f t="shared" si="1091"/>
        <v>0.20425531914893616</v>
      </c>
      <c r="BD688" s="15"/>
      <c r="BT688" s="15"/>
      <c r="BU688" s="79" t="e">
        <f>IF(#REF!="","",#REF!)</f>
        <v>#REF!</v>
      </c>
      <c r="BV688" s="13"/>
      <c r="BW688" s="13" t="str">
        <f>IF(BV688="","",BV688-BV687)</f>
        <v/>
      </c>
      <c r="BX688" s="13"/>
      <c r="BY688" s="13" t="str">
        <f>IF(BX688="","",BX688-BX687)</f>
        <v/>
      </c>
      <c r="BZ688" s="13"/>
      <c r="CA688" s="13" t="str">
        <f>IF(BZ688="","",BZ687+CB687-BZ688)</f>
        <v/>
      </c>
      <c r="CB688" s="13"/>
      <c r="CC688" s="53"/>
      <c r="CD688" s="53" t="str">
        <f>IF(BV688="","",CD687)</f>
        <v/>
      </c>
      <c r="CE688" s="13" t="str">
        <f t="shared" si="1097"/>
        <v/>
      </c>
      <c r="CF688" s="14" t="str">
        <f t="shared" si="1098"/>
        <v/>
      </c>
      <c r="CG688" s="15"/>
      <c r="CH688" s="1"/>
      <c r="CI688" s="79" t="e">
        <f>IF(#REF!="","",#REF!)</f>
        <v>#REF!</v>
      </c>
      <c r="CJ688" s="13"/>
      <c r="CK688" s="13" t="str">
        <f>IF(CJ688="","",CJ688-CJ687)</f>
        <v/>
      </c>
      <c r="CL688" s="13"/>
      <c r="CM688" s="13" t="str">
        <f>IF(CL688="","",CL688-CL687)</f>
        <v/>
      </c>
      <c r="CN688" s="13"/>
      <c r="CO688" s="13" t="str">
        <f>IF(CN688="","",CN687+CP687-CN688)</f>
        <v/>
      </c>
      <c r="CP688" s="13"/>
      <c r="CQ688" s="53"/>
      <c r="CR688" s="53" t="str">
        <f>IF(CJ688="","",CR687)</f>
        <v/>
      </c>
      <c r="CS688" s="13" t="str">
        <f t="shared" si="1099"/>
        <v/>
      </c>
      <c r="CT688" s="14" t="str">
        <f>IF(CS688="","",CS688/(CJ688*100))</f>
        <v/>
      </c>
      <c r="CU688" s="15"/>
      <c r="CV688" s="1"/>
      <c r="CW688" s="79" t="e">
        <f>IF(#REF!="","",#REF!)</f>
        <v>#REF!</v>
      </c>
      <c r="CX688" s="13"/>
      <c r="CY688" s="13" t="str">
        <f>IF(CX688="","",CX688-CX687)</f>
        <v/>
      </c>
      <c r="CZ688" s="13"/>
      <c r="DA688" s="13" t="str">
        <f>IF(CZ688="","",CZ688-CZ687)</f>
        <v/>
      </c>
      <c r="DB688" s="13"/>
      <c r="DC688" s="13" t="str">
        <f>IF(DB688="","",DB687+DD687-DB688)</f>
        <v/>
      </c>
      <c r="DD688" s="13"/>
      <c r="DE688" s="53"/>
      <c r="DF688" s="53" t="str">
        <f>IF(CX688="","",DF687)</f>
        <v/>
      </c>
      <c r="DG688" s="13" t="str">
        <f t="shared" si="1100"/>
        <v/>
      </c>
      <c r="DH688" s="14" t="str">
        <f t="shared" si="1101"/>
        <v/>
      </c>
      <c r="DI688" s="15"/>
      <c r="DJ688" s="1"/>
      <c r="DK688" s="79" t="e">
        <f>IF(#REF!="","",#REF!)</f>
        <v>#REF!</v>
      </c>
      <c r="DL688" s="13"/>
      <c r="DM688" s="13" t="str">
        <f>IF(DL688="","",DL688-DL687)</f>
        <v/>
      </c>
      <c r="DN688" s="13"/>
      <c r="DO688" s="13" t="str">
        <f>IF(DN688="","",DN688-DN687)</f>
        <v/>
      </c>
      <c r="DP688" s="13"/>
      <c r="DQ688" s="13" t="str">
        <f>IF(DP688="","",DP687+DR687-DP688)</f>
        <v/>
      </c>
      <c r="DR688" s="13"/>
      <c r="DS688" s="53"/>
      <c r="DT688" s="53" t="str">
        <f>IF(DL688="","",DT687)</f>
        <v/>
      </c>
      <c r="DU688" s="13" t="str">
        <f t="shared" si="1102"/>
        <v/>
      </c>
      <c r="DV688" s="14" t="str">
        <f t="shared" si="1103"/>
        <v/>
      </c>
      <c r="DW688" s="15"/>
    </row>
    <row r="689" spans="1:127" ht="15" customHeight="1" thickTop="1" x14ac:dyDescent="0.2">
      <c r="A689" s="79">
        <v>45898</v>
      </c>
      <c r="B689" s="74">
        <f>IF(A689="","",SUM(D689:D692)+SUM(R689:R692)+SUM(AF689:AF692)+SUM(AT689:AT692)+SUM(BW674,CK674,CY674,DM674))</f>
        <v>2656</v>
      </c>
      <c r="C689" s="53">
        <v>1649</v>
      </c>
      <c r="D689" s="53">
        <f t="shared" si="1068"/>
        <v>136</v>
      </c>
      <c r="E689" s="53">
        <v>275</v>
      </c>
      <c r="F689" s="31">
        <f t="shared" si="1069"/>
        <v>1</v>
      </c>
      <c r="G689" s="53">
        <v>13</v>
      </c>
      <c r="H689" s="53">
        <f t="shared" si="1092"/>
        <v>1</v>
      </c>
      <c r="I689" s="80">
        <v>0</v>
      </c>
      <c r="J689" s="75" t="str">
        <f t="shared" si="1093"/>
        <v>ジャグラーサウンドボタン</v>
      </c>
      <c r="K689" s="76">
        <f t="shared" si="1094"/>
        <v>748</v>
      </c>
      <c r="L689" s="31">
        <f t="shared" si="1070"/>
        <v>748</v>
      </c>
      <c r="M689" s="32">
        <f t="shared" si="1071"/>
        <v>5.5E-2</v>
      </c>
      <c r="N689" s="15"/>
      <c r="O689" s="2"/>
      <c r="P689" s="79">
        <f>IF($A689="","",$A689)</f>
        <v>45898</v>
      </c>
      <c r="Q689" s="53">
        <v>901</v>
      </c>
      <c r="R689" s="53">
        <f t="shared" si="1072"/>
        <v>56</v>
      </c>
      <c r="S689" s="53">
        <v>62</v>
      </c>
      <c r="T689" s="31">
        <f t="shared" si="1073"/>
        <v>2</v>
      </c>
      <c r="U689" s="53">
        <v>13</v>
      </c>
      <c r="V689" s="53">
        <f t="shared" si="1074"/>
        <v>2</v>
      </c>
      <c r="W689" s="80">
        <v>1</v>
      </c>
      <c r="X689" s="75" t="str">
        <f t="shared" si="1075"/>
        <v>ガーナイヤホン</v>
      </c>
      <c r="Y689" s="76">
        <f t="shared" si="1076"/>
        <v>1100</v>
      </c>
      <c r="Z689" s="31">
        <f t="shared" si="1077"/>
        <v>2200</v>
      </c>
      <c r="AA689" s="32">
        <f t="shared" si="1078"/>
        <v>0.39285714285714285</v>
      </c>
      <c r="AB689" s="15"/>
      <c r="AC689" s="15"/>
      <c r="AD689" s="79">
        <f>IF($A689="","",$A689)</f>
        <v>45898</v>
      </c>
      <c r="AE689" s="53">
        <v>6961</v>
      </c>
      <c r="AF689" s="53">
        <f t="shared" si="1079"/>
        <v>65</v>
      </c>
      <c r="AG689" s="53">
        <v>149</v>
      </c>
      <c r="AH689" s="31">
        <f t="shared" si="1080"/>
        <v>6</v>
      </c>
      <c r="AI689" s="53">
        <v>41</v>
      </c>
      <c r="AJ689" s="53">
        <f t="shared" si="1081"/>
        <v>9</v>
      </c>
      <c r="AK689" s="80">
        <v>0</v>
      </c>
      <c r="AL689" s="75" t="str">
        <f t="shared" si="1095"/>
        <v>キティーサンダルキーホルダー</v>
      </c>
      <c r="AM689" s="76">
        <f t="shared" si="1096"/>
        <v>600</v>
      </c>
      <c r="AN689" s="31">
        <f t="shared" si="1083"/>
        <v>5400</v>
      </c>
      <c r="AO689" s="32">
        <f t="shared" si="1084"/>
        <v>0.83076923076923082</v>
      </c>
      <c r="AP689" s="15" t="s">
        <v>264</v>
      </c>
      <c r="AQ689" s="15"/>
      <c r="AR689" s="79">
        <f>IF($A689="","",$A689)</f>
        <v>45898</v>
      </c>
      <c r="AS689" s="53">
        <v>7707</v>
      </c>
      <c r="AT689" s="53">
        <f t="shared" si="1085"/>
        <v>139</v>
      </c>
      <c r="AU689" s="53">
        <v>231</v>
      </c>
      <c r="AV689" s="31">
        <f t="shared" si="1086"/>
        <v>0</v>
      </c>
      <c r="AW689" s="53">
        <v>17</v>
      </c>
      <c r="AX689" s="53">
        <f t="shared" si="1087"/>
        <v>0</v>
      </c>
      <c r="AY689" s="80">
        <v>0</v>
      </c>
      <c r="AZ689" s="75" t="str">
        <f t="shared" si="1088"/>
        <v>こびとづかんキーケース</v>
      </c>
      <c r="BA689" s="76">
        <f t="shared" si="1089"/>
        <v>726</v>
      </c>
      <c r="BB689" s="31">
        <f t="shared" si="1090"/>
        <v>0</v>
      </c>
      <c r="BC689" s="32">
        <f t="shared" si="1091"/>
        <v>0</v>
      </c>
      <c r="BD689" s="15"/>
      <c r="BT689" s="15"/>
      <c r="BU689" s="79" t="e">
        <f>IF(#REF!="","",#REF!)</f>
        <v>#REF!</v>
      </c>
      <c r="BV689" s="13"/>
      <c r="BW689" s="13" t="str">
        <f>IF(BV689="","",BV689-BV688)</f>
        <v/>
      </c>
      <c r="BX689" s="13"/>
      <c r="BY689" s="13" t="str">
        <f>IF(BX689="","",BX689-BX688)</f>
        <v/>
      </c>
      <c r="BZ689" s="13"/>
      <c r="CA689" s="13" t="str">
        <f>IF(BZ689="","",BZ688+CB688-BZ689)</f>
        <v/>
      </c>
      <c r="CB689" s="13"/>
      <c r="CC689" s="53"/>
      <c r="CD689" s="53" t="str">
        <f>IF(BV689="","",CD688)</f>
        <v/>
      </c>
      <c r="CE689" s="13" t="str">
        <f t="shared" si="1097"/>
        <v/>
      </c>
      <c r="CF689" s="14" t="str">
        <f t="shared" si="1098"/>
        <v/>
      </c>
      <c r="CG689" s="15"/>
      <c r="CH689" s="1"/>
      <c r="CI689" s="79" t="e">
        <f>IF(#REF!="","",#REF!)</f>
        <v>#REF!</v>
      </c>
      <c r="CJ689" s="13"/>
      <c r="CK689" s="13" t="str">
        <f>IF(CJ689="","",CJ689-CJ688)</f>
        <v/>
      </c>
      <c r="CL689" s="13"/>
      <c r="CM689" s="13" t="str">
        <f>IF(CL689="","",CL689-CL688)</f>
        <v/>
      </c>
      <c r="CN689" s="13"/>
      <c r="CO689" s="13" t="str">
        <f>IF(CN689="","",CN688+CP688-CN689)</f>
        <v/>
      </c>
      <c r="CP689" s="13"/>
      <c r="CQ689" s="53"/>
      <c r="CR689" s="53" t="str">
        <f>IF(CJ689="","",CR688)</f>
        <v/>
      </c>
      <c r="CS689" s="13" t="str">
        <f t="shared" si="1099"/>
        <v/>
      </c>
      <c r="CT689" s="14" t="str">
        <f>IF(CS689="","",CS689/(CJ689*100))</f>
        <v/>
      </c>
      <c r="CU689" s="15"/>
      <c r="CV689" s="1"/>
      <c r="CW689" s="79" t="e">
        <f>IF(#REF!="","",#REF!)</f>
        <v>#REF!</v>
      </c>
      <c r="CX689" s="13"/>
      <c r="CY689" s="13" t="str">
        <f>IF(CX689="","",CX689-CX688)</f>
        <v/>
      </c>
      <c r="CZ689" s="13"/>
      <c r="DA689" s="13" t="str">
        <f>IF(CZ689="","",CZ689-CZ688)</f>
        <v/>
      </c>
      <c r="DB689" s="13"/>
      <c r="DC689" s="13" t="str">
        <f>IF(DB689="","",DB688+DD688-DB689)</f>
        <v/>
      </c>
      <c r="DD689" s="13"/>
      <c r="DE689" s="53"/>
      <c r="DF689" s="53" t="str">
        <f>IF(CX689="","",DF688)</f>
        <v/>
      </c>
      <c r="DG689" s="13" t="str">
        <f t="shared" si="1100"/>
        <v/>
      </c>
      <c r="DH689" s="14" t="str">
        <f t="shared" si="1101"/>
        <v/>
      </c>
      <c r="DI689" s="15"/>
      <c r="DJ689" s="1"/>
      <c r="DK689" s="79" t="e">
        <f>IF(#REF!="","",#REF!)</f>
        <v>#REF!</v>
      </c>
      <c r="DL689" s="13"/>
      <c r="DM689" s="13" t="str">
        <f>IF(DL689="","",DL689-DL688)</f>
        <v/>
      </c>
      <c r="DN689" s="13"/>
      <c r="DO689" s="13" t="str">
        <f>IF(DN689="","",DN689-DN688)</f>
        <v/>
      </c>
      <c r="DP689" s="13"/>
      <c r="DQ689" s="13" t="str">
        <f>IF(DP689="","",DP688+DR688-DP689)</f>
        <v/>
      </c>
      <c r="DR689" s="13"/>
      <c r="DS689" s="53"/>
      <c r="DT689" s="53" t="str">
        <f>IF(DL689="","",DT688)</f>
        <v/>
      </c>
      <c r="DU689" s="13" t="str">
        <f t="shared" si="1102"/>
        <v/>
      </c>
      <c r="DV689" s="14" t="str">
        <f t="shared" si="1103"/>
        <v/>
      </c>
      <c r="DW689" s="15"/>
    </row>
    <row r="690" spans="1:127" ht="15" customHeight="1" x14ac:dyDescent="0.2">
      <c r="A690" s="121"/>
      <c r="B690" s="11"/>
      <c r="C690" s="13">
        <v>1278</v>
      </c>
      <c r="D690" s="13">
        <f t="shared" si="1068"/>
        <v>58</v>
      </c>
      <c r="E690" s="13">
        <v>268</v>
      </c>
      <c r="F690" s="13">
        <f t="shared" si="1069"/>
        <v>2</v>
      </c>
      <c r="G690" s="13">
        <v>51</v>
      </c>
      <c r="H690" s="13">
        <f t="shared" si="1092"/>
        <v>2</v>
      </c>
      <c r="I690" s="17">
        <v>0</v>
      </c>
      <c r="J690" s="56" t="str">
        <f t="shared" si="1093"/>
        <v>ジャグラーコインホルダー</v>
      </c>
      <c r="K690" s="54">
        <f t="shared" si="1094"/>
        <v>220</v>
      </c>
      <c r="L690" s="13">
        <f t="shared" si="1070"/>
        <v>440</v>
      </c>
      <c r="M690" s="14">
        <f t="shared" si="1071"/>
        <v>7.586206896551724E-2</v>
      </c>
      <c r="N690" s="15"/>
      <c r="O690" s="2"/>
      <c r="P690" s="16"/>
      <c r="Q690" s="13">
        <v>1521</v>
      </c>
      <c r="R690" s="13">
        <f t="shared" si="1072"/>
        <v>112</v>
      </c>
      <c r="S690" s="13">
        <v>49</v>
      </c>
      <c r="T690" s="13">
        <f t="shared" si="1073"/>
        <v>4</v>
      </c>
      <c r="U690" s="13">
        <v>4</v>
      </c>
      <c r="V690" s="13">
        <f t="shared" si="1074"/>
        <v>5</v>
      </c>
      <c r="W690" s="17">
        <v>3</v>
      </c>
      <c r="X690" s="56" t="str">
        <f t="shared" si="1075"/>
        <v>サンリオFAN</v>
      </c>
      <c r="Y690" s="54">
        <f t="shared" si="1076"/>
        <v>1100</v>
      </c>
      <c r="Z690" s="13">
        <f t="shared" si="1077"/>
        <v>5500</v>
      </c>
      <c r="AA690" s="14">
        <f t="shared" si="1078"/>
        <v>0.49107142857142855</v>
      </c>
      <c r="AB690" s="15" t="s">
        <v>265</v>
      </c>
      <c r="AC690" s="15"/>
      <c r="AD690" s="16"/>
      <c r="AE690" s="13">
        <v>6088</v>
      </c>
      <c r="AF690" s="13">
        <f t="shared" si="1079"/>
        <v>55</v>
      </c>
      <c r="AG690" s="13">
        <v>137</v>
      </c>
      <c r="AH690" s="13">
        <f t="shared" si="1080"/>
        <v>1</v>
      </c>
      <c r="AI690" s="13">
        <v>15</v>
      </c>
      <c r="AJ690" s="13">
        <f t="shared" si="1081"/>
        <v>1</v>
      </c>
      <c r="AK690" s="17">
        <v>4</v>
      </c>
      <c r="AL690" s="56" t="str">
        <f t="shared" si="1095"/>
        <v>デジタルミニカメラ</v>
      </c>
      <c r="AM690" s="54">
        <f t="shared" si="1096"/>
        <v>800</v>
      </c>
      <c r="AN690" s="13">
        <f t="shared" si="1083"/>
        <v>800</v>
      </c>
      <c r="AO690" s="14">
        <f t="shared" si="1084"/>
        <v>0.14545454545454545</v>
      </c>
      <c r="AP690" s="15"/>
      <c r="AQ690" s="15"/>
      <c r="AR690" s="16"/>
      <c r="AS690" s="13">
        <v>5101</v>
      </c>
      <c r="AT690" s="13">
        <f t="shared" si="1085"/>
        <v>87</v>
      </c>
      <c r="AU690" s="13">
        <v>264</v>
      </c>
      <c r="AV690" s="13">
        <f t="shared" si="1086"/>
        <v>1</v>
      </c>
      <c r="AW690" s="13">
        <v>31</v>
      </c>
      <c r="AX690" s="13">
        <f t="shared" si="1087"/>
        <v>3</v>
      </c>
      <c r="AY690" s="17">
        <v>0</v>
      </c>
      <c r="AZ690" s="56" t="str">
        <f t="shared" si="1088"/>
        <v>ねこアイシャドウ</v>
      </c>
      <c r="BA690" s="54">
        <f t="shared" si="1089"/>
        <v>1000</v>
      </c>
      <c r="BB690" s="13">
        <f t="shared" si="1090"/>
        <v>3000</v>
      </c>
      <c r="BC690" s="14">
        <f t="shared" si="1091"/>
        <v>0.34482758620689657</v>
      </c>
      <c r="BD690" s="15"/>
      <c r="BT690" s="15"/>
      <c r="BU690" s="16"/>
      <c r="BV690" s="54"/>
      <c r="BW690" s="13" t="str">
        <f>IF(BV690="","",BV690-BV689)</f>
        <v/>
      </c>
      <c r="BX690" s="13"/>
      <c r="BY690" s="13" t="str">
        <f>IF(BX690="","",BX690-BX689)</f>
        <v/>
      </c>
      <c r="BZ690" s="13"/>
      <c r="CA690" s="13" t="str">
        <f>IF(BZ690="","",BZ689+CB689-BZ690)</f>
        <v/>
      </c>
      <c r="CB690" s="13"/>
      <c r="CC690" s="13"/>
      <c r="CD690" s="13"/>
      <c r="CE690" s="13" t="str">
        <f t="shared" si="1097"/>
        <v/>
      </c>
      <c r="CF690" s="14" t="str">
        <f t="shared" si="1098"/>
        <v/>
      </c>
      <c r="CG690" s="15"/>
      <c r="CH690" s="1"/>
      <c r="CI690" s="16"/>
      <c r="CJ690" s="54"/>
      <c r="CK690" s="13" t="str">
        <f>IF(CJ690="","",CJ690-CJ689)</f>
        <v/>
      </c>
      <c r="CL690" s="13"/>
      <c r="CM690" s="13" t="str">
        <f>IF(CL690="","",CL690-CL689)</f>
        <v/>
      </c>
      <c r="CN690" s="13"/>
      <c r="CO690" s="13" t="str">
        <f>IF(CN690="","",CN689+CP689-CN690)</f>
        <v/>
      </c>
      <c r="CP690" s="13"/>
      <c r="CQ690" s="13"/>
      <c r="CR690" s="13"/>
      <c r="CS690" s="13" t="str">
        <f t="shared" si="1099"/>
        <v/>
      </c>
      <c r="CT690" s="14" t="str">
        <f t="shared" ref="CT690:CT716" si="1104">IF(CS690="","",CS690/(CK690*100))</f>
        <v/>
      </c>
      <c r="CU690" s="15"/>
      <c r="CV690" s="1"/>
      <c r="CW690" s="16"/>
      <c r="CX690" s="54"/>
      <c r="CY690" s="13" t="str">
        <f>IF(CX690="","",CX690-CX689)</f>
        <v/>
      </c>
      <c r="CZ690" s="13"/>
      <c r="DA690" s="13" t="str">
        <f>IF(CZ690="","",CZ690-CZ689)</f>
        <v/>
      </c>
      <c r="DB690" s="13"/>
      <c r="DC690" s="13" t="str">
        <f>IF(DB690="","",DB689+DD689-DB690)</f>
        <v/>
      </c>
      <c r="DD690" s="13"/>
      <c r="DE690" s="13"/>
      <c r="DF690" s="13"/>
      <c r="DG690" s="13" t="str">
        <f t="shared" si="1100"/>
        <v/>
      </c>
      <c r="DH690" s="14" t="str">
        <f t="shared" si="1101"/>
        <v/>
      </c>
      <c r="DI690" s="15"/>
      <c r="DJ690" s="1"/>
      <c r="DK690" s="16"/>
      <c r="DL690" s="54"/>
      <c r="DM690" s="13" t="str">
        <f>IF(DL690="","",DL690-DL689)</f>
        <v/>
      </c>
      <c r="DN690" s="13"/>
      <c r="DO690" s="13" t="str">
        <f>IF(DN690="","",DN690-DN689)</f>
        <v/>
      </c>
      <c r="DP690" s="13"/>
      <c r="DQ690" s="13" t="str">
        <f>IF(DP690="","",DP689+DR689-DP690)</f>
        <v/>
      </c>
      <c r="DR690" s="13"/>
      <c r="DS690" s="13"/>
      <c r="DT690" s="13"/>
      <c r="DU690" s="13" t="str">
        <f t="shared" si="1102"/>
        <v/>
      </c>
      <c r="DV690" s="14" t="str">
        <f t="shared" si="1103"/>
        <v/>
      </c>
      <c r="DW690" s="15"/>
    </row>
    <row r="691" spans="1:127" ht="15" customHeight="1" x14ac:dyDescent="0.2">
      <c r="A691" s="16"/>
      <c r="B691" s="11"/>
      <c r="C691" s="34">
        <v>4531</v>
      </c>
      <c r="D691" s="13">
        <f t="shared" si="1068"/>
        <v>268</v>
      </c>
      <c r="E691" s="34">
        <v>357</v>
      </c>
      <c r="F691" s="13">
        <f t="shared" si="1069"/>
        <v>10</v>
      </c>
      <c r="G691" s="13">
        <v>100</v>
      </c>
      <c r="H691" s="13">
        <f t="shared" si="1092"/>
        <v>14</v>
      </c>
      <c r="I691" s="17">
        <v>0</v>
      </c>
      <c r="J691" s="56" t="str">
        <f t="shared" si="1093"/>
        <v>AIモンスタラバー</v>
      </c>
      <c r="K691" s="13">
        <f t="shared" si="1094"/>
        <v>200</v>
      </c>
      <c r="L691" s="13">
        <f t="shared" si="1070"/>
        <v>2800</v>
      </c>
      <c r="M691" s="14">
        <f t="shared" si="1071"/>
        <v>0.1044776119402985</v>
      </c>
      <c r="N691" s="15"/>
      <c r="O691" s="2"/>
      <c r="P691" s="16"/>
      <c r="Q691" s="34">
        <v>2025</v>
      </c>
      <c r="R691" s="13">
        <f t="shared" si="1072"/>
        <v>109</v>
      </c>
      <c r="S691" s="34">
        <v>25</v>
      </c>
      <c r="T691" s="13">
        <f t="shared" si="1073"/>
        <v>2</v>
      </c>
      <c r="U691" s="13">
        <v>4</v>
      </c>
      <c r="V691" s="13">
        <f t="shared" si="1074"/>
        <v>2</v>
      </c>
      <c r="W691" s="17">
        <v>4</v>
      </c>
      <c r="X691" s="56" t="str">
        <f t="shared" si="1075"/>
        <v>キティフェイスポーチ</v>
      </c>
      <c r="Y691" s="13">
        <f t="shared" si="1076"/>
        <v>957</v>
      </c>
      <c r="Z691" s="13">
        <f t="shared" si="1077"/>
        <v>1914</v>
      </c>
      <c r="AA691" s="14">
        <f t="shared" si="1078"/>
        <v>0.17559633027522936</v>
      </c>
      <c r="AB691" s="15"/>
      <c r="AC691" s="15"/>
      <c r="AD691" s="16"/>
      <c r="AE691" s="34">
        <v>6612</v>
      </c>
      <c r="AF691" s="13">
        <f t="shared" si="1079"/>
        <v>53</v>
      </c>
      <c r="AG691" s="34">
        <v>253</v>
      </c>
      <c r="AH691" s="13">
        <f t="shared" si="1080"/>
        <v>1</v>
      </c>
      <c r="AI691" s="13">
        <v>7</v>
      </c>
      <c r="AJ691" s="13">
        <f t="shared" si="1081"/>
        <v>1</v>
      </c>
      <c r="AK691" s="17">
        <v>0</v>
      </c>
      <c r="AL691" s="56" t="s">
        <v>266</v>
      </c>
      <c r="AM691" s="13">
        <f t="shared" si="1096"/>
        <v>1050</v>
      </c>
      <c r="AN691" s="13">
        <f t="shared" si="1083"/>
        <v>1050</v>
      </c>
      <c r="AO691" s="14">
        <f t="shared" si="1084"/>
        <v>0.19811320754716982</v>
      </c>
      <c r="AP691" s="15"/>
      <c r="AQ691" s="15"/>
      <c r="AR691" s="16"/>
      <c r="AS691" s="34">
        <v>8570</v>
      </c>
      <c r="AT691" s="13">
        <f t="shared" si="1085"/>
        <v>78</v>
      </c>
      <c r="AU691" s="34">
        <v>359</v>
      </c>
      <c r="AV691" s="13">
        <f t="shared" si="1086"/>
        <v>6</v>
      </c>
      <c r="AW691" s="13">
        <v>140</v>
      </c>
      <c r="AX691" s="13">
        <f t="shared" si="1087"/>
        <v>10</v>
      </c>
      <c r="AY691" s="17">
        <v>0</v>
      </c>
      <c r="AZ691" s="56" t="str">
        <f t="shared" si="1088"/>
        <v>SPGラバーキーホルダー</v>
      </c>
      <c r="BA691" s="13">
        <f t="shared" si="1089"/>
        <v>200</v>
      </c>
      <c r="BB691" s="13">
        <f t="shared" si="1090"/>
        <v>2000</v>
      </c>
      <c r="BC691" s="14">
        <f t="shared" si="1091"/>
        <v>0.25641025641025639</v>
      </c>
      <c r="BD691" s="15"/>
      <c r="BT691" s="15"/>
      <c r="BU691" s="16"/>
      <c r="BV691" s="54"/>
      <c r="BW691" s="13" t="str">
        <f>IF(BV691="","",BV691-BV690)</f>
        <v/>
      </c>
      <c r="BX691" s="13"/>
      <c r="BY691" s="13" t="str">
        <f>IF(BX691="","",BX691-BX690)</f>
        <v/>
      </c>
      <c r="BZ691" s="13"/>
      <c r="CA691" s="13" t="str">
        <f>IF(BZ691="","",BZ690+CB690-BZ691)</f>
        <v/>
      </c>
      <c r="CB691" s="13"/>
      <c r="CC691" s="13"/>
      <c r="CD691" s="13"/>
      <c r="CE691" s="13" t="str">
        <f t="shared" si="1097"/>
        <v/>
      </c>
      <c r="CF691" s="14" t="str">
        <f t="shared" si="1098"/>
        <v/>
      </c>
      <c r="CG691" s="15"/>
      <c r="CH691" s="1"/>
      <c r="CI691" s="16"/>
      <c r="CJ691" s="54"/>
      <c r="CK691" s="13" t="str">
        <f>IF(CJ691="","",CJ691-CJ690)</f>
        <v/>
      </c>
      <c r="CL691" s="13"/>
      <c r="CM691" s="13" t="str">
        <f>IF(CL691="","",CL691-CL690)</f>
        <v/>
      </c>
      <c r="CN691" s="13"/>
      <c r="CO691" s="13" t="str">
        <f>IF(CN691="","",CN690+CP690-CN691)</f>
        <v/>
      </c>
      <c r="CP691" s="13"/>
      <c r="CQ691" s="13"/>
      <c r="CR691" s="13"/>
      <c r="CS691" s="13" t="str">
        <f t="shared" si="1099"/>
        <v/>
      </c>
      <c r="CT691" s="14" t="str">
        <f t="shared" si="1104"/>
        <v/>
      </c>
      <c r="CU691" s="15"/>
      <c r="CV691" s="1"/>
      <c r="CW691" s="16"/>
      <c r="CX691" s="54"/>
      <c r="CY691" s="13" t="str">
        <f>IF(CX691="","",CX691-CX690)</f>
        <v/>
      </c>
      <c r="CZ691" s="13"/>
      <c r="DA691" s="13" t="str">
        <f>IF(CZ691="","",CZ691-CZ690)</f>
        <v/>
      </c>
      <c r="DB691" s="13"/>
      <c r="DC691" s="13" t="str">
        <f>IF(DB691="","",DB690+DD690-DB691)</f>
        <v/>
      </c>
      <c r="DD691" s="13"/>
      <c r="DE691" s="13"/>
      <c r="DF691" s="13"/>
      <c r="DG691" s="13" t="str">
        <f t="shared" si="1100"/>
        <v/>
      </c>
      <c r="DH691" s="14" t="str">
        <f t="shared" si="1101"/>
        <v/>
      </c>
      <c r="DI691" s="15"/>
      <c r="DJ691" s="1"/>
      <c r="DK691" s="16"/>
      <c r="DL691" s="54"/>
      <c r="DM691" s="13" t="str">
        <f>IF(DL691="","",DL691-DL690)</f>
        <v/>
      </c>
      <c r="DN691" s="13"/>
      <c r="DO691" s="13" t="str">
        <f>IF(DN691="","",DN691-DN690)</f>
        <v/>
      </c>
      <c r="DP691" s="13"/>
      <c r="DQ691" s="13" t="str">
        <f>IF(DP691="","",DP690+DR690-DP691)</f>
        <v/>
      </c>
      <c r="DR691" s="13"/>
      <c r="DS691" s="13"/>
      <c r="DT691" s="13"/>
      <c r="DU691" s="13" t="str">
        <f t="shared" si="1102"/>
        <v/>
      </c>
      <c r="DV691" s="14" t="str">
        <f t="shared" si="1103"/>
        <v/>
      </c>
      <c r="DW691" s="15"/>
    </row>
    <row r="692" spans="1:127" ht="15" customHeight="1" thickBot="1" x14ac:dyDescent="0.25">
      <c r="A692" s="26"/>
      <c r="B692" s="46"/>
      <c r="C692" s="27">
        <v>2177</v>
      </c>
      <c r="D692" s="27">
        <f t="shared" si="1068"/>
        <v>57</v>
      </c>
      <c r="E692" s="27">
        <v>336</v>
      </c>
      <c r="F692" s="27">
        <f t="shared" si="1069"/>
        <v>2</v>
      </c>
      <c r="G692" s="27">
        <v>49</v>
      </c>
      <c r="H692" s="27">
        <f t="shared" si="1092"/>
        <v>3</v>
      </c>
      <c r="I692" s="47">
        <v>6</v>
      </c>
      <c r="J692" s="57" t="str">
        <f t="shared" si="1093"/>
        <v>NICIマスコット</v>
      </c>
      <c r="K692" s="62">
        <f t="shared" si="1094"/>
        <v>682</v>
      </c>
      <c r="L692" s="27">
        <f t="shared" si="1070"/>
        <v>2046</v>
      </c>
      <c r="M692" s="28">
        <f t="shared" si="1071"/>
        <v>0.35894736842105263</v>
      </c>
      <c r="N692" s="15"/>
      <c r="O692" s="2"/>
      <c r="P692" s="26"/>
      <c r="Q692" s="27">
        <v>2404</v>
      </c>
      <c r="R692" s="27">
        <f t="shared" si="1072"/>
        <v>361</v>
      </c>
      <c r="S692" s="27">
        <v>46</v>
      </c>
      <c r="T692" s="27">
        <f t="shared" si="1073"/>
        <v>5</v>
      </c>
      <c r="U692" s="27">
        <v>10</v>
      </c>
      <c r="V692" s="27">
        <f t="shared" si="1074"/>
        <v>5</v>
      </c>
      <c r="W692" s="47">
        <v>5</v>
      </c>
      <c r="X692" s="57" t="str">
        <f t="shared" si="1075"/>
        <v>ＡＩマスコット</v>
      </c>
      <c r="Y692" s="62">
        <f t="shared" si="1076"/>
        <v>286</v>
      </c>
      <c r="Z692" s="27">
        <f t="shared" si="1077"/>
        <v>1430</v>
      </c>
      <c r="AA692" s="28">
        <f t="shared" si="1078"/>
        <v>3.9612188365650967E-2</v>
      </c>
      <c r="AB692" s="15"/>
      <c r="AC692" s="15"/>
      <c r="AD692" s="26"/>
      <c r="AE692" s="27">
        <v>7272</v>
      </c>
      <c r="AF692" s="27">
        <f t="shared" si="1079"/>
        <v>262</v>
      </c>
      <c r="AG692" s="27">
        <v>213</v>
      </c>
      <c r="AH692" s="27">
        <f t="shared" si="1080"/>
        <v>6</v>
      </c>
      <c r="AI692" s="27">
        <v>0</v>
      </c>
      <c r="AJ692" s="27">
        <f t="shared" si="1081"/>
        <v>8</v>
      </c>
      <c r="AK692" s="47">
        <v>12</v>
      </c>
      <c r="AL692" s="57" t="str">
        <f t="shared" si="1095"/>
        <v>しなこくま</v>
      </c>
      <c r="AM692" s="62">
        <f t="shared" si="1096"/>
        <v>528</v>
      </c>
      <c r="AN692" s="27">
        <f t="shared" si="1083"/>
        <v>4224</v>
      </c>
      <c r="AO692" s="28">
        <f t="shared" si="1084"/>
        <v>0.16122137404580153</v>
      </c>
      <c r="AP692" s="15"/>
      <c r="AQ692" s="15"/>
      <c r="AR692" s="26"/>
      <c r="AS692" s="27">
        <v>7837</v>
      </c>
      <c r="AT692" s="27">
        <f t="shared" si="1085"/>
        <v>126</v>
      </c>
      <c r="AU692" s="27">
        <v>324</v>
      </c>
      <c r="AV692" s="27">
        <f t="shared" si="1086"/>
        <v>2</v>
      </c>
      <c r="AW692" s="27">
        <v>12</v>
      </c>
      <c r="AX692" s="27">
        <f t="shared" si="1087"/>
        <v>3</v>
      </c>
      <c r="AY692" s="47">
        <v>4</v>
      </c>
      <c r="AZ692" s="57" t="str">
        <f t="shared" si="1088"/>
        <v>サンリオミニリュック</v>
      </c>
      <c r="BA692" s="62">
        <f t="shared" si="1089"/>
        <v>600</v>
      </c>
      <c r="BB692" s="27">
        <f t="shared" si="1090"/>
        <v>1800</v>
      </c>
      <c r="BC692" s="28">
        <f t="shared" si="1091"/>
        <v>0.14285714285714285</v>
      </c>
      <c r="BD692" s="15"/>
      <c r="BT692" s="15"/>
      <c r="BU692" s="16"/>
      <c r="BV692" s="54"/>
      <c r="BW692" s="13" t="str">
        <f>IF(BV692="","",BV692-BV691)</f>
        <v/>
      </c>
      <c r="BX692" s="13"/>
      <c r="BY692" s="13"/>
      <c r="BZ692" s="13"/>
      <c r="CA692" s="13" t="str">
        <f>IF(BZ692="","",BZ691+CB691-BZ692)</f>
        <v/>
      </c>
      <c r="CB692" s="13"/>
      <c r="CC692" s="13"/>
      <c r="CD692" s="13"/>
      <c r="CE692" s="13" t="str">
        <f t="shared" si="1097"/>
        <v/>
      </c>
      <c r="CF692" s="14" t="str">
        <f t="shared" si="1098"/>
        <v/>
      </c>
      <c r="CG692" s="15"/>
      <c r="CH692" s="1"/>
      <c r="CI692" s="16"/>
      <c r="CJ692" s="54"/>
      <c r="CK692" s="13" t="str">
        <f>IF(CJ692="","",CJ692-CJ691)</f>
        <v/>
      </c>
      <c r="CL692" s="13"/>
      <c r="CM692" s="13"/>
      <c r="CN692" s="13"/>
      <c r="CO692" s="13" t="str">
        <f>IF(CN692="","",CN691+CP691-CN692)</f>
        <v/>
      </c>
      <c r="CP692" s="13"/>
      <c r="CQ692" s="13"/>
      <c r="CR692" s="13"/>
      <c r="CS692" s="13" t="str">
        <f t="shared" si="1099"/>
        <v/>
      </c>
      <c r="CT692" s="14" t="str">
        <f t="shared" si="1104"/>
        <v/>
      </c>
      <c r="CU692" s="15"/>
      <c r="CV692" s="1"/>
      <c r="CW692" s="16"/>
      <c r="CX692" s="54"/>
      <c r="CY692" s="13" t="str">
        <f>IF(CX692="","",CX692-CX691)</f>
        <v/>
      </c>
      <c r="CZ692" s="13"/>
      <c r="DA692" s="13"/>
      <c r="DB692" s="13"/>
      <c r="DC692" s="13" t="str">
        <f>IF(DB692="","",DB691+DD691-DB692)</f>
        <v/>
      </c>
      <c r="DD692" s="13"/>
      <c r="DE692" s="13"/>
      <c r="DF692" s="13"/>
      <c r="DG692" s="13" t="str">
        <f t="shared" si="1100"/>
        <v/>
      </c>
      <c r="DH692" s="14" t="str">
        <f t="shared" si="1101"/>
        <v/>
      </c>
      <c r="DI692" s="15"/>
      <c r="DJ692" s="1"/>
      <c r="DK692" s="16"/>
      <c r="DL692" s="54"/>
      <c r="DM692" s="13" t="str">
        <f>IF(DL692="","",DL692-DL691)</f>
        <v/>
      </c>
      <c r="DN692" s="13"/>
      <c r="DO692" s="13"/>
      <c r="DP692" s="13"/>
      <c r="DQ692" s="13" t="str">
        <f>IF(DP692="","",DP691+DR691-DP692)</f>
        <v/>
      </c>
      <c r="DR692" s="13"/>
      <c r="DS692" s="13"/>
      <c r="DT692" s="13"/>
      <c r="DU692" s="13" t="str">
        <f t="shared" si="1102"/>
        <v/>
      </c>
      <c r="DV692" s="14" t="str">
        <f t="shared" si="1103"/>
        <v/>
      </c>
      <c r="DW692" s="15"/>
    </row>
    <row r="693" spans="1:127" ht="15" customHeight="1" thickTop="1" x14ac:dyDescent="0.2">
      <c r="A693" s="16">
        <v>45901</v>
      </c>
      <c r="B693" s="74">
        <f>IF(A693="","",SUM(D693:D696)+SUM(R693:R696)+SUM(AF693:AF696)+SUM(AT693:AT696)+SUM(BW675,CK675,CY675,DM675))</f>
        <v>3030</v>
      </c>
      <c r="C693" s="13">
        <v>1803</v>
      </c>
      <c r="D693" s="53">
        <f t="shared" si="1068"/>
        <v>154</v>
      </c>
      <c r="E693" s="13">
        <v>277</v>
      </c>
      <c r="F693" s="31">
        <f t="shared" si="1069"/>
        <v>2</v>
      </c>
      <c r="G693" s="13">
        <v>11</v>
      </c>
      <c r="H693" s="53">
        <f t="shared" si="1092"/>
        <v>2</v>
      </c>
      <c r="I693" s="17">
        <v>0</v>
      </c>
      <c r="J693" s="75" t="str">
        <f t="shared" si="1093"/>
        <v>ジャグラーサウンドボタン</v>
      </c>
      <c r="K693" s="76">
        <f t="shared" si="1094"/>
        <v>748</v>
      </c>
      <c r="L693" s="31">
        <f t="shared" si="1070"/>
        <v>1496</v>
      </c>
      <c r="M693" s="32">
        <f t="shared" si="1071"/>
        <v>9.7142857142857142E-2</v>
      </c>
      <c r="N693" s="15"/>
      <c r="O693" s="2"/>
      <c r="P693" s="79">
        <f>IF($A693="","",$A693)</f>
        <v>45901</v>
      </c>
      <c r="Q693" s="13">
        <v>980</v>
      </c>
      <c r="R693" s="53">
        <f t="shared" si="1072"/>
        <v>79</v>
      </c>
      <c r="S693" s="13">
        <v>67</v>
      </c>
      <c r="T693" s="31">
        <f t="shared" si="1073"/>
        <v>5</v>
      </c>
      <c r="U693" s="13">
        <v>9</v>
      </c>
      <c r="V693" s="53">
        <f t="shared" si="1074"/>
        <v>5</v>
      </c>
      <c r="W693" s="17">
        <v>0</v>
      </c>
      <c r="X693" s="75" t="str">
        <f t="shared" si="1075"/>
        <v>ガーナイヤホン</v>
      </c>
      <c r="Y693" s="76">
        <f t="shared" si="1076"/>
        <v>1100</v>
      </c>
      <c r="Z693" s="31">
        <f t="shared" si="1077"/>
        <v>5500</v>
      </c>
      <c r="AA693" s="32">
        <f t="shared" si="1078"/>
        <v>0.69620253164556967</v>
      </c>
      <c r="AB693" s="15" t="s">
        <v>271</v>
      </c>
      <c r="AC693" s="15"/>
      <c r="AD693" s="79">
        <f>IF($A693="","",$A693)</f>
        <v>45901</v>
      </c>
      <c r="AE693" s="13">
        <v>7031</v>
      </c>
      <c r="AF693" s="53">
        <f t="shared" si="1079"/>
        <v>70</v>
      </c>
      <c r="AG693" s="13">
        <v>157</v>
      </c>
      <c r="AH693" s="31">
        <f t="shared" si="1080"/>
        <v>8</v>
      </c>
      <c r="AI693" s="13">
        <v>34</v>
      </c>
      <c r="AJ693" s="53">
        <f t="shared" si="1081"/>
        <v>7</v>
      </c>
      <c r="AK693" s="17">
        <v>0</v>
      </c>
      <c r="AL693" s="75" t="str">
        <f t="shared" si="1095"/>
        <v>キティーサンダルキーホルダー</v>
      </c>
      <c r="AM693" s="76">
        <f t="shared" si="1096"/>
        <v>600</v>
      </c>
      <c r="AN693" s="31">
        <f t="shared" si="1083"/>
        <v>4200</v>
      </c>
      <c r="AO693" s="32">
        <f t="shared" si="1084"/>
        <v>0.6</v>
      </c>
      <c r="AP693" s="15" t="s">
        <v>269</v>
      </c>
      <c r="AQ693" s="15"/>
      <c r="AR693" s="79">
        <f>IF($A693="","",$A693)</f>
        <v>45901</v>
      </c>
      <c r="AS693" s="13">
        <v>7851</v>
      </c>
      <c r="AT693" s="53">
        <f t="shared" si="1085"/>
        <v>144</v>
      </c>
      <c r="AU693" s="13">
        <v>234</v>
      </c>
      <c r="AV693" s="31">
        <f t="shared" si="1086"/>
        <v>3</v>
      </c>
      <c r="AW693" s="13">
        <v>14</v>
      </c>
      <c r="AX693" s="53">
        <f t="shared" si="1087"/>
        <v>3</v>
      </c>
      <c r="AY693" s="17">
        <v>0</v>
      </c>
      <c r="AZ693" s="75" t="str">
        <f t="shared" si="1088"/>
        <v>こびとづかんキーケース</v>
      </c>
      <c r="BA693" s="76">
        <f t="shared" si="1089"/>
        <v>726</v>
      </c>
      <c r="BB693" s="31">
        <f t="shared" si="1090"/>
        <v>2178</v>
      </c>
      <c r="BC693" s="32">
        <f t="shared" si="1091"/>
        <v>0.15125</v>
      </c>
      <c r="BD693" s="15"/>
      <c r="BT693" s="15"/>
      <c r="BU693" s="16"/>
      <c r="BV693" s="13"/>
      <c r="BW693" s="13" t="str">
        <f>IF(BV693="","",BV693-BV694)</f>
        <v/>
      </c>
      <c r="BX693" s="13"/>
      <c r="BY693" s="13" t="str">
        <f>IF(BX693="","",BX693-BX694)</f>
        <v/>
      </c>
      <c r="BZ693" s="13"/>
      <c r="CA693" s="13" t="str">
        <f>IF(BZ693="","",BZ694+CB694-BZ693)</f>
        <v/>
      </c>
      <c r="CB693" s="13"/>
      <c r="CC693" s="13"/>
      <c r="CD693" s="13"/>
      <c r="CE693" s="13" t="str">
        <f t="shared" si="1097"/>
        <v/>
      </c>
      <c r="CF693" s="14" t="str">
        <f t="shared" si="1098"/>
        <v/>
      </c>
      <c r="CG693" s="15"/>
      <c r="CH693" s="1"/>
      <c r="CI693" s="16"/>
      <c r="CJ693" s="13"/>
      <c r="CK693" s="13" t="str">
        <f>IF(CJ693="","",CJ693-CJ694)</f>
        <v/>
      </c>
      <c r="CL693" s="13"/>
      <c r="CM693" s="13" t="str">
        <f>IF(CL693="","",CL693-CL694)</f>
        <v/>
      </c>
      <c r="CN693" s="13"/>
      <c r="CO693" s="13" t="str">
        <f>IF(CN693="","",CN694+CP694-CN693)</f>
        <v/>
      </c>
      <c r="CP693" s="13"/>
      <c r="CQ693" s="13"/>
      <c r="CR693" s="13"/>
      <c r="CS693" s="13" t="str">
        <f t="shared" si="1099"/>
        <v/>
      </c>
      <c r="CT693" s="14" t="str">
        <f t="shared" si="1104"/>
        <v/>
      </c>
      <c r="CU693" s="15"/>
      <c r="CV693" s="1"/>
      <c r="CW693" s="16"/>
      <c r="CX693" s="13"/>
      <c r="CY693" s="13" t="str">
        <f>IF(CX693="","",CX693-CX694)</f>
        <v/>
      </c>
      <c r="CZ693" s="13"/>
      <c r="DA693" s="13" t="str">
        <f>IF(CZ693="","",CZ693-CZ694)</f>
        <v/>
      </c>
      <c r="DB693" s="13"/>
      <c r="DC693" s="13" t="str">
        <f>IF(DB693="","",DB694+DD694-DB693)</f>
        <v/>
      </c>
      <c r="DD693" s="13"/>
      <c r="DE693" s="13"/>
      <c r="DF693" s="13"/>
      <c r="DG693" s="13" t="str">
        <f t="shared" si="1100"/>
        <v/>
      </c>
      <c r="DH693" s="14" t="str">
        <f t="shared" si="1101"/>
        <v/>
      </c>
      <c r="DI693" s="15"/>
      <c r="DJ693" s="1"/>
      <c r="DK693" s="16"/>
      <c r="DL693" s="13"/>
      <c r="DM693" s="13" t="str">
        <f>IF(DL693="","",DL693-DL694)</f>
        <v/>
      </c>
      <c r="DN693" s="13"/>
      <c r="DO693" s="13" t="str">
        <f>IF(DN693="","",DN693-DN694)</f>
        <v/>
      </c>
      <c r="DP693" s="13"/>
      <c r="DQ693" s="13" t="str">
        <f>IF(DP693="","",DP694+DR694-DP693)</f>
        <v/>
      </c>
      <c r="DR693" s="13"/>
      <c r="DS693" s="13"/>
      <c r="DT693" s="13"/>
      <c r="DU693" s="13" t="str">
        <f t="shared" si="1102"/>
        <v/>
      </c>
      <c r="DV693" s="14" t="str">
        <f t="shared" si="1103"/>
        <v/>
      </c>
      <c r="DW693" s="15"/>
    </row>
    <row r="694" spans="1:127" ht="15" customHeight="1" x14ac:dyDescent="0.2">
      <c r="A694" s="79"/>
      <c r="B694" s="11"/>
      <c r="C694" s="53">
        <v>1352</v>
      </c>
      <c r="D694" s="13">
        <f t="shared" si="1068"/>
        <v>74</v>
      </c>
      <c r="E694" s="53">
        <v>271</v>
      </c>
      <c r="F694" s="13">
        <f t="shared" si="1069"/>
        <v>3</v>
      </c>
      <c r="G694" s="13">
        <v>48</v>
      </c>
      <c r="H694" s="13">
        <f t="shared" si="1092"/>
        <v>3</v>
      </c>
      <c r="I694" s="17">
        <v>0</v>
      </c>
      <c r="J694" s="56" t="str">
        <f t="shared" si="1093"/>
        <v>ジャグラーコインホルダー</v>
      </c>
      <c r="K694" s="54">
        <f t="shared" si="1094"/>
        <v>220</v>
      </c>
      <c r="L694" s="13">
        <f t="shared" si="1070"/>
        <v>660</v>
      </c>
      <c r="M694" s="14">
        <f t="shared" si="1071"/>
        <v>8.9189189189189194E-2</v>
      </c>
      <c r="N694" s="15"/>
      <c r="O694" s="2"/>
      <c r="P694" s="79" t="str">
        <f>IF(A694="","",A694)</f>
        <v/>
      </c>
      <c r="Q694" s="53">
        <v>1636</v>
      </c>
      <c r="R694" s="13">
        <f t="shared" si="1072"/>
        <v>115</v>
      </c>
      <c r="S694" s="53">
        <v>54</v>
      </c>
      <c r="T694" s="13">
        <f t="shared" si="1073"/>
        <v>5</v>
      </c>
      <c r="U694" s="13">
        <v>1</v>
      </c>
      <c r="V694" s="13">
        <f t="shared" si="1074"/>
        <v>6</v>
      </c>
      <c r="W694" s="17">
        <v>4</v>
      </c>
      <c r="X694" s="56" t="str">
        <f t="shared" si="1075"/>
        <v>サンリオFAN</v>
      </c>
      <c r="Y694" s="54">
        <f t="shared" si="1076"/>
        <v>1100</v>
      </c>
      <c r="Z694" s="13">
        <f t="shared" si="1077"/>
        <v>6600</v>
      </c>
      <c r="AA694" s="14">
        <f t="shared" si="1078"/>
        <v>0.57391304347826089</v>
      </c>
      <c r="AB694" s="15" t="s">
        <v>253</v>
      </c>
      <c r="AC694" s="15"/>
      <c r="AD694" s="79" t="str">
        <f>IF(O694="","",O694)</f>
        <v/>
      </c>
      <c r="AE694" s="53">
        <v>6167</v>
      </c>
      <c r="AF694" s="13">
        <f t="shared" si="1079"/>
        <v>79</v>
      </c>
      <c r="AG694" s="53">
        <v>139</v>
      </c>
      <c r="AH694" s="13">
        <f t="shared" si="1080"/>
        <v>2</v>
      </c>
      <c r="AI694" s="13">
        <v>17</v>
      </c>
      <c r="AJ694" s="13">
        <f t="shared" si="1081"/>
        <v>2</v>
      </c>
      <c r="AK694" s="17">
        <v>0</v>
      </c>
      <c r="AL694" s="56" t="str">
        <f t="shared" si="1095"/>
        <v>デジタルミニカメラ</v>
      </c>
      <c r="AM694" s="54">
        <f t="shared" si="1096"/>
        <v>800</v>
      </c>
      <c r="AN694" s="13">
        <f t="shared" si="1083"/>
        <v>1600</v>
      </c>
      <c r="AO694" s="14">
        <f t="shared" si="1084"/>
        <v>0.20253164556962025</v>
      </c>
      <c r="AP694" s="15"/>
      <c r="AQ694" s="15"/>
      <c r="AR694" s="79" t="str">
        <f>IF(AC694="","",AC694)</f>
        <v/>
      </c>
      <c r="AS694" s="53">
        <v>5177</v>
      </c>
      <c r="AT694" s="13">
        <f t="shared" si="1085"/>
        <v>76</v>
      </c>
      <c r="AU694" s="53">
        <v>267</v>
      </c>
      <c r="AV694" s="13">
        <f t="shared" si="1086"/>
        <v>3</v>
      </c>
      <c r="AW694" s="13">
        <v>28</v>
      </c>
      <c r="AX694" s="13">
        <f t="shared" si="1087"/>
        <v>3</v>
      </c>
      <c r="AY694" s="17">
        <v>0</v>
      </c>
      <c r="AZ694" s="56" t="str">
        <f t="shared" si="1088"/>
        <v>ねこアイシャドウ</v>
      </c>
      <c r="BA694" s="54">
        <f t="shared" si="1089"/>
        <v>1000</v>
      </c>
      <c r="BB694" s="13">
        <f t="shared" si="1090"/>
        <v>3000</v>
      </c>
      <c r="BC694" s="14">
        <f t="shared" si="1091"/>
        <v>0.39473684210526316</v>
      </c>
      <c r="BD694" s="15"/>
      <c r="BT694" s="15"/>
      <c r="BU694" s="16"/>
      <c r="BV694" s="13"/>
      <c r="BW694" s="13" t="str">
        <f>IF(BV694="","",BV694-BV692)</f>
        <v/>
      </c>
      <c r="BX694" s="13"/>
      <c r="BY694" s="13" t="str">
        <f>IF(BX694="","",BX694-BX692)</f>
        <v/>
      </c>
      <c r="BZ694" s="13"/>
      <c r="CA694" s="13" t="str">
        <f>IF(BZ694="","",BZ692+CB692-BZ694)</f>
        <v/>
      </c>
      <c r="CB694" s="13"/>
      <c r="CC694" s="13"/>
      <c r="CD694" s="13"/>
      <c r="CE694" s="13" t="str">
        <f t="shared" si="1097"/>
        <v/>
      </c>
      <c r="CF694" s="14" t="str">
        <f t="shared" si="1098"/>
        <v/>
      </c>
      <c r="CG694" s="15"/>
      <c r="CH694" s="1"/>
      <c r="CI694" s="16"/>
      <c r="CJ694" s="13"/>
      <c r="CK694" s="13" t="str">
        <f>IF(CJ694="","",CJ694-CJ692)</f>
        <v/>
      </c>
      <c r="CL694" s="13"/>
      <c r="CM694" s="13" t="str">
        <f>IF(CL694="","",CL694-CL692)</f>
        <v/>
      </c>
      <c r="CN694" s="13"/>
      <c r="CO694" s="13" t="str">
        <f>IF(CN694="","",CN692+CP692-CN694)</f>
        <v/>
      </c>
      <c r="CP694" s="13"/>
      <c r="CQ694" s="13"/>
      <c r="CR694" s="13"/>
      <c r="CS694" s="13" t="str">
        <f t="shared" si="1099"/>
        <v/>
      </c>
      <c r="CT694" s="14" t="str">
        <f t="shared" si="1104"/>
        <v/>
      </c>
      <c r="CU694" s="15"/>
      <c r="CV694" s="1"/>
      <c r="CW694" s="16"/>
      <c r="CX694" s="13"/>
      <c r="CY694" s="13" t="str">
        <f>IF(CX694="","",CX694-CX692)</f>
        <v/>
      </c>
      <c r="CZ694" s="13"/>
      <c r="DA694" s="13" t="str">
        <f>IF(CZ694="","",CZ694-CZ692)</f>
        <v/>
      </c>
      <c r="DB694" s="13"/>
      <c r="DC694" s="13" t="str">
        <f>IF(DB694="","",DB692+DD692-DB694)</f>
        <v/>
      </c>
      <c r="DD694" s="13"/>
      <c r="DE694" s="13"/>
      <c r="DF694" s="13"/>
      <c r="DG694" s="13" t="str">
        <f t="shared" si="1100"/>
        <v/>
      </c>
      <c r="DH694" s="14" t="str">
        <f t="shared" si="1101"/>
        <v/>
      </c>
      <c r="DI694" s="15"/>
      <c r="DJ694" s="1"/>
      <c r="DK694" s="16"/>
      <c r="DL694" s="13"/>
      <c r="DM694" s="13" t="str">
        <f>IF(DL694="","",DL694-DL692)</f>
        <v/>
      </c>
      <c r="DN694" s="13"/>
      <c r="DO694" s="13" t="str">
        <f>IF(DN694="","",DN694-DN692)</f>
        <v/>
      </c>
      <c r="DP694" s="13"/>
      <c r="DQ694" s="13" t="str">
        <f>IF(DP694="","",DP692+DR692-DP694)</f>
        <v/>
      </c>
      <c r="DR694" s="13"/>
      <c r="DS694" s="13"/>
      <c r="DT694" s="13"/>
      <c r="DU694" s="13" t="str">
        <f t="shared" si="1102"/>
        <v/>
      </c>
      <c r="DV694" s="14" t="str">
        <f t="shared" si="1103"/>
        <v/>
      </c>
      <c r="DW694" s="15"/>
    </row>
    <row r="695" spans="1:127" ht="15" customHeight="1" x14ac:dyDescent="0.2">
      <c r="A695" s="16"/>
      <c r="B695" s="11"/>
      <c r="C695" s="13">
        <v>4931</v>
      </c>
      <c r="D695" s="13">
        <f t="shared" si="1068"/>
        <v>400</v>
      </c>
      <c r="E695" s="13">
        <v>368</v>
      </c>
      <c r="F695" s="13">
        <f t="shared" si="1069"/>
        <v>11</v>
      </c>
      <c r="G695" s="13">
        <v>86</v>
      </c>
      <c r="H695" s="13">
        <f t="shared" si="1092"/>
        <v>14</v>
      </c>
      <c r="I695" s="17">
        <v>40</v>
      </c>
      <c r="J695" s="56" t="str">
        <f t="shared" si="1093"/>
        <v>AIモンスタラバー</v>
      </c>
      <c r="K695" s="13">
        <f t="shared" si="1094"/>
        <v>200</v>
      </c>
      <c r="L695" s="13">
        <f t="shared" si="1070"/>
        <v>2800</v>
      </c>
      <c r="M695" s="14">
        <f t="shared" si="1071"/>
        <v>7.0000000000000007E-2</v>
      </c>
      <c r="N695" s="15"/>
      <c r="O695" s="2"/>
      <c r="P695" s="16"/>
      <c r="Q695" s="13">
        <v>2140</v>
      </c>
      <c r="R695" s="13">
        <f t="shared" si="1072"/>
        <v>115</v>
      </c>
      <c r="S695" s="13">
        <v>26</v>
      </c>
      <c r="T695" s="13">
        <f t="shared" si="1073"/>
        <v>1</v>
      </c>
      <c r="U695" s="13">
        <v>7</v>
      </c>
      <c r="V695" s="13">
        <f t="shared" si="1074"/>
        <v>1</v>
      </c>
      <c r="W695" s="17">
        <v>1</v>
      </c>
      <c r="X695" s="56" t="str">
        <f t="shared" si="1075"/>
        <v>キティフェイスポーチ</v>
      </c>
      <c r="Y695" s="13">
        <f t="shared" si="1076"/>
        <v>957</v>
      </c>
      <c r="Z695" s="13">
        <f t="shared" si="1077"/>
        <v>957</v>
      </c>
      <c r="AA695" s="14">
        <f t="shared" si="1078"/>
        <v>8.3217391304347826E-2</v>
      </c>
      <c r="AB695" s="15"/>
      <c r="AC695" s="15"/>
      <c r="AD695" s="16"/>
      <c r="AE695" s="13">
        <v>6653</v>
      </c>
      <c r="AF695" s="87">
        <f t="shared" si="1079"/>
        <v>41</v>
      </c>
      <c r="AG695" s="13">
        <v>254</v>
      </c>
      <c r="AH695" s="13">
        <f t="shared" si="1080"/>
        <v>1</v>
      </c>
      <c r="AI695" s="13">
        <v>5</v>
      </c>
      <c r="AJ695" s="13">
        <f t="shared" si="1081"/>
        <v>2</v>
      </c>
      <c r="AK695" s="17">
        <v>3</v>
      </c>
      <c r="AL695" s="111" t="str">
        <f t="shared" si="1095"/>
        <v>チェゴシムファン</v>
      </c>
      <c r="AM695" s="13">
        <f t="shared" si="1096"/>
        <v>1050</v>
      </c>
      <c r="AN695" s="13">
        <f t="shared" si="1083"/>
        <v>2100</v>
      </c>
      <c r="AO695" s="14">
        <f t="shared" si="1084"/>
        <v>0.51219512195121952</v>
      </c>
      <c r="AP695" s="15" t="s">
        <v>272</v>
      </c>
      <c r="AQ695" s="15"/>
      <c r="AR695" s="16"/>
      <c r="AS695" s="13">
        <v>8671</v>
      </c>
      <c r="AT695" s="13">
        <f t="shared" si="1085"/>
        <v>101</v>
      </c>
      <c r="AU695" s="13">
        <v>364</v>
      </c>
      <c r="AV695" s="13">
        <f t="shared" si="1086"/>
        <v>5</v>
      </c>
      <c r="AW695" s="13">
        <v>135</v>
      </c>
      <c r="AX695" s="13">
        <f t="shared" si="1087"/>
        <v>5</v>
      </c>
      <c r="AY695" s="17">
        <v>0</v>
      </c>
      <c r="AZ695" s="56" t="str">
        <f t="shared" si="1088"/>
        <v>SPGラバーキーホルダー</v>
      </c>
      <c r="BA695" s="13">
        <f t="shared" si="1089"/>
        <v>200</v>
      </c>
      <c r="BB695" s="13">
        <f t="shared" si="1090"/>
        <v>1000</v>
      </c>
      <c r="BC695" s="14">
        <f t="shared" si="1091"/>
        <v>9.9009900990099015E-2</v>
      </c>
      <c r="BD695" s="15"/>
      <c r="BT695" s="15"/>
      <c r="BU695" s="16"/>
      <c r="BV695" s="54"/>
      <c r="BW695" s="13" t="str">
        <f>IF(BV695="","",BV695-BV693)</f>
        <v/>
      </c>
      <c r="BX695" s="13"/>
      <c r="BY695" s="13"/>
      <c r="BZ695" s="13"/>
      <c r="CA695" s="13" t="str">
        <f>IF(BZ695="","",BZ693+CB693-BZ695)</f>
        <v/>
      </c>
      <c r="CB695" s="13"/>
      <c r="CC695" s="13"/>
      <c r="CD695" s="13"/>
      <c r="CE695" s="13" t="str">
        <f t="shared" si="1097"/>
        <v/>
      </c>
      <c r="CF695" s="14" t="str">
        <f t="shared" si="1098"/>
        <v/>
      </c>
      <c r="CG695" s="15"/>
      <c r="CH695" s="1"/>
      <c r="CI695" s="16"/>
      <c r="CJ695" s="54"/>
      <c r="CK695" s="13" t="str">
        <f>IF(CJ695="","",CJ695-CJ693)</f>
        <v/>
      </c>
      <c r="CL695" s="13"/>
      <c r="CM695" s="13"/>
      <c r="CN695" s="13"/>
      <c r="CO695" s="13" t="str">
        <f>IF(CN695="","",CN693+CP693-CN695)</f>
        <v/>
      </c>
      <c r="CP695" s="13"/>
      <c r="CQ695" s="13"/>
      <c r="CR695" s="13"/>
      <c r="CS695" s="13" t="str">
        <f t="shared" si="1099"/>
        <v/>
      </c>
      <c r="CT695" s="14" t="str">
        <f t="shared" si="1104"/>
        <v/>
      </c>
      <c r="CU695" s="15"/>
      <c r="CV695" s="1"/>
      <c r="CW695" s="16"/>
      <c r="CX695" s="54"/>
      <c r="CY695" s="13" t="str">
        <f>IF(CX695="","",CX695-CX693)</f>
        <v/>
      </c>
      <c r="CZ695" s="13"/>
      <c r="DA695" s="13"/>
      <c r="DB695" s="13"/>
      <c r="DC695" s="13" t="str">
        <f>IF(DB695="","",DB693+DD693-DB695)</f>
        <v/>
      </c>
      <c r="DD695" s="13"/>
      <c r="DE695" s="13"/>
      <c r="DF695" s="13"/>
      <c r="DG695" s="13" t="str">
        <f t="shared" si="1100"/>
        <v/>
      </c>
      <c r="DH695" s="14" t="str">
        <f t="shared" si="1101"/>
        <v/>
      </c>
      <c r="DI695" s="15"/>
      <c r="DJ695" s="1"/>
      <c r="DK695" s="16"/>
      <c r="DL695" s="54"/>
      <c r="DM695" s="13" t="str">
        <f>IF(DL695="","",DL695-DL693)</f>
        <v/>
      </c>
      <c r="DN695" s="13"/>
      <c r="DO695" s="13"/>
      <c r="DP695" s="13"/>
      <c r="DQ695" s="13" t="str">
        <f>IF(DP695="","",DP693+DR693-DP695)</f>
        <v/>
      </c>
      <c r="DR695" s="13"/>
      <c r="DS695" s="13"/>
      <c r="DT695" s="13"/>
      <c r="DU695" s="13" t="str">
        <f t="shared" si="1102"/>
        <v/>
      </c>
      <c r="DV695" s="14" t="str">
        <f t="shared" si="1103"/>
        <v/>
      </c>
      <c r="DW695" s="15"/>
    </row>
    <row r="696" spans="1:127" ht="15" customHeight="1" thickBot="1" x14ac:dyDescent="0.25">
      <c r="A696" s="26"/>
      <c r="B696" s="46"/>
      <c r="C696" s="27">
        <v>2364</v>
      </c>
      <c r="D696" s="27">
        <f t="shared" si="1068"/>
        <v>187</v>
      </c>
      <c r="E696" s="27">
        <v>344</v>
      </c>
      <c r="F696" s="27">
        <f t="shared" si="1069"/>
        <v>8</v>
      </c>
      <c r="G696" s="27">
        <v>46</v>
      </c>
      <c r="H696" s="27">
        <f t="shared" si="1092"/>
        <v>9</v>
      </c>
      <c r="I696" s="47">
        <v>8</v>
      </c>
      <c r="J696" s="57" t="str">
        <f t="shared" si="1093"/>
        <v>NICIマスコット</v>
      </c>
      <c r="K696" s="62">
        <f t="shared" si="1094"/>
        <v>682</v>
      </c>
      <c r="L696" s="27">
        <f t="shared" si="1070"/>
        <v>6138</v>
      </c>
      <c r="M696" s="28">
        <f t="shared" si="1071"/>
        <v>0.32823529411764707</v>
      </c>
      <c r="N696" s="15"/>
      <c r="O696" s="2"/>
      <c r="P696" s="26"/>
      <c r="Q696" s="27">
        <v>2650</v>
      </c>
      <c r="R696" s="27">
        <f t="shared" si="1072"/>
        <v>246</v>
      </c>
      <c r="S696" s="27">
        <v>50</v>
      </c>
      <c r="T696" s="27">
        <f t="shared" si="1073"/>
        <v>4</v>
      </c>
      <c r="U696" s="27">
        <v>11</v>
      </c>
      <c r="V696" s="27">
        <f t="shared" si="1074"/>
        <v>4</v>
      </c>
      <c r="W696" s="47">
        <v>2</v>
      </c>
      <c r="X696" s="57" t="str">
        <f t="shared" si="1075"/>
        <v>ＡＩマスコット</v>
      </c>
      <c r="Y696" s="62">
        <f t="shared" si="1076"/>
        <v>286</v>
      </c>
      <c r="Z696" s="27">
        <f t="shared" si="1077"/>
        <v>1144</v>
      </c>
      <c r="AA696" s="28">
        <f t="shared" si="1078"/>
        <v>4.6504065040650404E-2</v>
      </c>
      <c r="AB696" s="15"/>
      <c r="AC696" s="15"/>
      <c r="AD696" s="26"/>
      <c r="AE696" s="27">
        <v>7476</v>
      </c>
      <c r="AF696" s="27">
        <f t="shared" si="1079"/>
        <v>204</v>
      </c>
      <c r="AG696" s="27">
        <v>216</v>
      </c>
      <c r="AH696" s="27">
        <f t="shared" si="1080"/>
        <v>3</v>
      </c>
      <c r="AI696" s="27">
        <v>7</v>
      </c>
      <c r="AJ696" s="27">
        <f t="shared" si="1081"/>
        <v>5</v>
      </c>
      <c r="AK696" s="47">
        <v>8</v>
      </c>
      <c r="AL696" s="57" t="str">
        <f t="shared" si="1095"/>
        <v>しなこくま</v>
      </c>
      <c r="AM696" s="62">
        <f t="shared" si="1096"/>
        <v>528</v>
      </c>
      <c r="AN696" s="27">
        <f t="shared" si="1083"/>
        <v>2640</v>
      </c>
      <c r="AO696" s="28">
        <f t="shared" si="1084"/>
        <v>0.12941176470588237</v>
      </c>
      <c r="AP696" s="15"/>
      <c r="AQ696" s="15"/>
      <c r="AR696" s="26"/>
      <c r="AS696" s="27">
        <v>8010</v>
      </c>
      <c r="AT696" s="27">
        <f t="shared" si="1085"/>
        <v>173</v>
      </c>
      <c r="AU696" s="27">
        <v>328</v>
      </c>
      <c r="AV696" s="27">
        <f t="shared" si="1086"/>
        <v>4</v>
      </c>
      <c r="AW696" s="27">
        <v>11</v>
      </c>
      <c r="AX696" s="27">
        <f t="shared" si="1087"/>
        <v>5</v>
      </c>
      <c r="AY696" s="47">
        <v>5</v>
      </c>
      <c r="AZ696" s="57" t="str">
        <f t="shared" si="1088"/>
        <v>サンリオミニリュック</v>
      </c>
      <c r="BA696" s="62">
        <f t="shared" si="1089"/>
        <v>600</v>
      </c>
      <c r="BB696" s="27">
        <f t="shared" si="1090"/>
        <v>3000</v>
      </c>
      <c r="BC696" s="28">
        <f t="shared" si="1091"/>
        <v>0.17341040462427745</v>
      </c>
      <c r="BD696" s="15"/>
      <c r="BT696" s="15"/>
      <c r="BU696" s="16"/>
      <c r="BV696" s="54"/>
      <c r="BW696" s="13" t="str">
        <f t="shared" ref="BW696:BW716" si="1105">IF(BV696="","",BV696-BV695)</f>
        <v/>
      </c>
      <c r="BX696" s="13"/>
      <c r="BY696" s="13"/>
      <c r="BZ696" s="13"/>
      <c r="CA696" s="13" t="str">
        <f t="shared" ref="CA696:CA716" si="1106">IF(BZ696="","",BZ695+CB695-BZ696)</f>
        <v/>
      </c>
      <c r="CB696" s="13"/>
      <c r="CC696" s="13"/>
      <c r="CD696" s="13"/>
      <c r="CE696" s="13" t="str">
        <f t="shared" si="1097"/>
        <v/>
      </c>
      <c r="CF696" s="14" t="str">
        <f t="shared" si="1098"/>
        <v/>
      </c>
      <c r="CG696" s="15"/>
      <c r="CH696" s="1"/>
      <c r="CI696" s="16"/>
      <c r="CJ696" s="54"/>
      <c r="CK696" s="13" t="str">
        <f t="shared" ref="CK696:CK716" si="1107">IF(CJ696="","",CJ696-CJ695)</f>
        <v/>
      </c>
      <c r="CL696" s="13"/>
      <c r="CM696" s="13"/>
      <c r="CN696" s="13"/>
      <c r="CO696" s="13" t="str">
        <f t="shared" ref="CO696:CO716" si="1108">IF(CN696="","",CN695+CP695-CN696)</f>
        <v/>
      </c>
      <c r="CP696" s="13"/>
      <c r="CQ696" s="13"/>
      <c r="CR696" s="13"/>
      <c r="CS696" s="13" t="str">
        <f t="shared" si="1099"/>
        <v/>
      </c>
      <c r="CT696" s="14" t="str">
        <f t="shared" si="1104"/>
        <v/>
      </c>
      <c r="CU696" s="15"/>
      <c r="CV696" s="1"/>
      <c r="CW696" s="16"/>
      <c r="CX696" s="54"/>
      <c r="CY696" s="13" t="str">
        <f t="shared" ref="CY696:CY716" si="1109">IF(CX696="","",CX696-CX695)</f>
        <v/>
      </c>
      <c r="CZ696" s="13"/>
      <c r="DA696" s="13"/>
      <c r="DB696" s="13"/>
      <c r="DC696" s="13" t="str">
        <f t="shared" ref="DC696:DC716" si="1110">IF(DB696="","",DB695+DD695-DB696)</f>
        <v/>
      </c>
      <c r="DD696" s="13"/>
      <c r="DE696" s="13"/>
      <c r="DF696" s="13"/>
      <c r="DG696" s="13" t="str">
        <f t="shared" si="1100"/>
        <v/>
      </c>
      <c r="DH696" s="14" t="str">
        <f t="shared" si="1101"/>
        <v/>
      </c>
      <c r="DI696" s="15"/>
      <c r="DJ696" s="1"/>
      <c r="DK696" s="16"/>
      <c r="DL696" s="54"/>
      <c r="DM696" s="13" t="str">
        <f t="shared" ref="DM696:DM716" si="1111">IF(DL696="","",DL696-DL695)</f>
        <v/>
      </c>
      <c r="DN696" s="13"/>
      <c r="DO696" s="13"/>
      <c r="DP696" s="13"/>
      <c r="DQ696" s="13" t="str">
        <f t="shared" ref="DQ696:DQ716" si="1112">IF(DP696="","",DP695+DR695-DP696)</f>
        <v/>
      </c>
      <c r="DR696" s="13"/>
      <c r="DS696" s="13"/>
      <c r="DT696" s="13"/>
      <c r="DU696" s="13" t="str">
        <f t="shared" si="1102"/>
        <v/>
      </c>
      <c r="DV696" s="14" t="str">
        <f t="shared" si="1103"/>
        <v/>
      </c>
      <c r="DW696" s="15"/>
    </row>
    <row r="697" spans="1:127" ht="15" customHeight="1" thickTop="1" x14ac:dyDescent="0.2">
      <c r="A697" s="79">
        <v>45905</v>
      </c>
      <c r="B697" s="74">
        <f>IF(A697="","",SUM(D697:D700)+SUM(R697:R700)+SUM(AF697:AF700)+SUM(AT697:AT700)+SUM(BW676,CK676,CY676,DM676))</f>
        <v>1798</v>
      </c>
      <c r="C697" s="13">
        <v>1895</v>
      </c>
      <c r="D697" s="53">
        <f t="shared" si="1068"/>
        <v>92</v>
      </c>
      <c r="E697" s="13">
        <v>277</v>
      </c>
      <c r="F697" s="31">
        <f t="shared" si="1069"/>
        <v>0</v>
      </c>
      <c r="G697" s="13">
        <v>11</v>
      </c>
      <c r="H697" s="53">
        <f t="shared" si="1092"/>
        <v>0</v>
      </c>
      <c r="I697" s="80">
        <v>2</v>
      </c>
      <c r="J697" s="75" t="str">
        <f t="shared" si="1093"/>
        <v>ジャグラーサウンドボタン</v>
      </c>
      <c r="K697" s="76">
        <f t="shared" si="1094"/>
        <v>748</v>
      </c>
      <c r="L697" s="31">
        <f t="shared" si="1070"/>
        <v>0</v>
      </c>
      <c r="M697" s="32">
        <f t="shared" si="1071"/>
        <v>0</v>
      </c>
      <c r="N697" s="15"/>
      <c r="O697" s="2"/>
      <c r="P697" s="79">
        <f>IF($A697="","",$A697)</f>
        <v>45905</v>
      </c>
      <c r="Q697" s="13">
        <v>1025</v>
      </c>
      <c r="R697" s="53">
        <f t="shared" si="1072"/>
        <v>45</v>
      </c>
      <c r="S697" s="13">
        <v>70</v>
      </c>
      <c r="T697" s="31">
        <f t="shared" si="1073"/>
        <v>3</v>
      </c>
      <c r="U697" s="13">
        <v>6</v>
      </c>
      <c r="V697" s="53">
        <f t="shared" si="1074"/>
        <v>3</v>
      </c>
      <c r="W697" s="80">
        <v>0</v>
      </c>
      <c r="X697" s="75" t="str">
        <f t="shared" si="1075"/>
        <v>ガーナイヤホン</v>
      </c>
      <c r="Y697" s="76">
        <f t="shared" si="1076"/>
        <v>1100</v>
      </c>
      <c r="Z697" s="31">
        <f t="shared" si="1077"/>
        <v>3300</v>
      </c>
      <c r="AA697" s="32">
        <f t="shared" si="1078"/>
        <v>0.73333333333333328</v>
      </c>
      <c r="AB697" s="15" t="s">
        <v>275</v>
      </c>
      <c r="AC697" s="15"/>
      <c r="AD697" s="79">
        <f>IF($A697="","",$A697)</f>
        <v>45905</v>
      </c>
      <c r="AE697" s="13">
        <v>7065</v>
      </c>
      <c r="AF697" s="53">
        <f t="shared" si="1079"/>
        <v>34</v>
      </c>
      <c r="AG697" s="13">
        <v>158</v>
      </c>
      <c r="AH697" s="31">
        <f t="shared" si="1080"/>
        <v>1</v>
      </c>
      <c r="AI697" s="13">
        <v>32</v>
      </c>
      <c r="AJ697" s="53">
        <f t="shared" si="1081"/>
        <v>2</v>
      </c>
      <c r="AK697" s="80">
        <v>-12</v>
      </c>
      <c r="AL697" s="75" t="str">
        <f t="shared" si="1095"/>
        <v>キティーサンダルキーホルダー</v>
      </c>
      <c r="AM697" s="76">
        <f t="shared" si="1096"/>
        <v>600</v>
      </c>
      <c r="AN697" s="31">
        <f t="shared" si="1083"/>
        <v>1200</v>
      </c>
      <c r="AO697" s="32">
        <f t="shared" si="1084"/>
        <v>0.35294117647058826</v>
      </c>
      <c r="AP697" s="15" t="s">
        <v>274</v>
      </c>
      <c r="AQ697" s="15"/>
      <c r="AR697" s="79">
        <f>IF($A697="","",$A697)</f>
        <v>45905</v>
      </c>
      <c r="AS697" s="13">
        <v>7931</v>
      </c>
      <c r="AT697" s="53">
        <f t="shared" si="1085"/>
        <v>80</v>
      </c>
      <c r="AU697" s="13">
        <v>235</v>
      </c>
      <c r="AV697" s="31">
        <f t="shared" si="1086"/>
        <v>1</v>
      </c>
      <c r="AW697" s="13">
        <v>13</v>
      </c>
      <c r="AX697" s="53">
        <f t="shared" si="1087"/>
        <v>1</v>
      </c>
      <c r="AY697" s="80">
        <v>1</v>
      </c>
      <c r="AZ697" s="75" t="str">
        <f t="shared" si="1088"/>
        <v>こびとづかんキーケース</v>
      </c>
      <c r="BA697" s="76">
        <f t="shared" si="1089"/>
        <v>726</v>
      </c>
      <c r="BB697" s="31">
        <f t="shared" si="1090"/>
        <v>726</v>
      </c>
      <c r="BC697" s="32">
        <f t="shared" si="1091"/>
        <v>9.0749999999999997E-2</v>
      </c>
      <c r="BD697" s="15"/>
      <c r="BT697" s="15"/>
      <c r="BU697" s="16"/>
      <c r="BV697" s="54"/>
      <c r="BW697" s="13" t="str">
        <f t="shared" si="1105"/>
        <v/>
      </c>
      <c r="BX697" s="13"/>
      <c r="BY697" s="13"/>
      <c r="BZ697" s="13"/>
      <c r="CA697" s="13" t="str">
        <f t="shared" si="1106"/>
        <v/>
      </c>
      <c r="CB697" s="13"/>
      <c r="CC697" s="13"/>
      <c r="CD697" s="13"/>
      <c r="CE697" s="13" t="str">
        <f t="shared" si="1097"/>
        <v/>
      </c>
      <c r="CF697" s="14" t="str">
        <f t="shared" si="1098"/>
        <v/>
      </c>
      <c r="CG697" s="15"/>
      <c r="CH697" s="1"/>
      <c r="CI697" s="16"/>
      <c r="CJ697" s="54"/>
      <c r="CK697" s="13" t="str">
        <f t="shared" si="1107"/>
        <v/>
      </c>
      <c r="CL697" s="13"/>
      <c r="CM697" s="13"/>
      <c r="CN697" s="13"/>
      <c r="CO697" s="13" t="str">
        <f t="shared" si="1108"/>
        <v/>
      </c>
      <c r="CP697" s="13"/>
      <c r="CQ697" s="13"/>
      <c r="CR697" s="13"/>
      <c r="CS697" s="13" t="str">
        <f t="shared" si="1099"/>
        <v/>
      </c>
      <c r="CT697" s="14" t="str">
        <f t="shared" si="1104"/>
        <v/>
      </c>
      <c r="CU697" s="15"/>
      <c r="CV697" s="1"/>
      <c r="CW697" s="16"/>
      <c r="CX697" s="54"/>
      <c r="CY697" s="13" t="str">
        <f t="shared" si="1109"/>
        <v/>
      </c>
      <c r="CZ697" s="13"/>
      <c r="DA697" s="13"/>
      <c r="DB697" s="13"/>
      <c r="DC697" s="13" t="str">
        <f t="shared" si="1110"/>
        <v/>
      </c>
      <c r="DD697" s="13"/>
      <c r="DE697" s="13"/>
      <c r="DF697" s="13"/>
      <c r="DG697" s="13" t="str">
        <f t="shared" si="1100"/>
        <v/>
      </c>
      <c r="DH697" s="14" t="str">
        <f t="shared" si="1101"/>
        <v/>
      </c>
      <c r="DI697" s="15"/>
      <c r="DJ697" s="1"/>
      <c r="DK697" s="16"/>
      <c r="DL697" s="54"/>
      <c r="DM697" s="13" t="str">
        <f t="shared" si="1111"/>
        <v/>
      </c>
      <c r="DN697" s="13"/>
      <c r="DO697" s="13"/>
      <c r="DP697" s="13"/>
      <c r="DQ697" s="13" t="str">
        <f t="shared" si="1112"/>
        <v/>
      </c>
      <c r="DR697" s="13"/>
      <c r="DS697" s="13"/>
      <c r="DT697" s="13"/>
      <c r="DU697" s="13" t="str">
        <f t="shared" si="1102"/>
        <v/>
      </c>
      <c r="DV697" s="14" t="str">
        <f t="shared" si="1103"/>
        <v/>
      </c>
      <c r="DW697" s="15"/>
    </row>
    <row r="698" spans="1:127" ht="15" customHeight="1" x14ac:dyDescent="0.2">
      <c r="A698" s="121"/>
      <c r="B698" s="74"/>
      <c r="C698" s="53">
        <v>1402</v>
      </c>
      <c r="D698" s="13">
        <f t="shared" si="1068"/>
        <v>50</v>
      </c>
      <c r="E698" s="53">
        <v>274</v>
      </c>
      <c r="F698" s="13">
        <f t="shared" si="1069"/>
        <v>3</v>
      </c>
      <c r="G698" s="13">
        <v>45</v>
      </c>
      <c r="H698" s="13">
        <f t="shared" si="1092"/>
        <v>3</v>
      </c>
      <c r="I698" s="17">
        <v>0</v>
      </c>
      <c r="J698" s="56" t="str">
        <f t="shared" si="1093"/>
        <v>ジャグラーコインホルダー</v>
      </c>
      <c r="K698" s="54">
        <f t="shared" si="1094"/>
        <v>220</v>
      </c>
      <c r="L698" s="13">
        <f t="shared" si="1070"/>
        <v>660</v>
      </c>
      <c r="M698" s="14">
        <f t="shared" si="1071"/>
        <v>0.13200000000000001</v>
      </c>
      <c r="N698" s="15"/>
      <c r="O698" s="2"/>
      <c r="P698" s="16"/>
      <c r="Q698" s="53">
        <v>1704</v>
      </c>
      <c r="R698" s="13">
        <f t="shared" si="1072"/>
        <v>68</v>
      </c>
      <c r="S698" s="53">
        <v>57</v>
      </c>
      <c r="T698" s="13">
        <f t="shared" si="1073"/>
        <v>3</v>
      </c>
      <c r="U698" s="13">
        <v>2</v>
      </c>
      <c r="V698" s="13">
        <f t="shared" si="1074"/>
        <v>3</v>
      </c>
      <c r="W698" s="17">
        <v>4</v>
      </c>
      <c r="X698" s="56" t="str">
        <f t="shared" si="1075"/>
        <v>サンリオFAN</v>
      </c>
      <c r="Y698" s="54">
        <f t="shared" si="1076"/>
        <v>1100</v>
      </c>
      <c r="Z698" s="13">
        <f t="shared" si="1077"/>
        <v>3300</v>
      </c>
      <c r="AA698" s="14">
        <f t="shared" si="1078"/>
        <v>0.48529411764705882</v>
      </c>
      <c r="AB698" s="15" t="s">
        <v>252</v>
      </c>
      <c r="AC698" s="15"/>
      <c r="AD698" s="16"/>
      <c r="AE698" s="53">
        <v>6231</v>
      </c>
      <c r="AF698" s="13">
        <f t="shared" si="1079"/>
        <v>64</v>
      </c>
      <c r="AG698" s="53">
        <v>141</v>
      </c>
      <c r="AH698" s="13">
        <f t="shared" si="1080"/>
        <v>2</v>
      </c>
      <c r="AI698" s="13">
        <v>15</v>
      </c>
      <c r="AJ698" s="13">
        <f t="shared" si="1081"/>
        <v>2</v>
      </c>
      <c r="AK698" s="17">
        <v>0</v>
      </c>
      <c r="AL698" s="56" t="str">
        <f t="shared" si="1095"/>
        <v>デジタルミニカメラ</v>
      </c>
      <c r="AM698" s="54">
        <f t="shared" si="1096"/>
        <v>800</v>
      </c>
      <c r="AN698" s="13">
        <f t="shared" si="1083"/>
        <v>1600</v>
      </c>
      <c r="AO698" s="14">
        <f t="shared" si="1084"/>
        <v>0.25</v>
      </c>
      <c r="AP698" s="15"/>
      <c r="AQ698" s="15"/>
      <c r="AR698" s="16"/>
      <c r="AS698" s="53">
        <v>5285</v>
      </c>
      <c r="AT698" s="13">
        <f t="shared" si="1085"/>
        <v>108</v>
      </c>
      <c r="AU698" s="53">
        <v>269</v>
      </c>
      <c r="AV698" s="13">
        <f t="shared" si="1086"/>
        <v>2</v>
      </c>
      <c r="AW698" s="13">
        <v>26</v>
      </c>
      <c r="AX698" s="13">
        <f t="shared" si="1087"/>
        <v>2</v>
      </c>
      <c r="AY698" s="17">
        <v>6</v>
      </c>
      <c r="AZ698" s="56" t="str">
        <f t="shared" si="1088"/>
        <v>ねこアイシャドウ</v>
      </c>
      <c r="BA698" s="54">
        <f t="shared" si="1089"/>
        <v>1000</v>
      </c>
      <c r="BB698" s="13">
        <f t="shared" si="1090"/>
        <v>2000</v>
      </c>
      <c r="BC698" s="14">
        <f t="shared" si="1091"/>
        <v>0.18518518518518517</v>
      </c>
      <c r="BD698" s="15"/>
      <c r="BT698" s="15"/>
      <c r="BU698" s="16"/>
      <c r="BV698" s="54"/>
      <c r="BW698" s="13" t="str">
        <f t="shared" si="1105"/>
        <v/>
      </c>
      <c r="BX698" s="13"/>
      <c r="BY698" s="13"/>
      <c r="BZ698" s="13"/>
      <c r="CA698" s="13" t="str">
        <f t="shared" si="1106"/>
        <v/>
      </c>
      <c r="CB698" s="13"/>
      <c r="CC698" s="13"/>
      <c r="CD698" s="13"/>
      <c r="CE698" s="13" t="str">
        <f t="shared" si="1097"/>
        <v/>
      </c>
      <c r="CF698" s="14" t="str">
        <f t="shared" si="1098"/>
        <v/>
      </c>
      <c r="CG698" s="15"/>
      <c r="CH698" s="1"/>
      <c r="CI698" s="16"/>
      <c r="CJ698" s="54"/>
      <c r="CK698" s="13" t="str">
        <f t="shared" si="1107"/>
        <v/>
      </c>
      <c r="CL698" s="13"/>
      <c r="CM698" s="13"/>
      <c r="CN698" s="13"/>
      <c r="CO698" s="13" t="str">
        <f t="shared" si="1108"/>
        <v/>
      </c>
      <c r="CP698" s="13"/>
      <c r="CQ698" s="13"/>
      <c r="CR698" s="13"/>
      <c r="CS698" s="13" t="str">
        <f t="shared" si="1099"/>
        <v/>
      </c>
      <c r="CT698" s="14" t="str">
        <f t="shared" si="1104"/>
        <v/>
      </c>
      <c r="CU698" s="15"/>
      <c r="CV698" s="1"/>
      <c r="CW698" s="16"/>
      <c r="CX698" s="54"/>
      <c r="CY698" s="13" t="str">
        <f t="shared" si="1109"/>
        <v/>
      </c>
      <c r="CZ698" s="13"/>
      <c r="DA698" s="13"/>
      <c r="DB698" s="13"/>
      <c r="DC698" s="13" t="str">
        <f t="shared" si="1110"/>
        <v/>
      </c>
      <c r="DD698" s="13"/>
      <c r="DE698" s="13"/>
      <c r="DF698" s="13"/>
      <c r="DG698" s="13" t="str">
        <f t="shared" si="1100"/>
        <v/>
      </c>
      <c r="DH698" s="14" t="str">
        <f t="shared" si="1101"/>
        <v/>
      </c>
      <c r="DI698" s="15"/>
      <c r="DJ698" s="1"/>
      <c r="DK698" s="16"/>
      <c r="DL698" s="54"/>
      <c r="DM698" s="13" t="str">
        <f t="shared" si="1111"/>
        <v/>
      </c>
      <c r="DN698" s="13"/>
      <c r="DO698" s="13"/>
      <c r="DP698" s="13"/>
      <c r="DQ698" s="13" t="str">
        <f t="shared" si="1112"/>
        <v/>
      </c>
      <c r="DR698" s="13"/>
      <c r="DS698" s="13"/>
      <c r="DT698" s="13"/>
      <c r="DU698" s="13" t="str">
        <f t="shared" si="1102"/>
        <v/>
      </c>
      <c r="DV698" s="14" t="str">
        <f t="shared" si="1103"/>
        <v/>
      </c>
      <c r="DW698" s="15"/>
    </row>
    <row r="699" spans="1:127" ht="15" customHeight="1" x14ac:dyDescent="0.2">
      <c r="A699" s="16"/>
      <c r="B699" s="11"/>
      <c r="C699" s="13">
        <v>5154</v>
      </c>
      <c r="D699" s="13">
        <f t="shared" si="1068"/>
        <v>223</v>
      </c>
      <c r="E699" s="13">
        <v>380</v>
      </c>
      <c r="F699" s="13">
        <f t="shared" si="1069"/>
        <v>12</v>
      </c>
      <c r="G699" s="13">
        <v>110</v>
      </c>
      <c r="H699" s="13">
        <f t="shared" si="1092"/>
        <v>16</v>
      </c>
      <c r="I699" s="49">
        <v>0</v>
      </c>
      <c r="J699" s="56" t="str">
        <f t="shared" si="1093"/>
        <v>AIモンスタラバー</v>
      </c>
      <c r="K699" s="13">
        <f t="shared" si="1094"/>
        <v>200</v>
      </c>
      <c r="L699" s="13">
        <f t="shared" si="1070"/>
        <v>3200</v>
      </c>
      <c r="M699" s="14">
        <f t="shared" si="1071"/>
        <v>0.14349775784753363</v>
      </c>
      <c r="N699" s="15"/>
      <c r="O699" s="2"/>
      <c r="P699" s="16"/>
      <c r="Q699" s="13">
        <v>2192</v>
      </c>
      <c r="R699" s="13">
        <f t="shared" si="1072"/>
        <v>52</v>
      </c>
      <c r="S699" s="13">
        <v>27</v>
      </c>
      <c r="T699" s="13">
        <f t="shared" si="1073"/>
        <v>1</v>
      </c>
      <c r="U699" s="13">
        <v>7</v>
      </c>
      <c r="V699" s="13">
        <f t="shared" si="1074"/>
        <v>1</v>
      </c>
      <c r="W699" s="49">
        <v>3</v>
      </c>
      <c r="X699" s="56" t="str">
        <f t="shared" si="1075"/>
        <v>キティフェイスポーチ</v>
      </c>
      <c r="Y699" s="13">
        <f t="shared" si="1076"/>
        <v>957</v>
      </c>
      <c r="Z699" s="13">
        <f t="shared" si="1077"/>
        <v>957</v>
      </c>
      <c r="AA699" s="14">
        <f t="shared" si="1078"/>
        <v>0.18403846153846154</v>
      </c>
      <c r="AB699" s="15"/>
      <c r="AC699" s="15"/>
      <c r="AD699" s="16"/>
      <c r="AE699" s="13">
        <v>6683</v>
      </c>
      <c r="AF699" s="13">
        <f t="shared" si="1079"/>
        <v>30</v>
      </c>
      <c r="AG699" s="13">
        <v>255</v>
      </c>
      <c r="AH699" s="13">
        <f t="shared" si="1080"/>
        <v>1</v>
      </c>
      <c r="AI699" s="13">
        <v>8</v>
      </c>
      <c r="AJ699" s="13">
        <f t="shared" si="1081"/>
        <v>0</v>
      </c>
      <c r="AK699" s="49">
        <v>10</v>
      </c>
      <c r="AL699" s="56" t="str">
        <f t="shared" si="1095"/>
        <v>チェゴシムファン</v>
      </c>
      <c r="AM699" s="13">
        <f t="shared" si="1096"/>
        <v>1050</v>
      </c>
      <c r="AN699" s="13">
        <f t="shared" si="1083"/>
        <v>0</v>
      </c>
      <c r="AO699" s="14">
        <f t="shared" si="1084"/>
        <v>0</v>
      </c>
      <c r="AP699" s="15" t="s">
        <v>273</v>
      </c>
      <c r="AQ699" s="15"/>
      <c r="AR699" s="16"/>
      <c r="AS699" s="13">
        <v>8753</v>
      </c>
      <c r="AT699" s="13">
        <f t="shared" si="1085"/>
        <v>82</v>
      </c>
      <c r="AU699" s="13">
        <v>366</v>
      </c>
      <c r="AV699" s="13">
        <f t="shared" si="1086"/>
        <v>2</v>
      </c>
      <c r="AW699" s="13">
        <v>130</v>
      </c>
      <c r="AX699" s="13">
        <f t="shared" si="1087"/>
        <v>5</v>
      </c>
      <c r="AY699" s="49">
        <v>12</v>
      </c>
      <c r="AZ699" s="56" t="str">
        <f t="shared" si="1088"/>
        <v>SPGラバーキーホルダー</v>
      </c>
      <c r="BA699" s="13">
        <f t="shared" si="1089"/>
        <v>200</v>
      </c>
      <c r="BB699" s="13">
        <f t="shared" si="1090"/>
        <v>1000</v>
      </c>
      <c r="BC699" s="14">
        <f t="shared" si="1091"/>
        <v>0.12195121951219512</v>
      </c>
      <c r="BD699" s="15"/>
      <c r="BT699" s="15"/>
      <c r="BU699" s="16"/>
      <c r="BV699" s="54"/>
      <c r="BW699" s="13" t="str">
        <f t="shared" si="1105"/>
        <v/>
      </c>
      <c r="BX699" s="13"/>
      <c r="BY699" s="13"/>
      <c r="BZ699" s="13"/>
      <c r="CA699" s="13" t="str">
        <f t="shared" si="1106"/>
        <v/>
      </c>
      <c r="CB699" s="13"/>
      <c r="CC699" s="13"/>
      <c r="CD699" s="13"/>
      <c r="CE699" s="13" t="str">
        <f t="shared" si="1097"/>
        <v/>
      </c>
      <c r="CF699" s="14" t="str">
        <f t="shared" si="1098"/>
        <v/>
      </c>
      <c r="CG699" s="15"/>
      <c r="CH699" s="1"/>
      <c r="CI699" s="16"/>
      <c r="CJ699" s="54"/>
      <c r="CK699" s="13" t="str">
        <f t="shared" si="1107"/>
        <v/>
      </c>
      <c r="CL699" s="13"/>
      <c r="CM699" s="13"/>
      <c r="CN699" s="13"/>
      <c r="CO699" s="13" t="str">
        <f t="shared" si="1108"/>
        <v/>
      </c>
      <c r="CP699" s="13"/>
      <c r="CQ699" s="13"/>
      <c r="CR699" s="13"/>
      <c r="CS699" s="13" t="str">
        <f t="shared" si="1099"/>
        <v/>
      </c>
      <c r="CT699" s="14" t="str">
        <f t="shared" si="1104"/>
        <v/>
      </c>
      <c r="CU699" s="15"/>
      <c r="CV699" s="1"/>
      <c r="CW699" s="16"/>
      <c r="CX699" s="54"/>
      <c r="CY699" s="13" t="str">
        <f t="shared" si="1109"/>
        <v/>
      </c>
      <c r="CZ699" s="13"/>
      <c r="DA699" s="13"/>
      <c r="DB699" s="13"/>
      <c r="DC699" s="13" t="str">
        <f t="shared" si="1110"/>
        <v/>
      </c>
      <c r="DD699" s="13"/>
      <c r="DE699" s="13"/>
      <c r="DF699" s="13"/>
      <c r="DG699" s="13" t="str">
        <f t="shared" si="1100"/>
        <v/>
      </c>
      <c r="DH699" s="14" t="str">
        <f t="shared" si="1101"/>
        <v/>
      </c>
      <c r="DI699" s="15"/>
      <c r="DJ699" s="1"/>
      <c r="DK699" s="16"/>
      <c r="DL699" s="54"/>
      <c r="DM699" s="13" t="str">
        <f t="shared" si="1111"/>
        <v/>
      </c>
      <c r="DN699" s="13"/>
      <c r="DO699" s="13"/>
      <c r="DP699" s="13"/>
      <c r="DQ699" s="13" t="str">
        <f t="shared" si="1112"/>
        <v/>
      </c>
      <c r="DR699" s="13"/>
      <c r="DS699" s="13"/>
      <c r="DT699" s="13"/>
      <c r="DU699" s="13" t="str">
        <f t="shared" si="1102"/>
        <v/>
      </c>
      <c r="DV699" s="14" t="str">
        <f t="shared" si="1103"/>
        <v/>
      </c>
      <c r="DW699" s="15"/>
    </row>
    <row r="700" spans="1:127" ht="15" customHeight="1" thickBot="1" x14ac:dyDescent="0.25">
      <c r="A700" s="26"/>
      <c r="B700" s="46"/>
      <c r="C700" s="27">
        <v>2450</v>
      </c>
      <c r="D700" s="27">
        <f t="shared" si="1068"/>
        <v>86</v>
      </c>
      <c r="E700" s="27">
        <v>348</v>
      </c>
      <c r="F700" s="27">
        <f t="shared" si="1069"/>
        <v>4</v>
      </c>
      <c r="G700" s="27">
        <v>50</v>
      </c>
      <c r="H700" s="27">
        <f t="shared" si="1092"/>
        <v>4</v>
      </c>
      <c r="I700" s="47">
        <v>7</v>
      </c>
      <c r="J700" s="57" t="str">
        <f t="shared" si="1093"/>
        <v>NICIマスコット</v>
      </c>
      <c r="K700" s="62">
        <f t="shared" si="1094"/>
        <v>682</v>
      </c>
      <c r="L700" s="27">
        <f t="shared" si="1070"/>
        <v>2728</v>
      </c>
      <c r="M700" s="28">
        <f t="shared" si="1071"/>
        <v>0.31720930232558142</v>
      </c>
      <c r="N700" s="15"/>
      <c r="O700" s="2"/>
      <c r="P700" s="26"/>
      <c r="Q700" s="27">
        <v>2821</v>
      </c>
      <c r="R700" s="27">
        <f t="shared" si="1072"/>
        <v>171</v>
      </c>
      <c r="S700" s="27">
        <v>54</v>
      </c>
      <c r="T700" s="27">
        <f t="shared" si="1073"/>
        <v>4</v>
      </c>
      <c r="U700" s="27">
        <v>9</v>
      </c>
      <c r="V700" s="27">
        <f t="shared" si="1074"/>
        <v>4</v>
      </c>
      <c r="W700" s="47">
        <v>0</v>
      </c>
      <c r="X700" s="57" t="str">
        <f t="shared" si="1075"/>
        <v>ＡＩマスコット</v>
      </c>
      <c r="Y700" s="62">
        <f t="shared" si="1076"/>
        <v>286</v>
      </c>
      <c r="Z700" s="27">
        <f t="shared" si="1077"/>
        <v>1144</v>
      </c>
      <c r="AA700" s="28">
        <f t="shared" si="1078"/>
        <v>6.6900584795321641E-2</v>
      </c>
      <c r="AB700" s="15"/>
      <c r="AC700" s="15"/>
      <c r="AD700" s="26"/>
      <c r="AE700" s="27">
        <v>7556</v>
      </c>
      <c r="AF700" s="27">
        <f t="shared" si="1079"/>
        <v>80</v>
      </c>
      <c r="AG700" s="27">
        <v>220</v>
      </c>
      <c r="AH700" s="27">
        <f t="shared" si="1080"/>
        <v>4</v>
      </c>
      <c r="AI700" s="27">
        <v>12</v>
      </c>
      <c r="AJ700" s="27">
        <f t="shared" si="1081"/>
        <v>3</v>
      </c>
      <c r="AK700" s="47">
        <v>0</v>
      </c>
      <c r="AL700" s="57" t="str">
        <f t="shared" si="1095"/>
        <v>しなこくま</v>
      </c>
      <c r="AM700" s="62">
        <f t="shared" si="1096"/>
        <v>528</v>
      </c>
      <c r="AN700" s="27">
        <f t="shared" si="1083"/>
        <v>1584</v>
      </c>
      <c r="AO700" s="28">
        <f t="shared" si="1084"/>
        <v>0.19800000000000001</v>
      </c>
      <c r="AP700" s="15"/>
      <c r="AQ700" s="15"/>
      <c r="AR700" s="26"/>
      <c r="AS700" s="27">
        <v>8058</v>
      </c>
      <c r="AT700" s="27">
        <f t="shared" si="1085"/>
        <v>48</v>
      </c>
      <c r="AU700" s="27">
        <v>330</v>
      </c>
      <c r="AV700" s="27">
        <f t="shared" si="1086"/>
        <v>2</v>
      </c>
      <c r="AW700" s="27">
        <v>13</v>
      </c>
      <c r="AX700" s="27">
        <f t="shared" si="1087"/>
        <v>3</v>
      </c>
      <c r="AY700" s="47">
        <v>0</v>
      </c>
      <c r="AZ700" s="57" t="str">
        <f t="shared" si="1088"/>
        <v>サンリオミニリュック</v>
      </c>
      <c r="BA700" s="62">
        <f t="shared" si="1089"/>
        <v>600</v>
      </c>
      <c r="BB700" s="27">
        <f t="shared" si="1090"/>
        <v>1800</v>
      </c>
      <c r="BC700" s="28">
        <f t="shared" si="1091"/>
        <v>0.375</v>
      </c>
      <c r="BD700" s="15"/>
      <c r="BT700" s="15"/>
      <c r="BU700" s="16"/>
      <c r="BV700" s="54"/>
      <c r="BW700" s="13" t="str">
        <f t="shared" si="1105"/>
        <v/>
      </c>
      <c r="BX700" s="13"/>
      <c r="BY700" s="13"/>
      <c r="BZ700" s="13"/>
      <c r="CA700" s="13" t="str">
        <f t="shared" si="1106"/>
        <v/>
      </c>
      <c r="CB700" s="13"/>
      <c r="CC700" s="13"/>
      <c r="CD700" s="13"/>
      <c r="CE700" s="13" t="str">
        <f t="shared" si="1097"/>
        <v/>
      </c>
      <c r="CF700" s="14" t="str">
        <f t="shared" si="1098"/>
        <v/>
      </c>
      <c r="CG700" s="15"/>
      <c r="CH700" s="1"/>
      <c r="CI700" s="16"/>
      <c r="CJ700" s="54"/>
      <c r="CK700" s="13" t="str">
        <f t="shared" si="1107"/>
        <v/>
      </c>
      <c r="CL700" s="13"/>
      <c r="CM700" s="13"/>
      <c r="CN700" s="13"/>
      <c r="CO700" s="13" t="str">
        <f t="shared" si="1108"/>
        <v/>
      </c>
      <c r="CP700" s="13"/>
      <c r="CQ700" s="13"/>
      <c r="CR700" s="13"/>
      <c r="CS700" s="13" t="str">
        <f t="shared" si="1099"/>
        <v/>
      </c>
      <c r="CT700" s="14" t="str">
        <f t="shared" si="1104"/>
        <v/>
      </c>
      <c r="CU700" s="15"/>
      <c r="CV700" s="1"/>
      <c r="CW700" s="16"/>
      <c r="CX700" s="54"/>
      <c r="CY700" s="13" t="str">
        <f t="shared" si="1109"/>
        <v/>
      </c>
      <c r="CZ700" s="13"/>
      <c r="DA700" s="13"/>
      <c r="DB700" s="13"/>
      <c r="DC700" s="13" t="str">
        <f t="shared" si="1110"/>
        <v/>
      </c>
      <c r="DD700" s="13"/>
      <c r="DE700" s="13"/>
      <c r="DF700" s="13"/>
      <c r="DG700" s="13" t="str">
        <f t="shared" si="1100"/>
        <v/>
      </c>
      <c r="DH700" s="14" t="str">
        <f t="shared" si="1101"/>
        <v/>
      </c>
      <c r="DI700" s="15"/>
      <c r="DJ700" s="1"/>
      <c r="DK700" s="16"/>
      <c r="DL700" s="54"/>
      <c r="DM700" s="13" t="str">
        <f t="shared" si="1111"/>
        <v/>
      </c>
      <c r="DN700" s="13"/>
      <c r="DO700" s="13"/>
      <c r="DP700" s="13"/>
      <c r="DQ700" s="13" t="str">
        <f t="shared" si="1112"/>
        <v/>
      </c>
      <c r="DR700" s="13"/>
      <c r="DS700" s="13"/>
      <c r="DT700" s="13"/>
      <c r="DU700" s="13" t="str">
        <f t="shared" si="1102"/>
        <v/>
      </c>
      <c r="DV700" s="14" t="str">
        <f t="shared" si="1103"/>
        <v/>
      </c>
      <c r="DW700" s="15"/>
    </row>
    <row r="701" spans="1:127" ht="15" customHeight="1" thickTop="1" x14ac:dyDescent="0.2">
      <c r="A701" s="79">
        <v>45908</v>
      </c>
      <c r="B701" s="74">
        <f>IF(A701="","",SUM(D701:D704)+SUM(R701:R704)+SUM(AF701:AF704)+SUM(AT701:AT704)+SUM(BW677,CK677,CY677,DM677))</f>
        <v>2917</v>
      </c>
      <c r="C701" s="13">
        <v>2026</v>
      </c>
      <c r="D701" s="53">
        <f t="shared" si="1068"/>
        <v>131</v>
      </c>
      <c r="E701" s="13">
        <v>280</v>
      </c>
      <c r="F701" s="31">
        <f t="shared" si="1069"/>
        <v>3</v>
      </c>
      <c r="G701" s="13">
        <v>10</v>
      </c>
      <c r="H701" s="53">
        <f t="shared" si="1092"/>
        <v>3</v>
      </c>
      <c r="I701" s="80">
        <v>0</v>
      </c>
      <c r="J701" s="75" t="str">
        <f t="shared" si="1093"/>
        <v>ジャグラーサウンドボタン</v>
      </c>
      <c r="K701" s="76">
        <f t="shared" si="1094"/>
        <v>748</v>
      </c>
      <c r="L701" s="31">
        <f t="shared" si="1070"/>
        <v>2244</v>
      </c>
      <c r="M701" s="32">
        <f t="shared" si="1071"/>
        <v>0.17129770992366411</v>
      </c>
      <c r="N701" s="15" t="s">
        <v>276</v>
      </c>
      <c r="O701" s="2"/>
      <c r="P701" s="79">
        <f>IF($A701="","",$A701)</f>
        <v>45908</v>
      </c>
      <c r="Q701" s="13">
        <v>1093</v>
      </c>
      <c r="R701" s="127">
        <f t="shared" si="1072"/>
        <v>68</v>
      </c>
      <c r="S701" s="13">
        <v>75</v>
      </c>
      <c r="T701" s="31">
        <f t="shared" si="1073"/>
        <v>5</v>
      </c>
      <c r="U701" s="13">
        <v>0</v>
      </c>
      <c r="V701" s="53">
        <f t="shared" si="1074"/>
        <v>6</v>
      </c>
      <c r="W701" s="80">
        <v>10</v>
      </c>
      <c r="X701" s="75" t="str">
        <f t="shared" si="1075"/>
        <v>ガーナイヤホン</v>
      </c>
      <c r="Y701" s="76">
        <f t="shared" si="1076"/>
        <v>1100</v>
      </c>
      <c r="Z701" s="31">
        <f t="shared" si="1077"/>
        <v>6600</v>
      </c>
      <c r="AA701" s="32">
        <f t="shared" si="1078"/>
        <v>0.97058823529411764</v>
      </c>
      <c r="AB701" s="15" t="s">
        <v>279</v>
      </c>
      <c r="AC701" s="15"/>
      <c r="AD701" s="79">
        <f>IF($A701="","",$A701)</f>
        <v>45908</v>
      </c>
      <c r="AE701" s="13">
        <v>7205</v>
      </c>
      <c r="AF701" s="53">
        <f t="shared" si="1079"/>
        <v>140</v>
      </c>
      <c r="AG701" s="13">
        <v>163</v>
      </c>
      <c r="AH701" s="31">
        <f t="shared" si="1080"/>
        <v>5</v>
      </c>
      <c r="AI701" s="13">
        <v>15</v>
      </c>
      <c r="AJ701" s="53">
        <f t="shared" si="1081"/>
        <v>5</v>
      </c>
      <c r="AK701" s="80">
        <v>7</v>
      </c>
      <c r="AL701" s="75" t="s">
        <v>239</v>
      </c>
      <c r="AM701" s="76">
        <v>660</v>
      </c>
      <c r="AN701" s="31">
        <f t="shared" si="1083"/>
        <v>3300</v>
      </c>
      <c r="AO701" s="32">
        <f t="shared" si="1084"/>
        <v>0.23571428571428571</v>
      </c>
      <c r="AP701" s="15" t="s">
        <v>276</v>
      </c>
      <c r="AQ701" s="15"/>
      <c r="AR701" s="79">
        <f>IF($A701="","",$A701)</f>
        <v>45908</v>
      </c>
      <c r="AS701" s="13">
        <v>7998</v>
      </c>
      <c r="AT701" s="127">
        <f t="shared" si="1085"/>
        <v>67</v>
      </c>
      <c r="AU701" s="13">
        <v>237</v>
      </c>
      <c r="AV701" s="31">
        <f t="shared" si="1086"/>
        <v>2</v>
      </c>
      <c r="AW701" s="13">
        <v>12</v>
      </c>
      <c r="AX701" s="53">
        <f t="shared" si="1087"/>
        <v>2</v>
      </c>
      <c r="AY701" s="80">
        <v>0</v>
      </c>
      <c r="AZ701" s="75" t="str">
        <f t="shared" si="1088"/>
        <v>こびとづかんキーケース</v>
      </c>
      <c r="BA701" s="76">
        <f t="shared" si="1089"/>
        <v>726</v>
      </c>
      <c r="BB701" s="31">
        <f t="shared" si="1090"/>
        <v>1452</v>
      </c>
      <c r="BC701" s="32">
        <f t="shared" si="1091"/>
        <v>0.21671641791044777</v>
      </c>
      <c r="BD701" s="15" t="s">
        <v>276</v>
      </c>
      <c r="BT701" s="15"/>
      <c r="BU701" s="16"/>
      <c r="BV701" s="54"/>
      <c r="BW701" s="13" t="str">
        <f t="shared" si="1105"/>
        <v/>
      </c>
      <c r="BX701" s="13"/>
      <c r="BY701" s="13"/>
      <c r="BZ701" s="13"/>
      <c r="CA701" s="13" t="str">
        <f t="shared" si="1106"/>
        <v/>
      </c>
      <c r="CB701" s="13"/>
      <c r="CC701" s="13"/>
      <c r="CD701" s="13"/>
      <c r="CE701" s="13" t="str">
        <f t="shared" si="1097"/>
        <v/>
      </c>
      <c r="CF701" s="14" t="str">
        <f t="shared" si="1098"/>
        <v/>
      </c>
      <c r="CG701" s="15"/>
      <c r="CH701" s="1"/>
      <c r="CI701" s="16"/>
      <c r="CJ701" s="54"/>
      <c r="CK701" s="13" t="str">
        <f t="shared" si="1107"/>
        <v/>
      </c>
      <c r="CL701" s="13"/>
      <c r="CM701" s="13"/>
      <c r="CN701" s="13"/>
      <c r="CO701" s="13" t="str">
        <f t="shared" si="1108"/>
        <v/>
      </c>
      <c r="CP701" s="13"/>
      <c r="CQ701" s="13"/>
      <c r="CR701" s="13"/>
      <c r="CS701" s="13" t="str">
        <f t="shared" si="1099"/>
        <v/>
      </c>
      <c r="CT701" s="14" t="str">
        <f t="shared" si="1104"/>
        <v/>
      </c>
      <c r="CU701" s="15"/>
      <c r="CV701" s="1"/>
      <c r="CW701" s="16"/>
      <c r="CX701" s="54"/>
      <c r="CY701" s="13" t="str">
        <f t="shared" si="1109"/>
        <v/>
      </c>
      <c r="CZ701" s="13"/>
      <c r="DA701" s="13"/>
      <c r="DB701" s="13"/>
      <c r="DC701" s="13" t="str">
        <f t="shared" si="1110"/>
        <v/>
      </c>
      <c r="DD701" s="13"/>
      <c r="DE701" s="13"/>
      <c r="DF701" s="13"/>
      <c r="DG701" s="13" t="str">
        <f t="shared" si="1100"/>
        <v/>
      </c>
      <c r="DH701" s="14" t="str">
        <f t="shared" si="1101"/>
        <v/>
      </c>
      <c r="DI701" s="15"/>
      <c r="DJ701" s="1"/>
      <c r="DK701" s="16"/>
      <c r="DL701" s="54"/>
      <c r="DM701" s="13" t="str">
        <f t="shared" si="1111"/>
        <v/>
      </c>
      <c r="DN701" s="13"/>
      <c r="DO701" s="13"/>
      <c r="DP701" s="13"/>
      <c r="DQ701" s="13" t="str">
        <f t="shared" si="1112"/>
        <v/>
      </c>
      <c r="DR701" s="13"/>
      <c r="DS701" s="13"/>
      <c r="DT701" s="13"/>
      <c r="DU701" s="13" t="str">
        <f t="shared" si="1102"/>
        <v/>
      </c>
      <c r="DV701" s="14" t="str">
        <f t="shared" si="1103"/>
        <v/>
      </c>
      <c r="DW701" s="15"/>
    </row>
    <row r="702" spans="1:127" ht="15" customHeight="1" x14ac:dyDescent="0.2">
      <c r="A702" s="133"/>
      <c r="B702" s="11"/>
      <c r="C702" s="53">
        <v>1493</v>
      </c>
      <c r="D702" s="13">
        <f t="shared" si="1068"/>
        <v>91</v>
      </c>
      <c r="E702" s="53">
        <v>282</v>
      </c>
      <c r="F702" s="13">
        <f t="shared" si="1069"/>
        <v>8</v>
      </c>
      <c r="G702" s="13">
        <v>35</v>
      </c>
      <c r="H702" s="13">
        <f t="shared" si="1092"/>
        <v>10</v>
      </c>
      <c r="I702" s="17">
        <v>20</v>
      </c>
      <c r="J702" s="56" t="str">
        <f t="shared" si="1093"/>
        <v>ジャグラーコインホルダー</v>
      </c>
      <c r="K702" s="54">
        <f t="shared" si="1094"/>
        <v>220</v>
      </c>
      <c r="L702" s="13">
        <f t="shared" si="1070"/>
        <v>2200</v>
      </c>
      <c r="M702" s="14">
        <f t="shared" si="1071"/>
        <v>0.24175824175824176</v>
      </c>
      <c r="N702" s="15" t="s">
        <v>276</v>
      </c>
      <c r="O702" s="2"/>
      <c r="P702" s="16"/>
      <c r="Q702" s="53">
        <v>1792</v>
      </c>
      <c r="R702" s="13">
        <f t="shared" si="1072"/>
        <v>88</v>
      </c>
      <c r="S702" s="53">
        <v>61</v>
      </c>
      <c r="T702" s="13">
        <f t="shared" si="1073"/>
        <v>4</v>
      </c>
      <c r="U702" s="13">
        <v>2</v>
      </c>
      <c r="V702" s="13">
        <f t="shared" si="1074"/>
        <v>4</v>
      </c>
      <c r="W702" s="17">
        <v>2</v>
      </c>
      <c r="X702" s="56" t="str">
        <f t="shared" si="1075"/>
        <v>サンリオFAN</v>
      </c>
      <c r="Y702" s="54">
        <f t="shared" si="1076"/>
        <v>1100</v>
      </c>
      <c r="Z702" s="13">
        <f t="shared" si="1077"/>
        <v>4400</v>
      </c>
      <c r="AA702" s="14">
        <f t="shared" si="1078"/>
        <v>0.5</v>
      </c>
      <c r="AB702" s="15"/>
      <c r="AC702" s="15"/>
      <c r="AD702" s="16"/>
      <c r="AE702" s="53">
        <v>6303</v>
      </c>
      <c r="AF702" s="13">
        <f t="shared" si="1079"/>
        <v>72</v>
      </c>
      <c r="AG702" s="53">
        <v>144</v>
      </c>
      <c r="AH702" s="13">
        <f t="shared" si="1080"/>
        <v>3</v>
      </c>
      <c r="AI702" s="13">
        <v>11</v>
      </c>
      <c r="AJ702" s="13">
        <f t="shared" si="1081"/>
        <v>4</v>
      </c>
      <c r="AK702" s="17">
        <v>0</v>
      </c>
      <c r="AL702" s="56" t="str">
        <f t="shared" si="1095"/>
        <v>デジタルミニカメラ</v>
      </c>
      <c r="AM702" s="54">
        <f t="shared" si="1096"/>
        <v>800</v>
      </c>
      <c r="AN702" s="13">
        <f t="shared" si="1083"/>
        <v>3200</v>
      </c>
      <c r="AO702" s="14">
        <f t="shared" si="1084"/>
        <v>0.44444444444444442</v>
      </c>
      <c r="AP702" s="15" t="s">
        <v>276</v>
      </c>
      <c r="AQ702" s="15"/>
      <c r="AR702" s="16"/>
      <c r="AS702" s="53">
        <v>5383</v>
      </c>
      <c r="AT702" s="13">
        <f t="shared" si="1085"/>
        <v>98</v>
      </c>
      <c r="AU702" s="53">
        <v>270</v>
      </c>
      <c r="AV702" s="13">
        <f t="shared" si="1086"/>
        <v>1</v>
      </c>
      <c r="AW702" s="13">
        <v>27</v>
      </c>
      <c r="AX702" s="13">
        <f t="shared" si="1087"/>
        <v>5</v>
      </c>
      <c r="AY702" s="17">
        <v>4</v>
      </c>
      <c r="AZ702" s="56" t="str">
        <f t="shared" si="1088"/>
        <v>ねこアイシャドウ</v>
      </c>
      <c r="BA702" s="54">
        <f t="shared" si="1089"/>
        <v>1000</v>
      </c>
      <c r="BB702" s="13">
        <f t="shared" si="1090"/>
        <v>5000</v>
      </c>
      <c r="BC702" s="14">
        <f t="shared" si="1091"/>
        <v>0.51020408163265307</v>
      </c>
      <c r="BD702" s="15"/>
      <c r="BT702" s="15"/>
      <c r="BU702" s="16"/>
      <c r="BV702" s="54"/>
      <c r="BW702" s="13" t="str">
        <f t="shared" si="1105"/>
        <v/>
      </c>
      <c r="BX702" s="13"/>
      <c r="BY702" s="13"/>
      <c r="BZ702" s="13"/>
      <c r="CA702" s="13" t="str">
        <f t="shared" si="1106"/>
        <v/>
      </c>
      <c r="CB702" s="13"/>
      <c r="CC702" s="13"/>
      <c r="CD702" s="13"/>
      <c r="CE702" s="13" t="str">
        <f t="shared" si="1097"/>
        <v/>
      </c>
      <c r="CF702" s="14" t="str">
        <f t="shared" si="1098"/>
        <v/>
      </c>
      <c r="CG702" s="15"/>
      <c r="CH702" s="1"/>
      <c r="CI702" s="16"/>
      <c r="CJ702" s="54"/>
      <c r="CK702" s="13" t="str">
        <f t="shared" si="1107"/>
        <v/>
      </c>
      <c r="CL702" s="13"/>
      <c r="CM702" s="13"/>
      <c r="CN702" s="13"/>
      <c r="CO702" s="13" t="str">
        <f t="shared" si="1108"/>
        <v/>
      </c>
      <c r="CP702" s="13"/>
      <c r="CQ702" s="13"/>
      <c r="CR702" s="13"/>
      <c r="CS702" s="13" t="str">
        <f t="shared" si="1099"/>
        <v/>
      </c>
      <c r="CT702" s="14" t="str">
        <f t="shared" si="1104"/>
        <v/>
      </c>
      <c r="CU702" s="15"/>
      <c r="CV702" s="1"/>
      <c r="CW702" s="16"/>
      <c r="CX702" s="54"/>
      <c r="CY702" s="13" t="str">
        <f t="shared" si="1109"/>
        <v/>
      </c>
      <c r="CZ702" s="13"/>
      <c r="DA702" s="13"/>
      <c r="DB702" s="13"/>
      <c r="DC702" s="13" t="str">
        <f t="shared" si="1110"/>
        <v/>
      </c>
      <c r="DD702" s="13"/>
      <c r="DE702" s="13"/>
      <c r="DF702" s="13"/>
      <c r="DG702" s="13" t="str">
        <f t="shared" si="1100"/>
        <v/>
      </c>
      <c r="DH702" s="14" t="str">
        <f t="shared" si="1101"/>
        <v/>
      </c>
      <c r="DI702" s="15"/>
      <c r="DJ702" s="1"/>
      <c r="DK702" s="16"/>
      <c r="DL702" s="54"/>
      <c r="DM702" s="13" t="str">
        <f t="shared" si="1111"/>
        <v/>
      </c>
      <c r="DN702" s="13"/>
      <c r="DO702" s="13"/>
      <c r="DP702" s="13"/>
      <c r="DQ702" s="13" t="str">
        <f t="shared" si="1112"/>
        <v/>
      </c>
      <c r="DR702" s="13"/>
      <c r="DS702" s="13"/>
      <c r="DT702" s="13"/>
      <c r="DU702" s="13" t="str">
        <f t="shared" si="1102"/>
        <v/>
      </c>
      <c r="DV702" s="14" t="str">
        <f t="shared" si="1103"/>
        <v/>
      </c>
      <c r="DW702" s="15"/>
    </row>
    <row r="703" spans="1:127" ht="15" customHeight="1" x14ac:dyDescent="0.2">
      <c r="A703" s="16"/>
      <c r="B703" s="11"/>
      <c r="C703" s="13">
        <v>5559</v>
      </c>
      <c r="D703" s="13">
        <f t="shared" si="1068"/>
        <v>405</v>
      </c>
      <c r="E703" s="13">
        <v>389</v>
      </c>
      <c r="F703" s="13">
        <f t="shared" si="1069"/>
        <v>9</v>
      </c>
      <c r="G703" s="13">
        <v>94</v>
      </c>
      <c r="H703" s="13">
        <f t="shared" si="1092"/>
        <v>16</v>
      </c>
      <c r="I703" s="17">
        <v>0</v>
      </c>
      <c r="J703" s="56" t="str">
        <f t="shared" si="1093"/>
        <v>AIモンスタラバー</v>
      </c>
      <c r="K703" s="13">
        <f t="shared" si="1094"/>
        <v>200</v>
      </c>
      <c r="L703" s="13">
        <f t="shared" si="1070"/>
        <v>3200</v>
      </c>
      <c r="M703" s="14">
        <f t="shared" si="1071"/>
        <v>7.9012345679012344E-2</v>
      </c>
      <c r="N703" s="15" t="s">
        <v>276</v>
      </c>
      <c r="O703" s="2"/>
      <c r="P703" s="16"/>
      <c r="Q703" s="13">
        <v>2284</v>
      </c>
      <c r="R703" s="13">
        <f t="shared" si="1072"/>
        <v>92</v>
      </c>
      <c r="S703" s="13">
        <v>29</v>
      </c>
      <c r="T703" s="13">
        <f t="shared" si="1073"/>
        <v>2</v>
      </c>
      <c r="U703" s="13">
        <v>7</v>
      </c>
      <c r="V703" s="13">
        <f t="shared" si="1074"/>
        <v>3</v>
      </c>
      <c r="W703" s="17">
        <v>2</v>
      </c>
      <c r="X703" s="56" t="str">
        <f t="shared" si="1075"/>
        <v>キティフェイスポーチ</v>
      </c>
      <c r="Y703" s="13">
        <f t="shared" si="1076"/>
        <v>957</v>
      </c>
      <c r="Z703" s="13">
        <f t="shared" si="1077"/>
        <v>2871</v>
      </c>
      <c r="AA703" s="14">
        <f t="shared" si="1078"/>
        <v>0.31206521739130433</v>
      </c>
      <c r="AB703" s="15"/>
      <c r="AC703" s="15"/>
      <c r="AD703" s="16"/>
      <c r="AE703" s="13">
        <v>6753</v>
      </c>
      <c r="AF703" s="13">
        <f t="shared" si="1079"/>
        <v>70</v>
      </c>
      <c r="AG703" s="13">
        <v>255</v>
      </c>
      <c r="AH703" s="13">
        <f t="shared" si="1080"/>
        <v>0</v>
      </c>
      <c r="AI703" s="13">
        <v>18</v>
      </c>
      <c r="AJ703" s="13">
        <f t="shared" si="1081"/>
        <v>0</v>
      </c>
      <c r="AK703" s="17">
        <v>0</v>
      </c>
      <c r="AL703" s="56" t="s">
        <v>278</v>
      </c>
      <c r="AM703" s="13">
        <v>490</v>
      </c>
      <c r="AN703" s="13">
        <f t="shared" si="1083"/>
        <v>0</v>
      </c>
      <c r="AO703" s="14">
        <f t="shared" si="1084"/>
        <v>0</v>
      </c>
      <c r="AP703" s="15" t="s">
        <v>281</v>
      </c>
      <c r="AQ703" s="15"/>
      <c r="AR703" s="16"/>
      <c r="AS703" s="13">
        <v>8830</v>
      </c>
      <c r="AT703" s="87">
        <f t="shared" si="1085"/>
        <v>77</v>
      </c>
      <c r="AU703" s="13">
        <v>368</v>
      </c>
      <c r="AV703" s="13">
        <f t="shared" si="1086"/>
        <v>2</v>
      </c>
      <c r="AW703" s="13">
        <v>135</v>
      </c>
      <c r="AX703" s="13">
        <f t="shared" si="1087"/>
        <v>7</v>
      </c>
      <c r="AY703" s="17">
        <v>-119</v>
      </c>
      <c r="AZ703" s="56" t="str">
        <f t="shared" si="1088"/>
        <v>SPGラバーキーホルダー</v>
      </c>
      <c r="BA703" s="13">
        <f t="shared" si="1089"/>
        <v>200</v>
      </c>
      <c r="BB703" s="13">
        <f t="shared" si="1090"/>
        <v>1400</v>
      </c>
      <c r="BC703" s="14">
        <f t="shared" si="1091"/>
        <v>0.18181818181818182</v>
      </c>
      <c r="BD703" s="15" t="s">
        <v>280</v>
      </c>
      <c r="BT703" s="15"/>
      <c r="BU703" s="16"/>
      <c r="BV703" s="54"/>
      <c r="BW703" s="13" t="str">
        <f t="shared" si="1105"/>
        <v/>
      </c>
      <c r="BX703" s="13"/>
      <c r="BY703" s="13"/>
      <c r="BZ703" s="13"/>
      <c r="CA703" s="13" t="str">
        <f t="shared" si="1106"/>
        <v/>
      </c>
      <c r="CB703" s="13"/>
      <c r="CC703" s="13"/>
      <c r="CD703" s="13"/>
      <c r="CE703" s="13" t="str">
        <f t="shared" si="1097"/>
        <v/>
      </c>
      <c r="CF703" s="14" t="str">
        <f t="shared" si="1098"/>
        <v/>
      </c>
      <c r="CG703" s="15"/>
      <c r="CH703" s="1"/>
      <c r="CI703" s="16"/>
      <c r="CJ703" s="54"/>
      <c r="CK703" s="13" t="str">
        <f t="shared" si="1107"/>
        <v/>
      </c>
      <c r="CL703" s="13"/>
      <c r="CM703" s="13"/>
      <c r="CN703" s="13"/>
      <c r="CO703" s="13" t="str">
        <f t="shared" si="1108"/>
        <v/>
      </c>
      <c r="CP703" s="13"/>
      <c r="CQ703" s="13"/>
      <c r="CR703" s="13"/>
      <c r="CS703" s="13" t="str">
        <f t="shared" si="1099"/>
        <v/>
      </c>
      <c r="CT703" s="14" t="str">
        <f t="shared" si="1104"/>
        <v/>
      </c>
      <c r="CU703" s="15"/>
      <c r="CV703" s="1"/>
      <c r="CW703" s="16"/>
      <c r="CX703" s="54"/>
      <c r="CY703" s="13" t="str">
        <f t="shared" si="1109"/>
        <v/>
      </c>
      <c r="CZ703" s="13"/>
      <c r="DA703" s="13"/>
      <c r="DB703" s="13"/>
      <c r="DC703" s="13" t="str">
        <f t="shared" si="1110"/>
        <v/>
      </c>
      <c r="DD703" s="13"/>
      <c r="DE703" s="13"/>
      <c r="DF703" s="13"/>
      <c r="DG703" s="13" t="str">
        <f t="shared" si="1100"/>
        <v/>
      </c>
      <c r="DH703" s="14" t="str">
        <f t="shared" si="1101"/>
        <v/>
      </c>
      <c r="DI703" s="15"/>
      <c r="DJ703" s="1"/>
      <c r="DK703" s="16"/>
      <c r="DL703" s="54"/>
      <c r="DM703" s="13" t="str">
        <f t="shared" si="1111"/>
        <v/>
      </c>
      <c r="DN703" s="13"/>
      <c r="DO703" s="13"/>
      <c r="DP703" s="13"/>
      <c r="DQ703" s="13" t="str">
        <f t="shared" si="1112"/>
        <v/>
      </c>
      <c r="DR703" s="13"/>
      <c r="DS703" s="13"/>
      <c r="DT703" s="13"/>
      <c r="DU703" s="13" t="str">
        <f t="shared" si="1102"/>
        <v/>
      </c>
      <c r="DV703" s="14" t="str">
        <f t="shared" si="1103"/>
        <v/>
      </c>
      <c r="DW703" s="15"/>
    </row>
    <row r="704" spans="1:127" ht="15" customHeight="1" thickBot="1" x14ac:dyDescent="0.25">
      <c r="A704" s="26"/>
      <c r="B704" s="46"/>
      <c r="C704" s="27">
        <v>2617</v>
      </c>
      <c r="D704" s="27">
        <f t="shared" si="1068"/>
        <v>167</v>
      </c>
      <c r="E704" s="27">
        <v>359</v>
      </c>
      <c r="F704" s="27">
        <f t="shared" si="1069"/>
        <v>11</v>
      </c>
      <c r="G704" s="27">
        <v>46</v>
      </c>
      <c r="H704" s="27">
        <f t="shared" si="1092"/>
        <v>11</v>
      </c>
      <c r="I704" s="47">
        <v>0</v>
      </c>
      <c r="J704" s="57" t="str">
        <f t="shared" si="1093"/>
        <v>NICIマスコット</v>
      </c>
      <c r="K704" s="62">
        <f t="shared" si="1094"/>
        <v>682</v>
      </c>
      <c r="L704" s="27">
        <f t="shared" si="1070"/>
        <v>7502</v>
      </c>
      <c r="M704" s="28">
        <f t="shared" si="1071"/>
        <v>0.44922155688622756</v>
      </c>
      <c r="N704" s="15"/>
      <c r="O704" s="2"/>
      <c r="P704" s="26"/>
      <c r="Q704" s="27">
        <v>3103</v>
      </c>
      <c r="R704" s="27">
        <f t="shared" si="1072"/>
        <v>282</v>
      </c>
      <c r="S704" s="27">
        <v>61</v>
      </c>
      <c r="T704" s="27">
        <f t="shared" si="1073"/>
        <v>7</v>
      </c>
      <c r="U704" s="27">
        <v>2</v>
      </c>
      <c r="V704" s="27">
        <f t="shared" si="1074"/>
        <v>7</v>
      </c>
      <c r="W704" s="47">
        <v>10</v>
      </c>
      <c r="X704" s="57" t="str">
        <f t="shared" si="1075"/>
        <v>ＡＩマスコット</v>
      </c>
      <c r="Y704" s="62">
        <f t="shared" si="1076"/>
        <v>286</v>
      </c>
      <c r="Z704" s="27">
        <f t="shared" si="1077"/>
        <v>2002</v>
      </c>
      <c r="AA704" s="28">
        <f t="shared" si="1078"/>
        <v>7.0992907801418439E-2</v>
      </c>
      <c r="AB704" s="15"/>
      <c r="AC704" s="15"/>
      <c r="AD704" s="26"/>
      <c r="AE704" s="27">
        <v>7802</v>
      </c>
      <c r="AF704" s="27">
        <f t="shared" si="1079"/>
        <v>246</v>
      </c>
      <c r="AG704" s="27">
        <v>224</v>
      </c>
      <c r="AH704" s="27">
        <f t="shared" si="1080"/>
        <v>4</v>
      </c>
      <c r="AI704" s="27">
        <v>8</v>
      </c>
      <c r="AJ704" s="27">
        <f t="shared" si="1081"/>
        <v>4</v>
      </c>
      <c r="AK704" s="47">
        <v>6</v>
      </c>
      <c r="AL704" s="57" t="str">
        <f t="shared" si="1095"/>
        <v>しなこくま</v>
      </c>
      <c r="AM704" s="62">
        <f t="shared" si="1096"/>
        <v>528</v>
      </c>
      <c r="AN704" s="27">
        <f t="shared" si="1083"/>
        <v>2112</v>
      </c>
      <c r="AO704" s="28">
        <f t="shared" si="1084"/>
        <v>8.5853658536585373E-2</v>
      </c>
      <c r="AP704" s="15" t="s">
        <v>276</v>
      </c>
      <c r="AQ704" s="39"/>
      <c r="AR704" s="26"/>
      <c r="AS704" s="27">
        <v>8166</v>
      </c>
      <c r="AT704" s="27">
        <f t="shared" si="1085"/>
        <v>108</v>
      </c>
      <c r="AU704" s="27">
        <v>332</v>
      </c>
      <c r="AV704" s="27">
        <f t="shared" si="1086"/>
        <v>2</v>
      </c>
      <c r="AW704" s="27">
        <v>11</v>
      </c>
      <c r="AX704" s="27">
        <f t="shared" si="1087"/>
        <v>2</v>
      </c>
      <c r="AY704" s="47">
        <v>4</v>
      </c>
      <c r="AZ704" s="57" t="str">
        <f t="shared" si="1088"/>
        <v>サンリオミニリュック</v>
      </c>
      <c r="BA704" s="62">
        <f t="shared" si="1089"/>
        <v>600</v>
      </c>
      <c r="BB704" s="27">
        <f t="shared" si="1090"/>
        <v>1200</v>
      </c>
      <c r="BC704" s="28">
        <f t="shared" si="1091"/>
        <v>0.1111111111111111</v>
      </c>
      <c r="BD704" s="15"/>
      <c r="BT704" s="39"/>
      <c r="BU704" s="16"/>
      <c r="BV704" s="54"/>
      <c r="BW704" s="13" t="str">
        <f t="shared" si="1105"/>
        <v/>
      </c>
      <c r="BX704" s="13"/>
      <c r="BY704" s="13"/>
      <c r="BZ704" s="13"/>
      <c r="CA704" s="13" t="str">
        <f t="shared" si="1106"/>
        <v/>
      </c>
      <c r="CB704" s="13"/>
      <c r="CC704" s="13"/>
      <c r="CD704" s="13"/>
      <c r="CE704" s="13" t="str">
        <f t="shared" si="1097"/>
        <v/>
      </c>
      <c r="CF704" s="14" t="str">
        <f t="shared" si="1098"/>
        <v/>
      </c>
      <c r="CG704" s="15"/>
      <c r="CH704" s="1"/>
      <c r="CI704" s="16"/>
      <c r="CJ704" s="54"/>
      <c r="CK704" s="13" t="str">
        <f t="shared" si="1107"/>
        <v/>
      </c>
      <c r="CL704" s="13"/>
      <c r="CM704" s="13"/>
      <c r="CN704" s="13"/>
      <c r="CO704" s="13" t="str">
        <f t="shared" si="1108"/>
        <v/>
      </c>
      <c r="CP704" s="13"/>
      <c r="CQ704" s="13"/>
      <c r="CR704" s="13"/>
      <c r="CS704" s="13" t="str">
        <f t="shared" si="1099"/>
        <v/>
      </c>
      <c r="CT704" s="14" t="str">
        <f t="shared" si="1104"/>
        <v/>
      </c>
      <c r="CU704" s="15"/>
      <c r="CV704" s="1"/>
      <c r="CW704" s="16"/>
      <c r="CX704" s="54"/>
      <c r="CY704" s="13" t="str">
        <f t="shared" si="1109"/>
        <v/>
      </c>
      <c r="CZ704" s="13"/>
      <c r="DA704" s="13"/>
      <c r="DB704" s="13"/>
      <c r="DC704" s="13" t="str">
        <f t="shared" si="1110"/>
        <v/>
      </c>
      <c r="DD704" s="13"/>
      <c r="DE704" s="13"/>
      <c r="DF704" s="13"/>
      <c r="DG704" s="13" t="str">
        <f t="shared" si="1100"/>
        <v/>
      </c>
      <c r="DH704" s="14" t="str">
        <f t="shared" si="1101"/>
        <v/>
      </c>
      <c r="DI704" s="15"/>
      <c r="DJ704" s="1"/>
      <c r="DK704" s="16"/>
      <c r="DL704" s="54"/>
      <c r="DM704" s="13" t="str">
        <f t="shared" si="1111"/>
        <v/>
      </c>
      <c r="DN704" s="13"/>
      <c r="DO704" s="13"/>
      <c r="DP704" s="13"/>
      <c r="DQ704" s="13" t="str">
        <f t="shared" si="1112"/>
        <v/>
      </c>
      <c r="DR704" s="13"/>
      <c r="DS704" s="13"/>
      <c r="DT704" s="13"/>
      <c r="DU704" s="13" t="str">
        <f t="shared" si="1102"/>
        <v/>
      </c>
      <c r="DV704" s="14" t="str">
        <f t="shared" si="1103"/>
        <v/>
      </c>
      <c r="DW704" s="15"/>
    </row>
    <row r="705" spans="1:127" ht="15" customHeight="1" thickTop="1" x14ac:dyDescent="0.2">
      <c r="A705" s="16">
        <v>45912</v>
      </c>
      <c r="B705" s="74">
        <f>IF(A705="","",SUM(D705:D708)+SUM(R705:R708)+SUM(AF705:AF708)+SUM(AT705:AT708)+SUM(BW678,CK678,CY678,DM678))</f>
        <v>2020</v>
      </c>
      <c r="C705" s="53">
        <v>2118</v>
      </c>
      <c r="D705" s="53">
        <f t="shared" si="1068"/>
        <v>92</v>
      </c>
      <c r="E705" s="53">
        <v>281</v>
      </c>
      <c r="F705" s="31">
        <f t="shared" si="1069"/>
        <v>1</v>
      </c>
      <c r="G705" s="53">
        <v>9</v>
      </c>
      <c r="H705" s="53">
        <f t="shared" si="1092"/>
        <v>1</v>
      </c>
      <c r="I705" s="80">
        <v>8</v>
      </c>
      <c r="J705" s="75" t="str">
        <f t="shared" si="1093"/>
        <v>ジャグラーサウンドボタン</v>
      </c>
      <c r="K705" s="76">
        <f t="shared" si="1094"/>
        <v>748</v>
      </c>
      <c r="L705" s="31">
        <f t="shared" si="1070"/>
        <v>748</v>
      </c>
      <c r="M705" s="32">
        <f t="shared" si="1071"/>
        <v>8.1304347826086962E-2</v>
      </c>
      <c r="N705" s="15"/>
      <c r="O705" s="2"/>
      <c r="P705" s="79">
        <f>IF($A705="","",$A705)</f>
        <v>45912</v>
      </c>
      <c r="Q705" s="53">
        <v>1211</v>
      </c>
      <c r="R705" s="53">
        <f t="shared" si="1072"/>
        <v>118</v>
      </c>
      <c r="S705" s="53">
        <v>75</v>
      </c>
      <c r="T705" s="31">
        <f t="shared" si="1073"/>
        <v>0</v>
      </c>
      <c r="U705" s="53">
        <v>9</v>
      </c>
      <c r="V705" s="53">
        <f t="shared" si="1074"/>
        <v>1</v>
      </c>
      <c r="W705" s="80">
        <v>0</v>
      </c>
      <c r="X705" s="75" t="s">
        <v>282</v>
      </c>
      <c r="Y705" s="76">
        <v>1100</v>
      </c>
      <c r="Z705" s="31">
        <f t="shared" si="1077"/>
        <v>1100</v>
      </c>
      <c r="AA705" s="32">
        <f t="shared" si="1078"/>
        <v>9.3220338983050849E-2</v>
      </c>
      <c r="AB705" s="15"/>
      <c r="AC705" s="15"/>
      <c r="AD705" s="79">
        <f>IF($A705="","",$A705)</f>
        <v>45912</v>
      </c>
      <c r="AE705" s="53">
        <v>7295</v>
      </c>
      <c r="AF705" s="53">
        <f t="shared" si="1079"/>
        <v>90</v>
      </c>
      <c r="AG705" s="53">
        <v>165</v>
      </c>
      <c r="AH705" s="31">
        <f t="shared" si="1080"/>
        <v>2</v>
      </c>
      <c r="AI705" s="53">
        <v>20</v>
      </c>
      <c r="AJ705" s="53">
        <f t="shared" si="1081"/>
        <v>2</v>
      </c>
      <c r="AK705" s="80">
        <v>0</v>
      </c>
      <c r="AL705" s="75" t="str">
        <f t="shared" si="1095"/>
        <v>サンリオでかぱっちん</v>
      </c>
      <c r="AM705" s="76">
        <f t="shared" si="1096"/>
        <v>660</v>
      </c>
      <c r="AN705" s="31">
        <f t="shared" si="1083"/>
        <v>1320</v>
      </c>
      <c r="AO705" s="32">
        <f t="shared" si="1084"/>
        <v>0.14666666666666667</v>
      </c>
      <c r="AP705" s="15"/>
      <c r="AQ705" s="113"/>
      <c r="AR705" s="79">
        <f>IF($A705="","",$A705)</f>
        <v>45912</v>
      </c>
      <c r="AS705" s="53">
        <v>8014</v>
      </c>
      <c r="AT705" s="53">
        <f t="shared" si="1085"/>
        <v>16</v>
      </c>
      <c r="AU705" s="53">
        <v>238</v>
      </c>
      <c r="AV705" s="31">
        <f t="shared" si="1086"/>
        <v>1</v>
      </c>
      <c r="AW705" s="53">
        <v>11</v>
      </c>
      <c r="AX705" s="53">
        <f t="shared" si="1087"/>
        <v>1</v>
      </c>
      <c r="AY705" s="80">
        <v>4</v>
      </c>
      <c r="AZ705" s="75" t="str">
        <f t="shared" si="1088"/>
        <v>こびとづかんキーケース</v>
      </c>
      <c r="BA705" s="76">
        <f t="shared" si="1089"/>
        <v>726</v>
      </c>
      <c r="BB705" s="31">
        <f t="shared" si="1090"/>
        <v>726</v>
      </c>
      <c r="BC705" s="32">
        <f t="shared" si="1091"/>
        <v>0.45374999999999999</v>
      </c>
      <c r="BD705" s="15" t="s">
        <v>109</v>
      </c>
      <c r="BT705" s="113"/>
      <c r="BU705" s="16"/>
      <c r="BV705" s="54"/>
      <c r="BW705" s="13" t="str">
        <f t="shared" si="1105"/>
        <v/>
      </c>
      <c r="BX705" s="13"/>
      <c r="BY705" s="13"/>
      <c r="BZ705" s="13"/>
      <c r="CA705" s="13" t="str">
        <f t="shared" si="1106"/>
        <v/>
      </c>
      <c r="CB705" s="13"/>
      <c r="CC705" s="13"/>
      <c r="CD705" s="13"/>
      <c r="CE705" s="13" t="str">
        <f t="shared" si="1097"/>
        <v/>
      </c>
      <c r="CF705" s="14" t="str">
        <f t="shared" si="1098"/>
        <v/>
      </c>
      <c r="CG705" s="15"/>
      <c r="CH705" s="1"/>
      <c r="CI705" s="16"/>
      <c r="CJ705" s="54"/>
      <c r="CK705" s="13" t="str">
        <f t="shared" si="1107"/>
        <v/>
      </c>
      <c r="CL705" s="13"/>
      <c r="CM705" s="13"/>
      <c r="CN705" s="13"/>
      <c r="CO705" s="13" t="str">
        <f t="shared" si="1108"/>
        <v/>
      </c>
      <c r="CP705" s="13"/>
      <c r="CQ705" s="13"/>
      <c r="CR705" s="13"/>
      <c r="CS705" s="13" t="str">
        <f t="shared" si="1099"/>
        <v/>
      </c>
      <c r="CT705" s="14" t="str">
        <f t="shared" si="1104"/>
        <v/>
      </c>
      <c r="CU705" s="15"/>
      <c r="CV705" s="1"/>
      <c r="CW705" s="16"/>
      <c r="CX705" s="54"/>
      <c r="CY705" s="13" t="str">
        <f t="shared" si="1109"/>
        <v/>
      </c>
      <c r="CZ705" s="13"/>
      <c r="DA705" s="13"/>
      <c r="DB705" s="13"/>
      <c r="DC705" s="13" t="str">
        <f t="shared" si="1110"/>
        <v/>
      </c>
      <c r="DD705" s="13"/>
      <c r="DE705" s="13"/>
      <c r="DF705" s="13"/>
      <c r="DG705" s="13" t="str">
        <f t="shared" si="1100"/>
        <v/>
      </c>
      <c r="DH705" s="14" t="str">
        <f t="shared" si="1101"/>
        <v/>
      </c>
      <c r="DI705" s="15"/>
      <c r="DJ705" s="1"/>
      <c r="DK705" s="16"/>
      <c r="DL705" s="54"/>
      <c r="DM705" s="13" t="str">
        <f t="shared" si="1111"/>
        <v/>
      </c>
      <c r="DN705" s="13"/>
      <c r="DO705" s="13"/>
      <c r="DP705" s="13"/>
      <c r="DQ705" s="13" t="str">
        <f t="shared" si="1112"/>
        <v/>
      </c>
      <c r="DR705" s="13"/>
      <c r="DS705" s="13"/>
      <c r="DT705" s="13"/>
      <c r="DU705" s="13" t="str">
        <f t="shared" si="1102"/>
        <v/>
      </c>
      <c r="DV705" s="14" t="str">
        <f t="shared" si="1103"/>
        <v/>
      </c>
      <c r="DW705" s="15"/>
    </row>
    <row r="706" spans="1:127" x14ac:dyDescent="0.2">
      <c r="A706" s="16"/>
      <c r="B706" s="11"/>
      <c r="C706" s="13">
        <v>1551</v>
      </c>
      <c r="D706" s="53">
        <f t="shared" si="1068"/>
        <v>58</v>
      </c>
      <c r="E706" s="13">
        <v>287</v>
      </c>
      <c r="F706" s="13">
        <f t="shared" si="1069"/>
        <v>5</v>
      </c>
      <c r="G706" s="13">
        <v>50</v>
      </c>
      <c r="H706" s="13">
        <f t="shared" si="1092"/>
        <v>5</v>
      </c>
      <c r="I706" s="17">
        <v>0</v>
      </c>
      <c r="J706" s="56" t="str">
        <f t="shared" si="1093"/>
        <v>ジャグラーコインホルダー</v>
      </c>
      <c r="K706" s="54">
        <v>220</v>
      </c>
      <c r="L706" s="13">
        <f t="shared" si="1070"/>
        <v>1100</v>
      </c>
      <c r="M706" s="14">
        <f t="shared" si="1071"/>
        <v>0.18965517241379309</v>
      </c>
      <c r="N706" s="15"/>
      <c r="O706" s="2"/>
      <c r="P706" s="16"/>
      <c r="Q706" s="13">
        <v>1816</v>
      </c>
      <c r="R706" s="53">
        <f t="shared" si="1072"/>
        <v>24</v>
      </c>
      <c r="S706" s="13">
        <v>61</v>
      </c>
      <c r="T706" s="13">
        <f t="shared" si="1073"/>
        <v>0</v>
      </c>
      <c r="U706" s="13">
        <v>4</v>
      </c>
      <c r="V706" s="13">
        <f t="shared" si="1074"/>
        <v>0</v>
      </c>
      <c r="W706" s="17">
        <v>11</v>
      </c>
      <c r="X706" s="56" t="str">
        <f t="shared" si="1075"/>
        <v>サンリオFAN</v>
      </c>
      <c r="Y706" s="54">
        <f t="shared" si="1076"/>
        <v>1100</v>
      </c>
      <c r="Z706" s="13">
        <f t="shared" si="1077"/>
        <v>0</v>
      </c>
      <c r="AA706" s="14">
        <f t="shared" si="1078"/>
        <v>0</v>
      </c>
      <c r="AB706" s="15" t="s">
        <v>284</v>
      </c>
      <c r="AC706" s="15"/>
      <c r="AD706" s="16"/>
      <c r="AE706" s="13">
        <v>6349</v>
      </c>
      <c r="AF706" s="53">
        <f t="shared" si="1079"/>
        <v>46</v>
      </c>
      <c r="AG706" s="13">
        <v>145</v>
      </c>
      <c r="AH706" s="13">
        <f t="shared" si="1080"/>
        <v>1</v>
      </c>
      <c r="AI706" s="13">
        <v>10</v>
      </c>
      <c r="AJ706" s="13">
        <f t="shared" si="1081"/>
        <v>1</v>
      </c>
      <c r="AK706" s="17">
        <v>1</v>
      </c>
      <c r="AL706" s="56" t="str">
        <f t="shared" si="1095"/>
        <v>デジタルミニカメラ</v>
      </c>
      <c r="AM706" s="54">
        <f t="shared" si="1096"/>
        <v>800</v>
      </c>
      <c r="AN706" s="13">
        <f t="shared" si="1083"/>
        <v>800</v>
      </c>
      <c r="AO706" s="14">
        <f t="shared" si="1084"/>
        <v>0.17391304347826086</v>
      </c>
      <c r="AP706" s="15" t="s">
        <v>285</v>
      </c>
      <c r="AQ706" s="113"/>
      <c r="AR706" s="16"/>
      <c r="AS706" s="13">
        <v>5416</v>
      </c>
      <c r="AT706" s="53">
        <f t="shared" si="1085"/>
        <v>33</v>
      </c>
      <c r="AU706" s="13">
        <v>271</v>
      </c>
      <c r="AV706" s="13">
        <f t="shared" si="1086"/>
        <v>1</v>
      </c>
      <c r="AW706" s="13">
        <v>30</v>
      </c>
      <c r="AX706" s="13">
        <f t="shared" si="1087"/>
        <v>1</v>
      </c>
      <c r="AY706" s="17">
        <v>0</v>
      </c>
      <c r="AZ706" s="56" t="str">
        <f t="shared" si="1088"/>
        <v>ねこアイシャドウ</v>
      </c>
      <c r="BA706" s="54">
        <f t="shared" si="1089"/>
        <v>1000</v>
      </c>
      <c r="BB706" s="13">
        <f t="shared" si="1090"/>
        <v>1000</v>
      </c>
      <c r="BC706" s="14">
        <f t="shared" si="1091"/>
        <v>0.30303030303030304</v>
      </c>
      <c r="BD706" s="15"/>
      <c r="BT706" s="113"/>
      <c r="BU706" s="16"/>
      <c r="BV706" s="54"/>
      <c r="BW706" s="13" t="str">
        <f t="shared" si="1105"/>
        <v/>
      </c>
      <c r="BX706" s="13"/>
      <c r="BY706" s="13"/>
      <c r="BZ706" s="13"/>
      <c r="CA706" s="13" t="str">
        <f t="shared" si="1106"/>
        <v/>
      </c>
      <c r="CB706" s="13"/>
      <c r="CC706" s="13"/>
      <c r="CD706" s="13"/>
      <c r="CE706" s="13" t="str">
        <f t="shared" si="1097"/>
        <v/>
      </c>
      <c r="CF706" s="14" t="str">
        <f t="shared" si="1098"/>
        <v/>
      </c>
      <c r="CG706" s="15"/>
      <c r="CH706" s="1"/>
      <c r="CI706" s="16"/>
      <c r="CJ706" s="54"/>
      <c r="CK706" s="13" t="str">
        <f t="shared" si="1107"/>
        <v/>
      </c>
      <c r="CL706" s="13"/>
      <c r="CM706" s="13"/>
      <c r="CN706" s="13"/>
      <c r="CO706" s="13" t="str">
        <f t="shared" si="1108"/>
        <v/>
      </c>
      <c r="CP706" s="13"/>
      <c r="CQ706" s="13"/>
      <c r="CR706" s="13"/>
      <c r="CS706" s="13" t="str">
        <f t="shared" si="1099"/>
        <v/>
      </c>
      <c r="CT706" s="14" t="str">
        <f t="shared" si="1104"/>
        <v/>
      </c>
      <c r="CU706" s="15"/>
      <c r="CV706" s="1"/>
      <c r="CW706" s="16"/>
      <c r="CX706" s="54"/>
      <c r="CY706" s="13" t="str">
        <f t="shared" si="1109"/>
        <v/>
      </c>
      <c r="CZ706" s="13"/>
      <c r="DA706" s="13"/>
      <c r="DB706" s="13"/>
      <c r="DC706" s="13" t="str">
        <f t="shared" si="1110"/>
        <v/>
      </c>
      <c r="DD706" s="13"/>
      <c r="DE706" s="13"/>
      <c r="DF706" s="13"/>
      <c r="DG706" s="13" t="str">
        <f t="shared" si="1100"/>
        <v/>
      </c>
      <c r="DH706" s="14" t="str">
        <f t="shared" si="1101"/>
        <v/>
      </c>
      <c r="DI706" s="15"/>
      <c r="DJ706" s="1"/>
      <c r="DK706" s="16"/>
      <c r="DL706" s="54"/>
      <c r="DM706" s="13" t="str">
        <f t="shared" si="1111"/>
        <v/>
      </c>
      <c r="DN706" s="13"/>
      <c r="DO706" s="13"/>
      <c r="DP706" s="13"/>
      <c r="DQ706" s="13" t="str">
        <f t="shared" si="1112"/>
        <v/>
      </c>
      <c r="DR706" s="13"/>
      <c r="DS706" s="13"/>
      <c r="DT706" s="13"/>
      <c r="DU706" s="13" t="str">
        <f t="shared" si="1102"/>
        <v/>
      </c>
      <c r="DV706" s="14" t="str">
        <f t="shared" si="1103"/>
        <v/>
      </c>
      <c r="DW706" s="15"/>
    </row>
    <row r="707" spans="1:127" ht="15" customHeight="1" x14ac:dyDescent="0.2">
      <c r="A707" s="16"/>
      <c r="B707" s="11"/>
      <c r="C707" s="13">
        <v>5742</v>
      </c>
      <c r="D707" s="63">
        <f t="shared" si="1068"/>
        <v>183</v>
      </c>
      <c r="E707" s="13">
        <v>393</v>
      </c>
      <c r="F707" s="13">
        <f t="shared" si="1069"/>
        <v>4</v>
      </c>
      <c r="G707" s="34">
        <v>88</v>
      </c>
      <c r="H707" s="34">
        <f t="shared" si="1092"/>
        <v>6</v>
      </c>
      <c r="I707" s="17">
        <v>0</v>
      </c>
      <c r="J707" s="56" t="str">
        <f t="shared" si="1093"/>
        <v>AIモンスタラバー</v>
      </c>
      <c r="K707" s="13">
        <f t="shared" si="1094"/>
        <v>200</v>
      </c>
      <c r="L707" s="13">
        <f t="shared" si="1070"/>
        <v>1200</v>
      </c>
      <c r="M707" s="14">
        <f t="shared" si="1071"/>
        <v>6.5573770491803282E-2</v>
      </c>
      <c r="N707" s="15"/>
      <c r="O707" s="2"/>
      <c r="P707" s="16"/>
      <c r="Q707" s="13">
        <v>2319</v>
      </c>
      <c r="R707" s="63">
        <f t="shared" si="1072"/>
        <v>35</v>
      </c>
      <c r="S707" s="13">
        <v>30</v>
      </c>
      <c r="T707" s="13">
        <f t="shared" si="1073"/>
        <v>1</v>
      </c>
      <c r="U707" s="34">
        <v>8</v>
      </c>
      <c r="V707" s="34">
        <f t="shared" si="1074"/>
        <v>1</v>
      </c>
      <c r="W707" s="17">
        <v>4</v>
      </c>
      <c r="X707" s="56" t="str">
        <f t="shared" si="1075"/>
        <v>キティフェイスポーチ</v>
      </c>
      <c r="Y707" s="13">
        <f t="shared" si="1076"/>
        <v>957</v>
      </c>
      <c r="Z707" s="13">
        <f t="shared" si="1077"/>
        <v>957</v>
      </c>
      <c r="AA707" s="14">
        <f t="shared" si="1078"/>
        <v>0.27342857142857141</v>
      </c>
      <c r="AB707" s="15" t="s">
        <v>283</v>
      </c>
      <c r="AC707" s="15"/>
      <c r="AD707" s="16"/>
      <c r="AE707" s="13">
        <v>6838</v>
      </c>
      <c r="AF707" s="63">
        <f t="shared" si="1079"/>
        <v>85</v>
      </c>
      <c r="AG707" s="13">
        <v>256</v>
      </c>
      <c r="AH707" s="13">
        <f t="shared" si="1080"/>
        <v>1</v>
      </c>
      <c r="AI707" s="34">
        <v>17</v>
      </c>
      <c r="AJ707" s="34">
        <f t="shared" si="1081"/>
        <v>1</v>
      </c>
      <c r="AK707" s="17">
        <v>0</v>
      </c>
      <c r="AL707" s="56" t="str">
        <f t="shared" si="1095"/>
        <v>スティッチポーチ</v>
      </c>
      <c r="AM707" s="13">
        <f t="shared" si="1096"/>
        <v>490</v>
      </c>
      <c r="AN707" s="13">
        <f t="shared" si="1083"/>
        <v>490</v>
      </c>
      <c r="AO707" s="14">
        <f t="shared" si="1084"/>
        <v>5.7647058823529412E-2</v>
      </c>
      <c r="AP707" s="15"/>
      <c r="AQ707" s="113"/>
      <c r="AR707" s="16"/>
      <c r="AS707" s="13">
        <v>8970</v>
      </c>
      <c r="AT707" s="63">
        <f t="shared" si="1085"/>
        <v>140</v>
      </c>
      <c r="AU707" s="13">
        <v>370</v>
      </c>
      <c r="AV707" s="13">
        <f t="shared" si="1086"/>
        <v>2</v>
      </c>
      <c r="AW707" s="34">
        <v>14</v>
      </c>
      <c r="AX707" s="34">
        <f t="shared" si="1087"/>
        <v>2</v>
      </c>
      <c r="AY707" s="17">
        <v>0</v>
      </c>
      <c r="AZ707" s="56" t="s">
        <v>268</v>
      </c>
      <c r="BA707" s="13">
        <v>528</v>
      </c>
      <c r="BB707" s="13">
        <f t="shared" si="1090"/>
        <v>1056</v>
      </c>
      <c r="BC707" s="14">
        <f t="shared" si="1091"/>
        <v>7.5428571428571428E-2</v>
      </c>
      <c r="BD707" s="15"/>
      <c r="BT707" s="113"/>
      <c r="BU707" s="16"/>
      <c r="BV707" s="54"/>
      <c r="BW707" s="13" t="str">
        <f t="shared" si="1105"/>
        <v/>
      </c>
      <c r="BX707" s="13"/>
      <c r="BY707" s="13"/>
      <c r="BZ707" s="13"/>
      <c r="CA707" s="13" t="str">
        <f t="shared" si="1106"/>
        <v/>
      </c>
      <c r="CB707" s="13"/>
      <c r="CC707" s="13"/>
      <c r="CD707" s="13"/>
      <c r="CE707" s="13" t="str">
        <f t="shared" si="1097"/>
        <v/>
      </c>
      <c r="CF707" s="14" t="str">
        <f t="shared" si="1098"/>
        <v/>
      </c>
      <c r="CG707" s="15"/>
      <c r="CH707" s="1"/>
      <c r="CI707" s="16"/>
      <c r="CJ707" s="54"/>
      <c r="CK707" s="13" t="str">
        <f t="shared" si="1107"/>
        <v/>
      </c>
      <c r="CL707" s="13"/>
      <c r="CM707" s="13"/>
      <c r="CN707" s="13"/>
      <c r="CO707" s="13" t="str">
        <f t="shared" si="1108"/>
        <v/>
      </c>
      <c r="CP707" s="13"/>
      <c r="CQ707" s="13"/>
      <c r="CR707" s="13"/>
      <c r="CS707" s="13" t="str">
        <f t="shared" si="1099"/>
        <v/>
      </c>
      <c r="CT707" s="14" t="str">
        <f t="shared" si="1104"/>
        <v/>
      </c>
      <c r="CU707" s="15"/>
      <c r="CV707" s="1"/>
      <c r="CW707" s="16"/>
      <c r="CX707" s="54"/>
      <c r="CY707" s="13" t="str">
        <f t="shared" si="1109"/>
        <v/>
      </c>
      <c r="CZ707" s="13"/>
      <c r="DA707" s="13"/>
      <c r="DB707" s="13"/>
      <c r="DC707" s="13" t="str">
        <f t="shared" si="1110"/>
        <v/>
      </c>
      <c r="DD707" s="13"/>
      <c r="DE707" s="13"/>
      <c r="DF707" s="13"/>
      <c r="DG707" s="13" t="str">
        <f t="shared" si="1100"/>
        <v/>
      </c>
      <c r="DH707" s="14" t="str">
        <f t="shared" si="1101"/>
        <v/>
      </c>
      <c r="DI707" s="15"/>
      <c r="DJ707" s="1"/>
      <c r="DK707" s="16"/>
      <c r="DL707" s="54"/>
      <c r="DM707" s="13" t="str">
        <f t="shared" si="1111"/>
        <v/>
      </c>
      <c r="DN707" s="13"/>
      <c r="DO707" s="13"/>
      <c r="DP707" s="13"/>
      <c r="DQ707" s="13" t="str">
        <f t="shared" si="1112"/>
        <v/>
      </c>
      <c r="DR707" s="13"/>
      <c r="DS707" s="13"/>
      <c r="DT707" s="13"/>
      <c r="DU707" s="13" t="str">
        <f t="shared" si="1102"/>
        <v/>
      </c>
      <c r="DV707" s="14" t="str">
        <f t="shared" si="1103"/>
        <v/>
      </c>
      <c r="DW707" s="15"/>
    </row>
    <row r="708" spans="1:127" ht="15" customHeight="1" thickBot="1" x14ac:dyDescent="0.25">
      <c r="A708" s="26"/>
      <c r="B708" s="46"/>
      <c r="C708" s="29">
        <v>2669</v>
      </c>
      <c r="D708" s="61">
        <f t="shared" si="1068"/>
        <v>52</v>
      </c>
      <c r="E708" s="62">
        <v>360</v>
      </c>
      <c r="F708" s="29">
        <f t="shared" si="1069"/>
        <v>1</v>
      </c>
      <c r="G708" s="64">
        <v>42</v>
      </c>
      <c r="H708" s="64">
        <f t="shared" si="1092"/>
        <v>4</v>
      </c>
      <c r="I708" s="107">
        <v>8</v>
      </c>
      <c r="J708" s="57" t="str">
        <f t="shared" si="1093"/>
        <v>NICIマスコット</v>
      </c>
      <c r="K708" s="62">
        <f t="shared" si="1094"/>
        <v>682</v>
      </c>
      <c r="L708" s="27">
        <f t="shared" si="1070"/>
        <v>2728</v>
      </c>
      <c r="M708" s="28">
        <f t="shared" si="1071"/>
        <v>0.52461538461538459</v>
      </c>
      <c r="N708" s="15" t="s">
        <v>286</v>
      </c>
      <c r="O708" s="2"/>
      <c r="P708" s="26"/>
      <c r="Q708" s="29">
        <v>3316</v>
      </c>
      <c r="R708" s="61">
        <f t="shared" si="1072"/>
        <v>213</v>
      </c>
      <c r="S708" s="62">
        <v>63</v>
      </c>
      <c r="T708" s="29">
        <f t="shared" si="1073"/>
        <v>2</v>
      </c>
      <c r="U708" s="64">
        <v>10</v>
      </c>
      <c r="V708" s="64">
        <f t="shared" si="1074"/>
        <v>2</v>
      </c>
      <c r="W708" s="107">
        <v>0</v>
      </c>
      <c r="X708" s="57" t="str">
        <f t="shared" si="1075"/>
        <v>ＡＩマスコット</v>
      </c>
      <c r="Y708" s="62">
        <f t="shared" si="1076"/>
        <v>286</v>
      </c>
      <c r="Z708" s="27">
        <f t="shared" si="1077"/>
        <v>572</v>
      </c>
      <c r="AA708" s="28">
        <f t="shared" si="1078"/>
        <v>2.6854460093896713E-2</v>
      </c>
      <c r="AB708" s="15"/>
      <c r="AC708" s="15"/>
      <c r="AD708" s="26"/>
      <c r="AE708" s="29">
        <v>7961</v>
      </c>
      <c r="AF708" s="61">
        <f t="shared" si="1079"/>
        <v>159</v>
      </c>
      <c r="AG708" s="62">
        <v>227</v>
      </c>
      <c r="AH708" s="29">
        <f t="shared" si="1080"/>
        <v>3</v>
      </c>
      <c r="AI708" s="64">
        <v>12</v>
      </c>
      <c r="AJ708" s="64">
        <f t="shared" si="1081"/>
        <v>2</v>
      </c>
      <c r="AK708" s="107">
        <v>0</v>
      </c>
      <c r="AL708" s="57" t="str">
        <f t="shared" si="1095"/>
        <v>しなこくま</v>
      </c>
      <c r="AM708" s="62">
        <f t="shared" si="1096"/>
        <v>528</v>
      </c>
      <c r="AN708" s="27">
        <f t="shared" si="1083"/>
        <v>1056</v>
      </c>
      <c r="AO708" s="28">
        <f t="shared" si="1084"/>
        <v>6.6415094339622643E-2</v>
      </c>
      <c r="AP708" s="15"/>
      <c r="AQ708" s="113"/>
      <c r="AR708" s="26"/>
      <c r="AS708" s="29">
        <v>8261</v>
      </c>
      <c r="AT708" s="61">
        <f t="shared" si="1085"/>
        <v>95</v>
      </c>
      <c r="AU708" s="62">
        <v>335</v>
      </c>
      <c r="AV708" s="29">
        <f t="shared" si="1086"/>
        <v>3</v>
      </c>
      <c r="AW708" s="64">
        <v>12</v>
      </c>
      <c r="AX708" s="64">
        <f t="shared" si="1087"/>
        <v>3</v>
      </c>
      <c r="AY708" s="107">
        <v>0</v>
      </c>
      <c r="AZ708" s="57" t="str">
        <f t="shared" si="1088"/>
        <v>サンリオミニリュック</v>
      </c>
      <c r="BA708" s="62">
        <f t="shared" si="1089"/>
        <v>600</v>
      </c>
      <c r="BB708" s="27">
        <f t="shared" si="1090"/>
        <v>1800</v>
      </c>
      <c r="BC708" s="28">
        <f t="shared" si="1091"/>
        <v>0.18947368421052632</v>
      </c>
      <c r="BD708" s="15"/>
      <c r="BT708" s="113"/>
      <c r="BU708" s="16"/>
      <c r="BV708" s="54"/>
      <c r="BW708" s="13" t="str">
        <f t="shared" si="1105"/>
        <v/>
      </c>
      <c r="BX708" s="13"/>
      <c r="BY708" s="13"/>
      <c r="BZ708" s="13"/>
      <c r="CA708" s="13" t="str">
        <f t="shared" si="1106"/>
        <v/>
      </c>
      <c r="CB708" s="13"/>
      <c r="CC708" s="13"/>
      <c r="CD708" s="13"/>
      <c r="CE708" s="13" t="str">
        <f t="shared" si="1097"/>
        <v/>
      </c>
      <c r="CF708" s="14" t="str">
        <f t="shared" si="1098"/>
        <v/>
      </c>
      <c r="CG708" s="15"/>
      <c r="CH708" s="1"/>
      <c r="CI708" s="16"/>
      <c r="CJ708" s="54"/>
      <c r="CK708" s="13" t="str">
        <f t="shared" si="1107"/>
        <v/>
      </c>
      <c r="CL708" s="13"/>
      <c r="CM708" s="13"/>
      <c r="CN708" s="13"/>
      <c r="CO708" s="13" t="str">
        <f t="shared" si="1108"/>
        <v/>
      </c>
      <c r="CP708" s="13"/>
      <c r="CQ708" s="13"/>
      <c r="CR708" s="13"/>
      <c r="CS708" s="13" t="str">
        <f t="shared" si="1099"/>
        <v/>
      </c>
      <c r="CT708" s="14" t="str">
        <f t="shared" si="1104"/>
        <v/>
      </c>
      <c r="CU708" s="15"/>
      <c r="CV708" s="1"/>
      <c r="CW708" s="16"/>
      <c r="CX708" s="54"/>
      <c r="CY708" s="13" t="str">
        <f t="shared" si="1109"/>
        <v/>
      </c>
      <c r="CZ708" s="13"/>
      <c r="DA708" s="13"/>
      <c r="DB708" s="13"/>
      <c r="DC708" s="13" t="str">
        <f t="shared" si="1110"/>
        <v/>
      </c>
      <c r="DD708" s="13"/>
      <c r="DE708" s="13"/>
      <c r="DF708" s="13"/>
      <c r="DG708" s="13" t="str">
        <f t="shared" si="1100"/>
        <v/>
      </c>
      <c r="DH708" s="14" t="str">
        <f t="shared" si="1101"/>
        <v/>
      </c>
      <c r="DI708" s="15"/>
      <c r="DJ708" s="1"/>
      <c r="DK708" s="16"/>
      <c r="DL708" s="54"/>
      <c r="DM708" s="13" t="str">
        <f t="shared" si="1111"/>
        <v/>
      </c>
      <c r="DN708" s="13"/>
      <c r="DO708" s="13"/>
      <c r="DP708" s="13"/>
      <c r="DQ708" s="13" t="str">
        <f t="shared" si="1112"/>
        <v/>
      </c>
      <c r="DR708" s="13"/>
      <c r="DS708" s="13"/>
      <c r="DT708" s="13"/>
      <c r="DU708" s="13" t="str">
        <f t="shared" si="1102"/>
        <v/>
      </c>
      <c r="DV708" s="14" t="str">
        <f t="shared" si="1103"/>
        <v/>
      </c>
      <c r="DW708" s="15"/>
    </row>
    <row r="709" spans="1:127" ht="15" customHeight="1" thickTop="1" x14ac:dyDescent="0.2">
      <c r="A709" s="79"/>
      <c r="B709" s="74"/>
      <c r="C709" s="53"/>
      <c r="D709" s="53"/>
      <c r="E709" s="53"/>
      <c r="F709" s="31"/>
      <c r="G709" s="53"/>
      <c r="H709" s="53"/>
      <c r="I709" s="80"/>
      <c r="J709" s="21"/>
      <c r="K709" s="54"/>
      <c r="L709" s="31"/>
      <c r="M709" s="32"/>
      <c r="N709" s="15"/>
      <c r="O709" s="2"/>
      <c r="P709" s="79"/>
      <c r="Q709" s="53"/>
      <c r="R709" s="53"/>
      <c r="S709" s="53"/>
      <c r="T709" s="31"/>
      <c r="U709" s="53"/>
      <c r="V709" s="53"/>
      <c r="W709" s="80"/>
      <c r="X709" s="21"/>
      <c r="Y709" s="54"/>
      <c r="Z709" s="31"/>
      <c r="AA709" s="32"/>
      <c r="AB709" s="15"/>
      <c r="AC709" s="15"/>
      <c r="AD709" s="79"/>
      <c r="AE709" s="53"/>
      <c r="AF709" s="53"/>
      <c r="AG709" s="53"/>
      <c r="AH709" s="31"/>
      <c r="AI709" s="53"/>
      <c r="AJ709" s="53"/>
      <c r="AK709" s="80"/>
      <c r="AL709" s="56"/>
      <c r="AM709" s="54"/>
      <c r="AN709" s="31"/>
      <c r="AO709" s="32"/>
      <c r="AP709" s="15"/>
      <c r="AQ709" s="113"/>
      <c r="AR709" s="79"/>
      <c r="AS709" s="53"/>
      <c r="AT709" s="53"/>
      <c r="AU709" s="53"/>
      <c r="AV709" s="31"/>
      <c r="AW709" s="53"/>
      <c r="AX709" s="53"/>
      <c r="AY709" s="80"/>
      <c r="AZ709" s="56"/>
      <c r="BA709" s="54"/>
      <c r="BB709" s="31"/>
      <c r="BC709" s="32"/>
      <c r="BD709" s="15"/>
      <c r="BT709" s="113"/>
      <c r="BU709" s="16"/>
      <c r="BV709" s="54"/>
      <c r="BW709" s="13" t="str">
        <f t="shared" si="1105"/>
        <v/>
      </c>
      <c r="BX709" s="13"/>
      <c r="BY709" s="13"/>
      <c r="BZ709" s="13"/>
      <c r="CA709" s="13" t="str">
        <f t="shared" si="1106"/>
        <v/>
      </c>
      <c r="CB709" s="13"/>
      <c r="CC709" s="13"/>
      <c r="CD709" s="13"/>
      <c r="CE709" s="13" t="str">
        <f t="shared" si="1097"/>
        <v/>
      </c>
      <c r="CF709" s="14" t="str">
        <f t="shared" si="1098"/>
        <v/>
      </c>
      <c r="CG709" s="15"/>
      <c r="CH709" s="1"/>
      <c r="CI709" s="16"/>
      <c r="CJ709" s="54"/>
      <c r="CK709" s="13" t="str">
        <f t="shared" si="1107"/>
        <v/>
      </c>
      <c r="CL709" s="13"/>
      <c r="CM709" s="13"/>
      <c r="CN709" s="13"/>
      <c r="CO709" s="13" t="str">
        <f t="shared" si="1108"/>
        <v/>
      </c>
      <c r="CP709" s="13"/>
      <c r="CQ709" s="13"/>
      <c r="CR709" s="13"/>
      <c r="CS709" s="13" t="str">
        <f t="shared" si="1099"/>
        <v/>
      </c>
      <c r="CT709" s="14" t="str">
        <f t="shared" si="1104"/>
        <v/>
      </c>
      <c r="CU709" s="15"/>
      <c r="CV709" s="1"/>
      <c r="CW709" s="16"/>
      <c r="CX709" s="54"/>
      <c r="CY709" s="13" t="str">
        <f t="shared" si="1109"/>
        <v/>
      </c>
      <c r="CZ709" s="13"/>
      <c r="DA709" s="13"/>
      <c r="DB709" s="13"/>
      <c r="DC709" s="13" t="str">
        <f t="shared" si="1110"/>
        <v/>
      </c>
      <c r="DD709" s="13"/>
      <c r="DE709" s="13"/>
      <c r="DF709" s="13"/>
      <c r="DG709" s="13" t="str">
        <f t="shared" si="1100"/>
        <v/>
      </c>
      <c r="DH709" s="14" t="str">
        <f t="shared" si="1101"/>
        <v/>
      </c>
      <c r="DI709" s="15"/>
      <c r="DJ709" s="1"/>
      <c r="DK709" s="16"/>
      <c r="DL709" s="54"/>
      <c r="DM709" s="13" t="str">
        <f t="shared" si="1111"/>
        <v/>
      </c>
      <c r="DN709" s="13"/>
      <c r="DO709" s="13"/>
      <c r="DP709" s="13"/>
      <c r="DQ709" s="13" t="str">
        <f t="shared" si="1112"/>
        <v/>
      </c>
      <c r="DR709" s="13"/>
      <c r="DS709" s="13"/>
      <c r="DT709" s="13"/>
      <c r="DU709" s="13" t="str">
        <f t="shared" si="1102"/>
        <v/>
      </c>
      <c r="DV709" s="14" t="str">
        <f t="shared" si="1103"/>
        <v/>
      </c>
      <c r="DW709" s="15"/>
    </row>
    <row r="710" spans="1:127" ht="15" customHeight="1" x14ac:dyDescent="0.2">
      <c r="A710" s="16"/>
      <c r="B710" s="11"/>
      <c r="C710" s="13"/>
      <c r="D710" s="53"/>
      <c r="E710" s="13"/>
      <c r="F710" s="13"/>
      <c r="G710" s="13"/>
      <c r="H710" s="13"/>
      <c r="I710" s="17"/>
      <c r="J710" s="21"/>
      <c r="K710" s="54"/>
      <c r="L710" s="13"/>
      <c r="M710" s="14"/>
      <c r="N710" s="15"/>
      <c r="O710" s="2"/>
      <c r="P710" s="16"/>
      <c r="Q710" s="13"/>
      <c r="R710" s="53"/>
      <c r="S710" s="13"/>
      <c r="T710" s="13"/>
      <c r="U710" s="13"/>
      <c r="V710" s="13"/>
      <c r="W710" s="17"/>
      <c r="X710" s="21"/>
      <c r="Y710" s="54"/>
      <c r="Z710" s="13"/>
      <c r="AA710" s="14"/>
      <c r="AB710" s="15"/>
      <c r="AC710" s="15"/>
      <c r="AD710" s="16"/>
      <c r="AE710" s="13"/>
      <c r="AF710" s="53"/>
      <c r="AG710" s="13"/>
      <c r="AH710" s="13"/>
      <c r="AI710" s="13"/>
      <c r="AJ710" s="13"/>
      <c r="AK710" s="17"/>
      <c r="AL710" s="56"/>
      <c r="AM710" s="54"/>
      <c r="AN710" s="13"/>
      <c r="AO710" s="14"/>
      <c r="AP710" s="15"/>
      <c r="AQ710" s="113"/>
      <c r="AR710" s="16"/>
      <c r="AS710" s="13"/>
      <c r="AT710" s="53"/>
      <c r="AU710" s="13"/>
      <c r="AV710" s="13"/>
      <c r="AW710" s="13"/>
      <c r="AX710" s="13"/>
      <c r="AY710" s="17"/>
      <c r="AZ710" s="56"/>
      <c r="BA710" s="54"/>
      <c r="BB710" s="13"/>
      <c r="BC710" s="14"/>
      <c r="BD710" s="15"/>
      <c r="BT710" s="113"/>
      <c r="BU710" s="16"/>
      <c r="BV710" s="54"/>
      <c r="BW710" s="13" t="str">
        <f t="shared" si="1105"/>
        <v/>
      </c>
      <c r="BX710" s="13"/>
      <c r="BY710" s="13"/>
      <c r="BZ710" s="13"/>
      <c r="CA710" s="13" t="str">
        <f t="shared" si="1106"/>
        <v/>
      </c>
      <c r="CB710" s="13"/>
      <c r="CC710" s="13"/>
      <c r="CD710" s="13"/>
      <c r="CE710" s="13" t="str">
        <f t="shared" si="1097"/>
        <v/>
      </c>
      <c r="CF710" s="14" t="str">
        <f t="shared" si="1098"/>
        <v/>
      </c>
      <c r="CG710" s="15"/>
      <c r="CH710" s="1"/>
      <c r="CI710" s="16"/>
      <c r="CJ710" s="54"/>
      <c r="CK710" s="13" t="str">
        <f t="shared" si="1107"/>
        <v/>
      </c>
      <c r="CL710" s="13"/>
      <c r="CM710" s="13"/>
      <c r="CN710" s="13"/>
      <c r="CO710" s="13" t="str">
        <f t="shared" si="1108"/>
        <v/>
      </c>
      <c r="CP710" s="13"/>
      <c r="CQ710" s="13"/>
      <c r="CR710" s="13"/>
      <c r="CS710" s="13" t="str">
        <f t="shared" si="1099"/>
        <v/>
      </c>
      <c r="CT710" s="14" t="str">
        <f t="shared" si="1104"/>
        <v/>
      </c>
      <c r="CU710" s="15"/>
      <c r="CV710" s="1"/>
      <c r="CW710" s="16"/>
      <c r="CX710" s="54"/>
      <c r="CY710" s="13" t="str">
        <f t="shared" si="1109"/>
        <v/>
      </c>
      <c r="CZ710" s="13"/>
      <c r="DA710" s="13"/>
      <c r="DB710" s="13"/>
      <c r="DC710" s="13" t="str">
        <f t="shared" si="1110"/>
        <v/>
      </c>
      <c r="DD710" s="13"/>
      <c r="DE710" s="13"/>
      <c r="DF710" s="13"/>
      <c r="DG710" s="13" t="str">
        <f t="shared" si="1100"/>
        <v/>
      </c>
      <c r="DH710" s="14" t="str">
        <f t="shared" si="1101"/>
        <v/>
      </c>
      <c r="DI710" s="15"/>
      <c r="DJ710" s="1"/>
      <c r="DK710" s="16"/>
      <c r="DL710" s="54"/>
      <c r="DM710" s="13" t="str">
        <f t="shared" si="1111"/>
        <v/>
      </c>
      <c r="DN710" s="13"/>
      <c r="DO710" s="13"/>
      <c r="DP710" s="13"/>
      <c r="DQ710" s="13" t="str">
        <f t="shared" si="1112"/>
        <v/>
      </c>
      <c r="DR710" s="13"/>
      <c r="DS710" s="13"/>
      <c r="DT710" s="13"/>
      <c r="DU710" s="13" t="str">
        <f t="shared" si="1102"/>
        <v/>
      </c>
      <c r="DV710" s="14" t="str">
        <f t="shared" si="1103"/>
        <v/>
      </c>
      <c r="DW710" s="15"/>
    </row>
    <row r="711" spans="1:127" ht="15" customHeight="1" x14ac:dyDescent="0.2">
      <c r="A711" s="16"/>
      <c r="B711" s="11"/>
      <c r="C711" s="13"/>
      <c r="D711" s="63"/>
      <c r="E711" s="13"/>
      <c r="F711" s="13"/>
      <c r="G711" s="13"/>
      <c r="H711" s="13"/>
      <c r="I711" s="17"/>
      <c r="J711" s="21"/>
      <c r="K711" s="54"/>
      <c r="L711" s="13"/>
      <c r="M711" s="14"/>
      <c r="N711" s="15"/>
      <c r="O711" s="2"/>
      <c r="P711" s="16"/>
      <c r="Q711" s="13"/>
      <c r="R711" s="63"/>
      <c r="S711" s="13"/>
      <c r="T711" s="13"/>
      <c r="U711" s="13"/>
      <c r="V711" s="13"/>
      <c r="W711" s="17"/>
      <c r="X711" s="21"/>
      <c r="Y711" s="54"/>
      <c r="Z711" s="13"/>
      <c r="AA711" s="14"/>
      <c r="AB711" s="15"/>
      <c r="AC711" s="15"/>
      <c r="AD711" s="16"/>
      <c r="AE711" s="13"/>
      <c r="AF711" s="63"/>
      <c r="AG711" s="13"/>
      <c r="AH711" s="13"/>
      <c r="AI711" s="13"/>
      <c r="AJ711" s="13"/>
      <c r="AK711" s="17"/>
      <c r="AL711" s="56"/>
      <c r="AM711" s="54"/>
      <c r="AN711" s="13"/>
      <c r="AO711" s="14"/>
      <c r="AP711" s="15"/>
      <c r="AQ711" s="113"/>
      <c r="AR711" s="16"/>
      <c r="AS711" s="13"/>
      <c r="AT711" s="63"/>
      <c r="AU711" s="13"/>
      <c r="AV711" s="13"/>
      <c r="AW711" s="13"/>
      <c r="AX711" s="13"/>
      <c r="AY711" s="17"/>
      <c r="AZ711" s="56"/>
      <c r="BA711" s="54"/>
      <c r="BB711" s="13"/>
      <c r="BC711" s="14"/>
      <c r="BD711" s="15"/>
      <c r="BT711" s="113"/>
      <c r="BU711" s="16"/>
      <c r="BV711" s="54"/>
      <c r="BW711" s="13" t="str">
        <f t="shared" si="1105"/>
        <v/>
      </c>
      <c r="BX711" s="13"/>
      <c r="BY711" s="13"/>
      <c r="BZ711" s="13"/>
      <c r="CA711" s="13" t="str">
        <f t="shared" si="1106"/>
        <v/>
      </c>
      <c r="CB711" s="13"/>
      <c r="CC711" s="13"/>
      <c r="CD711" s="13"/>
      <c r="CE711" s="13" t="str">
        <f t="shared" si="1097"/>
        <v/>
      </c>
      <c r="CF711" s="14" t="str">
        <f t="shared" si="1098"/>
        <v/>
      </c>
      <c r="CG711" s="15"/>
      <c r="CH711" s="1"/>
      <c r="CI711" s="16"/>
      <c r="CJ711" s="54"/>
      <c r="CK711" s="13" t="str">
        <f t="shared" si="1107"/>
        <v/>
      </c>
      <c r="CL711" s="13"/>
      <c r="CM711" s="13"/>
      <c r="CN711" s="13"/>
      <c r="CO711" s="13" t="str">
        <f t="shared" si="1108"/>
        <v/>
      </c>
      <c r="CP711" s="13"/>
      <c r="CQ711" s="13"/>
      <c r="CR711" s="13"/>
      <c r="CS711" s="13" t="str">
        <f t="shared" si="1099"/>
        <v/>
      </c>
      <c r="CT711" s="14" t="str">
        <f t="shared" si="1104"/>
        <v/>
      </c>
      <c r="CU711" s="15"/>
      <c r="CV711" s="1"/>
      <c r="CW711" s="16"/>
      <c r="CX711" s="54"/>
      <c r="CY711" s="13" t="str">
        <f t="shared" si="1109"/>
        <v/>
      </c>
      <c r="CZ711" s="13"/>
      <c r="DA711" s="13"/>
      <c r="DB711" s="13"/>
      <c r="DC711" s="13" t="str">
        <f t="shared" si="1110"/>
        <v/>
      </c>
      <c r="DD711" s="13"/>
      <c r="DE711" s="13"/>
      <c r="DF711" s="13"/>
      <c r="DG711" s="13" t="str">
        <f t="shared" si="1100"/>
        <v/>
      </c>
      <c r="DH711" s="14" t="str">
        <f t="shared" si="1101"/>
        <v/>
      </c>
      <c r="DI711" s="15"/>
      <c r="DJ711" s="1"/>
      <c r="DK711" s="16"/>
      <c r="DL711" s="54"/>
      <c r="DM711" s="13" t="str">
        <f t="shared" si="1111"/>
        <v/>
      </c>
      <c r="DN711" s="13"/>
      <c r="DO711" s="13"/>
      <c r="DP711" s="13"/>
      <c r="DQ711" s="13" t="str">
        <f t="shared" si="1112"/>
        <v/>
      </c>
      <c r="DR711" s="13"/>
      <c r="DS711" s="13"/>
      <c r="DT711" s="13"/>
      <c r="DU711" s="13" t="str">
        <f t="shared" si="1102"/>
        <v/>
      </c>
      <c r="DV711" s="14" t="str">
        <f t="shared" si="1103"/>
        <v/>
      </c>
      <c r="DW711" s="15"/>
    </row>
    <row r="712" spans="1:127" ht="15" customHeight="1" thickBot="1" x14ac:dyDescent="0.25">
      <c r="A712" s="26"/>
      <c r="B712" s="46"/>
      <c r="C712" s="29"/>
      <c r="D712" s="61"/>
      <c r="E712" s="62"/>
      <c r="F712" s="27"/>
      <c r="G712" s="27"/>
      <c r="H712" s="27"/>
      <c r="I712" s="107"/>
      <c r="J712" s="30"/>
      <c r="K712" s="62"/>
      <c r="L712" s="27"/>
      <c r="M712" s="28"/>
      <c r="N712" s="15"/>
      <c r="O712" s="2"/>
      <c r="P712" s="26"/>
      <c r="Q712" s="29"/>
      <c r="R712" s="61"/>
      <c r="S712" s="62"/>
      <c r="T712" s="27"/>
      <c r="U712" s="27"/>
      <c r="V712" s="27"/>
      <c r="W712" s="107"/>
      <c r="X712" s="30"/>
      <c r="Y712" s="62"/>
      <c r="Z712" s="27"/>
      <c r="AA712" s="28"/>
      <c r="AB712" s="15"/>
      <c r="AC712" s="15"/>
      <c r="AD712" s="26"/>
      <c r="AE712" s="29"/>
      <c r="AF712" s="61"/>
      <c r="AG712" s="62"/>
      <c r="AH712" s="27"/>
      <c r="AI712" s="27"/>
      <c r="AJ712" s="27"/>
      <c r="AK712" s="107"/>
      <c r="AL712" s="57"/>
      <c r="AM712" s="62"/>
      <c r="AN712" s="27"/>
      <c r="AO712" s="28"/>
      <c r="AP712" s="15"/>
      <c r="AQ712" s="113"/>
      <c r="AR712" s="26"/>
      <c r="AS712" s="29"/>
      <c r="AT712" s="61"/>
      <c r="AU712" s="62"/>
      <c r="AV712" s="27"/>
      <c r="AW712" s="27"/>
      <c r="AX712" s="27"/>
      <c r="AY712" s="107"/>
      <c r="AZ712" s="57"/>
      <c r="BA712" s="62"/>
      <c r="BB712" s="27"/>
      <c r="BC712" s="28"/>
      <c r="BD712" s="15"/>
      <c r="BT712" s="113"/>
      <c r="BU712" s="16"/>
      <c r="BV712" s="54"/>
      <c r="BW712" s="13" t="str">
        <f t="shared" si="1105"/>
        <v/>
      </c>
      <c r="BX712" s="13"/>
      <c r="BY712" s="13"/>
      <c r="BZ712" s="13"/>
      <c r="CA712" s="13" t="str">
        <f t="shared" si="1106"/>
        <v/>
      </c>
      <c r="CB712" s="13"/>
      <c r="CC712" s="13"/>
      <c r="CD712" s="13"/>
      <c r="CE712" s="13" t="str">
        <f t="shared" si="1097"/>
        <v/>
      </c>
      <c r="CF712" s="14" t="str">
        <f t="shared" si="1098"/>
        <v/>
      </c>
      <c r="CG712" s="15"/>
      <c r="CH712" s="1"/>
      <c r="CI712" s="16"/>
      <c r="CJ712" s="54"/>
      <c r="CK712" s="13" t="str">
        <f t="shared" si="1107"/>
        <v/>
      </c>
      <c r="CL712" s="13"/>
      <c r="CM712" s="13"/>
      <c r="CN712" s="13"/>
      <c r="CO712" s="13" t="str">
        <f t="shared" si="1108"/>
        <v/>
      </c>
      <c r="CP712" s="13"/>
      <c r="CQ712" s="13"/>
      <c r="CR712" s="13"/>
      <c r="CS712" s="13" t="str">
        <f t="shared" si="1099"/>
        <v/>
      </c>
      <c r="CT712" s="14" t="str">
        <f t="shared" si="1104"/>
        <v/>
      </c>
      <c r="CU712" s="15"/>
      <c r="CV712" s="1"/>
      <c r="CW712" s="16"/>
      <c r="CX712" s="54"/>
      <c r="CY712" s="13" t="str">
        <f t="shared" si="1109"/>
        <v/>
      </c>
      <c r="CZ712" s="13"/>
      <c r="DA712" s="13"/>
      <c r="DB712" s="13"/>
      <c r="DC712" s="13" t="str">
        <f t="shared" si="1110"/>
        <v/>
      </c>
      <c r="DD712" s="13"/>
      <c r="DE712" s="13"/>
      <c r="DF712" s="13"/>
      <c r="DG712" s="13" t="str">
        <f t="shared" si="1100"/>
        <v/>
      </c>
      <c r="DH712" s="14" t="str">
        <f t="shared" si="1101"/>
        <v/>
      </c>
      <c r="DI712" s="15"/>
      <c r="DJ712" s="1"/>
      <c r="DK712" s="16"/>
      <c r="DL712" s="54"/>
      <c r="DM712" s="13" t="str">
        <f t="shared" si="1111"/>
        <v/>
      </c>
      <c r="DN712" s="13"/>
      <c r="DO712" s="13"/>
      <c r="DP712" s="13"/>
      <c r="DQ712" s="13" t="str">
        <f t="shared" si="1112"/>
        <v/>
      </c>
      <c r="DR712" s="13"/>
      <c r="DS712" s="13"/>
      <c r="DT712" s="13"/>
      <c r="DU712" s="13" t="str">
        <f t="shared" si="1102"/>
        <v/>
      </c>
      <c r="DV712" s="14" t="str">
        <f t="shared" si="1103"/>
        <v/>
      </c>
      <c r="DW712" s="15"/>
    </row>
    <row r="713" spans="1:127" ht="15" customHeight="1" thickTop="1" x14ac:dyDescent="0.2">
      <c r="A713" s="79"/>
      <c r="B713" s="74"/>
      <c r="C713" s="53"/>
      <c r="D713" s="53"/>
      <c r="E713" s="53"/>
      <c r="F713" s="31"/>
      <c r="G713" s="53"/>
      <c r="H713" s="53"/>
      <c r="I713" s="80"/>
      <c r="J713" s="75"/>
      <c r="K713" s="76"/>
      <c r="L713" s="31"/>
      <c r="M713" s="32"/>
      <c r="N713" s="15"/>
      <c r="O713" s="2"/>
      <c r="P713" s="79"/>
      <c r="Q713" s="53"/>
      <c r="R713" s="53"/>
      <c r="S713" s="53"/>
      <c r="T713" s="31"/>
      <c r="U713" s="53"/>
      <c r="V713" s="53"/>
      <c r="W713" s="53"/>
      <c r="X713" s="75"/>
      <c r="Y713" s="76"/>
      <c r="Z713" s="31"/>
      <c r="AA713" s="32"/>
      <c r="AB713" s="15"/>
      <c r="AC713" s="15"/>
      <c r="AD713" s="79"/>
      <c r="AE713" s="53"/>
      <c r="AF713" s="53"/>
      <c r="AG713" s="53"/>
      <c r="AH713" s="31"/>
      <c r="AI713" s="53"/>
      <c r="AJ713" s="53"/>
      <c r="AK713" s="80"/>
      <c r="AL713" s="75"/>
      <c r="AM713" s="76"/>
      <c r="AN713" s="31"/>
      <c r="AO713" s="32"/>
      <c r="AP713" s="15"/>
      <c r="AQ713" s="113"/>
      <c r="AR713" s="79"/>
      <c r="AS713" s="53"/>
      <c r="AT713" s="53"/>
      <c r="AU713" s="53"/>
      <c r="AV713" s="31"/>
      <c r="AW713" s="53"/>
      <c r="AX713" s="53"/>
      <c r="AY713" s="53"/>
      <c r="AZ713" s="75"/>
      <c r="BA713" s="76"/>
      <c r="BB713" s="31"/>
      <c r="BC713" s="32"/>
      <c r="BD713" s="15"/>
      <c r="BT713" s="113"/>
      <c r="BU713" s="16"/>
      <c r="BV713" s="54"/>
      <c r="BW713" s="13" t="str">
        <f t="shared" si="1105"/>
        <v/>
      </c>
      <c r="BX713" s="13"/>
      <c r="BY713" s="13"/>
      <c r="BZ713" s="13"/>
      <c r="CA713" s="13" t="str">
        <f t="shared" si="1106"/>
        <v/>
      </c>
      <c r="CB713" s="13"/>
      <c r="CC713" s="13"/>
      <c r="CD713" s="13"/>
      <c r="CE713" s="13" t="str">
        <f t="shared" si="1097"/>
        <v/>
      </c>
      <c r="CF713" s="14" t="str">
        <f t="shared" si="1098"/>
        <v/>
      </c>
      <c r="CG713" s="15"/>
      <c r="CH713" s="1"/>
      <c r="CI713" s="16"/>
      <c r="CJ713" s="54"/>
      <c r="CK713" s="13" t="str">
        <f t="shared" si="1107"/>
        <v/>
      </c>
      <c r="CL713" s="13"/>
      <c r="CM713" s="13"/>
      <c r="CN713" s="13"/>
      <c r="CO713" s="13" t="str">
        <f t="shared" si="1108"/>
        <v/>
      </c>
      <c r="CP713" s="13"/>
      <c r="CQ713" s="13"/>
      <c r="CR713" s="13"/>
      <c r="CS713" s="13" t="str">
        <f t="shared" si="1099"/>
        <v/>
      </c>
      <c r="CT713" s="14" t="str">
        <f t="shared" si="1104"/>
        <v/>
      </c>
      <c r="CU713" s="15"/>
      <c r="CV713" s="1"/>
      <c r="CW713" s="16"/>
      <c r="CX713" s="54"/>
      <c r="CY713" s="13" t="str">
        <f t="shared" si="1109"/>
        <v/>
      </c>
      <c r="CZ713" s="13"/>
      <c r="DA713" s="13"/>
      <c r="DB713" s="13"/>
      <c r="DC713" s="13" t="str">
        <f t="shared" si="1110"/>
        <v/>
      </c>
      <c r="DD713" s="13"/>
      <c r="DE713" s="13"/>
      <c r="DF713" s="13"/>
      <c r="DG713" s="13" t="str">
        <f t="shared" si="1100"/>
        <v/>
      </c>
      <c r="DH713" s="14" t="str">
        <f t="shared" si="1101"/>
        <v/>
      </c>
      <c r="DI713" s="15"/>
      <c r="DJ713" s="1"/>
      <c r="DK713" s="16"/>
      <c r="DL713" s="54"/>
      <c r="DM713" s="13" t="str">
        <f t="shared" si="1111"/>
        <v/>
      </c>
      <c r="DN713" s="13"/>
      <c r="DO713" s="13"/>
      <c r="DP713" s="13"/>
      <c r="DQ713" s="13" t="str">
        <f t="shared" si="1112"/>
        <v/>
      </c>
      <c r="DR713" s="13"/>
      <c r="DS713" s="13"/>
      <c r="DT713" s="13"/>
      <c r="DU713" s="13" t="str">
        <f t="shared" si="1102"/>
        <v/>
      </c>
      <c r="DV713" s="14" t="str">
        <f t="shared" si="1103"/>
        <v/>
      </c>
      <c r="DW713" s="15"/>
    </row>
    <row r="714" spans="1:127" ht="15" customHeight="1" x14ac:dyDescent="0.2">
      <c r="A714" s="16"/>
      <c r="B714" s="11"/>
      <c r="C714" s="13"/>
      <c r="D714" s="53"/>
      <c r="E714" s="13"/>
      <c r="F714" s="13"/>
      <c r="G714" s="13"/>
      <c r="H714" s="13"/>
      <c r="I714" s="17"/>
      <c r="J714" s="56"/>
      <c r="K714" s="54"/>
      <c r="L714" s="13"/>
      <c r="M714" s="14"/>
      <c r="N714" s="15"/>
      <c r="O714" s="2"/>
      <c r="P714" s="16"/>
      <c r="Q714" s="13"/>
      <c r="R714" s="53"/>
      <c r="S714" s="13"/>
      <c r="T714" s="13"/>
      <c r="U714" s="13"/>
      <c r="V714" s="13"/>
      <c r="W714" s="13"/>
      <c r="X714" s="56"/>
      <c r="Y714" s="54"/>
      <c r="Z714" s="13"/>
      <c r="AA714" s="14"/>
      <c r="AB714" s="15"/>
      <c r="AC714" s="15"/>
      <c r="AD714" s="16"/>
      <c r="AE714" s="13"/>
      <c r="AF714" s="53"/>
      <c r="AG714" s="13"/>
      <c r="AH714" s="13"/>
      <c r="AI714" s="13"/>
      <c r="AJ714" s="13"/>
      <c r="AK714" s="17"/>
      <c r="AL714" s="56"/>
      <c r="AM714" s="54"/>
      <c r="AN714" s="13"/>
      <c r="AO714" s="14"/>
      <c r="AP714" s="15"/>
      <c r="AQ714" s="113"/>
      <c r="AR714" s="16"/>
      <c r="AS714" s="13"/>
      <c r="AT714" s="53"/>
      <c r="AU714" s="13"/>
      <c r="AV714" s="13"/>
      <c r="AW714" s="13"/>
      <c r="AX714" s="13"/>
      <c r="AY714" s="13"/>
      <c r="AZ714" s="56"/>
      <c r="BA714" s="54"/>
      <c r="BB714" s="13"/>
      <c r="BC714" s="14"/>
      <c r="BD714" s="15"/>
      <c r="BT714" s="113"/>
      <c r="BU714" s="16"/>
      <c r="BV714" s="54"/>
      <c r="BW714" s="13" t="str">
        <f t="shared" si="1105"/>
        <v/>
      </c>
      <c r="BX714" s="13"/>
      <c r="BY714" s="13"/>
      <c r="BZ714" s="13"/>
      <c r="CA714" s="13" t="str">
        <f t="shared" si="1106"/>
        <v/>
      </c>
      <c r="CB714" s="13"/>
      <c r="CC714" s="13"/>
      <c r="CD714" s="13"/>
      <c r="CE714" s="13" t="str">
        <f t="shared" si="1097"/>
        <v/>
      </c>
      <c r="CF714" s="14" t="str">
        <f t="shared" si="1098"/>
        <v/>
      </c>
      <c r="CG714" s="15"/>
      <c r="CH714" s="1"/>
      <c r="CI714" s="16"/>
      <c r="CJ714" s="54"/>
      <c r="CK714" s="13" t="str">
        <f t="shared" si="1107"/>
        <v/>
      </c>
      <c r="CL714" s="13"/>
      <c r="CM714" s="13"/>
      <c r="CN714" s="13"/>
      <c r="CO714" s="13" t="str">
        <f t="shared" si="1108"/>
        <v/>
      </c>
      <c r="CP714" s="13"/>
      <c r="CQ714" s="13"/>
      <c r="CR714" s="13"/>
      <c r="CS714" s="13" t="str">
        <f t="shared" si="1099"/>
        <v/>
      </c>
      <c r="CT714" s="14" t="str">
        <f t="shared" si="1104"/>
        <v/>
      </c>
      <c r="CU714" s="15"/>
      <c r="CV714" s="1"/>
      <c r="CW714" s="16"/>
      <c r="CX714" s="54"/>
      <c r="CY714" s="13" t="str">
        <f t="shared" si="1109"/>
        <v/>
      </c>
      <c r="CZ714" s="13"/>
      <c r="DA714" s="13"/>
      <c r="DB714" s="13"/>
      <c r="DC714" s="13" t="str">
        <f t="shared" si="1110"/>
        <v/>
      </c>
      <c r="DD714" s="13"/>
      <c r="DE714" s="13"/>
      <c r="DF714" s="13"/>
      <c r="DG714" s="13" t="str">
        <f t="shared" si="1100"/>
        <v/>
      </c>
      <c r="DH714" s="14" t="str">
        <f t="shared" si="1101"/>
        <v/>
      </c>
      <c r="DI714" s="15"/>
      <c r="DJ714" s="1"/>
      <c r="DK714" s="16"/>
      <c r="DL714" s="54"/>
      <c r="DM714" s="13" t="str">
        <f t="shared" si="1111"/>
        <v/>
      </c>
      <c r="DN714" s="13"/>
      <c r="DO714" s="13"/>
      <c r="DP714" s="13"/>
      <c r="DQ714" s="13" t="str">
        <f t="shared" si="1112"/>
        <v/>
      </c>
      <c r="DR714" s="13"/>
      <c r="DS714" s="13"/>
      <c r="DT714" s="13"/>
      <c r="DU714" s="13" t="str">
        <f t="shared" si="1102"/>
        <v/>
      </c>
      <c r="DV714" s="14" t="str">
        <f t="shared" si="1103"/>
        <v/>
      </c>
      <c r="DW714" s="15"/>
    </row>
    <row r="715" spans="1:127" ht="15" customHeight="1" x14ac:dyDescent="0.2">
      <c r="A715" s="16"/>
      <c r="B715" s="11"/>
      <c r="C715" s="13"/>
      <c r="D715" s="63"/>
      <c r="E715" s="13"/>
      <c r="F715" s="13"/>
      <c r="G715" s="13"/>
      <c r="H715" s="13"/>
      <c r="I715" s="17"/>
      <c r="J715" s="56"/>
      <c r="K715" s="13"/>
      <c r="L715" s="13"/>
      <c r="M715" s="14"/>
      <c r="N715" s="15"/>
      <c r="O715" s="2"/>
      <c r="P715" s="16"/>
      <c r="Q715" s="13"/>
      <c r="R715" s="63"/>
      <c r="S715" s="13"/>
      <c r="T715" s="13"/>
      <c r="U715" s="13"/>
      <c r="V715" s="13"/>
      <c r="W715" s="13"/>
      <c r="X715" s="56"/>
      <c r="Y715" s="13"/>
      <c r="Z715" s="13"/>
      <c r="AA715" s="14"/>
      <c r="AB715" s="15"/>
      <c r="AC715" s="15"/>
      <c r="AD715" s="16"/>
      <c r="AE715" s="13"/>
      <c r="AF715" s="63"/>
      <c r="AG715" s="13"/>
      <c r="AH715" s="13"/>
      <c r="AI715" s="13"/>
      <c r="AJ715" s="13"/>
      <c r="AK715" s="17"/>
      <c r="AL715" s="56"/>
      <c r="AM715" s="13"/>
      <c r="AN715" s="13"/>
      <c r="AO715" s="14"/>
      <c r="AP715" s="15"/>
      <c r="AQ715" s="113"/>
      <c r="AR715" s="16"/>
      <c r="AS715" s="13"/>
      <c r="AT715" s="63"/>
      <c r="AU715" s="13"/>
      <c r="AV715" s="13"/>
      <c r="AW715" s="13"/>
      <c r="AX715" s="13"/>
      <c r="AY715" s="13"/>
      <c r="AZ715" s="56"/>
      <c r="BA715" s="13"/>
      <c r="BB715" s="13"/>
      <c r="BC715" s="14"/>
      <c r="BD715" s="15"/>
      <c r="BT715" s="113"/>
      <c r="BU715" s="16"/>
      <c r="BV715" s="54"/>
      <c r="BW715" s="13" t="str">
        <f t="shared" si="1105"/>
        <v/>
      </c>
      <c r="BX715" s="13"/>
      <c r="BY715" s="13"/>
      <c r="BZ715" s="13"/>
      <c r="CA715" s="13" t="str">
        <f t="shared" si="1106"/>
        <v/>
      </c>
      <c r="CB715" s="13"/>
      <c r="CC715" s="13"/>
      <c r="CD715" s="13"/>
      <c r="CE715" s="13" t="str">
        <f t="shared" si="1097"/>
        <v/>
      </c>
      <c r="CF715" s="14" t="str">
        <f t="shared" si="1098"/>
        <v/>
      </c>
      <c r="CG715" s="15"/>
      <c r="CH715" s="1"/>
      <c r="CI715" s="16"/>
      <c r="CJ715" s="54"/>
      <c r="CK715" s="13" t="str">
        <f t="shared" si="1107"/>
        <v/>
      </c>
      <c r="CL715" s="13"/>
      <c r="CM715" s="13"/>
      <c r="CN715" s="13"/>
      <c r="CO715" s="13" t="str">
        <f t="shared" si="1108"/>
        <v/>
      </c>
      <c r="CP715" s="13"/>
      <c r="CQ715" s="13"/>
      <c r="CR715" s="13"/>
      <c r="CS715" s="13" t="str">
        <f t="shared" si="1099"/>
        <v/>
      </c>
      <c r="CT715" s="14" t="str">
        <f t="shared" si="1104"/>
        <v/>
      </c>
      <c r="CU715" s="15"/>
      <c r="CV715" s="1"/>
      <c r="CW715" s="16"/>
      <c r="CX715" s="54"/>
      <c r="CY715" s="13" t="str">
        <f t="shared" si="1109"/>
        <v/>
      </c>
      <c r="CZ715" s="13"/>
      <c r="DA715" s="13"/>
      <c r="DB715" s="13"/>
      <c r="DC715" s="13" t="str">
        <f t="shared" si="1110"/>
        <v/>
      </c>
      <c r="DD715" s="13"/>
      <c r="DE715" s="13"/>
      <c r="DF715" s="13"/>
      <c r="DG715" s="13" t="str">
        <f t="shared" si="1100"/>
        <v/>
      </c>
      <c r="DH715" s="14" t="str">
        <f t="shared" si="1101"/>
        <v/>
      </c>
      <c r="DI715" s="15"/>
      <c r="DJ715" s="1"/>
      <c r="DK715" s="16"/>
      <c r="DL715" s="54"/>
      <c r="DM715" s="13" t="str">
        <f t="shared" si="1111"/>
        <v/>
      </c>
      <c r="DN715" s="13"/>
      <c r="DO715" s="13"/>
      <c r="DP715" s="13"/>
      <c r="DQ715" s="13" t="str">
        <f t="shared" si="1112"/>
        <v/>
      </c>
      <c r="DR715" s="13"/>
      <c r="DS715" s="13"/>
      <c r="DT715" s="13"/>
      <c r="DU715" s="13" t="str">
        <f t="shared" si="1102"/>
        <v/>
      </c>
      <c r="DV715" s="14" t="str">
        <f t="shared" si="1103"/>
        <v/>
      </c>
      <c r="DW715" s="15"/>
    </row>
    <row r="716" spans="1:127" ht="15" customHeight="1" thickBot="1" x14ac:dyDescent="0.25">
      <c r="A716" s="26"/>
      <c r="B716" s="46"/>
      <c r="C716" s="27"/>
      <c r="D716" s="61"/>
      <c r="E716" s="62"/>
      <c r="F716" s="27"/>
      <c r="G716" s="27"/>
      <c r="H716" s="27"/>
      <c r="I716" s="107"/>
      <c r="J716" s="57"/>
      <c r="K716" s="62"/>
      <c r="L716" s="27"/>
      <c r="M716" s="28"/>
      <c r="N716" s="15"/>
      <c r="O716" s="2"/>
      <c r="P716" s="26"/>
      <c r="Q716" s="27"/>
      <c r="R716" s="61"/>
      <c r="S716" s="62"/>
      <c r="T716" s="27"/>
      <c r="U716" s="27"/>
      <c r="V716" s="27"/>
      <c r="W716" s="27"/>
      <c r="X716" s="57"/>
      <c r="Y716" s="62"/>
      <c r="Z716" s="27"/>
      <c r="AA716" s="28"/>
      <c r="AB716" s="15"/>
      <c r="AC716" s="15"/>
      <c r="AD716" s="26"/>
      <c r="AE716" s="27"/>
      <c r="AF716" s="61"/>
      <c r="AG716" s="62"/>
      <c r="AH716" s="27"/>
      <c r="AI716" s="27"/>
      <c r="AJ716" s="27"/>
      <c r="AK716" s="107"/>
      <c r="AL716" s="57"/>
      <c r="AM716" s="62"/>
      <c r="AN716" s="27"/>
      <c r="AO716" s="28"/>
      <c r="AP716" s="15"/>
      <c r="AQ716" s="113"/>
      <c r="AR716" s="26"/>
      <c r="AS716" s="27"/>
      <c r="AT716" s="61"/>
      <c r="AU716" s="62"/>
      <c r="AV716" s="27"/>
      <c r="AW716" s="27"/>
      <c r="AX716" s="27"/>
      <c r="AY716" s="27"/>
      <c r="AZ716" s="57"/>
      <c r="BA716" s="62"/>
      <c r="BB716" s="27"/>
      <c r="BC716" s="28"/>
      <c r="BD716" s="15"/>
      <c r="BT716" s="113"/>
      <c r="BU716" s="16"/>
      <c r="BV716" s="54"/>
      <c r="BW716" s="13" t="str">
        <f t="shared" si="1105"/>
        <v/>
      </c>
      <c r="BX716" s="13"/>
      <c r="BY716" s="13"/>
      <c r="BZ716" s="13"/>
      <c r="CA716" s="13" t="str">
        <f t="shared" si="1106"/>
        <v/>
      </c>
      <c r="CB716" s="13"/>
      <c r="CC716" s="13"/>
      <c r="CD716" s="13"/>
      <c r="CE716" s="13" t="str">
        <f t="shared" si="1097"/>
        <v/>
      </c>
      <c r="CF716" s="14" t="str">
        <f t="shared" si="1098"/>
        <v/>
      </c>
      <c r="CG716" s="15"/>
      <c r="CH716" s="1"/>
      <c r="CI716" s="16"/>
      <c r="CJ716" s="54"/>
      <c r="CK716" s="13" t="str">
        <f t="shared" si="1107"/>
        <v/>
      </c>
      <c r="CL716" s="13"/>
      <c r="CM716" s="13"/>
      <c r="CN716" s="13"/>
      <c r="CO716" s="13" t="str">
        <f t="shared" si="1108"/>
        <v/>
      </c>
      <c r="CP716" s="13"/>
      <c r="CQ716" s="13"/>
      <c r="CR716" s="13"/>
      <c r="CS716" s="13" t="str">
        <f t="shared" si="1099"/>
        <v/>
      </c>
      <c r="CT716" s="14" t="str">
        <f t="shared" si="1104"/>
        <v/>
      </c>
      <c r="CU716" s="15"/>
      <c r="CV716" s="1"/>
      <c r="CW716" s="16"/>
      <c r="CX716" s="54"/>
      <c r="CY716" s="13" t="str">
        <f t="shared" si="1109"/>
        <v/>
      </c>
      <c r="CZ716" s="13"/>
      <c r="DA716" s="13"/>
      <c r="DB716" s="13"/>
      <c r="DC716" s="13" t="str">
        <f t="shared" si="1110"/>
        <v/>
      </c>
      <c r="DD716" s="13"/>
      <c r="DE716" s="13"/>
      <c r="DF716" s="13"/>
      <c r="DG716" s="13" t="str">
        <f t="shared" si="1100"/>
        <v/>
      </c>
      <c r="DH716" s="14" t="str">
        <f t="shared" si="1101"/>
        <v/>
      </c>
      <c r="DI716" s="15"/>
      <c r="DJ716" s="1"/>
      <c r="DK716" s="16"/>
      <c r="DL716" s="54"/>
      <c r="DM716" s="13" t="str">
        <f t="shared" si="1111"/>
        <v/>
      </c>
      <c r="DN716" s="13"/>
      <c r="DO716" s="13"/>
      <c r="DP716" s="13"/>
      <c r="DQ716" s="13" t="str">
        <f t="shared" si="1112"/>
        <v/>
      </c>
      <c r="DR716" s="13"/>
      <c r="DS716" s="13"/>
      <c r="DT716" s="13"/>
      <c r="DU716" s="13" t="str">
        <f t="shared" si="1102"/>
        <v/>
      </c>
      <c r="DV716" s="14" t="str">
        <f t="shared" si="1103"/>
        <v/>
      </c>
      <c r="DW716" s="15"/>
    </row>
    <row r="717" spans="1:127" ht="15" customHeight="1" thickTop="1" x14ac:dyDescent="0.2">
      <c r="A717" s="79"/>
      <c r="B717" s="74"/>
      <c r="C717" s="53"/>
      <c r="D717" s="53"/>
      <c r="E717" s="53"/>
      <c r="F717" s="31"/>
      <c r="G717" s="53"/>
      <c r="H717" s="53"/>
      <c r="I717" s="53"/>
      <c r="J717" s="75"/>
      <c r="K717" s="76"/>
      <c r="L717" s="31"/>
      <c r="M717" s="32"/>
      <c r="N717" s="15"/>
      <c r="O717" s="2"/>
      <c r="P717" s="79"/>
      <c r="Q717" s="53"/>
      <c r="R717" s="53"/>
      <c r="S717" s="53"/>
      <c r="T717" s="31"/>
      <c r="U717" s="53"/>
      <c r="V717" s="53"/>
      <c r="W717" s="53"/>
      <c r="X717" s="75"/>
      <c r="Y717" s="76"/>
      <c r="Z717" s="31"/>
      <c r="AA717" s="32"/>
      <c r="AB717" s="15"/>
      <c r="AD717" s="79"/>
      <c r="AE717" s="53"/>
      <c r="AF717" s="53"/>
      <c r="AG717" s="53"/>
      <c r="AH717" s="31"/>
      <c r="AI717" s="53"/>
      <c r="AJ717" s="53"/>
      <c r="AK717" s="53"/>
      <c r="AL717" s="75"/>
      <c r="AM717" s="76"/>
      <c r="AN717" s="31"/>
      <c r="AO717" s="32"/>
      <c r="AP717" s="15"/>
      <c r="AQ717" s="115"/>
      <c r="AR717" s="79"/>
      <c r="AS717" s="53"/>
      <c r="AT717" s="53"/>
      <c r="AU717" s="53"/>
      <c r="AV717" s="31"/>
      <c r="AW717" s="53"/>
      <c r="AX717" s="53"/>
      <c r="AY717" s="53"/>
      <c r="AZ717" s="75"/>
      <c r="BA717" s="76"/>
      <c r="BB717" s="31"/>
      <c r="BC717" s="32"/>
      <c r="BD717" s="15"/>
      <c r="BT717" s="114"/>
      <c r="BU717" s="16"/>
      <c r="BV717" s="54"/>
      <c r="BW717" s="13"/>
      <c r="BX717" s="13"/>
      <c r="BY717" s="13"/>
      <c r="BZ717" s="13"/>
      <c r="CA717" s="13"/>
      <c r="CB717" s="13"/>
      <c r="CC717" s="13"/>
      <c r="CD717" s="13"/>
      <c r="CE717" s="13"/>
      <c r="CF717" s="14"/>
      <c r="CG717" s="15"/>
      <c r="CH717" s="1"/>
      <c r="CI717" s="16"/>
      <c r="CJ717" s="54"/>
      <c r="CK717" s="13"/>
      <c r="CL717" s="13"/>
      <c r="CM717" s="13"/>
      <c r="CN717" s="13"/>
      <c r="CO717" s="13"/>
      <c r="CP717" s="13"/>
      <c r="CQ717" s="13"/>
      <c r="CR717" s="13"/>
      <c r="CS717" s="13"/>
      <c r="CT717" s="14"/>
      <c r="CU717" s="15"/>
      <c r="CV717" s="1"/>
      <c r="CW717" s="16"/>
      <c r="CX717" s="54"/>
      <c r="CY717" s="13"/>
      <c r="CZ717" s="13"/>
      <c r="DA717" s="13"/>
      <c r="DB717" s="13"/>
      <c r="DC717" s="13"/>
      <c r="DD717" s="13"/>
      <c r="DE717" s="13"/>
      <c r="DF717" s="13"/>
      <c r="DG717" s="13"/>
      <c r="DH717" s="14"/>
      <c r="DI717" s="15"/>
      <c r="DJ717" s="1"/>
      <c r="DK717" s="16"/>
      <c r="DL717" s="54"/>
      <c r="DM717" s="13"/>
      <c r="DN717" s="13"/>
      <c r="DO717" s="13"/>
      <c r="DP717" s="13"/>
      <c r="DQ717" s="13"/>
      <c r="DR717" s="13"/>
      <c r="DS717" s="13"/>
      <c r="DT717" s="13"/>
      <c r="DU717" s="13"/>
      <c r="DV717" s="14"/>
      <c r="DW717" s="15"/>
    </row>
    <row r="718" spans="1:127" ht="15" customHeight="1" x14ac:dyDescent="0.2">
      <c r="A718" s="16"/>
      <c r="B718" s="11"/>
      <c r="C718" s="13"/>
      <c r="D718" s="13"/>
      <c r="E718" s="13"/>
      <c r="F718" s="13"/>
      <c r="G718" s="13"/>
      <c r="H718" s="50"/>
      <c r="I718" s="13"/>
      <c r="J718" s="56"/>
      <c r="K718" s="54"/>
      <c r="L718" s="13"/>
      <c r="M718" s="14"/>
      <c r="N718" s="15"/>
      <c r="O718" s="2"/>
      <c r="P718" s="16"/>
      <c r="Q718" s="13"/>
      <c r="R718" s="13"/>
      <c r="S718" s="13"/>
      <c r="T718" s="13"/>
      <c r="U718" s="13"/>
      <c r="V718" s="50"/>
      <c r="W718" s="13"/>
      <c r="X718" s="56"/>
      <c r="Y718" s="54"/>
      <c r="Z718" s="13"/>
      <c r="AA718" s="14"/>
      <c r="AB718" s="15"/>
      <c r="AD718" s="16"/>
      <c r="AE718" s="13"/>
      <c r="AF718" s="13"/>
      <c r="AG718" s="13"/>
      <c r="AH718" s="13"/>
      <c r="AI718" s="13"/>
      <c r="AJ718" s="50"/>
      <c r="AK718" s="13"/>
      <c r="AL718" s="56"/>
      <c r="AM718" s="54"/>
      <c r="AN718" s="13"/>
      <c r="AO718" s="14"/>
      <c r="AP718" s="15"/>
      <c r="AQ718" s="115"/>
      <c r="AR718" s="16"/>
      <c r="AS718" s="13"/>
      <c r="AT718" s="13"/>
      <c r="AU718" s="13"/>
      <c r="AV718" s="13"/>
      <c r="AW718" s="13"/>
      <c r="AX718" s="50"/>
      <c r="AY718" s="13"/>
      <c r="AZ718" s="56"/>
      <c r="BA718" s="54"/>
      <c r="BB718" s="13"/>
      <c r="BC718" s="14"/>
      <c r="BD718" s="15"/>
      <c r="BT718" s="114"/>
      <c r="BU718" s="16"/>
      <c r="BV718" s="54"/>
      <c r="BW718" s="13" t="str">
        <f>IF(BV718="","",BV718-#REF!)</f>
        <v/>
      </c>
      <c r="BX718" s="13"/>
      <c r="BY718" s="13"/>
      <c r="BZ718" s="13"/>
      <c r="CA718" s="13" t="str">
        <f>IF(BZ718="","",#REF!+#REF!-BZ718)</f>
        <v/>
      </c>
      <c r="CB718" s="13"/>
      <c r="CC718" s="13"/>
      <c r="CD718" s="13"/>
      <c r="CE718" s="13" t="str">
        <f>IF(CD718="","",CA718*CD718)</f>
        <v/>
      </c>
      <c r="CF718" s="14" t="str">
        <f>IF(CE718="","",CE718/(BW718*100))</f>
        <v/>
      </c>
      <c r="CG718" s="15"/>
      <c r="CH718" s="1"/>
      <c r="CI718" s="16"/>
      <c r="CJ718" s="54"/>
      <c r="CK718" s="13" t="str">
        <f>IF(CJ718="","",CJ718-#REF!)</f>
        <v/>
      </c>
      <c r="CL718" s="13"/>
      <c r="CM718" s="13"/>
      <c r="CN718" s="13"/>
      <c r="CO718" s="13" t="str">
        <f>IF(CN718="","",#REF!+#REF!-CN718)</f>
        <v/>
      </c>
      <c r="CP718" s="13"/>
      <c r="CQ718" s="13"/>
      <c r="CR718" s="13"/>
      <c r="CS718" s="13" t="str">
        <f>IF(CR718="","",CO718*CR718)</f>
        <v/>
      </c>
      <c r="CT718" s="14" t="str">
        <f>IF(CS718="","",CS718/(CK718*100))</f>
        <v/>
      </c>
      <c r="CU718" s="15"/>
      <c r="CV718" s="1"/>
      <c r="CW718" s="16"/>
      <c r="CX718" s="54"/>
      <c r="CY718" s="13" t="str">
        <f>IF(CX718="","",CX718-#REF!)</f>
        <v/>
      </c>
      <c r="CZ718" s="13"/>
      <c r="DA718" s="13"/>
      <c r="DB718" s="13"/>
      <c r="DC718" s="13" t="str">
        <f>IF(DB718="","",#REF!+#REF!-DB718)</f>
        <v/>
      </c>
      <c r="DD718" s="13"/>
      <c r="DE718" s="13"/>
      <c r="DF718" s="13"/>
      <c r="DG718" s="13" t="str">
        <f>IF(DF718="","",DC718*DF718)</f>
        <v/>
      </c>
      <c r="DH718" s="14" t="str">
        <f>IF(DG718="","",DG718/(CY718*100))</f>
        <v/>
      </c>
      <c r="DI718" s="15"/>
      <c r="DJ718" s="1"/>
      <c r="DK718" s="16"/>
      <c r="DL718" s="54"/>
      <c r="DM718" s="13" t="str">
        <f>IF(DL718="","",DL718-#REF!)</f>
        <v/>
      </c>
      <c r="DN718" s="13"/>
      <c r="DO718" s="13"/>
      <c r="DP718" s="13"/>
      <c r="DQ718" s="13" t="str">
        <f>IF(DP718="","",#REF!+#REF!-DP718)</f>
        <v/>
      </c>
      <c r="DR718" s="13"/>
      <c r="DS718" s="13"/>
      <c r="DT718" s="13"/>
      <c r="DU718" s="13" t="str">
        <f>IF(DT718="","",DQ718*DT718)</f>
        <v/>
      </c>
      <c r="DV718" s="14" t="str">
        <f>IF(DU718="","",DU718/(DM718*100))</f>
        <v/>
      </c>
      <c r="DW718" s="15"/>
    </row>
    <row r="719" spans="1:127" ht="15" customHeight="1" x14ac:dyDescent="0.2">
      <c r="A719" s="16"/>
      <c r="B719" s="11"/>
      <c r="C719" s="13"/>
      <c r="D719" s="13"/>
      <c r="E719" s="13"/>
      <c r="F719" s="13"/>
      <c r="G719" s="13"/>
      <c r="H719" s="13"/>
      <c r="I719" s="13"/>
      <c r="J719" s="56"/>
      <c r="K719" s="13"/>
      <c r="L719" s="13"/>
      <c r="M719" s="14"/>
      <c r="N719" s="15"/>
      <c r="O719" s="2"/>
      <c r="P719" s="16"/>
      <c r="Q719" s="13"/>
      <c r="R719" s="13"/>
      <c r="S719" s="13"/>
      <c r="T719" s="13"/>
      <c r="U719" s="13"/>
      <c r="V719" s="13"/>
      <c r="W719" s="13"/>
      <c r="X719" s="56"/>
      <c r="Y719" s="13"/>
      <c r="Z719" s="13"/>
      <c r="AA719" s="14"/>
      <c r="AB719" s="15"/>
      <c r="AD719" s="16"/>
      <c r="AE719" s="13"/>
      <c r="AF719" s="13"/>
      <c r="AG719" s="13"/>
      <c r="AH719" s="13"/>
      <c r="AI719" s="13"/>
      <c r="AJ719" s="13"/>
      <c r="AK719" s="13"/>
      <c r="AL719" s="56"/>
      <c r="AM719" s="13"/>
      <c r="AN719" s="13"/>
      <c r="AO719" s="14"/>
      <c r="AP719" s="15"/>
      <c r="AQ719" s="115"/>
      <c r="AR719" s="16"/>
      <c r="AS719" s="13"/>
      <c r="AT719" s="13"/>
      <c r="AU719" s="13"/>
      <c r="AV719" s="13"/>
      <c r="AW719" s="13"/>
      <c r="AX719" s="13"/>
      <c r="AY719" s="13"/>
      <c r="AZ719" s="56"/>
      <c r="BA719" s="13"/>
      <c r="BB719" s="13"/>
      <c r="BC719" s="14"/>
      <c r="BD719" s="15"/>
      <c r="BU719" s="16"/>
      <c r="BV719" s="54"/>
      <c r="BW719" s="13" t="str">
        <f>IF(BV719="","",BV719-BV718)</f>
        <v/>
      </c>
      <c r="BX719" s="13"/>
      <c r="BY719" s="13"/>
      <c r="BZ719" s="13"/>
      <c r="CA719" s="13" t="str">
        <f>IF(BZ719="","",BZ718+CB718-BZ719)</f>
        <v/>
      </c>
      <c r="CB719" s="13"/>
      <c r="CC719" s="13"/>
      <c r="CD719" s="13"/>
      <c r="CE719" s="13" t="str">
        <f>IF(CD719="","",CA719*CD719)</f>
        <v/>
      </c>
      <c r="CF719" s="14" t="str">
        <f>IF(CE719="","",CE719/(BW719*100))</f>
        <v/>
      </c>
      <c r="CG719" s="15"/>
      <c r="CH719" s="1"/>
      <c r="CI719" s="16"/>
      <c r="CJ719" s="54"/>
      <c r="CK719" s="13" t="str">
        <f>IF(CJ719="","",CJ719-CJ718)</f>
        <v/>
      </c>
      <c r="CL719" s="13"/>
      <c r="CM719" s="13"/>
      <c r="CN719" s="13"/>
      <c r="CO719" s="13" t="str">
        <f>IF(CN719="","",CN718+CP718-CN719)</f>
        <v/>
      </c>
      <c r="CP719" s="13"/>
      <c r="CQ719" s="13"/>
      <c r="CR719" s="13"/>
      <c r="CS719" s="13" t="str">
        <f>IF(CR719="","",CO719*CR719)</f>
        <v/>
      </c>
      <c r="CT719" s="14" t="str">
        <f>IF(CS719="","",CS719/(CK719*100))</f>
        <v/>
      </c>
      <c r="CU719" s="15"/>
      <c r="CV719" s="1"/>
      <c r="CW719" s="16"/>
      <c r="CX719" s="54"/>
      <c r="CY719" s="13" t="str">
        <f>IF(CX719="","",CX719-CX718)</f>
        <v/>
      </c>
      <c r="CZ719" s="13"/>
      <c r="DA719" s="13"/>
      <c r="DB719" s="13"/>
      <c r="DC719" s="13" t="str">
        <f>IF(DB719="","",DB718+DD718-DB719)</f>
        <v/>
      </c>
      <c r="DD719" s="13"/>
      <c r="DE719" s="13"/>
      <c r="DF719" s="13"/>
      <c r="DG719" s="13" t="str">
        <f>IF(DF719="","",DC719*DF719)</f>
        <v/>
      </c>
      <c r="DH719" s="14" t="str">
        <f>IF(DG719="","",DG719/(CY719*100))</f>
        <v/>
      </c>
      <c r="DI719" s="15"/>
      <c r="DJ719" s="1"/>
      <c r="DK719" s="16"/>
      <c r="DL719" s="54"/>
      <c r="DM719" s="13" t="str">
        <f>IF(DL719="","",DL719-DL718)</f>
        <v/>
      </c>
      <c r="DN719" s="13"/>
      <c r="DO719" s="13"/>
      <c r="DP719" s="13"/>
      <c r="DQ719" s="13" t="str">
        <f>IF(DP719="","",DP718+DR718-DP719)</f>
        <v/>
      </c>
      <c r="DR719" s="13"/>
      <c r="DS719" s="13"/>
      <c r="DT719" s="13"/>
      <c r="DU719" s="13" t="str">
        <f>IF(DT719="","",DQ719*DT719)</f>
        <v/>
      </c>
      <c r="DV719" s="14" t="str">
        <f>IF(DU719="","",DU719/(DM719*100))</f>
        <v/>
      </c>
      <c r="DW719" s="15"/>
    </row>
    <row r="720" spans="1:127" ht="15" customHeight="1" thickBot="1" x14ac:dyDescent="0.25">
      <c r="A720" s="26"/>
      <c r="B720" s="46"/>
      <c r="C720" s="27"/>
      <c r="D720" s="27"/>
      <c r="E720" s="27"/>
      <c r="F720" s="27"/>
      <c r="G720" s="27"/>
      <c r="H720" s="27"/>
      <c r="I720" s="27"/>
      <c r="J720" s="57"/>
      <c r="K720" s="62"/>
      <c r="L720" s="27"/>
      <c r="M720" s="28"/>
      <c r="N720" s="15"/>
      <c r="O720" s="2"/>
      <c r="P720" s="26"/>
      <c r="Q720" s="27"/>
      <c r="R720" s="27"/>
      <c r="S720" s="27"/>
      <c r="T720" s="27"/>
      <c r="U720" s="27"/>
      <c r="V720" s="27"/>
      <c r="W720" s="27"/>
      <c r="X720" s="57"/>
      <c r="Y720" s="62"/>
      <c r="Z720" s="27"/>
      <c r="AA720" s="28"/>
      <c r="AB720" s="15"/>
      <c r="AD720" s="26"/>
      <c r="AE720" s="27"/>
      <c r="AF720" s="27"/>
      <c r="AG720" s="27"/>
      <c r="AH720" s="27"/>
      <c r="AI720" s="27"/>
      <c r="AJ720" s="27"/>
      <c r="AK720" s="27"/>
      <c r="AL720" s="57"/>
      <c r="AM720" s="62"/>
      <c r="AN720" s="27"/>
      <c r="AO720" s="28"/>
      <c r="AP720" s="15"/>
      <c r="AQ720" s="115"/>
      <c r="AR720" s="26"/>
      <c r="AS720" s="27"/>
      <c r="AT720" s="27"/>
      <c r="AU720" s="27"/>
      <c r="AV720" s="27"/>
      <c r="AW720" s="27"/>
      <c r="AX720" s="27"/>
      <c r="AY720" s="27"/>
      <c r="AZ720" s="57"/>
      <c r="BA720" s="62"/>
      <c r="BB720" s="27"/>
      <c r="BC720" s="28"/>
      <c r="BD720" s="15"/>
      <c r="BU720" s="16"/>
      <c r="BV720" s="54"/>
      <c r="BW720" s="13" t="str">
        <f>IF(BV720="","",BV720-BV719)</f>
        <v/>
      </c>
      <c r="BX720" s="13"/>
      <c r="BY720" s="13"/>
      <c r="BZ720" s="13"/>
      <c r="CA720" s="13" t="str">
        <f>IF(BZ720="","",BZ719+CB719-BZ720)</f>
        <v/>
      </c>
      <c r="CB720" s="13"/>
      <c r="CC720" s="13"/>
      <c r="CD720" s="13"/>
      <c r="CE720" s="13" t="str">
        <f>IF(CD720="","",CA720*CD720)</f>
        <v/>
      </c>
      <c r="CF720" s="14" t="str">
        <f>IF(CE720="","",CE720/(BW720*100))</f>
        <v/>
      </c>
      <c r="CG720" s="15"/>
      <c r="CH720" s="1"/>
      <c r="CI720" s="16"/>
      <c r="CJ720" s="54"/>
      <c r="CK720" s="13" t="str">
        <f>IF(CJ720="","",CJ720-CJ719)</f>
        <v/>
      </c>
      <c r="CL720" s="13"/>
      <c r="CM720" s="13"/>
      <c r="CN720" s="13"/>
      <c r="CO720" s="13" t="str">
        <f>IF(CN720="","",CN719+CP719-CN720)</f>
        <v/>
      </c>
      <c r="CP720" s="13"/>
      <c r="CQ720" s="13"/>
      <c r="CR720" s="13"/>
      <c r="CS720" s="13" t="str">
        <f>IF(CR720="","",CO720*CR720)</f>
        <v/>
      </c>
      <c r="CT720" s="14" t="str">
        <f>IF(CS720="","",CS720/(CK720*100))</f>
        <v/>
      </c>
      <c r="CU720" s="15"/>
      <c r="CV720" s="1"/>
      <c r="CW720" s="16"/>
      <c r="CX720" s="54"/>
      <c r="CY720" s="13" t="str">
        <f>IF(CX720="","",CX720-CX719)</f>
        <v/>
      </c>
      <c r="CZ720" s="13"/>
      <c r="DA720" s="13"/>
      <c r="DB720" s="13"/>
      <c r="DC720" s="13" t="str">
        <f>IF(DB720="","",DB719+DD719-DB720)</f>
        <v/>
      </c>
      <c r="DD720" s="13"/>
      <c r="DE720" s="13"/>
      <c r="DF720" s="13"/>
      <c r="DG720" s="13" t="str">
        <f>IF(DF720="","",DC720*DF720)</f>
        <v/>
      </c>
      <c r="DH720" s="14" t="str">
        <f>IF(DG720="","",DG720/(CY720*100))</f>
        <v/>
      </c>
      <c r="DI720" s="15"/>
      <c r="DJ720" s="1"/>
      <c r="DK720" s="16"/>
      <c r="DL720" s="54"/>
      <c r="DM720" s="13" t="str">
        <f>IF(DL720="","",DL720-DL719)</f>
        <v/>
      </c>
      <c r="DN720" s="13"/>
      <c r="DO720" s="13"/>
      <c r="DP720" s="13"/>
      <c r="DQ720" s="13" t="str">
        <f>IF(DP720="","",DP719+DR719-DP720)</f>
        <v/>
      </c>
      <c r="DR720" s="13"/>
      <c r="DS720" s="13"/>
      <c r="DT720" s="13"/>
      <c r="DU720" s="13" t="str">
        <f>IF(DT720="","",DQ720*DT720)</f>
        <v/>
      </c>
      <c r="DV720" s="14" t="str">
        <f>IF(DU720="","",DU720/(DM720*100))</f>
        <v/>
      </c>
      <c r="DW720" s="15"/>
    </row>
    <row r="721" spans="1:127" ht="15" customHeight="1" thickTop="1" x14ac:dyDescent="0.2">
      <c r="A721" s="79"/>
      <c r="B721" s="74"/>
      <c r="C721" s="53"/>
      <c r="D721" s="53"/>
      <c r="E721" s="53"/>
      <c r="F721" s="53"/>
      <c r="G721" s="53"/>
      <c r="H721" s="53"/>
      <c r="I721" s="53"/>
      <c r="J721" s="75"/>
      <c r="K721" s="53"/>
      <c r="L721" s="53"/>
      <c r="M721" s="53"/>
      <c r="N721" s="15"/>
      <c r="O721" s="2"/>
      <c r="P721" s="79"/>
      <c r="Q721" s="53"/>
      <c r="R721" s="53"/>
      <c r="S721" s="53"/>
      <c r="T721" s="53"/>
      <c r="U721" s="53"/>
      <c r="V721" s="53"/>
      <c r="W721" s="53"/>
      <c r="X721" s="78"/>
      <c r="Y721" s="53"/>
      <c r="Z721" s="53"/>
      <c r="AA721" s="53"/>
      <c r="AB721" s="15"/>
      <c r="AD721" s="79"/>
      <c r="AE721" s="53"/>
      <c r="AF721" s="53"/>
      <c r="AG721" s="53"/>
      <c r="AH721" s="53"/>
      <c r="AI721" s="53"/>
      <c r="AJ721" s="53"/>
      <c r="AK721" s="53"/>
      <c r="AL721" s="75"/>
      <c r="AM721" s="53"/>
      <c r="AN721" s="53"/>
      <c r="AO721" s="53"/>
      <c r="AP721" s="15"/>
      <c r="AQ721" s="2"/>
      <c r="AR721" s="79"/>
      <c r="AS721" s="53"/>
      <c r="AT721" s="53"/>
      <c r="AU721" s="53"/>
      <c r="AV721" s="53"/>
      <c r="AW721" s="53"/>
      <c r="AX721" s="53"/>
      <c r="AY721" s="53"/>
      <c r="AZ721" s="75"/>
      <c r="BA721" s="53"/>
      <c r="BB721" s="53"/>
      <c r="BC721" s="53"/>
      <c r="BD721" s="15"/>
      <c r="BU721" s="16"/>
      <c r="BV721" s="54"/>
      <c r="BW721" s="13"/>
      <c r="BX721" s="13"/>
      <c r="BY721" s="13"/>
      <c r="BZ721" s="13"/>
      <c r="CA721" s="13" t="str">
        <f>IF(BZ721="","",BZ720+CB720-BZ721)</f>
        <v/>
      </c>
      <c r="CB721" s="13"/>
      <c r="CC721" s="13"/>
      <c r="CD721" s="13"/>
      <c r="CE721" s="13" t="str">
        <f>IF(CD721="","",CA721*CD721)</f>
        <v/>
      </c>
      <c r="CF721" s="14" t="str">
        <f>IF(CE721="","",CE721/(BW721*100))</f>
        <v/>
      </c>
      <c r="CG721" s="15"/>
      <c r="CH721" s="1"/>
      <c r="CI721" s="16"/>
      <c r="CJ721" s="54"/>
      <c r="CK721" s="13"/>
      <c r="CL721" s="13"/>
      <c r="CM721" s="13"/>
      <c r="CN721" s="13"/>
      <c r="CO721" s="13" t="str">
        <f>IF(CN721="","",CN720+CP720-CN721)</f>
        <v/>
      </c>
      <c r="CP721" s="13"/>
      <c r="CQ721" s="13"/>
      <c r="CR721" s="13"/>
      <c r="CS721" s="13" t="str">
        <f>IF(CR721="","",CO721*CR721)</f>
        <v/>
      </c>
      <c r="CT721" s="14" t="str">
        <f>IF(CS721="","",CS721/(CK721*100))</f>
        <v/>
      </c>
      <c r="CU721" s="15"/>
      <c r="CV721" s="1"/>
      <c r="CW721" s="16"/>
      <c r="CX721" s="54"/>
      <c r="CY721" s="13"/>
      <c r="CZ721" s="13"/>
      <c r="DA721" s="13"/>
      <c r="DB721" s="13"/>
      <c r="DC721" s="13" t="str">
        <f>IF(DB721="","",DB720+DD720-DB721)</f>
        <v/>
      </c>
      <c r="DD721" s="13"/>
      <c r="DE721" s="13"/>
      <c r="DF721" s="13"/>
      <c r="DG721" s="13" t="str">
        <f>IF(DF721="","",DC721*DF721)</f>
        <v/>
      </c>
      <c r="DH721" s="14" t="str">
        <f>IF(DG721="","",DG721/(CY721*100))</f>
        <v/>
      </c>
      <c r="DI721" s="15"/>
      <c r="DJ721" s="1"/>
      <c r="DK721" s="16"/>
      <c r="DL721" s="54"/>
      <c r="DM721" s="13"/>
      <c r="DN721" s="13"/>
      <c r="DO721" s="13"/>
      <c r="DP721" s="13"/>
      <c r="DQ721" s="13" t="str">
        <f>IF(DP721="","",DP720+DR720-DP721)</f>
        <v/>
      </c>
      <c r="DR721" s="13"/>
      <c r="DS721" s="13"/>
      <c r="DT721" s="13"/>
      <c r="DU721" s="13" t="str">
        <f>IF(DT721="","",DQ721*DT721)</f>
        <v/>
      </c>
      <c r="DV721" s="14" t="str">
        <f>IF(DU721="","",DU721/(DM721*100))</f>
        <v/>
      </c>
      <c r="DW721" s="15"/>
    </row>
    <row r="722" spans="1:127" ht="15" customHeight="1" x14ac:dyDescent="0.2">
      <c r="A722" s="79"/>
      <c r="B722" s="74"/>
      <c r="C722" s="53"/>
      <c r="D722" s="53"/>
      <c r="E722" s="53"/>
      <c r="F722" s="53"/>
      <c r="G722" s="53"/>
      <c r="H722" s="53"/>
      <c r="I722" s="53"/>
      <c r="J722" s="75"/>
      <c r="K722" s="53"/>
      <c r="L722" s="53"/>
      <c r="M722" s="53"/>
      <c r="N722" s="15"/>
      <c r="O722" s="2"/>
      <c r="P722" s="79"/>
      <c r="Q722" s="53"/>
      <c r="R722" s="53"/>
      <c r="S722" s="53"/>
      <c r="T722" s="53"/>
      <c r="U722" s="53"/>
      <c r="V722" s="53"/>
      <c r="W722" s="53"/>
      <c r="X722" s="78"/>
      <c r="Y722" s="53"/>
      <c r="Z722" s="53"/>
      <c r="AA722" s="53"/>
      <c r="AB722" s="15"/>
      <c r="AD722" s="79"/>
      <c r="AE722" s="53"/>
      <c r="AF722" s="53"/>
      <c r="AG722" s="53"/>
      <c r="AH722" s="53"/>
      <c r="AI722" s="53"/>
      <c r="AJ722" s="53"/>
      <c r="AK722" s="53"/>
      <c r="AL722" s="75"/>
      <c r="AM722" s="53"/>
      <c r="AN722" s="53"/>
      <c r="AO722" s="53"/>
      <c r="AP722" s="15"/>
      <c r="AQ722" s="2"/>
      <c r="AR722" s="79"/>
      <c r="AS722" s="53"/>
      <c r="AT722" s="53"/>
      <c r="AU722" s="53"/>
      <c r="AV722" s="53"/>
      <c r="AW722" s="53"/>
      <c r="AX722" s="53"/>
      <c r="AY722" s="53"/>
      <c r="AZ722" s="75"/>
      <c r="BA722" s="53"/>
      <c r="BB722" s="53"/>
      <c r="BC722" s="53"/>
      <c r="BD722" s="15"/>
      <c r="BU722" s="16"/>
      <c r="BV722" s="54"/>
      <c r="BW722" s="13"/>
      <c r="BX722" s="13"/>
      <c r="BY722" s="13"/>
      <c r="BZ722" s="13"/>
      <c r="CA722" s="13"/>
      <c r="CB722" s="13"/>
      <c r="CC722" s="13"/>
      <c r="CD722" s="13"/>
      <c r="CE722" s="13"/>
      <c r="CF722" s="14"/>
      <c r="CG722" s="15"/>
      <c r="CH722" s="1"/>
      <c r="CI722" s="16"/>
      <c r="CJ722" s="54"/>
      <c r="CK722" s="13"/>
      <c r="CL722" s="13"/>
      <c r="CM722" s="13"/>
      <c r="CN722" s="13"/>
      <c r="CO722" s="13"/>
      <c r="CP722" s="13"/>
      <c r="CQ722" s="13"/>
      <c r="CR722" s="13"/>
      <c r="CS722" s="13"/>
      <c r="CT722" s="14"/>
      <c r="CU722" s="15"/>
      <c r="CV722" s="1"/>
      <c r="CW722" s="16"/>
      <c r="CX722" s="54"/>
      <c r="CY722" s="13"/>
      <c r="CZ722" s="13"/>
      <c r="DA722" s="13"/>
      <c r="DB722" s="13"/>
      <c r="DC722" s="13"/>
      <c r="DD722" s="13"/>
      <c r="DE722" s="13"/>
      <c r="DF722" s="13"/>
      <c r="DG722" s="13"/>
      <c r="DH722" s="14"/>
      <c r="DI722" s="15"/>
      <c r="DJ722" s="1"/>
      <c r="DK722" s="16"/>
      <c r="DL722" s="54"/>
      <c r="DM722" s="13"/>
      <c r="DN722" s="13"/>
      <c r="DO722" s="13"/>
      <c r="DP722" s="13"/>
      <c r="DQ722" s="13"/>
      <c r="DR722" s="13"/>
      <c r="DS722" s="13"/>
      <c r="DT722" s="13"/>
      <c r="DU722" s="13"/>
      <c r="DV722" s="14"/>
      <c r="DW722" s="15"/>
    </row>
    <row r="723" spans="1:127" ht="15" customHeight="1" x14ac:dyDescent="0.2">
      <c r="A723" s="79"/>
      <c r="B723" s="74"/>
      <c r="C723" s="53"/>
      <c r="D723" s="53"/>
      <c r="E723" s="53"/>
      <c r="F723" s="53"/>
      <c r="G723" s="53"/>
      <c r="H723" s="53"/>
      <c r="I723" s="53"/>
      <c r="J723" s="75"/>
      <c r="K723" s="53"/>
      <c r="L723" s="53"/>
      <c r="M723" s="53"/>
      <c r="N723" s="15"/>
      <c r="O723" s="2"/>
      <c r="P723" s="79"/>
      <c r="Q723" s="53"/>
      <c r="R723" s="53"/>
      <c r="S723" s="53"/>
      <c r="T723" s="53"/>
      <c r="U723" s="53"/>
      <c r="V723" s="53"/>
      <c r="W723" s="53"/>
      <c r="X723" s="78"/>
      <c r="Y723" s="53"/>
      <c r="Z723" s="53"/>
      <c r="AA723" s="53"/>
      <c r="AB723" s="15"/>
      <c r="AD723" s="79"/>
      <c r="AE723" s="53"/>
      <c r="AF723" s="53"/>
      <c r="AG723" s="53"/>
      <c r="AH723" s="53"/>
      <c r="AI723" s="53"/>
      <c r="AJ723" s="53"/>
      <c r="AK723" s="53"/>
      <c r="AL723" s="75"/>
      <c r="AM723" s="53"/>
      <c r="AN723" s="53"/>
      <c r="AO723" s="53"/>
      <c r="AP723" s="15"/>
      <c r="AQ723" s="2"/>
      <c r="AR723" s="79"/>
      <c r="AS723" s="53"/>
      <c r="AT723" s="53"/>
      <c r="AU723" s="53"/>
      <c r="AV723" s="53"/>
      <c r="AW723" s="53"/>
      <c r="AX723" s="53"/>
      <c r="AY723" s="53"/>
      <c r="AZ723" s="75"/>
      <c r="BA723" s="53"/>
      <c r="BB723" s="53"/>
      <c r="BC723" s="53"/>
      <c r="BD723" s="15"/>
      <c r="BU723" s="16"/>
      <c r="BV723" s="54"/>
      <c r="BW723" s="13"/>
      <c r="BX723" s="13"/>
      <c r="BY723" s="13"/>
      <c r="BZ723" s="13"/>
      <c r="CA723" s="13"/>
      <c r="CB723" s="13"/>
      <c r="CC723" s="13"/>
      <c r="CD723" s="13"/>
      <c r="CE723" s="13"/>
      <c r="CF723" s="14"/>
      <c r="CG723" s="15"/>
      <c r="CH723" s="1"/>
      <c r="CI723" s="16"/>
      <c r="CJ723" s="54"/>
      <c r="CK723" s="13"/>
      <c r="CL723" s="13"/>
      <c r="CM723" s="13"/>
      <c r="CN723" s="13"/>
      <c r="CO723" s="13"/>
      <c r="CP723" s="13"/>
      <c r="CQ723" s="13"/>
      <c r="CR723" s="13"/>
      <c r="CS723" s="13"/>
      <c r="CT723" s="14"/>
      <c r="CU723" s="15"/>
      <c r="CV723" s="1"/>
      <c r="CW723" s="16"/>
      <c r="CX723" s="54"/>
      <c r="CY723" s="13"/>
      <c r="CZ723" s="13"/>
      <c r="DA723" s="13"/>
      <c r="DB723" s="13"/>
      <c r="DC723" s="13"/>
      <c r="DD723" s="13"/>
      <c r="DE723" s="13"/>
      <c r="DF723" s="13"/>
      <c r="DG723" s="13"/>
      <c r="DH723" s="14"/>
      <c r="DI723" s="15"/>
      <c r="DJ723" s="1"/>
      <c r="DK723" s="16"/>
      <c r="DL723" s="54"/>
      <c r="DM723" s="13"/>
      <c r="DN723" s="13"/>
      <c r="DO723" s="13"/>
      <c r="DP723" s="13"/>
      <c r="DQ723" s="13"/>
      <c r="DR723" s="13"/>
      <c r="DS723" s="13"/>
      <c r="DT723" s="13"/>
      <c r="DU723" s="13"/>
      <c r="DV723" s="14"/>
      <c r="DW723" s="15"/>
    </row>
    <row r="724" spans="1:127" ht="15" customHeight="1" x14ac:dyDescent="0.2">
      <c r="A724" s="79"/>
      <c r="B724" s="74"/>
      <c r="C724" s="53"/>
      <c r="D724" s="53"/>
      <c r="E724" s="53"/>
      <c r="F724" s="53"/>
      <c r="G724" s="53"/>
      <c r="H724" s="53"/>
      <c r="I724" s="53"/>
      <c r="J724" s="75"/>
      <c r="K724" s="53"/>
      <c r="L724" s="53"/>
      <c r="M724" s="53"/>
      <c r="N724" s="15"/>
      <c r="O724" s="2"/>
      <c r="P724" s="79"/>
      <c r="Q724" s="53"/>
      <c r="R724" s="53"/>
      <c r="S724" s="53"/>
      <c r="T724" s="53"/>
      <c r="U724" s="53"/>
      <c r="V724" s="53"/>
      <c r="W724" s="53"/>
      <c r="X724" s="78"/>
      <c r="Y724" s="53"/>
      <c r="Z724" s="53"/>
      <c r="AA724" s="53"/>
      <c r="AB724" s="15"/>
      <c r="AD724" s="79"/>
      <c r="AE724" s="53"/>
      <c r="AF724" s="53"/>
      <c r="AG724" s="53"/>
      <c r="AH724" s="53"/>
      <c r="AI724" s="53"/>
      <c r="AJ724" s="53"/>
      <c r="AK724" s="53"/>
      <c r="AL724" s="75"/>
      <c r="AM724" s="53"/>
      <c r="AN724" s="53"/>
      <c r="AO724" s="53"/>
      <c r="AP724" s="15"/>
      <c r="AQ724" s="2"/>
      <c r="AR724" s="79"/>
      <c r="AS724" s="53"/>
      <c r="AT724" s="53"/>
      <c r="AU724" s="53"/>
      <c r="AV724" s="53"/>
      <c r="AW724" s="53"/>
      <c r="AX724" s="53"/>
      <c r="AY724" s="53"/>
      <c r="AZ724" s="75"/>
      <c r="BA724" s="53"/>
      <c r="BB724" s="53"/>
      <c r="BC724" s="53"/>
      <c r="BD724" s="15"/>
      <c r="BU724" s="16"/>
      <c r="BV724" s="54"/>
      <c r="BW724" s="13"/>
      <c r="BX724" s="13"/>
      <c r="BY724" s="13"/>
      <c r="BZ724" s="13"/>
      <c r="CA724" s="13"/>
      <c r="CB724" s="13"/>
      <c r="CC724" s="13"/>
      <c r="CD724" s="13"/>
      <c r="CE724" s="13"/>
      <c r="CF724" s="14"/>
      <c r="CG724" s="15"/>
      <c r="CH724" s="1"/>
      <c r="CI724" s="16"/>
      <c r="CJ724" s="54"/>
      <c r="CK724" s="13"/>
      <c r="CL724" s="13"/>
      <c r="CM724" s="13"/>
      <c r="CN724" s="13"/>
      <c r="CO724" s="13"/>
      <c r="CP724" s="13"/>
      <c r="CQ724" s="13"/>
      <c r="CR724" s="13"/>
      <c r="CS724" s="13"/>
      <c r="CT724" s="14"/>
      <c r="CU724" s="15"/>
      <c r="CV724" s="1"/>
      <c r="CW724" s="16"/>
      <c r="CX724" s="54"/>
      <c r="CY724" s="13"/>
      <c r="CZ724" s="13"/>
      <c r="DA724" s="13"/>
      <c r="DB724" s="13"/>
      <c r="DC724" s="13"/>
      <c r="DD724" s="13"/>
      <c r="DE724" s="13"/>
      <c r="DF724" s="13"/>
      <c r="DG724" s="13"/>
      <c r="DH724" s="14"/>
      <c r="DI724" s="15"/>
      <c r="DJ724" s="1"/>
      <c r="DK724" s="16"/>
      <c r="DL724" s="54"/>
      <c r="DM724" s="13"/>
      <c r="DN724" s="13"/>
      <c r="DO724" s="13"/>
      <c r="DP724" s="13"/>
      <c r="DQ724" s="13"/>
      <c r="DR724" s="13"/>
      <c r="DS724" s="13"/>
      <c r="DT724" s="13"/>
      <c r="DU724" s="13"/>
      <c r="DV724" s="14"/>
      <c r="DW724" s="15"/>
    </row>
    <row r="725" spans="1:127" ht="15" customHeight="1" x14ac:dyDescent="0.2">
      <c r="A725" s="59">
        <v>32</v>
      </c>
      <c r="B725" s="74"/>
      <c r="C725" s="5" t="s">
        <v>19</v>
      </c>
      <c r="D725" s="13">
        <f>SUM(D669:D721)*100</f>
        <v>661200</v>
      </c>
      <c r="E725" s="13"/>
      <c r="F725" s="13"/>
      <c r="G725" s="5"/>
      <c r="H725" s="13"/>
      <c r="I725" s="13"/>
      <c r="J725" s="271" t="s">
        <v>21</v>
      </c>
      <c r="K725" s="271"/>
      <c r="L725" s="13">
        <f>SUM(L669:L721)</f>
        <v>116230</v>
      </c>
      <c r="M725" s="13"/>
      <c r="N725" s="15"/>
      <c r="O725" s="2"/>
      <c r="P725" s="16"/>
      <c r="Q725" s="5" t="s">
        <v>19</v>
      </c>
      <c r="R725" s="13">
        <f>SUM(R669:R721)*100</f>
        <v>553000</v>
      </c>
      <c r="S725" s="13"/>
      <c r="T725" s="13"/>
      <c r="U725" s="5"/>
      <c r="V725" s="13"/>
      <c r="W725" s="13"/>
      <c r="X725" s="271" t="s">
        <v>21</v>
      </c>
      <c r="Y725" s="271"/>
      <c r="Z725" s="13">
        <f>SUM(Z669:Z721)</f>
        <v>111699</v>
      </c>
      <c r="AA725" s="13"/>
      <c r="AB725" s="15"/>
      <c r="AD725" s="16"/>
      <c r="AE725" s="5" t="s">
        <v>19</v>
      </c>
      <c r="AF725" s="13">
        <f>SUM(AF669:AF721)*100</f>
        <v>421200</v>
      </c>
      <c r="AG725" s="13"/>
      <c r="AH725" s="13"/>
      <c r="AI725" s="5"/>
      <c r="AJ725" s="13"/>
      <c r="AK725" s="13"/>
      <c r="AL725" s="271" t="s">
        <v>21</v>
      </c>
      <c r="AM725" s="271"/>
      <c r="AN725" s="13">
        <f>SUM(AN669:AN721)</f>
        <v>93064</v>
      </c>
      <c r="AO725" s="13"/>
      <c r="AP725" s="15"/>
      <c r="AQ725" s="2"/>
      <c r="AR725" s="16"/>
      <c r="AS725" s="5" t="s">
        <v>19</v>
      </c>
      <c r="AT725" s="13">
        <f>SUM(AT669:AT721)*100</f>
        <v>411200</v>
      </c>
      <c r="AU725" s="13"/>
      <c r="AV725" s="13"/>
      <c r="AW725" s="5"/>
      <c r="AX725" s="13"/>
      <c r="AY725" s="13"/>
      <c r="AZ725" s="271" t="s">
        <v>21</v>
      </c>
      <c r="BA725" s="271"/>
      <c r="BB725" s="13">
        <f>SUM(BB669:BB721)</f>
        <v>81642</v>
      </c>
      <c r="BC725" s="13"/>
      <c r="BD725" s="15"/>
      <c r="BU725" s="16"/>
      <c r="BV725" s="69" t="s">
        <v>19</v>
      </c>
      <c r="BW725" s="13">
        <f>SUM(BW669:BW721)*100</f>
        <v>323700</v>
      </c>
      <c r="BX725" s="13"/>
      <c r="BY725" s="13"/>
      <c r="BZ725" s="5"/>
      <c r="CA725" s="13"/>
      <c r="CB725" s="13"/>
      <c r="CC725" s="13"/>
      <c r="CD725" s="13"/>
      <c r="CE725" s="13"/>
      <c r="CF725" s="13"/>
      <c r="CG725" s="15"/>
      <c r="CH725" s="1"/>
      <c r="CI725" s="16"/>
      <c r="CJ725" s="69" t="s">
        <v>19</v>
      </c>
      <c r="CK725" s="13">
        <f>SUM(CK669:CK721)*100</f>
        <v>126600</v>
      </c>
      <c r="CL725" s="13"/>
      <c r="CM725" s="13"/>
      <c r="CN725" s="5"/>
      <c r="CO725" s="13"/>
      <c r="CP725" s="13"/>
      <c r="CQ725" s="13"/>
      <c r="CR725" s="13"/>
      <c r="CS725" s="13"/>
      <c r="CT725" s="13"/>
      <c r="CU725" s="15"/>
      <c r="CV725" s="1"/>
      <c r="CW725" s="16"/>
      <c r="CX725" s="69" t="s">
        <v>19</v>
      </c>
      <c r="CY725" s="13">
        <f>SUM(CY669:CY721)*100</f>
        <v>159700</v>
      </c>
      <c r="CZ725" s="13"/>
      <c r="DA725" s="13"/>
      <c r="DB725" s="5"/>
      <c r="DC725" s="13"/>
      <c r="DD725" s="13"/>
      <c r="DE725" s="13"/>
      <c r="DF725" s="13"/>
      <c r="DG725" s="13"/>
      <c r="DH725" s="13"/>
      <c r="DI725" s="15"/>
      <c r="DJ725" s="1"/>
      <c r="DK725" s="16"/>
      <c r="DL725" s="69" t="s">
        <v>19</v>
      </c>
      <c r="DM725" s="13">
        <f>SUM(DM669:DM721)*100</f>
        <v>119300</v>
      </c>
      <c r="DN725" s="13"/>
      <c r="DO725" s="13"/>
      <c r="DP725" s="5"/>
      <c r="DQ725" s="13"/>
      <c r="DR725" s="13"/>
      <c r="DS725" s="13"/>
      <c r="DT725" s="13"/>
      <c r="DU725" s="13"/>
      <c r="DV725" s="13"/>
      <c r="DW725" s="15"/>
    </row>
    <row r="726" spans="1:127" ht="15" customHeight="1" x14ac:dyDescent="0.2">
      <c r="A726" s="94">
        <f>DATEDIF(A$771,A$705,"d")</f>
        <v>32</v>
      </c>
      <c r="B726">
        <f>SUMIF(B668:B721,"&gt;=0")</f>
        <v>27759</v>
      </c>
      <c r="C726" s="5" t="s">
        <v>22</v>
      </c>
      <c r="D726" s="13">
        <f>D725/A726</f>
        <v>20662.5</v>
      </c>
      <c r="E726" s="13">
        <f>D726*A725</f>
        <v>661200</v>
      </c>
      <c r="F726" s="13"/>
      <c r="G726" s="5"/>
      <c r="H726" s="13"/>
      <c r="I726" s="13"/>
      <c r="J726" s="271" t="s">
        <v>23</v>
      </c>
      <c r="K726" s="271"/>
      <c r="L726" s="13"/>
      <c r="M726" s="36">
        <f>L725/D725</f>
        <v>0.17578644888082276</v>
      </c>
      <c r="N726" s="15"/>
      <c r="O726" s="2"/>
      <c r="P726" s="33"/>
      <c r="Q726" s="5" t="s">
        <v>22</v>
      </c>
      <c r="R726" s="13">
        <f>R725/A726</f>
        <v>17281.25</v>
      </c>
      <c r="S726" s="13">
        <f>R726*A725</f>
        <v>553000</v>
      </c>
      <c r="T726" s="13"/>
      <c r="U726" s="5"/>
      <c r="V726" s="13"/>
      <c r="W726" s="13"/>
      <c r="X726" s="271" t="s">
        <v>23</v>
      </c>
      <c r="Y726" s="271"/>
      <c r="Z726" s="13"/>
      <c r="AA726" s="36">
        <f>Z725/R725</f>
        <v>0.20198734177215188</v>
      </c>
      <c r="AB726" s="15"/>
      <c r="AD726" s="51"/>
      <c r="AE726" s="5" t="s">
        <v>22</v>
      </c>
      <c r="AF726" s="13">
        <f>AF725/A726</f>
        <v>13162.5</v>
      </c>
      <c r="AG726" s="13">
        <f>AF726*A725</f>
        <v>421200</v>
      </c>
      <c r="AH726" s="13"/>
      <c r="AI726" s="5"/>
      <c r="AJ726" s="13"/>
      <c r="AK726" s="13"/>
      <c r="AL726" s="271" t="s">
        <v>23</v>
      </c>
      <c r="AM726" s="271"/>
      <c r="AN726" s="13"/>
      <c r="AO726" s="36">
        <f>AN725/AF725</f>
        <v>0.22094966761633428</v>
      </c>
      <c r="AP726" s="15"/>
      <c r="AQ726" s="2"/>
      <c r="AR726" s="33"/>
      <c r="AS726" s="5" t="s">
        <v>22</v>
      </c>
      <c r="AT726" s="13">
        <f>AT725/A726</f>
        <v>12850</v>
      </c>
      <c r="AU726" s="13">
        <f>AT726*A725</f>
        <v>411200</v>
      </c>
      <c r="AV726" s="13"/>
      <c r="AW726" s="5"/>
      <c r="AX726" s="13"/>
      <c r="AY726" s="13"/>
      <c r="AZ726" s="271" t="s">
        <v>23</v>
      </c>
      <c r="BA726" s="271"/>
      <c r="BB726" s="13"/>
      <c r="BC726" s="36">
        <f>BB725/AT725</f>
        <v>0.19854571984435798</v>
      </c>
      <c r="BD726" s="15"/>
      <c r="BU726" s="16"/>
      <c r="BV726" s="69" t="s">
        <v>22</v>
      </c>
      <c r="BW726" s="13">
        <f>BW725/A726</f>
        <v>10115.625</v>
      </c>
      <c r="BX726" s="13">
        <f>BW726*A725</f>
        <v>323700</v>
      </c>
      <c r="BY726" s="13"/>
      <c r="BZ726" s="5"/>
      <c r="CA726" s="13"/>
      <c r="CB726" s="13"/>
      <c r="CC726" s="13"/>
      <c r="CD726" s="13"/>
      <c r="CE726" s="13"/>
      <c r="CF726" s="13"/>
      <c r="CG726" s="15"/>
      <c r="CH726" s="1"/>
      <c r="CI726" s="16"/>
      <c r="CJ726" s="69" t="s">
        <v>22</v>
      </c>
      <c r="CK726" s="13">
        <f>CK725/A726</f>
        <v>3956.25</v>
      </c>
      <c r="CL726" s="13">
        <f>CK726*A725</f>
        <v>126600</v>
      </c>
      <c r="CM726" s="13"/>
      <c r="CN726" s="5"/>
      <c r="CO726" s="13"/>
      <c r="CP726" s="13"/>
      <c r="CQ726" s="13"/>
      <c r="CR726" s="13"/>
      <c r="CS726" s="13"/>
      <c r="CT726" s="13"/>
      <c r="CU726" s="15"/>
      <c r="CV726" s="1"/>
      <c r="CW726" s="16"/>
      <c r="CX726" s="69" t="s">
        <v>22</v>
      </c>
      <c r="CY726" s="13">
        <f>CY725/A726</f>
        <v>4990.625</v>
      </c>
      <c r="CZ726" s="13">
        <f>CY726*A725</f>
        <v>159700</v>
      </c>
      <c r="DA726" s="13"/>
      <c r="DB726" s="5"/>
      <c r="DC726" s="13"/>
      <c r="DD726" s="13"/>
      <c r="DE726" s="13"/>
      <c r="DF726" s="13"/>
      <c r="DG726" s="13"/>
      <c r="DH726" s="13"/>
      <c r="DI726" s="15"/>
      <c r="DJ726" s="1"/>
      <c r="DK726" s="16"/>
      <c r="DL726" s="69" t="s">
        <v>22</v>
      </c>
      <c r="DM726" s="13">
        <f>DM725/A726</f>
        <v>3728.125</v>
      </c>
      <c r="DN726" s="13">
        <f>DM726*A725</f>
        <v>119300</v>
      </c>
      <c r="DO726" s="13"/>
      <c r="DP726" s="5"/>
      <c r="DQ726" s="13"/>
      <c r="DR726" s="13"/>
      <c r="DS726" s="13"/>
      <c r="DT726" s="13"/>
      <c r="DU726" s="13"/>
      <c r="DV726" s="13"/>
      <c r="DW726" s="15"/>
    </row>
    <row r="727" spans="1:127" ht="15" customHeight="1" x14ac:dyDescent="0.2">
      <c r="A727" s="44" t="s">
        <v>22</v>
      </c>
      <c r="B727" s="81">
        <f>B726/A726</f>
        <v>867.46875</v>
      </c>
      <c r="C727" s="69" t="s">
        <v>25</v>
      </c>
      <c r="D727" s="13">
        <f>D725*0.6</f>
        <v>396720</v>
      </c>
      <c r="E727" s="13"/>
      <c r="F727" s="13"/>
      <c r="G727" s="5"/>
      <c r="H727" s="13"/>
      <c r="I727" s="13"/>
      <c r="J727" s="271" t="s">
        <v>26</v>
      </c>
      <c r="K727" s="271"/>
      <c r="L727" s="13">
        <f>D727-L725</f>
        <v>280490</v>
      </c>
      <c r="M727" s="36">
        <f>L727/D725</f>
        <v>0.42421355111917725</v>
      </c>
      <c r="N727" s="15"/>
      <c r="O727" s="2"/>
      <c r="P727" s="16"/>
      <c r="Q727" s="69" t="s">
        <v>25</v>
      </c>
      <c r="R727" s="13">
        <f>R725*0.6</f>
        <v>331800</v>
      </c>
      <c r="S727" s="13"/>
      <c r="T727" s="13"/>
      <c r="U727" s="5"/>
      <c r="V727" s="13"/>
      <c r="W727" s="13"/>
      <c r="X727" s="271" t="s">
        <v>26</v>
      </c>
      <c r="Y727" s="271"/>
      <c r="Z727" s="13">
        <f>R727-Z725</f>
        <v>220101</v>
      </c>
      <c r="AA727" s="36">
        <f>Z727/R725</f>
        <v>0.39801265822784809</v>
      </c>
      <c r="AB727" s="15"/>
      <c r="AD727" s="16"/>
      <c r="AE727" s="69" t="s">
        <v>25</v>
      </c>
      <c r="AF727" s="13">
        <f>AF725*0.6</f>
        <v>252720</v>
      </c>
      <c r="AG727" s="13"/>
      <c r="AH727" s="13"/>
      <c r="AI727" s="5"/>
      <c r="AJ727" s="13"/>
      <c r="AK727" s="13"/>
      <c r="AL727" s="271" t="s">
        <v>26</v>
      </c>
      <c r="AM727" s="271"/>
      <c r="AN727" s="13">
        <f>AF727-AN725</f>
        <v>159656</v>
      </c>
      <c r="AO727" s="36">
        <f>AN727/AF725</f>
        <v>0.3790503323836657</v>
      </c>
      <c r="AP727" s="15"/>
      <c r="AQ727" s="2"/>
      <c r="AR727" s="16"/>
      <c r="AS727" s="69" t="s">
        <v>25</v>
      </c>
      <c r="AT727" s="13">
        <f>AT725*0.6</f>
        <v>246720</v>
      </c>
      <c r="AU727" s="13"/>
      <c r="AV727" s="13"/>
      <c r="AW727" s="5"/>
      <c r="AX727" s="13"/>
      <c r="AY727" s="13"/>
      <c r="AZ727" s="271" t="s">
        <v>26</v>
      </c>
      <c r="BA727" s="271"/>
      <c r="BB727" s="13">
        <f>AT727-BB725</f>
        <v>165078</v>
      </c>
      <c r="BC727" s="36">
        <f>BB727/AT725</f>
        <v>0.401454280155642</v>
      </c>
      <c r="BD727" s="15"/>
      <c r="BU727" s="16"/>
      <c r="BV727" s="69" t="s">
        <v>25</v>
      </c>
      <c r="BW727" s="13">
        <f>BW725*0.6</f>
        <v>194220</v>
      </c>
      <c r="BX727" s="13"/>
      <c r="BY727" s="13"/>
      <c r="BZ727" s="5" t="s">
        <v>24</v>
      </c>
      <c r="CA727" s="13">
        <f>SUM(CE669:CE721)</f>
        <v>24750</v>
      </c>
      <c r="CB727" s="36">
        <f>CA727/BW725</f>
        <v>7.6459684893419838E-2</v>
      </c>
      <c r="CC727" s="36"/>
      <c r="CD727" s="13"/>
      <c r="CE727" s="13"/>
      <c r="CF727" s="13"/>
      <c r="CG727" s="15"/>
      <c r="CH727" s="1"/>
      <c r="CI727" s="16"/>
      <c r="CJ727" s="69" t="s">
        <v>25</v>
      </c>
      <c r="CK727" s="13">
        <f>CK725*0.6</f>
        <v>75960</v>
      </c>
      <c r="CL727" s="13"/>
      <c r="CM727" s="13"/>
      <c r="CN727" s="5" t="s">
        <v>24</v>
      </c>
      <c r="CO727" s="13">
        <f>SUM(CS669:CS721)</f>
        <v>18216</v>
      </c>
      <c r="CP727" s="36">
        <f>CO727/CK725</f>
        <v>0.14388625592417062</v>
      </c>
      <c r="CQ727" s="36"/>
      <c r="CR727" s="13"/>
      <c r="CS727" s="13"/>
      <c r="CT727" s="13"/>
      <c r="CU727" s="15"/>
      <c r="CV727" s="1"/>
      <c r="CW727" s="16"/>
      <c r="CX727" s="69" t="s">
        <v>25</v>
      </c>
      <c r="CY727" s="13">
        <f>CY725*0.6</f>
        <v>95820</v>
      </c>
      <c r="CZ727" s="13"/>
      <c r="DA727" s="13"/>
      <c r="DB727" s="5" t="s">
        <v>24</v>
      </c>
      <c r="DC727" s="13">
        <f>SUM(DG669:DG721)</f>
        <v>40480</v>
      </c>
      <c r="DD727" s="36">
        <f>DC727/CY725</f>
        <v>0.25347526612398247</v>
      </c>
      <c r="DE727" s="36"/>
      <c r="DF727" s="13"/>
      <c r="DG727" s="13"/>
      <c r="DH727" s="13"/>
      <c r="DI727" s="15"/>
      <c r="DJ727" s="1"/>
      <c r="DK727" s="16"/>
      <c r="DL727" s="69" t="s">
        <v>25</v>
      </c>
      <c r="DM727" s="13">
        <f>DM725*0.6</f>
        <v>71580</v>
      </c>
      <c r="DN727" s="13"/>
      <c r="DO727" s="13"/>
      <c r="DP727" s="5" t="s">
        <v>24</v>
      </c>
      <c r="DQ727" s="13">
        <f>SUM(DU669:DU721)</f>
        <v>45804</v>
      </c>
      <c r="DR727" s="36">
        <f>DQ727/DM725</f>
        <v>0.38393964794635371</v>
      </c>
      <c r="DS727" s="36"/>
      <c r="DT727" s="13"/>
      <c r="DU727" s="13"/>
      <c r="DV727" s="13"/>
      <c r="DW727" s="15"/>
    </row>
    <row r="728" spans="1:127" ht="15" customHeight="1" x14ac:dyDescent="0.2">
      <c r="A728" s="79"/>
      <c r="B728" s="74">
        <f>B727*A725</f>
        <v>27759</v>
      </c>
      <c r="C728" s="5" t="s">
        <v>27</v>
      </c>
      <c r="D728" s="13">
        <f>D799</f>
        <v>507500</v>
      </c>
      <c r="E728" s="13"/>
      <c r="F728" s="13"/>
      <c r="G728" s="5"/>
      <c r="H728" s="13"/>
      <c r="I728" s="24"/>
      <c r="J728" s="272" t="s">
        <v>29</v>
      </c>
      <c r="K728" s="272"/>
      <c r="L728" s="53">
        <f>(G705+I705)*K705+(G706+I706)*K706+(G707+I707)*K707+(G708+I708)*K708</f>
        <v>75416</v>
      </c>
      <c r="M728" s="14"/>
      <c r="N728" s="15"/>
      <c r="O728" s="2"/>
      <c r="P728" s="79"/>
      <c r="Q728" s="5" t="s">
        <v>27</v>
      </c>
      <c r="R728" s="13">
        <f>R799</f>
        <v>356800</v>
      </c>
      <c r="S728" s="13"/>
      <c r="T728" s="13"/>
      <c r="U728" s="5"/>
      <c r="V728" s="13"/>
      <c r="W728" s="24"/>
      <c r="X728" s="272" t="s">
        <v>29</v>
      </c>
      <c r="Y728" s="272"/>
      <c r="Z728" s="53">
        <f>(U705+W705)*Y705+(U706+W706)*Y706+(U707+W707)*Y707+(U708+W708)*Y708</f>
        <v>40744</v>
      </c>
      <c r="AA728" s="14"/>
      <c r="AB728" s="15"/>
      <c r="AD728" s="79"/>
      <c r="AE728" s="5" t="s">
        <v>27</v>
      </c>
      <c r="AF728" s="13">
        <f>AF799</f>
        <v>319600</v>
      </c>
      <c r="AG728" s="13"/>
      <c r="AH728" s="13"/>
      <c r="AI728" s="5"/>
      <c r="AJ728" s="13"/>
      <c r="AK728" s="24"/>
      <c r="AL728" s="272" t="s">
        <v>29</v>
      </c>
      <c r="AM728" s="272"/>
      <c r="AN728" s="53">
        <f>(AI705+AK705)*AM705+(AI706+AK706)*AM706+(AI707+AK707)*AM707+(AI708+AK708)*AM708</f>
        <v>36666</v>
      </c>
      <c r="AO728" s="14"/>
      <c r="AP728" s="15"/>
      <c r="AQ728" s="2"/>
      <c r="AR728" s="79"/>
      <c r="AS728" s="5" t="s">
        <v>27</v>
      </c>
      <c r="AT728" s="13">
        <f>AT799</f>
        <v>393600</v>
      </c>
      <c r="AU728" s="13"/>
      <c r="AV728" s="13"/>
      <c r="AW728" s="5"/>
      <c r="AX728" s="13"/>
      <c r="AY728" s="24"/>
      <c r="AZ728" s="272" t="s">
        <v>29</v>
      </c>
      <c r="BA728" s="272"/>
      <c r="BB728" s="53">
        <f>(AW705+AY705)*BA705+(AW706+AY706)*BA706+(AW707+AY707)*BA707+(AW708+AY708)*BA708</f>
        <v>55482</v>
      </c>
      <c r="BC728" s="14"/>
      <c r="BD728" s="15"/>
      <c r="BU728" s="16"/>
      <c r="BV728" s="69" t="s">
        <v>27</v>
      </c>
      <c r="BW728" s="13">
        <f>BW799</f>
        <v>142700</v>
      </c>
      <c r="BX728" s="13"/>
      <c r="BY728" s="13"/>
      <c r="BZ728" s="5" t="s">
        <v>26</v>
      </c>
      <c r="CA728" s="13">
        <f>BW727-CA727</f>
        <v>169470</v>
      </c>
      <c r="CB728" s="36">
        <f>CA728/BW725</f>
        <v>0.52354031510658017</v>
      </c>
      <c r="CC728" s="36"/>
      <c r="CD728" s="14"/>
      <c r="CE728" s="14"/>
      <c r="CF728" s="14"/>
      <c r="CG728" s="15"/>
      <c r="CH728" s="1"/>
      <c r="CI728" s="16"/>
      <c r="CJ728" s="69" t="s">
        <v>27</v>
      </c>
      <c r="CK728" s="13">
        <f>CK799</f>
        <v>117500</v>
      </c>
      <c r="CL728" s="13"/>
      <c r="CM728" s="13"/>
      <c r="CN728" s="5" t="s">
        <v>26</v>
      </c>
      <c r="CO728" s="13">
        <f>CK727-CO727</f>
        <v>57744</v>
      </c>
      <c r="CP728" s="36">
        <f>CO728/CK725</f>
        <v>0.45611374407582939</v>
      </c>
      <c r="CQ728" s="36"/>
      <c r="CR728" s="14"/>
      <c r="CS728" s="14"/>
      <c r="CT728" s="14"/>
      <c r="CU728" s="15"/>
      <c r="CV728" s="1"/>
      <c r="CW728" s="16"/>
      <c r="CX728" s="69" t="s">
        <v>27</v>
      </c>
      <c r="CY728" s="13">
        <f>CY799</f>
        <v>177300</v>
      </c>
      <c r="CZ728" s="13"/>
      <c r="DA728" s="13"/>
      <c r="DB728" s="5" t="s">
        <v>26</v>
      </c>
      <c r="DC728" s="13">
        <f>CY727-DC727</f>
        <v>55340</v>
      </c>
      <c r="DD728" s="36">
        <f>DC728/CY725</f>
        <v>0.34652473387601751</v>
      </c>
      <c r="DE728" s="36"/>
      <c r="DF728" s="14"/>
      <c r="DG728" s="14"/>
      <c r="DH728" s="14"/>
      <c r="DI728" s="15"/>
      <c r="DJ728" s="1"/>
      <c r="DK728" s="16"/>
      <c r="DL728" s="69" t="s">
        <v>27</v>
      </c>
      <c r="DM728" s="13">
        <f>DM799</f>
        <v>127300</v>
      </c>
      <c r="DN728" s="13"/>
      <c r="DO728" s="13"/>
      <c r="DP728" s="5" t="s">
        <v>26</v>
      </c>
      <c r="DQ728" s="13">
        <f>DM727-DQ727</f>
        <v>25776</v>
      </c>
      <c r="DR728" s="36">
        <f>DQ728/DM725</f>
        <v>0.21606035205364627</v>
      </c>
      <c r="DS728" s="36"/>
      <c r="DT728" s="14"/>
      <c r="DU728" s="14"/>
      <c r="DV728" s="14"/>
      <c r="DW728" s="15"/>
    </row>
    <row r="729" spans="1:127" ht="15" customHeight="1" x14ac:dyDescent="0.2">
      <c r="A729" s="273" t="s">
        <v>57</v>
      </c>
      <c r="B729" s="274"/>
      <c r="C729" s="273" t="s">
        <v>62</v>
      </c>
      <c r="D729" s="274"/>
      <c r="E729" s="273" t="s">
        <v>63</v>
      </c>
      <c r="F729" s="275"/>
      <c r="G729" s="5"/>
      <c r="H729" s="13"/>
      <c r="I729" s="24"/>
      <c r="J729" s="99"/>
      <c r="K729" s="102"/>
      <c r="L729" s="53"/>
      <c r="M729" s="14"/>
      <c r="N729" s="15"/>
      <c r="O729" s="2"/>
      <c r="P729" s="85"/>
      <c r="Q729" s="69"/>
      <c r="R729" s="13"/>
      <c r="S729" s="13"/>
      <c r="T729" s="13"/>
      <c r="U729" s="5"/>
      <c r="V729" s="13"/>
      <c r="W729" s="24"/>
      <c r="X729" s="99"/>
      <c r="Y729" s="102"/>
      <c r="Z729" s="53"/>
      <c r="AA729" s="14"/>
      <c r="AB729" s="15"/>
      <c r="AD729" s="85"/>
      <c r="AE729" s="69"/>
      <c r="AF729" s="13"/>
      <c r="AG729" s="13"/>
      <c r="AH729" s="13"/>
      <c r="AI729" s="5"/>
      <c r="AJ729" s="13"/>
      <c r="AK729" s="24"/>
      <c r="AL729" s="99"/>
      <c r="AM729" s="102"/>
      <c r="AN729" s="53"/>
      <c r="AO729" s="14"/>
      <c r="AP729" s="15"/>
      <c r="AQ729" s="2"/>
      <c r="AR729" s="85"/>
      <c r="AS729" s="69"/>
      <c r="AT729" s="13"/>
      <c r="AU729" s="13"/>
      <c r="AV729" s="13"/>
      <c r="AW729" s="5"/>
      <c r="AX729" s="13"/>
      <c r="AY729" s="24"/>
      <c r="AZ729" s="118"/>
      <c r="BA729" s="102"/>
      <c r="BB729" s="53"/>
      <c r="BC729" s="14"/>
      <c r="BD729" s="15"/>
      <c r="BU729" s="16"/>
      <c r="BV729" s="54"/>
      <c r="BW729" s="13"/>
      <c r="BX729" s="13"/>
      <c r="BY729" s="13"/>
      <c r="BZ729" s="263" t="s">
        <v>29</v>
      </c>
      <c r="CA729" s="264"/>
      <c r="CB729" s="13">
        <f>(BZ678+CB678)*CD678</f>
        <v>7425</v>
      </c>
      <c r="CC729" s="13"/>
      <c r="CD729" s="14"/>
      <c r="CE729" s="14"/>
      <c r="CF729" s="14"/>
      <c r="CG729" s="15"/>
      <c r="CH729" s="1"/>
      <c r="CI729" s="16"/>
      <c r="CJ729" s="54"/>
      <c r="CK729" s="13"/>
      <c r="CL729" s="13"/>
      <c r="CM729" s="13"/>
      <c r="CN729" s="263" t="s">
        <v>29</v>
      </c>
      <c r="CO729" s="264"/>
      <c r="CP729" s="13">
        <f>(CN678+CP678)*CR678</f>
        <v>12144</v>
      </c>
      <c r="CQ729" s="13"/>
      <c r="CR729" s="14"/>
      <c r="CS729" s="14"/>
      <c r="CT729" s="14"/>
      <c r="CU729" s="15"/>
      <c r="CV729" s="1"/>
      <c r="CW729" s="16"/>
      <c r="CX729" s="54"/>
      <c r="CY729" s="13"/>
      <c r="CZ729" s="13"/>
      <c r="DA729" s="13"/>
      <c r="DB729" s="263" t="s">
        <v>29</v>
      </c>
      <c r="DC729" s="264"/>
      <c r="DD729" s="13">
        <f>(DB678+DD678)*DF678</f>
        <v>38720</v>
      </c>
      <c r="DE729" s="13"/>
      <c r="DF729" s="14"/>
      <c r="DG729" s="14"/>
      <c r="DH729" s="14"/>
      <c r="DI729" s="15"/>
      <c r="DJ729" s="1"/>
      <c r="DK729" s="16"/>
      <c r="DL729" s="54"/>
      <c r="DM729" s="13"/>
      <c r="DN729" s="13"/>
      <c r="DO729" s="13"/>
      <c r="DP729" s="263" t="s">
        <v>29</v>
      </c>
      <c r="DQ729" s="264"/>
      <c r="DR729" s="13">
        <f>(DP678+DR678)*DT678</f>
        <v>37400</v>
      </c>
      <c r="DS729" s="13"/>
      <c r="DT729" s="14"/>
      <c r="DU729" s="14"/>
      <c r="DV729" s="14"/>
      <c r="DW729" s="15"/>
    </row>
    <row r="730" spans="1:127" ht="15" customHeight="1" x14ac:dyDescent="0.2">
      <c r="A730" s="283">
        <f>E726+S726+AG726+AU726+BX726+CL726+CZ726+DN726</f>
        <v>2775900</v>
      </c>
      <c r="B730" s="284"/>
      <c r="C730" s="267">
        <f>L725+Z725+AN725+BB725</f>
        <v>402635</v>
      </c>
      <c r="D730" s="268"/>
      <c r="E730" s="267">
        <f>L728+Z728+AN728+BB728+CB729+CP729+DD729+DR729</f>
        <v>303997</v>
      </c>
      <c r="F730" s="268"/>
      <c r="G730" s="5"/>
      <c r="H730" s="13"/>
      <c r="I730" s="24"/>
      <c r="J730" s="99"/>
      <c r="K730" s="102"/>
      <c r="L730" s="53"/>
      <c r="M730" s="14"/>
      <c r="N730" s="15"/>
      <c r="O730" s="2"/>
      <c r="P730" s="85"/>
      <c r="Q730" s="69"/>
      <c r="R730" s="13"/>
      <c r="S730" s="13"/>
      <c r="T730" s="13"/>
      <c r="U730" s="5"/>
      <c r="V730" s="13"/>
      <c r="W730" s="24"/>
      <c r="X730" s="99"/>
      <c r="Y730" s="102"/>
      <c r="Z730" s="53"/>
      <c r="AA730" s="14"/>
      <c r="AB730" s="15"/>
      <c r="AD730" s="85"/>
      <c r="AE730" s="69"/>
      <c r="AF730" s="13"/>
      <c r="AG730" s="13"/>
      <c r="AH730" s="13"/>
      <c r="AI730" s="5"/>
      <c r="AJ730" s="13"/>
      <c r="AK730" s="24"/>
      <c r="AL730" s="99"/>
      <c r="AM730" s="102"/>
      <c r="AN730" s="53"/>
      <c r="AO730" s="14"/>
      <c r="AP730" s="15"/>
      <c r="AQ730" s="2"/>
      <c r="AR730" s="85"/>
      <c r="AS730" s="69"/>
      <c r="AT730" s="13"/>
      <c r="AU730" s="13"/>
      <c r="AV730" s="13"/>
      <c r="AW730" s="5"/>
      <c r="AX730" s="13"/>
      <c r="AY730" s="24"/>
      <c r="AZ730" s="118"/>
      <c r="BA730" s="102"/>
      <c r="BB730" s="53"/>
      <c r="BC730" s="14"/>
      <c r="BD730" s="15"/>
      <c r="BU730" s="16"/>
      <c r="BV730" s="54"/>
      <c r="BW730" s="13"/>
      <c r="BX730" s="13"/>
      <c r="BY730" s="13"/>
      <c r="BZ730" s="5"/>
      <c r="CA730" s="13"/>
      <c r="CB730" s="13"/>
      <c r="CC730" s="13"/>
      <c r="CD730" s="14"/>
      <c r="CE730" s="14"/>
      <c r="CF730" s="14"/>
      <c r="CG730" s="15"/>
      <c r="CH730" s="1"/>
      <c r="CI730" s="16"/>
      <c r="CJ730" s="54"/>
      <c r="CK730" s="13"/>
      <c r="CL730" s="13"/>
      <c r="CM730" s="13"/>
      <c r="CN730" s="5"/>
      <c r="CO730" s="13"/>
      <c r="CP730" s="13"/>
      <c r="CQ730" s="13"/>
      <c r="CR730" s="14"/>
      <c r="CS730" s="14"/>
      <c r="CT730" s="14"/>
      <c r="CU730" s="15"/>
      <c r="CV730" s="1"/>
      <c r="CW730" s="16"/>
      <c r="CX730" s="54"/>
      <c r="CY730" s="13"/>
      <c r="CZ730" s="13"/>
      <c r="DA730" s="13"/>
      <c r="DB730" s="5"/>
      <c r="DC730" s="13"/>
      <c r="DD730" s="13"/>
      <c r="DE730" s="13"/>
      <c r="DF730" s="14"/>
      <c r="DG730" s="14"/>
      <c r="DH730" s="14"/>
      <c r="DI730" s="15"/>
      <c r="DJ730" s="1"/>
      <c r="DK730" s="16"/>
      <c r="DL730" s="54"/>
      <c r="DM730" s="13"/>
      <c r="DN730" s="13"/>
      <c r="DO730" s="13"/>
      <c r="DP730" s="5"/>
      <c r="DQ730" s="13"/>
      <c r="DR730" s="13"/>
      <c r="DS730" s="13"/>
      <c r="DT730" s="14"/>
      <c r="DU730" s="14"/>
      <c r="DV730" s="14"/>
      <c r="DW730" s="15"/>
    </row>
    <row r="731" spans="1:127" ht="15" customHeight="1" x14ac:dyDescent="0.2">
      <c r="A731" s="95"/>
      <c r="B731" s="97"/>
      <c r="C731" s="98"/>
      <c r="D731" s="106">
        <f>C730/A730</f>
        <v>0.14504665153643864</v>
      </c>
      <c r="E731" s="104"/>
      <c r="F731" s="96"/>
      <c r="G731" s="5"/>
      <c r="H731" s="13"/>
      <c r="I731" s="24"/>
      <c r="J731" s="99"/>
      <c r="K731" s="102"/>
      <c r="L731" s="53"/>
      <c r="M731" s="14"/>
      <c r="N731" s="15"/>
      <c r="O731" s="2"/>
      <c r="P731" s="85"/>
      <c r="Q731" s="69"/>
      <c r="R731" s="13"/>
      <c r="S731" s="13"/>
      <c r="T731" s="13"/>
      <c r="U731" s="5"/>
      <c r="V731" s="13"/>
      <c r="W731" s="24"/>
      <c r="X731" s="99"/>
      <c r="Y731" s="102"/>
      <c r="Z731" s="53"/>
      <c r="AA731" s="14"/>
      <c r="AB731" s="15"/>
      <c r="AD731" s="85"/>
      <c r="AE731" s="69"/>
      <c r="AF731" s="13"/>
      <c r="AG731" s="13"/>
      <c r="AH731" s="13"/>
      <c r="AI731" s="5"/>
      <c r="AJ731" s="13"/>
      <c r="AK731" s="24"/>
      <c r="AL731" s="99"/>
      <c r="AM731" s="102"/>
      <c r="AN731" s="53"/>
      <c r="AO731" s="14"/>
      <c r="AP731" s="15"/>
      <c r="AQ731" s="2"/>
      <c r="AR731" s="85"/>
      <c r="AS731" s="69"/>
      <c r="AT731" s="13"/>
      <c r="AU731" s="13"/>
      <c r="AV731" s="13"/>
      <c r="AW731" s="5"/>
      <c r="AX731" s="13"/>
      <c r="AY731" s="24"/>
      <c r="AZ731" s="118"/>
      <c r="BA731" s="102"/>
      <c r="BB731" s="53"/>
      <c r="BC731" s="14"/>
      <c r="BD731" s="15"/>
      <c r="BU731" s="16"/>
      <c r="BV731" s="54"/>
      <c r="BW731" s="13"/>
      <c r="BX731" s="13"/>
      <c r="BY731" s="13"/>
      <c r="BZ731" s="5"/>
      <c r="CA731" s="13"/>
      <c r="CB731" s="36"/>
      <c r="CC731" s="36"/>
      <c r="CD731" s="13"/>
      <c r="CE731" s="13"/>
      <c r="CF731" s="13"/>
      <c r="CG731" s="15"/>
      <c r="CH731" s="1"/>
      <c r="CI731" s="16"/>
      <c r="CJ731" s="54"/>
      <c r="CK731" s="13"/>
      <c r="CL731" s="13"/>
      <c r="CM731" s="13"/>
      <c r="CN731" s="5"/>
      <c r="CO731" s="13"/>
      <c r="CP731" s="36"/>
      <c r="CQ731" s="36"/>
      <c r="CR731" s="13"/>
      <c r="CS731" s="13"/>
      <c r="CT731" s="13"/>
      <c r="CU731" s="15"/>
      <c r="CV731" s="1"/>
      <c r="CW731" s="16"/>
      <c r="CX731" s="54"/>
      <c r="CY731" s="13"/>
      <c r="CZ731" s="13"/>
      <c r="DA731" s="13"/>
      <c r="DB731" s="5"/>
      <c r="DC731" s="13"/>
      <c r="DD731" s="36"/>
      <c r="DE731" s="36"/>
      <c r="DF731" s="13"/>
      <c r="DG731" s="13"/>
      <c r="DH731" s="13"/>
      <c r="DI731" s="15"/>
      <c r="DJ731" s="1"/>
      <c r="DK731" s="16"/>
      <c r="DL731" s="54"/>
      <c r="DM731" s="13"/>
      <c r="DN731" s="13"/>
      <c r="DO731" s="13"/>
      <c r="DP731" s="5"/>
      <c r="DQ731" s="13"/>
      <c r="DR731" s="36"/>
      <c r="DS731" s="36"/>
      <c r="DT731" s="13"/>
      <c r="DU731" s="13"/>
      <c r="DV731" s="13"/>
      <c r="DW731" s="15"/>
    </row>
    <row r="732" spans="1:127" ht="15" customHeight="1" x14ac:dyDescent="0.2">
      <c r="A732" s="95"/>
      <c r="B732" s="97"/>
      <c r="C732" s="98"/>
      <c r="D732" s="96"/>
      <c r="E732" s="5"/>
      <c r="F732" s="13"/>
      <c r="G732" s="5"/>
      <c r="H732" s="13"/>
      <c r="I732" s="13"/>
      <c r="J732" s="68"/>
      <c r="K732" s="82"/>
      <c r="L732" s="14"/>
      <c r="M732" s="14"/>
      <c r="N732" s="15"/>
      <c r="O732" s="2"/>
      <c r="P732" s="86"/>
      <c r="Q732" s="54"/>
      <c r="R732" s="13"/>
      <c r="S732" s="5"/>
      <c r="T732" s="13"/>
      <c r="U732" s="5"/>
      <c r="V732" s="13"/>
      <c r="W732" s="13"/>
      <c r="X732" s="52"/>
      <c r="Y732" s="82"/>
      <c r="Z732" s="14"/>
      <c r="AA732" s="14"/>
      <c r="AB732" s="15"/>
      <c r="AD732" s="86"/>
      <c r="AE732" s="54"/>
      <c r="AF732" s="13"/>
      <c r="AG732" s="5"/>
      <c r="AH732" s="13"/>
      <c r="AI732" s="5"/>
      <c r="AJ732" s="13"/>
      <c r="AK732" s="13"/>
      <c r="AL732" s="68"/>
      <c r="AM732" s="82"/>
      <c r="AN732" s="14"/>
      <c r="AO732" s="14"/>
      <c r="AP732" s="15"/>
      <c r="AQ732" s="2"/>
      <c r="AR732" s="86"/>
      <c r="AS732" s="54"/>
      <c r="AT732" s="13"/>
      <c r="AU732" s="5"/>
      <c r="AV732" s="13"/>
      <c r="AW732" s="5"/>
      <c r="AX732" s="13"/>
      <c r="AY732" s="13"/>
      <c r="AZ732" s="68"/>
      <c r="BA732" s="82"/>
      <c r="BB732" s="14"/>
      <c r="BC732" s="14"/>
      <c r="BD732" s="15"/>
      <c r="BU732" s="16"/>
      <c r="BV732" s="13"/>
      <c r="BW732" s="13"/>
      <c r="BX732" s="13"/>
      <c r="BY732" s="13"/>
      <c r="BZ732" s="5"/>
      <c r="CA732" s="13"/>
      <c r="CB732" s="36"/>
      <c r="CC732" s="36"/>
      <c r="CD732" s="13"/>
      <c r="CE732" s="13"/>
      <c r="CF732" s="13"/>
      <c r="CG732" s="15"/>
      <c r="CH732" s="1"/>
      <c r="CI732" s="16"/>
      <c r="CJ732" s="13"/>
      <c r="CK732" s="13"/>
      <c r="CL732" s="13"/>
      <c r="CM732" s="13"/>
      <c r="CN732" s="5"/>
      <c r="CO732" s="13"/>
      <c r="CP732" s="36"/>
      <c r="CQ732" s="36"/>
      <c r="CR732" s="13"/>
      <c r="CS732" s="13"/>
      <c r="CT732" s="13"/>
      <c r="CU732" s="15"/>
      <c r="CV732" s="1"/>
      <c r="CW732" s="16"/>
      <c r="CX732" s="13"/>
      <c r="CY732" s="13"/>
      <c r="CZ732" s="13"/>
      <c r="DA732" s="13"/>
      <c r="DB732" s="5"/>
      <c r="DC732" s="13"/>
      <c r="DD732" s="36"/>
      <c r="DE732" s="36"/>
      <c r="DF732" s="13"/>
      <c r="DG732" s="13"/>
      <c r="DH732" s="13"/>
      <c r="DI732" s="15"/>
      <c r="DJ732" s="1"/>
      <c r="DK732" s="16"/>
      <c r="DL732" s="13"/>
      <c r="DM732" s="13"/>
      <c r="DN732" s="13"/>
      <c r="DO732" s="13"/>
      <c r="DP732" s="5"/>
      <c r="DQ732" s="13"/>
      <c r="DR732" s="36"/>
      <c r="DS732" s="36"/>
      <c r="DT732" s="13"/>
      <c r="DU732" s="13"/>
      <c r="DV732" s="13"/>
      <c r="DW732" s="15"/>
    </row>
    <row r="733" spans="1:127" ht="15" customHeight="1" x14ac:dyDescent="0.2">
      <c r="A733" s="258" t="s">
        <v>28</v>
      </c>
      <c r="B733" s="260"/>
      <c r="C733" s="259"/>
      <c r="D733" s="38">
        <f>SUM(D669,D673,D677,D681,D685,D689,D693,D697,D701,D705,D709,D713,D717)*100</f>
        <v>127100</v>
      </c>
      <c r="E733" s="54"/>
      <c r="F733" s="13"/>
      <c r="G733" s="5">
        <f>D733/H733</f>
        <v>4382.7586206896549</v>
      </c>
      <c r="H733" s="38">
        <f>SUM(H669,H673,H677,H681,H685,H689,H694,H697,H701,H705,H709,H713,H717)</f>
        <v>29</v>
      </c>
      <c r="I733" s="13"/>
      <c r="J733" s="75" t="str">
        <f t="shared" ref="J733:K736" si="1113">J669</f>
        <v>ジャグラーサウンドボタン</v>
      </c>
      <c r="K733" s="76">
        <f t="shared" si="1113"/>
        <v>748</v>
      </c>
      <c r="L733" s="38">
        <f>SUM(L669,L673,L677,L681,L685,L689,L694,L697,L701,L705,L709,L713,L717)</f>
        <v>20108</v>
      </c>
      <c r="M733" s="36">
        <f>L733/D733</f>
        <v>0.15820613690007868</v>
      </c>
      <c r="N733" s="15"/>
      <c r="O733" s="2"/>
      <c r="P733" s="258" t="s">
        <v>28</v>
      </c>
      <c r="Q733" s="259"/>
      <c r="R733" s="38">
        <f>SUM(R669,R673,R677,R681,R685,R689,R694,R697,R701,R705,R709,R713,R717)*100</f>
        <v>70400</v>
      </c>
      <c r="S733" s="54"/>
      <c r="T733" s="13"/>
      <c r="U733" s="5">
        <f>R733/V733</f>
        <v>2133.3333333333335</v>
      </c>
      <c r="V733" s="38">
        <f>SUM(V669,V673,V677,V681,V685,V689,V694,V697,V701,V705,V709,V713,V717)</f>
        <v>33</v>
      </c>
      <c r="W733" s="13"/>
      <c r="X733" s="78" t="str">
        <f t="shared" ref="X733:Y736" si="1114">X669</f>
        <v>ジャグラーパネルKH</v>
      </c>
      <c r="Y733" s="76">
        <f t="shared" si="1114"/>
        <v>500</v>
      </c>
      <c r="Z733" s="38">
        <f>SUM(Z669,Z673,Z677,Z681,Z685,Z689,Z694,Z697,Z701,Z705,Z709,Z713,Z717)</f>
        <v>29100</v>
      </c>
      <c r="AA733" s="36">
        <f>Z733/R733</f>
        <v>0.41335227272727271</v>
      </c>
      <c r="AB733" s="15"/>
      <c r="AC733" s="23"/>
      <c r="AD733" s="258" t="s">
        <v>28</v>
      </c>
      <c r="AE733" s="259"/>
      <c r="AF733" s="38">
        <f>SUM(AF669,AF673,AF677,AF681,AF685,AF689,AF693,AF697,AF701,AF705,AF709,AF713,AF717)*100</f>
        <v>84500</v>
      </c>
      <c r="AG733" s="54"/>
      <c r="AH733" s="13"/>
      <c r="AI733" s="5">
        <f>AF733/AJ733</f>
        <v>1724.4897959183672</v>
      </c>
      <c r="AJ733" s="38">
        <f>SUM(AJ669,AJ673,AJ677,AJ681,AJ685,AJ689,AJ694,AJ697,AJ701,AJ705,AJ709,AJ713,AJ717)</f>
        <v>49</v>
      </c>
      <c r="AK733" s="13"/>
      <c r="AL733" s="75" t="str">
        <f t="shared" ref="AL733:AM736" si="1115">AL669</f>
        <v>ミニ香水</v>
      </c>
      <c r="AM733" s="76">
        <f t="shared" si="1115"/>
        <v>1100</v>
      </c>
      <c r="AN733" s="38">
        <f>SUM(AN669,AN673,AN677,AN681,AN685,AN689,AN694,AN697,AN701,AN705,AN709,AN713,AN717)</f>
        <v>33720</v>
      </c>
      <c r="AO733" s="36">
        <f>AN733/AF733</f>
        <v>0.39905325443786982</v>
      </c>
      <c r="AP733" s="15"/>
      <c r="AQ733" s="2"/>
      <c r="AR733" s="258" t="s">
        <v>28</v>
      </c>
      <c r="AS733" s="259"/>
      <c r="AT733" s="38">
        <f>SUM(AT669,AT673,AT677,AT681,AT685,AT689,AT694,AT697,AT701,AT705,AT709,AT713,AT717)*100</f>
        <v>94700</v>
      </c>
      <c r="AU733" s="54"/>
      <c r="AV733" s="13"/>
      <c r="AW733" s="5">
        <f>AT733/AX733</f>
        <v>6313.333333333333</v>
      </c>
      <c r="AX733" s="38">
        <f>SUM(AX669,AX673,AX677,AX681,AX685,AX689,AX694,AX697,AX701,AX705,AX709,AX713,AX717)</f>
        <v>15</v>
      </c>
      <c r="AY733" s="13"/>
      <c r="AZ733" s="75" t="str">
        <f t="shared" ref="AZ733:BA736" si="1116">AZ669</f>
        <v>こびとづかんキーケース</v>
      </c>
      <c r="BA733" s="76">
        <f t="shared" si="1116"/>
        <v>726</v>
      </c>
      <c r="BB733" s="38">
        <f>SUM(BB669,BB673,BB677,BB681,BB685,BB689,BB694,BB697,BB701,BB705,BB709,BB713,BB717)</f>
        <v>13008</v>
      </c>
      <c r="BC733" s="36">
        <f>BB733/AT733</f>
        <v>0.13736008447729672</v>
      </c>
      <c r="BD733" s="15"/>
      <c r="BU733" s="16"/>
      <c r="BV733" s="270"/>
      <c r="BW733" s="270"/>
      <c r="BX733" s="10"/>
      <c r="BY733" s="13"/>
      <c r="BZ733" s="5"/>
      <c r="CA733" s="13"/>
      <c r="CB733" s="36"/>
      <c r="CC733" s="36"/>
      <c r="CD733" s="13"/>
      <c r="CE733" s="13"/>
      <c r="CF733" s="13"/>
      <c r="CG733" s="15"/>
      <c r="CH733" s="1"/>
      <c r="CI733" s="16"/>
      <c r="CJ733" s="270"/>
      <c r="CK733" s="270"/>
      <c r="CL733" s="10"/>
      <c r="CM733" s="13"/>
      <c r="CN733" s="5"/>
      <c r="CO733" s="13"/>
      <c r="CP733" s="36"/>
      <c r="CQ733" s="36"/>
      <c r="CR733" s="13"/>
      <c r="CS733" s="13"/>
      <c r="CT733" s="13"/>
      <c r="CU733" s="15"/>
      <c r="CV733" s="1"/>
      <c r="CW733" s="16"/>
      <c r="CX733" s="270"/>
      <c r="CY733" s="270"/>
      <c r="CZ733" s="10"/>
      <c r="DA733" s="13"/>
      <c r="DB733" s="5"/>
      <c r="DC733" s="13"/>
      <c r="DD733" s="36"/>
      <c r="DE733" s="36"/>
      <c r="DF733" s="13"/>
      <c r="DG733" s="13"/>
      <c r="DH733" s="13"/>
      <c r="DI733" s="15"/>
      <c r="DJ733" s="1"/>
      <c r="DK733" s="16"/>
      <c r="DL733" s="270"/>
      <c r="DM733" s="270"/>
      <c r="DN733" s="10"/>
      <c r="DO733" s="13"/>
      <c r="DP733" s="5"/>
      <c r="DQ733" s="13"/>
      <c r="DR733" s="36"/>
      <c r="DS733" s="36"/>
      <c r="DT733" s="13"/>
      <c r="DU733" s="13"/>
      <c r="DV733" s="13"/>
      <c r="DW733" s="15"/>
    </row>
    <row r="734" spans="1:127" x14ac:dyDescent="0.2">
      <c r="A734" s="258" t="s">
        <v>28</v>
      </c>
      <c r="B734" s="260"/>
      <c r="C734" s="259"/>
      <c r="D734" s="38">
        <f>SUM(D670,D674,D678,D682,D686,D690,D694,D698,D702,D706,D710,D714,D718)*100</f>
        <v>84100</v>
      </c>
      <c r="E734" s="54"/>
      <c r="F734" s="13"/>
      <c r="G734" s="5">
        <f>D734/H734</f>
        <v>1617.3076923076924</v>
      </c>
      <c r="H734" s="38">
        <f>SUM(H670,H674,H678,H682,H686,H690,H693,H698,H702,H706,H710,H714,H718)</f>
        <v>52</v>
      </c>
      <c r="I734" s="13"/>
      <c r="J734" s="75" t="str">
        <f t="shared" si="1113"/>
        <v>ジャグラーイヤホン</v>
      </c>
      <c r="K734" s="76">
        <f t="shared" si="1113"/>
        <v>1100</v>
      </c>
      <c r="L734" s="38">
        <f>SUM(L670,L674,L678,L682,L686,L690,L693,L698,L702,L706,L710,L714,L718)</f>
        <v>15136</v>
      </c>
      <c r="M734" s="36">
        <f>L734/D734</f>
        <v>0.17997621878715814</v>
      </c>
      <c r="N734" s="15"/>
      <c r="O734" s="2"/>
      <c r="P734" s="258" t="s">
        <v>28</v>
      </c>
      <c r="Q734" s="259"/>
      <c r="R734" s="38">
        <f>SUM(R670,R674,R678,R682,R686,R690,R693,R698,R702,R706,R710,R714,R718)*100</f>
        <v>90200</v>
      </c>
      <c r="S734" s="54"/>
      <c r="T734" s="13"/>
      <c r="U734" s="5">
        <f>R734/V734</f>
        <v>2147.6190476190477</v>
      </c>
      <c r="V734" s="38">
        <f>SUM(V670,V674,V678,V682,V686,V690,V693,V698,V702,V706,V710,V714,V718)</f>
        <v>42</v>
      </c>
      <c r="W734" s="13"/>
      <c r="X734" s="78" t="str">
        <f t="shared" si="1114"/>
        <v>サンリオFAN</v>
      </c>
      <c r="Y734" s="76">
        <f t="shared" si="1114"/>
        <v>1100</v>
      </c>
      <c r="Z734" s="38">
        <f>SUM(Z670,Z674,Z678,Z682,Z686,Z690,Z693,Z698,Z702,Z706,Z710,Z714,Z718)</f>
        <v>46200</v>
      </c>
      <c r="AA734" s="36">
        <f>Z734/R734</f>
        <v>0.51219512195121952</v>
      </c>
      <c r="AB734" s="15"/>
      <c r="AC734" s="1"/>
      <c r="AD734" s="258" t="s">
        <v>28</v>
      </c>
      <c r="AE734" s="259"/>
      <c r="AF734" s="38">
        <f>SUM(AF670,AF674,AF678,AF682,AF686,AF690,AF694,AF698,AF702,AF706,AF710,AF714,AF718)*100</f>
        <v>76200</v>
      </c>
      <c r="AG734" s="54"/>
      <c r="AH734" s="13"/>
      <c r="AI734" s="5">
        <f>AF734/AJ734</f>
        <v>3463.6363636363635</v>
      </c>
      <c r="AJ734" s="38">
        <f>SUM(AJ670,AJ674,AJ678,AJ682,AJ686,AJ690,AJ693,AJ698,AJ702,AJ706,AJ710,AJ714,AJ718)</f>
        <v>22</v>
      </c>
      <c r="AK734" s="13"/>
      <c r="AL734" s="75" t="str">
        <f t="shared" si="1115"/>
        <v>デジタルミニカメラ</v>
      </c>
      <c r="AM734" s="76">
        <f t="shared" si="1115"/>
        <v>800</v>
      </c>
      <c r="AN734" s="38">
        <f>SUM(AN670,AN674,AN678,AN682,AN686,AN690,AN693,AN698,AN702,AN706,AN710,AN714,AN718)</f>
        <v>16200</v>
      </c>
      <c r="AO734" s="36">
        <f>AN734/AF734</f>
        <v>0.2125984251968504</v>
      </c>
      <c r="AP734" s="15"/>
      <c r="AQ734" s="2"/>
      <c r="AR734" s="258" t="s">
        <v>28</v>
      </c>
      <c r="AS734" s="259"/>
      <c r="AT734" s="38">
        <f>SUM(AT670,AT674,AT678,AT682,AT686,AT690,AT693,AT698,AT702,AT706,AT710,AT714,AT718)*100</f>
        <v>87600</v>
      </c>
      <c r="AU734" s="54"/>
      <c r="AV734" s="13"/>
      <c r="AW734" s="5">
        <f>AT734/AX734</f>
        <v>3504</v>
      </c>
      <c r="AX734" s="38">
        <f>SUM(AX670,AX674,AX678,AX682,AX686,AX690,AX693,AX698,AX702,AX706,AX710,AX714,AX718)</f>
        <v>25</v>
      </c>
      <c r="AY734" s="13"/>
      <c r="AZ734" s="75" t="str">
        <f t="shared" si="1116"/>
        <v>ねこアイシャドウ</v>
      </c>
      <c r="BA734" s="76">
        <f t="shared" si="1116"/>
        <v>1000</v>
      </c>
      <c r="BB734" s="38">
        <f>SUM(BB670,BB674,BB678,BB682,BB686,BB690,BB693,BB698,BB702,BB706,BB710,BB714,BB718)</f>
        <v>24178</v>
      </c>
      <c r="BC734" s="36">
        <f>BB734/AT734</f>
        <v>0.27600456621004565</v>
      </c>
      <c r="BD734" s="15"/>
      <c r="BU734" s="16"/>
      <c r="BV734" s="270"/>
      <c r="BW734" s="270"/>
      <c r="BX734" s="13"/>
      <c r="BY734" s="13"/>
      <c r="BZ734" s="5"/>
      <c r="CA734" s="13"/>
      <c r="CB734" s="36"/>
      <c r="CC734" s="36"/>
      <c r="CD734" s="14"/>
      <c r="CE734" s="14"/>
      <c r="CF734" s="14"/>
      <c r="CG734" s="15"/>
      <c r="CH734" s="1"/>
      <c r="CI734" s="16"/>
      <c r="CJ734" s="270"/>
      <c r="CK734" s="270"/>
      <c r="CL734" s="13"/>
      <c r="CM734" s="13"/>
      <c r="CN734" s="5"/>
      <c r="CO734" s="13"/>
      <c r="CP734" s="36"/>
      <c r="CQ734" s="36"/>
      <c r="CR734" s="14"/>
      <c r="CS734" s="14"/>
      <c r="CT734" s="14"/>
      <c r="CU734" s="15"/>
      <c r="CV734" s="1"/>
      <c r="CW734" s="16"/>
      <c r="CX734" s="270"/>
      <c r="CY734" s="270"/>
      <c r="CZ734" s="13"/>
      <c r="DA734" s="13"/>
      <c r="DB734" s="5"/>
      <c r="DC734" s="13"/>
      <c r="DD734" s="36"/>
      <c r="DE734" s="36"/>
      <c r="DF734" s="14"/>
      <c r="DG734" s="14"/>
      <c r="DH734" s="14"/>
      <c r="DI734" s="15"/>
      <c r="DJ734" s="1"/>
      <c r="DK734" s="16"/>
      <c r="DL734" s="270"/>
      <c r="DM734" s="270"/>
      <c r="DN734" s="13"/>
      <c r="DO734" s="13"/>
      <c r="DP734" s="5"/>
      <c r="DQ734" s="13"/>
      <c r="DR734" s="36"/>
      <c r="DS734" s="36"/>
      <c r="DT734" s="14"/>
      <c r="DU734" s="14"/>
      <c r="DV734" s="14"/>
      <c r="DW734" s="15"/>
    </row>
    <row r="735" spans="1:127" x14ac:dyDescent="0.2">
      <c r="A735" s="258" t="s">
        <v>28</v>
      </c>
      <c r="B735" s="260"/>
      <c r="C735" s="259"/>
      <c r="D735" s="38">
        <f>SUM(D671,D675,D679,D683,D687,D691,D695,D699,D703,D707,D711,D715,D719)*100</f>
        <v>305800</v>
      </c>
      <c r="E735" s="54"/>
      <c r="F735" s="13"/>
      <c r="G735" s="5">
        <f>D735/H735</f>
        <v>2025.1655629139073</v>
      </c>
      <c r="H735" s="38">
        <f>SUM(H671,H675,H679,H684,H687,H691,H695,H699,H703,H707,H711,H715,H719)</f>
        <v>151</v>
      </c>
      <c r="I735" s="13"/>
      <c r="J735" s="75" t="str">
        <f t="shared" si="1113"/>
        <v>AIモンスタラバー</v>
      </c>
      <c r="K735" s="76">
        <f t="shared" si="1113"/>
        <v>200</v>
      </c>
      <c r="L735" s="38">
        <f>SUM(L671,L675,L679,L684,L687,L691,L695,L699,L703,L707,L711,L715,L719)</f>
        <v>33574</v>
      </c>
      <c r="M735" s="36">
        <f>L735/D735</f>
        <v>0.10979071288423807</v>
      </c>
      <c r="N735" s="15"/>
      <c r="O735" s="2"/>
      <c r="P735" s="258" t="s">
        <v>28</v>
      </c>
      <c r="Q735" s="259"/>
      <c r="R735" s="38">
        <f>SUM(R671,R675,R679,R683,R687,R691,R695,R699,R703,R707,R711,R715,R719)*100</f>
        <v>125900</v>
      </c>
      <c r="S735" s="54"/>
      <c r="T735" s="13"/>
      <c r="U735" s="5">
        <f>R735/V735</f>
        <v>5995.2380952380954</v>
      </c>
      <c r="V735" s="38">
        <f>SUM(V671,V675,V679,V684,V687,V691,V695,V699,V703,V707,V711,V715,V719)</f>
        <v>21</v>
      </c>
      <c r="W735" s="13"/>
      <c r="X735" s="78" t="str">
        <f t="shared" si="1114"/>
        <v>キティフェイスポーチ</v>
      </c>
      <c r="Y735" s="76">
        <f t="shared" si="1114"/>
        <v>957</v>
      </c>
      <c r="Z735" s="38">
        <f>SUM(Z671,Z675,Z679,Z684,Z687,Z691,Z695,Z699,Z703,Z707,Z711,Z715,Z719)</f>
        <v>18084</v>
      </c>
      <c r="AA735" s="36">
        <f>Z735/R735</f>
        <v>0.14363780778395552</v>
      </c>
      <c r="AB735" s="15"/>
      <c r="AC735" s="1"/>
      <c r="AD735" s="258" t="s">
        <v>28</v>
      </c>
      <c r="AE735" s="259"/>
      <c r="AF735" s="38">
        <f>SUM(AF671,AF675,AF679,AF683,AF687,AF691,AF695,AF699,AF703,AF707,AF711,AF715,AF719)*100</f>
        <v>79400</v>
      </c>
      <c r="AG735" s="54"/>
      <c r="AH735" s="13"/>
      <c r="AI735" s="5">
        <f>AF735/AJ735</f>
        <v>3609.090909090909</v>
      </c>
      <c r="AJ735" s="38">
        <f>SUM(AJ671,AJ675,AJ679,AJ684,AJ687,AJ691,AJ695,AJ699,AJ703,AJ707,AJ711,AJ715,AJ719)</f>
        <v>22</v>
      </c>
      <c r="AK735" s="13"/>
      <c r="AL735" s="75" t="str">
        <f t="shared" si="1115"/>
        <v>ジョージファン</v>
      </c>
      <c r="AM735" s="76">
        <f t="shared" si="1115"/>
        <v>1050</v>
      </c>
      <c r="AN735" s="38">
        <f>SUM(AN671,AN675,AN679,AN684,AN687,AN691,AN695,AN699,AN703,AN707,AN711,AN715,AN719)</f>
        <v>20452</v>
      </c>
      <c r="AO735" s="36">
        <f>AN735/AF735</f>
        <v>0.25758186397984889</v>
      </c>
      <c r="AP735" s="15"/>
      <c r="AQ735" s="2"/>
      <c r="AR735" s="258" t="s">
        <v>28</v>
      </c>
      <c r="AS735" s="259"/>
      <c r="AT735" s="38">
        <f>SUM(AT671,AT675,AT679,AT683,AT687,AT691,AT695,AT699,AT703,AT707,AT711,AT715,AT719)*100</f>
        <v>106000</v>
      </c>
      <c r="AU735" s="54"/>
      <c r="AV735" s="13"/>
      <c r="AW735" s="5">
        <f>AT735/AX735</f>
        <v>1582.0895522388059</v>
      </c>
      <c r="AX735" s="38">
        <f>SUM(AX671,AX675,AX679,AX684,AX687,AX691,AX695,AX699,AX703,AX707,AX711,AX715,AX719)</f>
        <v>67</v>
      </c>
      <c r="AY735" s="13"/>
      <c r="AZ735" s="75" t="str">
        <f t="shared" si="1116"/>
        <v>SPGラバーキーホルダー</v>
      </c>
      <c r="BA735" s="76">
        <f t="shared" si="1116"/>
        <v>200</v>
      </c>
      <c r="BB735" s="38">
        <f>SUM(BB671,BB675,BB679,BB684,BB687,BB691,BB695,BB699,BB703,BB707,BB711,BB715,BB719)</f>
        <v>17256</v>
      </c>
      <c r="BC735" s="36">
        <f>BB735/AT735</f>
        <v>0.16279245283018867</v>
      </c>
      <c r="BD735" s="15"/>
      <c r="BU735" s="16"/>
      <c r="BV735" s="270"/>
      <c r="BW735" s="270"/>
      <c r="BX735" s="36"/>
      <c r="BY735" s="13"/>
      <c r="BZ735" s="5"/>
      <c r="CA735" s="13"/>
      <c r="CB735" s="36"/>
      <c r="CC735" s="36"/>
      <c r="CD735" s="14"/>
      <c r="CE735" s="14"/>
      <c r="CF735" s="14"/>
      <c r="CG735" s="15"/>
      <c r="CH735" s="1"/>
      <c r="CI735" s="16"/>
      <c r="CJ735" s="270"/>
      <c r="CK735" s="270"/>
      <c r="CL735" s="36"/>
      <c r="CM735" s="13"/>
      <c r="CN735" s="5"/>
      <c r="CO735" s="13"/>
      <c r="CP735" s="36"/>
      <c r="CQ735" s="36"/>
      <c r="CR735" s="14"/>
      <c r="CS735" s="14"/>
      <c r="CT735" s="14"/>
      <c r="CU735" s="15"/>
      <c r="CV735" s="1"/>
      <c r="CW735" s="16"/>
      <c r="CX735" s="270"/>
      <c r="CY735" s="270"/>
      <c r="CZ735" s="36"/>
      <c r="DA735" s="13"/>
      <c r="DB735" s="5"/>
      <c r="DC735" s="13"/>
      <c r="DD735" s="36"/>
      <c r="DE735" s="36"/>
      <c r="DF735" s="14"/>
      <c r="DG735" s="14"/>
      <c r="DH735" s="14"/>
      <c r="DI735" s="15"/>
      <c r="DJ735" s="1"/>
      <c r="DK735" s="16"/>
      <c r="DL735" s="270"/>
      <c r="DM735" s="270"/>
      <c r="DN735" s="36"/>
      <c r="DO735" s="13"/>
      <c r="DP735" s="5"/>
      <c r="DQ735" s="13"/>
      <c r="DR735" s="36"/>
      <c r="DS735" s="36"/>
      <c r="DT735" s="14"/>
      <c r="DU735" s="14"/>
      <c r="DV735" s="14"/>
      <c r="DW735" s="15"/>
    </row>
    <row r="736" spans="1:127" x14ac:dyDescent="0.2">
      <c r="A736" s="258" t="s">
        <v>28</v>
      </c>
      <c r="B736" s="260"/>
      <c r="C736" s="259"/>
      <c r="D736" s="38">
        <f>SUM(D672,D676,D680,D684,D688,D692,D696,D700,D704,D708,D712,D716,D720)*100</f>
        <v>144200</v>
      </c>
      <c r="E736" s="54"/>
      <c r="F736" s="13"/>
      <c r="G736" s="5">
        <f>D736/H736</f>
        <v>1848.7179487179487</v>
      </c>
      <c r="H736" s="38">
        <f>SUM(H672,H676,H680,H683,H688,H692,H696,H700,H704,H708,H712,H716,H720)</f>
        <v>78</v>
      </c>
      <c r="I736" s="13"/>
      <c r="J736" s="75" t="str">
        <f t="shared" si="1113"/>
        <v>NICIマスコット</v>
      </c>
      <c r="K736" s="76">
        <f t="shared" si="1113"/>
        <v>682</v>
      </c>
      <c r="L736" s="38">
        <f>SUM(L672,L676,L680,L683,L688,L692,L696,L700,L704,L708,L712,L716,L720)</f>
        <v>47412</v>
      </c>
      <c r="M736" s="36">
        <f>L736/D736</f>
        <v>0.32879334257975035</v>
      </c>
      <c r="N736" s="15"/>
      <c r="O736" s="2"/>
      <c r="P736" s="258" t="s">
        <v>28</v>
      </c>
      <c r="Q736" s="259"/>
      <c r="R736" s="38">
        <f>SUM(R672,R676,R680,R684,R688,R692,R696,R700,R704,R708,R712,R716,R720)*100</f>
        <v>266500</v>
      </c>
      <c r="S736" s="54"/>
      <c r="T736" s="13"/>
      <c r="U736" s="5">
        <f>R736/V736</f>
        <v>4675.4385964912281</v>
      </c>
      <c r="V736" s="38">
        <f>SUM(V672,V676,V680,V683,V688,V692,V696,V700,V704,V708,V712,V716,V720)</f>
        <v>57</v>
      </c>
      <c r="W736" s="13"/>
      <c r="X736" s="78" t="str">
        <f t="shared" si="1114"/>
        <v>ＡＩマスコット</v>
      </c>
      <c r="Y736" s="76">
        <f t="shared" si="1114"/>
        <v>286</v>
      </c>
      <c r="Z736" s="38">
        <f>SUM(Z672,Z676,Z680,Z683,Z688,Z692,Z696,Z700,Z704,Z708,Z712,Z716,Z720)</f>
        <v>18315</v>
      </c>
      <c r="AA736" s="36">
        <f>Z736/R736</f>
        <v>6.8724202626641653E-2</v>
      </c>
      <c r="AB736" s="15"/>
      <c r="AC736" s="1"/>
      <c r="AD736" s="258" t="s">
        <v>28</v>
      </c>
      <c r="AE736" s="259"/>
      <c r="AF736" s="38">
        <f>SUM(AF672,AF676,AF680,AF684,AF688,AF692,AF696,AF700,AF704,AF708,AF712,AF716,AF720)*100</f>
        <v>181100</v>
      </c>
      <c r="AG736" s="54"/>
      <c r="AH736" s="13"/>
      <c r="AI736" s="5">
        <f>AF736/AJ736</f>
        <v>4417.0731707317073</v>
      </c>
      <c r="AJ736" s="38">
        <f>SUM(AJ672,AJ676,AJ680,AJ683,AJ688,AJ692,AJ696,AJ700,AJ704,AJ708,AJ712,AJ716,AJ720)</f>
        <v>41</v>
      </c>
      <c r="AK736" s="13"/>
      <c r="AL736" s="75" t="str">
        <f t="shared" si="1115"/>
        <v>ミニクレーンコンパネ</v>
      </c>
      <c r="AM736" s="76">
        <f t="shared" si="1115"/>
        <v>710</v>
      </c>
      <c r="AN736" s="38">
        <f>SUM(AN672,AN676,AN680,AN683,AN688,AN692,AN696,AN700,AN704,AN708,AN712,AN716,AN720)</f>
        <v>22692</v>
      </c>
      <c r="AO736" s="36">
        <f>AN736/AF736</f>
        <v>0.12530093870789619</v>
      </c>
      <c r="AP736" s="15"/>
      <c r="AQ736" s="2"/>
      <c r="AR736" s="258" t="s">
        <v>28</v>
      </c>
      <c r="AS736" s="259"/>
      <c r="AT736" s="38">
        <f>SUM(AT672,AT676,AT680,AT684,AT688,AT692,AT696,AT700,AT704,AT708,AT712,AT716,AT720)*100</f>
        <v>122900</v>
      </c>
      <c r="AU736" s="54"/>
      <c r="AV736" s="13"/>
      <c r="AW736" s="5">
        <f>AT736/AX736</f>
        <v>2363.4615384615386</v>
      </c>
      <c r="AX736" s="38">
        <f>SUM(AX672,AX676,AX680,AX683,AX688,AX692,AX696,AX700,AX704,AX708,AX712,AX716,AX720)</f>
        <v>52</v>
      </c>
      <c r="AY736" s="13"/>
      <c r="AZ736" s="75" t="str">
        <f t="shared" si="1116"/>
        <v>キティサンダルキーホルダー</v>
      </c>
      <c r="BA736" s="76">
        <f t="shared" si="1116"/>
        <v>600</v>
      </c>
      <c r="BB736" s="38">
        <f>SUM(BB672,BB676,BB680,BB683,BB688,BB692,BB696,BB700,BB704,BB708,BB712,BB716,BB720)</f>
        <v>27200</v>
      </c>
      <c r="BC736" s="36">
        <f>BB736/AT736</f>
        <v>0.22131814483319773</v>
      </c>
      <c r="BD736" s="15"/>
      <c r="BU736" s="40"/>
      <c r="BV736" s="3"/>
      <c r="BW736" s="2"/>
      <c r="BX736" s="41"/>
      <c r="BY736" s="1"/>
      <c r="BZ736" s="3"/>
      <c r="CA736" s="1"/>
      <c r="CB736" s="23"/>
      <c r="CC736" s="23"/>
      <c r="CD736" s="23"/>
      <c r="CE736" s="23"/>
      <c r="CF736" s="23"/>
      <c r="CG736" s="18"/>
      <c r="CH736" s="1"/>
      <c r="CI736" s="40"/>
      <c r="CJ736" s="3"/>
      <c r="CK736" s="2"/>
      <c r="CL736" s="41"/>
      <c r="CM736" s="1"/>
      <c r="CN736" s="3"/>
      <c r="CO736" s="1"/>
      <c r="CP736" s="23"/>
      <c r="CQ736" s="23"/>
      <c r="CR736" s="23"/>
      <c r="CS736" s="23"/>
      <c r="CT736" s="23"/>
      <c r="CU736" s="18"/>
      <c r="CV736" s="1"/>
      <c r="CW736" s="40"/>
      <c r="CX736" s="3"/>
      <c r="CY736" s="2"/>
      <c r="CZ736" s="41"/>
      <c r="DA736" s="1"/>
      <c r="DB736" s="3"/>
      <c r="DC736" s="1"/>
      <c r="DD736" s="23"/>
      <c r="DE736" s="23"/>
      <c r="DF736" s="23"/>
      <c r="DG736" s="23"/>
      <c r="DH736" s="23"/>
      <c r="DI736" s="18"/>
      <c r="DJ736" s="1"/>
      <c r="DK736" s="40"/>
      <c r="DL736" s="3"/>
      <c r="DM736" s="2"/>
      <c r="DN736" s="41"/>
      <c r="DO736" s="1"/>
      <c r="DP736" s="3"/>
      <c r="DQ736" s="1"/>
      <c r="DR736" s="23"/>
      <c r="DS736" s="23"/>
      <c r="DT736" s="23"/>
      <c r="DU736" s="23"/>
      <c r="DV736" s="23"/>
      <c r="DW736" s="18"/>
    </row>
    <row r="737" spans="1:127" x14ac:dyDescent="0.2">
      <c r="A737" s="16"/>
      <c r="B737" s="11"/>
      <c r="C737" s="5" t="s">
        <v>19</v>
      </c>
      <c r="D737" s="13">
        <f>SUM(D733:D736)</f>
        <v>661200</v>
      </c>
      <c r="E737" s="13"/>
      <c r="F737" s="13"/>
      <c r="G737" s="13"/>
      <c r="H737" s="13">
        <f>SUM(H733:H736)</f>
        <v>310</v>
      </c>
      <c r="I737" s="13"/>
      <c r="J737" s="262" t="s">
        <v>31</v>
      </c>
      <c r="K737" s="259"/>
      <c r="L737" s="53">
        <f>SUM(L733:L736)</f>
        <v>116230</v>
      </c>
      <c r="M737" s="83">
        <f>L737/D737</f>
        <v>0.17578644888082276</v>
      </c>
      <c r="N737" s="84"/>
      <c r="O737" s="2"/>
      <c r="P737" s="16"/>
      <c r="Q737" s="5" t="s">
        <v>19</v>
      </c>
      <c r="R737" s="13">
        <f>SUM(R733:R736)</f>
        <v>553000</v>
      </c>
      <c r="S737" s="54"/>
      <c r="T737" s="13"/>
      <c r="U737" s="13"/>
      <c r="V737" s="13">
        <f>SUM(V733:V736)</f>
        <v>153</v>
      </c>
      <c r="W737" s="13"/>
      <c r="X737" s="262" t="s">
        <v>31</v>
      </c>
      <c r="Y737" s="259"/>
      <c r="Z737" s="53">
        <f>SUM(Z733:Z736)</f>
        <v>111699</v>
      </c>
      <c r="AA737" s="83">
        <f>Z737/R737</f>
        <v>0.20198734177215188</v>
      </c>
      <c r="AB737" s="84"/>
      <c r="AC737" s="1"/>
      <c r="AD737" s="16"/>
      <c r="AE737" s="5" t="s">
        <v>19</v>
      </c>
      <c r="AF737" s="13">
        <f>SUM(AF733:AF736)</f>
        <v>421200</v>
      </c>
      <c r="AG737" s="54"/>
      <c r="AH737" s="13"/>
      <c r="AI737" s="13"/>
      <c r="AJ737" s="13">
        <f>SUM(AJ733:AJ736)</f>
        <v>134</v>
      </c>
      <c r="AK737" s="13"/>
      <c r="AL737" s="262" t="s">
        <v>31</v>
      </c>
      <c r="AM737" s="259"/>
      <c r="AN737" s="53">
        <f>SUM(AN733:AN736)</f>
        <v>93064</v>
      </c>
      <c r="AO737" s="83">
        <f>AN737/AF737</f>
        <v>0.22094966761633428</v>
      </c>
      <c r="AP737" s="84"/>
      <c r="AQ737" s="2"/>
      <c r="AR737" s="16"/>
      <c r="AS737" s="5" t="s">
        <v>19</v>
      </c>
      <c r="AT737" s="13">
        <f>SUM(AT733:AT736)</f>
        <v>411200</v>
      </c>
      <c r="AU737" s="54"/>
      <c r="AV737" s="13"/>
      <c r="AW737" s="13"/>
      <c r="AX737" s="13">
        <f>SUM(AX733:AX736)</f>
        <v>159</v>
      </c>
      <c r="AY737" s="13"/>
      <c r="AZ737" s="262" t="s">
        <v>31</v>
      </c>
      <c r="BA737" s="259"/>
      <c r="BB737" s="53">
        <f>SUM(BB733:BB736)</f>
        <v>81642</v>
      </c>
      <c r="BC737" s="83">
        <f>BB737/AT737</f>
        <v>0.19854571984435798</v>
      </c>
      <c r="BD737" s="84"/>
      <c r="BU737" s="42"/>
      <c r="BV737" s="256"/>
      <c r="BW737" s="256"/>
      <c r="BX737" s="41"/>
      <c r="BY737" s="1"/>
      <c r="BZ737" s="3"/>
      <c r="CA737" s="1"/>
      <c r="CB737" s="23"/>
      <c r="CC737" s="23"/>
      <c r="CD737" s="23"/>
      <c r="CE737" s="23"/>
      <c r="CF737" s="23"/>
      <c r="CG737" s="18"/>
      <c r="CH737" s="1"/>
      <c r="CI737" s="42"/>
      <c r="CJ737" s="256"/>
      <c r="CK737" s="256"/>
      <c r="CL737" s="41"/>
      <c r="CM737" s="1"/>
      <c r="CN737" s="3"/>
      <c r="CO737" s="1"/>
      <c r="CP737" s="23"/>
      <c r="CQ737" s="23"/>
      <c r="CR737" s="23"/>
      <c r="CS737" s="23"/>
      <c r="CT737" s="23"/>
      <c r="CU737" s="18"/>
      <c r="CV737" s="1"/>
      <c r="CW737" s="42"/>
      <c r="CX737" s="256"/>
      <c r="CY737" s="256"/>
      <c r="CZ737" s="41"/>
      <c r="DA737" s="1"/>
      <c r="DB737" s="3"/>
      <c r="DC737" s="1"/>
      <c r="DD737" s="23"/>
      <c r="DE737" s="23"/>
      <c r="DF737" s="23"/>
      <c r="DG737" s="23"/>
      <c r="DH737" s="23"/>
      <c r="DI737" s="18"/>
      <c r="DJ737" s="1"/>
      <c r="DK737" s="42"/>
      <c r="DL737" s="256"/>
      <c r="DM737" s="256"/>
      <c r="DN737" s="41"/>
      <c r="DO737" s="1"/>
      <c r="DP737" s="3"/>
      <c r="DQ737" s="1"/>
      <c r="DR737" s="23"/>
      <c r="DS737" s="23"/>
      <c r="DT737" s="23"/>
      <c r="DU737" s="23"/>
      <c r="DV737" s="23"/>
      <c r="DW737" s="18"/>
    </row>
    <row r="738" spans="1:127" x14ac:dyDescent="0.2">
      <c r="A738" s="85"/>
      <c r="B738" s="101"/>
      <c r="C738" s="35"/>
      <c r="D738" s="54"/>
      <c r="E738" s="24"/>
      <c r="F738" s="54"/>
      <c r="G738" s="5"/>
      <c r="H738" s="13"/>
      <c r="I738" s="24"/>
      <c r="J738" s="99"/>
      <c r="K738" s="100"/>
      <c r="L738" s="76"/>
      <c r="M738" s="14"/>
      <c r="N738" s="15"/>
      <c r="O738" s="2"/>
      <c r="P738" s="79"/>
      <c r="Q738" s="5"/>
      <c r="R738" s="13"/>
      <c r="S738" s="13"/>
      <c r="T738" s="13"/>
      <c r="U738" s="5"/>
      <c r="V738" s="13"/>
      <c r="W738" s="24"/>
      <c r="X738" s="99"/>
      <c r="Y738" s="100"/>
      <c r="Z738" s="76"/>
      <c r="AA738" s="14"/>
      <c r="AB738" s="15"/>
      <c r="AD738" s="79"/>
      <c r="AE738" s="5"/>
      <c r="AF738" s="13"/>
      <c r="AG738" s="13"/>
      <c r="AH738" s="13"/>
      <c r="AI738" s="5"/>
      <c r="AJ738" s="13"/>
      <c r="AK738" s="24"/>
      <c r="AL738" s="99"/>
      <c r="AM738" s="100"/>
      <c r="AN738" s="76"/>
      <c r="AO738" s="14"/>
      <c r="AP738" s="15"/>
      <c r="AQ738" s="2"/>
      <c r="AR738" s="79"/>
      <c r="AS738" s="5"/>
      <c r="AT738" s="13"/>
      <c r="AU738" s="13"/>
      <c r="AV738" s="13"/>
      <c r="AW738" s="5"/>
      <c r="AX738" s="13"/>
      <c r="AY738" s="24"/>
      <c r="AZ738" s="118"/>
      <c r="BA738" s="100"/>
      <c r="BB738" s="76"/>
      <c r="BC738" s="14"/>
      <c r="BD738" s="15"/>
      <c r="BU738" s="42"/>
      <c r="BV738" s="3"/>
      <c r="BX738" s="41"/>
      <c r="BY738" s="1"/>
      <c r="BZ738" s="3"/>
      <c r="CA738" s="1"/>
      <c r="CB738" s="23"/>
      <c r="CC738" s="23"/>
      <c r="CD738" s="23"/>
      <c r="CE738" s="23"/>
      <c r="CF738" s="23"/>
      <c r="CG738" s="18"/>
      <c r="CH738" s="1"/>
      <c r="CI738" s="42"/>
      <c r="CJ738" s="3"/>
      <c r="CL738" s="41"/>
      <c r="CM738" s="1"/>
      <c r="CN738" s="3"/>
      <c r="CO738" s="1"/>
      <c r="CP738" s="23"/>
      <c r="CQ738" s="23"/>
      <c r="CR738" s="23"/>
      <c r="CS738" s="23"/>
      <c r="CT738" s="23"/>
      <c r="CU738" s="18"/>
      <c r="CV738" s="1"/>
      <c r="CW738" s="42"/>
      <c r="CX738" s="3"/>
      <c r="CZ738" s="41"/>
      <c r="DA738" s="1"/>
      <c r="DB738" s="3"/>
      <c r="DC738" s="1"/>
      <c r="DD738" s="23"/>
      <c r="DE738" s="23"/>
      <c r="DF738" s="23"/>
      <c r="DG738" s="23"/>
      <c r="DH738" s="23"/>
      <c r="DI738" s="18"/>
      <c r="DJ738" s="1"/>
      <c r="DK738" s="42"/>
      <c r="DL738" s="3"/>
      <c r="DN738" s="41"/>
      <c r="DO738" s="1"/>
      <c r="DP738" s="3"/>
      <c r="DQ738" s="1"/>
      <c r="DR738" s="23"/>
      <c r="DS738" s="23"/>
      <c r="DT738" s="23"/>
      <c r="DU738" s="23"/>
      <c r="DV738" s="23"/>
      <c r="DW738" s="18"/>
    </row>
    <row r="739" spans="1:127" x14ac:dyDescent="0.2">
      <c r="A739" s="257"/>
      <c r="B739" s="257"/>
      <c r="C739" s="257"/>
      <c r="D739" s="257"/>
      <c r="E739" s="257"/>
      <c r="F739" s="257"/>
      <c r="BU739" s="40"/>
      <c r="BV739" s="256"/>
      <c r="BW739" s="256"/>
      <c r="BX739" s="41"/>
      <c r="BY739" s="1"/>
      <c r="BZ739" s="3"/>
      <c r="CA739" s="1"/>
      <c r="CB739" s="23"/>
      <c r="CC739" s="23"/>
      <c r="CD739" s="23"/>
      <c r="CE739" s="23"/>
      <c r="CF739" s="23"/>
      <c r="CG739" s="18"/>
      <c r="CH739" s="1"/>
      <c r="CI739" s="40"/>
      <c r="CJ739" s="256"/>
      <c r="CK739" s="256"/>
      <c r="CL739" s="41"/>
      <c r="CM739" s="1"/>
      <c r="CN739" s="3"/>
      <c r="CO739" s="1"/>
      <c r="CP739" s="23"/>
      <c r="CQ739" s="23"/>
      <c r="CR739" s="23"/>
      <c r="CS739" s="23"/>
      <c r="CT739" s="23"/>
      <c r="CU739" s="18"/>
      <c r="CV739" s="1"/>
      <c r="CW739" s="40"/>
      <c r="CX739" s="256"/>
      <c r="CY739" s="256"/>
      <c r="CZ739" s="41"/>
      <c r="DA739" s="1"/>
      <c r="DB739" s="3"/>
      <c r="DC739" s="1"/>
      <c r="DD739" s="23"/>
      <c r="DE739" s="23"/>
      <c r="DF739" s="23"/>
      <c r="DG739" s="23"/>
      <c r="DH739" s="23"/>
      <c r="DI739" s="18"/>
      <c r="DJ739" s="1"/>
      <c r="DK739" s="40"/>
      <c r="DL739" s="256"/>
      <c r="DM739" s="256"/>
      <c r="DN739" s="41"/>
      <c r="DO739" s="1"/>
      <c r="DP739" s="3"/>
      <c r="DQ739" s="1"/>
      <c r="DR739" s="23"/>
      <c r="DS739" s="23"/>
      <c r="DT739" s="23"/>
      <c r="DU739" s="23"/>
      <c r="DV739" s="23"/>
      <c r="DW739" s="18"/>
    </row>
    <row r="740" spans="1:127" ht="15" customHeight="1" x14ac:dyDescent="0.2">
      <c r="A740" s="257"/>
      <c r="B740" s="257"/>
      <c r="J740"/>
      <c r="BU740" s="40"/>
      <c r="BV740" s="3"/>
      <c r="BX740" s="41"/>
      <c r="BY740" s="1"/>
      <c r="BZ740" s="3"/>
      <c r="CA740" s="1"/>
      <c r="CB740" s="23"/>
      <c r="CC740" s="23"/>
      <c r="CD740" s="23"/>
      <c r="CE740" s="23"/>
      <c r="CF740" s="23"/>
      <c r="CG740" s="18"/>
      <c r="CH740" s="1"/>
      <c r="CI740" s="40"/>
      <c r="CJ740" s="3"/>
      <c r="CL740" s="41"/>
      <c r="CM740" s="1"/>
      <c r="CN740" s="3"/>
      <c r="CO740" s="1"/>
      <c r="CP740" s="23"/>
      <c r="CQ740" s="23"/>
      <c r="CR740" s="23"/>
      <c r="CS740" s="23"/>
      <c r="CT740" s="23"/>
      <c r="CU740" s="18"/>
      <c r="CV740" s="1"/>
      <c r="CW740" s="40"/>
      <c r="CX740" s="3"/>
      <c r="CZ740" s="41"/>
      <c r="DA740" s="1"/>
      <c r="DB740" s="3"/>
      <c r="DC740" s="1"/>
      <c r="DD740" s="23"/>
      <c r="DE740" s="23"/>
      <c r="DF740" s="23"/>
      <c r="DG740" s="23"/>
      <c r="DH740" s="23"/>
      <c r="DI740" s="18"/>
      <c r="DJ740" s="1"/>
      <c r="DK740" s="40"/>
      <c r="DL740" s="3"/>
      <c r="DN740" s="41"/>
      <c r="DO740" s="1"/>
      <c r="DP740" s="3"/>
      <c r="DQ740" s="1"/>
      <c r="DR740" s="23"/>
      <c r="DS740" s="23"/>
      <c r="DT740" s="23"/>
      <c r="DU740" s="23"/>
      <c r="DV740" s="23"/>
      <c r="DW740" s="18"/>
    </row>
    <row r="741" spans="1:127" x14ac:dyDescent="0.2">
      <c r="A741" s="276" t="s">
        <v>42</v>
      </c>
      <c r="B741" s="276"/>
      <c r="C741" s="276"/>
      <c r="D741" s="276"/>
      <c r="E741" s="70" t="s">
        <v>56</v>
      </c>
      <c r="F741" s="70"/>
      <c r="G741" s="70"/>
      <c r="H741" s="70"/>
      <c r="I741" s="70"/>
      <c r="J741" s="71"/>
      <c r="K741" s="70"/>
      <c r="L741" s="70"/>
      <c r="M741" s="70"/>
      <c r="N741" s="72"/>
      <c r="O741" s="2"/>
      <c r="P741" s="276" t="s">
        <v>43</v>
      </c>
      <c r="Q741" s="276"/>
      <c r="R741" s="276"/>
      <c r="S741" s="70" t="s">
        <v>55</v>
      </c>
      <c r="T741" s="70"/>
      <c r="U741" s="70"/>
      <c r="V741" s="70"/>
      <c r="W741" s="70"/>
      <c r="X741" s="73"/>
      <c r="Y741" s="70"/>
      <c r="Z741" s="70"/>
      <c r="AA741" s="70"/>
      <c r="AB741" s="72"/>
      <c r="AC741" s="1"/>
      <c r="AD741" s="276" t="s">
        <v>54</v>
      </c>
      <c r="AE741" s="276"/>
      <c r="AF741" s="276"/>
      <c r="AG741" s="70" t="s">
        <v>52</v>
      </c>
      <c r="AH741" s="70"/>
      <c r="AI741" s="70"/>
      <c r="AJ741" s="70"/>
      <c r="AK741" s="70"/>
      <c r="AL741" s="71"/>
      <c r="AM741" s="70"/>
      <c r="AN741" s="70"/>
      <c r="AO741" s="70"/>
      <c r="AP741" s="72"/>
      <c r="AQ741" s="2"/>
      <c r="AR741" s="276" t="s">
        <v>54</v>
      </c>
      <c r="AS741" s="276"/>
      <c r="AT741" s="276"/>
      <c r="AU741" s="70" t="s">
        <v>53</v>
      </c>
      <c r="AV741" s="70"/>
      <c r="AW741" s="70"/>
      <c r="AX741" s="70"/>
      <c r="AY741" s="70"/>
      <c r="AZ741" s="71"/>
      <c r="BA741" s="70"/>
      <c r="BB741" s="70"/>
      <c r="BC741" s="70"/>
      <c r="BD741" s="72"/>
      <c r="BU741" s="124"/>
      <c r="BV741" s="277" t="s">
        <v>137</v>
      </c>
      <c r="BW741" s="278"/>
      <c r="BX741" s="278"/>
      <c r="BY741" s="278"/>
      <c r="BZ741" s="125"/>
      <c r="CA741" s="125"/>
      <c r="CB741" s="125"/>
      <c r="CC741" s="125"/>
      <c r="CD741" s="125"/>
      <c r="CE741" s="125"/>
      <c r="CF741" s="125"/>
      <c r="CG741" s="125"/>
      <c r="CH741" s="125"/>
      <c r="CI741" s="124"/>
      <c r="CJ741" s="277" t="s">
        <v>138</v>
      </c>
      <c r="CK741" s="278"/>
      <c r="CL741" s="278"/>
      <c r="CM741" s="278"/>
      <c r="CN741" s="125"/>
      <c r="CO741" s="125"/>
      <c r="CP741" s="125"/>
      <c r="CQ741" s="125"/>
      <c r="CR741" s="125"/>
      <c r="CS741" s="125"/>
      <c r="CT741" s="125"/>
      <c r="CU741" s="125"/>
      <c r="CV741" s="125"/>
      <c r="CW741" s="124"/>
      <c r="CX741" s="277" t="s">
        <v>139</v>
      </c>
      <c r="CY741" s="278"/>
      <c r="CZ741" s="278"/>
      <c r="DA741" s="278"/>
      <c r="DB741" s="125"/>
      <c r="DC741" s="125"/>
      <c r="DD741" s="125"/>
      <c r="DE741" s="125"/>
      <c r="DF741" s="125"/>
      <c r="DG741" s="125"/>
      <c r="DH741" s="125"/>
      <c r="DI741" s="125"/>
      <c r="DJ741" s="125"/>
      <c r="DK741" s="124"/>
      <c r="DL741" s="277" t="s">
        <v>140</v>
      </c>
      <c r="DM741" s="278"/>
      <c r="DN741" s="278"/>
      <c r="DO741" s="278"/>
      <c r="DP741" s="125"/>
      <c r="DQ741" s="125"/>
      <c r="DR741" s="125"/>
      <c r="DS741" s="125"/>
      <c r="DT741" s="125"/>
      <c r="DU741" s="125"/>
      <c r="DV741" s="125"/>
      <c r="DW741" s="125"/>
    </row>
    <row r="742" spans="1:127" x14ac:dyDescent="0.2">
      <c r="A742" s="7" t="s">
        <v>1</v>
      </c>
      <c r="B742" s="4" t="s">
        <v>19</v>
      </c>
      <c r="C742" s="5" t="s">
        <v>2</v>
      </c>
      <c r="D742" s="5" t="s">
        <v>3</v>
      </c>
      <c r="E742" s="6" t="s">
        <v>4</v>
      </c>
      <c r="F742" s="5" t="s">
        <v>3</v>
      </c>
      <c r="G742" s="5" t="s">
        <v>5</v>
      </c>
      <c r="H742" s="5" t="s">
        <v>6</v>
      </c>
      <c r="I742" s="5" t="s">
        <v>7</v>
      </c>
      <c r="J742" s="55" t="s">
        <v>12</v>
      </c>
      <c r="K742" s="5" t="s">
        <v>8</v>
      </c>
      <c r="L742" s="5" t="s">
        <v>6</v>
      </c>
      <c r="M742" s="5" t="s">
        <v>13</v>
      </c>
      <c r="N742" s="5" t="s">
        <v>11</v>
      </c>
      <c r="O742" s="2"/>
      <c r="P742" s="7" t="s">
        <v>1</v>
      </c>
      <c r="Q742" s="5" t="s">
        <v>2</v>
      </c>
      <c r="R742" s="5" t="s">
        <v>3</v>
      </c>
      <c r="S742" s="6" t="s">
        <v>4</v>
      </c>
      <c r="T742" s="5" t="s">
        <v>3</v>
      </c>
      <c r="U742" s="5" t="s">
        <v>5</v>
      </c>
      <c r="V742" s="5" t="s">
        <v>6</v>
      </c>
      <c r="W742" s="5" t="s">
        <v>7</v>
      </c>
      <c r="X742" s="6" t="s">
        <v>12</v>
      </c>
      <c r="Y742" s="5" t="s">
        <v>8</v>
      </c>
      <c r="Z742" s="5" t="s">
        <v>6</v>
      </c>
      <c r="AA742" s="5" t="s">
        <v>13</v>
      </c>
      <c r="AB742" s="5" t="s">
        <v>11</v>
      </c>
      <c r="AC742" s="3"/>
      <c r="AD742" s="7" t="s">
        <v>1</v>
      </c>
      <c r="AE742" s="5" t="s">
        <v>2</v>
      </c>
      <c r="AF742" s="5" t="s">
        <v>3</v>
      </c>
      <c r="AG742" s="6" t="s">
        <v>4</v>
      </c>
      <c r="AH742" s="5" t="s">
        <v>3</v>
      </c>
      <c r="AI742" s="5" t="s">
        <v>5</v>
      </c>
      <c r="AJ742" s="5" t="s">
        <v>6</v>
      </c>
      <c r="AK742" s="5" t="s">
        <v>7</v>
      </c>
      <c r="AL742" s="55" t="s">
        <v>12</v>
      </c>
      <c r="AM742" s="5" t="s">
        <v>8</v>
      </c>
      <c r="AN742" s="5" t="s">
        <v>6</v>
      </c>
      <c r="AO742" s="5" t="s">
        <v>13</v>
      </c>
      <c r="AP742" s="5" t="s">
        <v>11</v>
      </c>
      <c r="AQ742" s="2"/>
      <c r="AR742" s="7" t="s">
        <v>1</v>
      </c>
      <c r="AS742" s="5" t="s">
        <v>2</v>
      </c>
      <c r="AT742" s="5" t="s">
        <v>3</v>
      </c>
      <c r="AU742" s="6" t="s">
        <v>4</v>
      </c>
      <c r="AV742" s="5" t="s">
        <v>3</v>
      </c>
      <c r="AW742" s="5" t="s">
        <v>5</v>
      </c>
      <c r="AX742" s="5" t="s">
        <v>6</v>
      </c>
      <c r="AY742" s="5" t="s">
        <v>7</v>
      </c>
      <c r="AZ742" s="55" t="s">
        <v>12</v>
      </c>
      <c r="BA742" s="5" t="s">
        <v>8</v>
      </c>
      <c r="BB742" s="5" t="s">
        <v>6</v>
      </c>
      <c r="BC742" s="5" t="s">
        <v>13</v>
      </c>
      <c r="BD742" s="5" t="s">
        <v>11</v>
      </c>
      <c r="BU742" s="8" t="s">
        <v>1</v>
      </c>
      <c r="BV742" s="5" t="s">
        <v>2</v>
      </c>
      <c r="BW742" s="5" t="s">
        <v>3</v>
      </c>
      <c r="BX742" s="6" t="s">
        <v>4</v>
      </c>
      <c r="BY742" s="5" t="s">
        <v>3</v>
      </c>
      <c r="BZ742" s="5" t="s">
        <v>5</v>
      </c>
      <c r="CA742" s="5" t="s">
        <v>6</v>
      </c>
      <c r="CB742" s="5" t="s">
        <v>7</v>
      </c>
      <c r="CC742" s="5"/>
      <c r="CD742" s="5" t="s">
        <v>8</v>
      </c>
      <c r="CE742" s="5" t="s">
        <v>9</v>
      </c>
      <c r="CF742" s="5" t="s">
        <v>10</v>
      </c>
      <c r="CG742" s="5" t="s">
        <v>11</v>
      </c>
      <c r="CH742" s="63"/>
      <c r="CI742" s="8" t="s">
        <v>1</v>
      </c>
      <c r="CJ742" s="5" t="s">
        <v>2</v>
      </c>
      <c r="CK742" s="5" t="s">
        <v>3</v>
      </c>
      <c r="CL742" s="6" t="s">
        <v>4</v>
      </c>
      <c r="CM742" s="5" t="s">
        <v>3</v>
      </c>
      <c r="CN742" s="5" t="s">
        <v>5</v>
      </c>
      <c r="CO742" s="5" t="s">
        <v>6</v>
      </c>
      <c r="CP742" s="5" t="s">
        <v>7</v>
      </c>
      <c r="CQ742" s="5"/>
      <c r="CR742" s="5" t="s">
        <v>8</v>
      </c>
      <c r="CS742" s="5" t="s">
        <v>9</v>
      </c>
      <c r="CT742" s="5" t="s">
        <v>10</v>
      </c>
      <c r="CU742" s="5" t="s">
        <v>11</v>
      </c>
      <c r="CV742" s="1"/>
      <c r="CW742" s="8" t="s">
        <v>1</v>
      </c>
      <c r="CX742" s="5" t="s">
        <v>2</v>
      </c>
      <c r="CY742" s="5" t="s">
        <v>3</v>
      </c>
      <c r="CZ742" s="6" t="s">
        <v>4</v>
      </c>
      <c r="DA742" s="5" t="s">
        <v>3</v>
      </c>
      <c r="DB742" s="5" t="s">
        <v>5</v>
      </c>
      <c r="DC742" s="5" t="s">
        <v>6</v>
      </c>
      <c r="DD742" s="5" t="s">
        <v>7</v>
      </c>
      <c r="DE742" s="5"/>
      <c r="DF742" s="5" t="s">
        <v>8</v>
      </c>
      <c r="DG742" s="5" t="s">
        <v>9</v>
      </c>
      <c r="DH742" s="5" t="s">
        <v>10</v>
      </c>
      <c r="DI742" s="5" t="s">
        <v>11</v>
      </c>
      <c r="DJ742" s="63"/>
      <c r="DK742" s="8" t="s">
        <v>1</v>
      </c>
      <c r="DL742" s="5" t="s">
        <v>2</v>
      </c>
      <c r="DM742" s="5" t="s">
        <v>3</v>
      </c>
      <c r="DN742" s="6" t="s">
        <v>4</v>
      </c>
      <c r="DO742" s="5" t="s">
        <v>3</v>
      </c>
      <c r="DP742" s="5" t="s">
        <v>5</v>
      </c>
      <c r="DQ742" s="5" t="s">
        <v>6</v>
      </c>
      <c r="DR742" s="5" t="s">
        <v>7</v>
      </c>
      <c r="DS742" s="5"/>
      <c r="DT742" s="5" t="s">
        <v>8</v>
      </c>
      <c r="DU742" s="5" t="s">
        <v>9</v>
      </c>
      <c r="DV742" s="5" t="s">
        <v>10</v>
      </c>
      <c r="DW742" s="5" t="s">
        <v>11</v>
      </c>
    </row>
    <row r="743" spans="1:127" x14ac:dyDescent="0.2">
      <c r="A743" s="16">
        <v>45852</v>
      </c>
      <c r="B743" s="74">
        <v>2651</v>
      </c>
      <c r="C743" s="53">
        <v>21825</v>
      </c>
      <c r="D743" s="53">
        <v>97</v>
      </c>
      <c r="E743" s="53">
        <v>1145</v>
      </c>
      <c r="F743" s="53">
        <v>1</v>
      </c>
      <c r="G743" s="53">
        <v>13</v>
      </c>
      <c r="H743" s="53">
        <v>1</v>
      </c>
      <c r="I743" s="53">
        <v>0</v>
      </c>
      <c r="J743" s="75" t="s">
        <v>60</v>
      </c>
      <c r="K743" s="76">
        <v>748</v>
      </c>
      <c r="L743" s="53">
        <v>748</v>
      </c>
      <c r="M743" s="77">
        <v>7.7113402061855671E-2</v>
      </c>
      <c r="N743" s="15"/>
      <c r="O743" s="2"/>
      <c r="P743" s="16">
        <v>45852</v>
      </c>
      <c r="Q743" s="53">
        <v>21788</v>
      </c>
      <c r="R743" s="53">
        <v>85</v>
      </c>
      <c r="S743" s="53">
        <v>1196</v>
      </c>
      <c r="T743" s="53">
        <v>2</v>
      </c>
      <c r="U743" s="53">
        <v>15</v>
      </c>
      <c r="V743" s="53">
        <v>2</v>
      </c>
      <c r="W743" s="53">
        <v>0</v>
      </c>
      <c r="X743" s="78" t="s">
        <v>185</v>
      </c>
      <c r="Y743" s="76">
        <v>500</v>
      </c>
      <c r="Z743" s="53">
        <v>1000</v>
      </c>
      <c r="AA743" s="77">
        <v>0.11764705882352941</v>
      </c>
      <c r="AB743" s="15"/>
      <c r="AC743" s="1"/>
      <c r="AD743" s="16">
        <v>45852</v>
      </c>
      <c r="AE743" s="53">
        <v>6001</v>
      </c>
      <c r="AF743" s="53">
        <v>164</v>
      </c>
      <c r="AG743" s="53">
        <v>124</v>
      </c>
      <c r="AH743" s="53">
        <v>3</v>
      </c>
      <c r="AI743" s="53">
        <v>39</v>
      </c>
      <c r="AJ743" s="53">
        <v>2</v>
      </c>
      <c r="AK743" s="53">
        <v>0</v>
      </c>
      <c r="AL743" s="75" t="s">
        <v>15</v>
      </c>
      <c r="AM743" s="76">
        <v>1100</v>
      </c>
      <c r="AN743" s="53">
        <v>2200</v>
      </c>
      <c r="AO743" s="77">
        <v>0.13414634146341464</v>
      </c>
      <c r="AP743" s="15"/>
      <c r="AQ743" s="2"/>
      <c r="AR743" s="16">
        <v>45852</v>
      </c>
      <c r="AS743" s="53">
        <v>6004</v>
      </c>
      <c r="AT743" s="53">
        <v>241</v>
      </c>
      <c r="AU743" s="53">
        <v>203</v>
      </c>
      <c r="AV743" s="53">
        <v>2</v>
      </c>
      <c r="AW743" s="53">
        <v>8</v>
      </c>
      <c r="AX743" s="53">
        <v>2</v>
      </c>
      <c r="AY743" s="53">
        <v>8</v>
      </c>
      <c r="AZ743" s="75" t="s">
        <v>194</v>
      </c>
      <c r="BA743" s="76">
        <v>726</v>
      </c>
      <c r="BB743" s="53">
        <v>1050</v>
      </c>
      <c r="BC743" s="77">
        <v>4.3568464730290454E-2</v>
      </c>
      <c r="BD743" s="15"/>
      <c r="BU743" s="16">
        <v>45852</v>
      </c>
      <c r="BV743" s="76">
        <v>2511</v>
      </c>
      <c r="BW743" s="53">
        <v>158</v>
      </c>
      <c r="BX743" s="53">
        <v>99</v>
      </c>
      <c r="BY743" s="53">
        <v>5</v>
      </c>
      <c r="BZ743" s="53">
        <v>30</v>
      </c>
      <c r="CA743" s="53">
        <v>7</v>
      </c>
      <c r="CB743" s="53">
        <v>7</v>
      </c>
      <c r="CC743" s="53"/>
      <c r="CD743" s="53">
        <v>385</v>
      </c>
      <c r="CE743" s="13">
        <v>2695</v>
      </c>
      <c r="CF743" s="14">
        <v>0.17056962025316455</v>
      </c>
      <c r="CG743" s="91"/>
      <c r="CH743" s="1"/>
      <c r="CI743" s="16">
        <v>45852</v>
      </c>
      <c r="CJ743" s="76">
        <v>1663</v>
      </c>
      <c r="CK743" s="53">
        <v>130</v>
      </c>
      <c r="CL743" s="53">
        <v>15</v>
      </c>
      <c r="CM743" s="53">
        <v>2</v>
      </c>
      <c r="CN743" s="53">
        <v>19</v>
      </c>
      <c r="CO743" s="53">
        <v>2</v>
      </c>
      <c r="CP743" s="53">
        <v>1</v>
      </c>
      <c r="CQ743" s="53"/>
      <c r="CR743" s="13">
        <v>1012</v>
      </c>
      <c r="CS743" s="13">
        <v>2024</v>
      </c>
      <c r="CT743" s="14">
        <v>0.15569230769230769</v>
      </c>
      <c r="CU743" s="67" t="s">
        <v>158</v>
      </c>
      <c r="CV743" s="1"/>
      <c r="CW743" s="16">
        <v>45852</v>
      </c>
      <c r="CX743" s="76">
        <v>3119</v>
      </c>
      <c r="CY743" s="53">
        <v>201</v>
      </c>
      <c r="CZ743" s="53">
        <v>84</v>
      </c>
      <c r="DA743" s="53">
        <v>6</v>
      </c>
      <c r="DB743" s="53">
        <v>26</v>
      </c>
      <c r="DC743" s="53">
        <v>7</v>
      </c>
      <c r="DD743" s="53">
        <v>7</v>
      </c>
      <c r="DE743" s="53"/>
      <c r="DF743" s="53">
        <v>880</v>
      </c>
      <c r="DG743" s="13">
        <v>6160</v>
      </c>
      <c r="DH743" s="14">
        <v>0.30646766169154227</v>
      </c>
      <c r="DI743" s="15" t="s">
        <v>221</v>
      </c>
      <c r="DJ743" s="1"/>
      <c r="DK743" s="16">
        <v>45852</v>
      </c>
      <c r="DL743" s="76">
        <v>2191</v>
      </c>
      <c r="DM743" s="53">
        <v>209</v>
      </c>
      <c r="DN743" s="53">
        <v>98</v>
      </c>
      <c r="DO743" s="53">
        <v>5</v>
      </c>
      <c r="DP743" s="53">
        <v>18</v>
      </c>
      <c r="DQ743" s="53">
        <v>5</v>
      </c>
      <c r="DR743" s="53">
        <v>4</v>
      </c>
      <c r="DS743" s="53"/>
      <c r="DT743" s="13">
        <v>1028</v>
      </c>
      <c r="DU743" s="13">
        <v>5140</v>
      </c>
      <c r="DV743" s="14">
        <v>0.24593301435406698</v>
      </c>
      <c r="DW743" s="22" t="s">
        <v>217</v>
      </c>
    </row>
    <row r="744" spans="1:127" x14ac:dyDescent="0.2">
      <c r="A744" s="16"/>
      <c r="B744" s="11"/>
      <c r="C744" s="13">
        <v>25702</v>
      </c>
      <c r="D744" s="13">
        <v>29</v>
      </c>
      <c r="E744" s="13">
        <v>1311</v>
      </c>
      <c r="F744" s="13">
        <v>1</v>
      </c>
      <c r="G744" s="13">
        <v>16</v>
      </c>
      <c r="H744" s="13">
        <v>2</v>
      </c>
      <c r="I744" s="13">
        <v>0</v>
      </c>
      <c r="J744" s="56" t="s">
        <v>36</v>
      </c>
      <c r="K744" s="54">
        <v>1100</v>
      </c>
      <c r="L744" s="13">
        <v>2200</v>
      </c>
      <c r="M744" s="14">
        <v>0.75862068965517238</v>
      </c>
      <c r="N744" s="15" t="s">
        <v>198</v>
      </c>
      <c r="O744" s="2"/>
      <c r="P744" s="16"/>
      <c r="Q744" s="13">
        <v>27699</v>
      </c>
      <c r="R744" s="13">
        <v>133</v>
      </c>
      <c r="S744" s="13">
        <v>1506</v>
      </c>
      <c r="T744" s="13">
        <v>4</v>
      </c>
      <c r="U744" s="13">
        <v>6</v>
      </c>
      <c r="V744" s="13">
        <v>4</v>
      </c>
      <c r="W744" s="13">
        <v>5</v>
      </c>
      <c r="X744" s="78" t="s">
        <v>102</v>
      </c>
      <c r="Y744" s="53">
        <v>1100</v>
      </c>
      <c r="Z744" s="13">
        <v>4400</v>
      </c>
      <c r="AA744" s="14">
        <v>0.33082706766917291</v>
      </c>
      <c r="AB744" s="15"/>
      <c r="AC744" s="1"/>
      <c r="AD744" s="16"/>
      <c r="AE744" s="13">
        <v>4879</v>
      </c>
      <c r="AF744" s="13">
        <v>98</v>
      </c>
      <c r="AG744" s="13">
        <v>115</v>
      </c>
      <c r="AH744" s="13">
        <v>3</v>
      </c>
      <c r="AI744" s="13">
        <v>16</v>
      </c>
      <c r="AJ744" s="13">
        <v>3</v>
      </c>
      <c r="AK744" s="13">
        <v>4</v>
      </c>
      <c r="AL744" s="56" t="s">
        <v>81</v>
      </c>
      <c r="AM744" s="54">
        <v>800</v>
      </c>
      <c r="AN744" s="13">
        <v>2400</v>
      </c>
      <c r="AO744" s="14">
        <v>0.24489795918367346</v>
      </c>
      <c r="AP744" s="15" t="s">
        <v>196</v>
      </c>
      <c r="AQ744" s="2"/>
      <c r="AR744" s="16"/>
      <c r="AS744" s="13">
        <v>4093</v>
      </c>
      <c r="AT744" s="13">
        <v>62</v>
      </c>
      <c r="AU744" s="13">
        <v>225</v>
      </c>
      <c r="AV744" s="13">
        <v>12</v>
      </c>
      <c r="AW744" s="13">
        <v>16</v>
      </c>
      <c r="AX744" s="13">
        <v>12</v>
      </c>
      <c r="AY744" s="13">
        <v>20</v>
      </c>
      <c r="AZ744" s="56" t="s">
        <v>164</v>
      </c>
      <c r="BA744" s="54">
        <v>1000</v>
      </c>
      <c r="BB744" s="13">
        <v>12000</v>
      </c>
      <c r="BC744" s="14">
        <v>1.935483870967742</v>
      </c>
      <c r="BD744" s="15" t="s">
        <v>199</v>
      </c>
      <c r="BU744" s="79">
        <f>IF($A747="","",$A747)</f>
        <v>45859</v>
      </c>
      <c r="BV744" s="13">
        <v>2752</v>
      </c>
      <c r="BW744" s="13">
        <f t="shared" ref="BW744:BW756" si="1117">IF(BV744="","",BV744-BV743)</f>
        <v>241</v>
      </c>
      <c r="BX744" s="13">
        <v>112</v>
      </c>
      <c r="BY744" s="13">
        <f t="shared" ref="BY744:BY756" si="1118">IF(BX744="","",BX744-BX743)</f>
        <v>13</v>
      </c>
      <c r="BZ744" s="13">
        <v>30</v>
      </c>
      <c r="CA744" s="13">
        <f t="shared" ref="CA744:CA756" si="1119">IF(BZ744="","",BZ743+CB743-BZ744)</f>
        <v>7</v>
      </c>
      <c r="CB744" s="13">
        <v>-24</v>
      </c>
      <c r="CC744" s="53"/>
      <c r="CD744" s="53">
        <f>IF(BV744="","",CD743)</f>
        <v>385</v>
      </c>
      <c r="CE744" s="13">
        <f t="shared" ref="CE744:CE756" si="1120">IF(CD744="","",CA744*CD744)</f>
        <v>2695</v>
      </c>
      <c r="CF744" s="14">
        <f t="shared" ref="CF744:CF755" si="1121">IF(CE744="","",CE744/(BW744*100))</f>
        <v>0.11182572614107884</v>
      </c>
      <c r="CG744" s="15" t="s">
        <v>208</v>
      </c>
      <c r="CH744" s="1"/>
      <c r="CI744" s="79">
        <f>IF($A747="","",$A747)</f>
        <v>45859</v>
      </c>
      <c r="CJ744" s="13">
        <v>1837</v>
      </c>
      <c r="CK744" s="13">
        <f t="shared" ref="CK744:CK756" si="1122">IF(CJ744="","",CJ744-CJ743)</f>
        <v>174</v>
      </c>
      <c r="CL744" s="13">
        <v>17</v>
      </c>
      <c r="CM744" s="13">
        <f t="shared" ref="CM744:CM756" si="1123">IF(CL744="","",CL744-CL743)</f>
        <v>2</v>
      </c>
      <c r="CN744" s="13">
        <v>17</v>
      </c>
      <c r="CO744" s="13">
        <f t="shared" ref="CO744:CO756" si="1124">IF(CN744="","",CN743+CP743-CN744)</f>
        <v>3</v>
      </c>
      <c r="CP744" s="13">
        <v>4</v>
      </c>
      <c r="CQ744" s="53"/>
      <c r="CR744" s="53">
        <f t="shared" ref="CR744:CR756" si="1125">IF(CJ744="","",CR743)</f>
        <v>1012</v>
      </c>
      <c r="CS744" s="13">
        <f t="shared" ref="CS744:CS756" si="1126">IF(CR744="","",CO744*CR744)</f>
        <v>3036</v>
      </c>
      <c r="CT744" s="14">
        <f t="shared" ref="CT744:CT761" si="1127">IF(CS744="","",CS744/(CK744*100))</f>
        <v>0.17448275862068965</v>
      </c>
      <c r="CU744" s="15" t="s">
        <v>209</v>
      </c>
      <c r="CV744" s="1"/>
      <c r="CW744" s="79">
        <f>IF($A747="","",$A747)</f>
        <v>45859</v>
      </c>
      <c r="CX744" s="13">
        <v>3479</v>
      </c>
      <c r="CY744" s="13">
        <f t="shared" ref="CY744:CY756" si="1128">IF(CX744="","",CX744-CX743)</f>
        <v>360</v>
      </c>
      <c r="CZ744" s="13">
        <v>93</v>
      </c>
      <c r="DA744" s="13">
        <f t="shared" ref="DA744:DA756" si="1129">IF(CZ744="","",CZ744-CZ743)</f>
        <v>9</v>
      </c>
      <c r="DB744" s="13">
        <v>29</v>
      </c>
      <c r="DC744" s="13">
        <f t="shared" ref="DC744:DC756" si="1130">IF(DB744="","",DB743+DD743-DB744)</f>
        <v>4</v>
      </c>
      <c r="DD744" s="13">
        <v>14</v>
      </c>
      <c r="DE744" s="53"/>
      <c r="DF744" s="53">
        <f t="shared" ref="DF744:DF756" si="1131">IF(CX744="","",DF743)</f>
        <v>880</v>
      </c>
      <c r="DG744" s="13">
        <f t="shared" ref="DG744:DG756" si="1132">IF(DF744="","",DC744*DF744)</f>
        <v>3520</v>
      </c>
      <c r="DH744" s="14">
        <f t="shared" ref="DH744:DH756" si="1133">IF(DG744="","",DG744/(CY744*100))</f>
        <v>9.7777777777777783E-2</v>
      </c>
      <c r="DI744" s="15" t="s">
        <v>207</v>
      </c>
      <c r="DJ744" s="1"/>
      <c r="DK744" s="79">
        <f>IF($A747="","",$A747)</f>
        <v>45859</v>
      </c>
      <c r="DL744" s="13">
        <v>2556</v>
      </c>
      <c r="DM744" s="13">
        <f t="shared" ref="DM744:DM756" si="1134">IF(DL744="","",DL744-DL743)</f>
        <v>365</v>
      </c>
      <c r="DN744" s="13">
        <v>111</v>
      </c>
      <c r="DO744" s="13">
        <f t="shared" ref="DO744:DO756" si="1135">IF(DN744="","",DN744-DN743)</f>
        <v>13</v>
      </c>
      <c r="DP744" s="13">
        <v>13</v>
      </c>
      <c r="DQ744" s="13">
        <f t="shared" ref="DQ744:DQ756" si="1136">IF(DP744="","",DP743+DR743-DP744)</f>
        <v>9</v>
      </c>
      <c r="DR744" s="13">
        <v>9</v>
      </c>
      <c r="DS744" s="53"/>
      <c r="DT744" s="53">
        <f t="shared" ref="DT744:DT756" si="1137">IF(DL744="","",DT743)</f>
        <v>1028</v>
      </c>
      <c r="DU744" s="13">
        <f t="shared" ref="DU744:DU756" si="1138">IF(DT744="","",DQ744*DT744)</f>
        <v>9252</v>
      </c>
      <c r="DV744" s="14">
        <f t="shared" ref="DV744:DV756" si="1139">IF(DU744="","",DU744/(DM744*100))</f>
        <v>0.2534794520547945</v>
      </c>
      <c r="DW744" s="15" t="s">
        <v>206</v>
      </c>
    </row>
    <row r="745" spans="1:127" x14ac:dyDescent="0.2">
      <c r="A745" s="16"/>
      <c r="B745" s="11"/>
      <c r="C745" s="13">
        <v>22825</v>
      </c>
      <c r="D745" s="13">
        <v>335</v>
      </c>
      <c r="E745" s="13">
        <v>1118</v>
      </c>
      <c r="F745" s="13">
        <v>6</v>
      </c>
      <c r="G745" s="13">
        <v>43</v>
      </c>
      <c r="H745" s="13">
        <v>2</v>
      </c>
      <c r="I745" s="13">
        <v>0</v>
      </c>
      <c r="J745" s="56" t="s">
        <v>171</v>
      </c>
      <c r="K745" s="54">
        <v>200</v>
      </c>
      <c r="L745" s="13">
        <v>400</v>
      </c>
      <c r="M745" s="14">
        <v>1.1940298507462687E-2</v>
      </c>
      <c r="N745" s="15"/>
      <c r="O745" s="2"/>
      <c r="P745" s="16"/>
      <c r="Q745" s="13">
        <v>20608</v>
      </c>
      <c r="R745" s="13">
        <v>135</v>
      </c>
      <c r="S745" s="13">
        <v>2738</v>
      </c>
      <c r="T745" s="13">
        <v>3</v>
      </c>
      <c r="U745" s="13">
        <v>6</v>
      </c>
      <c r="V745" s="13">
        <v>3</v>
      </c>
      <c r="W745" s="13">
        <v>3</v>
      </c>
      <c r="X745" s="21" t="s">
        <v>166</v>
      </c>
      <c r="Y745" s="54">
        <v>957</v>
      </c>
      <c r="Z745" s="13">
        <v>2871</v>
      </c>
      <c r="AA745" s="14">
        <v>0.21266666666666667</v>
      </c>
      <c r="AB745" s="15"/>
      <c r="AC745" s="1"/>
      <c r="AD745" s="16"/>
      <c r="AE745" s="13">
        <v>5145</v>
      </c>
      <c r="AF745" s="13">
        <v>1</v>
      </c>
      <c r="AG745" s="13">
        <v>207</v>
      </c>
      <c r="AH745" s="13">
        <v>0</v>
      </c>
      <c r="AI745" s="13">
        <v>162</v>
      </c>
      <c r="AJ745" s="13">
        <v>0</v>
      </c>
      <c r="AK745" s="13">
        <v>-156</v>
      </c>
      <c r="AL745" s="56" t="s">
        <v>141</v>
      </c>
      <c r="AM745" s="54">
        <v>160</v>
      </c>
      <c r="AN745" s="13">
        <v>0</v>
      </c>
      <c r="AO745" s="14">
        <v>0</v>
      </c>
      <c r="AP745" s="15" t="s">
        <v>195</v>
      </c>
      <c r="AQ745" s="2"/>
      <c r="AR745" s="16"/>
      <c r="AS745" s="13">
        <v>6925</v>
      </c>
      <c r="AT745" s="13">
        <v>76</v>
      </c>
      <c r="AU745" s="13">
        <v>293</v>
      </c>
      <c r="AV745" s="13">
        <v>3</v>
      </c>
      <c r="AW745" s="13">
        <v>110</v>
      </c>
      <c r="AX745" s="13">
        <v>4</v>
      </c>
      <c r="AY745" s="13">
        <v>0</v>
      </c>
      <c r="AZ745" s="56" t="s">
        <v>238</v>
      </c>
      <c r="BA745" s="54">
        <v>200</v>
      </c>
      <c r="BB745" s="13">
        <v>800</v>
      </c>
      <c r="BC745" s="14">
        <v>0.10526315789473684</v>
      </c>
      <c r="BD745" s="15"/>
      <c r="BU745" s="79">
        <f>IF($A751="","",$A751)</f>
        <v>45863</v>
      </c>
      <c r="BV745" s="13">
        <v>2857</v>
      </c>
      <c r="BW745" s="13">
        <f t="shared" si="1117"/>
        <v>105</v>
      </c>
      <c r="BX745" s="13">
        <v>112</v>
      </c>
      <c r="BY745" s="13">
        <f t="shared" si="1118"/>
        <v>0</v>
      </c>
      <c r="BZ745" s="13">
        <v>6</v>
      </c>
      <c r="CA745" s="13">
        <f t="shared" si="1119"/>
        <v>0</v>
      </c>
      <c r="CB745" s="13">
        <v>0</v>
      </c>
      <c r="CC745" s="53"/>
      <c r="CD745" s="53">
        <v>1100</v>
      </c>
      <c r="CE745" s="13">
        <f t="shared" si="1120"/>
        <v>0</v>
      </c>
      <c r="CF745" s="14">
        <f t="shared" si="1121"/>
        <v>0</v>
      </c>
      <c r="CG745" s="132" t="s">
        <v>211</v>
      </c>
      <c r="CH745" s="1"/>
      <c r="CI745" s="79">
        <f>IF($A751="","",$A751)</f>
        <v>45863</v>
      </c>
      <c r="CJ745" s="13">
        <v>1959</v>
      </c>
      <c r="CK745" s="13">
        <f t="shared" si="1122"/>
        <v>122</v>
      </c>
      <c r="CL745" s="13">
        <v>18</v>
      </c>
      <c r="CM745" s="13">
        <f t="shared" si="1123"/>
        <v>1</v>
      </c>
      <c r="CN745" s="13">
        <v>20</v>
      </c>
      <c r="CO745" s="13">
        <f t="shared" si="1124"/>
        <v>1</v>
      </c>
      <c r="CP745" s="13">
        <v>2</v>
      </c>
      <c r="CQ745" s="53"/>
      <c r="CR745" s="53">
        <f t="shared" si="1125"/>
        <v>1012</v>
      </c>
      <c r="CS745" s="13">
        <f t="shared" si="1126"/>
        <v>1012</v>
      </c>
      <c r="CT745" s="14">
        <f t="shared" si="1127"/>
        <v>8.2950819672131151E-2</v>
      </c>
      <c r="CU745" s="15"/>
      <c r="CV745" s="1"/>
      <c r="CW745" s="79">
        <f>IF($A751="","",$A751)</f>
        <v>45863</v>
      </c>
      <c r="CX745" s="13">
        <v>3691</v>
      </c>
      <c r="CY745" s="13">
        <f t="shared" si="1128"/>
        <v>212</v>
      </c>
      <c r="CZ745" s="13">
        <v>98</v>
      </c>
      <c r="DA745" s="13">
        <f t="shared" si="1129"/>
        <v>5</v>
      </c>
      <c r="DB745" s="13">
        <v>40</v>
      </c>
      <c r="DC745" s="13">
        <f t="shared" si="1130"/>
        <v>3</v>
      </c>
      <c r="DD745" s="13">
        <v>3</v>
      </c>
      <c r="DE745" s="53"/>
      <c r="DF745" s="53">
        <f t="shared" si="1131"/>
        <v>880</v>
      </c>
      <c r="DG745" s="13">
        <f t="shared" si="1132"/>
        <v>2640</v>
      </c>
      <c r="DH745" s="14">
        <f t="shared" si="1133"/>
        <v>0.12452830188679245</v>
      </c>
      <c r="DI745" s="15"/>
      <c r="DJ745" s="1"/>
      <c r="DK745" s="79">
        <f>IF($A751="","",$A751)</f>
        <v>45863</v>
      </c>
      <c r="DL745" s="13">
        <v>2699</v>
      </c>
      <c r="DM745" s="13">
        <f t="shared" si="1134"/>
        <v>143</v>
      </c>
      <c r="DN745" s="13">
        <v>118</v>
      </c>
      <c r="DO745" s="13">
        <f t="shared" si="1135"/>
        <v>7</v>
      </c>
      <c r="DP745" s="13">
        <v>15</v>
      </c>
      <c r="DQ745" s="13">
        <f t="shared" si="1136"/>
        <v>7</v>
      </c>
      <c r="DR745" s="13">
        <v>4</v>
      </c>
      <c r="DS745" s="53"/>
      <c r="DT745" s="53">
        <f t="shared" si="1137"/>
        <v>1028</v>
      </c>
      <c r="DU745" s="13">
        <f t="shared" si="1138"/>
        <v>7196</v>
      </c>
      <c r="DV745" s="123">
        <f t="shared" si="1139"/>
        <v>0.5032167832167832</v>
      </c>
      <c r="DW745" s="15" t="s">
        <v>49</v>
      </c>
    </row>
    <row r="746" spans="1:127" ht="15" customHeight="1" thickBot="1" x14ac:dyDescent="0.25">
      <c r="A746" s="26"/>
      <c r="B746" s="46"/>
      <c r="C746" s="27">
        <v>28355</v>
      </c>
      <c r="D746" s="27">
        <v>126</v>
      </c>
      <c r="E746" s="27">
        <v>1361</v>
      </c>
      <c r="F746" s="27">
        <v>5</v>
      </c>
      <c r="G746" s="27">
        <v>46</v>
      </c>
      <c r="H746" s="27">
        <v>6</v>
      </c>
      <c r="I746" s="27">
        <v>0</v>
      </c>
      <c r="J746" s="57" t="s">
        <v>44</v>
      </c>
      <c r="K746" s="27">
        <v>682</v>
      </c>
      <c r="L746" s="27">
        <v>4092</v>
      </c>
      <c r="M746" s="28">
        <v>0.32476190476190475</v>
      </c>
      <c r="N746" s="15"/>
      <c r="O746" s="2"/>
      <c r="P746" s="26"/>
      <c r="Q746" s="27">
        <v>19805</v>
      </c>
      <c r="R746" s="27">
        <v>83</v>
      </c>
      <c r="S746" s="27">
        <v>1695</v>
      </c>
      <c r="T746" s="27">
        <v>4</v>
      </c>
      <c r="U746" s="27">
        <v>15</v>
      </c>
      <c r="V746" s="27">
        <v>4</v>
      </c>
      <c r="W746" s="27">
        <v>5</v>
      </c>
      <c r="X746" s="30" t="s">
        <v>197</v>
      </c>
      <c r="Y746" s="27">
        <v>800</v>
      </c>
      <c r="Z746" s="27">
        <v>3200</v>
      </c>
      <c r="AA746" s="28">
        <v>0.38554216867469882</v>
      </c>
      <c r="AB746" s="15"/>
      <c r="AC746" s="1"/>
      <c r="AD746" s="26"/>
      <c r="AE746" s="27">
        <v>5395</v>
      </c>
      <c r="AF746" s="90">
        <v>122</v>
      </c>
      <c r="AG746" s="27">
        <v>173</v>
      </c>
      <c r="AH746" s="27">
        <v>0</v>
      </c>
      <c r="AI746" s="27">
        <v>17</v>
      </c>
      <c r="AJ746" s="27">
        <v>0</v>
      </c>
      <c r="AK746" s="27">
        <v>0</v>
      </c>
      <c r="AL746" s="108" t="s">
        <v>91</v>
      </c>
      <c r="AM746" s="27">
        <v>726</v>
      </c>
      <c r="AN746" s="27">
        <v>0</v>
      </c>
      <c r="AO746" s="28">
        <v>0</v>
      </c>
      <c r="AP746" s="15"/>
      <c r="AQ746" s="2"/>
      <c r="AR746" s="26"/>
      <c r="AS746" s="27">
        <v>6136</v>
      </c>
      <c r="AT746" s="27">
        <v>166</v>
      </c>
      <c r="AU746" s="27">
        <v>267</v>
      </c>
      <c r="AV746" s="27">
        <v>8</v>
      </c>
      <c r="AW746" s="27">
        <v>52</v>
      </c>
      <c r="AX746" s="27">
        <v>5</v>
      </c>
      <c r="AY746" s="27">
        <v>0</v>
      </c>
      <c r="AZ746" s="57" t="s">
        <v>165</v>
      </c>
      <c r="BA746" s="27">
        <v>600</v>
      </c>
      <c r="BB746" s="27">
        <v>3000</v>
      </c>
      <c r="BC746" s="28">
        <v>0.18072289156626506</v>
      </c>
      <c r="BD746" s="15"/>
      <c r="BU746" s="79">
        <f>IF($A755="","",$A755)</f>
        <v>45866</v>
      </c>
      <c r="BV746" s="13">
        <v>2881</v>
      </c>
      <c r="BW746" s="13">
        <f t="shared" si="1117"/>
        <v>24</v>
      </c>
      <c r="BX746" s="13">
        <v>114</v>
      </c>
      <c r="BY746" s="13">
        <f t="shared" si="1118"/>
        <v>2</v>
      </c>
      <c r="BZ746" s="13">
        <v>4</v>
      </c>
      <c r="CA746" s="13">
        <f t="shared" si="1119"/>
        <v>2</v>
      </c>
      <c r="CB746" s="13">
        <v>0</v>
      </c>
      <c r="CC746" s="53"/>
      <c r="CD746" s="53">
        <f t="shared" ref="CD746:CD756" si="1140">IF(BV746="","",CD745)</f>
        <v>1100</v>
      </c>
      <c r="CE746" s="13">
        <f t="shared" si="1120"/>
        <v>2200</v>
      </c>
      <c r="CF746" s="14">
        <f t="shared" si="1121"/>
        <v>0.91666666666666663</v>
      </c>
      <c r="CG746" s="67" t="s">
        <v>219</v>
      </c>
      <c r="CH746" s="1"/>
      <c r="CI746" s="79">
        <f>IF($A755="","",$A755)</f>
        <v>45866</v>
      </c>
      <c r="CJ746" s="13">
        <v>2176</v>
      </c>
      <c r="CK746" s="13">
        <f t="shared" si="1122"/>
        <v>217</v>
      </c>
      <c r="CL746" s="13">
        <v>21</v>
      </c>
      <c r="CM746" s="13">
        <f t="shared" si="1123"/>
        <v>3</v>
      </c>
      <c r="CN746" s="13">
        <v>19</v>
      </c>
      <c r="CO746" s="13">
        <f t="shared" si="1124"/>
        <v>3</v>
      </c>
      <c r="CP746" s="13">
        <v>0</v>
      </c>
      <c r="CQ746" s="53"/>
      <c r="CR746" s="53">
        <f t="shared" si="1125"/>
        <v>1012</v>
      </c>
      <c r="CS746" s="13">
        <f t="shared" si="1126"/>
        <v>3036</v>
      </c>
      <c r="CT746" s="14">
        <f t="shared" si="1127"/>
        <v>0.13990783410138249</v>
      </c>
      <c r="CU746" s="67"/>
      <c r="CV746" s="1"/>
      <c r="CW746" s="79">
        <f>IF($A755="","",$A755)</f>
        <v>45866</v>
      </c>
      <c r="CX746" s="13">
        <v>3853</v>
      </c>
      <c r="CY746" s="13">
        <f t="shared" si="1128"/>
        <v>162</v>
      </c>
      <c r="CZ746" s="13">
        <v>105</v>
      </c>
      <c r="DA746" s="13">
        <f t="shared" si="1129"/>
        <v>7</v>
      </c>
      <c r="DB746" s="13">
        <v>32</v>
      </c>
      <c r="DC746" s="13">
        <f t="shared" si="1130"/>
        <v>11</v>
      </c>
      <c r="DD746" s="13">
        <v>0</v>
      </c>
      <c r="DE746" s="53"/>
      <c r="DF746" s="53">
        <f t="shared" si="1131"/>
        <v>880</v>
      </c>
      <c r="DG746" s="13">
        <f t="shared" si="1132"/>
        <v>9680</v>
      </c>
      <c r="DH746" s="14">
        <f t="shared" si="1133"/>
        <v>0.59753086419753088</v>
      </c>
      <c r="DI746" s="67" t="s">
        <v>220</v>
      </c>
      <c r="DJ746" s="1"/>
      <c r="DK746" s="79">
        <f>IF($A755="","",$A755)</f>
        <v>45866</v>
      </c>
      <c r="DL746" s="13">
        <v>2839</v>
      </c>
      <c r="DM746" s="13">
        <f t="shared" si="1134"/>
        <v>140</v>
      </c>
      <c r="DN746" s="13">
        <v>125</v>
      </c>
      <c r="DO746" s="13">
        <f t="shared" si="1135"/>
        <v>7</v>
      </c>
      <c r="DP746" s="13">
        <v>11</v>
      </c>
      <c r="DQ746" s="13">
        <f t="shared" si="1136"/>
        <v>8</v>
      </c>
      <c r="DR746" s="13">
        <v>5</v>
      </c>
      <c r="DS746" s="53"/>
      <c r="DT746" s="53">
        <f t="shared" si="1137"/>
        <v>1028</v>
      </c>
      <c r="DU746" s="13">
        <f t="shared" si="1138"/>
        <v>8224</v>
      </c>
      <c r="DV746" s="123">
        <f t="shared" si="1139"/>
        <v>0.58742857142857141</v>
      </c>
      <c r="DW746" s="67" t="s">
        <v>218</v>
      </c>
    </row>
    <row r="747" spans="1:127" ht="15" customHeight="1" thickTop="1" x14ac:dyDescent="0.2">
      <c r="A747" s="79">
        <v>45859</v>
      </c>
      <c r="B747" s="74">
        <f>IF(A747="","",SUM(D747:D750)+SUM(R747:R750)+SUM(AF747:AF750)+SUM(AT747:AT750)+SUM(BW744,CK744,CY744,DM744))</f>
        <v>3824</v>
      </c>
      <c r="C747" s="53">
        <v>322</v>
      </c>
      <c r="D747" s="53">
        <v>102</v>
      </c>
      <c r="E747" s="53">
        <v>231</v>
      </c>
      <c r="F747" s="31">
        <v>2</v>
      </c>
      <c r="G747" s="53">
        <v>10</v>
      </c>
      <c r="H747" s="53">
        <f t="shared" ref="H747:H794" si="1141">IF(G747="","",G743+I743-G747)</f>
        <v>3</v>
      </c>
      <c r="I747" s="53">
        <v>10</v>
      </c>
      <c r="J747" s="75" t="str">
        <f t="shared" ref="J747:J794" si="1142">IF(C747="","",J743)</f>
        <v>ジャグラーサウンドボタン</v>
      </c>
      <c r="K747" s="76">
        <f t="shared" ref="K747:K794" si="1143">IF(D747="","",K743)</f>
        <v>748</v>
      </c>
      <c r="L747" s="31">
        <f t="shared" ref="L747:L794" si="1144">IF(G747="","",H747*K747)</f>
        <v>2244</v>
      </c>
      <c r="M747" s="32">
        <f t="shared" ref="M747:M794" si="1145">IF(H747="","",L747/(D747*100))</f>
        <v>0.22</v>
      </c>
      <c r="N747" s="15"/>
      <c r="O747" s="2"/>
      <c r="P747" s="79">
        <f>IF(A747="","",A747)</f>
        <v>45859</v>
      </c>
      <c r="Q747" s="53">
        <v>74</v>
      </c>
      <c r="R747" s="53">
        <v>74</v>
      </c>
      <c r="S747" s="53">
        <v>995</v>
      </c>
      <c r="T747" s="31">
        <v>6</v>
      </c>
      <c r="U747" s="53">
        <v>11</v>
      </c>
      <c r="V747" s="53">
        <f t="shared" ref="V747:V794" si="1146">IF(U747="","",U743+W743-U747)</f>
        <v>4</v>
      </c>
      <c r="W747" s="80">
        <v>10</v>
      </c>
      <c r="X747" s="75" t="str">
        <f t="shared" ref="X747:X794" si="1147">IF(Q747="","",X743)</f>
        <v>ジャグラーパネルKH</v>
      </c>
      <c r="Y747" s="76">
        <f t="shared" ref="Y747:Y794" si="1148">IF(R747="","",Y743)</f>
        <v>500</v>
      </c>
      <c r="Z747" s="31">
        <f t="shared" ref="Z747:Z794" si="1149">IF(U747="","",V747*Y747)</f>
        <v>2000</v>
      </c>
      <c r="AA747" s="32">
        <f t="shared" ref="AA747:AA794" si="1150">IF(V747="","",Z747/(R747*100))</f>
        <v>0.27027027027027029</v>
      </c>
      <c r="AB747" s="15"/>
      <c r="AC747" s="15"/>
      <c r="AD747" s="79">
        <f>IF($A747="","",$A747)</f>
        <v>45859</v>
      </c>
      <c r="AE747" s="53">
        <v>6136</v>
      </c>
      <c r="AF747" s="53">
        <f t="shared" ref="AF747:AF794" si="1151">IF(AE747="","",AE747-AE743)</f>
        <v>135</v>
      </c>
      <c r="AG747" s="53">
        <v>125</v>
      </c>
      <c r="AH747" s="31">
        <f t="shared" ref="AH747:AH794" si="1152">IF(AG747="","",AG747-AG743)</f>
        <v>1</v>
      </c>
      <c r="AI747" s="53">
        <v>39</v>
      </c>
      <c r="AJ747" s="53">
        <f t="shared" ref="AJ747:AJ794" si="1153">IF(AI747="","",AI743+AK743-AI747)</f>
        <v>0</v>
      </c>
      <c r="AK747" s="80">
        <v>2</v>
      </c>
      <c r="AL747" s="21" t="str">
        <f>IF(AE747="","",AL743)</f>
        <v>ミニ香水</v>
      </c>
      <c r="AM747" s="54">
        <f>IF(AF747="","",AM743)</f>
        <v>1100</v>
      </c>
      <c r="AN747" s="31">
        <f t="shared" ref="AN747:AN794" si="1154">IF(AI747="","",AJ747*AM747)</f>
        <v>0</v>
      </c>
      <c r="AO747" s="32">
        <f t="shared" ref="AO747:AO794" si="1155">IF(AJ747="","",AN747/(AF747*100))</f>
        <v>0</v>
      </c>
      <c r="AP747" s="15"/>
      <c r="AQ747" s="113"/>
      <c r="AR747" s="79">
        <f>IF($A747="","",$A747)</f>
        <v>45859</v>
      </c>
      <c r="AS747" s="53">
        <v>6256</v>
      </c>
      <c r="AT747" s="53">
        <f t="shared" ref="AT747:AT794" si="1156">IF(AS747="","",AS747-AS743)</f>
        <v>252</v>
      </c>
      <c r="AU747" s="53">
        <v>207</v>
      </c>
      <c r="AV747" s="31">
        <f t="shared" ref="AV747:AV794" si="1157">IF(AU747="","",AU747-AU743)</f>
        <v>4</v>
      </c>
      <c r="AW747" s="53">
        <v>12</v>
      </c>
      <c r="AX747" s="53">
        <f t="shared" ref="AX747:AX794" si="1158">IF(AW747="","",AW743+AY743-AW747)</f>
        <v>4</v>
      </c>
      <c r="AY747" s="80">
        <v>0</v>
      </c>
      <c r="AZ747" s="75" t="str">
        <f t="shared" ref="AZ747:AZ794" si="1159">IF(AS747="","",AZ743)</f>
        <v>こびとづかんキーケース</v>
      </c>
      <c r="BA747" s="76">
        <f t="shared" ref="BA747:BA794" si="1160">IF(AT747="","",BA743)</f>
        <v>726</v>
      </c>
      <c r="BB747" s="31">
        <f t="shared" ref="BB747:BB794" si="1161">IF(AW747="","",AX747*BA747)</f>
        <v>2904</v>
      </c>
      <c r="BC747" s="32">
        <f t="shared" ref="BC747:BC794" si="1162">IF(AX747="","",BB747/(AT747*100))</f>
        <v>0.11523809523809524</v>
      </c>
      <c r="BD747" s="15"/>
      <c r="BU747" s="79">
        <f>IF($A759="","",$A759)</f>
        <v>45871</v>
      </c>
      <c r="BV747" s="13">
        <v>3015</v>
      </c>
      <c r="BW747" s="13">
        <f t="shared" si="1117"/>
        <v>134</v>
      </c>
      <c r="BX747" s="13">
        <v>115</v>
      </c>
      <c r="BY747" s="13">
        <f t="shared" si="1118"/>
        <v>1</v>
      </c>
      <c r="BZ747" s="13">
        <v>3</v>
      </c>
      <c r="CA747" s="13">
        <f t="shared" si="1119"/>
        <v>1</v>
      </c>
      <c r="CB747" s="13">
        <v>0</v>
      </c>
      <c r="CC747" s="53"/>
      <c r="CD747" s="53">
        <f t="shared" si="1140"/>
        <v>1100</v>
      </c>
      <c r="CE747" s="13">
        <f t="shared" si="1120"/>
        <v>1100</v>
      </c>
      <c r="CF747" s="14">
        <f t="shared" si="1121"/>
        <v>8.2089552238805971E-2</v>
      </c>
      <c r="CG747" s="67"/>
      <c r="CH747" s="1"/>
      <c r="CI747" s="79">
        <f>IF($A759="","",$A759)</f>
        <v>45871</v>
      </c>
      <c r="CJ747" s="13">
        <v>2321</v>
      </c>
      <c r="CK747" s="13">
        <f t="shared" si="1122"/>
        <v>145</v>
      </c>
      <c r="CL747" s="13">
        <v>23</v>
      </c>
      <c r="CM747" s="13">
        <f t="shared" si="1123"/>
        <v>2</v>
      </c>
      <c r="CN747" s="13">
        <v>17</v>
      </c>
      <c r="CO747" s="13">
        <f t="shared" si="1124"/>
        <v>2</v>
      </c>
      <c r="CP747" s="13">
        <v>0</v>
      </c>
      <c r="CQ747" s="53"/>
      <c r="CR747" s="53">
        <f t="shared" si="1125"/>
        <v>1012</v>
      </c>
      <c r="CS747" s="13">
        <f t="shared" si="1126"/>
        <v>2024</v>
      </c>
      <c r="CT747" s="14">
        <f t="shared" si="1127"/>
        <v>0.13958620689655171</v>
      </c>
      <c r="CU747" s="67"/>
      <c r="CV747" s="1"/>
      <c r="CW747" s="79">
        <f>IF($A759="","",$A759)</f>
        <v>45871</v>
      </c>
      <c r="CX747" s="13">
        <v>4096</v>
      </c>
      <c r="CY747" s="13">
        <f t="shared" si="1128"/>
        <v>243</v>
      </c>
      <c r="CZ747" s="13">
        <v>107</v>
      </c>
      <c r="DA747" s="13">
        <f t="shared" si="1129"/>
        <v>2</v>
      </c>
      <c r="DB747" s="13">
        <v>30</v>
      </c>
      <c r="DC747" s="13">
        <f t="shared" si="1130"/>
        <v>2</v>
      </c>
      <c r="DD747" s="13">
        <v>6</v>
      </c>
      <c r="DE747" s="53"/>
      <c r="DF747" s="53">
        <f t="shared" si="1131"/>
        <v>880</v>
      </c>
      <c r="DG747" s="13">
        <f t="shared" si="1132"/>
        <v>1760</v>
      </c>
      <c r="DH747" s="14">
        <f t="shared" si="1133"/>
        <v>7.2427983539094645E-2</v>
      </c>
      <c r="DI747" s="67"/>
      <c r="DJ747" s="1"/>
      <c r="DK747" s="79">
        <f>IF($A759="","",$A759)</f>
        <v>45871</v>
      </c>
      <c r="DL747" s="13">
        <v>2990</v>
      </c>
      <c r="DM747" s="13">
        <f t="shared" si="1134"/>
        <v>151</v>
      </c>
      <c r="DN747" s="13">
        <v>132</v>
      </c>
      <c r="DO747" s="13">
        <f t="shared" si="1135"/>
        <v>7</v>
      </c>
      <c r="DP747" s="13">
        <v>7</v>
      </c>
      <c r="DQ747" s="13">
        <f t="shared" si="1136"/>
        <v>9</v>
      </c>
      <c r="DR747" s="13">
        <v>8</v>
      </c>
      <c r="DS747" s="53"/>
      <c r="DT747" s="53">
        <f t="shared" si="1137"/>
        <v>1028</v>
      </c>
      <c r="DU747" s="13">
        <f t="shared" si="1138"/>
        <v>9252</v>
      </c>
      <c r="DV747" s="123">
        <f t="shared" si="1139"/>
        <v>0.61271523178807952</v>
      </c>
      <c r="DW747" s="67" t="s">
        <v>222</v>
      </c>
    </row>
    <row r="748" spans="1:127" x14ac:dyDescent="0.2">
      <c r="A748" s="16"/>
      <c r="B748" s="11"/>
      <c r="C748" s="13">
        <v>302</v>
      </c>
      <c r="D748" s="13">
        <v>82</v>
      </c>
      <c r="E748" s="13">
        <v>228</v>
      </c>
      <c r="F748" s="13">
        <v>2</v>
      </c>
      <c r="G748" s="13">
        <v>14</v>
      </c>
      <c r="H748" s="13">
        <f t="shared" si="1141"/>
        <v>2</v>
      </c>
      <c r="I748" s="13">
        <v>0</v>
      </c>
      <c r="J748" s="56" t="str">
        <f t="shared" si="1142"/>
        <v>ジャグラーイヤホン</v>
      </c>
      <c r="K748" s="54">
        <f t="shared" si="1143"/>
        <v>1100</v>
      </c>
      <c r="L748" s="13">
        <f t="shared" si="1144"/>
        <v>2200</v>
      </c>
      <c r="M748" s="14">
        <f t="shared" si="1145"/>
        <v>0.26829268292682928</v>
      </c>
      <c r="N748" s="15"/>
      <c r="O748" s="2"/>
      <c r="P748" s="16"/>
      <c r="Q748" s="13">
        <v>82</v>
      </c>
      <c r="R748" s="13">
        <v>82</v>
      </c>
      <c r="S748" s="13">
        <v>993</v>
      </c>
      <c r="T748" s="13">
        <v>3</v>
      </c>
      <c r="U748" s="13">
        <v>7</v>
      </c>
      <c r="V748" s="13">
        <f t="shared" si="1146"/>
        <v>4</v>
      </c>
      <c r="W748" s="17">
        <v>4</v>
      </c>
      <c r="X748" s="56" t="str">
        <f t="shared" si="1147"/>
        <v>サンリオFAN</v>
      </c>
      <c r="Y748" s="54">
        <f t="shared" si="1148"/>
        <v>1100</v>
      </c>
      <c r="Z748" s="13">
        <f t="shared" si="1149"/>
        <v>4400</v>
      </c>
      <c r="AA748" s="14">
        <f t="shared" si="1150"/>
        <v>0.53658536585365857</v>
      </c>
      <c r="AB748" s="15" t="s">
        <v>203</v>
      </c>
      <c r="AC748" s="15"/>
      <c r="AD748" s="16"/>
      <c r="AE748" s="13">
        <v>5143</v>
      </c>
      <c r="AF748" s="53">
        <f t="shared" si="1151"/>
        <v>264</v>
      </c>
      <c r="AG748" s="13">
        <v>122</v>
      </c>
      <c r="AH748" s="13">
        <f t="shared" si="1152"/>
        <v>7</v>
      </c>
      <c r="AI748" s="13">
        <v>16</v>
      </c>
      <c r="AJ748" s="13">
        <f t="shared" si="1153"/>
        <v>4</v>
      </c>
      <c r="AK748" s="17">
        <v>4</v>
      </c>
      <c r="AL748" s="21" t="str">
        <f>IF(AE748="","",AL744)</f>
        <v>デジタルミニカメラ</v>
      </c>
      <c r="AM748" s="54">
        <f>IF(AF748="","",AM744)</f>
        <v>800</v>
      </c>
      <c r="AN748" s="13">
        <f t="shared" si="1154"/>
        <v>3200</v>
      </c>
      <c r="AO748" s="14">
        <f t="shared" si="1155"/>
        <v>0.12121212121212122</v>
      </c>
      <c r="AP748" s="15"/>
      <c r="AQ748" s="113"/>
      <c r="AR748" s="16"/>
      <c r="AS748" s="13">
        <v>4152</v>
      </c>
      <c r="AT748" s="53">
        <f t="shared" si="1156"/>
        <v>59</v>
      </c>
      <c r="AU748" s="13">
        <v>226</v>
      </c>
      <c r="AV748" s="13">
        <f t="shared" si="1157"/>
        <v>1</v>
      </c>
      <c r="AW748" s="13">
        <v>35</v>
      </c>
      <c r="AX748" s="13">
        <f t="shared" si="1158"/>
        <v>1</v>
      </c>
      <c r="AY748" s="17">
        <v>0</v>
      </c>
      <c r="AZ748" s="56" t="str">
        <f t="shared" si="1159"/>
        <v>ねこアイシャドウ</v>
      </c>
      <c r="BA748" s="54">
        <f t="shared" si="1160"/>
        <v>1000</v>
      </c>
      <c r="BB748" s="13">
        <f t="shared" si="1161"/>
        <v>1000</v>
      </c>
      <c r="BC748" s="14">
        <f t="shared" si="1162"/>
        <v>0.16949152542372881</v>
      </c>
      <c r="BD748" s="15" t="s">
        <v>205</v>
      </c>
      <c r="BU748" s="79">
        <f>IF($A763="","",$A763)</f>
        <v>45873</v>
      </c>
      <c r="BV748" s="13">
        <v>3078</v>
      </c>
      <c r="BW748" s="13">
        <f t="shared" si="1117"/>
        <v>63</v>
      </c>
      <c r="BX748" s="13">
        <v>115</v>
      </c>
      <c r="BY748" s="13">
        <f t="shared" si="1118"/>
        <v>0</v>
      </c>
      <c r="BZ748" s="13">
        <v>3</v>
      </c>
      <c r="CA748" s="13">
        <f t="shared" si="1119"/>
        <v>0</v>
      </c>
      <c r="CB748" s="13">
        <v>5</v>
      </c>
      <c r="CC748" s="53"/>
      <c r="CD748" s="53">
        <f t="shared" si="1140"/>
        <v>1100</v>
      </c>
      <c r="CE748" s="13">
        <f t="shared" si="1120"/>
        <v>0</v>
      </c>
      <c r="CF748" s="14">
        <f t="shared" si="1121"/>
        <v>0</v>
      </c>
      <c r="CG748" s="67" t="s">
        <v>224</v>
      </c>
      <c r="CH748" s="1"/>
      <c r="CI748" s="79">
        <f>IF($A763="","",$A763)</f>
        <v>45873</v>
      </c>
      <c r="CJ748" s="13">
        <v>2419</v>
      </c>
      <c r="CK748" s="13">
        <f t="shared" si="1122"/>
        <v>98</v>
      </c>
      <c r="CL748" s="13">
        <v>26</v>
      </c>
      <c r="CM748" s="13">
        <f t="shared" si="1123"/>
        <v>3</v>
      </c>
      <c r="CN748" s="13">
        <v>14</v>
      </c>
      <c r="CO748" s="13">
        <f t="shared" si="1124"/>
        <v>3</v>
      </c>
      <c r="CP748" s="13">
        <v>2</v>
      </c>
      <c r="CQ748" s="53"/>
      <c r="CR748" s="53">
        <f t="shared" si="1125"/>
        <v>1012</v>
      </c>
      <c r="CS748" s="13">
        <f t="shared" si="1126"/>
        <v>3036</v>
      </c>
      <c r="CT748" s="14">
        <f t="shared" si="1127"/>
        <v>0.30979591836734693</v>
      </c>
      <c r="CU748" s="67"/>
      <c r="CV748" s="1"/>
      <c r="CW748" s="79">
        <f>IF($A763="","",$A763)</f>
        <v>45873</v>
      </c>
      <c r="CX748" s="13">
        <v>4229</v>
      </c>
      <c r="CY748" s="13">
        <f t="shared" si="1128"/>
        <v>133</v>
      </c>
      <c r="CZ748" s="13">
        <v>110</v>
      </c>
      <c r="DA748" s="13">
        <f t="shared" si="1129"/>
        <v>3</v>
      </c>
      <c r="DB748" s="13">
        <v>33</v>
      </c>
      <c r="DC748" s="13">
        <f t="shared" si="1130"/>
        <v>3</v>
      </c>
      <c r="DD748" s="13">
        <v>4</v>
      </c>
      <c r="DE748" s="53"/>
      <c r="DF748" s="53">
        <f t="shared" si="1131"/>
        <v>880</v>
      </c>
      <c r="DG748" s="13">
        <f t="shared" si="1132"/>
        <v>2640</v>
      </c>
      <c r="DH748" s="14">
        <f t="shared" si="1133"/>
        <v>0.19849624060150375</v>
      </c>
      <c r="DI748" s="67"/>
      <c r="DJ748" s="1"/>
      <c r="DK748" s="79">
        <f>IF($A763="","",$A763)</f>
        <v>45873</v>
      </c>
      <c r="DL748" s="13">
        <v>3092</v>
      </c>
      <c r="DM748" s="13">
        <f t="shared" si="1134"/>
        <v>102</v>
      </c>
      <c r="DN748" s="13">
        <v>135</v>
      </c>
      <c r="DO748" s="13">
        <f t="shared" si="1135"/>
        <v>3</v>
      </c>
      <c r="DP748" s="13">
        <v>11</v>
      </c>
      <c r="DQ748" s="13">
        <f t="shared" si="1136"/>
        <v>4</v>
      </c>
      <c r="DR748" s="13">
        <v>2</v>
      </c>
      <c r="DS748" s="53"/>
      <c r="DT748" s="53">
        <f t="shared" si="1137"/>
        <v>1028</v>
      </c>
      <c r="DU748" s="13">
        <f t="shared" si="1138"/>
        <v>4112</v>
      </c>
      <c r="DV748" s="123">
        <f t="shared" si="1139"/>
        <v>0.40313725490196078</v>
      </c>
      <c r="DW748" s="67"/>
    </row>
    <row r="749" spans="1:127" x14ac:dyDescent="0.2">
      <c r="A749" s="16"/>
      <c r="B749" s="11"/>
      <c r="C749" s="13">
        <v>598</v>
      </c>
      <c r="D749" s="13">
        <v>278</v>
      </c>
      <c r="E749" s="13">
        <v>232</v>
      </c>
      <c r="F749" s="13">
        <v>8</v>
      </c>
      <c r="G749" s="13">
        <v>30</v>
      </c>
      <c r="H749" s="13">
        <f t="shared" si="1141"/>
        <v>13</v>
      </c>
      <c r="I749" s="13">
        <v>0</v>
      </c>
      <c r="J749" s="56" t="str">
        <f t="shared" si="1142"/>
        <v>AIモンスタラバー</v>
      </c>
      <c r="K749" s="13">
        <f t="shared" si="1143"/>
        <v>200</v>
      </c>
      <c r="L749" s="13">
        <f t="shared" si="1144"/>
        <v>2600</v>
      </c>
      <c r="M749" s="14">
        <f t="shared" si="1145"/>
        <v>9.3525179856115109E-2</v>
      </c>
      <c r="N749" s="15"/>
      <c r="O749" s="2"/>
      <c r="P749" s="16"/>
      <c r="Q749" s="13">
        <v>155</v>
      </c>
      <c r="R749" s="34">
        <v>155</v>
      </c>
      <c r="S749" s="13">
        <v>992</v>
      </c>
      <c r="T749" s="13">
        <v>1</v>
      </c>
      <c r="U749" s="13">
        <v>6</v>
      </c>
      <c r="V749" s="13">
        <f t="shared" si="1146"/>
        <v>3</v>
      </c>
      <c r="W749" s="17">
        <v>3</v>
      </c>
      <c r="X749" s="56" t="str">
        <f t="shared" si="1147"/>
        <v>キティフェイスポーチ</v>
      </c>
      <c r="Y749" s="13">
        <f t="shared" si="1148"/>
        <v>957</v>
      </c>
      <c r="Z749" s="13">
        <f t="shared" si="1149"/>
        <v>2871</v>
      </c>
      <c r="AA749" s="14">
        <f t="shared" si="1150"/>
        <v>0.18522580645161291</v>
      </c>
      <c r="AB749" s="15"/>
      <c r="AC749" s="15"/>
      <c r="AD749" s="16"/>
      <c r="AE749" s="13">
        <v>5408</v>
      </c>
      <c r="AF749" s="63">
        <f t="shared" si="1151"/>
        <v>263</v>
      </c>
      <c r="AG749" s="13">
        <v>223</v>
      </c>
      <c r="AH749" s="13">
        <f t="shared" si="1152"/>
        <v>16</v>
      </c>
      <c r="AI749" s="13">
        <v>2</v>
      </c>
      <c r="AJ749" s="13">
        <f t="shared" si="1153"/>
        <v>4</v>
      </c>
      <c r="AK749" s="17">
        <v>4</v>
      </c>
      <c r="AL749" s="21" t="s">
        <v>192</v>
      </c>
      <c r="AM749" s="54">
        <v>1050</v>
      </c>
      <c r="AN749" s="13">
        <f t="shared" si="1154"/>
        <v>4200</v>
      </c>
      <c r="AO749" s="14">
        <f t="shared" si="1155"/>
        <v>0.1596958174904943</v>
      </c>
      <c r="AP749" s="15"/>
      <c r="AQ749" s="113"/>
      <c r="AR749" s="16"/>
      <c r="AS749" s="13">
        <v>7147</v>
      </c>
      <c r="AT749" s="63">
        <f t="shared" si="1156"/>
        <v>222</v>
      </c>
      <c r="AU749" s="13">
        <v>299</v>
      </c>
      <c r="AV749" s="13">
        <f t="shared" si="1157"/>
        <v>6</v>
      </c>
      <c r="AW749" s="13">
        <v>100</v>
      </c>
      <c r="AX749" s="13">
        <f t="shared" si="1158"/>
        <v>10</v>
      </c>
      <c r="AY749" s="17">
        <v>75</v>
      </c>
      <c r="AZ749" s="56" t="str">
        <f t="shared" si="1159"/>
        <v>SPGラバーキーホルダー</v>
      </c>
      <c r="BA749" s="13">
        <f t="shared" si="1160"/>
        <v>200</v>
      </c>
      <c r="BB749" s="13">
        <f t="shared" si="1161"/>
        <v>2000</v>
      </c>
      <c r="BC749" s="14">
        <f t="shared" si="1162"/>
        <v>9.0090090090090086E-2</v>
      </c>
      <c r="BD749" s="15"/>
      <c r="BU749" s="79">
        <f>IF($A767="","",$A767)</f>
        <v>45877</v>
      </c>
      <c r="BV749" s="13">
        <v>3415</v>
      </c>
      <c r="BW749" s="13">
        <f t="shared" si="1117"/>
        <v>337</v>
      </c>
      <c r="BX749" s="13">
        <v>121</v>
      </c>
      <c r="BY749" s="13">
        <f t="shared" si="1118"/>
        <v>6</v>
      </c>
      <c r="BZ749" s="13">
        <v>0</v>
      </c>
      <c r="CA749" s="13">
        <f t="shared" si="1119"/>
        <v>8</v>
      </c>
      <c r="CB749" s="13">
        <v>14</v>
      </c>
      <c r="CC749" s="53"/>
      <c r="CD749" s="53">
        <v>495</v>
      </c>
      <c r="CE749" s="13">
        <f t="shared" si="1120"/>
        <v>3960</v>
      </c>
      <c r="CF749" s="14">
        <f t="shared" si="1121"/>
        <v>0.11750741839762611</v>
      </c>
      <c r="CG749" s="67" t="s">
        <v>231</v>
      </c>
      <c r="CH749" s="1"/>
      <c r="CI749" s="79">
        <f>IF($A767="","",$A767)</f>
        <v>45877</v>
      </c>
      <c r="CJ749" s="13">
        <v>2507</v>
      </c>
      <c r="CK749" s="13">
        <f t="shared" si="1122"/>
        <v>88</v>
      </c>
      <c r="CL749" s="13">
        <v>28</v>
      </c>
      <c r="CM749" s="13">
        <f t="shared" si="1123"/>
        <v>2</v>
      </c>
      <c r="CN749" s="13">
        <v>14</v>
      </c>
      <c r="CO749" s="13">
        <f t="shared" si="1124"/>
        <v>2</v>
      </c>
      <c r="CP749" s="13">
        <v>0</v>
      </c>
      <c r="CQ749" s="53"/>
      <c r="CR749" s="53">
        <f t="shared" si="1125"/>
        <v>1012</v>
      </c>
      <c r="CS749" s="13">
        <f t="shared" si="1126"/>
        <v>2024</v>
      </c>
      <c r="CT749" s="14">
        <f t="shared" si="1127"/>
        <v>0.23</v>
      </c>
      <c r="CU749" s="67"/>
      <c r="CV749" s="1"/>
      <c r="CW749" s="79">
        <f>IF($A767="","",$A767)</f>
        <v>45877</v>
      </c>
      <c r="CX749" s="13">
        <v>4463</v>
      </c>
      <c r="CY749" s="13">
        <f t="shared" si="1128"/>
        <v>234</v>
      </c>
      <c r="CZ749" s="13">
        <v>112</v>
      </c>
      <c r="DA749" s="13">
        <f t="shared" si="1129"/>
        <v>2</v>
      </c>
      <c r="DB749" s="13">
        <v>35</v>
      </c>
      <c r="DC749" s="13">
        <f t="shared" si="1130"/>
        <v>2</v>
      </c>
      <c r="DD749" s="13">
        <v>0</v>
      </c>
      <c r="DE749" s="53"/>
      <c r="DF749" s="53">
        <f t="shared" si="1131"/>
        <v>880</v>
      </c>
      <c r="DG749" s="13">
        <f t="shared" si="1132"/>
        <v>1760</v>
      </c>
      <c r="DH749" s="14">
        <f t="shared" si="1133"/>
        <v>7.521367521367521E-2</v>
      </c>
      <c r="DI749" s="67"/>
      <c r="DJ749" s="1"/>
      <c r="DK749" s="79">
        <f>IF($A767="","",$A767)</f>
        <v>45877</v>
      </c>
      <c r="DL749" s="13">
        <v>3192</v>
      </c>
      <c r="DM749" s="13">
        <f t="shared" si="1134"/>
        <v>100</v>
      </c>
      <c r="DN749" s="13">
        <v>140</v>
      </c>
      <c r="DO749" s="13">
        <f t="shared" si="1135"/>
        <v>5</v>
      </c>
      <c r="DP749" s="13">
        <v>7</v>
      </c>
      <c r="DQ749" s="13">
        <f t="shared" si="1136"/>
        <v>6</v>
      </c>
      <c r="DR749" s="13">
        <v>2</v>
      </c>
      <c r="DS749" s="53"/>
      <c r="DT749" s="53">
        <f t="shared" si="1137"/>
        <v>1028</v>
      </c>
      <c r="DU749" s="13">
        <f t="shared" si="1138"/>
        <v>6168</v>
      </c>
      <c r="DV749" s="123">
        <f t="shared" si="1139"/>
        <v>0.61680000000000001</v>
      </c>
      <c r="DW749" s="67"/>
    </row>
    <row r="750" spans="1:127" ht="15" customHeight="1" thickBot="1" x14ac:dyDescent="0.25">
      <c r="A750" s="26"/>
      <c r="B750" s="46"/>
      <c r="C750" s="27">
        <v>382</v>
      </c>
      <c r="D750" s="27">
        <v>162</v>
      </c>
      <c r="E750" s="27">
        <v>239</v>
      </c>
      <c r="F750" s="27">
        <v>15</v>
      </c>
      <c r="G750" s="27">
        <v>30</v>
      </c>
      <c r="H750" s="27">
        <f t="shared" si="1141"/>
        <v>16</v>
      </c>
      <c r="I750" s="27">
        <v>10</v>
      </c>
      <c r="J750" s="57" t="str">
        <f t="shared" si="1142"/>
        <v>NICIマスコット</v>
      </c>
      <c r="K750" s="62">
        <f t="shared" si="1143"/>
        <v>682</v>
      </c>
      <c r="L750" s="27">
        <f t="shared" si="1144"/>
        <v>10912</v>
      </c>
      <c r="M750" s="28">
        <f t="shared" si="1145"/>
        <v>0.67358024691358021</v>
      </c>
      <c r="N750" s="15"/>
      <c r="O750" s="2"/>
      <c r="P750" s="26"/>
      <c r="Q750" s="29">
        <v>123</v>
      </c>
      <c r="R750" s="131">
        <v>123</v>
      </c>
      <c r="S750" s="62">
        <v>999</v>
      </c>
      <c r="T750" s="27">
        <v>9</v>
      </c>
      <c r="U750" s="27">
        <v>13</v>
      </c>
      <c r="V750" s="27">
        <f t="shared" si="1146"/>
        <v>7</v>
      </c>
      <c r="W750" s="107">
        <v>6</v>
      </c>
      <c r="X750" s="57" t="str">
        <f t="shared" si="1147"/>
        <v>ターボババァマスコット</v>
      </c>
      <c r="Y750" s="62">
        <f t="shared" si="1148"/>
        <v>800</v>
      </c>
      <c r="Z750" s="27">
        <f t="shared" si="1149"/>
        <v>5600</v>
      </c>
      <c r="AA750" s="28">
        <f t="shared" si="1150"/>
        <v>0.45528455284552843</v>
      </c>
      <c r="AB750" s="15" t="s">
        <v>204</v>
      </c>
      <c r="AC750" s="15"/>
      <c r="AD750" s="26"/>
      <c r="AE750" s="29">
        <v>5646</v>
      </c>
      <c r="AF750" s="61">
        <f t="shared" si="1151"/>
        <v>251</v>
      </c>
      <c r="AG750" s="62">
        <v>177</v>
      </c>
      <c r="AH750" s="27">
        <f t="shared" si="1152"/>
        <v>4</v>
      </c>
      <c r="AI750" s="27">
        <v>12</v>
      </c>
      <c r="AJ750" s="27">
        <f t="shared" si="1153"/>
        <v>5</v>
      </c>
      <c r="AK750" s="107">
        <v>0</v>
      </c>
      <c r="AL750" s="30" t="str">
        <f t="shared" ref="AL750:AM753" si="1163">IF(AE750="","",AL746)</f>
        <v>ギャルキティキーケース</v>
      </c>
      <c r="AM750" s="62">
        <f t="shared" si="1163"/>
        <v>726</v>
      </c>
      <c r="AN750" s="27">
        <f t="shared" si="1154"/>
        <v>3630</v>
      </c>
      <c r="AO750" s="28">
        <f t="shared" si="1155"/>
        <v>0.1446215139442231</v>
      </c>
      <c r="AP750" s="15" t="s">
        <v>210</v>
      </c>
      <c r="AQ750" s="113"/>
      <c r="AR750" s="26"/>
      <c r="AS750" s="29">
        <v>6316</v>
      </c>
      <c r="AT750" s="61">
        <f t="shared" si="1156"/>
        <v>180</v>
      </c>
      <c r="AU750" s="62">
        <v>272</v>
      </c>
      <c r="AV750" s="27">
        <f t="shared" si="1157"/>
        <v>5</v>
      </c>
      <c r="AW750" s="27">
        <v>46</v>
      </c>
      <c r="AX750" s="27">
        <f t="shared" si="1158"/>
        <v>6</v>
      </c>
      <c r="AY750" s="107">
        <v>0</v>
      </c>
      <c r="AZ750" s="57" t="str">
        <f t="shared" si="1159"/>
        <v>キティサンダルキーホルダー</v>
      </c>
      <c r="BA750" s="62">
        <f t="shared" si="1160"/>
        <v>600</v>
      </c>
      <c r="BB750" s="27">
        <f t="shared" si="1161"/>
        <v>3600</v>
      </c>
      <c r="BC750" s="28">
        <f t="shared" si="1162"/>
        <v>0.2</v>
      </c>
      <c r="BD750" s="15"/>
      <c r="BU750" s="79">
        <f>IF($A771="","",$A771)</f>
        <v>45880</v>
      </c>
      <c r="BV750" s="13">
        <v>3780</v>
      </c>
      <c r="BW750" s="13">
        <f t="shared" si="1117"/>
        <v>365</v>
      </c>
      <c r="BX750" s="13">
        <v>128</v>
      </c>
      <c r="BY750" s="13">
        <f t="shared" si="1118"/>
        <v>7</v>
      </c>
      <c r="BZ750" s="13">
        <v>7</v>
      </c>
      <c r="CA750" s="13">
        <f t="shared" si="1119"/>
        <v>7</v>
      </c>
      <c r="CB750" s="13">
        <v>7</v>
      </c>
      <c r="CC750" s="53"/>
      <c r="CD750" s="53">
        <f t="shared" si="1140"/>
        <v>495</v>
      </c>
      <c r="CE750" s="13">
        <f t="shared" si="1120"/>
        <v>3465</v>
      </c>
      <c r="CF750" s="14">
        <f t="shared" si="1121"/>
        <v>9.4931506849315062E-2</v>
      </c>
      <c r="CG750" s="67"/>
      <c r="CH750" s="1"/>
      <c r="CI750" s="79">
        <f>IF($A771="","",$A771)</f>
        <v>45880</v>
      </c>
      <c r="CJ750" s="13">
        <v>2708</v>
      </c>
      <c r="CK750" s="13">
        <f t="shared" si="1122"/>
        <v>201</v>
      </c>
      <c r="CL750" s="13">
        <v>28</v>
      </c>
      <c r="CM750" s="13">
        <f t="shared" si="1123"/>
        <v>0</v>
      </c>
      <c r="CN750" s="13">
        <v>14</v>
      </c>
      <c r="CO750" s="13">
        <f t="shared" si="1124"/>
        <v>0</v>
      </c>
      <c r="CP750" s="13">
        <v>0</v>
      </c>
      <c r="CQ750" s="53"/>
      <c r="CR750" s="53">
        <f t="shared" si="1125"/>
        <v>1012</v>
      </c>
      <c r="CS750" s="13">
        <f t="shared" si="1126"/>
        <v>0</v>
      </c>
      <c r="CT750" s="14">
        <f t="shared" si="1127"/>
        <v>0</v>
      </c>
      <c r="CU750" s="67"/>
      <c r="CV750" s="1"/>
      <c r="CW750" s="79">
        <f>IF($A771="","",$A771)</f>
        <v>45880</v>
      </c>
      <c r="CX750" s="13">
        <v>4691</v>
      </c>
      <c r="CY750" s="13">
        <f t="shared" si="1128"/>
        <v>228</v>
      </c>
      <c r="CZ750" s="13">
        <v>115</v>
      </c>
      <c r="DA750" s="13">
        <f t="shared" si="1129"/>
        <v>3</v>
      </c>
      <c r="DB750" s="13">
        <v>32</v>
      </c>
      <c r="DC750" s="13">
        <f t="shared" si="1130"/>
        <v>3</v>
      </c>
      <c r="DD750" s="13">
        <v>13</v>
      </c>
      <c r="DE750" s="53"/>
      <c r="DF750" s="53">
        <f t="shared" si="1131"/>
        <v>880</v>
      </c>
      <c r="DG750" s="13">
        <f t="shared" si="1132"/>
        <v>2640</v>
      </c>
      <c r="DH750" s="14">
        <f t="shared" si="1133"/>
        <v>0.11578947368421053</v>
      </c>
      <c r="DI750" s="67"/>
      <c r="DJ750" s="1"/>
      <c r="DK750" s="79">
        <f>IF($A771="","",$A771)</f>
        <v>45880</v>
      </c>
      <c r="DL750" s="13">
        <v>3255</v>
      </c>
      <c r="DM750" s="13">
        <f t="shared" si="1134"/>
        <v>63</v>
      </c>
      <c r="DN750" s="13">
        <v>148</v>
      </c>
      <c r="DO750" s="13">
        <f t="shared" si="1135"/>
        <v>8</v>
      </c>
      <c r="DP750" s="13">
        <v>0</v>
      </c>
      <c r="DQ750" s="13">
        <f t="shared" si="1136"/>
        <v>9</v>
      </c>
      <c r="DR750" s="13">
        <v>44</v>
      </c>
      <c r="DS750" s="53"/>
      <c r="DT750" s="53">
        <f t="shared" si="1137"/>
        <v>1028</v>
      </c>
      <c r="DU750" s="13">
        <f t="shared" si="1138"/>
        <v>9252</v>
      </c>
      <c r="DV750" s="14">
        <f t="shared" si="1139"/>
        <v>1.4685714285714286</v>
      </c>
      <c r="DW750" s="67" t="s">
        <v>236</v>
      </c>
    </row>
    <row r="751" spans="1:127" ht="15" customHeight="1" thickTop="1" x14ac:dyDescent="0.2">
      <c r="A751" s="79">
        <v>45863</v>
      </c>
      <c r="B751" s="74">
        <f>IF(A751="","",SUM(D751:D754)+SUM(R751:R754)+SUM(AF751:AF754)+SUM(AT751:AT754)+SUM(BW745,CK745,CY745,DM745))</f>
        <v>2492</v>
      </c>
      <c r="C751" s="53">
        <v>369</v>
      </c>
      <c r="D751" s="53">
        <f t="shared" ref="D751:D794" si="1164">IF(C751="","",C751-C747)</f>
        <v>47</v>
      </c>
      <c r="E751" s="53">
        <v>235</v>
      </c>
      <c r="F751" s="31">
        <f t="shared" ref="F751:F794" si="1165">IF(E751="","",E751-E747)</f>
        <v>4</v>
      </c>
      <c r="G751" s="53">
        <v>16</v>
      </c>
      <c r="H751" s="53">
        <f t="shared" si="1141"/>
        <v>4</v>
      </c>
      <c r="I751" s="53">
        <v>0</v>
      </c>
      <c r="J751" s="75" t="str">
        <f t="shared" si="1142"/>
        <v>ジャグラーサウンドボタン</v>
      </c>
      <c r="K751" s="76">
        <f t="shared" si="1143"/>
        <v>748</v>
      </c>
      <c r="L751" s="31">
        <f t="shared" si="1144"/>
        <v>2992</v>
      </c>
      <c r="M751" s="32">
        <f t="shared" si="1145"/>
        <v>0.63659574468085112</v>
      </c>
      <c r="N751" s="15" t="s">
        <v>216</v>
      </c>
      <c r="O751" s="2"/>
      <c r="P751" s="79">
        <f>IF(A751="","",A751)</f>
        <v>45863</v>
      </c>
      <c r="Q751" s="53">
        <v>165</v>
      </c>
      <c r="R751" s="53">
        <f t="shared" ref="R751:R794" si="1166">IF(Q751="","",Q751-Q747)</f>
        <v>91</v>
      </c>
      <c r="S751" s="53">
        <v>8</v>
      </c>
      <c r="T751" s="31">
        <f>IF(S751="","",S751-S747)+1000</f>
        <v>13</v>
      </c>
      <c r="U751" s="53">
        <v>13</v>
      </c>
      <c r="V751" s="53">
        <f t="shared" si="1146"/>
        <v>8</v>
      </c>
      <c r="W751" s="53">
        <v>8</v>
      </c>
      <c r="X751" s="75" t="str">
        <f t="shared" si="1147"/>
        <v>ジャグラーパネルKH</v>
      </c>
      <c r="Y751" s="76">
        <f t="shared" si="1148"/>
        <v>500</v>
      </c>
      <c r="Z751" s="31">
        <f t="shared" si="1149"/>
        <v>4000</v>
      </c>
      <c r="AA751" s="32">
        <f t="shared" si="1150"/>
        <v>0.43956043956043955</v>
      </c>
      <c r="AB751" s="15"/>
      <c r="AD751" s="79">
        <f>IF($A751="","",$A751)</f>
        <v>45863</v>
      </c>
      <c r="AE751" s="53">
        <v>6181</v>
      </c>
      <c r="AF751" s="127">
        <f t="shared" si="1151"/>
        <v>45</v>
      </c>
      <c r="AG751" s="53">
        <v>125</v>
      </c>
      <c r="AH751" s="31">
        <f t="shared" si="1152"/>
        <v>0</v>
      </c>
      <c r="AI751" s="53">
        <v>41</v>
      </c>
      <c r="AJ751" s="53">
        <f t="shared" si="1153"/>
        <v>0</v>
      </c>
      <c r="AK751" s="53">
        <v>1</v>
      </c>
      <c r="AL751" s="75" t="str">
        <f t="shared" si="1163"/>
        <v>ミニ香水</v>
      </c>
      <c r="AM751" s="76">
        <f t="shared" si="1163"/>
        <v>1100</v>
      </c>
      <c r="AN751" s="31">
        <f t="shared" si="1154"/>
        <v>0</v>
      </c>
      <c r="AO751" s="32">
        <f t="shared" si="1155"/>
        <v>0</v>
      </c>
      <c r="AP751" s="15"/>
      <c r="AQ751" s="115"/>
      <c r="AR751" s="79">
        <f>IF($A751="","",$A751)</f>
        <v>45863</v>
      </c>
      <c r="AS751" s="53">
        <v>6399</v>
      </c>
      <c r="AT751" s="53">
        <f t="shared" si="1156"/>
        <v>143</v>
      </c>
      <c r="AU751" s="53">
        <v>209</v>
      </c>
      <c r="AV751" s="31">
        <f t="shared" si="1157"/>
        <v>2</v>
      </c>
      <c r="AW751" s="53">
        <v>10</v>
      </c>
      <c r="AX751" s="53">
        <f t="shared" si="1158"/>
        <v>2</v>
      </c>
      <c r="AY751" s="80">
        <v>0</v>
      </c>
      <c r="AZ751" s="75" t="str">
        <f t="shared" si="1159"/>
        <v>こびとづかんキーケース</v>
      </c>
      <c r="BA751" s="76">
        <f t="shared" si="1160"/>
        <v>726</v>
      </c>
      <c r="BB751" s="31">
        <f t="shared" si="1161"/>
        <v>1452</v>
      </c>
      <c r="BC751" s="32">
        <f t="shared" si="1162"/>
        <v>0.10153846153846154</v>
      </c>
      <c r="BD751" s="15"/>
      <c r="BT751" s="15"/>
      <c r="BU751" s="79" t="str">
        <f>IF($A775="","",$A775)</f>
        <v/>
      </c>
      <c r="BV751" s="13"/>
      <c r="BW751" s="13"/>
      <c r="BX751" s="13"/>
      <c r="BY751" s="13"/>
      <c r="BZ751" s="13"/>
      <c r="CA751" s="13"/>
      <c r="CB751" s="13"/>
      <c r="CC751" s="53"/>
      <c r="CD751" s="53"/>
      <c r="CE751" s="13"/>
      <c r="CF751" s="14"/>
      <c r="CG751" s="67"/>
      <c r="CH751" s="1"/>
      <c r="CI751" s="79"/>
      <c r="CJ751" s="13"/>
      <c r="CK751" s="13"/>
      <c r="CL751" s="13"/>
      <c r="CM751" s="13"/>
      <c r="CN751" s="13"/>
      <c r="CO751" s="13"/>
      <c r="CP751" s="13"/>
      <c r="CQ751" s="53"/>
      <c r="CR751" s="53"/>
      <c r="CS751" s="13"/>
      <c r="CT751" s="14"/>
      <c r="CU751" s="67"/>
      <c r="CV751" s="1"/>
      <c r="CW751" s="79"/>
      <c r="CX751" s="13"/>
      <c r="CY751" s="13"/>
      <c r="CZ751" s="13"/>
      <c r="DA751" s="13"/>
      <c r="DB751" s="13"/>
      <c r="DC751" s="13"/>
      <c r="DD751" s="13"/>
      <c r="DE751" s="53"/>
      <c r="DF751" s="53"/>
      <c r="DG751" s="13"/>
      <c r="DH751" s="14"/>
      <c r="DI751" s="67"/>
      <c r="DJ751" s="1"/>
      <c r="DK751" s="79"/>
      <c r="DL751" s="13"/>
      <c r="DM751" s="13"/>
      <c r="DN751" s="13"/>
      <c r="DO751" s="13"/>
      <c r="DP751" s="13"/>
      <c r="DQ751" s="13"/>
      <c r="DR751" s="13"/>
      <c r="DS751" s="53"/>
      <c r="DT751" s="53"/>
      <c r="DU751" s="13"/>
      <c r="DV751" s="14"/>
      <c r="DW751" s="67"/>
    </row>
    <row r="752" spans="1:127" x14ac:dyDescent="0.2">
      <c r="A752" s="16"/>
      <c r="B752" s="11"/>
      <c r="C752" s="13">
        <v>392</v>
      </c>
      <c r="D752" s="13">
        <f t="shared" si="1164"/>
        <v>90</v>
      </c>
      <c r="E752" s="13">
        <v>231</v>
      </c>
      <c r="F752" s="13">
        <f t="shared" si="1165"/>
        <v>3</v>
      </c>
      <c r="G752" s="13">
        <v>11</v>
      </c>
      <c r="H752" s="50">
        <f t="shared" si="1141"/>
        <v>3</v>
      </c>
      <c r="I752" s="13">
        <v>0</v>
      </c>
      <c r="J752" s="56" t="str">
        <f t="shared" si="1142"/>
        <v>ジャグラーイヤホン</v>
      </c>
      <c r="K752" s="54">
        <f t="shared" si="1143"/>
        <v>1100</v>
      </c>
      <c r="L752" s="13">
        <f t="shared" si="1144"/>
        <v>3300</v>
      </c>
      <c r="M752" s="14">
        <f t="shared" si="1145"/>
        <v>0.36666666666666664</v>
      </c>
      <c r="N752" s="15"/>
      <c r="O752" s="2"/>
      <c r="P752" s="16"/>
      <c r="Q752" s="13">
        <v>298</v>
      </c>
      <c r="R752" s="13">
        <f t="shared" si="1166"/>
        <v>216</v>
      </c>
      <c r="S752" s="13">
        <v>3</v>
      </c>
      <c r="T752" s="13">
        <f>IF(S752="","",S752-S748)+1000</f>
        <v>10</v>
      </c>
      <c r="U752" s="13">
        <v>0</v>
      </c>
      <c r="V752" s="13">
        <f t="shared" si="1146"/>
        <v>11</v>
      </c>
      <c r="W752" s="13">
        <v>10</v>
      </c>
      <c r="X752" s="56" t="str">
        <f t="shared" si="1147"/>
        <v>サンリオFAN</v>
      </c>
      <c r="Y752" s="54">
        <f t="shared" si="1148"/>
        <v>1100</v>
      </c>
      <c r="Z752" s="13">
        <f t="shared" si="1149"/>
        <v>12100</v>
      </c>
      <c r="AA752" s="14">
        <f t="shared" si="1150"/>
        <v>0.56018518518518523</v>
      </c>
      <c r="AB752" s="15" t="s">
        <v>214</v>
      </c>
      <c r="AD752" s="16"/>
      <c r="AE752" s="13">
        <v>5219</v>
      </c>
      <c r="AF752" s="13">
        <f t="shared" si="1151"/>
        <v>76</v>
      </c>
      <c r="AG752" s="13">
        <v>122</v>
      </c>
      <c r="AH752" s="13">
        <f t="shared" si="1152"/>
        <v>0</v>
      </c>
      <c r="AI752" s="13">
        <v>20</v>
      </c>
      <c r="AJ752" s="50">
        <f t="shared" si="1153"/>
        <v>0</v>
      </c>
      <c r="AK752" s="13">
        <v>0</v>
      </c>
      <c r="AL752" s="56" t="str">
        <f t="shared" si="1163"/>
        <v>デジタルミニカメラ</v>
      </c>
      <c r="AM752" s="54">
        <f t="shared" si="1163"/>
        <v>800</v>
      </c>
      <c r="AN752" s="13">
        <f t="shared" si="1154"/>
        <v>0</v>
      </c>
      <c r="AO752" s="14">
        <f t="shared" si="1155"/>
        <v>0</v>
      </c>
      <c r="AP752" s="15"/>
      <c r="AQ752" s="115"/>
      <c r="AR752" s="16"/>
      <c r="AS752" s="13">
        <v>4217</v>
      </c>
      <c r="AT752" s="13">
        <f t="shared" si="1156"/>
        <v>65</v>
      </c>
      <c r="AU752" s="13">
        <v>228</v>
      </c>
      <c r="AV752" s="13">
        <f t="shared" si="1157"/>
        <v>2</v>
      </c>
      <c r="AW752" s="13">
        <v>33</v>
      </c>
      <c r="AX752" s="13">
        <f t="shared" si="1158"/>
        <v>2</v>
      </c>
      <c r="AY752" s="17">
        <v>0</v>
      </c>
      <c r="AZ752" s="56" t="str">
        <f t="shared" si="1159"/>
        <v>ねこアイシャドウ</v>
      </c>
      <c r="BA752" s="54">
        <f t="shared" si="1160"/>
        <v>1000</v>
      </c>
      <c r="BB752" s="13">
        <f t="shared" si="1161"/>
        <v>2000</v>
      </c>
      <c r="BC752" s="14">
        <f t="shared" si="1162"/>
        <v>0.30769230769230771</v>
      </c>
      <c r="BD752" s="15"/>
      <c r="BT752" s="15"/>
      <c r="BU752" s="79" t="str">
        <f>IF($A779="","",$A779)</f>
        <v/>
      </c>
      <c r="BV752" s="13"/>
      <c r="BW752" s="13" t="str">
        <f t="shared" si="1117"/>
        <v/>
      </c>
      <c r="BX752" s="13"/>
      <c r="BY752" s="13" t="str">
        <f t="shared" si="1118"/>
        <v/>
      </c>
      <c r="BZ752" s="13"/>
      <c r="CA752" s="13" t="str">
        <f t="shared" si="1119"/>
        <v/>
      </c>
      <c r="CB752" s="13"/>
      <c r="CC752" s="53"/>
      <c r="CD752" s="53" t="str">
        <f t="shared" si="1140"/>
        <v/>
      </c>
      <c r="CE752" s="13" t="str">
        <f t="shared" si="1120"/>
        <v/>
      </c>
      <c r="CF752" s="14" t="str">
        <f t="shared" si="1121"/>
        <v/>
      </c>
      <c r="CG752" s="67"/>
      <c r="CH752" s="1"/>
      <c r="CI752" s="79" t="str">
        <f>IF($A779="","",$A779)</f>
        <v/>
      </c>
      <c r="CJ752" s="13"/>
      <c r="CK752" s="13" t="str">
        <f t="shared" si="1122"/>
        <v/>
      </c>
      <c r="CL752" s="13"/>
      <c r="CM752" s="13" t="str">
        <f t="shared" si="1123"/>
        <v/>
      </c>
      <c r="CN752" s="13"/>
      <c r="CO752" s="13" t="str">
        <f t="shared" si="1124"/>
        <v/>
      </c>
      <c r="CP752" s="13"/>
      <c r="CQ752" s="53"/>
      <c r="CR752" s="53" t="str">
        <f t="shared" si="1125"/>
        <v/>
      </c>
      <c r="CS752" s="13" t="str">
        <f t="shared" si="1126"/>
        <v/>
      </c>
      <c r="CT752" s="14" t="str">
        <f t="shared" si="1127"/>
        <v/>
      </c>
      <c r="CU752" s="67"/>
      <c r="CV752" s="1"/>
      <c r="CW752" s="79" t="str">
        <f>IF($A779="","",$A779)</f>
        <v/>
      </c>
      <c r="CX752" s="13"/>
      <c r="CY752" s="13" t="str">
        <f t="shared" si="1128"/>
        <v/>
      </c>
      <c r="CZ752" s="13"/>
      <c r="DA752" s="13" t="str">
        <f t="shared" si="1129"/>
        <v/>
      </c>
      <c r="DB752" s="13"/>
      <c r="DC752" s="13" t="str">
        <f t="shared" si="1130"/>
        <v/>
      </c>
      <c r="DD752" s="13"/>
      <c r="DE752" s="53"/>
      <c r="DF752" s="53" t="str">
        <f t="shared" si="1131"/>
        <v/>
      </c>
      <c r="DG752" s="13" t="str">
        <f t="shared" si="1132"/>
        <v/>
      </c>
      <c r="DH752" s="14" t="str">
        <f t="shared" si="1133"/>
        <v/>
      </c>
      <c r="DI752" s="67"/>
      <c r="DJ752" s="1"/>
      <c r="DK752" s="79" t="str">
        <f>IF($A779="","",$A779)</f>
        <v/>
      </c>
      <c r="DL752" s="13"/>
      <c r="DM752" s="13" t="str">
        <f t="shared" si="1134"/>
        <v/>
      </c>
      <c r="DN752" s="13"/>
      <c r="DO752" s="13" t="str">
        <f t="shared" si="1135"/>
        <v/>
      </c>
      <c r="DP752" s="13"/>
      <c r="DQ752" s="13" t="str">
        <f t="shared" si="1136"/>
        <v/>
      </c>
      <c r="DR752" s="13"/>
      <c r="DS752" s="53"/>
      <c r="DT752" s="53" t="str">
        <f t="shared" si="1137"/>
        <v/>
      </c>
      <c r="DU752" s="13" t="str">
        <f t="shared" si="1138"/>
        <v/>
      </c>
      <c r="DV752" s="14" t="str">
        <f t="shared" si="1139"/>
        <v/>
      </c>
      <c r="DW752" s="67"/>
    </row>
    <row r="753" spans="1:127" x14ac:dyDescent="0.2">
      <c r="A753" s="16"/>
      <c r="B753" s="11"/>
      <c r="C753" s="13">
        <v>910</v>
      </c>
      <c r="D753" s="13">
        <f t="shared" si="1164"/>
        <v>312</v>
      </c>
      <c r="E753" s="13">
        <v>232</v>
      </c>
      <c r="F753" s="13">
        <f t="shared" si="1165"/>
        <v>0</v>
      </c>
      <c r="G753" s="13">
        <v>29</v>
      </c>
      <c r="H753" s="13">
        <f t="shared" si="1141"/>
        <v>1</v>
      </c>
      <c r="I753" s="13">
        <v>60</v>
      </c>
      <c r="J753" s="56" t="str">
        <f t="shared" si="1142"/>
        <v>AIモンスタラバー</v>
      </c>
      <c r="K753" s="13">
        <f t="shared" si="1143"/>
        <v>200</v>
      </c>
      <c r="L753" s="13">
        <f t="shared" si="1144"/>
        <v>200</v>
      </c>
      <c r="M753" s="14">
        <f t="shared" si="1145"/>
        <v>6.41025641025641E-3</v>
      </c>
      <c r="N753" s="15"/>
      <c r="O753" s="2"/>
      <c r="P753" s="16"/>
      <c r="Q753" s="13">
        <v>281</v>
      </c>
      <c r="R753" s="13">
        <f t="shared" si="1166"/>
        <v>126</v>
      </c>
      <c r="S753" s="13">
        <v>994</v>
      </c>
      <c r="T753" s="13">
        <f>IF(S753="","",S753-S749)</f>
        <v>2</v>
      </c>
      <c r="U753" s="13">
        <v>7</v>
      </c>
      <c r="V753" s="13">
        <f t="shared" si="1146"/>
        <v>2</v>
      </c>
      <c r="W753" s="13">
        <v>2</v>
      </c>
      <c r="X753" s="56" t="str">
        <f t="shared" si="1147"/>
        <v>キティフェイスポーチ</v>
      </c>
      <c r="Y753" s="13">
        <f t="shared" si="1148"/>
        <v>957</v>
      </c>
      <c r="Z753" s="13">
        <f t="shared" si="1149"/>
        <v>1914</v>
      </c>
      <c r="AA753" s="14">
        <f t="shared" si="1150"/>
        <v>0.1519047619047619</v>
      </c>
      <c r="AB753" s="15"/>
      <c r="AD753" s="16"/>
      <c r="AE753" s="13">
        <v>5429</v>
      </c>
      <c r="AF753" s="13">
        <f t="shared" si="1151"/>
        <v>21</v>
      </c>
      <c r="AG753" s="13">
        <v>223</v>
      </c>
      <c r="AH753" s="13">
        <f t="shared" si="1152"/>
        <v>0</v>
      </c>
      <c r="AI753" s="13">
        <v>6</v>
      </c>
      <c r="AJ753" s="13">
        <f t="shared" si="1153"/>
        <v>0</v>
      </c>
      <c r="AK753" s="13">
        <v>0</v>
      </c>
      <c r="AL753" s="56" t="str">
        <f t="shared" si="1163"/>
        <v>ジョージファン</v>
      </c>
      <c r="AM753" s="13">
        <f t="shared" si="1163"/>
        <v>1050</v>
      </c>
      <c r="AN753" s="13">
        <f t="shared" si="1154"/>
        <v>0</v>
      </c>
      <c r="AO753" s="14">
        <f t="shared" si="1155"/>
        <v>0</v>
      </c>
      <c r="AP753" s="92" t="s">
        <v>212</v>
      </c>
      <c r="AQ753" s="115"/>
      <c r="AR753" s="16"/>
      <c r="AS753" s="13">
        <v>7273</v>
      </c>
      <c r="AT753" s="13">
        <f t="shared" si="1156"/>
        <v>126</v>
      </c>
      <c r="AU753" s="13">
        <v>305</v>
      </c>
      <c r="AV753" s="13">
        <f t="shared" si="1157"/>
        <v>6</v>
      </c>
      <c r="AW753" s="13">
        <v>168</v>
      </c>
      <c r="AX753" s="13">
        <f t="shared" si="1158"/>
        <v>7</v>
      </c>
      <c r="AY753" s="17">
        <v>0</v>
      </c>
      <c r="AZ753" s="56" t="str">
        <f t="shared" si="1159"/>
        <v>SPGラバーキーホルダー</v>
      </c>
      <c r="BA753" s="13">
        <f t="shared" si="1160"/>
        <v>200</v>
      </c>
      <c r="BB753" s="13">
        <f t="shared" si="1161"/>
        <v>1400</v>
      </c>
      <c r="BC753" s="14">
        <f t="shared" si="1162"/>
        <v>0.1111111111111111</v>
      </c>
      <c r="BD753" s="15"/>
      <c r="BT753" s="15"/>
      <c r="BU753" s="79" t="str">
        <f>IF($A783="","",$A783)</f>
        <v/>
      </c>
      <c r="BV753" s="13"/>
      <c r="BW753" s="13" t="str">
        <f t="shared" si="1117"/>
        <v/>
      </c>
      <c r="BX753" s="13"/>
      <c r="BY753" s="13" t="str">
        <f t="shared" si="1118"/>
        <v/>
      </c>
      <c r="BZ753" s="13"/>
      <c r="CA753" s="13" t="str">
        <f t="shared" si="1119"/>
        <v/>
      </c>
      <c r="CB753" s="13"/>
      <c r="CC753" s="53"/>
      <c r="CD753" s="53" t="str">
        <f t="shared" si="1140"/>
        <v/>
      </c>
      <c r="CE753" s="13" t="str">
        <f t="shared" si="1120"/>
        <v/>
      </c>
      <c r="CF753" s="14" t="str">
        <f t="shared" si="1121"/>
        <v/>
      </c>
      <c r="CG753" s="67"/>
      <c r="CH753" s="1"/>
      <c r="CI753" s="79" t="str">
        <f>IF($A783="","",$A783)</f>
        <v/>
      </c>
      <c r="CJ753" s="13"/>
      <c r="CK753" s="13" t="str">
        <f t="shared" si="1122"/>
        <v/>
      </c>
      <c r="CL753" s="13"/>
      <c r="CM753" s="13" t="str">
        <f t="shared" si="1123"/>
        <v/>
      </c>
      <c r="CN753" s="13"/>
      <c r="CO753" s="13" t="str">
        <f t="shared" si="1124"/>
        <v/>
      </c>
      <c r="CP753" s="13"/>
      <c r="CQ753" s="53"/>
      <c r="CR753" s="53" t="str">
        <f t="shared" si="1125"/>
        <v/>
      </c>
      <c r="CS753" s="13" t="str">
        <f t="shared" si="1126"/>
        <v/>
      </c>
      <c r="CT753" s="14" t="str">
        <f t="shared" si="1127"/>
        <v/>
      </c>
      <c r="CU753" s="67"/>
      <c r="CV753" s="1"/>
      <c r="CW753" s="79" t="str">
        <f>IF($A783="","",$A783)</f>
        <v/>
      </c>
      <c r="CX753" s="13"/>
      <c r="CY753" s="13" t="str">
        <f t="shared" si="1128"/>
        <v/>
      </c>
      <c r="CZ753" s="13"/>
      <c r="DA753" s="13" t="str">
        <f t="shared" si="1129"/>
        <v/>
      </c>
      <c r="DB753" s="13"/>
      <c r="DC753" s="13" t="str">
        <f t="shared" si="1130"/>
        <v/>
      </c>
      <c r="DD753" s="13"/>
      <c r="DE753" s="53"/>
      <c r="DF753" s="53" t="str">
        <f t="shared" si="1131"/>
        <v/>
      </c>
      <c r="DG753" s="13" t="str">
        <f t="shared" si="1132"/>
        <v/>
      </c>
      <c r="DH753" s="14" t="str">
        <f t="shared" si="1133"/>
        <v/>
      </c>
      <c r="DI753" s="67"/>
      <c r="DJ753" s="1"/>
      <c r="DK753" s="79" t="str">
        <f>IF($A783="","",$A783)</f>
        <v/>
      </c>
      <c r="DL753" s="13"/>
      <c r="DM753" s="13" t="str">
        <f t="shared" si="1134"/>
        <v/>
      </c>
      <c r="DN753" s="13"/>
      <c r="DO753" s="13" t="str">
        <f t="shared" si="1135"/>
        <v/>
      </c>
      <c r="DP753" s="13"/>
      <c r="DQ753" s="13" t="str">
        <f t="shared" si="1136"/>
        <v/>
      </c>
      <c r="DR753" s="13"/>
      <c r="DS753" s="53"/>
      <c r="DT753" s="53" t="str">
        <f t="shared" si="1137"/>
        <v/>
      </c>
      <c r="DU753" s="13" t="str">
        <f t="shared" si="1138"/>
        <v/>
      </c>
      <c r="DV753" s="14" t="str">
        <f t="shared" si="1139"/>
        <v/>
      </c>
      <c r="DW753" s="67"/>
    </row>
    <row r="754" spans="1:127" ht="15" customHeight="1" thickBot="1" x14ac:dyDescent="0.25">
      <c r="A754" s="26"/>
      <c r="B754" s="46"/>
      <c r="C754" s="27">
        <v>594</v>
      </c>
      <c r="D754" s="27">
        <f t="shared" si="1164"/>
        <v>212</v>
      </c>
      <c r="E754" s="27">
        <v>249</v>
      </c>
      <c r="F754" s="27">
        <f t="shared" si="1165"/>
        <v>10</v>
      </c>
      <c r="G754" s="27">
        <v>31</v>
      </c>
      <c r="H754" s="27">
        <f t="shared" si="1141"/>
        <v>9</v>
      </c>
      <c r="I754" s="27">
        <v>10</v>
      </c>
      <c r="J754" s="57" t="str">
        <f t="shared" si="1142"/>
        <v>NICIマスコット</v>
      </c>
      <c r="K754" s="62">
        <f t="shared" si="1143"/>
        <v>682</v>
      </c>
      <c r="L754" s="27">
        <f t="shared" si="1144"/>
        <v>6138</v>
      </c>
      <c r="M754" s="28">
        <f t="shared" si="1145"/>
        <v>0.28952830188679246</v>
      </c>
      <c r="N754" s="15"/>
      <c r="O754" s="2"/>
      <c r="P754" s="26"/>
      <c r="Q754" s="27">
        <v>184</v>
      </c>
      <c r="R754" s="27">
        <f t="shared" si="1166"/>
        <v>61</v>
      </c>
      <c r="S754" s="27">
        <v>0</v>
      </c>
      <c r="T754" s="27">
        <f>IF(S754="","",S754-S750)+1000</f>
        <v>1</v>
      </c>
      <c r="U754" s="27">
        <v>18</v>
      </c>
      <c r="V754" s="27">
        <f t="shared" si="1146"/>
        <v>1</v>
      </c>
      <c r="W754" s="27">
        <v>0</v>
      </c>
      <c r="X754" s="57" t="str">
        <f t="shared" si="1147"/>
        <v>ターボババァマスコット</v>
      </c>
      <c r="Y754" s="62">
        <f t="shared" si="1148"/>
        <v>800</v>
      </c>
      <c r="Z754" s="27">
        <f t="shared" si="1149"/>
        <v>800</v>
      </c>
      <c r="AA754" s="28">
        <f t="shared" si="1150"/>
        <v>0.13114754098360656</v>
      </c>
      <c r="AB754" s="15" t="s">
        <v>215</v>
      </c>
      <c r="AD754" s="26"/>
      <c r="AE754" s="27">
        <v>5757</v>
      </c>
      <c r="AF754" s="27">
        <f t="shared" si="1151"/>
        <v>111</v>
      </c>
      <c r="AG754" s="27">
        <v>180</v>
      </c>
      <c r="AH754" s="27">
        <f t="shared" si="1152"/>
        <v>3</v>
      </c>
      <c r="AI754" s="27">
        <v>9</v>
      </c>
      <c r="AJ754" s="27">
        <f t="shared" si="1153"/>
        <v>3</v>
      </c>
      <c r="AK754" s="27">
        <v>0</v>
      </c>
      <c r="AL754" s="57" t="s">
        <v>213</v>
      </c>
      <c r="AM754" s="62">
        <v>710</v>
      </c>
      <c r="AN754" s="27">
        <f t="shared" si="1154"/>
        <v>2130</v>
      </c>
      <c r="AO754" s="28">
        <f t="shared" si="1155"/>
        <v>0.1918918918918919</v>
      </c>
      <c r="AP754" s="15"/>
      <c r="AQ754" s="115"/>
      <c r="AR754" s="26"/>
      <c r="AS754" s="27">
        <v>6484</v>
      </c>
      <c r="AT754" s="27">
        <f t="shared" si="1156"/>
        <v>168</v>
      </c>
      <c r="AU754" s="27">
        <v>275</v>
      </c>
      <c r="AV754" s="27">
        <f t="shared" si="1157"/>
        <v>3</v>
      </c>
      <c r="AW754" s="27">
        <v>44</v>
      </c>
      <c r="AX754" s="27">
        <f t="shared" si="1158"/>
        <v>2</v>
      </c>
      <c r="AY754" s="107">
        <v>0</v>
      </c>
      <c r="AZ754" s="57" t="str">
        <f t="shared" si="1159"/>
        <v>キティサンダルキーホルダー</v>
      </c>
      <c r="BA754" s="62">
        <f t="shared" si="1160"/>
        <v>600</v>
      </c>
      <c r="BB754" s="27">
        <f t="shared" si="1161"/>
        <v>1200</v>
      </c>
      <c r="BC754" s="28">
        <f t="shared" si="1162"/>
        <v>7.1428571428571425E-2</v>
      </c>
      <c r="BD754" s="15"/>
      <c r="BT754" s="15"/>
      <c r="BU754" s="79" t="str">
        <f>IF($A787="","",$A787)</f>
        <v/>
      </c>
      <c r="BV754" s="13"/>
      <c r="BW754" s="13" t="str">
        <f t="shared" si="1117"/>
        <v/>
      </c>
      <c r="BX754" s="13"/>
      <c r="BY754" s="13" t="str">
        <f t="shared" si="1118"/>
        <v/>
      </c>
      <c r="BZ754" s="13"/>
      <c r="CA754" s="13" t="str">
        <f t="shared" si="1119"/>
        <v/>
      </c>
      <c r="CB754" s="13"/>
      <c r="CC754" s="53"/>
      <c r="CD754" s="53" t="str">
        <f t="shared" si="1140"/>
        <v/>
      </c>
      <c r="CE754" s="13" t="str">
        <f t="shared" si="1120"/>
        <v/>
      </c>
      <c r="CF754" s="14" t="str">
        <f t="shared" si="1121"/>
        <v/>
      </c>
      <c r="CG754" s="67"/>
      <c r="CH754" s="1"/>
      <c r="CI754" s="79" t="str">
        <f>IF($A787="","",$A787)</f>
        <v/>
      </c>
      <c r="CJ754" s="13"/>
      <c r="CK754" s="13" t="str">
        <f t="shared" si="1122"/>
        <v/>
      </c>
      <c r="CL754" s="13"/>
      <c r="CM754" s="13" t="str">
        <f t="shared" si="1123"/>
        <v/>
      </c>
      <c r="CN754" s="13"/>
      <c r="CO754" s="13" t="str">
        <f t="shared" si="1124"/>
        <v/>
      </c>
      <c r="CP754" s="13"/>
      <c r="CQ754" s="53"/>
      <c r="CR754" s="53" t="str">
        <f t="shared" si="1125"/>
        <v/>
      </c>
      <c r="CS754" s="13" t="str">
        <f t="shared" si="1126"/>
        <v/>
      </c>
      <c r="CT754" s="14" t="str">
        <f t="shared" si="1127"/>
        <v/>
      </c>
      <c r="CU754" s="67"/>
      <c r="CV754" s="1"/>
      <c r="CW754" s="79" t="str">
        <f>IF($A787="","",$A787)</f>
        <v/>
      </c>
      <c r="CX754" s="13"/>
      <c r="CY754" s="13" t="str">
        <f t="shared" si="1128"/>
        <v/>
      </c>
      <c r="CZ754" s="13"/>
      <c r="DA754" s="13" t="str">
        <f t="shared" si="1129"/>
        <v/>
      </c>
      <c r="DB754" s="13"/>
      <c r="DC754" s="13" t="str">
        <f t="shared" si="1130"/>
        <v/>
      </c>
      <c r="DD754" s="13"/>
      <c r="DE754" s="53"/>
      <c r="DF754" s="53" t="str">
        <f t="shared" si="1131"/>
        <v/>
      </c>
      <c r="DG754" s="13" t="str">
        <f t="shared" si="1132"/>
        <v/>
      </c>
      <c r="DH754" s="14" t="str">
        <f t="shared" si="1133"/>
        <v/>
      </c>
      <c r="DI754" s="67"/>
      <c r="DJ754" s="1"/>
      <c r="DK754" s="79" t="str">
        <f>IF($A787="","",$A787)</f>
        <v/>
      </c>
      <c r="DL754" s="13"/>
      <c r="DM754" s="13" t="str">
        <f t="shared" si="1134"/>
        <v/>
      </c>
      <c r="DN754" s="13"/>
      <c r="DO754" s="13" t="str">
        <f t="shared" si="1135"/>
        <v/>
      </c>
      <c r="DP754" s="13"/>
      <c r="DQ754" s="13" t="str">
        <f t="shared" si="1136"/>
        <v/>
      </c>
      <c r="DR754" s="13"/>
      <c r="DS754" s="53"/>
      <c r="DT754" s="53" t="str">
        <f t="shared" si="1137"/>
        <v/>
      </c>
      <c r="DU754" s="13" t="str">
        <f t="shared" si="1138"/>
        <v/>
      </c>
      <c r="DV754" s="14" t="str">
        <f t="shared" si="1139"/>
        <v/>
      </c>
      <c r="DW754" s="67"/>
    </row>
    <row r="755" spans="1:127" ht="15" customHeight="1" thickTop="1" x14ac:dyDescent="0.2">
      <c r="A755" s="79">
        <v>45866</v>
      </c>
      <c r="B755" s="74">
        <f>IF(A755="","",SUM(D755:D758)+SUM(R755:R758)+SUM(AF755:AF758)+SUM(AT755:AT758)+SUM(BW746,CK746,CY746,DM746))</f>
        <v>2564</v>
      </c>
      <c r="C755" s="53">
        <v>427</v>
      </c>
      <c r="D755" s="53">
        <f t="shared" si="1164"/>
        <v>58</v>
      </c>
      <c r="E755" s="53">
        <v>238</v>
      </c>
      <c r="F755" s="31">
        <f t="shared" si="1165"/>
        <v>3</v>
      </c>
      <c r="G755" s="53">
        <v>12</v>
      </c>
      <c r="H755" s="53">
        <f t="shared" si="1141"/>
        <v>4</v>
      </c>
      <c r="I755" s="80">
        <v>0</v>
      </c>
      <c r="J755" s="75" t="str">
        <f t="shared" si="1142"/>
        <v>ジャグラーサウンドボタン</v>
      </c>
      <c r="K755" s="76">
        <f t="shared" si="1143"/>
        <v>748</v>
      </c>
      <c r="L755" s="31">
        <f t="shared" si="1144"/>
        <v>2992</v>
      </c>
      <c r="M755" s="32">
        <f t="shared" si="1145"/>
        <v>0.51586206896551723</v>
      </c>
      <c r="N755" s="15"/>
      <c r="O755" s="2"/>
      <c r="P755" s="79">
        <f>IF(A755="","",A755)</f>
        <v>45866</v>
      </c>
      <c r="Q755" s="53">
        <v>277</v>
      </c>
      <c r="R755" s="53">
        <f t="shared" si="1166"/>
        <v>112</v>
      </c>
      <c r="S755" s="53">
        <v>18</v>
      </c>
      <c r="T755" s="31">
        <f t="shared" ref="T755:T794" si="1167">IF(S755="","",S755-S751)</f>
        <v>10</v>
      </c>
      <c r="U755" s="53">
        <v>16</v>
      </c>
      <c r="V755" s="53">
        <f t="shared" si="1146"/>
        <v>5</v>
      </c>
      <c r="W755" s="80">
        <v>0</v>
      </c>
      <c r="X755" s="75" t="str">
        <f t="shared" si="1147"/>
        <v>ジャグラーパネルKH</v>
      </c>
      <c r="Y755" s="76">
        <f t="shared" si="1148"/>
        <v>500</v>
      </c>
      <c r="Z755" s="31">
        <f t="shared" si="1149"/>
        <v>2500</v>
      </c>
      <c r="AA755" s="32">
        <f t="shared" si="1150"/>
        <v>0.22321428571428573</v>
      </c>
      <c r="AB755" s="15"/>
      <c r="AC755" s="15"/>
      <c r="AD755" s="79">
        <f>IF($A755="","",$A755)</f>
        <v>45866</v>
      </c>
      <c r="AE755" s="53">
        <v>6228</v>
      </c>
      <c r="AF755" s="53">
        <f t="shared" si="1151"/>
        <v>47</v>
      </c>
      <c r="AG755" s="53">
        <v>125</v>
      </c>
      <c r="AH755" s="31">
        <f t="shared" si="1152"/>
        <v>0</v>
      </c>
      <c r="AI755" s="53">
        <v>40</v>
      </c>
      <c r="AJ755" s="53">
        <f t="shared" si="1153"/>
        <v>2</v>
      </c>
      <c r="AK755" s="80">
        <v>0</v>
      </c>
      <c r="AL755" s="135" t="str">
        <f t="shared" ref="AL755:AL794" si="1168">IF(AE755="","",AL751)</f>
        <v>ミニ香水</v>
      </c>
      <c r="AM755" s="76">
        <f t="shared" ref="AM755:AM794" si="1169">IF(AF755="","",AM751)</f>
        <v>1100</v>
      </c>
      <c r="AN755" s="31">
        <f t="shared" si="1154"/>
        <v>2200</v>
      </c>
      <c r="AO755" s="32">
        <f t="shared" si="1155"/>
        <v>0.46808510638297873</v>
      </c>
      <c r="AP755" s="15"/>
      <c r="AQ755" s="15"/>
      <c r="AR755" s="79">
        <f>IF($A755="","",$A755)</f>
        <v>45866</v>
      </c>
      <c r="AS755" s="53">
        <v>6561</v>
      </c>
      <c r="AT755" s="53">
        <f t="shared" si="1156"/>
        <v>162</v>
      </c>
      <c r="AU755" s="53">
        <v>211</v>
      </c>
      <c r="AV755" s="31">
        <f t="shared" si="1157"/>
        <v>2</v>
      </c>
      <c r="AW755" s="53">
        <v>9</v>
      </c>
      <c r="AX755" s="53">
        <f t="shared" si="1158"/>
        <v>1</v>
      </c>
      <c r="AY755" s="80">
        <v>4</v>
      </c>
      <c r="AZ755" s="75" t="str">
        <f t="shared" si="1159"/>
        <v>こびとづかんキーケース</v>
      </c>
      <c r="BA755" s="76">
        <f t="shared" si="1160"/>
        <v>726</v>
      </c>
      <c r="BB755" s="31">
        <f t="shared" si="1161"/>
        <v>726</v>
      </c>
      <c r="BC755" s="32">
        <f t="shared" si="1162"/>
        <v>4.4814814814814814E-2</v>
      </c>
      <c r="BD755" s="15"/>
      <c r="BT755" s="15"/>
      <c r="BU755" s="79" t="str">
        <f>IF($A791="","",$A791)</f>
        <v/>
      </c>
      <c r="BV755" s="13"/>
      <c r="BW755" s="13" t="str">
        <f t="shared" si="1117"/>
        <v/>
      </c>
      <c r="BX755" s="13"/>
      <c r="BY755" s="13" t="str">
        <f t="shared" si="1118"/>
        <v/>
      </c>
      <c r="BZ755" s="13"/>
      <c r="CA755" s="13" t="str">
        <f t="shared" si="1119"/>
        <v/>
      </c>
      <c r="CB755" s="13"/>
      <c r="CC755" s="53"/>
      <c r="CD755" s="53" t="str">
        <f t="shared" si="1140"/>
        <v/>
      </c>
      <c r="CE755" s="13" t="str">
        <f t="shared" si="1120"/>
        <v/>
      </c>
      <c r="CF755" s="14" t="str">
        <f t="shared" si="1121"/>
        <v/>
      </c>
      <c r="CG755" s="67"/>
      <c r="CH755" s="1"/>
      <c r="CI755" s="79" t="str">
        <f>IF($A791="","",$A791)</f>
        <v/>
      </c>
      <c r="CJ755" s="13"/>
      <c r="CK755" s="13" t="str">
        <f t="shared" si="1122"/>
        <v/>
      </c>
      <c r="CL755" s="13"/>
      <c r="CM755" s="13" t="str">
        <f t="shared" si="1123"/>
        <v/>
      </c>
      <c r="CN755" s="13"/>
      <c r="CO755" s="13" t="str">
        <f t="shared" si="1124"/>
        <v/>
      </c>
      <c r="CP755" s="13"/>
      <c r="CQ755" s="53"/>
      <c r="CR755" s="53" t="str">
        <f t="shared" si="1125"/>
        <v/>
      </c>
      <c r="CS755" s="13" t="str">
        <f t="shared" si="1126"/>
        <v/>
      </c>
      <c r="CT755" s="14" t="str">
        <f t="shared" si="1127"/>
        <v/>
      </c>
      <c r="CU755" s="67"/>
      <c r="CV755" s="1"/>
      <c r="CW755" s="79" t="str">
        <f>IF($A791="","",$A791)</f>
        <v/>
      </c>
      <c r="CX755" s="13"/>
      <c r="CY755" s="13" t="str">
        <f t="shared" si="1128"/>
        <v/>
      </c>
      <c r="CZ755" s="13"/>
      <c r="DA755" s="13" t="str">
        <f t="shared" si="1129"/>
        <v/>
      </c>
      <c r="DB755" s="13"/>
      <c r="DC755" s="13" t="str">
        <f t="shared" si="1130"/>
        <v/>
      </c>
      <c r="DD755" s="13"/>
      <c r="DE755" s="53"/>
      <c r="DF755" s="53" t="str">
        <f t="shared" si="1131"/>
        <v/>
      </c>
      <c r="DG755" s="13" t="str">
        <f t="shared" si="1132"/>
        <v/>
      </c>
      <c r="DH755" s="14" t="str">
        <f t="shared" si="1133"/>
        <v/>
      </c>
      <c r="DI755" s="67"/>
      <c r="DJ755" s="1"/>
      <c r="DK755" s="79" t="str">
        <f>IF($A791="","",$A791)</f>
        <v/>
      </c>
      <c r="DL755" s="13"/>
      <c r="DM755" s="13" t="str">
        <f t="shared" si="1134"/>
        <v/>
      </c>
      <c r="DN755" s="13"/>
      <c r="DO755" s="13" t="str">
        <f t="shared" si="1135"/>
        <v/>
      </c>
      <c r="DP755" s="13"/>
      <c r="DQ755" s="13" t="str">
        <f t="shared" si="1136"/>
        <v/>
      </c>
      <c r="DR755" s="13"/>
      <c r="DS755" s="53"/>
      <c r="DT755" s="53" t="str">
        <f t="shared" si="1137"/>
        <v/>
      </c>
      <c r="DU755" s="13" t="str">
        <f t="shared" si="1138"/>
        <v/>
      </c>
      <c r="DV755" s="14" t="str">
        <f t="shared" si="1139"/>
        <v/>
      </c>
      <c r="DW755" s="67"/>
    </row>
    <row r="756" spans="1:127" x14ac:dyDescent="0.2">
      <c r="A756" s="16"/>
      <c r="B756" s="11"/>
      <c r="C756" s="13">
        <v>495</v>
      </c>
      <c r="D756" s="53">
        <f t="shared" si="1164"/>
        <v>103</v>
      </c>
      <c r="E756" s="13">
        <v>233</v>
      </c>
      <c r="F756" s="13">
        <f t="shared" si="1165"/>
        <v>2</v>
      </c>
      <c r="G756" s="13">
        <v>9</v>
      </c>
      <c r="H756" s="13">
        <f t="shared" si="1141"/>
        <v>2</v>
      </c>
      <c r="I756" s="17">
        <v>0</v>
      </c>
      <c r="J756" s="56" t="str">
        <f t="shared" si="1142"/>
        <v>ジャグラーイヤホン</v>
      </c>
      <c r="K756" s="54">
        <f t="shared" si="1143"/>
        <v>1100</v>
      </c>
      <c r="L756" s="13">
        <f t="shared" si="1144"/>
        <v>2200</v>
      </c>
      <c r="M756" s="14">
        <f t="shared" si="1145"/>
        <v>0.21359223300970873</v>
      </c>
      <c r="N756" s="15"/>
      <c r="O756" s="2"/>
      <c r="P756" s="16"/>
      <c r="Q756" s="13">
        <v>399</v>
      </c>
      <c r="R756" s="53">
        <f t="shared" si="1166"/>
        <v>101</v>
      </c>
      <c r="S756" s="13">
        <v>5</v>
      </c>
      <c r="T756" s="13">
        <f t="shared" si="1167"/>
        <v>2</v>
      </c>
      <c r="U756" s="13">
        <v>7</v>
      </c>
      <c r="V756" s="13">
        <f t="shared" si="1146"/>
        <v>3</v>
      </c>
      <c r="W756" s="17">
        <v>2</v>
      </c>
      <c r="X756" s="56" t="str">
        <f t="shared" si="1147"/>
        <v>サンリオFAN</v>
      </c>
      <c r="Y756" s="54">
        <f t="shared" si="1148"/>
        <v>1100</v>
      </c>
      <c r="Z756" s="13">
        <f t="shared" si="1149"/>
        <v>3300</v>
      </c>
      <c r="AA756" s="14">
        <f t="shared" si="1150"/>
        <v>0.32673267326732675</v>
      </c>
      <c r="AB756" s="15"/>
      <c r="AC756" s="15"/>
      <c r="AD756" s="16"/>
      <c r="AE756" s="13">
        <v>5315</v>
      </c>
      <c r="AF756" s="53">
        <f t="shared" si="1151"/>
        <v>96</v>
      </c>
      <c r="AG756" s="13">
        <v>122</v>
      </c>
      <c r="AH756" s="13">
        <f t="shared" si="1152"/>
        <v>0</v>
      </c>
      <c r="AI756" s="13">
        <v>20</v>
      </c>
      <c r="AJ756" s="13">
        <f t="shared" si="1153"/>
        <v>0</v>
      </c>
      <c r="AK756" s="17">
        <v>0</v>
      </c>
      <c r="AL756" s="56" t="str">
        <f t="shared" si="1168"/>
        <v>デジタルミニカメラ</v>
      </c>
      <c r="AM756" s="54">
        <f t="shared" si="1169"/>
        <v>800</v>
      </c>
      <c r="AN756" s="13">
        <f t="shared" si="1154"/>
        <v>0</v>
      </c>
      <c r="AO756" s="14">
        <f t="shared" si="1155"/>
        <v>0</v>
      </c>
      <c r="AP756" s="15"/>
      <c r="AQ756" s="15"/>
      <c r="AR756" s="16"/>
      <c r="AS756" s="13">
        <v>4298</v>
      </c>
      <c r="AT756" s="53">
        <f t="shared" si="1156"/>
        <v>81</v>
      </c>
      <c r="AU756" s="13">
        <v>230</v>
      </c>
      <c r="AV756" s="13">
        <f t="shared" si="1157"/>
        <v>2</v>
      </c>
      <c r="AW756" s="13">
        <v>31</v>
      </c>
      <c r="AX756" s="13">
        <f t="shared" si="1158"/>
        <v>2</v>
      </c>
      <c r="AY756" s="17">
        <v>0</v>
      </c>
      <c r="AZ756" s="56" t="str">
        <f t="shared" si="1159"/>
        <v>ねこアイシャドウ</v>
      </c>
      <c r="BA756" s="54">
        <f t="shared" si="1160"/>
        <v>1000</v>
      </c>
      <c r="BB756" s="13">
        <f t="shared" si="1161"/>
        <v>2000</v>
      </c>
      <c r="BC756" s="14">
        <f t="shared" si="1162"/>
        <v>0.24691358024691357</v>
      </c>
      <c r="BD756" s="15"/>
      <c r="BT756" s="15"/>
      <c r="BU756" s="79" t="str">
        <f>IF($A762="","",$A762)</f>
        <v/>
      </c>
      <c r="BV756" s="13"/>
      <c r="BW756" s="13" t="str">
        <f t="shared" si="1117"/>
        <v/>
      </c>
      <c r="BX756" s="13"/>
      <c r="BY756" s="13" t="str">
        <f t="shared" si="1118"/>
        <v/>
      </c>
      <c r="BZ756" s="13"/>
      <c r="CA756" s="13" t="str">
        <f t="shared" si="1119"/>
        <v/>
      </c>
      <c r="CB756" s="13"/>
      <c r="CC756" s="53"/>
      <c r="CD756" s="53" t="str">
        <f t="shared" si="1140"/>
        <v/>
      </c>
      <c r="CE756" s="13" t="str">
        <f t="shared" si="1120"/>
        <v/>
      </c>
      <c r="CF756" s="14" t="str">
        <f>IF(CE756="","",CE756/(BV756*100))</f>
        <v/>
      </c>
      <c r="CG756" s="67"/>
      <c r="CH756" s="1"/>
      <c r="CI756" s="79" t="str">
        <f>IF($A762="","",$A762)</f>
        <v/>
      </c>
      <c r="CJ756" s="13"/>
      <c r="CK756" s="13" t="str">
        <f t="shared" si="1122"/>
        <v/>
      </c>
      <c r="CL756" s="13"/>
      <c r="CM756" s="13" t="str">
        <f t="shared" si="1123"/>
        <v/>
      </c>
      <c r="CN756" s="13"/>
      <c r="CO756" s="13" t="str">
        <f t="shared" si="1124"/>
        <v/>
      </c>
      <c r="CP756" s="13"/>
      <c r="CQ756" s="53"/>
      <c r="CR756" s="53" t="str">
        <f t="shared" si="1125"/>
        <v/>
      </c>
      <c r="CS756" s="13" t="str">
        <f t="shared" si="1126"/>
        <v/>
      </c>
      <c r="CT756" s="14" t="str">
        <f t="shared" si="1127"/>
        <v/>
      </c>
      <c r="CU756" s="15"/>
      <c r="CV756" s="1"/>
      <c r="CW756" s="79" t="str">
        <f>IF($A762="","",$A762)</f>
        <v/>
      </c>
      <c r="CX756" s="13"/>
      <c r="CY756" s="13" t="str">
        <f t="shared" si="1128"/>
        <v/>
      </c>
      <c r="CZ756" s="13"/>
      <c r="DA756" s="13" t="str">
        <f t="shared" si="1129"/>
        <v/>
      </c>
      <c r="DB756" s="13"/>
      <c r="DC756" s="13" t="str">
        <f t="shared" si="1130"/>
        <v/>
      </c>
      <c r="DD756" s="13"/>
      <c r="DE756" s="53"/>
      <c r="DF756" s="53" t="str">
        <f t="shared" si="1131"/>
        <v/>
      </c>
      <c r="DG756" s="13" t="str">
        <f t="shared" si="1132"/>
        <v/>
      </c>
      <c r="DH756" s="14" t="str">
        <f t="shared" si="1133"/>
        <v/>
      </c>
      <c r="DI756" s="15"/>
      <c r="DJ756" s="1"/>
      <c r="DK756" s="79" t="str">
        <f>IF($A762="","",$A762)</f>
        <v/>
      </c>
      <c r="DL756" s="13"/>
      <c r="DM756" s="13" t="str">
        <f t="shared" si="1134"/>
        <v/>
      </c>
      <c r="DN756" s="13"/>
      <c r="DO756" s="13" t="str">
        <f t="shared" si="1135"/>
        <v/>
      </c>
      <c r="DP756" s="13"/>
      <c r="DQ756" s="13" t="str">
        <f t="shared" si="1136"/>
        <v/>
      </c>
      <c r="DR756" s="13"/>
      <c r="DS756" s="53"/>
      <c r="DT756" s="53" t="str">
        <f t="shared" si="1137"/>
        <v/>
      </c>
      <c r="DU756" s="13" t="str">
        <f t="shared" si="1138"/>
        <v/>
      </c>
      <c r="DV756" s="14" t="str">
        <f t="shared" si="1139"/>
        <v/>
      </c>
      <c r="DW756" s="15"/>
    </row>
    <row r="757" spans="1:127" x14ac:dyDescent="0.2">
      <c r="A757" s="33"/>
      <c r="B757" s="48"/>
      <c r="C757" s="34">
        <v>1313</v>
      </c>
      <c r="D757" s="53">
        <f t="shared" si="1164"/>
        <v>403</v>
      </c>
      <c r="E757" s="34">
        <v>243</v>
      </c>
      <c r="F757" s="13">
        <f t="shared" si="1165"/>
        <v>11</v>
      </c>
      <c r="G757" s="34">
        <v>76</v>
      </c>
      <c r="H757" s="13">
        <f t="shared" si="1141"/>
        <v>13</v>
      </c>
      <c r="I757" s="49">
        <v>26</v>
      </c>
      <c r="J757" s="56" t="str">
        <f t="shared" si="1142"/>
        <v>AIモンスタラバー</v>
      </c>
      <c r="K757" s="13">
        <f t="shared" si="1143"/>
        <v>200</v>
      </c>
      <c r="L757" s="13">
        <f t="shared" si="1144"/>
        <v>2600</v>
      </c>
      <c r="M757" s="14">
        <f t="shared" si="1145"/>
        <v>6.4516129032258063E-2</v>
      </c>
      <c r="N757" s="15"/>
      <c r="O757" s="2"/>
      <c r="P757" s="33"/>
      <c r="Q757" s="34">
        <v>424</v>
      </c>
      <c r="R757" s="53">
        <f t="shared" si="1166"/>
        <v>143</v>
      </c>
      <c r="S757" s="34">
        <v>996</v>
      </c>
      <c r="T757" s="13">
        <f t="shared" si="1167"/>
        <v>2</v>
      </c>
      <c r="U757" s="34">
        <v>6</v>
      </c>
      <c r="V757" s="13">
        <f t="shared" si="1146"/>
        <v>3</v>
      </c>
      <c r="W757" s="49">
        <v>0</v>
      </c>
      <c r="X757" s="56" t="str">
        <f t="shared" si="1147"/>
        <v>キティフェイスポーチ</v>
      </c>
      <c r="Y757" s="13">
        <f t="shared" si="1148"/>
        <v>957</v>
      </c>
      <c r="Z757" s="13">
        <f t="shared" si="1149"/>
        <v>2871</v>
      </c>
      <c r="AA757" s="14">
        <f t="shared" si="1150"/>
        <v>0.20076923076923076</v>
      </c>
      <c r="AB757" s="15"/>
      <c r="AC757" s="15"/>
      <c r="AD757" s="33"/>
      <c r="AE757" s="34">
        <v>5573</v>
      </c>
      <c r="AF757" s="53">
        <f t="shared" si="1151"/>
        <v>144</v>
      </c>
      <c r="AG757" s="34">
        <v>225</v>
      </c>
      <c r="AH757" s="13">
        <f t="shared" si="1152"/>
        <v>2</v>
      </c>
      <c r="AI757" s="34">
        <v>4</v>
      </c>
      <c r="AJ757" s="13">
        <f t="shared" si="1153"/>
        <v>2</v>
      </c>
      <c r="AK757" s="49">
        <v>0</v>
      </c>
      <c r="AL757" s="56" t="str">
        <f t="shared" si="1168"/>
        <v>ジョージファン</v>
      </c>
      <c r="AM757" s="13">
        <f t="shared" si="1169"/>
        <v>1050</v>
      </c>
      <c r="AN757" s="13">
        <f t="shared" si="1154"/>
        <v>2100</v>
      </c>
      <c r="AO757" s="14">
        <f t="shared" si="1155"/>
        <v>0.14583333333333334</v>
      </c>
      <c r="AP757" s="15"/>
      <c r="AQ757" s="15"/>
      <c r="AR757" s="33"/>
      <c r="AS757" s="34">
        <v>7413</v>
      </c>
      <c r="AT757" s="53">
        <f t="shared" si="1156"/>
        <v>140</v>
      </c>
      <c r="AU757" s="34">
        <v>307</v>
      </c>
      <c r="AV757" s="13">
        <f t="shared" si="1157"/>
        <v>2</v>
      </c>
      <c r="AW757" s="34">
        <v>165</v>
      </c>
      <c r="AX757" s="13">
        <f t="shared" si="1158"/>
        <v>3</v>
      </c>
      <c r="AY757" s="49">
        <v>6</v>
      </c>
      <c r="AZ757" s="56" t="str">
        <f t="shared" si="1159"/>
        <v>SPGラバーキーホルダー</v>
      </c>
      <c r="BA757" s="13">
        <f t="shared" si="1160"/>
        <v>200</v>
      </c>
      <c r="BB757" s="13">
        <f t="shared" si="1161"/>
        <v>600</v>
      </c>
      <c r="BC757" s="14">
        <f t="shared" si="1162"/>
        <v>4.2857142857142858E-2</v>
      </c>
      <c r="BD757" s="15"/>
      <c r="BT757" s="15"/>
      <c r="BU757" s="79" t="e">
        <f>IF(#REF!="","",#REF!)</f>
        <v>#REF!</v>
      </c>
      <c r="BV757" s="13"/>
      <c r="BW757" s="13"/>
      <c r="BX757" s="13"/>
      <c r="BY757" s="13"/>
      <c r="BZ757" s="13"/>
      <c r="CA757" s="13"/>
      <c r="CB757" s="13"/>
      <c r="CC757" s="53"/>
      <c r="CD757" s="53"/>
      <c r="CE757" s="13"/>
      <c r="CF757" s="14" t="str">
        <f>IF(CE757="","",CE757/(BV757*100))</f>
        <v/>
      </c>
      <c r="CG757" s="67"/>
      <c r="CH757" s="1"/>
      <c r="CI757" s="79" t="e">
        <f>IF(#REF!="","",#REF!)</f>
        <v>#REF!</v>
      </c>
      <c r="CJ757" s="13"/>
      <c r="CK757" s="13"/>
      <c r="CL757" s="13"/>
      <c r="CM757" s="13"/>
      <c r="CN757" s="13"/>
      <c r="CO757" s="13"/>
      <c r="CP757" s="13"/>
      <c r="CQ757" s="53"/>
      <c r="CR757" s="53"/>
      <c r="CS757" s="13"/>
      <c r="CT757" s="14" t="str">
        <f t="shared" si="1127"/>
        <v/>
      </c>
      <c r="CU757" s="15"/>
      <c r="CV757" s="1"/>
      <c r="CW757" s="79" t="e">
        <f>IF(#REF!="","",#REF!)</f>
        <v>#REF!</v>
      </c>
      <c r="CX757" s="13"/>
      <c r="CY757" s="13"/>
      <c r="CZ757" s="13"/>
      <c r="DA757" s="13"/>
      <c r="DB757" s="13"/>
      <c r="DC757" s="13"/>
      <c r="DD757" s="13"/>
      <c r="DE757" s="53"/>
      <c r="DF757" s="53"/>
      <c r="DG757" s="13"/>
      <c r="DH757" s="14"/>
      <c r="DI757" s="15"/>
      <c r="DJ757" s="1"/>
      <c r="DK757" s="79" t="e">
        <f>IF(#REF!="","",#REF!)</f>
        <v>#REF!</v>
      </c>
      <c r="DL757" s="13"/>
      <c r="DM757" s="13"/>
      <c r="DN757" s="13"/>
      <c r="DO757" s="13"/>
      <c r="DP757" s="13"/>
      <c r="DQ757" s="13"/>
      <c r="DR757" s="13"/>
      <c r="DS757" s="53"/>
      <c r="DT757" s="53"/>
      <c r="DU757" s="13"/>
      <c r="DV757" s="14"/>
      <c r="DW757" s="15"/>
    </row>
    <row r="758" spans="1:127" ht="15.75" thickBot="1" x14ac:dyDescent="0.25">
      <c r="A758" s="26"/>
      <c r="B758" s="46"/>
      <c r="C758" s="27">
        <v>734</v>
      </c>
      <c r="D758" s="61">
        <f t="shared" si="1164"/>
        <v>140</v>
      </c>
      <c r="E758" s="27">
        <v>255</v>
      </c>
      <c r="F758" s="27">
        <f t="shared" si="1165"/>
        <v>6</v>
      </c>
      <c r="G758" s="27">
        <v>32</v>
      </c>
      <c r="H758" s="27">
        <f t="shared" si="1141"/>
        <v>9</v>
      </c>
      <c r="I758" s="47">
        <v>3</v>
      </c>
      <c r="J758" s="57" t="str">
        <f t="shared" si="1142"/>
        <v>NICIマスコット</v>
      </c>
      <c r="K758" s="62">
        <f t="shared" si="1143"/>
        <v>682</v>
      </c>
      <c r="L758" s="27">
        <f t="shared" si="1144"/>
        <v>6138</v>
      </c>
      <c r="M758" s="28">
        <f t="shared" si="1145"/>
        <v>0.43842857142857145</v>
      </c>
      <c r="N758" s="15"/>
      <c r="O758" s="2"/>
      <c r="P758" s="26"/>
      <c r="Q758" s="27">
        <v>256</v>
      </c>
      <c r="R758" s="61">
        <f t="shared" si="1166"/>
        <v>72</v>
      </c>
      <c r="S758" s="27">
        <v>1</v>
      </c>
      <c r="T758" s="27">
        <f t="shared" si="1167"/>
        <v>1</v>
      </c>
      <c r="U758" s="27">
        <v>17</v>
      </c>
      <c r="V758" s="27">
        <f t="shared" si="1146"/>
        <v>1</v>
      </c>
      <c r="W758" s="47">
        <v>0</v>
      </c>
      <c r="X758" s="57" t="str">
        <f t="shared" si="1147"/>
        <v>ターボババァマスコット</v>
      </c>
      <c r="Y758" s="62">
        <f t="shared" si="1148"/>
        <v>800</v>
      </c>
      <c r="Z758" s="27">
        <f t="shared" si="1149"/>
        <v>800</v>
      </c>
      <c r="AA758" s="28">
        <f t="shared" si="1150"/>
        <v>0.1111111111111111</v>
      </c>
      <c r="AB758" s="15"/>
      <c r="AC758" s="15"/>
      <c r="AD758" s="26"/>
      <c r="AE758" s="27">
        <v>5889</v>
      </c>
      <c r="AF758" s="61">
        <f t="shared" si="1151"/>
        <v>132</v>
      </c>
      <c r="AG758" s="27">
        <v>184</v>
      </c>
      <c r="AH758" s="27">
        <f t="shared" si="1152"/>
        <v>4</v>
      </c>
      <c r="AI758" s="27">
        <v>5</v>
      </c>
      <c r="AJ758" s="27">
        <f t="shared" si="1153"/>
        <v>4</v>
      </c>
      <c r="AK758" s="47">
        <v>7</v>
      </c>
      <c r="AL758" s="57" t="str">
        <f t="shared" si="1168"/>
        <v>ミニクレーンコンパネ</v>
      </c>
      <c r="AM758" s="62">
        <f t="shared" si="1169"/>
        <v>710</v>
      </c>
      <c r="AN758" s="27">
        <f t="shared" si="1154"/>
        <v>2840</v>
      </c>
      <c r="AO758" s="28">
        <f t="shared" si="1155"/>
        <v>0.21515151515151515</v>
      </c>
      <c r="AP758" s="15"/>
      <c r="AQ758" s="15"/>
      <c r="AR758" s="26"/>
      <c r="AS758" s="27">
        <v>6571</v>
      </c>
      <c r="AT758" s="61">
        <f t="shared" si="1156"/>
        <v>87</v>
      </c>
      <c r="AU758" s="27">
        <v>279</v>
      </c>
      <c r="AV758" s="27">
        <f t="shared" si="1157"/>
        <v>4</v>
      </c>
      <c r="AW758" s="27">
        <v>43</v>
      </c>
      <c r="AX758" s="27">
        <f t="shared" si="1158"/>
        <v>1</v>
      </c>
      <c r="AY758" s="47">
        <v>22</v>
      </c>
      <c r="AZ758" s="57" t="str">
        <f t="shared" si="1159"/>
        <v>キティサンダルキーホルダー</v>
      </c>
      <c r="BA758" s="62">
        <f t="shared" si="1160"/>
        <v>600</v>
      </c>
      <c r="BB758" s="27">
        <f t="shared" si="1161"/>
        <v>600</v>
      </c>
      <c r="BC758" s="28">
        <f t="shared" si="1162"/>
        <v>6.8965517241379309E-2</v>
      </c>
      <c r="BD758" s="15"/>
      <c r="BT758" s="15"/>
      <c r="BU758" s="79" t="e">
        <f>IF(#REF!="","",#REF!)</f>
        <v>#REF!</v>
      </c>
      <c r="BV758" s="13"/>
      <c r="BW758" s="13" t="str">
        <f>IF(BV758="","",BV758-BV759)</f>
        <v/>
      </c>
      <c r="BX758" s="13"/>
      <c r="BY758" s="13" t="str">
        <f>IF(BX758="","",BX758-BX759)</f>
        <v/>
      </c>
      <c r="BZ758" s="13"/>
      <c r="CA758" s="13" t="str">
        <f>IF(BZ758="","",BZ759+CB759-BZ758)</f>
        <v/>
      </c>
      <c r="CB758" s="13"/>
      <c r="CC758" s="53"/>
      <c r="CD758" s="53" t="str">
        <f>IF(BV758="","",CD759)</f>
        <v/>
      </c>
      <c r="CE758" s="13" t="str">
        <f t="shared" ref="CE758:CE790" si="1170">IF(CD758="","",CA758*CD758)</f>
        <v/>
      </c>
      <c r="CF758" s="14" t="str">
        <f t="shared" ref="CF758:CF790" si="1171">IF(CE758="","",CE758/(BW758*100))</f>
        <v/>
      </c>
      <c r="CG758" s="67"/>
      <c r="CH758" s="1"/>
      <c r="CI758" s="79" t="e">
        <f>IF(#REF!="","",#REF!)</f>
        <v>#REF!</v>
      </c>
      <c r="CJ758" s="13"/>
      <c r="CK758" s="13" t="str">
        <f>IF(CJ758="","",CJ758-CJ759)</f>
        <v/>
      </c>
      <c r="CL758" s="13"/>
      <c r="CM758" s="13" t="str">
        <f>IF(CL758="","",CL758-CL759)</f>
        <v/>
      </c>
      <c r="CN758" s="13"/>
      <c r="CO758" s="13" t="str">
        <f>IF(CN758="","",CN759+CP759-CN758)</f>
        <v/>
      </c>
      <c r="CP758" s="13"/>
      <c r="CQ758" s="53"/>
      <c r="CR758" s="53" t="str">
        <f>IF(CJ758="","",CR759)</f>
        <v/>
      </c>
      <c r="CS758" s="13" t="str">
        <f t="shared" ref="CS758:CS790" si="1172">IF(CR758="","",CO758*CR758)</f>
        <v/>
      </c>
      <c r="CT758" s="14" t="str">
        <f t="shared" si="1127"/>
        <v/>
      </c>
      <c r="CU758" s="15"/>
      <c r="CV758" s="1"/>
      <c r="CW758" s="79" t="e">
        <f>IF(#REF!="","",#REF!)</f>
        <v>#REF!</v>
      </c>
      <c r="CX758" s="13"/>
      <c r="CY758" s="13" t="str">
        <f>IF(CX758="","",CX758-CX759)</f>
        <v/>
      </c>
      <c r="CZ758" s="13"/>
      <c r="DA758" s="13" t="str">
        <f>IF(CZ758="","",CZ758-CZ759)</f>
        <v/>
      </c>
      <c r="DB758" s="13"/>
      <c r="DC758" s="13" t="str">
        <f>IF(DB758="","",DB759+DD759-DB758)</f>
        <v/>
      </c>
      <c r="DD758" s="13"/>
      <c r="DE758" s="53"/>
      <c r="DF758" s="53" t="str">
        <f>IF(CX758="","",DF759)</f>
        <v/>
      </c>
      <c r="DG758" s="13" t="str">
        <f t="shared" ref="DG758:DG790" si="1173">IF(DF758="","",DC758*DF758)</f>
        <v/>
      </c>
      <c r="DH758" s="14" t="str">
        <f t="shared" ref="DH758:DH790" si="1174">IF(DG758="","",DG758/(CY758*100))</f>
        <v/>
      </c>
      <c r="DI758" s="15"/>
      <c r="DJ758" s="1"/>
      <c r="DK758" s="79" t="e">
        <f>IF(#REF!="","",#REF!)</f>
        <v>#REF!</v>
      </c>
      <c r="DL758" s="13"/>
      <c r="DM758" s="13" t="str">
        <f>IF(DL758="","",DL758-DL759)</f>
        <v/>
      </c>
      <c r="DN758" s="13"/>
      <c r="DO758" s="13" t="str">
        <f>IF(DN758="","",DN758-DN759)</f>
        <v/>
      </c>
      <c r="DP758" s="13"/>
      <c r="DQ758" s="13" t="str">
        <f>IF(DP758="","",DP759+DR759-DP758)</f>
        <v/>
      </c>
      <c r="DR758" s="13"/>
      <c r="DS758" s="53"/>
      <c r="DT758" s="53" t="str">
        <f>IF(DL758="","",DT759)</f>
        <v/>
      </c>
      <c r="DU758" s="13" t="str">
        <f t="shared" ref="DU758:DU790" si="1175">IF(DT758="","",DQ758*DT758)</f>
        <v/>
      </c>
      <c r="DV758" s="14" t="str">
        <f t="shared" ref="DV758:DV790" si="1176">IF(DU758="","",DU758/(DM758*100))</f>
        <v/>
      </c>
      <c r="DW758" s="15"/>
    </row>
    <row r="759" spans="1:127" ht="15" customHeight="1" thickTop="1" x14ac:dyDescent="0.2">
      <c r="A759" s="79">
        <v>45871</v>
      </c>
      <c r="B759" s="74">
        <f>IF(A759="","",SUM(D759:D762)+SUM(R759:R762)+SUM(AF759:AF762)+SUM(AT759:AT762)+SUM(BW747,CK747,CY747,DM747))</f>
        <v>2854</v>
      </c>
      <c r="C759" s="53">
        <v>616</v>
      </c>
      <c r="D759" s="53">
        <f t="shared" si="1164"/>
        <v>189</v>
      </c>
      <c r="E759" s="53">
        <v>245</v>
      </c>
      <c r="F759" s="31">
        <f t="shared" si="1165"/>
        <v>7</v>
      </c>
      <c r="G759" s="53">
        <v>5</v>
      </c>
      <c r="H759" s="53">
        <f t="shared" si="1141"/>
        <v>7</v>
      </c>
      <c r="I759" s="80">
        <v>0</v>
      </c>
      <c r="J759" s="75" t="str">
        <f t="shared" si="1142"/>
        <v>ジャグラーサウンドボタン</v>
      </c>
      <c r="K759" s="76">
        <f t="shared" si="1143"/>
        <v>748</v>
      </c>
      <c r="L759" s="31">
        <f t="shared" si="1144"/>
        <v>5236</v>
      </c>
      <c r="M759" s="32">
        <f t="shared" si="1145"/>
        <v>0.27703703703703703</v>
      </c>
      <c r="N759" s="15"/>
      <c r="O759" s="2"/>
      <c r="P759" s="79">
        <f>IF($A759="","",$A759)</f>
        <v>45871</v>
      </c>
      <c r="Q759" s="53">
        <v>409</v>
      </c>
      <c r="R759" s="53">
        <f t="shared" si="1166"/>
        <v>132</v>
      </c>
      <c r="S759" s="53">
        <v>30</v>
      </c>
      <c r="T759" s="31">
        <f t="shared" si="1167"/>
        <v>12</v>
      </c>
      <c r="U759" s="53">
        <v>8</v>
      </c>
      <c r="V759" s="53">
        <f t="shared" si="1146"/>
        <v>8</v>
      </c>
      <c r="W759" s="80">
        <v>0</v>
      </c>
      <c r="X759" s="75" t="str">
        <f t="shared" si="1147"/>
        <v>ジャグラーパネルKH</v>
      </c>
      <c r="Y759" s="76">
        <f t="shared" si="1148"/>
        <v>500</v>
      </c>
      <c r="Z759" s="31">
        <f t="shared" si="1149"/>
        <v>4000</v>
      </c>
      <c r="AA759" s="32">
        <f t="shared" si="1150"/>
        <v>0.30303030303030304</v>
      </c>
      <c r="AB759" s="15"/>
      <c r="AC759" s="15"/>
      <c r="AD759" s="79">
        <f>IF($A759="","",$A759)</f>
        <v>45871</v>
      </c>
      <c r="AE759" s="53">
        <v>6275</v>
      </c>
      <c r="AF759" s="53">
        <f t="shared" si="1151"/>
        <v>47</v>
      </c>
      <c r="AG759" s="53">
        <v>125</v>
      </c>
      <c r="AH759" s="31">
        <f t="shared" si="1152"/>
        <v>0</v>
      </c>
      <c r="AI759" s="53">
        <v>40</v>
      </c>
      <c r="AJ759" s="53">
        <f t="shared" si="1153"/>
        <v>0</v>
      </c>
      <c r="AK759" s="80">
        <v>0</v>
      </c>
      <c r="AL759" s="135" t="str">
        <f t="shared" si="1168"/>
        <v>ミニ香水</v>
      </c>
      <c r="AM759" s="76">
        <f t="shared" si="1169"/>
        <v>1100</v>
      </c>
      <c r="AN759" s="31">
        <f t="shared" si="1154"/>
        <v>0</v>
      </c>
      <c r="AO759" s="32">
        <f t="shared" si="1155"/>
        <v>0</v>
      </c>
      <c r="AP759" s="15"/>
      <c r="AQ759" s="15"/>
      <c r="AR759" s="79">
        <f>IF($A759="","",$A759)</f>
        <v>45871</v>
      </c>
      <c r="AS759" s="53">
        <v>6677</v>
      </c>
      <c r="AT759" s="53">
        <f t="shared" si="1156"/>
        <v>116</v>
      </c>
      <c r="AU759" s="53">
        <v>215</v>
      </c>
      <c r="AV759" s="31">
        <f t="shared" si="1157"/>
        <v>4</v>
      </c>
      <c r="AW759" s="53">
        <v>8</v>
      </c>
      <c r="AX759" s="53">
        <f t="shared" si="1158"/>
        <v>5</v>
      </c>
      <c r="AY759" s="80">
        <v>0</v>
      </c>
      <c r="AZ759" s="75" t="str">
        <f t="shared" si="1159"/>
        <v>こびとづかんキーケース</v>
      </c>
      <c r="BA759" s="76">
        <f t="shared" si="1160"/>
        <v>726</v>
      </c>
      <c r="BB759" s="31">
        <f t="shared" si="1161"/>
        <v>3630</v>
      </c>
      <c r="BC759" s="32">
        <f t="shared" si="1162"/>
        <v>0.31293103448275861</v>
      </c>
      <c r="BD759" s="15"/>
      <c r="BT759" s="15"/>
      <c r="BU759" s="79" t="e">
        <f>IF(#REF!="","",#REF!)</f>
        <v>#REF!</v>
      </c>
      <c r="BV759" s="13"/>
      <c r="BW759" s="13" t="str">
        <f>IF(BV759="","",BV759-BV756)</f>
        <v/>
      </c>
      <c r="BX759" s="13"/>
      <c r="BY759" s="13" t="str">
        <f>IF(BX759="","",BX759-BX756)</f>
        <v/>
      </c>
      <c r="BZ759" s="13"/>
      <c r="CA759" s="13" t="str">
        <f>IF(BZ759="","",BZ756+CB756-BZ759)</f>
        <v/>
      </c>
      <c r="CB759" s="13"/>
      <c r="CC759" s="53"/>
      <c r="CD759" s="53" t="str">
        <f>IF(BV759="","",CD756)</f>
        <v/>
      </c>
      <c r="CE759" s="13" t="str">
        <f t="shared" si="1170"/>
        <v/>
      </c>
      <c r="CF759" s="14" t="str">
        <f t="shared" si="1171"/>
        <v/>
      </c>
      <c r="CG759" s="67"/>
      <c r="CH759" s="1"/>
      <c r="CI759" s="79" t="e">
        <f>IF(#REF!="","",#REF!)</f>
        <v>#REF!</v>
      </c>
      <c r="CJ759" s="13"/>
      <c r="CK759" s="13" t="str">
        <f>IF(CJ759="","",CJ759-CJ756)</f>
        <v/>
      </c>
      <c r="CL759" s="13"/>
      <c r="CM759" s="13" t="str">
        <f>IF(CL759="","",CL759-CL756)</f>
        <v/>
      </c>
      <c r="CN759" s="13"/>
      <c r="CO759" s="13" t="str">
        <f>IF(CN759="","",CN756+CP756-CN759)</f>
        <v/>
      </c>
      <c r="CP759" s="13"/>
      <c r="CQ759" s="53"/>
      <c r="CR759" s="53" t="str">
        <f>IF(CJ759="","",CR756)</f>
        <v/>
      </c>
      <c r="CS759" s="13" t="str">
        <f t="shared" si="1172"/>
        <v/>
      </c>
      <c r="CT759" s="14" t="str">
        <f t="shared" si="1127"/>
        <v/>
      </c>
      <c r="CU759" s="15"/>
      <c r="CV759" s="1"/>
      <c r="CW759" s="79" t="e">
        <f>IF(#REF!="","",#REF!)</f>
        <v>#REF!</v>
      </c>
      <c r="CX759" s="13"/>
      <c r="CY759" s="13" t="str">
        <f>IF(CX759="","",CX759-CX756)</f>
        <v/>
      </c>
      <c r="CZ759" s="13"/>
      <c r="DA759" s="13" t="str">
        <f>IF(CZ759="","",CZ759-CZ756)</f>
        <v/>
      </c>
      <c r="DB759" s="13"/>
      <c r="DC759" s="13" t="str">
        <f>IF(DB759="","",DB756+DD756-DB759)</f>
        <v/>
      </c>
      <c r="DD759" s="13"/>
      <c r="DE759" s="53"/>
      <c r="DF759" s="53" t="str">
        <f>IF(CX759="","",DF756)</f>
        <v/>
      </c>
      <c r="DG759" s="13" t="str">
        <f t="shared" si="1173"/>
        <v/>
      </c>
      <c r="DH759" s="14" t="str">
        <f t="shared" si="1174"/>
        <v/>
      </c>
      <c r="DI759" s="15"/>
      <c r="DJ759" s="1"/>
      <c r="DK759" s="79" t="e">
        <f>IF(#REF!="","",#REF!)</f>
        <v>#REF!</v>
      </c>
      <c r="DL759" s="13"/>
      <c r="DM759" s="13" t="str">
        <f>IF(DL759="","",DL759-DL756)</f>
        <v/>
      </c>
      <c r="DN759" s="13"/>
      <c r="DO759" s="13" t="str">
        <f>IF(DN759="","",DN759-DN756)</f>
        <v/>
      </c>
      <c r="DP759" s="13"/>
      <c r="DQ759" s="13" t="str">
        <f>IF(DP759="","",DP756+DR756-DP759)</f>
        <v/>
      </c>
      <c r="DR759" s="13"/>
      <c r="DS759" s="53"/>
      <c r="DT759" s="53" t="str">
        <f>IF(DL759="","",DT756)</f>
        <v/>
      </c>
      <c r="DU759" s="13" t="str">
        <f t="shared" si="1175"/>
        <v/>
      </c>
      <c r="DV759" s="14" t="str">
        <f t="shared" si="1176"/>
        <v/>
      </c>
      <c r="DW759" s="15"/>
    </row>
    <row r="760" spans="1:127" x14ac:dyDescent="0.2">
      <c r="A760" s="136" t="s">
        <v>223</v>
      </c>
      <c r="B760" s="11"/>
      <c r="C760" s="13">
        <v>560</v>
      </c>
      <c r="D760" s="13">
        <f t="shared" si="1164"/>
        <v>65</v>
      </c>
      <c r="E760" s="13">
        <v>235</v>
      </c>
      <c r="F760" s="13">
        <f t="shared" si="1165"/>
        <v>2</v>
      </c>
      <c r="G760" s="13">
        <v>7</v>
      </c>
      <c r="H760" s="13">
        <f t="shared" si="1141"/>
        <v>2</v>
      </c>
      <c r="I760" s="17">
        <v>0</v>
      </c>
      <c r="J760" s="56" t="str">
        <f t="shared" si="1142"/>
        <v>ジャグラーイヤホン</v>
      </c>
      <c r="K760" s="54">
        <f t="shared" si="1143"/>
        <v>1100</v>
      </c>
      <c r="L760" s="13">
        <f t="shared" si="1144"/>
        <v>2200</v>
      </c>
      <c r="M760" s="14">
        <f t="shared" si="1145"/>
        <v>0.33846153846153848</v>
      </c>
      <c r="N760" s="15"/>
      <c r="O760" s="2"/>
      <c r="P760" s="79"/>
      <c r="Q760" s="13">
        <v>615</v>
      </c>
      <c r="R760" s="13">
        <f t="shared" si="1166"/>
        <v>216</v>
      </c>
      <c r="S760" s="13">
        <v>11</v>
      </c>
      <c r="T760" s="13">
        <f t="shared" si="1167"/>
        <v>6</v>
      </c>
      <c r="U760" s="13">
        <v>2</v>
      </c>
      <c r="V760" s="13">
        <f t="shared" si="1146"/>
        <v>7</v>
      </c>
      <c r="W760" s="17">
        <v>0</v>
      </c>
      <c r="X760" s="56" t="str">
        <f t="shared" si="1147"/>
        <v>サンリオFAN</v>
      </c>
      <c r="Y760" s="54">
        <f t="shared" si="1148"/>
        <v>1100</v>
      </c>
      <c r="Z760" s="13">
        <f t="shared" si="1149"/>
        <v>7700</v>
      </c>
      <c r="AA760" s="14">
        <f t="shared" si="1150"/>
        <v>0.35648148148148145</v>
      </c>
      <c r="AB760" s="15"/>
      <c r="AC760" s="15"/>
      <c r="AD760" s="79"/>
      <c r="AE760" s="13">
        <v>5375</v>
      </c>
      <c r="AF760" s="13">
        <f t="shared" si="1151"/>
        <v>60</v>
      </c>
      <c r="AG760" s="13">
        <v>123</v>
      </c>
      <c r="AH760" s="13">
        <f t="shared" si="1152"/>
        <v>1</v>
      </c>
      <c r="AI760" s="13">
        <v>19</v>
      </c>
      <c r="AJ760" s="13">
        <f t="shared" si="1153"/>
        <v>1</v>
      </c>
      <c r="AK760" s="17">
        <v>0</v>
      </c>
      <c r="AL760" s="56" t="str">
        <f t="shared" si="1168"/>
        <v>デジタルミニカメラ</v>
      </c>
      <c r="AM760" s="54">
        <f t="shared" si="1169"/>
        <v>800</v>
      </c>
      <c r="AN760" s="13">
        <f t="shared" si="1154"/>
        <v>800</v>
      </c>
      <c r="AO760" s="14">
        <f t="shared" si="1155"/>
        <v>0.13333333333333333</v>
      </c>
      <c r="AP760" s="15"/>
      <c r="AQ760" s="15"/>
      <c r="AR760" s="79"/>
      <c r="AS760" s="13">
        <v>4398</v>
      </c>
      <c r="AT760" s="13">
        <f t="shared" si="1156"/>
        <v>100</v>
      </c>
      <c r="AU760" s="13">
        <v>234</v>
      </c>
      <c r="AV760" s="13">
        <f t="shared" si="1157"/>
        <v>4</v>
      </c>
      <c r="AW760" s="13">
        <v>28</v>
      </c>
      <c r="AX760" s="13">
        <f t="shared" si="1158"/>
        <v>3</v>
      </c>
      <c r="AY760" s="17">
        <v>0</v>
      </c>
      <c r="AZ760" s="56" t="str">
        <f t="shared" si="1159"/>
        <v>ねこアイシャドウ</v>
      </c>
      <c r="BA760" s="54">
        <f t="shared" si="1160"/>
        <v>1000</v>
      </c>
      <c r="BB760" s="13">
        <f t="shared" si="1161"/>
        <v>3000</v>
      </c>
      <c r="BC760" s="14">
        <f t="shared" si="1162"/>
        <v>0.3</v>
      </c>
      <c r="BD760" s="15"/>
      <c r="BT760" s="15"/>
      <c r="BU760" s="79" t="e">
        <f>IF(#REF!="","",#REF!)</f>
        <v>#REF!</v>
      </c>
      <c r="BV760" s="13"/>
      <c r="BW760" s="13" t="str">
        <f>IF(BV760="","",BV760-BV758)</f>
        <v/>
      </c>
      <c r="BX760" s="13"/>
      <c r="BY760" s="13" t="str">
        <f>IF(BX760="","",BX760-BX758)</f>
        <v/>
      </c>
      <c r="BZ760" s="13"/>
      <c r="CA760" s="13" t="str">
        <f>IF(BZ760="","",BZ758+CB758-BZ760)</f>
        <v/>
      </c>
      <c r="CB760" s="13"/>
      <c r="CC760" s="53"/>
      <c r="CD760" s="53" t="str">
        <f>IF(BV760="","",CD758)</f>
        <v/>
      </c>
      <c r="CE760" s="13" t="str">
        <f t="shared" si="1170"/>
        <v/>
      </c>
      <c r="CF760" s="14" t="str">
        <f t="shared" si="1171"/>
        <v/>
      </c>
      <c r="CG760" s="15"/>
      <c r="CH760" s="1"/>
      <c r="CI760" s="79" t="e">
        <f>IF(#REF!="","",#REF!)</f>
        <v>#REF!</v>
      </c>
      <c r="CJ760" s="13"/>
      <c r="CK760" s="13" t="str">
        <f>IF(CJ760="","",CJ760-CJ758)</f>
        <v/>
      </c>
      <c r="CL760" s="13"/>
      <c r="CM760" s="13" t="str">
        <f>IF(CL760="","",CL760-CL758)</f>
        <v/>
      </c>
      <c r="CN760" s="13"/>
      <c r="CO760" s="13" t="str">
        <f>IF(CN760="","",CN758+CP758-CN760)</f>
        <v/>
      </c>
      <c r="CP760" s="13"/>
      <c r="CQ760" s="53"/>
      <c r="CR760" s="53" t="str">
        <f>IF(CJ760="","",CR758)</f>
        <v/>
      </c>
      <c r="CS760" s="13" t="str">
        <f t="shared" si="1172"/>
        <v/>
      </c>
      <c r="CT760" s="14" t="str">
        <f t="shared" si="1127"/>
        <v/>
      </c>
      <c r="CU760" s="15"/>
      <c r="CV760" s="1"/>
      <c r="CW760" s="79" t="e">
        <f>IF(#REF!="","",#REF!)</f>
        <v>#REF!</v>
      </c>
      <c r="CX760" s="13"/>
      <c r="CY760" s="13" t="str">
        <f>IF(CX760="","",CX760-CX758)</f>
        <v/>
      </c>
      <c r="CZ760" s="13"/>
      <c r="DA760" s="13" t="str">
        <f>IF(CZ760="","",CZ760-CZ758)</f>
        <v/>
      </c>
      <c r="DB760" s="13"/>
      <c r="DC760" s="13" t="str">
        <f>IF(DB760="","",DB758+DD758-DB760)</f>
        <v/>
      </c>
      <c r="DD760" s="13"/>
      <c r="DE760" s="53"/>
      <c r="DF760" s="53" t="str">
        <f>IF(CX760="","",DF758)</f>
        <v/>
      </c>
      <c r="DG760" s="13" t="str">
        <f t="shared" si="1173"/>
        <v/>
      </c>
      <c r="DH760" s="14" t="str">
        <f t="shared" si="1174"/>
        <v/>
      </c>
      <c r="DI760" s="15"/>
      <c r="DJ760" s="1"/>
      <c r="DK760" s="79" t="e">
        <f>IF(#REF!="","",#REF!)</f>
        <v>#REF!</v>
      </c>
      <c r="DL760" s="13"/>
      <c r="DM760" s="13" t="str">
        <f>IF(DL760="","",DL760-DL758)</f>
        <v/>
      </c>
      <c r="DN760" s="13"/>
      <c r="DO760" s="13" t="str">
        <f>IF(DN760="","",DN760-DN758)</f>
        <v/>
      </c>
      <c r="DP760" s="13"/>
      <c r="DQ760" s="13" t="str">
        <f>IF(DP760="","",DP758+DR758-DP760)</f>
        <v/>
      </c>
      <c r="DR760" s="13"/>
      <c r="DS760" s="53"/>
      <c r="DT760" s="53" t="str">
        <f>IF(DL760="","",DT758)</f>
        <v/>
      </c>
      <c r="DU760" s="13" t="str">
        <f t="shared" si="1175"/>
        <v/>
      </c>
      <c r="DV760" s="14" t="str">
        <f t="shared" si="1176"/>
        <v/>
      </c>
      <c r="DW760" s="15"/>
    </row>
    <row r="761" spans="1:127" ht="15" customHeight="1" x14ac:dyDescent="0.2">
      <c r="A761" s="79"/>
      <c r="B761" s="11"/>
      <c r="C761" s="34">
        <v>1752</v>
      </c>
      <c r="D761" s="13">
        <f t="shared" si="1164"/>
        <v>439</v>
      </c>
      <c r="E761" s="34">
        <v>264</v>
      </c>
      <c r="F761" s="13">
        <f t="shared" si="1165"/>
        <v>21</v>
      </c>
      <c r="G761" s="34">
        <v>78</v>
      </c>
      <c r="H761" s="13">
        <f t="shared" si="1141"/>
        <v>24</v>
      </c>
      <c r="I761" s="17">
        <v>0</v>
      </c>
      <c r="J761" s="56" t="str">
        <f t="shared" si="1142"/>
        <v>AIモンスタラバー</v>
      </c>
      <c r="K761" s="13">
        <f t="shared" si="1143"/>
        <v>200</v>
      </c>
      <c r="L761" s="13">
        <f t="shared" si="1144"/>
        <v>4800</v>
      </c>
      <c r="M761" s="14">
        <f t="shared" si="1145"/>
        <v>0.10933940774487472</v>
      </c>
      <c r="N761" s="15"/>
      <c r="O761" s="2"/>
      <c r="P761" s="79"/>
      <c r="Q761" s="34">
        <v>615</v>
      </c>
      <c r="R761" s="13">
        <f t="shared" si="1166"/>
        <v>191</v>
      </c>
      <c r="S761" s="34">
        <v>999</v>
      </c>
      <c r="T761" s="13">
        <f t="shared" si="1167"/>
        <v>3</v>
      </c>
      <c r="U761" s="34">
        <v>6</v>
      </c>
      <c r="V761" s="13">
        <f t="shared" si="1146"/>
        <v>0</v>
      </c>
      <c r="W761" s="17">
        <v>0</v>
      </c>
      <c r="X761" s="56" t="str">
        <f t="shared" si="1147"/>
        <v>キティフェイスポーチ</v>
      </c>
      <c r="Y761" s="13">
        <f t="shared" si="1148"/>
        <v>957</v>
      </c>
      <c r="Z761" s="13">
        <f t="shared" si="1149"/>
        <v>0</v>
      </c>
      <c r="AA761" s="14">
        <f t="shared" si="1150"/>
        <v>0</v>
      </c>
      <c r="AB761" s="15"/>
      <c r="AC761" s="15"/>
      <c r="AD761" s="79"/>
      <c r="AE761" s="34">
        <v>5659</v>
      </c>
      <c r="AF761" s="13">
        <f t="shared" si="1151"/>
        <v>86</v>
      </c>
      <c r="AG761" s="34">
        <v>228</v>
      </c>
      <c r="AH761" s="13">
        <f t="shared" si="1152"/>
        <v>3</v>
      </c>
      <c r="AI761" s="34">
        <v>1</v>
      </c>
      <c r="AJ761" s="13">
        <f t="shared" si="1153"/>
        <v>3</v>
      </c>
      <c r="AK761" s="17">
        <v>8</v>
      </c>
      <c r="AL761" s="56" t="str">
        <f t="shared" si="1168"/>
        <v>ジョージファン</v>
      </c>
      <c r="AM761" s="13">
        <f t="shared" si="1169"/>
        <v>1050</v>
      </c>
      <c r="AN761" s="13">
        <f t="shared" si="1154"/>
        <v>3150</v>
      </c>
      <c r="AO761" s="14">
        <f t="shared" si="1155"/>
        <v>0.36627906976744184</v>
      </c>
      <c r="AP761" s="15"/>
      <c r="AQ761" s="15"/>
      <c r="AR761" s="79"/>
      <c r="AS761" s="34">
        <v>7568</v>
      </c>
      <c r="AT761" s="13">
        <f t="shared" si="1156"/>
        <v>155</v>
      </c>
      <c r="AU761" s="34">
        <v>313</v>
      </c>
      <c r="AV761" s="13">
        <f t="shared" si="1157"/>
        <v>6</v>
      </c>
      <c r="AW761" s="34">
        <v>164</v>
      </c>
      <c r="AX761" s="13">
        <f t="shared" si="1158"/>
        <v>7</v>
      </c>
      <c r="AY761" s="17">
        <v>0</v>
      </c>
      <c r="AZ761" s="56" t="str">
        <f t="shared" si="1159"/>
        <v>SPGラバーキーホルダー</v>
      </c>
      <c r="BA761" s="13">
        <f t="shared" si="1160"/>
        <v>200</v>
      </c>
      <c r="BB761" s="13">
        <f t="shared" si="1161"/>
        <v>1400</v>
      </c>
      <c r="BC761" s="14">
        <f t="shared" si="1162"/>
        <v>9.0322580645161285E-2</v>
      </c>
      <c r="BD761" s="15"/>
      <c r="BT761" s="15"/>
      <c r="BU761" s="79" t="e">
        <f>IF(#REF!="","",#REF!)</f>
        <v>#REF!</v>
      </c>
      <c r="BV761" s="13"/>
      <c r="BW761" s="13" t="str">
        <f>IF(BV761="","",BV761-#REF!)</f>
        <v/>
      </c>
      <c r="BX761" s="13"/>
      <c r="BY761" s="13" t="str">
        <f>IF(BX761="","",BX761-#REF!)</f>
        <v/>
      </c>
      <c r="BZ761" s="13"/>
      <c r="CA761" s="13" t="str">
        <f>IF(BZ761="","",#REF!+#REF!-BZ761)</f>
        <v/>
      </c>
      <c r="CB761" s="13"/>
      <c r="CC761" s="53"/>
      <c r="CD761" s="53" t="str">
        <f>IF(BV761="","",#REF!)</f>
        <v/>
      </c>
      <c r="CE761" s="13" t="str">
        <f t="shared" si="1170"/>
        <v/>
      </c>
      <c r="CF761" s="14" t="str">
        <f t="shared" si="1171"/>
        <v/>
      </c>
      <c r="CG761" s="15"/>
      <c r="CH761" s="1"/>
      <c r="CI761" s="79" t="e">
        <f>IF(#REF!="","",#REF!)</f>
        <v>#REF!</v>
      </c>
      <c r="CJ761" s="13"/>
      <c r="CK761" s="13" t="str">
        <f>IF(CJ761="","",CJ761-#REF!)</f>
        <v/>
      </c>
      <c r="CL761" s="13"/>
      <c r="CM761" s="13" t="str">
        <f>IF(CL761="","",CL761-#REF!)</f>
        <v/>
      </c>
      <c r="CN761" s="13"/>
      <c r="CO761" s="13" t="str">
        <f>IF(CN761="","",#REF!+#REF!-CN761)</f>
        <v/>
      </c>
      <c r="CP761" s="13"/>
      <c r="CQ761" s="53"/>
      <c r="CR761" s="53" t="str">
        <f>IF(CJ761="","",#REF!)</f>
        <v/>
      </c>
      <c r="CS761" s="13" t="str">
        <f t="shared" si="1172"/>
        <v/>
      </c>
      <c r="CT761" s="14" t="str">
        <f t="shared" si="1127"/>
        <v/>
      </c>
      <c r="CU761" s="15"/>
      <c r="CV761" s="1"/>
      <c r="CW761" s="79" t="e">
        <f>IF(#REF!="","",#REF!)</f>
        <v>#REF!</v>
      </c>
      <c r="CX761" s="13"/>
      <c r="CY761" s="13" t="str">
        <f>IF(CX761="","",CX761-#REF!)</f>
        <v/>
      </c>
      <c r="CZ761" s="13"/>
      <c r="DA761" s="13" t="str">
        <f>IF(CZ761="","",CZ761-#REF!)</f>
        <v/>
      </c>
      <c r="DB761" s="13"/>
      <c r="DC761" s="13" t="str">
        <f>IF(DB761="","",#REF!+#REF!-DB761)</f>
        <v/>
      </c>
      <c r="DD761" s="13"/>
      <c r="DE761" s="53"/>
      <c r="DF761" s="53" t="str">
        <f>IF(CX761="","",#REF!)</f>
        <v/>
      </c>
      <c r="DG761" s="13" t="str">
        <f t="shared" si="1173"/>
        <v/>
      </c>
      <c r="DH761" s="14" t="str">
        <f t="shared" si="1174"/>
        <v/>
      </c>
      <c r="DI761" s="15"/>
      <c r="DJ761" s="1"/>
      <c r="DK761" s="79" t="e">
        <f>IF(#REF!="","",#REF!)</f>
        <v>#REF!</v>
      </c>
      <c r="DL761" s="13"/>
      <c r="DM761" s="13" t="str">
        <f>IF(DL761="","",DL761-#REF!)</f>
        <v/>
      </c>
      <c r="DN761" s="13"/>
      <c r="DO761" s="13" t="str">
        <f>IF(DN761="","",DN761-#REF!)</f>
        <v/>
      </c>
      <c r="DP761" s="13"/>
      <c r="DQ761" s="13" t="str">
        <f>IF(DP761="","",#REF!+#REF!-DP761)</f>
        <v/>
      </c>
      <c r="DR761" s="13"/>
      <c r="DS761" s="53"/>
      <c r="DT761" s="53" t="str">
        <f>IF(DL761="","",#REF!)</f>
        <v/>
      </c>
      <c r="DU761" s="13" t="str">
        <f t="shared" si="1175"/>
        <v/>
      </c>
      <c r="DV761" s="14" t="str">
        <f t="shared" si="1176"/>
        <v/>
      </c>
      <c r="DW761" s="15"/>
    </row>
    <row r="762" spans="1:127" ht="15" customHeight="1" thickBot="1" x14ac:dyDescent="0.25">
      <c r="A762" s="26"/>
      <c r="B762" s="46"/>
      <c r="C762" s="27">
        <v>916</v>
      </c>
      <c r="D762" s="27">
        <f t="shared" si="1164"/>
        <v>182</v>
      </c>
      <c r="E762" s="27">
        <v>265</v>
      </c>
      <c r="F762" s="27">
        <f t="shared" si="1165"/>
        <v>10</v>
      </c>
      <c r="G762" s="27">
        <v>24</v>
      </c>
      <c r="H762" s="27">
        <f t="shared" si="1141"/>
        <v>11</v>
      </c>
      <c r="I762" s="107">
        <v>0</v>
      </c>
      <c r="J762" s="57" t="str">
        <f t="shared" si="1142"/>
        <v>NICIマスコット</v>
      </c>
      <c r="K762" s="62">
        <f t="shared" si="1143"/>
        <v>682</v>
      </c>
      <c r="L762" s="27">
        <f t="shared" si="1144"/>
        <v>7502</v>
      </c>
      <c r="M762" s="28">
        <f t="shared" si="1145"/>
        <v>0.41219780219780222</v>
      </c>
      <c r="N762" s="15"/>
      <c r="O762" s="2"/>
      <c r="P762" s="26"/>
      <c r="Q762" s="27">
        <v>290</v>
      </c>
      <c r="R762" s="88">
        <f t="shared" si="1166"/>
        <v>34</v>
      </c>
      <c r="S762" s="27">
        <v>2</v>
      </c>
      <c r="T762" s="27">
        <f t="shared" si="1167"/>
        <v>1</v>
      </c>
      <c r="U762" s="27">
        <v>16</v>
      </c>
      <c r="V762" s="27">
        <f t="shared" si="1146"/>
        <v>1</v>
      </c>
      <c r="W762" s="107">
        <v>0</v>
      </c>
      <c r="X762" s="108" t="str">
        <f t="shared" si="1147"/>
        <v>ターボババァマスコット</v>
      </c>
      <c r="Y762" s="62">
        <f t="shared" si="1148"/>
        <v>800</v>
      </c>
      <c r="Z762" s="27">
        <f t="shared" si="1149"/>
        <v>800</v>
      </c>
      <c r="AA762" s="28">
        <f t="shared" si="1150"/>
        <v>0.23529411764705882</v>
      </c>
      <c r="AB762" s="15"/>
      <c r="AC762" s="15"/>
      <c r="AD762" s="26"/>
      <c r="AE762" s="27">
        <v>5961</v>
      </c>
      <c r="AF762" s="27">
        <f t="shared" si="1151"/>
        <v>72</v>
      </c>
      <c r="AG762" s="27">
        <v>186</v>
      </c>
      <c r="AH762" s="27">
        <f t="shared" si="1152"/>
        <v>2</v>
      </c>
      <c r="AI762" s="27">
        <v>10</v>
      </c>
      <c r="AJ762" s="27">
        <f t="shared" si="1153"/>
        <v>2</v>
      </c>
      <c r="AK762" s="107">
        <v>0</v>
      </c>
      <c r="AL762" s="57" t="str">
        <f t="shared" si="1168"/>
        <v>ミニクレーンコンパネ</v>
      </c>
      <c r="AM762" s="62">
        <f t="shared" si="1169"/>
        <v>710</v>
      </c>
      <c r="AN762" s="27">
        <f t="shared" si="1154"/>
        <v>1420</v>
      </c>
      <c r="AO762" s="28">
        <f t="shared" si="1155"/>
        <v>0.19722222222222222</v>
      </c>
      <c r="AP762" s="15"/>
      <c r="AQ762" s="15"/>
      <c r="AR762" s="26"/>
      <c r="AS762" s="27">
        <v>6668</v>
      </c>
      <c r="AT762" s="27">
        <f t="shared" si="1156"/>
        <v>97</v>
      </c>
      <c r="AU762" s="27">
        <v>283</v>
      </c>
      <c r="AV762" s="27">
        <f t="shared" si="1157"/>
        <v>4</v>
      </c>
      <c r="AW762" s="27">
        <v>60</v>
      </c>
      <c r="AX762" s="27">
        <f t="shared" si="1158"/>
        <v>5</v>
      </c>
      <c r="AY762" s="107">
        <v>0</v>
      </c>
      <c r="AZ762" s="57" t="str">
        <f t="shared" si="1159"/>
        <v>キティサンダルキーホルダー</v>
      </c>
      <c r="BA762" s="62">
        <f t="shared" si="1160"/>
        <v>600</v>
      </c>
      <c r="BB762" s="27">
        <f t="shared" si="1161"/>
        <v>3000</v>
      </c>
      <c r="BC762" s="28">
        <f t="shared" si="1162"/>
        <v>0.30927835051546393</v>
      </c>
      <c r="BD762" s="15"/>
      <c r="BT762" s="15"/>
      <c r="BU762" s="79" t="e">
        <f>IF(#REF!="","",#REF!)</f>
        <v>#REF!</v>
      </c>
      <c r="BV762" s="13"/>
      <c r="BW762" s="13" t="str">
        <f>IF(BV762="","",BV762-BV761)</f>
        <v/>
      </c>
      <c r="BX762" s="13"/>
      <c r="BY762" s="13" t="str">
        <f>IF(BX762="","",BX762-BX761)</f>
        <v/>
      </c>
      <c r="BZ762" s="13"/>
      <c r="CA762" s="13" t="str">
        <f>IF(BZ762="","",BZ761+CB761-BZ762)</f>
        <v/>
      </c>
      <c r="CB762" s="13"/>
      <c r="CC762" s="53"/>
      <c r="CD762" s="53" t="str">
        <f>IF(BV762="","",CD761)</f>
        <v/>
      </c>
      <c r="CE762" s="13" t="str">
        <f t="shared" si="1170"/>
        <v/>
      </c>
      <c r="CF762" s="14" t="str">
        <f t="shared" si="1171"/>
        <v/>
      </c>
      <c r="CG762" s="15"/>
      <c r="CH762" s="1"/>
      <c r="CI762" s="79" t="e">
        <f>IF(#REF!="","",#REF!)</f>
        <v>#REF!</v>
      </c>
      <c r="CJ762" s="13"/>
      <c r="CK762" s="13" t="str">
        <f>IF(CJ762="","",CJ762-CJ761)</f>
        <v/>
      </c>
      <c r="CL762" s="13"/>
      <c r="CM762" s="13" t="str">
        <f>IF(CL762="","",CL762-CL761)</f>
        <v/>
      </c>
      <c r="CN762" s="13"/>
      <c r="CO762" s="13" t="str">
        <f>IF(CN762="","",CN761+CP761-CN762)</f>
        <v/>
      </c>
      <c r="CP762" s="13"/>
      <c r="CQ762" s="53"/>
      <c r="CR762" s="53" t="str">
        <f>IF(CJ762="","",CR761)</f>
        <v/>
      </c>
      <c r="CS762" s="13" t="str">
        <f t="shared" si="1172"/>
        <v/>
      </c>
      <c r="CT762" s="14" t="str">
        <f>IF(CS762="","",CS762/(CJ762*100))</f>
        <v/>
      </c>
      <c r="CU762" s="15"/>
      <c r="CV762" s="1"/>
      <c r="CW762" s="79" t="e">
        <f>IF(#REF!="","",#REF!)</f>
        <v>#REF!</v>
      </c>
      <c r="CX762" s="13"/>
      <c r="CY762" s="13" t="str">
        <f>IF(CX762="","",CX762-CX761)</f>
        <v/>
      </c>
      <c r="CZ762" s="13"/>
      <c r="DA762" s="13" t="str">
        <f>IF(CZ762="","",CZ762-CZ761)</f>
        <v/>
      </c>
      <c r="DB762" s="13"/>
      <c r="DC762" s="13" t="str">
        <f>IF(DB762="","",DB761+DD761-DB762)</f>
        <v/>
      </c>
      <c r="DD762" s="13"/>
      <c r="DE762" s="53"/>
      <c r="DF762" s="53" t="str">
        <f>IF(CX762="","",DF761)</f>
        <v/>
      </c>
      <c r="DG762" s="13" t="str">
        <f t="shared" si="1173"/>
        <v/>
      </c>
      <c r="DH762" s="14" t="str">
        <f t="shared" si="1174"/>
        <v/>
      </c>
      <c r="DI762" s="15"/>
      <c r="DJ762" s="1"/>
      <c r="DK762" s="79" t="e">
        <f>IF(#REF!="","",#REF!)</f>
        <v>#REF!</v>
      </c>
      <c r="DL762" s="13"/>
      <c r="DM762" s="13" t="str">
        <f>IF(DL762="","",DL762-DL761)</f>
        <v/>
      </c>
      <c r="DN762" s="13"/>
      <c r="DO762" s="13" t="str">
        <f>IF(DN762="","",DN762-DN761)</f>
        <v/>
      </c>
      <c r="DP762" s="13"/>
      <c r="DQ762" s="13" t="str">
        <f>IF(DP762="","",DP761+DR761-DP762)</f>
        <v/>
      </c>
      <c r="DR762" s="13"/>
      <c r="DS762" s="53"/>
      <c r="DT762" s="53" t="str">
        <f>IF(DL762="","",DT761)</f>
        <v/>
      </c>
      <c r="DU762" s="13" t="str">
        <f t="shared" si="1175"/>
        <v/>
      </c>
      <c r="DV762" s="14" t="str">
        <f t="shared" si="1176"/>
        <v/>
      </c>
      <c r="DW762" s="15"/>
    </row>
    <row r="763" spans="1:127" ht="15" customHeight="1" thickTop="1" x14ac:dyDescent="0.2">
      <c r="A763" s="79">
        <v>45873</v>
      </c>
      <c r="B763" s="74">
        <f>IF(A763="","",SUM(D763:D766)+SUM(R763:R766)+SUM(AF763:AF766)+SUM(AT763:AT766)+SUM(BW748,CK748,CY748,DM748))</f>
        <v>1893</v>
      </c>
      <c r="C763" s="53">
        <v>688</v>
      </c>
      <c r="D763" s="53">
        <f t="shared" si="1164"/>
        <v>72</v>
      </c>
      <c r="E763" s="53">
        <v>247</v>
      </c>
      <c r="F763" s="31">
        <f t="shared" si="1165"/>
        <v>2</v>
      </c>
      <c r="G763" s="53">
        <v>3</v>
      </c>
      <c r="H763" s="53">
        <f t="shared" si="1141"/>
        <v>2</v>
      </c>
      <c r="I763" s="80">
        <v>0</v>
      </c>
      <c r="J763" s="75" t="str">
        <f t="shared" si="1142"/>
        <v>ジャグラーサウンドボタン</v>
      </c>
      <c r="K763" s="76">
        <f t="shared" si="1143"/>
        <v>748</v>
      </c>
      <c r="L763" s="31">
        <f t="shared" si="1144"/>
        <v>1496</v>
      </c>
      <c r="M763" s="32">
        <f t="shared" si="1145"/>
        <v>0.20777777777777778</v>
      </c>
      <c r="N763" s="15" t="s">
        <v>226</v>
      </c>
      <c r="O763" s="2"/>
      <c r="P763" s="79">
        <f>IF($A763="","",$A763)</f>
        <v>45873</v>
      </c>
      <c r="Q763" s="53">
        <v>439</v>
      </c>
      <c r="R763" s="53">
        <f t="shared" si="1166"/>
        <v>30</v>
      </c>
      <c r="S763" s="53">
        <v>32</v>
      </c>
      <c r="T763" s="31">
        <f t="shared" si="1167"/>
        <v>2</v>
      </c>
      <c r="U763" s="53">
        <v>7</v>
      </c>
      <c r="V763" s="53">
        <f t="shared" si="1146"/>
        <v>1</v>
      </c>
      <c r="W763" s="80">
        <v>0</v>
      </c>
      <c r="X763" s="75" t="str">
        <f t="shared" si="1147"/>
        <v>ジャグラーパネルKH</v>
      </c>
      <c r="Y763" s="76">
        <f t="shared" si="1148"/>
        <v>500</v>
      </c>
      <c r="Z763" s="31">
        <f t="shared" si="1149"/>
        <v>500</v>
      </c>
      <c r="AA763" s="32">
        <f t="shared" si="1150"/>
        <v>0.16666666666666666</v>
      </c>
      <c r="AB763" s="15"/>
      <c r="AC763" s="15"/>
      <c r="AD763" s="79">
        <f>IF($A763="","",$A763)</f>
        <v>45873</v>
      </c>
      <c r="AE763" s="53">
        <v>6320</v>
      </c>
      <c r="AF763" s="127">
        <f t="shared" si="1151"/>
        <v>45</v>
      </c>
      <c r="AG763" s="53">
        <v>126</v>
      </c>
      <c r="AH763" s="31">
        <f t="shared" si="1152"/>
        <v>1</v>
      </c>
      <c r="AI763" s="53">
        <v>39</v>
      </c>
      <c r="AJ763" s="53">
        <f t="shared" si="1153"/>
        <v>1</v>
      </c>
      <c r="AK763" s="80">
        <v>0</v>
      </c>
      <c r="AL763" s="135" t="str">
        <f t="shared" si="1168"/>
        <v>ミニ香水</v>
      </c>
      <c r="AM763" s="76">
        <f t="shared" si="1169"/>
        <v>1100</v>
      </c>
      <c r="AN763" s="31">
        <f t="shared" si="1154"/>
        <v>1100</v>
      </c>
      <c r="AO763" s="32">
        <f t="shared" si="1155"/>
        <v>0.24444444444444444</v>
      </c>
      <c r="AP763" s="15" t="s">
        <v>227</v>
      </c>
      <c r="AQ763" s="15"/>
      <c r="AR763" s="79">
        <f>IF($A763="","",$A763)</f>
        <v>45873</v>
      </c>
      <c r="AS763" s="53">
        <v>6754</v>
      </c>
      <c r="AT763" s="53">
        <f t="shared" si="1156"/>
        <v>77</v>
      </c>
      <c r="AU763" s="53">
        <v>217</v>
      </c>
      <c r="AV763" s="31">
        <f t="shared" si="1157"/>
        <v>2</v>
      </c>
      <c r="AW763" s="53">
        <v>6</v>
      </c>
      <c r="AX763" s="53">
        <f t="shared" si="1158"/>
        <v>2</v>
      </c>
      <c r="AY763" s="80">
        <v>4</v>
      </c>
      <c r="AZ763" s="75" t="str">
        <f t="shared" si="1159"/>
        <v>こびとづかんキーケース</v>
      </c>
      <c r="BA763" s="76">
        <f t="shared" si="1160"/>
        <v>726</v>
      </c>
      <c r="BB763" s="31">
        <f t="shared" si="1161"/>
        <v>1452</v>
      </c>
      <c r="BC763" s="32">
        <f t="shared" si="1162"/>
        <v>0.18857142857142858</v>
      </c>
      <c r="BD763" s="15"/>
      <c r="BT763" s="15"/>
      <c r="BU763" s="79" t="e">
        <f>IF(#REF!="","",#REF!)</f>
        <v>#REF!</v>
      </c>
      <c r="BV763" s="13"/>
      <c r="BW763" s="13" t="str">
        <f>IF(BV763="","",BV763-BV762)</f>
        <v/>
      </c>
      <c r="BX763" s="13"/>
      <c r="BY763" s="13" t="str">
        <f>IF(BX763="","",BX763-BX762)</f>
        <v/>
      </c>
      <c r="BZ763" s="13"/>
      <c r="CA763" s="13" t="str">
        <f>IF(BZ763="","",BZ762+CB762-BZ763)</f>
        <v/>
      </c>
      <c r="CB763" s="13"/>
      <c r="CC763" s="53"/>
      <c r="CD763" s="53" t="str">
        <f>IF(BV763="","",CD762)</f>
        <v/>
      </c>
      <c r="CE763" s="13" t="str">
        <f t="shared" si="1170"/>
        <v/>
      </c>
      <c r="CF763" s="14" t="str">
        <f t="shared" si="1171"/>
        <v/>
      </c>
      <c r="CG763" s="15"/>
      <c r="CH763" s="1"/>
      <c r="CI763" s="79" t="e">
        <f>IF(#REF!="","",#REF!)</f>
        <v>#REF!</v>
      </c>
      <c r="CJ763" s="13"/>
      <c r="CK763" s="13" t="str">
        <f>IF(CJ763="","",CJ763-CJ762)</f>
        <v/>
      </c>
      <c r="CL763" s="13"/>
      <c r="CM763" s="13" t="str">
        <f>IF(CL763="","",CL763-CL762)</f>
        <v/>
      </c>
      <c r="CN763" s="13"/>
      <c r="CO763" s="13" t="str">
        <f>IF(CN763="","",CN762+CP762-CN763)</f>
        <v/>
      </c>
      <c r="CP763" s="13"/>
      <c r="CQ763" s="53"/>
      <c r="CR763" s="53" t="str">
        <f>IF(CJ763="","",CR762)</f>
        <v/>
      </c>
      <c r="CS763" s="13" t="str">
        <f t="shared" si="1172"/>
        <v/>
      </c>
      <c r="CT763" s="14" t="str">
        <f>IF(CS763="","",CS763/(CJ763*100))</f>
        <v/>
      </c>
      <c r="CU763" s="15"/>
      <c r="CV763" s="1"/>
      <c r="CW763" s="79" t="e">
        <f>IF(#REF!="","",#REF!)</f>
        <v>#REF!</v>
      </c>
      <c r="CX763" s="13"/>
      <c r="CY763" s="13" t="str">
        <f>IF(CX763="","",CX763-CX762)</f>
        <v/>
      </c>
      <c r="CZ763" s="13"/>
      <c r="DA763" s="13" t="str">
        <f>IF(CZ763="","",CZ763-CZ762)</f>
        <v/>
      </c>
      <c r="DB763" s="13"/>
      <c r="DC763" s="13" t="str">
        <f>IF(DB763="","",DB762+DD762-DB763)</f>
        <v/>
      </c>
      <c r="DD763" s="13"/>
      <c r="DE763" s="53"/>
      <c r="DF763" s="53" t="str">
        <f>IF(CX763="","",DF762)</f>
        <v/>
      </c>
      <c r="DG763" s="13" t="str">
        <f t="shared" si="1173"/>
        <v/>
      </c>
      <c r="DH763" s="14" t="str">
        <f t="shared" si="1174"/>
        <v/>
      </c>
      <c r="DI763" s="15"/>
      <c r="DJ763" s="1"/>
      <c r="DK763" s="79" t="e">
        <f>IF(#REF!="","",#REF!)</f>
        <v>#REF!</v>
      </c>
      <c r="DL763" s="13"/>
      <c r="DM763" s="13" t="str">
        <f>IF(DL763="","",DL763-DL762)</f>
        <v/>
      </c>
      <c r="DN763" s="13"/>
      <c r="DO763" s="13" t="str">
        <f>IF(DN763="","",DN763-DN762)</f>
        <v/>
      </c>
      <c r="DP763" s="13"/>
      <c r="DQ763" s="13" t="str">
        <f>IF(DP763="","",DP762+DR762-DP763)</f>
        <v/>
      </c>
      <c r="DR763" s="13"/>
      <c r="DS763" s="53"/>
      <c r="DT763" s="53" t="str">
        <f>IF(DL763="","",DT762)</f>
        <v/>
      </c>
      <c r="DU763" s="13" t="str">
        <f t="shared" si="1175"/>
        <v/>
      </c>
      <c r="DV763" s="14" t="str">
        <f t="shared" si="1176"/>
        <v/>
      </c>
      <c r="DW763" s="15"/>
    </row>
    <row r="764" spans="1:127" ht="15" customHeight="1" x14ac:dyDescent="0.2">
      <c r="A764" s="121"/>
      <c r="B764" s="11"/>
      <c r="C764" s="13">
        <v>593</v>
      </c>
      <c r="D764" s="87">
        <f t="shared" si="1164"/>
        <v>33</v>
      </c>
      <c r="E764" s="13">
        <v>236</v>
      </c>
      <c r="F764" s="13">
        <f t="shared" si="1165"/>
        <v>1</v>
      </c>
      <c r="G764" s="13">
        <v>6</v>
      </c>
      <c r="H764" s="13">
        <f t="shared" si="1141"/>
        <v>1</v>
      </c>
      <c r="I764" s="17">
        <v>0</v>
      </c>
      <c r="J764" s="111" t="str">
        <f t="shared" si="1142"/>
        <v>ジャグラーイヤホン</v>
      </c>
      <c r="K764" s="54">
        <f t="shared" si="1143"/>
        <v>1100</v>
      </c>
      <c r="L764" s="13">
        <f t="shared" si="1144"/>
        <v>1100</v>
      </c>
      <c r="M764" s="14">
        <f t="shared" si="1145"/>
        <v>0.33333333333333331</v>
      </c>
      <c r="N764" s="15"/>
      <c r="O764" s="2"/>
      <c r="P764" s="16"/>
      <c r="Q764" s="13">
        <v>621</v>
      </c>
      <c r="R764" s="89">
        <f t="shared" si="1166"/>
        <v>6</v>
      </c>
      <c r="S764" s="13">
        <v>13</v>
      </c>
      <c r="T764" s="13">
        <f t="shared" si="1167"/>
        <v>2</v>
      </c>
      <c r="U764" s="13">
        <v>0</v>
      </c>
      <c r="V764" s="13">
        <f t="shared" si="1146"/>
        <v>2</v>
      </c>
      <c r="W764" s="17">
        <v>8</v>
      </c>
      <c r="X764" s="56" t="str">
        <f t="shared" si="1147"/>
        <v>サンリオFAN</v>
      </c>
      <c r="Y764" s="54">
        <f t="shared" si="1148"/>
        <v>1100</v>
      </c>
      <c r="Z764" s="13">
        <f t="shared" si="1149"/>
        <v>2200</v>
      </c>
      <c r="AA764" s="14">
        <f t="shared" si="1150"/>
        <v>3.6666666666666665</v>
      </c>
      <c r="AB764" s="15"/>
      <c r="AC764" s="15"/>
      <c r="AD764" s="16"/>
      <c r="AE764" s="13">
        <v>5427</v>
      </c>
      <c r="AF764" s="13">
        <f t="shared" si="1151"/>
        <v>52</v>
      </c>
      <c r="AG764" s="13">
        <v>124</v>
      </c>
      <c r="AH764" s="13">
        <f t="shared" si="1152"/>
        <v>1</v>
      </c>
      <c r="AI764" s="13">
        <v>19</v>
      </c>
      <c r="AJ764" s="13">
        <f t="shared" si="1153"/>
        <v>0</v>
      </c>
      <c r="AK764" s="17">
        <v>1</v>
      </c>
      <c r="AL764" s="56" t="str">
        <f t="shared" si="1168"/>
        <v>デジタルミニカメラ</v>
      </c>
      <c r="AM764" s="54">
        <f t="shared" si="1169"/>
        <v>800</v>
      </c>
      <c r="AN764" s="13">
        <f t="shared" si="1154"/>
        <v>0</v>
      </c>
      <c r="AO764" s="14">
        <f t="shared" si="1155"/>
        <v>0</v>
      </c>
      <c r="AP764" s="15"/>
      <c r="AQ764" s="15"/>
      <c r="AR764" s="16"/>
      <c r="AS764" s="13">
        <v>4451</v>
      </c>
      <c r="AT764" s="13">
        <f t="shared" si="1156"/>
        <v>53</v>
      </c>
      <c r="AU764" s="13">
        <v>237</v>
      </c>
      <c r="AV764" s="13">
        <f t="shared" si="1157"/>
        <v>3</v>
      </c>
      <c r="AW764" s="13">
        <v>26</v>
      </c>
      <c r="AX764" s="13">
        <f t="shared" si="1158"/>
        <v>2</v>
      </c>
      <c r="AY764" s="17">
        <v>0</v>
      </c>
      <c r="AZ764" s="111" t="str">
        <f t="shared" si="1159"/>
        <v>ねこアイシャドウ</v>
      </c>
      <c r="BA764" s="54">
        <f t="shared" si="1160"/>
        <v>1000</v>
      </c>
      <c r="BB764" s="13">
        <f t="shared" si="1161"/>
        <v>2000</v>
      </c>
      <c r="BC764" s="14">
        <f t="shared" si="1162"/>
        <v>0.37735849056603776</v>
      </c>
      <c r="BD764" s="15"/>
      <c r="BT764" s="15"/>
      <c r="BU764" s="16"/>
      <c r="BV764" s="54"/>
      <c r="BW764" s="13" t="str">
        <f>IF(BV764="","",BV764-BV763)</f>
        <v/>
      </c>
      <c r="BX764" s="13"/>
      <c r="BY764" s="13" t="str">
        <f>IF(BX764="","",BX764-BX763)</f>
        <v/>
      </c>
      <c r="BZ764" s="13"/>
      <c r="CA764" s="13" t="str">
        <f>IF(BZ764="","",BZ763+CB763-BZ764)</f>
        <v/>
      </c>
      <c r="CB764" s="13"/>
      <c r="CC764" s="13"/>
      <c r="CD764" s="13"/>
      <c r="CE764" s="13" t="str">
        <f t="shared" si="1170"/>
        <v/>
      </c>
      <c r="CF764" s="14" t="str">
        <f t="shared" si="1171"/>
        <v/>
      </c>
      <c r="CG764" s="15"/>
      <c r="CH764" s="1"/>
      <c r="CI764" s="16"/>
      <c r="CJ764" s="54"/>
      <c r="CK764" s="13" t="str">
        <f>IF(CJ764="","",CJ764-CJ763)</f>
        <v/>
      </c>
      <c r="CL764" s="13"/>
      <c r="CM764" s="13" t="str">
        <f>IF(CL764="","",CL764-CL763)</f>
        <v/>
      </c>
      <c r="CN764" s="13"/>
      <c r="CO764" s="13" t="str">
        <f>IF(CN764="","",CN763+CP763-CN764)</f>
        <v/>
      </c>
      <c r="CP764" s="13"/>
      <c r="CQ764" s="13"/>
      <c r="CR764" s="13"/>
      <c r="CS764" s="13" t="str">
        <f t="shared" si="1172"/>
        <v/>
      </c>
      <c r="CT764" s="14" t="str">
        <f t="shared" ref="CT764:CT790" si="1177">IF(CS764="","",CS764/(CK764*100))</f>
        <v/>
      </c>
      <c r="CU764" s="15"/>
      <c r="CV764" s="1"/>
      <c r="CW764" s="16"/>
      <c r="CX764" s="54"/>
      <c r="CY764" s="13" t="str">
        <f>IF(CX764="","",CX764-CX763)</f>
        <v/>
      </c>
      <c r="CZ764" s="13"/>
      <c r="DA764" s="13" t="str">
        <f>IF(CZ764="","",CZ764-CZ763)</f>
        <v/>
      </c>
      <c r="DB764" s="13"/>
      <c r="DC764" s="13" t="str">
        <f>IF(DB764="","",DB763+DD763-DB764)</f>
        <v/>
      </c>
      <c r="DD764" s="13"/>
      <c r="DE764" s="13"/>
      <c r="DF764" s="13"/>
      <c r="DG764" s="13" t="str">
        <f t="shared" si="1173"/>
        <v/>
      </c>
      <c r="DH764" s="14" t="str">
        <f t="shared" si="1174"/>
        <v/>
      </c>
      <c r="DI764" s="15"/>
      <c r="DJ764" s="1"/>
      <c r="DK764" s="16"/>
      <c r="DL764" s="54"/>
      <c r="DM764" s="13" t="str">
        <f>IF(DL764="","",DL764-DL763)</f>
        <v/>
      </c>
      <c r="DN764" s="13"/>
      <c r="DO764" s="13" t="str">
        <f>IF(DN764="","",DN764-DN763)</f>
        <v/>
      </c>
      <c r="DP764" s="13"/>
      <c r="DQ764" s="13" t="str">
        <f>IF(DP764="","",DP763+DR763-DP764)</f>
        <v/>
      </c>
      <c r="DR764" s="13"/>
      <c r="DS764" s="13"/>
      <c r="DT764" s="13"/>
      <c r="DU764" s="13" t="str">
        <f t="shared" si="1175"/>
        <v/>
      </c>
      <c r="DV764" s="14" t="str">
        <f t="shared" si="1176"/>
        <v/>
      </c>
      <c r="DW764" s="15"/>
    </row>
    <row r="765" spans="1:127" ht="15" customHeight="1" x14ac:dyDescent="0.2">
      <c r="A765" s="16"/>
      <c r="B765" s="11"/>
      <c r="C765" s="34">
        <v>2116</v>
      </c>
      <c r="D765" s="13">
        <f t="shared" si="1164"/>
        <v>364</v>
      </c>
      <c r="E765" s="34">
        <v>267</v>
      </c>
      <c r="F765" s="13">
        <f t="shared" si="1165"/>
        <v>3</v>
      </c>
      <c r="G765" s="13">
        <v>74</v>
      </c>
      <c r="H765" s="13">
        <f t="shared" si="1141"/>
        <v>4</v>
      </c>
      <c r="I765" s="49">
        <v>50</v>
      </c>
      <c r="J765" s="56" t="str">
        <f t="shared" si="1142"/>
        <v>AIモンスタラバー</v>
      </c>
      <c r="K765" s="13">
        <f t="shared" si="1143"/>
        <v>200</v>
      </c>
      <c r="L765" s="13">
        <f t="shared" si="1144"/>
        <v>800</v>
      </c>
      <c r="M765" s="14">
        <f t="shared" si="1145"/>
        <v>2.197802197802198E-2</v>
      </c>
      <c r="N765" s="15"/>
      <c r="O765" s="2"/>
      <c r="P765" s="16"/>
      <c r="Q765" s="34">
        <v>721</v>
      </c>
      <c r="R765" s="13">
        <f t="shared" si="1166"/>
        <v>106</v>
      </c>
      <c r="S765" s="34">
        <v>2</v>
      </c>
      <c r="T765" s="13">
        <f>IF(S765="","",S765-S761)+1000</f>
        <v>3</v>
      </c>
      <c r="U765" s="13">
        <v>3</v>
      </c>
      <c r="V765" s="13">
        <f t="shared" si="1146"/>
        <v>3</v>
      </c>
      <c r="W765" s="49">
        <v>4</v>
      </c>
      <c r="X765" s="56" t="str">
        <f t="shared" si="1147"/>
        <v>キティフェイスポーチ</v>
      </c>
      <c r="Y765" s="13">
        <f t="shared" si="1148"/>
        <v>957</v>
      </c>
      <c r="Z765" s="13">
        <f t="shared" si="1149"/>
        <v>2871</v>
      </c>
      <c r="AA765" s="14">
        <f t="shared" si="1150"/>
        <v>0.27084905660377356</v>
      </c>
      <c r="AB765" s="15"/>
      <c r="AC765" s="15"/>
      <c r="AD765" s="16"/>
      <c r="AE765" s="34">
        <v>5835</v>
      </c>
      <c r="AF765" s="13">
        <f t="shared" si="1151"/>
        <v>176</v>
      </c>
      <c r="AG765" s="34">
        <v>233</v>
      </c>
      <c r="AH765" s="13">
        <f t="shared" si="1152"/>
        <v>5</v>
      </c>
      <c r="AI765" s="13">
        <v>4</v>
      </c>
      <c r="AJ765" s="13">
        <f t="shared" si="1153"/>
        <v>5</v>
      </c>
      <c r="AK765" s="49">
        <v>0</v>
      </c>
      <c r="AL765" s="56" t="str">
        <f t="shared" si="1168"/>
        <v>ジョージファン</v>
      </c>
      <c r="AM765" s="13">
        <f t="shared" si="1169"/>
        <v>1050</v>
      </c>
      <c r="AN765" s="13">
        <f t="shared" si="1154"/>
        <v>5250</v>
      </c>
      <c r="AO765" s="14">
        <f t="shared" si="1155"/>
        <v>0.29829545454545453</v>
      </c>
      <c r="AP765" s="15"/>
      <c r="AQ765" s="15"/>
      <c r="AR765" s="16"/>
      <c r="AS765" s="34">
        <v>7720</v>
      </c>
      <c r="AT765" s="13">
        <f t="shared" si="1156"/>
        <v>152</v>
      </c>
      <c r="AU765" s="34">
        <v>319</v>
      </c>
      <c r="AV765" s="13">
        <f t="shared" si="1157"/>
        <v>6</v>
      </c>
      <c r="AW765" s="13">
        <v>118</v>
      </c>
      <c r="AX765" s="13">
        <f t="shared" si="1158"/>
        <v>46</v>
      </c>
      <c r="AY765" s="49">
        <v>0</v>
      </c>
      <c r="AZ765" s="56" t="str">
        <f t="shared" si="1159"/>
        <v>SPGラバーキーホルダー</v>
      </c>
      <c r="BA765" s="13">
        <f t="shared" si="1160"/>
        <v>200</v>
      </c>
      <c r="BB765" s="13">
        <f t="shared" si="1161"/>
        <v>9200</v>
      </c>
      <c r="BC765" s="14">
        <f t="shared" si="1162"/>
        <v>0.60526315789473684</v>
      </c>
      <c r="BD765" s="15"/>
      <c r="BT765" s="15"/>
      <c r="BU765" s="16"/>
      <c r="BV765" s="54"/>
      <c r="BW765" s="13" t="str">
        <f>IF(BV765="","",BV765-BV764)</f>
        <v/>
      </c>
      <c r="BX765" s="13"/>
      <c r="BY765" s="13" t="str">
        <f>IF(BX765="","",BX765-BX764)</f>
        <v/>
      </c>
      <c r="BZ765" s="13"/>
      <c r="CA765" s="13" t="str">
        <f>IF(BZ765="","",BZ764+CB764-BZ765)</f>
        <v/>
      </c>
      <c r="CB765" s="13"/>
      <c r="CC765" s="13"/>
      <c r="CD765" s="13"/>
      <c r="CE765" s="13" t="str">
        <f t="shared" si="1170"/>
        <v/>
      </c>
      <c r="CF765" s="14" t="str">
        <f t="shared" si="1171"/>
        <v/>
      </c>
      <c r="CG765" s="15"/>
      <c r="CH765" s="1"/>
      <c r="CI765" s="16"/>
      <c r="CJ765" s="54"/>
      <c r="CK765" s="13" t="str">
        <f>IF(CJ765="","",CJ765-CJ764)</f>
        <v/>
      </c>
      <c r="CL765" s="13"/>
      <c r="CM765" s="13" t="str">
        <f>IF(CL765="","",CL765-CL764)</f>
        <v/>
      </c>
      <c r="CN765" s="13"/>
      <c r="CO765" s="13" t="str">
        <f>IF(CN765="","",CN764+CP764-CN765)</f>
        <v/>
      </c>
      <c r="CP765" s="13"/>
      <c r="CQ765" s="13"/>
      <c r="CR765" s="13"/>
      <c r="CS765" s="13" t="str">
        <f t="shared" si="1172"/>
        <v/>
      </c>
      <c r="CT765" s="14" t="str">
        <f t="shared" si="1177"/>
        <v/>
      </c>
      <c r="CU765" s="15"/>
      <c r="CV765" s="1"/>
      <c r="CW765" s="16"/>
      <c r="CX765" s="54"/>
      <c r="CY765" s="13" t="str">
        <f>IF(CX765="","",CX765-CX764)</f>
        <v/>
      </c>
      <c r="CZ765" s="13"/>
      <c r="DA765" s="13" t="str">
        <f>IF(CZ765="","",CZ765-CZ764)</f>
        <v/>
      </c>
      <c r="DB765" s="13"/>
      <c r="DC765" s="13" t="str">
        <f>IF(DB765="","",DB764+DD764-DB765)</f>
        <v/>
      </c>
      <c r="DD765" s="13"/>
      <c r="DE765" s="13"/>
      <c r="DF765" s="13"/>
      <c r="DG765" s="13" t="str">
        <f t="shared" si="1173"/>
        <v/>
      </c>
      <c r="DH765" s="14" t="str">
        <f t="shared" si="1174"/>
        <v/>
      </c>
      <c r="DI765" s="15"/>
      <c r="DJ765" s="1"/>
      <c r="DK765" s="16"/>
      <c r="DL765" s="54"/>
      <c r="DM765" s="13" t="str">
        <f>IF(DL765="","",DL765-DL764)</f>
        <v/>
      </c>
      <c r="DN765" s="13"/>
      <c r="DO765" s="13" t="str">
        <f>IF(DN765="","",DN765-DN764)</f>
        <v/>
      </c>
      <c r="DP765" s="13"/>
      <c r="DQ765" s="13" t="str">
        <f>IF(DP765="","",DP764+DR764-DP765)</f>
        <v/>
      </c>
      <c r="DR765" s="13"/>
      <c r="DS765" s="13"/>
      <c r="DT765" s="13"/>
      <c r="DU765" s="13" t="str">
        <f t="shared" si="1175"/>
        <v/>
      </c>
      <c r="DV765" s="14" t="str">
        <f t="shared" si="1176"/>
        <v/>
      </c>
      <c r="DW765" s="15"/>
    </row>
    <row r="766" spans="1:127" ht="15" customHeight="1" thickBot="1" x14ac:dyDescent="0.25">
      <c r="A766" s="26"/>
      <c r="B766" s="46"/>
      <c r="C766" s="27">
        <v>1050</v>
      </c>
      <c r="D766" s="27">
        <f t="shared" si="1164"/>
        <v>134</v>
      </c>
      <c r="E766" s="27">
        <v>271</v>
      </c>
      <c r="F766" s="27">
        <f t="shared" si="1165"/>
        <v>6</v>
      </c>
      <c r="G766" s="27">
        <v>16</v>
      </c>
      <c r="H766" s="27">
        <f t="shared" si="1141"/>
        <v>8</v>
      </c>
      <c r="I766" s="47">
        <v>32</v>
      </c>
      <c r="J766" s="57" t="str">
        <f t="shared" si="1142"/>
        <v>NICIマスコット</v>
      </c>
      <c r="K766" s="62">
        <f t="shared" si="1143"/>
        <v>682</v>
      </c>
      <c r="L766" s="27">
        <f t="shared" si="1144"/>
        <v>5456</v>
      </c>
      <c r="M766" s="28">
        <f t="shared" si="1145"/>
        <v>0.40716417910447761</v>
      </c>
      <c r="N766" s="15"/>
      <c r="O766" s="2"/>
      <c r="P766" s="26"/>
      <c r="Q766" s="27">
        <v>334</v>
      </c>
      <c r="R766" s="27">
        <f t="shared" si="1166"/>
        <v>44</v>
      </c>
      <c r="S766" s="27">
        <v>3</v>
      </c>
      <c r="T766" s="27">
        <f t="shared" si="1167"/>
        <v>1</v>
      </c>
      <c r="U766" s="27">
        <v>15</v>
      </c>
      <c r="V766" s="27">
        <f t="shared" si="1146"/>
        <v>1</v>
      </c>
      <c r="W766" s="47">
        <v>0</v>
      </c>
      <c r="X766" s="108" t="str">
        <f t="shared" si="1147"/>
        <v>ターボババァマスコット</v>
      </c>
      <c r="Y766" s="62">
        <f t="shared" si="1148"/>
        <v>800</v>
      </c>
      <c r="Z766" s="27">
        <f t="shared" si="1149"/>
        <v>800</v>
      </c>
      <c r="AA766" s="28">
        <f t="shared" si="1150"/>
        <v>0.18181818181818182</v>
      </c>
      <c r="AB766" s="15" t="s">
        <v>225</v>
      </c>
      <c r="AC766" s="15"/>
      <c r="AD766" s="26"/>
      <c r="AE766" s="27">
        <v>6041</v>
      </c>
      <c r="AF766" s="27">
        <f t="shared" si="1151"/>
        <v>80</v>
      </c>
      <c r="AG766" s="27">
        <v>188</v>
      </c>
      <c r="AH766" s="27">
        <f t="shared" si="1152"/>
        <v>2</v>
      </c>
      <c r="AI766" s="27">
        <v>8</v>
      </c>
      <c r="AJ766" s="27">
        <f t="shared" si="1153"/>
        <v>2</v>
      </c>
      <c r="AK766" s="47">
        <v>1</v>
      </c>
      <c r="AL766" s="57" t="str">
        <f t="shared" si="1168"/>
        <v>ミニクレーンコンパネ</v>
      </c>
      <c r="AM766" s="62">
        <f t="shared" si="1169"/>
        <v>710</v>
      </c>
      <c r="AN766" s="27">
        <f t="shared" si="1154"/>
        <v>1420</v>
      </c>
      <c r="AO766" s="28">
        <f t="shared" si="1155"/>
        <v>0.17749999999999999</v>
      </c>
      <c r="AP766" s="15"/>
      <c r="AQ766" s="15"/>
      <c r="AR766" s="26"/>
      <c r="AS766" s="27">
        <v>6741</v>
      </c>
      <c r="AT766" s="27">
        <f t="shared" si="1156"/>
        <v>73</v>
      </c>
      <c r="AU766" s="27">
        <v>285</v>
      </c>
      <c r="AV766" s="27">
        <f t="shared" si="1157"/>
        <v>2</v>
      </c>
      <c r="AW766" s="27">
        <v>54</v>
      </c>
      <c r="AX766" s="27">
        <f t="shared" si="1158"/>
        <v>6</v>
      </c>
      <c r="AY766" s="47">
        <v>30</v>
      </c>
      <c r="AZ766" s="57" t="str">
        <f t="shared" si="1159"/>
        <v>キティサンダルキーホルダー</v>
      </c>
      <c r="BA766" s="62">
        <f t="shared" si="1160"/>
        <v>600</v>
      </c>
      <c r="BB766" s="27">
        <f t="shared" si="1161"/>
        <v>3600</v>
      </c>
      <c r="BC766" s="28">
        <f t="shared" si="1162"/>
        <v>0.49315068493150682</v>
      </c>
      <c r="BD766" s="15"/>
      <c r="BT766" s="15"/>
      <c r="BU766" s="16"/>
      <c r="BV766" s="54"/>
      <c r="BW766" s="13" t="str">
        <f>IF(BV766="","",BV766-BV765)</f>
        <v/>
      </c>
      <c r="BX766" s="13"/>
      <c r="BY766" s="13"/>
      <c r="BZ766" s="13"/>
      <c r="CA766" s="13" t="str">
        <f>IF(BZ766="","",BZ765+CB765-BZ766)</f>
        <v/>
      </c>
      <c r="CB766" s="13"/>
      <c r="CC766" s="13"/>
      <c r="CD766" s="13"/>
      <c r="CE766" s="13" t="str">
        <f t="shared" si="1170"/>
        <v/>
      </c>
      <c r="CF766" s="14" t="str">
        <f t="shared" si="1171"/>
        <v/>
      </c>
      <c r="CG766" s="15"/>
      <c r="CH766" s="1"/>
      <c r="CI766" s="16"/>
      <c r="CJ766" s="54"/>
      <c r="CK766" s="13" t="str">
        <f>IF(CJ766="","",CJ766-CJ765)</f>
        <v/>
      </c>
      <c r="CL766" s="13"/>
      <c r="CM766" s="13"/>
      <c r="CN766" s="13"/>
      <c r="CO766" s="13" t="str">
        <f>IF(CN766="","",CN765+CP765-CN766)</f>
        <v/>
      </c>
      <c r="CP766" s="13"/>
      <c r="CQ766" s="13"/>
      <c r="CR766" s="13"/>
      <c r="CS766" s="13" t="str">
        <f t="shared" si="1172"/>
        <v/>
      </c>
      <c r="CT766" s="14" t="str">
        <f t="shared" si="1177"/>
        <v/>
      </c>
      <c r="CU766" s="15"/>
      <c r="CV766" s="1"/>
      <c r="CW766" s="16"/>
      <c r="CX766" s="54"/>
      <c r="CY766" s="13" t="str">
        <f>IF(CX766="","",CX766-CX765)</f>
        <v/>
      </c>
      <c r="CZ766" s="13"/>
      <c r="DA766" s="13"/>
      <c r="DB766" s="13"/>
      <c r="DC766" s="13" t="str">
        <f>IF(DB766="","",DB765+DD765-DB766)</f>
        <v/>
      </c>
      <c r="DD766" s="13"/>
      <c r="DE766" s="13"/>
      <c r="DF766" s="13"/>
      <c r="DG766" s="13" t="str">
        <f t="shared" si="1173"/>
        <v/>
      </c>
      <c r="DH766" s="14" t="str">
        <f t="shared" si="1174"/>
        <v/>
      </c>
      <c r="DI766" s="15"/>
      <c r="DJ766" s="1"/>
      <c r="DK766" s="16"/>
      <c r="DL766" s="54"/>
      <c r="DM766" s="13" t="str">
        <f>IF(DL766="","",DL766-DL765)</f>
        <v/>
      </c>
      <c r="DN766" s="13"/>
      <c r="DO766" s="13"/>
      <c r="DP766" s="13"/>
      <c r="DQ766" s="13" t="str">
        <f>IF(DP766="","",DP765+DR765-DP766)</f>
        <v/>
      </c>
      <c r="DR766" s="13"/>
      <c r="DS766" s="13"/>
      <c r="DT766" s="13"/>
      <c r="DU766" s="13" t="str">
        <f t="shared" si="1175"/>
        <v/>
      </c>
      <c r="DV766" s="14" t="str">
        <f t="shared" si="1176"/>
        <v/>
      </c>
      <c r="DW766" s="15"/>
    </row>
    <row r="767" spans="1:127" ht="15" customHeight="1" thickTop="1" x14ac:dyDescent="0.2">
      <c r="A767" s="16">
        <v>45877</v>
      </c>
      <c r="B767" s="74">
        <f>IF(A767="","",SUM(D767:D770)+SUM(R767:R770)+SUM(AF767:AF770)+SUM(AT767:AT770)+SUM(BW749,CK749,CY749,DM749))</f>
        <v>2475</v>
      </c>
      <c r="C767" s="13">
        <v>724</v>
      </c>
      <c r="D767" s="127">
        <f t="shared" si="1164"/>
        <v>36</v>
      </c>
      <c r="E767" s="13">
        <v>250</v>
      </c>
      <c r="F767" s="31">
        <f t="shared" si="1165"/>
        <v>3</v>
      </c>
      <c r="G767" s="13">
        <v>0</v>
      </c>
      <c r="H767" s="53">
        <f t="shared" si="1141"/>
        <v>3</v>
      </c>
      <c r="I767" s="17">
        <v>4</v>
      </c>
      <c r="J767" s="75" t="str">
        <f t="shared" si="1142"/>
        <v>ジャグラーサウンドボタン</v>
      </c>
      <c r="K767" s="76">
        <f t="shared" si="1143"/>
        <v>748</v>
      </c>
      <c r="L767" s="31">
        <f t="shared" si="1144"/>
        <v>2244</v>
      </c>
      <c r="M767" s="32">
        <f t="shared" si="1145"/>
        <v>0.62333333333333329</v>
      </c>
      <c r="N767" s="15"/>
      <c r="O767" s="2"/>
      <c r="P767" s="79">
        <f>IF($A767="","",$A767)</f>
        <v>45877</v>
      </c>
      <c r="Q767" s="13">
        <v>484</v>
      </c>
      <c r="R767" s="53">
        <f t="shared" si="1166"/>
        <v>45</v>
      </c>
      <c r="S767" s="13">
        <v>33</v>
      </c>
      <c r="T767" s="31">
        <f t="shared" si="1167"/>
        <v>1</v>
      </c>
      <c r="U767" s="13">
        <v>6</v>
      </c>
      <c r="V767" s="53">
        <f t="shared" si="1146"/>
        <v>1</v>
      </c>
      <c r="W767" s="17">
        <v>12</v>
      </c>
      <c r="X767" s="75" t="str">
        <f t="shared" si="1147"/>
        <v>ジャグラーパネルKH</v>
      </c>
      <c r="Y767" s="76">
        <f t="shared" si="1148"/>
        <v>500</v>
      </c>
      <c r="Z767" s="31">
        <f t="shared" si="1149"/>
        <v>500</v>
      </c>
      <c r="AA767" s="32">
        <f t="shared" si="1150"/>
        <v>0.1111111111111111</v>
      </c>
      <c r="AB767" s="15"/>
      <c r="AC767" s="15"/>
      <c r="AD767" s="79">
        <f>IF($A767="","",$A767)</f>
        <v>45877</v>
      </c>
      <c r="AE767" s="13">
        <v>6367</v>
      </c>
      <c r="AF767" s="127">
        <f t="shared" si="1151"/>
        <v>47</v>
      </c>
      <c r="AG767" s="13">
        <v>126</v>
      </c>
      <c r="AH767" s="31">
        <f t="shared" si="1152"/>
        <v>0</v>
      </c>
      <c r="AI767" s="13">
        <v>39</v>
      </c>
      <c r="AJ767" s="53">
        <f t="shared" si="1153"/>
        <v>0</v>
      </c>
      <c r="AK767" s="17">
        <v>0</v>
      </c>
      <c r="AL767" s="75" t="str">
        <f t="shared" si="1168"/>
        <v>ミニ香水</v>
      </c>
      <c r="AM767" s="76">
        <f t="shared" si="1169"/>
        <v>1100</v>
      </c>
      <c r="AN767" s="31">
        <f t="shared" si="1154"/>
        <v>0</v>
      </c>
      <c r="AO767" s="32">
        <f t="shared" si="1155"/>
        <v>0</v>
      </c>
      <c r="AP767" s="15"/>
      <c r="AQ767" s="15"/>
      <c r="AR767" s="79">
        <f>IF($A767="","",$A767)</f>
        <v>45877</v>
      </c>
      <c r="AS767" s="13">
        <v>6856</v>
      </c>
      <c r="AT767" s="53">
        <f t="shared" si="1156"/>
        <v>102</v>
      </c>
      <c r="AU767" s="13">
        <v>220</v>
      </c>
      <c r="AV767" s="31">
        <f t="shared" si="1157"/>
        <v>3</v>
      </c>
      <c r="AW767" s="13">
        <v>8</v>
      </c>
      <c r="AX767" s="53">
        <f t="shared" si="1158"/>
        <v>2</v>
      </c>
      <c r="AY767" s="17">
        <v>3</v>
      </c>
      <c r="AZ767" s="75" t="str">
        <f t="shared" si="1159"/>
        <v>こびとづかんキーケース</v>
      </c>
      <c r="BA767" s="76">
        <f t="shared" si="1160"/>
        <v>726</v>
      </c>
      <c r="BB767" s="31">
        <f t="shared" si="1161"/>
        <v>1452</v>
      </c>
      <c r="BC767" s="32">
        <f t="shared" si="1162"/>
        <v>0.1423529411764706</v>
      </c>
      <c r="BD767" s="15"/>
      <c r="BT767" s="15"/>
      <c r="BU767" s="16"/>
      <c r="BV767" s="13"/>
      <c r="BW767" s="13" t="str">
        <f>IF(BV767="","",BV767-BV768)</f>
        <v/>
      </c>
      <c r="BX767" s="13"/>
      <c r="BY767" s="13" t="str">
        <f>IF(BX767="","",BX767-BX768)</f>
        <v/>
      </c>
      <c r="BZ767" s="13"/>
      <c r="CA767" s="13" t="str">
        <f>IF(BZ767="","",BZ768+CB768-BZ767)</f>
        <v/>
      </c>
      <c r="CB767" s="13"/>
      <c r="CC767" s="13"/>
      <c r="CD767" s="13"/>
      <c r="CE767" s="13" t="str">
        <f t="shared" si="1170"/>
        <v/>
      </c>
      <c r="CF767" s="14" t="str">
        <f t="shared" si="1171"/>
        <v/>
      </c>
      <c r="CG767" s="15"/>
      <c r="CH767" s="1"/>
      <c r="CI767" s="16"/>
      <c r="CJ767" s="13"/>
      <c r="CK767" s="13" t="str">
        <f>IF(CJ767="","",CJ767-CJ768)</f>
        <v/>
      </c>
      <c r="CL767" s="13"/>
      <c r="CM767" s="13" t="str">
        <f>IF(CL767="","",CL767-CL768)</f>
        <v/>
      </c>
      <c r="CN767" s="13"/>
      <c r="CO767" s="13" t="str">
        <f>IF(CN767="","",CN768+CP768-CN767)</f>
        <v/>
      </c>
      <c r="CP767" s="13"/>
      <c r="CQ767" s="13"/>
      <c r="CR767" s="13"/>
      <c r="CS767" s="13" t="str">
        <f t="shared" si="1172"/>
        <v/>
      </c>
      <c r="CT767" s="14" t="str">
        <f t="shared" si="1177"/>
        <v/>
      </c>
      <c r="CU767" s="15"/>
      <c r="CV767" s="1"/>
      <c r="CW767" s="16"/>
      <c r="CX767" s="13"/>
      <c r="CY767" s="13" t="str">
        <f>IF(CX767="","",CX767-CX768)</f>
        <v/>
      </c>
      <c r="CZ767" s="13"/>
      <c r="DA767" s="13" t="str">
        <f>IF(CZ767="","",CZ767-CZ768)</f>
        <v/>
      </c>
      <c r="DB767" s="13"/>
      <c r="DC767" s="13" t="str">
        <f>IF(DB767="","",DB768+DD768-DB767)</f>
        <v/>
      </c>
      <c r="DD767" s="13"/>
      <c r="DE767" s="13"/>
      <c r="DF767" s="13"/>
      <c r="DG767" s="13" t="str">
        <f t="shared" si="1173"/>
        <v/>
      </c>
      <c r="DH767" s="14" t="str">
        <f t="shared" si="1174"/>
        <v/>
      </c>
      <c r="DI767" s="15"/>
      <c r="DJ767" s="1"/>
      <c r="DK767" s="16"/>
      <c r="DL767" s="13"/>
      <c r="DM767" s="13" t="str">
        <f>IF(DL767="","",DL767-DL768)</f>
        <v/>
      </c>
      <c r="DN767" s="13"/>
      <c r="DO767" s="13" t="str">
        <f>IF(DN767="","",DN767-DN768)</f>
        <v/>
      </c>
      <c r="DP767" s="13"/>
      <c r="DQ767" s="13" t="str">
        <f>IF(DP767="","",DP768+DR768-DP767)</f>
        <v/>
      </c>
      <c r="DR767" s="13"/>
      <c r="DS767" s="13"/>
      <c r="DT767" s="13"/>
      <c r="DU767" s="13" t="str">
        <f t="shared" si="1175"/>
        <v/>
      </c>
      <c r="DV767" s="14" t="str">
        <f t="shared" si="1176"/>
        <v/>
      </c>
      <c r="DW767" s="15"/>
    </row>
    <row r="768" spans="1:127" ht="15" customHeight="1" x14ac:dyDescent="0.2">
      <c r="A768" s="79"/>
      <c r="B768" s="11"/>
      <c r="C768" s="53">
        <v>642</v>
      </c>
      <c r="D768" s="13">
        <f t="shared" si="1164"/>
        <v>49</v>
      </c>
      <c r="E768" s="53">
        <v>237</v>
      </c>
      <c r="F768" s="13">
        <f t="shared" si="1165"/>
        <v>1</v>
      </c>
      <c r="G768" s="13">
        <v>5</v>
      </c>
      <c r="H768" s="13">
        <f t="shared" si="1141"/>
        <v>1</v>
      </c>
      <c r="I768" s="17">
        <v>10</v>
      </c>
      <c r="J768" s="56" t="str">
        <f t="shared" si="1142"/>
        <v>ジャグラーイヤホン</v>
      </c>
      <c r="K768" s="54">
        <f t="shared" si="1143"/>
        <v>1100</v>
      </c>
      <c r="L768" s="13">
        <f t="shared" si="1144"/>
        <v>1100</v>
      </c>
      <c r="M768" s="14">
        <f t="shared" si="1145"/>
        <v>0.22448979591836735</v>
      </c>
      <c r="N768" s="15"/>
      <c r="O768" s="2"/>
      <c r="P768" s="79" t="str">
        <f>IF(A768="","",A768)</f>
        <v/>
      </c>
      <c r="Q768" s="53">
        <v>743</v>
      </c>
      <c r="R768" s="13">
        <f t="shared" si="1166"/>
        <v>122</v>
      </c>
      <c r="S768" s="53">
        <v>18</v>
      </c>
      <c r="T768" s="13">
        <f t="shared" si="1167"/>
        <v>5</v>
      </c>
      <c r="U768" s="13">
        <v>3</v>
      </c>
      <c r="V768" s="13">
        <f t="shared" si="1146"/>
        <v>5</v>
      </c>
      <c r="W768" s="17">
        <v>5</v>
      </c>
      <c r="X768" s="56" t="str">
        <f t="shared" si="1147"/>
        <v>サンリオFAN</v>
      </c>
      <c r="Y768" s="54">
        <f t="shared" si="1148"/>
        <v>1100</v>
      </c>
      <c r="Z768" s="13">
        <f t="shared" si="1149"/>
        <v>5500</v>
      </c>
      <c r="AA768" s="14">
        <f t="shared" si="1150"/>
        <v>0.45081967213114754</v>
      </c>
      <c r="AB768" s="15" t="s">
        <v>229</v>
      </c>
      <c r="AC768" s="15"/>
      <c r="AD768" s="79" t="str">
        <f>IF(O768="","",O768)</f>
        <v/>
      </c>
      <c r="AE768" s="53">
        <v>5511</v>
      </c>
      <c r="AF768" s="13">
        <f t="shared" si="1151"/>
        <v>84</v>
      </c>
      <c r="AG768" s="53">
        <v>124</v>
      </c>
      <c r="AH768" s="13">
        <f t="shared" si="1152"/>
        <v>0</v>
      </c>
      <c r="AI768" s="13">
        <v>19</v>
      </c>
      <c r="AJ768" s="13">
        <f t="shared" si="1153"/>
        <v>1</v>
      </c>
      <c r="AK768" s="17">
        <v>0</v>
      </c>
      <c r="AL768" s="56" t="str">
        <f t="shared" si="1168"/>
        <v>デジタルミニカメラ</v>
      </c>
      <c r="AM768" s="54">
        <f t="shared" si="1169"/>
        <v>800</v>
      </c>
      <c r="AN768" s="13">
        <f t="shared" si="1154"/>
        <v>800</v>
      </c>
      <c r="AO768" s="14">
        <f t="shared" si="1155"/>
        <v>9.5238095238095233E-2</v>
      </c>
      <c r="AP768" s="15"/>
      <c r="AQ768" s="15"/>
      <c r="AR768" s="79" t="str">
        <f>IF(AC768="","",AC768)</f>
        <v/>
      </c>
      <c r="AS768" s="53">
        <v>4528</v>
      </c>
      <c r="AT768" s="13">
        <f t="shared" si="1156"/>
        <v>77</v>
      </c>
      <c r="AU768" s="53">
        <v>246</v>
      </c>
      <c r="AV768" s="13">
        <f t="shared" si="1157"/>
        <v>9</v>
      </c>
      <c r="AW768" s="13">
        <v>16</v>
      </c>
      <c r="AX768" s="13">
        <f t="shared" si="1158"/>
        <v>10</v>
      </c>
      <c r="AY768" s="17">
        <v>0</v>
      </c>
      <c r="AZ768" s="56" t="str">
        <f t="shared" si="1159"/>
        <v>ねこアイシャドウ</v>
      </c>
      <c r="BA768" s="54">
        <f t="shared" si="1160"/>
        <v>1000</v>
      </c>
      <c r="BB768" s="13">
        <f t="shared" si="1161"/>
        <v>10000</v>
      </c>
      <c r="BC768" s="14">
        <f t="shared" si="1162"/>
        <v>1.2987012987012987</v>
      </c>
      <c r="BD768" s="15"/>
      <c r="BT768" s="15"/>
      <c r="BU768" s="16"/>
      <c r="BV768" s="13"/>
      <c r="BW768" s="13" t="str">
        <f>IF(BV768="","",BV768-BV766)</f>
        <v/>
      </c>
      <c r="BX768" s="13"/>
      <c r="BY768" s="13" t="str">
        <f>IF(BX768="","",BX768-BX766)</f>
        <v/>
      </c>
      <c r="BZ768" s="13"/>
      <c r="CA768" s="13" t="str">
        <f>IF(BZ768="","",BZ766+CB766-BZ768)</f>
        <v/>
      </c>
      <c r="CB768" s="13"/>
      <c r="CC768" s="13"/>
      <c r="CD768" s="13"/>
      <c r="CE768" s="13" t="str">
        <f t="shared" si="1170"/>
        <v/>
      </c>
      <c r="CF768" s="14" t="str">
        <f t="shared" si="1171"/>
        <v/>
      </c>
      <c r="CG768" s="15"/>
      <c r="CH768" s="1"/>
      <c r="CI768" s="16"/>
      <c r="CJ768" s="13"/>
      <c r="CK768" s="13" t="str">
        <f>IF(CJ768="","",CJ768-CJ766)</f>
        <v/>
      </c>
      <c r="CL768" s="13"/>
      <c r="CM768" s="13" t="str">
        <f>IF(CL768="","",CL768-CL766)</f>
        <v/>
      </c>
      <c r="CN768" s="13"/>
      <c r="CO768" s="13" t="str">
        <f>IF(CN768="","",CN766+CP766-CN768)</f>
        <v/>
      </c>
      <c r="CP768" s="13"/>
      <c r="CQ768" s="13"/>
      <c r="CR768" s="13"/>
      <c r="CS768" s="13" t="str">
        <f t="shared" si="1172"/>
        <v/>
      </c>
      <c r="CT768" s="14" t="str">
        <f t="shared" si="1177"/>
        <v/>
      </c>
      <c r="CU768" s="15"/>
      <c r="CV768" s="1"/>
      <c r="CW768" s="16"/>
      <c r="CX768" s="13"/>
      <c r="CY768" s="13" t="str">
        <f>IF(CX768="","",CX768-CX766)</f>
        <v/>
      </c>
      <c r="CZ768" s="13"/>
      <c r="DA768" s="13" t="str">
        <f>IF(CZ768="","",CZ768-CZ766)</f>
        <v/>
      </c>
      <c r="DB768" s="13"/>
      <c r="DC768" s="13" t="str">
        <f>IF(DB768="","",DB766+DD766-DB768)</f>
        <v/>
      </c>
      <c r="DD768" s="13"/>
      <c r="DE768" s="13"/>
      <c r="DF768" s="13"/>
      <c r="DG768" s="13" t="str">
        <f t="shared" si="1173"/>
        <v/>
      </c>
      <c r="DH768" s="14" t="str">
        <f t="shared" si="1174"/>
        <v/>
      </c>
      <c r="DI768" s="15"/>
      <c r="DJ768" s="1"/>
      <c r="DK768" s="16"/>
      <c r="DL768" s="13"/>
      <c r="DM768" s="13" t="str">
        <f>IF(DL768="","",DL768-DL766)</f>
        <v/>
      </c>
      <c r="DN768" s="13"/>
      <c r="DO768" s="13" t="str">
        <f>IF(DN768="","",DN768-DN766)</f>
        <v/>
      </c>
      <c r="DP768" s="13"/>
      <c r="DQ768" s="13" t="str">
        <f>IF(DP768="","",DP766+DR766-DP768)</f>
        <v/>
      </c>
      <c r="DR768" s="13"/>
      <c r="DS768" s="13"/>
      <c r="DT768" s="13"/>
      <c r="DU768" s="13" t="str">
        <f t="shared" si="1175"/>
        <v/>
      </c>
      <c r="DV768" s="14" t="str">
        <f t="shared" si="1176"/>
        <v/>
      </c>
      <c r="DW768" s="15"/>
    </row>
    <row r="769" spans="1:127" ht="15" customHeight="1" x14ac:dyDescent="0.2">
      <c r="A769" s="16"/>
      <c r="B769" s="11"/>
      <c r="C769" s="13">
        <v>2547</v>
      </c>
      <c r="D769" s="13">
        <f t="shared" si="1164"/>
        <v>431</v>
      </c>
      <c r="E769" s="13">
        <v>291</v>
      </c>
      <c r="F769" s="13">
        <f t="shared" si="1165"/>
        <v>24</v>
      </c>
      <c r="G769" s="13">
        <v>94</v>
      </c>
      <c r="H769" s="13">
        <f t="shared" si="1141"/>
        <v>30</v>
      </c>
      <c r="I769" s="17">
        <v>0</v>
      </c>
      <c r="J769" s="56" t="str">
        <f t="shared" si="1142"/>
        <v>AIモンスタラバー</v>
      </c>
      <c r="K769" s="13">
        <f t="shared" si="1143"/>
        <v>200</v>
      </c>
      <c r="L769" s="13">
        <f t="shared" si="1144"/>
        <v>6000</v>
      </c>
      <c r="M769" s="14">
        <f t="shared" si="1145"/>
        <v>0.13921113689095127</v>
      </c>
      <c r="N769" s="15"/>
      <c r="O769" s="2"/>
      <c r="P769" s="16"/>
      <c r="Q769" s="13">
        <v>884</v>
      </c>
      <c r="R769" s="13">
        <f t="shared" si="1166"/>
        <v>163</v>
      </c>
      <c r="S769" s="13">
        <v>5</v>
      </c>
      <c r="T769" s="13">
        <f t="shared" si="1167"/>
        <v>3</v>
      </c>
      <c r="U769" s="13">
        <v>4</v>
      </c>
      <c r="V769" s="13">
        <f t="shared" si="1146"/>
        <v>3</v>
      </c>
      <c r="W769" s="17">
        <v>4</v>
      </c>
      <c r="X769" s="56" t="str">
        <f t="shared" si="1147"/>
        <v>キティフェイスポーチ</v>
      </c>
      <c r="Y769" s="13">
        <f t="shared" si="1148"/>
        <v>957</v>
      </c>
      <c r="Z769" s="13">
        <f t="shared" si="1149"/>
        <v>2871</v>
      </c>
      <c r="AA769" s="14">
        <f t="shared" si="1150"/>
        <v>0.17613496932515338</v>
      </c>
      <c r="AB769" s="15"/>
      <c r="AC769" s="15"/>
      <c r="AD769" s="16"/>
      <c r="AE769" s="13">
        <v>5943</v>
      </c>
      <c r="AF769" s="13">
        <f t="shared" si="1151"/>
        <v>108</v>
      </c>
      <c r="AG769" s="13">
        <v>234</v>
      </c>
      <c r="AH769" s="13">
        <f t="shared" si="1152"/>
        <v>1</v>
      </c>
      <c r="AI769" s="13">
        <v>2</v>
      </c>
      <c r="AJ769" s="13">
        <f t="shared" si="1153"/>
        <v>2</v>
      </c>
      <c r="AK769" s="17">
        <v>4</v>
      </c>
      <c r="AL769" s="56" t="str">
        <f t="shared" si="1168"/>
        <v>ジョージファン</v>
      </c>
      <c r="AM769" s="13">
        <f t="shared" si="1169"/>
        <v>1050</v>
      </c>
      <c r="AN769" s="13">
        <f t="shared" si="1154"/>
        <v>2100</v>
      </c>
      <c r="AO769" s="14">
        <f t="shared" si="1155"/>
        <v>0.19444444444444445</v>
      </c>
      <c r="AP769" s="15"/>
      <c r="AQ769" s="15"/>
      <c r="AR769" s="16"/>
      <c r="AS769" s="13">
        <v>7824</v>
      </c>
      <c r="AT769" s="13">
        <f t="shared" si="1156"/>
        <v>104</v>
      </c>
      <c r="AU769" s="13">
        <v>322</v>
      </c>
      <c r="AV769" s="13">
        <f t="shared" si="1157"/>
        <v>3</v>
      </c>
      <c r="AW769" s="13">
        <v>113</v>
      </c>
      <c r="AX769" s="13">
        <f t="shared" si="1158"/>
        <v>5</v>
      </c>
      <c r="AY769" s="17">
        <v>0</v>
      </c>
      <c r="AZ769" s="56" t="str">
        <f t="shared" si="1159"/>
        <v>SPGラバーキーホルダー</v>
      </c>
      <c r="BA769" s="13">
        <f t="shared" si="1160"/>
        <v>200</v>
      </c>
      <c r="BB769" s="13">
        <f t="shared" si="1161"/>
        <v>1000</v>
      </c>
      <c r="BC769" s="14">
        <f t="shared" si="1162"/>
        <v>9.6153846153846159E-2</v>
      </c>
      <c r="BD769" s="15"/>
      <c r="BT769" s="15"/>
      <c r="BU769" s="16"/>
      <c r="BV769" s="54"/>
      <c r="BW769" s="13" t="str">
        <f>IF(BV769="","",BV769-BV767)</f>
        <v/>
      </c>
      <c r="BX769" s="13"/>
      <c r="BY769" s="13"/>
      <c r="BZ769" s="13"/>
      <c r="CA769" s="13" t="str">
        <f>IF(BZ769="","",BZ767+CB767-BZ769)</f>
        <v/>
      </c>
      <c r="CB769" s="13"/>
      <c r="CC769" s="13"/>
      <c r="CD769" s="13"/>
      <c r="CE769" s="13" t="str">
        <f t="shared" si="1170"/>
        <v/>
      </c>
      <c r="CF769" s="14" t="str">
        <f t="shared" si="1171"/>
        <v/>
      </c>
      <c r="CG769" s="15"/>
      <c r="CH769" s="1"/>
      <c r="CI769" s="16"/>
      <c r="CJ769" s="54"/>
      <c r="CK769" s="13" t="str">
        <f>IF(CJ769="","",CJ769-CJ767)</f>
        <v/>
      </c>
      <c r="CL769" s="13"/>
      <c r="CM769" s="13"/>
      <c r="CN769" s="13"/>
      <c r="CO769" s="13" t="str">
        <f>IF(CN769="","",CN767+CP767-CN769)</f>
        <v/>
      </c>
      <c r="CP769" s="13"/>
      <c r="CQ769" s="13"/>
      <c r="CR769" s="13"/>
      <c r="CS769" s="13" t="str">
        <f t="shared" si="1172"/>
        <v/>
      </c>
      <c r="CT769" s="14" t="str">
        <f t="shared" si="1177"/>
        <v/>
      </c>
      <c r="CU769" s="15"/>
      <c r="CV769" s="1"/>
      <c r="CW769" s="16"/>
      <c r="CX769" s="54"/>
      <c r="CY769" s="13" t="str">
        <f>IF(CX769="","",CX769-CX767)</f>
        <v/>
      </c>
      <c r="CZ769" s="13"/>
      <c r="DA769" s="13"/>
      <c r="DB769" s="13"/>
      <c r="DC769" s="13" t="str">
        <f>IF(DB769="","",DB767+DD767-DB769)</f>
        <v/>
      </c>
      <c r="DD769" s="13"/>
      <c r="DE769" s="13"/>
      <c r="DF769" s="13"/>
      <c r="DG769" s="13" t="str">
        <f t="shared" si="1173"/>
        <v/>
      </c>
      <c r="DH769" s="14" t="str">
        <f t="shared" si="1174"/>
        <v/>
      </c>
      <c r="DI769" s="15"/>
      <c r="DJ769" s="1"/>
      <c r="DK769" s="16"/>
      <c r="DL769" s="54"/>
      <c r="DM769" s="13" t="str">
        <f>IF(DL769="","",DL769-DL767)</f>
        <v/>
      </c>
      <c r="DN769" s="13"/>
      <c r="DO769" s="13"/>
      <c r="DP769" s="13"/>
      <c r="DQ769" s="13" t="str">
        <f>IF(DP769="","",DP767+DR767-DP769)</f>
        <v/>
      </c>
      <c r="DR769" s="13"/>
      <c r="DS769" s="13"/>
      <c r="DT769" s="13"/>
      <c r="DU769" s="13" t="str">
        <f t="shared" si="1175"/>
        <v/>
      </c>
      <c r="DV769" s="14" t="str">
        <f t="shared" si="1176"/>
        <v/>
      </c>
      <c r="DW769" s="15"/>
    </row>
    <row r="770" spans="1:127" ht="15" customHeight="1" thickBot="1" x14ac:dyDescent="0.25">
      <c r="A770" s="26"/>
      <c r="B770" s="46"/>
      <c r="C770" s="27">
        <v>1146</v>
      </c>
      <c r="D770" s="27">
        <f t="shared" si="1164"/>
        <v>96</v>
      </c>
      <c r="E770" s="27">
        <v>284</v>
      </c>
      <c r="F770" s="27">
        <f t="shared" si="1165"/>
        <v>13</v>
      </c>
      <c r="G770" s="27">
        <v>37</v>
      </c>
      <c r="H770" s="27">
        <f t="shared" si="1141"/>
        <v>11</v>
      </c>
      <c r="I770" s="47">
        <v>7</v>
      </c>
      <c r="J770" s="57" t="str">
        <f t="shared" si="1142"/>
        <v>NICIマスコット</v>
      </c>
      <c r="K770" s="62">
        <f t="shared" si="1143"/>
        <v>682</v>
      </c>
      <c r="L770" s="27">
        <f t="shared" si="1144"/>
        <v>7502</v>
      </c>
      <c r="M770" s="28">
        <f t="shared" si="1145"/>
        <v>0.78145833333333337</v>
      </c>
      <c r="N770" s="15" t="s">
        <v>228</v>
      </c>
      <c r="O770" s="2"/>
      <c r="P770" s="26"/>
      <c r="Q770" s="27">
        <v>396</v>
      </c>
      <c r="R770" s="27">
        <f t="shared" si="1166"/>
        <v>62</v>
      </c>
      <c r="S770" s="27">
        <v>5</v>
      </c>
      <c r="T770" s="27">
        <f t="shared" si="1167"/>
        <v>2</v>
      </c>
      <c r="U770" s="27">
        <v>13</v>
      </c>
      <c r="V770" s="27">
        <f t="shared" si="1146"/>
        <v>2</v>
      </c>
      <c r="W770" s="47">
        <v>3</v>
      </c>
      <c r="X770" s="57" t="str">
        <f t="shared" si="1147"/>
        <v>ターボババァマスコット</v>
      </c>
      <c r="Y770" s="62">
        <f t="shared" si="1148"/>
        <v>800</v>
      </c>
      <c r="Z770" s="27">
        <f t="shared" si="1149"/>
        <v>1600</v>
      </c>
      <c r="AA770" s="28">
        <f t="shared" si="1150"/>
        <v>0.25806451612903225</v>
      </c>
      <c r="AB770" s="15" t="s">
        <v>230</v>
      </c>
      <c r="AC770" s="15"/>
      <c r="AD770" s="26"/>
      <c r="AE770" s="27">
        <v>6079</v>
      </c>
      <c r="AF770" s="88">
        <f t="shared" si="1151"/>
        <v>38</v>
      </c>
      <c r="AG770" s="27">
        <v>188</v>
      </c>
      <c r="AH770" s="27">
        <f t="shared" si="1152"/>
        <v>0</v>
      </c>
      <c r="AI770" s="27">
        <v>9</v>
      </c>
      <c r="AJ770" s="27">
        <f t="shared" si="1153"/>
        <v>0</v>
      </c>
      <c r="AK770" s="47">
        <v>4</v>
      </c>
      <c r="AL770" s="57" t="str">
        <f t="shared" si="1168"/>
        <v>ミニクレーンコンパネ</v>
      </c>
      <c r="AM770" s="62">
        <f t="shared" si="1169"/>
        <v>710</v>
      </c>
      <c r="AN770" s="27">
        <f t="shared" si="1154"/>
        <v>0</v>
      </c>
      <c r="AO770" s="28">
        <f t="shared" si="1155"/>
        <v>0</v>
      </c>
      <c r="AP770" s="15"/>
      <c r="AQ770" s="15"/>
      <c r="AR770" s="26"/>
      <c r="AS770" s="27">
        <v>6893</v>
      </c>
      <c r="AT770" s="27">
        <f t="shared" si="1156"/>
        <v>152</v>
      </c>
      <c r="AU770" s="27">
        <v>288</v>
      </c>
      <c r="AV770" s="27">
        <f t="shared" si="1157"/>
        <v>3</v>
      </c>
      <c r="AW770" s="27">
        <v>79</v>
      </c>
      <c r="AX770" s="27">
        <f t="shared" si="1158"/>
        <v>5</v>
      </c>
      <c r="AY770" s="47">
        <v>0</v>
      </c>
      <c r="AZ770" s="57" t="str">
        <f t="shared" si="1159"/>
        <v>キティサンダルキーホルダー</v>
      </c>
      <c r="BA770" s="62">
        <f t="shared" si="1160"/>
        <v>600</v>
      </c>
      <c r="BB770" s="27">
        <f t="shared" si="1161"/>
        <v>3000</v>
      </c>
      <c r="BC770" s="28">
        <f t="shared" si="1162"/>
        <v>0.19736842105263158</v>
      </c>
      <c r="BD770" s="15"/>
      <c r="BT770" s="15"/>
      <c r="BU770" s="16"/>
      <c r="BV770" s="54"/>
      <c r="BW770" s="13" t="str">
        <f t="shared" ref="BW770:BW790" si="1178">IF(BV770="","",BV770-BV769)</f>
        <v/>
      </c>
      <c r="BX770" s="13"/>
      <c r="BY770" s="13"/>
      <c r="BZ770" s="13"/>
      <c r="CA770" s="13" t="str">
        <f t="shared" ref="CA770:CA790" si="1179">IF(BZ770="","",BZ769+CB769-BZ770)</f>
        <v/>
      </c>
      <c r="CB770" s="13"/>
      <c r="CC770" s="13"/>
      <c r="CD770" s="13"/>
      <c r="CE770" s="13" t="str">
        <f t="shared" si="1170"/>
        <v/>
      </c>
      <c r="CF770" s="14" t="str">
        <f t="shared" si="1171"/>
        <v/>
      </c>
      <c r="CG770" s="15"/>
      <c r="CH770" s="1"/>
      <c r="CI770" s="16"/>
      <c r="CJ770" s="54"/>
      <c r="CK770" s="13" t="str">
        <f t="shared" ref="CK770:CK790" si="1180">IF(CJ770="","",CJ770-CJ769)</f>
        <v/>
      </c>
      <c r="CL770" s="13"/>
      <c r="CM770" s="13"/>
      <c r="CN770" s="13"/>
      <c r="CO770" s="13" t="str">
        <f t="shared" ref="CO770:CO790" si="1181">IF(CN770="","",CN769+CP769-CN770)</f>
        <v/>
      </c>
      <c r="CP770" s="13"/>
      <c r="CQ770" s="13"/>
      <c r="CR770" s="13"/>
      <c r="CS770" s="13" t="str">
        <f t="shared" si="1172"/>
        <v/>
      </c>
      <c r="CT770" s="14" t="str">
        <f t="shared" si="1177"/>
        <v/>
      </c>
      <c r="CU770" s="15"/>
      <c r="CV770" s="1"/>
      <c r="CW770" s="16"/>
      <c r="CX770" s="54"/>
      <c r="CY770" s="13" t="str">
        <f t="shared" ref="CY770:CY790" si="1182">IF(CX770="","",CX770-CX769)</f>
        <v/>
      </c>
      <c r="CZ770" s="13"/>
      <c r="DA770" s="13"/>
      <c r="DB770" s="13"/>
      <c r="DC770" s="13" t="str">
        <f t="shared" ref="DC770:DC790" si="1183">IF(DB770="","",DB769+DD769-DB770)</f>
        <v/>
      </c>
      <c r="DD770" s="13"/>
      <c r="DE770" s="13"/>
      <c r="DF770" s="13"/>
      <c r="DG770" s="13" t="str">
        <f t="shared" si="1173"/>
        <v/>
      </c>
      <c r="DH770" s="14" t="str">
        <f t="shared" si="1174"/>
        <v/>
      </c>
      <c r="DI770" s="15"/>
      <c r="DJ770" s="1"/>
      <c r="DK770" s="16"/>
      <c r="DL770" s="54"/>
      <c r="DM770" s="13" t="str">
        <f t="shared" ref="DM770:DM790" si="1184">IF(DL770="","",DL770-DL769)</f>
        <v/>
      </c>
      <c r="DN770" s="13"/>
      <c r="DO770" s="13"/>
      <c r="DP770" s="13"/>
      <c r="DQ770" s="13" t="str">
        <f t="shared" ref="DQ770:DQ790" si="1185">IF(DP770="","",DP769+DR769-DP770)</f>
        <v/>
      </c>
      <c r="DR770" s="13"/>
      <c r="DS770" s="13"/>
      <c r="DT770" s="13"/>
      <c r="DU770" s="13" t="str">
        <f t="shared" si="1175"/>
        <v/>
      </c>
      <c r="DV770" s="14" t="str">
        <f t="shared" si="1176"/>
        <v/>
      </c>
      <c r="DW770" s="15"/>
    </row>
    <row r="771" spans="1:127" ht="15" customHeight="1" thickTop="1" x14ac:dyDescent="0.2">
      <c r="A771" s="79">
        <v>45880</v>
      </c>
      <c r="B771" s="74">
        <f>IF(A771="","",SUM(D771:D774)+SUM(R771:R774)+SUM(AF771:AF774)+SUM(AT771:AT774)+SUM(BW750,CK750,CY750,DM750))</f>
        <v>2670</v>
      </c>
      <c r="C771" s="13">
        <v>847</v>
      </c>
      <c r="D771" s="53">
        <f t="shared" si="1164"/>
        <v>123</v>
      </c>
      <c r="E771" s="13">
        <v>254</v>
      </c>
      <c r="F771" s="31">
        <f t="shared" si="1165"/>
        <v>4</v>
      </c>
      <c r="G771" s="13">
        <v>0</v>
      </c>
      <c r="H771" s="53">
        <f t="shared" si="1141"/>
        <v>4</v>
      </c>
      <c r="I771" s="80">
        <v>12</v>
      </c>
      <c r="J771" s="75" t="str">
        <f t="shared" si="1142"/>
        <v>ジャグラーサウンドボタン</v>
      </c>
      <c r="K771" s="76">
        <f t="shared" si="1143"/>
        <v>748</v>
      </c>
      <c r="L771" s="31">
        <f t="shared" si="1144"/>
        <v>2992</v>
      </c>
      <c r="M771" s="32">
        <f t="shared" si="1145"/>
        <v>0.24325203252032521</v>
      </c>
      <c r="N771" s="15"/>
      <c r="O771" s="2"/>
      <c r="P771" s="79">
        <f>IF($A771="","",$A771)</f>
        <v>45880</v>
      </c>
      <c r="Q771" s="13">
        <v>543</v>
      </c>
      <c r="R771" s="127">
        <f t="shared" si="1166"/>
        <v>59</v>
      </c>
      <c r="S771" s="13">
        <v>42</v>
      </c>
      <c r="T771" s="31">
        <f t="shared" si="1167"/>
        <v>9</v>
      </c>
      <c r="U771" s="13">
        <v>12</v>
      </c>
      <c r="V771" s="53">
        <f t="shared" si="1146"/>
        <v>6</v>
      </c>
      <c r="W771" s="80">
        <v>8</v>
      </c>
      <c r="X771" s="75" t="str">
        <f t="shared" si="1147"/>
        <v>ジャグラーパネルKH</v>
      </c>
      <c r="Y771" s="76">
        <f t="shared" si="1148"/>
        <v>500</v>
      </c>
      <c r="Z771" s="31">
        <f t="shared" si="1149"/>
        <v>3000</v>
      </c>
      <c r="AA771" s="32">
        <f t="shared" si="1150"/>
        <v>0.50847457627118642</v>
      </c>
      <c r="AB771" s="15"/>
      <c r="AC771" s="15"/>
      <c r="AD771" s="79">
        <f>IF($A771="","",$A771)</f>
        <v>45880</v>
      </c>
      <c r="AE771" s="13">
        <v>6450</v>
      </c>
      <c r="AF771" s="53">
        <f t="shared" si="1151"/>
        <v>83</v>
      </c>
      <c r="AG771" s="13">
        <v>126</v>
      </c>
      <c r="AH771" s="31">
        <f t="shared" si="1152"/>
        <v>0</v>
      </c>
      <c r="AI771" s="13">
        <v>39</v>
      </c>
      <c r="AJ771" s="53">
        <f t="shared" si="1153"/>
        <v>0</v>
      </c>
      <c r="AK771" s="80">
        <v>0</v>
      </c>
      <c r="AL771" s="75" t="str">
        <f t="shared" si="1168"/>
        <v>ミニ香水</v>
      </c>
      <c r="AM771" s="76">
        <f t="shared" si="1169"/>
        <v>1100</v>
      </c>
      <c r="AN771" s="31">
        <f t="shared" si="1154"/>
        <v>0</v>
      </c>
      <c r="AO771" s="32">
        <f t="shared" si="1155"/>
        <v>0</v>
      </c>
      <c r="AP771" s="15"/>
      <c r="AQ771" s="15"/>
      <c r="AR771" s="79">
        <f>IF($A771="","",$A771)</f>
        <v>45880</v>
      </c>
      <c r="AS771" s="13">
        <v>6999</v>
      </c>
      <c r="AT771" s="53">
        <f t="shared" si="1156"/>
        <v>143</v>
      </c>
      <c r="AU771" s="13">
        <v>222</v>
      </c>
      <c r="AV771" s="31">
        <f t="shared" si="1157"/>
        <v>2</v>
      </c>
      <c r="AW771" s="13">
        <v>8</v>
      </c>
      <c r="AX771" s="53">
        <f t="shared" si="1158"/>
        <v>3</v>
      </c>
      <c r="AY771" s="80">
        <v>5</v>
      </c>
      <c r="AZ771" s="75" t="str">
        <f t="shared" si="1159"/>
        <v>こびとづかんキーケース</v>
      </c>
      <c r="BA771" s="76">
        <f t="shared" si="1160"/>
        <v>726</v>
      </c>
      <c r="BB771" s="31">
        <f t="shared" si="1161"/>
        <v>2178</v>
      </c>
      <c r="BC771" s="32">
        <f t="shared" si="1162"/>
        <v>0.15230769230769231</v>
      </c>
      <c r="BD771" s="15"/>
      <c r="BT771" s="15"/>
      <c r="BU771" s="16"/>
      <c r="BV771" s="54"/>
      <c r="BW771" s="13" t="str">
        <f t="shared" si="1178"/>
        <v/>
      </c>
      <c r="BX771" s="13"/>
      <c r="BY771" s="13"/>
      <c r="BZ771" s="13"/>
      <c r="CA771" s="13" t="str">
        <f t="shared" si="1179"/>
        <v/>
      </c>
      <c r="CB771" s="13"/>
      <c r="CC771" s="13"/>
      <c r="CD771" s="13"/>
      <c r="CE771" s="13" t="str">
        <f t="shared" si="1170"/>
        <v/>
      </c>
      <c r="CF771" s="14" t="str">
        <f t="shared" si="1171"/>
        <v/>
      </c>
      <c r="CG771" s="15"/>
      <c r="CH771" s="1"/>
      <c r="CI771" s="16"/>
      <c r="CJ771" s="54"/>
      <c r="CK771" s="13" t="str">
        <f t="shared" si="1180"/>
        <v/>
      </c>
      <c r="CL771" s="13"/>
      <c r="CM771" s="13"/>
      <c r="CN771" s="13"/>
      <c r="CO771" s="13" t="str">
        <f t="shared" si="1181"/>
        <v/>
      </c>
      <c r="CP771" s="13"/>
      <c r="CQ771" s="13"/>
      <c r="CR771" s="13"/>
      <c r="CS771" s="13" t="str">
        <f t="shared" si="1172"/>
        <v/>
      </c>
      <c r="CT771" s="14" t="str">
        <f t="shared" si="1177"/>
        <v/>
      </c>
      <c r="CU771" s="15"/>
      <c r="CV771" s="1"/>
      <c r="CW771" s="16"/>
      <c r="CX771" s="54"/>
      <c r="CY771" s="13" t="str">
        <f t="shared" si="1182"/>
        <v/>
      </c>
      <c r="CZ771" s="13"/>
      <c r="DA771" s="13"/>
      <c r="DB771" s="13"/>
      <c r="DC771" s="13" t="str">
        <f t="shared" si="1183"/>
        <v/>
      </c>
      <c r="DD771" s="13"/>
      <c r="DE771" s="13"/>
      <c r="DF771" s="13"/>
      <c r="DG771" s="13" t="str">
        <f t="shared" si="1173"/>
        <v/>
      </c>
      <c r="DH771" s="14" t="str">
        <f t="shared" si="1174"/>
        <v/>
      </c>
      <c r="DI771" s="15"/>
      <c r="DJ771" s="1"/>
      <c r="DK771" s="16"/>
      <c r="DL771" s="54"/>
      <c r="DM771" s="13" t="str">
        <f t="shared" si="1184"/>
        <v/>
      </c>
      <c r="DN771" s="13"/>
      <c r="DO771" s="13"/>
      <c r="DP771" s="13"/>
      <c r="DQ771" s="13" t="str">
        <f t="shared" si="1185"/>
        <v/>
      </c>
      <c r="DR771" s="13"/>
      <c r="DS771" s="13"/>
      <c r="DT771" s="13"/>
      <c r="DU771" s="13" t="str">
        <f t="shared" si="1175"/>
        <v/>
      </c>
      <c r="DV771" s="14" t="str">
        <f t="shared" si="1176"/>
        <v/>
      </c>
      <c r="DW771" s="15"/>
    </row>
    <row r="772" spans="1:127" ht="15" customHeight="1" x14ac:dyDescent="0.2">
      <c r="A772" s="121"/>
      <c r="B772" s="74"/>
      <c r="C772" s="53">
        <v>710</v>
      </c>
      <c r="D772" s="87">
        <f t="shared" si="1164"/>
        <v>68</v>
      </c>
      <c r="E772" s="53">
        <v>238</v>
      </c>
      <c r="F772" s="13">
        <f t="shared" si="1165"/>
        <v>1</v>
      </c>
      <c r="G772" s="13">
        <v>14</v>
      </c>
      <c r="H772" s="13">
        <f t="shared" si="1141"/>
        <v>1</v>
      </c>
      <c r="I772" s="17">
        <v>2</v>
      </c>
      <c r="J772" s="111" t="str">
        <f t="shared" si="1142"/>
        <v>ジャグラーイヤホン</v>
      </c>
      <c r="K772" s="54">
        <f t="shared" si="1143"/>
        <v>1100</v>
      </c>
      <c r="L772" s="13">
        <f t="shared" si="1144"/>
        <v>1100</v>
      </c>
      <c r="M772" s="14">
        <f t="shared" si="1145"/>
        <v>0.16176470588235295</v>
      </c>
      <c r="N772" s="15" t="s">
        <v>237</v>
      </c>
      <c r="O772" s="2"/>
      <c r="P772" s="16"/>
      <c r="Q772" s="53">
        <v>878</v>
      </c>
      <c r="R772" s="13">
        <f t="shared" si="1166"/>
        <v>135</v>
      </c>
      <c r="S772" s="53">
        <v>25</v>
      </c>
      <c r="T772" s="13">
        <f t="shared" si="1167"/>
        <v>7</v>
      </c>
      <c r="U772" s="13">
        <v>1</v>
      </c>
      <c r="V772" s="13">
        <f t="shared" si="1146"/>
        <v>7</v>
      </c>
      <c r="W772" s="17">
        <v>10</v>
      </c>
      <c r="X772" s="56" t="str">
        <f t="shared" si="1147"/>
        <v>サンリオFAN</v>
      </c>
      <c r="Y772" s="54">
        <f t="shared" si="1148"/>
        <v>1100</v>
      </c>
      <c r="Z772" s="13">
        <f t="shared" si="1149"/>
        <v>7700</v>
      </c>
      <c r="AA772" s="14">
        <f t="shared" si="1150"/>
        <v>0.57037037037037042</v>
      </c>
      <c r="AB772" s="15" t="s">
        <v>235</v>
      </c>
      <c r="AC772" s="15"/>
      <c r="AD772" s="16"/>
      <c r="AE772" s="53">
        <v>5587</v>
      </c>
      <c r="AF772" s="87">
        <f t="shared" si="1151"/>
        <v>76</v>
      </c>
      <c r="AG772" s="53">
        <v>129</v>
      </c>
      <c r="AH772" s="13">
        <f t="shared" si="1152"/>
        <v>5</v>
      </c>
      <c r="AI772" s="13">
        <v>14</v>
      </c>
      <c r="AJ772" s="13">
        <f t="shared" si="1153"/>
        <v>5</v>
      </c>
      <c r="AK772" s="17">
        <v>5</v>
      </c>
      <c r="AL772" s="56" t="str">
        <f t="shared" si="1168"/>
        <v>デジタルミニカメラ</v>
      </c>
      <c r="AM772" s="54">
        <f t="shared" si="1169"/>
        <v>800</v>
      </c>
      <c r="AN772" s="13">
        <f t="shared" si="1154"/>
        <v>4000</v>
      </c>
      <c r="AO772" s="14">
        <f t="shared" si="1155"/>
        <v>0.52631578947368418</v>
      </c>
      <c r="AP772" s="15"/>
      <c r="AQ772" s="15"/>
      <c r="AR772" s="16"/>
      <c r="AS772" s="53">
        <v>4608</v>
      </c>
      <c r="AT772" s="13">
        <f t="shared" si="1156"/>
        <v>80</v>
      </c>
      <c r="AU772" s="53">
        <v>252</v>
      </c>
      <c r="AV772" s="13">
        <f t="shared" si="1157"/>
        <v>6</v>
      </c>
      <c r="AW772" s="13">
        <v>11</v>
      </c>
      <c r="AX772" s="13">
        <f t="shared" si="1158"/>
        <v>5</v>
      </c>
      <c r="AY772" s="17">
        <v>15</v>
      </c>
      <c r="AZ772" s="56" t="str">
        <f t="shared" si="1159"/>
        <v>ねこアイシャドウ</v>
      </c>
      <c r="BA772" s="54">
        <f t="shared" si="1160"/>
        <v>1000</v>
      </c>
      <c r="BB772" s="13">
        <f t="shared" si="1161"/>
        <v>5000</v>
      </c>
      <c r="BC772" s="14">
        <f t="shared" si="1162"/>
        <v>0.625</v>
      </c>
      <c r="BD772" s="15"/>
      <c r="BT772" s="15"/>
      <c r="BU772" s="16"/>
      <c r="BV772" s="54"/>
      <c r="BW772" s="13" t="str">
        <f t="shared" si="1178"/>
        <v/>
      </c>
      <c r="BX772" s="13"/>
      <c r="BY772" s="13"/>
      <c r="BZ772" s="13"/>
      <c r="CA772" s="13" t="str">
        <f t="shared" si="1179"/>
        <v/>
      </c>
      <c r="CB772" s="13"/>
      <c r="CC772" s="13"/>
      <c r="CD772" s="13"/>
      <c r="CE772" s="13" t="str">
        <f t="shared" si="1170"/>
        <v/>
      </c>
      <c r="CF772" s="14" t="str">
        <f t="shared" si="1171"/>
        <v/>
      </c>
      <c r="CG772" s="15"/>
      <c r="CH772" s="1"/>
      <c r="CI772" s="16"/>
      <c r="CJ772" s="54"/>
      <c r="CK772" s="13" t="str">
        <f t="shared" si="1180"/>
        <v/>
      </c>
      <c r="CL772" s="13"/>
      <c r="CM772" s="13"/>
      <c r="CN772" s="13"/>
      <c r="CO772" s="13" t="str">
        <f t="shared" si="1181"/>
        <v/>
      </c>
      <c r="CP772" s="13"/>
      <c r="CQ772" s="13"/>
      <c r="CR772" s="13"/>
      <c r="CS772" s="13" t="str">
        <f t="shared" si="1172"/>
        <v/>
      </c>
      <c r="CT772" s="14" t="str">
        <f t="shared" si="1177"/>
        <v/>
      </c>
      <c r="CU772" s="15"/>
      <c r="CV772" s="1"/>
      <c r="CW772" s="16"/>
      <c r="CX772" s="54"/>
      <c r="CY772" s="13" t="str">
        <f t="shared" si="1182"/>
        <v/>
      </c>
      <c r="CZ772" s="13"/>
      <c r="DA772" s="13"/>
      <c r="DB772" s="13"/>
      <c r="DC772" s="13" t="str">
        <f t="shared" si="1183"/>
        <v/>
      </c>
      <c r="DD772" s="13"/>
      <c r="DE772" s="13"/>
      <c r="DF772" s="13"/>
      <c r="DG772" s="13" t="str">
        <f t="shared" si="1173"/>
        <v/>
      </c>
      <c r="DH772" s="14" t="str">
        <f t="shared" si="1174"/>
        <v/>
      </c>
      <c r="DI772" s="15"/>
      <c r="DJ772" s="1"/>
      <c r="DK772" s="16"/>
      <c r="DL772" s="54"/>
      <c r="DM772" s="13" t="str">
        <f t="shared" si="1184"/>
        <v/>
      </c>
      <c r="DN772" s="13"/>
      <c r="DO772" s="13"/>
      <c r="DP772" s="13"/>
      <c r="DQ772" s="13" t="str">
        <f t="shared" si="1185"/>
        <v/>
      </c>
      <c r="DR772" s="13"/>
      <c r="DS772" s="13"/>
      <c r="DT772" s="13"/>
      <c r="DU772" s="13" t="str">
        <f t="shared" si="1175"/>
        <v/>
      </c>
      <c r="DV772" s="14" t="str">
        <f t="shared" si="1176"/>
        <v/>
      </c>
      <c r="DW772" s="15"/>
    </row>
    <row r="773" spans="1:127" ht="15" customHeight="1" x14ac:dyDescent="0.2">
      <c r="A773" s="16"/>
      <c r="B773" s="11"/>
      <c r="C773" s="13">
        <v>2684</v>
      </c>
      <c r="D773" s="13">
        <f t="shared" si="1164"/>
        <v>137</v>
      </c>
      <c r="E773" s="13">
        <v>297</v>
      </c>
      <c r="F773" s="13">
        <f t="shared" si="1165"/>
        <v>6</v>
      </c>
      <c r="G773" s="13">
        <v>84</v>
      </c>
      <c r="H773" s="13">
        <f t="shared" si="1141"/>
        <v>10</v>
      </c>
      <c r="I773" s="49">
        <v>30</v>
      </c>
      <c r="J773" s="56" t="str">
        <f t="shared" si="1142"/>
        <v>AIモンスタラバー</v>
      </c>
      <c r="K773" s="13">
        <f t="shared" si="1143"/>
        <v>200</v>
      </c>
      <c r="L773" s="13">
        <f t="shared" si="1144"/>
        <v>2000</v>
      </c>
      <c r="M773" s="14">
        <f t="shared" si="1145"/>
        <v>0.145985401459854</v>
      </c>
      <c r="N773" s="15"/>
      <c r="O773" s="2"/>
      <c r="P773" s="16"/>
      <c r="Q773" s="13">
        <v>1060</v>
      </c>
      <c r="R773" s="13">
        <f t="shared" si="1166"/>
        <v>176</v>
      </c>
      <c r="S773" s="13">
        <v>9</v>
      </c>
      <c r="T773" s="13">
        <f t="shared" si="1167"/>
        <v>4</v>
      </c>
      <c r="U773" s="13">
        <v>5</v>
      </c>
      <c r="V773" s="13">
        <f t="shared" si="1146"/>
        <v>3</v>
      </c>
      <c r="W773" s="49">
        <v>3</v>
      </c>
      <c r="X773" s="56" t="str">
        <f t="shared" si="1147"/>
        <v>キティフェイスポーチ</v>
      </c>
      <c r="Y773" s="13">
        <f t="shared" si="1148"/>
        <v>957</v>
      </c>
      <c r="Z773" s="13">
        <f t="shared" si="1149"/>
        <v>2871</v>
      </c>
      <c r="AA773" s="14">
        <f t="shared" si="1150"/>
        <v>0.16312499999999999</v>
      </c>
      <c r="AB773" s="15"/>
      <c r="AC773" s="15"/>
      <c r="AD773" s="16"/>
      <c r="AE773" s="13">
        <v>6044</v>
      </c>
      <c r="AF773" s="13">
        <f t="shared" si="1151"/>
        <v>101</v>
      </c>
      <c r="AG773" s="13">
        <v>237</v>
      </c>
      <c r="AH773" s="13">
        <f t="shared" si="1152"/>
        <v>3</v>
      </c>
      <c r="AI773" s="13">
        <v>3</v>
      </c>
      <c r="AJ773" s="13">
        <f t="shared" si="1153"/>
        <v>3</v>
      </c>
      <c r="AK773" s="49">
        <v>4</v>
      </c>
      <c r="AL773" s="56" t="str">
        <f t="shared" si="1168"/>
        <v>ジョージファン</v>
      </c>
      <c r="AM773" s="13">
        <f t="shared" si="1169"/>
        <v>1050</v>
      </c>
      <c r="AN773" s="13">
        <f t="shared" si="1154"/>
        <v>3150</v>
      </c>
      <c r="AO773" s="14">
        <f t="shared" si="1155"/>
        <v>0.31188118811881188</v>
      </c>
      <c r="AP773" s="15"/>
      <c r="AQ773" s="15"/>
      <c r="AR773" s="16"/>
      <c r="AS773" s="13">
        <v>7910</v>
      </c>
      <c r="AT773" s="13">
        <f t="shared" si="1156"/>
        <v>86</v>
      </c>
      <c r="AU773" s="13">
        <v>324</v>
      </c>
      <c r="AV773" s="13">
        <f t="shared" si="1157"/>
        <v>2</v>
      </c>
      <c r="AW773" s="13">
        <v>110</v>
      </c>
      <c r="AX773" s="13">
        <f t="shared" si="1158"/>
        <v>3</v>
      </c>
      <c r="AY773" s="49">
        <v>0</v>
      </c>
      <c r="AZ773" s="56" t="str">
        <f t="shared" si="1159"/>
        <v>SPGラバーキーホルダー</v>
      </c>
      <c r="BA773" s="13">
        <f t="shared" si="1160"/>
        <v>200</v>
      </c>
      <c r="BB773" s="13">
        <f t="shared" si="1161"/>
        <v>600</v>
      </c>
      <c r="BC773" s="14">
        <f t="shared" si="1162"/>
        <v>6.9767441860465115E-2</v>
      </c>
      <c r="BD773" s="15"/>
      <c r="BT773" s="15"/>
      <c r="BU773" s="16"/>
      <c r="BV773" s="54"/>
      <c r="BW773" s="13" t="str">
        <f t="shared" si="1178"/>
        <v/>
      </c>
      <c r="BX773" s="13"/>
      <c r="BY773" s="13"/>
      <c r="BZ773" s="13"/>
      <c r="CA773" s="13" t="str">
        <f t="shared" si="1179"/>
        <v/>
      </c>
      <c r="CB773" s="13"/>
      <c r="CC773" s="13"/>
      <c r="CD773" s="13"/>
      <c r="CE773" s="13" t="str">
        <f t="shared" si="1170"/>
        <v/>
      </c>
      <c r="CF773" s="14" t="str">
        <f t="shared" si="1171"/>
        <v/>
      </c>
      <c r="CG773" s="15"/>
      <c r="CH773" s="1"/>
      <c r="CI773" s="16"/>
      <c r="CJ773" s="54"/>
      <c r="CK773" s="13" t="str">
        <f t="shared" si="1180"/>
        <v/>
      </c>
      <c r="CL773" s="13"/>
      <c r="CM773" s="13"/>
      <c r="CN773" s="13"/>
      <c r="CO773" s="13" t="str">
        <f t="shared" si="1181"/>
        <v/>
      </c>
      <c r="CP773" s="13"/>
      <c r="CQ773" s="13"/>
      <c r="CR773" s="13"/>
      <c r="CS773" s="13" t="str">
        <f t="shared" si="1172"/>
        <v/>
      </c>
      <c r="CT773" s="14" t="str">
        <f t="shared" si="1177"/>
        <v/>
      </c>
      <c r="CU773" s="15"/>
      <c r="CV773" s="1"/>
      <c r="CW773" s="16"/>
      <c r="CX773" s="54"/>
      <c r="CY773" s="13" t="str">
        <f t="shared" si="1182"/>
        <v/>
      </c>
      <c r="CZ773" s="13"/>
      <c r="DA773" s="13"/>
      <c r="DB773" s="13"/>
      <c r="DC773" s="13" t="str">
        <f t="shared" si="1183"/>
        <v/>
      </c>
      <c r="DD773" s="13"/>
      <c r="DE773" s="13"/>
      <c r="DF773" s="13"/>
      <c r="DG773" s="13" t="str">
        <f t="shared" si="1173"/>
        <v/>
      </c>
      <c r="DH773" s="14" t="str">
        <f t="shared" si="1174"/>
        <v/>
      </c>
      <c r="DI773" s="15"/>
      <c r="DJ773" s="1"/>
      <c r="DK773" s="16"/>
      <c r="DL773" s="54"/>
      <c r="DM773" s="13" t="str">
        <f t="shared" si="1184"/>
        <v/>
      </c>
      <c r="DN773" s="13"/>
      <c r="DO773" s="13"/>
      <c r="DP773" s="13"/>
      <c r="DQ773" s="13" t="str">
        <f t="shared" si="1185"/>
        <v/>
      </c>
      <c r="DR773" s="13"/>
      <c r="DS773" s="13"/>
      <c r="DT773" s="13"/>
      <c r="DU773" s="13" t="str">
        <f t="shared" si="1175"/>
        <v/>
      </c>
      <c r="DV773" s="14" t="str">
        <f t="shared" si="1176"/>
        <v/>
      </c>
      <c r="DW773" s="15"/>
    </row>
    <row r="774" spans="1:127" ht="15" customHeight="1" thickBot="1" x14ac:dyDescent="0.25">
      <c r="A774" s="26"/>
      <c r="B774" s="46"/>
      <c r="C774" s="27">
        <v>1227</v>
      </c>
      <c r="D774" s="27">
        <f t="shared" si="1164"/>
        <v>81</v>
      </c>
      <c r="E774" s="27">
        <v>292</v>
      </c>
      <c r="F774" s="27">
        <f t="shared" si="1165"/>
        <v>8</v>
      </c>
      <c r="G774" s="27">
        <v>36</v>
      </c>
      <c r="H774" s="27">
        <f t="shared" si="1141"/>
        <v>8</v>
      </c>
      <c r="I774" s="47">
        <v>8</v>
      </c>
      <c r="J774" s="57" t="str">
        <f t="shared" si="1142"/>
        <v>NICIマスコット</v>
      </c>
      <c r="K774" s="62">
        <f t="shared" si="1143"/>
        <v>682</v>
      </c>
      <c r="L774" s="27">
        <f t="shared" si="1144"/>
        <v>5456</v>
      </c>
      <c r="M774" s="28">
        <f t="shared" si="1145"/>
        <v>0.67358024691358021</v>
      </c>
      <c r="N774" s="15" t="s">
        <v>234</v>
      </c>
      <c r="O774" s="2"/>
      <c r="P774" s="26"/>
      <c r="Q774" s="27">
        <v>651</v>
      </c>
      <c r="R774" s="27">
        <f t="shared" si="1166"/>
        <v>255</v>
      </c>
      <c r="S774" s="27">
        <v>9</v>
      </c>
      <c r="T774" s="27">
        <f t="shared" si="1167"/>
        <v>4</v>
      </c>
      <c r="U774" s="27">
        <v>10</v>
      </c>
      <c r="V774" s="27">
        <f t="shared" si="1146"/>
        <v>6</v>
      </c>
      <c r="W774" s="47">
        <v>10</v>
      </c>
      <c r="X774" s="57" t="s">
        <v>232</v>
      </c>
      <c r="Y774" s="62">
        <v>286</v>
      </c>
      <c r="Z774" s="27">
        <f t="shared" si="1149"/>
        <v>1716</v>
      </c>
      <c r="AA774" s="28">
        <f t="shared" si="1150"/>
        <v>6.7294117647058824E-2</v>
      </c>
      <c r="AB774" s="15"/>
      <c r="AC774" s="15"/>
      <c r="AD774" s="26"/>
      <c r="AE774" s="27">
        <v>6150</v>
      </c>
      <c r="AF774" s="88">
        <f t="shared" si="1151"/>
        <v>71</v>
      </c>
      <c r="AG774" s="27">
        <v>189</v>
      </c>
      <c r="AH774" s="27">
        <f t="shared" si="1152"/>
        <v>1</v>
      </c>
      <c r="AI774" s="27">
        <v>12</v>
      </c>
      <c r="AJ774" s="27">
        <f t="shared" si="1153"/>
        <v>1</v>
      </c>
      <c r="AK774" s="47">
        <v>0</v>
      </c>
      <c r="AL774" s="57" t="str">
        <f t="shared" si="1168"/>
        <v>ミニクレーンコンパネ</v>
      </c>
      <c r="AM774" s="62">
        <f t="shared" si="1169"/>
        <v>710</v>
      </c>
      <c r="AN774" s="27">
        <f t="shared" si="1154"/>
        <v>710</v>
      </c>
      <c r="AO774" s="28">
        <f t="shared" si="1155"/>
        <v>0.1</v>
      </c>
      <c r="AP774" s="15"/>
      <c r="AQ774" s="15"/>
      <c r="AR774" s="26"/>
      <c r="AS774" s="27">
        <v>7032</v>
      </c>
      <c r="AT774" s="27">
        <f t="shared" si="1156"/>
        <v>139</v>
      </c>
      <c r="AU774" s="27">
        <v>289</v>
      </c>
      <c r="AV774" s="27">
        <f t="shared" si="1157"/>
        <v>1</v>
      </c>
      <c r="AW774" s="27">
        <v>78</v>
      </c>
      <c r="AX774" s="27">
        <f t="shared" si="1158"/>
        <v>1</v>
      </c>
      <c r="AY774" s="47">
        <v>20</v>
      </c>
      <c r="AZ774" s="57" t="str">
        <f t="shared" si="1159"/>
        <v>キティサンダルキーホルダー</v>
      </c>
      <c r="BA774" s="62">
        <f t="shared" si="1160"/>
        <v>600</v>
      </c>
      <c r="BB774" s="27">
        <f t="shared" si="1161"/>
        <v>600</v>
      </c>
      <c r="BC774" s="28">
        <f t="shared" si="1162"/>
        <v>4.3165467625899283E-2</v>
      </c>
      <c r="BD774" s="15"/>
      <c r="BT774" s="15"/>
      <c r="BU774" s="16"/>
      <c r="BV774" s="54"/>
      <c r="BW774" s="13" t="str">
        <f t="shared" si="1178"/>
        <v/>
      </c>
      <c r="BX774" s="13"/>
      <c r="BY774" s="13"/>
      <c r="BZ774" s="13"/>
      <c r="CA774" s="13" t="str">
        <f t="shared" si="1179"/>
        <v/>
      </c>
      <c r="CB774" s="13"/>
      <c r="CC774" s="13"/>
      <c r="CD774" s="13"/>
      <c r="CE774" s="13" t="str">
        <f t="shared" si="1170"/>
        <v/>
      </c>
      <c r="CF774" s="14" t="str">
        <f t="shared" si="1171"/>
        <v/>
      </c>
      <c r="CG774" s="15"/>
      <c r="CH774" s="1"/>
      <c r="CI774" s="16"/>
      <c r="CJ774" s="54"/>
      <c r="CK774" s="13" t="str">
        <f t="shared" si="1180"/>
        <v/>
      </c>
      <c r="CL774" s="13"/>
      <c r="CM774" s="13"/>
      <c r="CN774" s="13"/>
      <c r="CO774" s="13" t="str">
        <f t="shared" si="1181"/>
        <v/>
      </c>
      <c r="CP774" s="13"/>
      <c r="CQ774" s="13"/>
      <c r="CR774" s="13"/>
      <c r="CS774" s="13" t="str">
        <f t="shared" si="1172"/>
        <v/>
      </c>
      <c r="CT774" s="14" t="str">
        <f t="shared" si="1177"/>
        <v/>
      </c>
      <c r="CU774" s="15"/>
      <c r="CV774" s="1"/>
      <c r="CW774" s="16"/>
      <c r="CX774" s="54"/>
      <c r="CY774" s="13" t="str">
        <f t="shared" si="1182"/>
        <v/>
      </c>
      <c r="CZ774" s="13"/>
      <c r="DA774" s="13"/>
      <c r="DB774" s="13"/>
      <c r="DC774" s="13" t="str">
        <f t="shared" si="1183"/>
        <v/>
      </c>
      <c r="DD774" s="13"/>
      <c r="DE774" s="13"/>
      <c r="DF774" s="13"/>
      <c r="DG774" s="13" t="str">
        <f t="shared" si="1173"/>
        <v/>
      </c>
      <c r="DH774" s="14" t="str">
        <f t="shared" si="1174"/>
        <v/>
      </c>
      <c r="DI774" s="15"/>
      <c r="DJ774" s="1"/>
      <c r="DK774" s="16"/>
      <c r="DL774" s="54"/>
      <c r="DM774" s="13" t="str">
        <f t="shared" si="1184"/>
        <v/>
      </c>
      <c r="DN774" s="13"/>
      <c r="DO774" s="13"/>
      <c r="DP774" s="13"/>
      <c r="DQ774" s="13" t="str">
        <f t="shared" si="1185"/>
        <v/>
      </c>
      <c r="DR774" s="13"/>
      <c r="DS774" s="13"/>
      <c r="DT774" s="13"/>
      <c r="DU774" s="13" t="str">
        <f t="shared" si="1175"/>
        <v/>
      </c>
      <c r="DV774" s="14" t="str">
        <f t="shared" si="1176"/>
        <v/>
      </c>
      <c r="DW774" s="15"/>
    </row>
    <row r="775" spans="1:127" ht="15" customHeight="1" thickTop="1" x14ac:dyDescent="0.2">
      <c r="A775" s="79"/>
      <c r="B775" s="74"/>
      <c r="C775" s="13"/>
      <c r="D775" s="53"/>
      <c r="E775" s="13"/>
      <c r="F775" s="31"/>
      <c r="G775" s="13"/>
      <c r="H775" s="53"/>
      <c r="I775" s="80"/>
      <c r="J775" s="75"/>
      <c r="K775" s="76"/>
      <c r="L775" s="31"/>
      <c r="M775" s="32"/>
      <c r="N775" s="15"/>
      <c r="O775" s="2"/>
      <c r="P775" s="79"/>
      <c r="Q775" s="13"/>
      <c r="R775" s="53"/>
      <c r="S775" s="13"/>
      <c r="T775" s="31"/>
      <c r="U775" s="13"/>
      <c r="V775" s="53"/>
      <c r="W775" s="80"/>
      <c r="X775" s="75"/>
      <c r="Y775" s="76"/>
      <c r="Z775" s="31"/>
      <c r="AA775" s="32"/>
      <c r="AB775" s="15"/>
      <c r="AC775" s="15"/>
      <c r="AD775" s="79"/>
      <c r="AE775" s="13"/>
      <c r="AF775" s="53"/>
      <c r="AG775" s="13"/>
      <c r="AH775" s="31"/>
      <c r="AI775" s="13"/>
      <c r="AJ775" s="53"/>
      <c r="AK775" s="80"/>
      <c r="AL775" s="75"/>
      <c r="AM775" s="76"/>
      <c r="AN775" s="31"/>
      <c r="AO775" s="32"/>
      <c r="AP775" s="15"/>
      <c r="AQ775" s="15"/>
      <c r="AR775" s="79"/>
      <c r="AS775" s="13"/>
      <c r="AT775" s="53"/>
      <c r="AU775" s="13"/>
      <c r="AV775" s="31"/>
      <c r="AW775" s="13"/>
      <c r="AX775" s="53"/>
      <c r="AY775" s="80"/>
      <c r="AZ775" s="75"/>
      <c r="BA775" s="76"/>
      <c r="BB775" s="31"/>
      <c r="BC775" s="32"/>
      <c r="BD775" s="15"/>
      <c r="BT775" s="15"/>
      <c r="BU775" s="16"/>
      <c r="BV775" s="54"/>
      <c r="BW775" s="13" t="str">
        <f t="shared" si="1178"/>
        <v/>
      </c>
      <c r="BX775" s="13"/>
      <c r="BY775" s="13"/>
      <c r="BZ775" s="13"/>
      <c r="CA775" s="13" t="str">
        <f t="shared" si="1179"/>
        <v/>
      </c>
      <c r="CB775" s="13"/>
      <c r="CC775" s="13"/>
      <c r="CD775" s="13"/>
      <c r="CE775" s="13" t="str">
        <f t="shared" si="1170"/>
        <v/>
      </c>
      <c r="CF775" s="14" t="str">
        <f t="shared" si="1171"/>
        <v/>
      </c>
      <c r="CG775" s="15"/>
      <c r="CH775" s="1"/>
      <c r="CI775" s="16"/>
      <c r="CJ775" s="54"/>
      <c r="CK775" s="13" t="str">
        <f t="shared" si="1180"/>
        <v/>
      </c>
      <c r="CL775" s="13"/>
      <c r="CM775" s="13"/>
      <c r="CN775" s="13"/>
      <c r="CO775" s="13" t="str">
        <f t="shared" si="1181"/>
        <v/>
      </c>
      <c r="CP775" s="13"/>
      <c r="CQ775" s="13"/>
      <c r="CR775" s="13"/>
      <c r="CS775" s="13" t="str">
        <f t="shared" si="1172"/>
        <v/>
      </c>
      <c r="CT775" s="14" t="str">
        <f t="shared" si="1177"/>
        <v/>
      </c>
      <c r="CU775" s="15"/>
      <c r="CV775" s="1"/>
      <c r="CW775" s="16"/>
      <c r="CX775" s="54"/>
      <c r="CY775" s="13" t="str">
        <f t="shared" si="1182"/>
        <v/>
      </c>
      <c r="CZ775" s="13"/>
      <c r="DA775" s="13"/>
      <c r="DB775" s="13"/>
      <c r="DC775" s="13" t="str">
        <f t="shared" si="1183"/>
        <v/>
      </c>
      <c r="DD775" s="13"/>
      <c r="DE775" s="13"/>
      <c r="DF775" s="13"/>
      <c r="DG775" s="13" t="str">
        <f t="shared" si="1173"/>
        <v/>
      </c>
      <c r="DH775" s="14" t="str">
        <f t="shared" si="1174"/>
        <v/>
      </c>
      <c r="DI775" s="15"/>
      <c r="DJ775" s="1"/>
      <c r="DK775" s="16"/>
      <c r="DL775" s="54"/>
      <c r="DM775" s="13" t="str">
        <f t="shared" si="1184"/>
        <v/>
      </c>
      <c r="DN775" s="13"/>
      <c r="DO775" s="13"/>
      <c r="DP775" s="13"/>
      <c r="DQ775" s="13" t="str">
        <f t="shared" si="1185"/>
        <v/>
      </c>
      <c r="DR775" s="13"/>
      <c r="DS775" s="13"/>
      <c r="DT775" s="13"/>
      <c r="DU775" s="13" t="str">
        <f t="shared" si="1175"/>
        <v/>
      </c>
      <c r="DV775" s="14" t="str">
        <f t="shared" si="1176"/>
        <v/>
      </c>
      <c r="DW775" s="15"/>
    </row>
    <row r="776" spans="1:127" ht="15" customHeight="1" x14ac:dyDescent="0.2">
      <c r="A776" s="133"/>
      <c r="B776" s="11"/>
      <c r="C776" s="53"/>
      <c r="D776" s="13"/>
      <c r="E776" s="53"/>
      <c r="F776" s="13"/>
      <c r="G776" s="13"/>
      <c r="H776" s="13"/>
      <c r="I776" s="17"/>
      <c r="J776" s="56"/>
      <c r="K776" s="54"/>
      <c r="L776" s="13"/>
      <c r="M776" s="14"/>
      <c r="N776" s="15"/>
      <c r="O776" s="2"/>
      <c r="P776" s="16"/>
      <c r="Q776" s="53"/>
      <c r="R776" s="13"/>
      <c r="S776" s="53"/>
      <c r="T776" s="13"/>
      <c r="U776" s="13"/>
      <c r="V776" s="13"/>
      <c r="W776" s="17"/>
      <c r="X776" s="56"/>
      <c r="Y776" s="54"/>
      <c r="Z776" s="13"/>
      <c r="AA776" s="14"/>
      <c r="AB776" s="15"/>
      <c r="AC776" s="15"/>
      <c r="AD776" s="16"/>
      <c r="AE776" s="53"/>
      <c r="AF776" s="13"/>
      <c r="AG776" s="53"/>
      <c r="AH776" s="13"/>
      <c r="AI776" s="13"/>
      <c r="AJ776" s="13"/>
      <c r="AK776" s="17"/>
      <c r="AL776" s="56"/>
      <c r="AM776" s="54"/>
      <c r="AN776" s="13"/>
      <c r="AO776" s="14"/>
      <c r="AP776" s="15"/>
      <c r="AQ776" s="15"/>
      <c r="AR776" s="16"/>
      <c r="AS776" s="53"/>
      <c r="AT776" s="13"/>
      <c r="AU776" s="53"/>
      <c r="AV776" s="13"/>
      <c r="AW776" s="13"/>
      <c r="AX776" s="13"/>
      <c r="AY776" s="17"/>
      <c r="AZ776" s="56"/>
      <c r="BA776" s="54"/>
      <c r="BB776" s="13"/>
      <c r="BC776" s="14"/>
      <c r="BD776" s="15"/>
      <c r="BT776" s="15"/>
      <c r="BU776" s="16"/>
      <c r="BV776" s="54"/>
      <c r="BW776" s="13" t="str">
        <f t="shared" si="1178"/>
        <v/>
      </c>
      <c r="BX776" s="13"/>
      <c r="BY776" s="13"/>
      <c r="BZ776" s="13"/>
      <c r="CA776" s="13" t="str">
        <f t="shared" si="1179"/>
        <v/>
      </c>
      <c r="CB776" s="13"/>
      <c r="CC776" s="13"/>
      <c r="CD776" s="13"/>
      <c r="CE776" s="13" t="str">
        <f t="shared" si="1170"/>
        <v/>
      </c>
      <c r="CF776" s="14" t="str">
        <f t="shared" si="1171"/>
        <v/>
      </c>
      <c r="CG776" s="15"/>
      <c r="CH776" s="1"/>
      <c r="CI776" s="16"/>
      <c r="CJ776" s="54"/>
      <c r="CK776" s="13" t="str">
        <f t="shared" si="1180"/>
        <v/>
      </c>
      <c r="CL776" s="13"/>
      <c r="CM776" s="13"/>
      <c r="CN776" s="13"/>
      <c r="CO776" s="13" t="str">
        <f t="shared" si="1181"/>
        <v/>
      </c>
      <c r="CP776" s="13"/>
      <c r="CQ776" s="13"/>
      <c r="CR776" s="13"/>
      <c r="CS776" s="13" t="str">
        <f t="shared" si="1172"/>
        <v/>
      </c>
      <c r="CT776" s="14" t="str">
        <f t="shared" si="1177"/>
        <v/>
      </c>
      <c r="CU776" s="15"/>
      <c r="CV776" s="1"/>
      <c r="CW776" s="16"/>
      <c r="CX776" s="54"/>
      <c r="CY776" s="13" t="str">
        <f t="shared" si="1182"/>
        <v/>
      </c>
      <c r="CZ776" s="13"/>
      <c r="DA776" s="13"/>
      <c r="DB776" s="13"/>
      <c r="DC776" s="13" t="str">
        <f t="shared" si="1183"/>
        <v/>
      </c>
      <c r="DD776" s="13"/>
      <c r="DE776" s="13"/>
      <c r="DF776" s="13"/>
      <c r="DG776" s="13" t="str">
        <f t="shared" si="1173"/>
        <v/>
      </c>
      <c r="DH776" s="14" t="str">
        <f t="shared" si="1174"/>
        <v/>
      </c>
      <c r="DI776" s="15"/>
      <c r="DJ776" s="1"/>
      <c r="DK776" s="16"/>
      <c r="DL776" s="54"/>
      <c r="DM776" s="13" t="str">
        <f t="shared" si="1184"/>
        <v/>
      </c>
      <c r="DN776" s="13"/>
      <c r="DO776" s="13"/>
      <c r="DP776" s="13"/>
      <c r="DQ776" s="13" t="str">
        <f t="shared" si="1185"/>
        <v/>
      </c>
      <c r="DR776" s="13"/>
      <c r="DS776" s="13"/>
      <c r="DT776" s="13"/>
      <c r="DU776" s="13" t="str">
        <f t="shared" si="1175"/>
        <v/>
      </c>
      <c r="DV776" s="14" t="str">
        <f t="shared" si="1176"/>
        <v/>
      </c>
      <c r="DW776" s="15"/>
    </row>
    <row r="777" spans="1:127" ht="15" customHeight="1" x14ac:dyDescent="0.2">
      <c r="A777" s="16"/>
      <c r="B777" s="11"/>
      <c r="C777" s="13"/>
      <c r="D777" s="13"/>
      <c r="E777" s="13"/>
      <c r="F777" s="13"/>
      <c r="G777" s="13"/>
      <c r="H777" s="13"/>
      <c r="I777" s="17"/>
      <c r="J777" s="56"/>
      <c r="K777" s="13"/>
      <c r="L777" s="13"/>
      <c r="M777" s="14"/>
      <c r="N777" s="15"/>
      <c r="O777" s="2"/>
      <c r="P777" s="16"/>
      <c r="Q777" s="13"/>
      <c r="R777" s="13"/>
      <c r="S777" s="13"/>
      <c r="T777" s="13"/>
      <c r="U777" s="13"/>
      <c r="V777" s="13"/>
      <c r="W777" s="17"/>
      <c r="X777" s="56"/>
      <c r="Y777" s="13"/>
      <c r="Z777" s="13"/>
      <c r="AA777" s="14"/>
      <c r="AB777" s="15"/>
      <c r="AC777" s="15"/>
      <c r="AD777" s="16"/>
      <c r="AE777" s="13"/>
      <c r="AF777" s="13"/>
      <c r="AG777" s="13"/>
      <c r="AH777" s="13"/>
      <c r="AI777" s="13"/>
      <c r="AJ777" s="13"/>
      <c r="AK777" s="17"/>
      <c r="AL777" s="56"/>
      <c r="AM777" s="13"/>
      <c r="AN777" s="13"/>
      <c r="AO777" s="14"/>
      <c r="AP777" s="15"/>
      <c r="AQ777" s="15"/>
      <c r="AR777" s="16"/>
      <c r="AS777" s="13"/>
      <c r="AT777" s="13"/>
      <c r="AU777" s="13"/>
      <c r="AV777" s="13"/>
      <c r="AW777" s="13"/>
      <c r="AX777" s="13"/>
      <c r="AY777" s="17"/>
      <c r="AZ777" s="56"/>
      <c r="BA777" s="13"/>
      <c r="BB777" s="13"/>
      <c r="BC777" s="14"/>
      <c r="BD777" s="15"/>
      <c r="BT777" s="15"/>
      <c r="BU777" s="16"/>
      <c r="BV777" s="54"/>
      <c r="BW777" s="13" t="str">
        <f t="shared" si="1178"/>
        <v/>
      </c>
      <c r="BX777" s="13"/>
      <c r="BY777" s="13"/>
      <c r="BZ777" s="13"/>
      <c r="CA777" s="13" t="str">
        <f t="shared" si="1179"/>
        <v/>
      </c>
      <c r="CB777" s="13"/>
      <c r="CC777" s="13"/>
      <c r="CD777" s="13"/>
      <c r="CE777" s="13" t="str">
        <f t="shared" si="1170"/>
        <v/>
      </c>
      <c r="CF777" s="14" t="str">
        <f t="shared" si="1171"/>
        <v/>
      </c>
      <c r="CG777" s="15"/>
      <c r="CH777" s="1"/>
      <c r="CI777" s="16"/>
      <c r="CJ777" s="54"/>
      <c r="CK777" s="13" t="str">
        <f t="shared" si="1180"/>
        <v/>
      </c>
      <c r="CL777" s="13"/>
      <c r="CM777" s="13"/>
      <c r="CN777" s="13"/>
      <c r="CO777" s="13" t="str">
        <f t="shared" si="1181"/>
        <v/>
      </c>
      <c r="CP777" s="13"/>
      <c r="CQ777" s="13"/>
      <c r="CR777" s="13"/>
      <c r="CS777" s="13" t="str">
        <f t="shared" si="1172"/>
        <v/>
      </c>
      <c r="CT777" s="14" t="str">
        <f t="shared" si="1177"/>
        <v/>
      </c>
      <c r="CU777" s="15"/>
      <c r="CV777" s="1"/>
      <c r="CW777" s="16"/>
      <c r="CX777" s="54"/>
      <c r="CY777" s="13" t="str">
        <f t="shared" si="1182"/>
        <v/>
      </c>
      <c r="CZ777" s="13"/>
      <c r="DA777" s="13"/>
      <c r="DB777" s="13"/>
      <c r="DC777" s="13" t="str">
        <f t="shared" si="1183"/>
        <v/>
      </c>
      <c r="DD777" s="13"/>
      <c r="DE777" s="13"/>
      <c r="DF777" s="13"/>
      <c r="DG777" s="13" t="str">
        <f t="shared" si="1173"/>
        <v/>
      </c>
      <c r="DH777" s="14" t="str">
        <f t="shared" si="1174"/>
        <v/>
      </c>
      <c r="DI777" s="15"/>
      <c r="DJ777" s="1"/>
      <c r="DK777" s="16"/>
      <c r="DL777" s="54"/>
      <c r="DM777" s="13" t="str">
        <f t="shared" si="1184"/>
        <v/>
      </c>
      <c r="DN777" s="13"/>
      <c r="DO777" s="13"/>
      <c r="DP777" s="13"/>
      <c r="DQ777" s="13" t="str">
        <f t="shared" si="1185"/>
        <v/>
      </c>
      <c r="DR777" s="13"/>
      <c r="DS777" s="13"/>
      <c r="DT777" s="13"/>
      <c r="DU777" s="13" t="str">
        <f t="shared" si="1175"/>
        <v/>
      </c>
      <c r="DV777" s="14" t="str">
        <f t="shared" si="1176"/>
        <v/>
      </c>
      <c r="DW777" s="15"/>
    </row>
    <row r="778" spans="1:127" ht="15" customHeight="1" thickBot="1" x14ac:dyDescent="0.25">
      <c r="A778" s="26"/>
      <c r="B778" s="46"/>
      <c r="C778" s="27"/>
      <c r="D778" s="27"/>
      <c r="E778" s="27"/>
      <c r="F778" s="27"/>
      <c r="G778" s="27"/>
      <c r="H778" s="27"/>
      <c r="I778" s="47"/>
      <c r="J778" s="57"/>
      <c r="K778" s="62"/>
      <c r="L778" s="27"/>
      <c r="M778" s="28"/>
      <c r="N778" s="15"/>
      <c r="O778" s="2"/>
      <c r="P778" s="26"/>
      <c r="Q778" s="27"/>
      <c r="R778" s="27"/>
      <c r="S778" s="27"/>
      <c r="T778" s="27"/>
      <c r="U778" s="27"/>
      <c r="V778" s="27"/>
      <c r="W778" s="47"/>
      <c r="X778" s="57"/>
      <c r="Y778" s="62"/>
      <c r="Z778" s="27"/>
      <c r="AA778" s="28"/>
      <c r="AB778" s="15"/>
      <c r="AC778" s="15"/>
      <c r="AD778" s="26"/>
      <c r="AE778" s="27"/>
      <c r="AF778" s="138"/>
      <c r="AG778" s="27"/>
      <c r="AH778" s="27"/>
      <c r="AI778" s="27"/>
      <c r="AJ778" s="27"/>
      <c r="AK778" s="47"/>
      <c r="AL778" s="57"/>
      <c r="AM778" s="62"/>
      <c r="AN778" s="27"/>
      <c r="AO778" s="28"/>
      <c r="AP778" s="15"/>
      <c r="AQ778" s="39"/>
      <c r="AR778" s="26"/>
      <c r="AS778" s="27"/>
      <c r="AT778" s="27"/>
      <c r="AU778" s="27"/>
      <c r="AV778" s="27"/>
      <c r="AW778" s="27"/>
      <c r="AX778" s="27"/>
      <c r="AY778" s="47"/>
      <c r="AZ778" s="57"/>
      <c r="BA778" s="62"/>
      <c r="BB778" s="27"/>
      <c r="BC778" s="28"/>
      <c r="BD778" s="15"/>
      <c r="BT778" s="39"/>
      <c r="BU778" s="16"/>
      <c r="BV778" s="54"/>
      <c r="BW778" s="13" t="str">
        <f t="shared" si="1178"/>
        <v/>
      </c>
      <c r="BX778" s="13"/>
      <c r="BY778" s="13"/>
      <c r="BZ778" s="13"/>
      <c r="CA778" s="13" t="str">
        <f t="shared" si="1179"/>
        <v/>
      </c>
      <c r="CB778" s="13"/>
      <c r="CC778" s="13"/>
      <c r="CD778" s="13"/>
      <c r="CE778" s="13" t="str">
        <f t="shared" si="1170"/>
        <v/>
      </c>
      <c r="CF778" s="14" t="str">
        <f t="shared" si="1171"/>
        <v/>
      </c>
      <c r="CG778" s="15"/>
      <c r="CH778" s="1"/>
      <c r="CI778" s="16"/>
      <c r="CJ778" s="54"/>
      <c r="CK778" s="13" t="str">
        <f t="shared" si="1180"/>
        <v/>
      </c>
      <c r="CL778" s="13"/>
      <c r="CM778" s="13"/>
      <c r="CN778" s="13"/>
      <c r="CO778" s="13" t="str">
        <f t="shared" si="1181"/>
        <v/>
      </c>
      <c r="CP778" s="13"/>
      <c r="CQ778" s="13"/>
      <c r="CR778" s="13"/>
      <c r="CS778" s="13" t="str">
        <f t="shared" si="1172"/>
        <v/>
      </c>
      <c r="CT778" s="14" t="str">
        <f t="shared" si="1177"/>
        <v/>
      </c>
      <c r="CU778" s="15"/>
      <c r="CV778" s="1"/>
      <c r="CW778" s="16"/>
      <c r="CX778" s="54"/>
      <c r="CY778" s="13" t="str">
        <f t="shared" si="1182"/>
        <v/>
      </c>
      <c r="CZ778" s="13"/>
      <c r="DA778" s="13"/>
      <c r="DB778" s="13"/>
      <c r="DC778" s="13" t="str">
        <f t="shared" si="1183"/>
        <v/>
      </c>
      <c r="DD778" s="13"/>
      <c r="DE778" s="13"/>
      <c r="DF778" s="13"/>
      <c r="DG778" s="13" t="str">
        <f t="shared" si="1173"/>
        <v/>
      </c>
      <c r="DH778" s="14" t="str">
        <f t="shared" si="1174"/>
        <v/>
      </c>
      <c r="DI778" s="15"/>
      <c r="DJ778" s="1"/>
      <c r="DK778" s="16"/>
      <c r="DL778" s="54"/>
      <c r="DM778" s="13" t="str">
        <f t="shared" si="1184"/>
        <v/>
      </c>
      <c r="DN778" s="13"/>
      <c r="DO778" s="13"/>
      <c r="DP778" s="13"/>
      <c r="DQ778" s="13" t="str">
        <f t="shared" si="1185"/>
        <v/>
      </c>
      <c r="DR778" s="13"/>
      <c r="DS778" s="13"/>
      <c r="DT778" s="13"/>
      <c r="DU778" s="13" t="str">
        <f t="shared" si="1175"/>
        <v/>
      </c>
      <c r="DV778" s="14" t="str">
        <f t="shared" si="1176"/>
        <v/>
      </c>
      <c r="DW778" s="15"/>
    </row>
    <row r="779" spans="1:127" ht="15" customHeight="1" thickTop="1" x14ac:dyDescent="0.2">
      <c r="A779" s="16"/>
      <c r="B779" s="74"/>
      <c r="C779" s="53"/>
      <c r="D779" s="53"/>
      <c r="E779" s="53"/>
      <c r="F779" s="31"/>
      <c r="G779" s="53"/>
      <c r="H779" s="53"/>
      <c r="I779" s="80"/>
      <c r="J779" s="75"/>
      <c r="K779" s="76"/>
      <c r="L779" s="31"/>
      <c r="M779" s="32"/>
      <c r="N779" s="15"/>
      <c r="O779" s="2"/>
      <c r="P779" s="79"/>
      <c r="Q779" s="53"/>
      <c r="R779" s="53"/>
      <c r="S779" s="53"/>
      <c r="T779" s="31"/>
      <c r="U779" s="53"/>
      <c r="V779" s="53"/>
      <c r="W779" s="80"/>
      <c r="X779" s="75"/>
      <c r="Y779" s="76"/>
      <c r="Z779" s="31"/>
      <c r="AA779" s="32"/>
      <c r="AB779" s="15"/>
      <c r="AC779" s="15"/>
      <c r="AD779" s="79"/>
      <c r="AE779" s="53"/>
      <c r="AF779" s="53"/>
      <c r="AG779" s="53"/>
      <c r="AH779" s="31"/>
      <c r="AI779" s="53"/>
      <c r="AJ779" s="53"/>
      <c r="AK779" s="80"/>
      <c r="AL779" s="75"/>
      <c r="AM779" s="76"/>
      <c r="AN779" s="31"/>
      <c r="AO779" s="32"/>
      <c r="AP779" s="15"/>
      <c r="AQ779" s="113"/>
      <c r="AR779" s="79"/>
      <c r="AS779" s="53"/>
      <c r="AT779" s="53"/>
      <c r="AU779" s="53"/>
      <c r="AV779" s="31"/>
      <c r="AW779" s="53"/>
      <c r="AX779" s="53"/>
      <c r="AY779" s="80"/>
      <c r="AZ779" s="75"/>
      <c r="BA779" s="76"/>
      <c r="BB779" s="31"/>
      <c r="BC779" s="32"/>
      <c r="BD779" s="15"/>
      <c r="BT779" s="113"/>
      <c r="BU779" s="16"/>
      <c r="BV779" s="54"/>
      <c r="BW779" s="13" t="str">
        <f t="shared" si="1178"/>
        <v/>
      </c>
      <c r="BX779" s="13"/>
      <c r="BY779" s="13"/>
      <c r="BZ779" s="13"/>
      <c r="CA779" s="13" t="str">
        <f t="shared" si="1179"/>
        <v/>
      </c>
      <c r="CB779" s="13"/>
      <c r="CC779" s="13"/>
      <c r="CD779" s="13"/>
      <c r="CE779" s="13" t="str">
        <f t="shared" si="1170"/>
        <v/>
      </c>
      <c r="CF779" s="14" t="str">
        <f t="shared" si="1171"/>
        <v/>
      </c>
      <c r="CG779" s="15"/>
      <c r="CH779" s="1"/>
      <c r="CI779" s="16"/>
      <c r="CJ779" s="54"/>
      <c r="CK779" s="13" t="str">
        <f t="shared" si="1180"/>
        <v/>
      </c>
      <c r="CL779" s="13"/>
      <c r="CM779" s="13"/>
      <c r="CN779" s="13"/>
      <c r="CO779" s="13" t="str">
        <f t="shared" si="1181"/>
        <v/>
      </c>
      <c r="CP779" s="13"/>
      <c r="CQ779" s="13"/>
      <c r="CR779" s="13"/>
      <c r="CS779" s="13" t="str">
        <f t="shared" si="1172"/>
        <v/>
      </c>
      <c r="CT779" s="14" t="str">
        <f t="shared" si="1177"/>
        <v/>
      </c>
      <c r="CU779" s="15"/>
      <c r="CV779" s="1"/>
      <c r="CW779" s="16"/>
      <c r="CX779" s="54"/>
      <c r="CY779" s="13" t="str">
        <f t="shared" si="1182"/>
        <v/>
      </c>
      <c r="CZ779" s="13"/>
      <c r="DA779" s="13"/>
      <c r="DB779" s="13"/>
      <c r="DC779" s="13" t="str">
        <f t="shared" si="1183"/>
        <v/>
      </c>
      <c r="DD779" s="13"/>
      <c r="DE779" s="13"/>
      <c r="DF779" s="13"/>
      <c r="DG779" s="13" t="str">
        <f t="shared" si="1173"/>
        <v/>
      </c>
      <c r="DH779" s="14" t="str">
        <f t="shared" si="1174"/>
        <v/>
      </c>
      <c r="DI779" s="15"/>
      <c r="DJ779" s="1"/>
      <c r="DK779" s="16"/>
      <c r="DL779" s="54"/>
      <c r="DM779" s="13" t="str">
        <f t="shared" si="1184"/>
        <v/>
      </c>
      <c r="DN779" s="13"/>
      <c r="DO779" s="13"/>
      <c r="DP779" s="13"/>
      <c r="DQ779" s="13" t="str">
        <f t="shared" si="1185"/>
        <v/>
      </c>
      <c r="DR779" s="13"/>
      <c r="DS779" s="13"/>
      <c r="DT779" s="13"/>
      <c r="DU779" s="13" t="str">
        <f t="shared" si="1175"/>
        <v/>
      </c>
      <c r="DV779" s="14" t="str">
        <f t="shared" si="1176"/>
        <v/>
      </c>
      <c r="DW779" s="15"/>
    </row>
    <row r="780" spans="1:127" x14ac:dyDescent="0.2">
      <c r="A780" s="16"/>
      <c r="B780" s="11"/>
      <c r="C780" s="13"/>
      <c r="D780" s="53" t="str">
        <f t="shared" si="1164"/>
        <v/>
      </c>
      <c r="E780" s="13"/>
      <c r="F780" s="13" t="str">
        <f t="shared" si="1165"/>
        <v/>
      </c>
      <c r="G780" s="13"/>
      <c r="H780" s="13" t="str">
        <f t="shared" si="1141"/>
        <v/>
      </c>
      <c r="I780" s="17"/>
      <c r="J780" s="56" t="str">
        <f t="shared" si="1142"/>
        <v/>
      </c>
      <c r="K780" s="54" t="str">
        <f t="shared" si="1143"/>
        <v/>
      </c>
      <c r="L780" s="13" t="str">
        <f t="shared" si="1144"/>
        <v/>
      </c>
      <c r="M780" s="14" t="str">
        <f t="shared" si="1145"/>
        <v/>
      </c>
      <c r="N780" s="15"/>
      <c r="O780" s="2"/>
      <c r="P780" s="16"/>
      <c r="Q780" s="13"/>
      <c r="R780" s="53" t="str">
        <f t="shared" si="1166"/>
        <v/>
      </c>
      <c r="S780" s="13"/>
      <c r="T780" s="13" t="str">
        <f t="shared" si="1167"/>
        <v/>
      </c>
      <c r="U780" s="13"/>
      <c r="V780" s="13" t="str">
        <f t="shared" si="1146"/>
        <v/>
      </c>
      <c r="W780" s="17"/>
      <c r="X780" s="56" t="str">
        <f t="shared" si="1147"/>
        <v/>
      </c>
      <c r="Y780" s="54" t="str">
        <f t="shared" si="1148"/>
        <v/>
      </c>
      <c r="Z780" s="13" t="str">
        <f t="shared" si="1149"/>
        <v/>
      </c>
      <c r="AA780" s="14" t="str">
        <f t="shared" si="1150"/>
        <v/>
      </c>
      <c r="AB780" s="15"/>
      <c r="AC780" s="15"/>
      <c r="AD780" s="16"/>
      <c r="AE780" s="13"/>
      <c r="AF780" s="53" t="str">
        <f t="shared" si="1151"/>
        <v/>
      </c>
      <c r="AG780" s="13"/>
      <c r="AH780" s="13" t="str">
        <f t="shared" si="1152"/>
        <v/>
      </c>
      <c r="AI780" s="13"/>
      <c r="AJ780" s="13" t="str">
        <f t="shared" si="1153"/>
        <v/>
      </c>
      <c r="AK780" s="17"/>
      <c r="AL780" s="56" t="str">
        <f t="shared" si="1168"/>
        <v/>
      </c>
      <c r="AM780" s="54" t="str">
        <f t="shared" si="1169"/>
        <v/>
      </c>
      <c r="AN780" s="13" t="str">
        <f t="shared" si="1154"/>
        <v/>
      </c>
      <c r="AO780" s="14" t="str">
        <f t="shared" si="1155"/>
        <v/>
      </c>
      <c r="AP780" s="15"/>
      <c r="AQ780" s="113"/>
      <c r="AR780" s="16"/>
      <c r="AS780" s="13"/>
      <c r="AT780" s="53" t="str">
        <f t="shared" si="1156"/>
        <v/>
      </c>
      <c r="AU780" s="13"/>
      <c r="AV780" s="13" t="str">
        <f t="shared" si="1157"/>
        <v/>
      </c>
      <c r="AW780" s="13"/>
      <c r="AX780" s="13" t="str">
        <f t="shared" si="1158"/>
        <v/>
      </c>
      <c r="AY780" s="17"/>
      <c r="AZ780" s="56" t="str">
        <f t="shared" si="1159"/>
        <v/>
      </c>
      <c r="BA780" s="54" t="str">
        <f t="shared" si="1160"/>
        <v/>
      </c>
      <c r="BB780" s="13" t="str">
        <f t="shared" si="1161"/>
        <v/>
      </c>
      <c r="BC780" s="14" t="str">
        <f t="shared" si="1162"/>
        <v/>
      </c>
      <c r="BD780" s="15"/>
      <c r="BT780" s="113"/>
      <c r="BU780" s="16"/>
      <c r="BV780" s="54"/>
      <c r="BW780" s="13" t="str">
        <f t="shared" si="1178"/>
        <v/>
      </c>
      <c r="BX780" s="13"/>
      <c r="BY780" s="13"/>
      <c r="BZ780" s="13"/>
      <c r="CA780" s="13" t="str">
        <f t="shared" si="1179"/>
        <v/>
      </c>
      <c r="CB780" s="13"/>
      <c r="CC780" s="13"/>
      <c r="CD780" s="13"/>
      <c r="CE780" s="13" t="str">
        <f t="shared" si="1170"/>
        <v/>
      </c>
      <c r="CF780" s="14" t="str">
        <f t="shared" si="1171"/>
        <v/>
      </c>
      <c r="CG780" s="15"/>
      <c r="CH780" s="1"/>
      <c r="CI780" s="16"/>
      <c r="CJ780" s="54"/>
      <c r="CK780" s="13" t="str">
        <f t="shared" si="1180"/>
        <v/>
      </c>
      <c r="CL780" s="13"/>
      <c r="CM780" s="13"/>
      <c r="CN780" s="13"/>
      <c r="CO780" s="13" t="str">
        <f t="shared" si="1181"/>
        <v/>
      </c>
      <c r="CP780" s="13"/>
      <c r="CQ780" s="13"/>
      <c r="CR780" s="13"/>
      <c r="CS780" s="13" t="str">
        <f t="shared" si="1172"/>
        <v/>
      </c>
      <c r="CT780" s="14" t="str">
        <f t="shared" si="1177"/>
        <v/>
      </c>
      <c r="CU780" s="15"/>
      <c r="CV780" s="1"/>
      <c r="CW780" s="16"/>
      <c r="CX780" s="54"/>
      <c r="CY780" s="13" t="str">
        <f t="shared" si="1182"/>
        <v/>
      </c>
      <c r="CZ780" s="13"/>
      <c r="DA780" s="13"/>
      <c r="DB780" s="13"/>
      <c r="DC780" s="13" t="str">
        <f t="shared" si="1183"/>
        <v/>
      </c>
      <c r="DD780" s="13"/>
      <c r="DE780" s="13"/>
      <c r="DF780" s="13"/>
      <c r="DG780" s="13" t="str">
        <f t="shared" si="1173"/>
        <v/>
      </c>
      <c r="DH780" s="14" t="str">
        <f t="shared" si="1174"/>
        <v/>
      </c>
      <c r="DI780" s="15"/>
      <c r="DJ780" s="1"/>
      <c r="DK780" s="16"/>
      <c r="DL780" s="54"/>
      <c r="DM780" s="13" t="str">
        <f t="shared" si="1184"/>
        <v/>
      </c>
      <c r="DN780" s="13"/>
      <c r="DO780" s="13"/>
      <c r="DP780" s="13"/>
      <c r="DQ780" s="13" t="str">
        <f t="shared" si="1185"/>
        <v/>
      </c>
      <c r="DR780" s="13"/>
      <c r="DS780" s="13"/>
      <c r="DT780" s="13"/>
      <c r="DU780" s="13" t="str">
        <f t="shared" si="1175"/>
        <v/>
      </c>
      <c r="DV780" s="14" t="str">
        <f t="shared" si="1176"/>
        <v/>
      </c>
      <c r="DW780" s="15"/>
    </row>
    <row r="781" spans="1:127" ht="15" customHeight="1" x14ac:dyDescent="0.2">
      <c r="A781" s="16"/>
      <c r="B781" s="11"/>
      <c r="C781" s="13"/>
      <c r="D781" s="63" t="str">
        <f t="shared" si="1164"/>
        <v/>
      </c>
      <c r="E781" s="13"/>
      <c r="F781" s="13" t="str">
        <f t="shared" si="1165"/>
        <v/>
      </c>
      <c r="G781" s="34"/>
      <c r="H781" s="34" t="str">
        <f t="shared" si="1141"/>
        <v/>
      </c>
      <c r="I781" s="17"/>
      <c r="J781" s="56" t="str">
        <f t="shared" si="1142"/>
        <v/>
      </c>
      <c r="K781" s="13" t="str">
        <f t="shared" si="1143"/>
        <v/>
      </c>
      <c r="L781" s="13" t="str">
        <f t="shared" si="1144"/>
        <v/>
      </c>
      <c r="M781" s="14" t="str">
        <f t="shared" si="1145"/>
        <v/>
      </c>
      <c r="N781" s="15"/>
      <c r="O781" s="2"/>
      <c r="P781" s="16"/>
      <c r="Q781" s="13"/>
      <c r="R781" s="63" t="str">
        <f t="shared" si="1166"/>
        <v/>
      </c>
      <c r="S781" s="13"/>
      <c r="T781" s="13" t="str">
        <f t="shared" si="1167"/>
        <v/>
      </c>
      <c r="U781" s="34"/>
      <c r="V781" s="34" t="str">
        <f t="shared" si="1146"/>
        <v/>
      </c>
      <c r="W781" s="17"/>
      <c r="X781" s="56" t="str">
        <f t="shared" si="1147"/>
        <v/>
      </c>
      <c r="Y781" s="13" t="str">
        <f t="shared" si="1148"/>
        <v/>
      </c>
      <c r="Z781" s="13" t="str">
        <f t="shared" si="1149"/>
        <v/>
      </c>
      <c r="AA781" s="14" t="str">
        <f t="shared" si="1150"/>
        <v/>
      </c>
      <c r="AB781" s="15"/>
      <c r="AC781" s="15"/>
      <c r="AD781" s="16"/>
      <c r="AE781" s="13"/>
      <c r="AF781" s="63" t="str">
        <f t="shared" si="1151"/>
        <v/>
      </c>
      <c r="AG781" s="13"/>
      <c r="AH781" s="13" t="str">
        <f t="shared" si="1152"/>
        <v/>
      </c>
      <c r="AI781" s="34"/>
      <c r="AJ781" s="34" t="str">
        <f t="shared" si="1153"/>
        <v/>
      </c>
      <c r="AK781" s="17"/>
      <c r="AL781" s="56" t="str">
        <f t="shared" si="1168"/>
        <v/>
      </c>
      <c r="AM781" s="13" t="str">
        <f t="shared" si="1169"/>
        <v/>
      </c>
      <c r="AN781" s="13" t="str">
        <f t="shared" si="1154"/>
        <v/>
      </c>
      <c r="AO781" s="14" t="str">
        <f t="shared" si="1155"/>
        <v/>
      </c>
      <c r="AP781" s="15"/>
      <c r="AQ781" s="113"/>
      <c r="AR781" s="16"/>
      <c r="AS781" s="13"/>
      <c r="AT781" s="63" t="str">
        <f t="shared" si="1156"/>
        <v/>
      </c>
      <c r="AU781" s="13"/>
      <c r="AV781" s="13" t="str">
        <f t="shared" si="1157"/>
        <v/>
      </c>
      <c r="AW781" s="34"/>
      <c r="AX781" s="34" t="str">
        <f t="shared" si="1158"/>
        <v/>
      </c>
      <c r="AY781" s="17"/>
      <c r="AZ781" s="56" t="str">
        <f t="shared" si="1159"/>
        <v/>
      </c>
      <c r="BA781" s="13" t="str">
        <f t="shared" si="1160"/>
        <v/>
      </c>
      <c r="BB781" s="13" t="str">
        <f t="shared" si="1161"/>
        <v/>
      </c>
      <c r="BC781" s="14" t="str">
        <f t="shared" si="1162"/>
        <v/>
      </c>
      <c r="BD781" s="15"/>
      <c r="BT781" s="113"/>
      <c r="BU781" s="16"/>
      <c r="BV781" s="54"/>
      <c r="BW781" s="13" t="str">
        <f t="shared" si="1178"/>
        <v/>
      </c>
      <c r="BX781" s="13"/>
      <c r="BY781" s="13"/>
      <c r="BZ781" s="13"/>
      <c r="CA781" s="13" t="str">
        <f t="shared" si="1179"/>
        <v/>
      </c>
      <c r="CB781" s="13"/>
      <c r="CC781" s="13"/>
      <c r="CD781" s="13"/>
      <c r="CE781" s="13" t="str">
        <f t="shared" si="1170"/>
        <v/>
      </c>
      <c r="CF781" s="14" t="str">
        <f t="shared" si="1171"/>
        <v/>
      </c>
      <c r="CG781" s="15"/>
      <c r="CH781" s="1"/>
      <c r="CI781" s="16"/>
      <c r="CJ781" s="54"/>
      <c r="CK781" s="13" t="str">
        <f t="shared" si="1180"/>
        <v/>
      </c>
      <c r="CL781" s="13"/>
      <c r="CM781" s="13"/>
      <c r="CN781" s="13"/>
      <c r="CO781" s="13" t="str">
        <f t="shared" si="1181"/>
        <v/>
      </c>
      <c r="CP781" s="13"/>
      <c r="CQ781" s="13"/>
      <c r="CR781" s="13"/>
      <c r="CS781" s="13" t="str">
        <f t="shared" si="1172"/>
        <v/>
      </c>
      <c r="CT781" s="14" t="str">
        <f t="shared" si="1177"/>
        <v/>
      </c>
      <c r="CU781" s="15"/>
      <c r="CV781" s="1"/>
      <c r="CW781" s="16"/>
      <c r="CX781" s="54"/>
      <c r="CY781" s="13" t="str">
        <f t="shared" si="1182"/>
        <v/>
      </c>
      <c r="CZ781" s="13"/>
      <c r="DA781" s="13"/>
      <c r="DB781" s="13"/>
      <c r="DC781" s="13" t="str">
        <f t="shared" si="1183"/>
        <v/>
      </c>
      <c r="DD781" s="13"/>
      <c r="DE781" s="13"/>
      <c r="DF781" s="13"/>
      <c r="DG781" s="13" t="str">
        <f t="shared" si="1173"/>
        <v/>
      </c>
      <c r="DH781" s="14" t="str">
        <f t="shared" si="1174"/>
        <v/>
      </c>
      <c r="DI781" s="15"/>
      <c r="DJ781" s="1"/>
      <c r="DK781" s="16"/>
      <c r="DL781" s="54"/>
      <c r="DM781" s="13" t="str">
        <f t="shared" si="1184"/>
        <v/>
      </c>
      <c r="DN781" s="13"/>
      <c r="DO781" s="13"/>
      <c r="DP781" s="13"/>
      <c r="DQ781" s="13" t="str">
        <f t="shared" si="1185"/>
        <v/>
      </c>
      <c r="DR781" s="13"/>
      <c r="DS781" s="13"/>
      <c r="DT781" s="13"/>
      <c r="DU781" s="13" t="str">
        <f t="shared" si="1175"/>
        <v/>
      </c>
      <c r="DV781" s="14" t="str">
        <f t="shared" si="1176"/>
        <v/>
      </c>
      <c r="DW781" s="15"/>
    </row>
    <row r="782" spans="1:127" ht="15" customHeight="1" thickBot="1" x14ac:dyDescent="0.25">
      <c r="A782" s="26"/>
      <c r="B782" s="46"/>
      <c r="C782" s="29"/>
      <c r="D782" s="61" t="str">
        <f t="shared" si="1164"/>
        <v/>
      </c>
      <c r="E782" s="62"/>
      <c r="F782" s="29" t="str">
        <f t="shared" si="1165"/>
        <v/>
      </c>
      <c r="G782" s="64"/>
      <c r="H782" s="64" t="str">
        <f t="shared" si="1141"/>
        <v/>
      </c>
      <c r="I782" s="107"/>
      <c r="J782" s="57" t="str">
        <f t="shared" si="1142"/>
        <v/>
      </c>
      <c r="K782" s="62" t="str">
        <f t="shared" si="1143"/>
        <v/>
      </c>
      <c r="L782" s="27" t="str">
        <f t="shared" si="1144"/>
        <v/>
      </c>
      <c r="M782" s="28" t="str">
        <f t="shared" si="1145"/>
        <v/>
      </c>
      <c r="N782" s="15"/>
      <c r="O782" s="2"/>
      <c r="P782" s="26"/>
      <c r="Q782" s="29"/>
      <c r="R782" s="61" t="str">
        <f t="shared" si="1166"/>
        <v/>
      </c>
      <c r="S782" s="62"/>
      <c r="T782" s="29" t="str">
        <f t="shared" si="1167"/>
        <v/>
      </c>
      <c r="U782" s="64"/>
      <c r="V782" s="64" t="str">
        <f t="shared" si="1146"/>
        <v/>
      </c>
      <c r="W782" s="107"/>
      <c r="X782" s="57" t="str">
        <f t="shared" si="1147"/>
        <v/>
      </c>
      <c r="Y782" s="62" t="str">
        <f t="shared" si="1148"/>
        <v/>
      </c>
      <c r="Z782" s="27" t="str">
        <f t="shared" si="1149"/>
        <v/>
      </c>
      <c r="AA782" s="28" t="str">
        <f t="shared" si="1150"/>
        <v/>
      </c>
      <c r="AB782" s="15"/>
      <c r="AC782" s="15"/>
      <c r="AD782" s="26"/>
      <c r="AE782" s="29"/>
      <c r="AF782" s="61" t="str">
        <f t="shared" si="1151"/>
        <v/>
      </c>
      <c r="AG782" s="62"/>
      <c r="AH782" s="29" t="str">
        <f t="shared" si="1152"/>
        <v/>
      </c>
      <c r="AI782" s="64"/>
      <c r="AJ782" s="64" t="str">
        <f t="shared" si="1153"/>
        <v/>
      </c>
      <c r="AK782" s="107"/>
      <c r="AL782" s="57" t="str">
        <f t="shared" si="1168"/>
        <v/>
      </c>
      <c r="AM782" s="62" t="str">
        <f t="shared" si="1169"/>
        <v/>
      </c>
      <c r="AN782" s="27" t="str">
        <f t="shared" si="1154"/>
        <v/>
      </c>
      <c r="AO782" s="28" t="str">
        <f t="shared" si="1155"/>
        <v/>
      </c>
      <c r="AP782" s="15"/>
      <c r="AQ782" s="113"/>
      <c r="AR782" s="26"/>
      <c r="AS782" s="29"/>
      <c r="AT782" s="61" t="str">
        <f t="shared" si="1156"/>
        <v/>
      </c>
      <c r="AU782" s="62"/>
      <c r="AV782" s="29" t="str">
        <f t="shared" si="1157"/>
        <v/>
      </c>
      <c r="AW782" s="64"/>
      <c r="AX782" s="64" t="str">
        <f t="shared" si="1158"/>
        <v/>
      </c>
      <c r="AY782" s="107"/>
      <c r="AZ782" s="57" t="str">
        <f t="shared" si="1159"/>
        <v/>
      </c>
      <c r="BA782" s="62" t="str">
        <f t="shared" si="1160"/>
        <v/>
      </c>
      <c r="BB782" s="27" t="str">
        <f t="shared" si="1161"/>
        <v/>
      </c>
      <c r="BC782" s="28" t="str">
        <f t="shared" si="1162"/>
        <v/>
      </c>
      <c r="BD782" s="15"/>
      <c r="BT782" s="113"/>
      <c r="BU782" s="16"/>
      <c r="BV782" s="54"/>
      <c r="BW782" s="13" t="str">
        <f t="shared" si="1178"/>
        <v/>
      </c>
      <c r="BX782" s="13"/>
      <c r="BY782" s="13"/>
      <c r="BZ782" s="13"/>
      <c r="CA782" s="13" t="str">
        <f t="shared" si="1179"/>
        <v/>
      </c>
      <c r="CB782" s="13"/>
      <c r="CC782" s="13"/>
      <c r="CD782" s="13"/>
      <c r="CE782" s="13" t="str">
        <f t="shared" si="1170"/>
        <v/>
      </c>
      <c r="CF782" s="14" t="str">
        <f t="shared" si="1171"/>
        <v/>
      </c>
      <c r="CG782" s="15"/>
      <c r="CH782" s="1"/>
      <c r="CI782" s="16"/>
      <c r="CJ782" s="54"/>
      <c r="CK782" s="13" t="str">
        <f t="shared" si="1180"/>
        <v/>
      </c>
      <c r="CL782" s="13"/>
      <c r="CM782" s="13"/>
      <c r="CN782" s="13"/>
      <c r="CO782" s="13" t="str">
        <f t="shared" si="1181"/>
        <v/>
      </c>
      <c r="CP782" s="13"/>
      <c r="CQ782" s="13"/>
      <c r="CR782" s="13"/>
      <c r="CS782" s="13" t="str">
        <f t="shared" si="1172"/>
        <v/>
      </c>
      <c r="CT782" s="14" t="str">
        <f t="shared" si="1177"/>
        <v/>
      </c>
      <c r="CU782" s="15"/>
      <c r="CV782" s="1"/>
      <c r="CW782" s="16"/>
      <c r="CX782" s="54"/>
      <c r="CY782" s="13" t="str">
        <f t="shared" si="1182"/>
        <v/>
      </c>
      <c r="CZ782" s="13"/>
      <c r="DA782" s="13"/>
      <c r="DB782" s="13"/>
      <c r="DC782" s="13" t="str">
        <f t="shared" si="1183"/>
        <v/>
      </c>
      <c r="DD782" s="13"/>
      <c r="DE782" s="13"/>
      <c r="DF782" s="13"/>
      <c r="DG782" s="13" t="str">
        <f t="shared" si="1173"/>
        <v/>
      </c>
      <c r="DH782" s="14" t="str">
        <f t="shared" si="1174"/>
        <v/>
      </c>
      <c r="DI782" s="15"/>
      <c r="DJ782" s="1"/>
      <c r="DK782" s="16"/>
      <c r="DL782" s="54"/>
      <c r="DM782" s="13" t="str">
        <f t="shared" si="1184"/>
        <v/>
      </c>
      <c r="DN782" s="13"/>
      <c r="DO782" s="13"/>
      <c r="DP782" s="13"/>
      <c r="DQ782" s="13" t="str">
        <f t="shared" si="1185"/>
        <v/>
      </c>
      <c r="DR782" s="13"/>
      <c r="DS782" s="13"/>
      <c r="DT782" s="13"/>
      <c r="DU782" s="13" t="str">
        <f t="shared" si="1175"/>
        <v/>
      </c>
      <c r="DV782" s="14" t="str">
        <f t="shared" si="1176"/>
        <v/>
      </c>
      <c r="DW782" s="15"/>
    </row>
    <row r="783" spans="1:127" ht="15" customHeight="1" thickTop="1" x14ac:dyDescent="0.2">
      <c r="A783" s="79"/>
      <c r="B783" s="74" t="str">
        <f>IF(A783="","",SUM(D783:D786)+SUM(R783:R786)+SUM(AF783:AF786)+SUM(AT783:AT786)+SUM(BW753,CK752,CY753,DM753))</f>
        <v/>
      </c>
      <c r="C783" s="53"/>
      <c r="D783" s="53" t="str">
        <f t="shared" si="1164"/>
        <v/>
      </c>
      <c r="E783" s="53"/>
      <c r="F783" s="31" t="str">
        <f t="shared" si="1165"/>
        <v/>
      </c>
      <c r="G783" s="53"/>
      <c r="H783" s="53" t="str">
        <f t="shared" si="1141"/>
        <v/>
      </c>
      <c r="I783" s="80"/>
      <c r="J783" s="21" t="str">
        <f t="shared" si="1142"/>
        <v/>
      </c>
      <c r="K783" s="54" t="str">
        <f t="shared" si="1143"/>
        <v/>
      </c>
      <c r="L783" s="31" t="str">
        <f t="shared" si="1144"/>
        <v/>
      </c>
      <c r="M783" s="32" t="str">
        <f t="shared" si="1145"/>
        <v/>
      </c>
      <c r="N783" s="15"/>
      <c r="O783" s="2"/>
      <c r="P783" s="79" t="str">
        <f>IF(A783="","",A783)</f>
        <v/>
      </c>
      <c r="Q783" s="53"/>
      <c r="R783" s="53" t="str">
        <f t="shared" si="1166"/>
        <v/>
      </c>
      <c r="S783" s="53"/>
      <c r="T783" s="31" t="str">
        <f t="shared" si="1167"/>
        <v/>
      </c>
      <c r="U783" s="53"/>
      <c r="V783" s="53" t="str">
        <f t="shared" si="1146"/>
        <v/>
      </c>
      <c r="W783" s="80"/>
      <c r="X783" s="21" t="str">
        <f t="shared" si="1147"/>
        <v/>
      </c>
      <c r="Y783" s="54" t="str">
        <f t="shared" si="1148"/>
        <v/>
      </c>
      <c r="Z783" s="31" t="str">
        <f t="shared" si="1149"/>
        <v/>
      </c>
      <c r="AA783" s="32" t="str">
        <f t="shared" si="1150"/>
        <v/>
      </c>
      <c r="AB783" s="15"/>
      <c r="AC783" s="15"/>
      <c r="AD783" s="79" t="str">
        <f>IF($A783="","",$A783)</f>
        <v/>
      </c>
      <c r="AE783" s="53"/>
      <c r="AF783" s="53" t="str">
        <f t="shared" si="1151"/>
        <v/>
      </c>
      <c r="AG783" s="53"/>
      <c r="AH783" s="31" t="str">
        <f t="shared" si="1152"/>
        <v/>
      </c>
      <c r="AI783" s="53"/>
      <c r="AJ783" s="53" t="str">
        <f t="shared" si="1153"/>
        <v/>
      </c>
      <c r="AK783" s="80"/>
      <c r="AL783" s="21" t="str">
        <f t="shared" si="1168"/>
        <v/>
      </c>
      <c r="AM783" s="54" t="str">
        <f t="shared" si="1169"/>
        <v/>
      </c>
      <c r="AN783" s="31" t="str">
        <f t="shared" si="1154"/>
        <v/>
      </c>
      <c r="AO783" s="32" t="str">
        <f t="shared" si="1155"/>
        <v/>
      </c>
      <c r="AP783" s="15"/>
      <c r="AQ783" s="113"/>
      <c r="AR783" s="79" t="str">
        <f>IF($A783="","",$A783)</f>
        <v/>
      </c>
      <c r="AS783" s="53"/>
      <c r="AT783" s="53" t="str">
        <f t="shared" si="1156"/>
        <v/>
      </c>
      <c r="AU783" s="53"/>
      <c r="AV783" s="31" t="str">
        <f t="shared" si="1157"/>
        <v/>
      </c>
      <c r="AW783" s="53"/>
      <c r="AX783" s="53" t="str">
        <f t="shared" si="1158"/>
        <v/>
      </c>
      <c r="AY783" s="80"/>
      <c r="AZ783" s="21" t="str">
        <f t="shared" si="1159"/>
        <v/>
      </c>
      <c r="BA783" s="54" t="str">
        <f t="shared" si="1160"/>
        <v/>
      </c>
      <c r="BB783" s="31" t="str">
        <f t="shared" si="1161"/>
        <v/>
      </c>
      <c r="BC783" s="32" t="str">
        <f t="shared" si="1162"/>
        <v/>
      </c>
      <c r="BD783" s="15"/>
      <c r="BT783" s="113"/>
      <c r="BU783" s="16"/>
      <c r="BV783" s="54"/>
      <c r="BW783" s="13" t="str">
        <f t="shared" si="1178"/>
        <v/>
      </c>
      <c r="BX783" s="13"/>
      <c r="BY783" s="13"/>
      <c r="BZ783" s="13"/>
      <c r="CA783" s="13" t="str">
        <f t="shared" si="1179"/>
        <v/>
      </c>
      <c r="CB783" s="13"/>
      <c r="CC783" s="13"/>
      <c r="CD783" s="13"/>
      <c r="CE783" s="13" t="str">
        <f t="shared" si="1170"/>
        <v/>
      </c>
      <c r="CF783" s="14" t="str">
        <f t="shared" si="1171"/>
        <v/>
      </c>
      <c r="CG783" s="15"/>
      <c r="CH783" s="1"/>
      <c r="CI783" s="16"/>
      <c r="CJ783" s="54"/>
      <c r="CK783" s="13" t="str">
        <f t="shared" si="1180"/>
        <v/>
      </c>
      <c r="CL783" s="13"/>
      <c r="CM783" s="13"/>
      <c r="CN783" s="13"/>
      <c r="CO783" s="13" t="str">
        <f t="shared" si="1181"/>
        <v/>
      </c>
      <c r="CP783" s="13"/>
      <c r="CQ783" s="13"/>
      <c r="CR783" s="13"/>
      <c r="CS783" s="13" t="str">
        <f t="shared" si="1172"/>
        <v/>
      </c>
      <c r="CT783" s="14" t="str">
        <f t="shared" si="1177"/>
        <v/>
      </c>
      <c r="CU783" s="15"/>
      <c r="CV783" s="1"/>
      <c r="CW783" s="16"/>
      <c r="CX783" s="54"/>
      <c r="CY783" s="13" t="str">
        <f t="shared" si="1182"/>
        <v/>
      </c>
      <c r="CZ783" s="13"/>
      <c r="DA783" s="13"/>
      <c r="DB783" s="13"/>
      <c r="DC783" s="13" t="str">
        <f t="shared" si="1183"/>
        <v/>
      </c>
      <c r="DD783" s="13"/>
      <c r="DE783" s="13"/>
      <c r="DF783" s="13"/>
      <c r="DG783" s="13" t="str">
        <f t="shared" si="1173"/>
        <v/>
      </c>
      <c r="DH783" s="14" t="str">
        <f t="shared" si="1174"/>
        <v/>
      </c>
      <c r="DI783" s="15"/>
      <c r="DJ783" s="1"/>
      <c r="DK783" s="16"/>
      <c r="DL783" s="54"/>
      <c r="DM783" s="13" t="str">
        <f t="shared" si="1184"/>
        <v/>
      </c>
      <c r="DN783" s="13"/>
      <c r="DO783" s="13"/>
      <c r="DP783" s="13"/>
      <c r="DQ783" s="13" t="str">
        <f t="shared" si="1185"/>
        <v/>
      </c>
      <c r="DR783" s="13"/>
      <c r="DS783" s="13"/>
      <c r="DT783" s="13"/>
      <c r="DU783" s="13" t="str">
        <f t="shared" si="1175"/>
        <v/>
      </c>
      <c r="DV783" s="14" t="str">
        <f t="shared" si="1176"/>
        <v/>
      </c>
      <c r="DW783" s="15"/>
    </row>
    <row r="784" spans="1:127" ht="15" customHeight="1" x14ac:dyDescent="0.2">
      <c r="A784" s="16"/>
      <c r="B784" s="11"/>
      <c r="C784" s="13"/>
      <c r="D784" s="53" t="str">
        <f t="shared" si="1164"/>
        <v/>
      </c>
      <c r="E784" s="13"/>
      <c r="F784" s="13" t="str">
        <f t="shared" si="1165"/>
        <v/>
      </c>
      <c r="G784" s="13"/>
      <c r="H784" s="13" t="str">
        <f t="shared" si="1141"/>
        <v/>
      </c>
      <c r="I784" s="17"/>
      <c r="J784" s="21" t="str">
        <f t="shared" si="1142"/>
        <v/>
      </c>
      <c r="K784" s="54" t="str">
        <f t="shared" si="1143"/>
        <v/>
      </c>
      <c r="L784" s="13" t="str">
        <f t="shared" si="1144"/>
        <v/>
      </c>
      <c r="M784" s="14" t="str">
        <f t="shared" si="1145"/>
        <v/>
      </c>
      <c r="N784" s="15"/>
      <c r="O784" s="2"/>
      <c r="P784" s="16"/>
      <c r="Q784" s="13"/>
      <c r="R784" s="53" t="str">
        <f t="shared" si="1166"/>
        <v/>
      </c>
      <c r="S784" s="13"/>
      <c r="T784" s="13" t="str">
        <f t="shared" si="1167"/>
        <v/>
      </c>
      <c r="U784" s="13"/>
      <c r="V784" s="13" t="str">
        <f t="shared" si="1146"/>
        <v/>
      </c>
      <c r="W784" s="17"/>
      <c r="X784" s="21" t="str">
        <f t="shared" si="1147"/>
        <v/>
      </c>
      <c r="Y784" s="54" t="str">
        <f t="shared" si="1148"/>
        <v/>
      </c>
      <c r="Z784" s="13" t="str">
        <f t="shared" si="1149"/>
        <v/>
      </c>
      <c r="AA784" s="14" t="str">
        <f t="shared" si="1150"/>
        <v/>
      </c>
      <c r="AB784" s="15"/>
      <c r="AC784" s="15"/>
      <c r="AD784" s="16"/>
      <c r="AE784" s="13"/>
      <c r="AF784" s="53" t="str">
        <f t="shared" si="1151"/>
        <v/>
      </c>
      <c r="AG784" s="13"/>
      <c r="AH784" s="13" t="str">
        <f t="shared" si="1152"/>
        <v/>
      </c>
      <c r="AI784" s="13"/>
      <c r="AJ784" s="13" t="str">
        <f t="shared" si="1153"/>
        <v/>
      </c>
      <c r="AK784" s="17"/>
      <c r="AL784" s="21" t="str">
        <f t="shared" si="1168"/>
        <v/>
      </c>
      <c r="AM784" s="54" t="str">
        <f t="shared" si="1169"/>
        <v/>
      </c>
      <c r="AN784" s="13" t="str">
        <f t="shared" si="1154"/>
        <v/>
      </c>
      <c r="AO784" s="14" t="str">
        <f t="shared" si="1155"/>
        <v/>
      </c>
      <c r="AP784" s="15"/>
      <c r="AQ784" s="113"/>
      <c r="AR784" s="16"/>
      <c r="AS784" s="13"/>
      <c r="AT784" s="53" t="str">
        <f t="shared" si="1156"/>
        <v/>
      </c>
      <c r="AU784" s="13"/>
      <c r="AV784" s="13" t="str">
        <f t="shared" si="1157"/>
        <v/>
      </c>
      <c r="AW784" s="13"/>
      <c r="AX784" s="13" t="str">
        <f t="shared" si="1158"/>
        <v/>
      </c>
      <c r="AY784" s="17"/>
      <c r="AZ784" s="21" t="str">
        <f t="shared" si="1159"/>
        <v/>
      </c>
      <c r="BA784" s="54" t="str">
        <f t="shared" si="1160"/>
        <v/>
      </c>
      <c r="BB784" s="13" t="str">
        <f t="shared" si="1161"/>
        <v/>
      </c>
      <c r="BC784" s="14" t="str">
        <f t="shared" si="1162"/>
        <v/>
      </c>
      <c r="BD784" s="15"/>
      <c r="BT784" s="113"/>
      <c r="BU784" s="16"/>
      <c r="BV784" s="54"/>
      <c r="BW784" s="13" t="str">
        <f t="shared" si="1178"/>
        <v/>
      </c>
      <c r="BX784" s="13"/>
      <c r="BY784" s="13"/>
      <c r="BZ784" s="13"/>
      <c r="CA784" s="13" t="str">
        <f t="shared" si="1179"/>
        <v/>
      </c>
      <c r="CB784" s="13"/>
      <c r="CC784" s="13"/>
      <c r="CD784" s="13"/>
      <c r="CE784" s="13" t="str">
        <f t="shared" si="1170"/>
        <v/>
      </c>
      <c r="CF784" s="14" t="str">
        <f t="shared" si="1171"/>
        <v/>
      </c>
      <c r="CG784" s="15"/>
      <c r="CH784" s="1"/>
      <c r="CI784" s="16"/>
      <c r="CJ784" s="54"/>
      <c r="CK784" s="13" t="str">
        <f t="shared" si="1180"/>
        <v/>
      </c>
      <c r="CL784" s="13"/>
      <c r="CM784" s="13"/>
      <c r="CN784" s="13"/>
      <c r="CO784" s="13" t="str">
        <f t="shared" si="1181"/>
        <v/>
      </c>
      <c r="CP784" s="13"/>
      <c r="CQ784" s="13"/>
      <c r="CR784" s="13"/>
      <c r="CS784" s="13" t="str">
        <f t="shared" si="1172"/>
        <v/>
      </c>
      <c r="CT784" s="14" t="str">
        <f t="shared" si="1177"/>
        <v/>
      </c>
      <c r="CU784" s="15"/>
      <c r="CV784" s="1"/>
      <c r="CW784" s="16"/>
      <c r="CX784" s="54"/>
      <c r="CY784" s="13" t="str">
        <f t="shared" si="1182"/>
        <v/>
      </c>
      <c r="CZ784" s="13"/>
      <c r="DA784" s="13"/>
      <c r="DB784" s="13"/>
      <c r="DC784" s="13" t="str">
        <f t="shared" si="1183"/>
        <v/>
      </c>
      <c r="DD784" s="13"/>
      <c r="DE784" s="13"/>
      <c r="DF784" s="13"/>
      <c r="DG784" s="13" t="str">
        <f t="shared" si="1173"/>
        <v/>
      </c>
      <c r="DH784" s="14" t="str">
        <f t="shared" si="1174"/>
        <v/>
      </c>
      <c r="DI784" s="15"/>
      <c r="DJ784" s="1"/>
      <c r="DK784" s="16"/>
      <c r="DL784" s="54"/>
      <c r="DM784" s="13" t="str">
        <f t="shared" si="1184"/>
        <v/>
      </c>
      <c r="DN784" s="13"/>
      <c r="DO784" s="13"/>
      <c r="DP784" s="13"/>
      <c r="DQ784" s="13" t="str">
        <f t="shared" si="1185"/>
        <v/>
      </c>
      <c r="DR784" s="13"/>
      <c r="DS784" s="13"/>
      <c r="DT784" s="13"/>
      <c r="DU784" s="13" t="str">
        <f t="shared" si="1175"/>
        <v/>
      </c>
      <c r="DV784" s="14" t="str">
        <f t="shared" si="1176"/>
        <v/>
      </c>
      <c r="DW784" s="15"/>
    </row>
    <row r="785" spans="1:127" ht="15" customHeight="1" x14ac:dyDescent="0.2">
      <c r="A785" s="16"/>
      <c r="B785" s="11"/>
      <c r="C785" s="13"/>
      <c r="D785" s="63" t="str">
        <f t="shared" si="1164"/>
        <v/>
      </c>
      <c r="E785" s="13"/>
      <c r="F785" s="13" t="str">
        <f t="shared" si="1165"/>
        <v/>
      </c>
      <c r="G785" s="13"/>
      <c r="H785" s="13" t="str">
        <f t="shared" si="1141"/>
        <v/>
      </c>
      <c r="I785" s="17"/>
      <c r="J785" s="21" t="str">
        <f t="shared" si="1142"/>
        <v/>
      </c>
      <c r="K785" s="54" t="str">
        <f t="shared" si="1143"/>
        <v/>
      </c>
      <c r="L785" s="13" t="str">
        <f t="shared" si="1144"/>
        <v/>
      </c>
      <c r="M785" s="14" t="str">
        <f t="shared" si="1145"/>
        <v/>
      </c>
      <c r="N785" s="15"/>
      <c r="O785" s="2"/>
      <c r="P785" s="16"/>
      <c r="Q785" s="13"/>
      <c r="R785" s="63" t="str">
        <f t="shared" si="1166"/>
        <v/>
      </c>
      <c r="S785" s="13"/>
      <c r="T785" s="13" t="str">
        <f t="shared" si="1167"/>
        <v/>
      </c>
      <c r="U785" s="13"/>
      <c r="V785" s="13" t="str">
        <f t="shared" si="1146"/>
        <v/>
      </c>
      <c r="W785" s="17"/>
      <c r="X785" s="21" t="str">
        <f t="shared" si="1147"/>
        <v/>
      </c>
      <c r="Y785" s="54" t="str">
        <f t="shared" si="1148"/>
        <v/>
      </c>
      <c r="Z785" s="13" t="str">
        <f t="shared" si="1149"/>
        <v/>
      </c>
      <c r="AA785" s="14" t="str">
        <f t="shared" si="1150"/>
        <v/>
      </c>
      <c r="AB785" s="15"/>
      <c r="AC785" s="15"/>
      <c r="AD785" s="16"/>
      <c r="AE785" s="13"/>
      <c r="AF785" s="63" t="str">
        <f t="shared" si="1151"/>
        <v/>
      </c>
      <c r="AG785" s="13"/>
      <c r="AH785" s="13" t="str">
        <f t="shared" si="1152"/>
        <v/>
      </c>
      <c r="AI785" s="13"/>
      <c r="AJ785" s="13" t="str">
        <f t="shared" si="1153"/>
        <v/>
      </c>
      <c r="AK785" s="17"/>
      <c r="AL785" s="21" t="str">
        <f t="shared" si="1168"/>
        <v/>
      </c>
      <c r="AM785" s="54" t="str">
        <f t="shared" si="1169"/>
        <v/>
      </c>
      <c r="AN785" s="13" t="str">
        <f t="shared" si="1154"/>
        <v/>
      </c>
      <c r="AO785" s="14" t="str">
        <f t="shared" si="1155"/>
        <v/>
      </c>
      <c r="AP785" s="15"/>
      <c r="AQ785" s="113"/>
      <c r="AR785" s="16"/>
      <c r="AS785" s="13"/>
      <c r="AT785" s="63" t="str">
        <f t="shared" si="1156"/>
        <v/>
      </c>
      <c r="AU785" s="13"/>
      <c r="AV785" s="13" t="str">
        <f t="shared" si="1157"/>
        <v/>
      </c>
      <c r="AW785" s="13"/>
      <c r="AX785" s="13" t="str">
        <f t="shared" si="1158"/>
        <v/>
      </c>
      <c r="AY785" s="17"/>
      <c r="AZ785" s="21" t="str">
        <f t="shared" si="1159"/>
        <v/>
      </c>
      <c r="BA785" s="54" t="str">
        <f t="shared" si="1160"/>
        <v/>
      </c>
      <c r="BB785" s="13" t="str">
        <f t="shared" si="1161"/>
        <v/>
      </c>
      <c r="BC785" s="14" t="str">
        <f t="shared" si="1162"/>
        <v/>
      </c>
      <c r="BD785" s="15"/>
      <c r="BT785" s="113"/>
      <c r="BU785" s="16"/>
      <c r="BV785" s="54"/>
      <c r="BW785" s="13" t="str">
        <f t="shared" si="1178"/>
        <v/>
      </c>
      <c r="BX785" s="13"/>
      <c r="BY785" s="13"/>
      <c r="BZ785" s="13"/>
      <c r="CA785" s="13" t="str">
        <f t="shared" si="1179"/>
        <v/>
      </c>
      <c r="CB785" s="13"/>
      <c r="CC785" s="13"/>
      <c r="CD785" s="13"/>
      <c r="CE785" s="13" t="str">
        <f t="shared" si="1170"/>
        <v/>
      </c>
      <c r="CF785" s="14" t="str">
        <f t="shared" si="1171"/>
        <v/>
      </c>
      <c r="CG785" s="15"/>
      <c r="CH785" s="1"/>
      <c r="CI785" s="16"/>
      <c r="CJ785" s="54"/>
      <c r="CK785" s="13" t="str">
        <f t="shared" si="1180"/>
        <v/>
      </c>
      <c r="CL785" s="13"/>
      <c r="CM785" s="13"/>
      <c r="CN785" s="13"/>
      <c r="CO785" s="13" t="str">
        <f t="shared" si="1181"/>
        <v/>
      </c>
      <c r="CP785" s="13"/>
      <c r="CQ785" s="13"/>
      <c r="CR785" s="13"/>
      <c r="CS785" s="13" t="str">
        <f t="shared" si="1172"/>
        <v/>
      </c>
      <c r="CT785" s="14" t="str">
        <f t="shared" si="1177"/>
        <v/>
      </c>
      <c r="CU785" s="15"/>
      <c r="CV785" s="1"/>
      <c r="CW785" s="16"/>
      <c r="CX785" s="54"/>
      <c r="CY785" s="13" t="str">
        <f t="shared" si="1182"/>
        <v/>
      </c>
      <c r="CZ785" s="13"/>
      <c r="DA785" s="13"/>
      <c r="DB785" s="13"/>
      <c r="DC785" s="13" t="str">
        <f t="shared" si="1183"/>
        <v/>
      </c>
      <c r="DD785" s="13"/>
      <c r="DE785" s="13"/>
      <c r="DF785" s="13"/>
      <c r="DG785" s="13" t="str">
        <f t="shared" si="1173"/>
        <v/>
      </c>
      <c r="DH785" s="14" t="str">
        <f t="shared" si="1174"/>
        <v/>
      </c>
      <c r="DI785" s="15"/>
      <c r="DJ785" s="1"/>
      <c r="DK785" s="16"/>
      <c r="DL785" s="54"/>
      <c r="DM785" s="13" t="str">
        <f t="shared" si="1184"/>
        <v/>
      </c>
      <c r="DN785" s="13"/>
      <c r="DO785" s="13"/>
      <c r="DP785" s="13"/>
      <c r="DQ785" s="13" t="str">
        <f t="shared" si="1185"/>
        <v/>
      </c>
      <c r="DR785" s="13"/>
      <c r="DS785" s="13"/>
      <c r="DT785" s="13"/>
      <c r="DU785" s="13" t="str">
        <f t="shared" si="1175"/>
        <v/>
      </c>
      <c r="DV785" s="14" t="str">
        <f t="shared" si="1176"/>
        <v/>
      </c>
      <c r="DW785" s="15"/>
    </row>
    <row r="786" spans="1:127" ht="15" customHeight="1" thickBot="1" x14ac:dyDescent="0.25">
      <c r="A786" s="26"/>
      <c r="B786" s="46"/>
      <c r="C786" s="29"/>
      <c r="D786" s="61" t="str">
        <f t="shared" si="1164"/>
        <v/>
      </c>
      <c r="E786" s="62"/>
      <c r="F786" s="27" t="str">
        <f t="shared" si="1165"/>
        <v/>
      </c>
      <c r="G786" s="27"/>
      <c r="H786" s="27" t="str">
        <f t="shared" si="1141"/>
        <v/>
      </c>
      <c r="I786" s="107"/>
      <c r="J786" s="30" t="str">
        <f t="shared" si="1142"/>
        <v/>
      </c>
      <c r="K786" s="62" t="str">
        <f t="shared" si="1143"/>
        <v/>
      </c>
      <c r="L786" s="27" t="str">
        <f t="shared" si="1144"/>
        <v/>
      </c>
      <c r="M786" s="28" t="str">
        <f t="shared" si="1145"/>
        <v/>
      </c>
      <c r="N786" s="15"/>
      <c r="O786" s="2"/>
      <c r="P786" s="26"/>
      <c r="Q786" s="29"/>
      <c r="R786" s="61" t="str">
        <f t="shared" si="1166"/>
        <v/>
      </c>
      <c r="S786" s="62"/>
      <c r="T786" s="27" t="str">
        <f t="shared" si="1167"/>
        <v/>
      </c>
      <c r="U786" s="27"/>
      <c r="V786" s="27" t="str">
        <f t="shared" si="1146"/>
        <v/>
      </c>
      <c r="W786" s="107"/>
      <c r="X786" s="30" t="str">
        <f t="shared" si="1147"/>
        <v/>
      </c>
      <c r="Y786" s="62" t="str">
        <f t="shared" si="1148"/>
        <v/>
      </c>
      <c r="Z786" s="27" t="str">
        <f t="shared" si="1149"/>
        <v/>
      </c>
      <c r="AA786" s="28" t="str">
        <f t="shared" si="1150"/>
        <v/>
      </c>
      <c r="AB786" s="15"/>
      <c r="AC786" s="15"/>
      <c r="AD786" s="26"/>
      <c r="AE786" s="29"/>
      <c r="AF786" s="61" t="str">
        <f t="shared" si="1151"/>
        <v/>
      </c>
      <c r="AG786" s="62"/>
      <c r="AH786" s="27" t="str">
        <f t="shared" si="1152"/>
        <v/>
      </c>
      <c r="AI786" s="27"/>
      <c r="AJ786" s="27" t="str">
        <f t="shared" si="1153"/>
        <v/>
      </c>
      <c r="AK786" s="107"/>
      <c r="AL786" s="30" t="str">
        <f t="shared" si="1168"/>
        <v/>
      </c>
      <c r="AM786" s="62" t="str">
        <f t="shared" si="1169"/>
        <v/>
      </c>
      <c r="AN786" s="27" t="str">
        <f t="shared" si="1154"/>
        <v/>
      </c>
      <c r="AO786" s="28" t="str">
        <f t="shared" si="1155"/>
        <v/>
      </c>
      <c r="AP786" s="15"/>
      <c r="AQ786" s="113"/>
      <c r="AR786" s="26"/>
      <c r="AS786" s="29"/>
      <c r="AT786" s="61" t="str">
        <f t="shared" si="1156"/>
        <v/>
      </c>
      <c r="AU786" s="62"/>
      <c r="AV786" s="27" t="str">
        <f t="shared" si="1157"/>
        <v/>
      </c>
      <c r="AW786" s="27"/>
      <c r="AX786" s="27" t="str">
        <f t="shared" si="1158"/>
        <v/>
      </c>
      <c r="AY786" s="107"/>
      <c r="AZ786" s="30" t="str">
        <f t="shared" si="1159"/>
        <v/>
      </c>
      <c r="BA786" s="62" t="str">
        <f t="shared" si="1160"/>
        <v/>
      </c>
      <c r="BB786" s="27" t="str">
        <f t="shared" si="1161"/>
        <v/>
      </c>
      <c r="BC786" s="28" t="str">
        <f t="shared" si="1162"/>
        <v/>
      </c>
      <c r="BD786" s="15"/>
      <c r="BT786" s="113"/>
      <c r="BU786" s="16"/>
      <c r="BV786" s="54"/>
      <c r="BW786" s="13" t="str">
        <f t="shared" si="1178"/>
        <v/>
      </c>
      <c r="BX786" s="13"/>
      <c r="BY786" s="13"/>
      <c r="BZ786" s="13"/>
      <c r="CA786" s="13" t="str">
        <f t="shared" si="1179"/>
        <v/>
      </c>
      <c r="CB786" s="13"/>
      <c r="CC786" s="13"/>
      <c r="CD786" s="13"/>
      <c r="CE786" s="13" t="str">
        <f t="shared" si="1170"/>
        <v/>
      </c>
      <c r="CF786" s="14" t="str">
        <f t="shared" si="1171"/>
        <v/>
      </c>
      <c r="CG786" s="15"/>
      <c r="CH786" s="1"/>
      <c r="CI786" s="16"/>
      <c r="CJ786" s="54"/>
      <c r="CK786" s="13" t="str">
        <f t="shared" si="1180"/>
        <v/>
      </c>
      <c r="CL786" s="13"/>
      <c r="CM786" s="13"/>
      <c r="CN786" s="13"/>
      <c r="CO786" s="13" t="str">
        <f t="shared" si="1181"/>
        <v/>
      </c>
      <c r="CP786" s="13"/>
      <c r="CQ786" s="13"/>
      <c r="CR786" s="13"/>
      <c r="CS786" s="13" t="str">
        <f t="shared" si="1172"/>
        <v/>
      </c>
      <c r="CT786" s="14" t="str">
        <f t="shared" si="1177"/>
        <v/>
      </c>
      <c r="CU786" s="15"/>
      <c r="CV786" s="1"/>
      <c r="CW786" s="16"/>
      <c r="CX786" s="54"/>
      <c r="CY786" s="13" t="str">
        <f t="shared" si="1182"/>
        <v/>
      </c>
      <c r="CZ786" s="13"/>
      <c r="DA786" s="13"/>
      <c r="DB786" s="13"/>
      <c r="DC786" s="13" t="str">
        <f t="shared" si="1183"/>
        <v/>
      </c>
      <c r="DD786" s="13"/>
      <c r="DE786" s="13"/>
      <c r="DF786" s="13"/>
      <c r="DG786" s="13" t="str">
        <f t="shared" si="1173"/>
        <v/>
      </c>
      <c r="DH786" s="14" t="str">
        <f t="shared" si="1174"/>
        <v/>
      </c>
      <c r="DI786" s="15"/>
      <c r="DJ786" s="1"/>
      <c r="DK786" s="16"/>
      <c r="DL786" s="54"/>
      <c r="DM786" s="13" t="str">
        <f t="shared" si="1184"/>
        <v/>
      </c>
      <c r="DN786" s="13"/>
      <c r="DO786" s="13"/>
      <c r="DP786" s="13"/>
      <c r="DQ786" s="13" t="str">
        <f t="shared" si="1185"/>
        <v/>
      </c>
      <c r="DR786" s="13"/>
      <c r="DS786" s="13"/>
      <c r="DT786" s="13"/>
      <c r="DU786" s="13" t="str">
        <f t="shared" si="1175"/>
        <v/>
      </c>
      <c r="DV786" s="14" t="str">
        <f t="shared" si="1176"/>
        <v/>
      </c>
      <c r="DW786" s="15"/>
    </row>
    <row r="787" spans="1:127" ht="15" customHeight="1" thickTop="1" x14ac:dyDescent="0.2">
      <c r="A787" s="79"/>
      <c r="B787" s="74" t="str">
        <f>IF(A787="","",SUM(D787:D790)+SUM(R787:R790)+SUM(AF787:AF790)+SUM(AT787:AT790)+SUM(BW754,CK754,CY754,DM754))</f>
        <v/>
      </c>
      <c r="C787" s="53"/>
      <c r="D787" s="53" t="str">
        <f t="shared" si="1164"/>
        <v/>
      </c>
      <c r="E787" s="53"/>
      <c r="F787" s="31" t="str">
        <f t="shared" si="1165"/>
        <v/>
      </c>
      <c r="G787" s="53"/>
      <c r="H787" s="53" t="str">
        <f t="shared" si="1141"/>
        <v/>
      </c>
      <c r="I787" s="53"/>
      <c r="J787" s="75" t="str">
        <f t="shared" si="1142"/>
        <v/>
      </c>
      <c r="K787" s="76" t="str">
        <f t="shared" si="1143"/>
        <v/>
      </c>
      <c r="L787" s="31" t="str">
        <f t="shared" si="1144"/>
        <v/>
      </c>
      <c r="M787" s="32" t="str">
        <f t="shared" si="1145"/>
        <v/>
      </c>
      <c r="N787" s="15"/>
      <c r="O787" s="2"/>
      <c r="P787" s="79" t="str">
        <f>IF(A787="","",A787)</f>
        <v/>
      </c>
      <c r="Q787" s="53"/>
      <c r="R787" s="53" t="str">
        <f t="shared" si="1166"/>
        <v/>
      </c>
      <c r="S787" s="53"/>
      <c r="T787" s="31" t="str">
        <f t="shared" si="1167"/>
        <v/>
      </c>
      <c r="U787" s="53"/>
      <c r="V787" s="53" t="str">
        <f t="shared" si="1146"/>
        <v/>
      </c>
      <c r="W787" s="53"/>
      <c r="X787" s="75" t="str">
        <f t="shared" si="1147"/>
        <v/>
      </c>
      <c r="Y787" s="76" t="str">
        <f t="shared" si="1148"/>
        <v/>
      </c>
      <c r="Z787" s="31" t="str">
        <f t="shared" si="1149"/>
        <v/>
      </c>
      <c r="AA787" s="32" t="str">
        <f t="shared" si="1150"/>
        <v/>
      </c>
      <c r="AB787" s="15"/>
      <c r="AC787" s="15"/>
      <c r="AD787" s="79" t="str">
        <f>IF($A787="","",$A787)</f>
        <v/>
      </c>
      <c r="AE787" s="53"/>
      <c r="AF787" s="53" t="str">
        <f t="shared" si="1151"/>
        <v/>
      </c>
      <c r="AG787" s="53"/>
      <c r="AH787" s="31" t="str">
        <f t="shared" si="1152"/>
        <v/>
      </c>
      <c r="AI787" s="53"/>
      <c r="AJ787" s="53" t="str">
        <f t="shared" si="1153"/>
        <v/>
      </c>
      <c r="AK787" s="53"/>
      <c r="AL787" s="75" t="str">
        <f t="shared" si="1168"/>
        <v/>
      </c>
      <c r="AM787" s="76" t="str">
        <f t="shared" si="1169"/>
        <v/>
      </c>
      <c r="AN787" s="31" t="str">
        <f t="shared" si="1154"/>
        <v/>
      </c>
      <c r="AO787" s="32" t="str">
        <f t="shared" si="1155"/>
        <v/>
      </c>
      <c r="AP787" s="15"/>
      <c r="AQ787" s="113"/>
      <c r="AR787" s="79" t="str">
        <f>IF($A787="","",$A787)</f>
        <v/>
      </c>
      <c r="AS787" s="53"/>
      <c r="AT787" s="53" t="str">
        <f t="shared" si="1156"/>
        <v/>
      </c>
      <c r="AU787" s="53"/>
      <c r="AV787" s="31" t="str">
        <f t="shared" si="1157"/>
        <v/>
      </c>
      <c r="AW787" s="53"/>
      <c r="AX787" s="53" t="str">
        <f t="shared" si="1158"/>
        <v/>
      </c>
      <c r="AY787" s="53"/>
      <c r="AZ787" s="75" t="str">
        <f t="shared" si="1159"/>
        <v/>
      </c>
      <c r="BA787" s="76" t="str">
        <f t="shared" si="1160"/>
        <v/>
      </c>
      <c r="BB787" s="31" t="str">
        <f t="shared" si="1161"/>
        <v/>
      </c>
      <c r="BC787" s="32" t="str">
        <f t="shared" si="1162"/>
        <v/>
      </c>
      <c r="BD787" s="15"/>
      <c r="BT787" s="113"/>
      <c r="BU787" s="16"/>
      <c r="BV787" s="54"/>
      <c r="BW787" s="13" t="str">
        <f t="shared" si="1178"/>
        <v/>
      </c>
      <c r="BX787" s="13"/>
      <c r="BY787" s="13"/>
      <c r="BZ787" s="13"/>
      <c r="CA787" s="13" t="str">
        <f t="shared" si="1179"/>
        <v/>
      </c>
      <c r="CB787" s="13"/>
      <c r="CC787" s="13"/>
      <c r="CD787" s="13"/>
      <c r="CE787" s="13" t="str">
        <f t="shared" si="1170"/>
        <v/>
      </c>
      <c r="CF787" s="14" t="str">
        <f t="shared" si="1171"/>
        <v/>
      </c>
      <c r="CG787" s="15"/>
      <c r="CH787" s="1"/>
      <c r="CI787" s="16"/>
      <c r="CJ787" s="54"/>
      <c r="CK787" s="13" t="str">
        <f t="shared" si="1180"/>
        <v/>
      </c>
      <c r="CL787" s="13"/>
      <c r="CM787" s="13"/>
      <c r="CN787" s="13"/>
      <c r="CO787" s="13" t="str">
        <f t="shared" si="1181"/>
        <v/>
      </c>
      <c r="CP787" s="13"/>
      <c r="CQ787" s="13"/>
      <c r="CR787" s="13"/>
      <c r="CS787" s="13" t="str">
        <f t="shared" si="1172"/>
        <v/>
      </c>
      <c r="CT787" s="14" t="str">
        <f t="shared" si="1177"/>
        <v/>
      </c>
      <c r="CU787" s="15"/>
      <c r="CV787" s="1"/>
      <c r="CW787" s="16"/>
      <c r="CX787" s="54"/>
      <c r="CY787" s="13" t="str">
        <f t="shared" si="1182"/>
        <v/>
      </c>
      <c r="CZ787" s="13"/>
      <c r="DA787" s="13"/>
      <c r="DB787" s="13"/>
      <c r="DC787" s="13" t="str">
        <f t="shared" si="1183"/>
        <v/>
      </c>
      <c r="DD787" s="13"/>
      <c r="DE787" s="13"/>
      <c r="DF787" s="13"/>
      <c r="DG787" s="13" t="str">
        <f t="shared" si="1173"/>
        <v/>
      </c>
      <c r="DH787" s="14" t="str">
        <f t="shared" si="1174"/>
        <v/>
      </c>
      <c r="DI787" s="15"/>
      <c r="DJ787" s="1"/>
      <c r="DK787" s="16"/>
      <c r="DL787" s="54"/>
      <c r="DM787" s="13" t="str">
        <f t="shared" si="1184"/>
        <v/>
      </c>
      <c r="DN787" s="13"/>
      <c r="DO787" s="13"/>
      <c r="DP787" s="13"/>
      <c r="DQ787" s="13" t="str">
        <f t="shared" si="1185"/>
        <v/>
      </c>
      <c r="DR787" s="13"/>
      <c r="DS787" s="13"/>
      <c r="DT787" s="13"/>
      <c r="DU787" s="13" t="str">
        <f t="shared" si="1175"/>
        <v/>
      </c>
      <c r="DV787" s="14" t="str">
        <f t="shared" si="1176"/>
        <v/>
      </c>
      <c r="DW787" s="15"/>
    </row>
    <row r="788" spans="1:127" ht="15" customHeight="1" x14ac:dyDescent="0.2">
      <c r="A788" s="16"/>
      <c r="B788" s="11"/>
      <c r="C788" s="13"/>
      <c r="D788" s="53" t="str">
        <f t="shared" si="1164"/>
        <v/>
      </c>
      <c r="E788" s="13"/>
      <c r="F788" s="13" t="str">
        <f t="shared" si="1165"/>
        <v/>
      </c>
      <c r="G788" s="13"/>
      <c r="H788" s="13" t="str">
        <f t="shared" si="1141"/>
        <v/>
      </c>
      <c r="I788" s="13"/>
      <c r="J788" s="56" t="str">
        <f t="shared" si="1142"/>
        <v/>
      </c>
      <c r="K788" s="54" t="str">
        <f t="shared" si="1143"/>
        <v/>
      </c>
      <c r="L788" s="13" t="str">
        <f t="shared" si="1144"/>
        <v/>
      </c>
      <c r="M788" s="14" t="str">
        <f t="shared" si="1145"/>
        <v/>
      </c>
      <c r="N788" s="15"/>
      <c r="O788" s="2"/>
      <c r="P788" s="16"/>
      <c r="Q788" s="13"/>
      <c r="R788" s="53" t="str">
        <f t="shared" si="1166"/>
        <v/>
      </c>
      <c r="S788" s="13"/>
      <c r="T788" s="13" t="str">
        <f t="shared" si="1167"/>
        <v/>
      </c>
      <c r="U788" s="13"/>
      <c r="V788" s="13" t="str">
        <f t="shared" si="1146"/>
        <v/>
      </c>
      <c r="W788" s="13"/>
      <c r="X788" s="56" t="str">
        <f t="shared" si="1147"/>
        <v/>
      </c>
      <c r="Y788" s="54" t="str">
        <f t="shared" si="1148"/>
        <v/>
      </c>
      <c r="Z788" s="13" t="str">
        <f t="shared" si="1149"/>
        <v/>
      </c>
      <c r="AA788" s="14" t="str">
        <f t="shared" si="1150"/>
        <v/>
      </c>
      <c r="AB788" s="15"/>
      <c r="AC788" s="15"/>
      <c r="AD788" s="16"/>
      <c r="AE788" s="13"/>
      <c r="AF788" s="53" t="str">
        <f t="shared" si="1151"/>
        <v/>
      </c>
      <c r="AG788" s="13"/>
      <c r="AH788" s="13" t="str">
        <f t="shared" si="1152"/>
        <v/>
      </c>
      <c r="AI788" s="13"/>
      <c r="AJ788" s="13" t="str">
        <f t="shared" si="1153"/>
        <v/>
      </c>
      <c r="AK788" s="13"/>
      <c r="AL788" s="56" t="str">
        <f t="shared" si="1168"/>
        <v/>
      </c>
      <c r="AM788" s="54" t="str">
        <f t="shared" si="1169"/>
        <v/>
      </c>
      <c r="AN788" s="13" t="str">
        <f t="shared" si="1154"/>
        <v/>
      </c>
      <c r="AO788" s="14" t="str">
        <f t="shared" si="1155"/>
        <v/>
      </c>
      <c r="AP788" s="15"/>
      <c r="AQ788" s="113"/>
      <c r="AR788" s="16"/>
      <c r="AS788" s="13"/>
      <c r="AT788" s="53" t="str">
        <f t="shared" si="1156"/>
        <v/>
      </c>
      <c r="AU788" s="13"/>
      <c r="AV788" s="13" t="str">
        <f t="shared" si="1157"/>
        <v/>
      </c>
      <c r="AW788" s="13"/>
      <c r="AX788" s="13" t="str">
        <f t="shared" si="1158"/>
        <v/>
      </c>
      <c r="AY788" s="13"/>
      <c r="AZ788" s="56" t="str">
        <f t="shared" si="1159"/>
        <v/>
      </c>
      <c r="BA788" s="54" t="str">
        <f t="shared" si="1160"/>
        <v/>
      </c>
      <c r="BB788" s="13" t="str">
        <f t="shared" si="1161"/>
        <v/>
      </c>
      <c r="BC788" s="14" t="str">
        <f t="shared" si="1162"/>
        <v/>
      </c>
      <c r="BD788" s="15"/>
      <c r="BT788" s="113"/>
      <c r="BU788" s="16"/>
      <c r="BV788" s="54"/>
      <c r="BW788" s="13" t="str">
        <f t="shared" si="1178"/>
        <v/>
      </c>
      <c r="BX788" s="13"/>
      <c r="BY788" s="13"/>
      <c r="BZ788" s="13"/>
      <c r="CA788" s="13" t="str">
        <f t="shared" si="1179"/>
        <v/>
      </c>
      <c r="CB788" s="13"/>
      <c r="CC788" s="13"/>
      <c r="CD788" s="13"/>
      <c r="CE788" s="13" t="str">
        <f t="shared" si="1170"/>
        <v/>
      </c>
      <c r="CF788" s="14" t="str">
        <f t="shared" si="1171"/>
        <v/>
      </c>
      <c r="CG788" s="15"/>
      <c r="CH788" s="1"/>
      <c r="CI788" s="16"/>
      <c r="CJ788" s="54"/>
      <c r="CK788" s="13" t="str">
        <f t="shared" si="1180"/>
        <v/>
      </c>
      <c r="CL788" s="13"/>
      <c r="CM788" s="13"/>
      <c r="CN788" s="13"/>
      <c r="CO788" s="13" t="str">
        <f t="shared" si="1181"/>
        <v/>
      </c>
      <c r="CP788" s="13"/>
      <c r="CQ788" s="13"/>
      <c r="CR788" s="13"/>
      <c r="CS788" s="13" t="str">
        <f t="shared" si="1172"/>
        <v/>
      </c>
      <c r="CT788" s="14" t="str">
        <f t="shared" si="1177"/>
        <v/>
      </c>
      <c r="CU788" s="15"/>
      <c r="CV788" s="1"/>
      <c r="CW788" s="16"/>
      <c r="CX788" s="54"/>
      <c r="CY788" s="13" t="str">
        <f t="shared" si="1182"/>
        <v/>
      </c>
      <c r="CZ788" s="13"/>
      <c r="DA788" s="13"/>
      <c r="DB788" s="13"/>
      <c r="DC788" s="13" t="str">
        <f t="shared" si="1183"/>
        <v/>
      </c>
      <c r="DD788" s="13"/>
      <c r="DE788" s="13"/>
      <c r="DF788" s="13"/>
      <c r="DG788" s="13" t="str">
        <f t="shared" si="1173"/>
        <v/>
      </c>
      <c r="DH788" s="14" t="str">
        <f t="shared" si="1174"/>
        <v/>
      </c>
      <c r="DI788" s="15"/>
      <c r="DJ788" s="1"/>
      <c r="DK788" s="16"/>
      <c r="DL788" s="54"/>
      <c r="DM788" s="13" t="str">
        <f t="shared" si="1184"/>
        <v/>
      </c>
      <c r="DN788" s="13"/>
      <c r="DO788" s="13"/>
      <c r="DP788" s="13"/>
      <c r="DQ788" s="13" t="str">
        <f t="shared" si="1185"/>
        <v/>
      </c>
      <c r="DR788" s="13"/>
      <c r="DS788" s="13"/>
      <c r="DT788" s="13"/>
      <c r="DU788" s="13" t="str">
        <f t="shared" si="1175"/>
        <v/>
      </c>
      <c r="DV788" s="14" t="str">
        <f t="shared" si="1176"/>
        <v/>
      </c>
      <c r="DW788" s="15"/>
    </row>
    <row r="789" spans="1:127" ht="15" customHeight="1" x14ac:dyDescent="0.2">
      <c r="A789" s="16"/>
      <c r="B789" s="11"/>
      <c r="C789" s="13"/>
      <c r="D789" s="63" t="str">
        <f t="shared" si="1164"/>
        <v/>
      </c>
      <c r="E789" s="13"/>
      <c r="F789" s="13" t="str">
        <f t="shared" si="1165"/>
        <v/>
      </c>
      <c r="G789" s="13"/>
      <c r="H789" s="13" t="str">
        <f t="shared" si="1141"/>
        <v/>
      </c>
      <c r="I789" s="13"/>
      <c r="J789" s="56" t="str">
        <f t="shared" si="1142"/>
        <v/>
      </c>
      <c r="K789" s="13" t="str">
        <f t="shared" si="1143"/>
        <v/>
      </c>
      <c r="L789" s="13" t="str">
        <f t="shared" si="1144"/>
        <v/>
      </c>
      <c r="M789" s="14" t="str">
        <f t="shared" si="1145"/>
        <v/>
      </c>
      <c r="N789" s="15"/>
      <c r="O789" s="2"/>
      <c r="P789" s="16"/>
      <c r="Q789" s="13"/>
      <c r="R789" s="63" t="str">
        <f t="shared" si="1166"/>
        <v/>
      </c>
      <c r="S789" s="13"/>
      <c r="T789" s="13" t="str">
        <f t="shared" si="1167"/>
        <v/>
      </c>
      <c r="U789" s="13"/>
      <c r="V789" s="13" t="str">
        <f t="shared" si="1146"/>
        <v/>
      </c>
      <c r="W789" s="13"/>
      <c r="X789" s="56" t="str">
        <f t="shared" si="1147"/>
        <v/>
      </c>
      <c r="Y789" s="13" t="str">
        <f t="shared" si="1148"/>
        <v/>
      </c>
      <c r="Z789" s="13" t="str">
        <f t="shared" si="1149"/>
        <v/>
      </c>
      <c r="AA789" s="14" t="str">
        <f t="shared" si="1150"/>
        <v/>
      </c>
      <c r="AB789" s="15"/>
      <c r="AC789" s="15"/>
      <c r="AD789" s="16"/>
      <c r="AE789" s="13"/>
      <c r="AF789" s="63" t="str">
        <f t="shared" si="1151"/>
        <v/>
      </c>
      <c r="AG789" s="13"/>
      <c r="AH789" s="13" t="str">
        <f t="shared" si="1152"/>
        <v/>
      </c>
      <c r="AI789" s="13"/>
      <c r="AJ789" s="13" t="str">
        <f t="shared" si="1153"/>
        <v/>
      </c>
      <c r="AK789" s="13"/>
      <c r="AL789" s="56" t="str">
        <f t="shared" si="1168"/>
        <v/>
      </c>
      <c r="AM789" s="13" t="str">
        <f t="shared" si="1169"/>
        <v/>
      </c>
      <c r="AN789" s="13" t="str">
        <f t="shared" si="1154"/>
        <v/>
      </c>
      <c r="AO789" s="14" t="str">
        <f t="shared" si="1155"/>
        <v/>
      </c>
      <c r="AP789" s="15"/>
      <c r="AQ789" s="113"/>
      <c r="AR789" s="16"/>
      <c r="AS789" s="13"/>
      <c r="AT789" s="63" t="str">
        <f t="shared" si="1156"/>
        <v/>
      </c>
      <c r="AU789" s="13"/>
      <c r="AV789" s="13" t="str">
        <f t="shared" si="1157"/>
        <v/>
      </c>
      <c r="AW789" s="13"/>
      <c r="AX789" s="13" t="str">
        <f t="shared" si="1158"/>
        <v/>
      </c>
      <c r="AY789" s="13"/>
      <c r="AZ789" s="56" t="str">
        <f t="shared" si="1159"/>
        <v/>
      </c>
      <c r="BA789" s="13" t="str">
        <f t="shared" si="1160"/>
        <v/>
      </c>
      <c r="BB789" s="13" t="str">
        <f t="shared" si="1161"/>
        <v/>
      </c>
      <c r="BC789" s="14" t="str">
        <f t="shared" si="1162"/>
        <v/>
      </c>
      <c r="BD789" s="15"/>
      <c r="BT789" s="113"/>
      <c r="BU789" s="16"/>
      <c r="BV789" s="54"/>
      <c r="BW789" s="13" t="str">
        <f t="shared" si="1178"/>
        <v/>
      </c>
      <c r="BX789" s="13"/>
      <c r="BY789" s="13"/>
      <c r="BZ789" s="13"/>
      <c r="CA789" s="13" t="str">
        <f t="shared" si="1179"/>
        <v/>
      </c>
      <c r="CB789" s="13"/>
      <c r="CC789" s="13"/>
      <c r="CD789" s="13"/>
      <c r="CE789" s="13" t="str">
        <f t="shared" si="1170"/>
        <v/>
      </c>
      <c r="CF789" s="14" t="str">
        <f t="shared" si="1171"/>
        <v/>
      </c>
      <c r="CG789" s="15"/>
      <c r="CH789" s="1"/>
      <c r="CI789" s="16"/>
      <c r="CJ789" s="54"/>
      <c r="CK789" s="13" t="str">
        <f t="shared" si="1180"/>
        <v/>
      </c>
      <c r="CL789" s="13"/>
      <c r="CM789" s="13"/>
      <c r="CN789" s="13"/>
      <c r="CO789" s="13" t="str">
        <f t="shared" si="1181"/>
        <v/>
      </c>
      <c r="CP789" s="13"/>
      <c r="CQ789" s="13"/>
      <c r="CR789" s="13"/>
      <c r="CS789" s="13" t="str">
        <f t="shared" si="1172"/>
        <v/>
      </c>
      <c r="CT789" s="14" t="str">
        <f t="shared" si="1177"/>
        <v/>
      </c>
      <c r="CU789" s="15"/>
      <c r="CV789" s="1"/>
      <c r="CW789" s="16"/>
      <c r="CX789" s="54"/>
      <c r="CY789" s="13" t="str">
        <f t="shared" si="1182"/>
        <v/>
      </c>
      <c r="CZ789" s="13"/>
      <c r="DA789" s="13"/>
      <c r="DB789" s="13"/>
      <c r="DC789" s="13" t="str">
        <f t="shared" si="1183"/>
        <v/>
      </c>
      <c r="DD789" s="13"/>
      <c r="DE789" s="13"/>
      <c r="DF789" s="13"/>
      <c r="DG789" s="13" t="str">
        <f t="shared" si="1173"/>
        <v/>
      </c>
      <c r="DH789" s="14" t="str">
        <f t="shared" si="1174"/>
        <v/>
      </c>
      <c r="DI789" s="15"/>
      <c r="DJ789" s="1"/>
      <c r="DK789" s="16"/>
      <c r="DL789" s="54"/>
      <c r="DM789" s="13" t="str">
        <f t="shared" si="1184"/>
        <v/>
      </c>
      <c r="DN789" s="13"/>
      <c r="DO789" s="13"/>
      <c r="DP789" s="13"/>
      <c r="DQ789" s="13" t="str">
        <f t="shared" si="1185"/>
        <v/>
      </c>
      <c r="DR789" s="13"/>
      <c r="DS789" s="13"/>
      <c r="DT789" s="13"/>
      <c r="DU789" s="13" t="str">
        <f t="shared" si="1175"/>
        <v/>
      </c>
      <c r="DV789" s="14" t="str">
        <f t="shared" si="1176"/>
        <v/>
      </c>
      <c r="DW789" s="15"/>
    </row>
    <row r="790" spans="1:127" ht="15" customHeight="1" thickBot="1" x14ac:dyDescent="0.25">
      <c r="A790" s="26"/>
      <c r="B790" s="46"/>
      <c r="C790" s="27"/>
      <c r="D790" s="61" t="str">
        <f t="shared" si="1164"/>
        <v/>
      </c>
      <c r="E790" s="62"/>
      <c r="F790" s="27" t="str">
        <f t="shared" si="1165"/>
        <v/>
      </c>
      <c r="G790" s="27"/>
      <c r="H790" s="27" t="str">
        <f t="shared" si="1141"/>
        <v/>
      </c>
      <c r="I790" s="27"/>
      <c r="J790" s="57" t="str">
        <f t="shared" si="1142"/>
        <v/>
      </c>
      <c r="K790" s="62" t="str">
        <f t="shared" si="1143"/>
        <v/>
      </c>
      <c r="L790" s="27" t="str">
        <f t="shared" si="1144"/>
        <v/>
      </c>
      <c r="M790" s="28" t="str">
        <f t="shared" si="1145"/>
        <v/>
      </c>
      <c r="N790" s="15"/>
      <c r="O790" s="2"/>
      <c r="P790" s="26"/>
      <c r="Q790" s="27"/>
      <c r="R790" s="61" t="str">
        <f t="shared" si="1166"/>
        <v/>
      </c>
      <c r="S790" s="62"/>
      <c r="T790" s="27" t="str">
        <f t="shared" si="1167"/>
        <v/>
      </c>
      <c r="U790" s="27"/>
      <c r="V790" s="27" t="str">
        <f t="shared" si="1146"/>
        <v/>
      </c>
      <c r="W790" s="27"/>
      <c r="X790" s="57" t="str">
        <f t="shared" si="1147"/>
        <v/>
      </c>
      <c r="Y790" s="62" t="str">
        <f t="shared" si="1148"/>
        <v/>
      </c>
      <c r="Z790" s="27" t="str">
        <f t="shared" si="1149"/>
        <v/>
      </c>
      <c r="AA790" s="28" t="str">
        <f t="shared" si="1150"/>
        <v/>
      </c>
      <c r="AB790" s="15"/>
      <c r="AC790" s="15"/>
      <c r="AD790" s="26"/>
      <c r="AE790" s="27"/>
      <c r="AF790" s="61" t="str">
        <f t="shared" si="1151"/>
        <v/>
      </c>
      <c r="AG790" s="62"/>
      <c r="AH790" s="27" t="str">
        <f t="shared" si="1152"/>
        <v/>
      </c>
      <c r="AI790" s="27"/>
      <c r="AJ790" s="27" t="str">
        <f t="shared" si="1153"/>
        <v/>
      </c>
      <c r="AK790" s="27"/>
      <c r="AL790" s="57" t="str">
        <f t="shared" si="1168"/>
        <v/>
      </c>
      <c r="AM790" s="62" t="str">
        <f t="shared" si="1169"/>
        <v/>
      </c>
      <c r="AN790" s="27" t="str">
        <f t="shared" si="1154"/>
        <v/>
      </c>
      <c r="AO790" s="28" t="str">
        <f t="shared" si="1155"/>
        <v/>
      </c>
      <c r="AP790" s="15"/>
      <c r="AQ790" s="113"/>
      <c r="AR790" s="26"/>
      <c r="AS790" s="27"/>
      <c r="AT790" s="61" t="str">
        <f t="shared" si="1156"/>
        <v/>
      </c>
      <c r="AU790" s="62"/>
      <c r="AV790" s="27" t="str">
        <f t="shared" si="1157"/>
        <v/>
      </c>
      <c r="AW790" s="27"/>
      <c r="AX790" s="27" t="str">
        <f t="shared" si="1158"/>
        <v/>
      </c>
      <c r="AY790" s="27"/>
      <c r="AZ790" s="57" t="str">
        <f t="shared" si="1159"/>
        <v/>
      </c>
      <c r="BA790" s="62" t="str">
        <f t="shared" si="1160"/>
        <v/>
      </c>
      <c r="BB790" s="27" t="str">
        <f t="shared" si="1161"/>
        <v/>
      </c>
      <c r="BC790" s="28" t="str">
        <f t="shared" si="1162"/>
        <v/>
      </c>
      <c r="BD790" s="15"/>
      <c r="BT790" s="113"/>
      <c r="BU790" s="16"/>
      <c r="BV790" s="54"/>
      <c r="BW790" s="13" t="str">
        <f t="shared" si="1178"/>
        <v/>
      </c>
      <c r="BX790" s="13"/>
      <c r="BY790" s="13"/>
      <c r="BZ790" s="13"/>
      <c r="CA790" s="13" t="str">
        <f t="shared" si="1179"/>
        <v/>
      </c>
      <c r="CB790" s="13"/>
      <c r="CC790" s="13"/>
      <c r="CD790" s="13"/>
      <c r="CE790" s="13" t="str">
        <f t="shared" si="1170"/>
        <v/>
      </c>
      <c r="CF790" s="14" t="str">
        <f t="shared" si="1171"/>
        <v/>
      </c>
      <c r="CG790" s="15"/>
      <c r="CH790" s="1"/>
      <c r="CI790" s="16"/>
      <c r="CJ790" s="54"/>
      <c r="CK790" s="13" t="str">
        <f t="shared" si="1180"/>
        <v/>
      </c>
      <c r="CL790" s="13"/>
      <c r="CM790" s="13"/>
      <c r="CN790" s="13"/>
      <c r="CO790" s="13" t="str">
        <f t="shared" si="1181"/>
        <v/>
      </c>
      <c r="CP790" s="13"/>
      <c r="CQ790" s="13"/>
      <c r="CR790" s="13"/>
      <c r="CS790" s="13" t="str">
        <f t="shared" si="1172"/>
        <v/>
      </c>
      <c r="CT790" s="14" t="str">
        <f t="shared" si="1177"/>
        <v/>
      </c>
      <c r="CU790" s="15"/>
      <c r="CV790" s="1"/>
      <c r="CW790" s="16"/>
      <c r="CX790" s="54"/>
      <c r="CY790" s="13" t="str">
        <f t="shared" si="1182"/>
        <v/>
      </c>
      <c r="CZ790" s="13"/>
      <c r="DA790" s="13"/>
      <c r="DB790" s="13"/>
      <c r="DC790" s="13" t="str">
        <f t="shared" si="1183"/>
        <v/>
      </c>
      <c r="DD790" s="13"/>
      <c r="DE790" s="13"/>
      <c r="DF790" s="13"/>
      <c r="DG790" s="13" t="str">
        <f t="shared" si="1173"/>
        <v/>
      </c>
      <c r="DH790" s="14" t="str">
        <f t="shared" si="1174"/>
        <v/>
      </c>
      <c r="DI790" s="15"/>
      <c r="DJ790" s="1"/>
      <c r="DK790" s="16"/>
      <c r="DL790" s="54"/>
      <c r="DM790" s="13" t="str">
        <f t="shared" si="1184"/>
        <v/>
      </c>
      <c r="DN790" s="13"/>
      <c r="DO790" s="13"/>
      <c r="DP790" s="13"/>
      <c r="DQ790" s="13" t="str">
        <f t="shared" si="1185"/>
        <v/>
      </c>
      <c r="DR790" s="13"/>
      <c r="DS790" s="13"/>
      <c r="DT790" s="13"/>
      <c r="DU790" s="13" t="str">
        <f t="shared" si="1175"/>
        <v/>
      </c>
      <c r="DV790" s="14" t="str">
        <f t="shared" si="1176"/>
        <v/>
      </c>
      <c r="DW790" s="15"/>
    </row>
    <row r="791" spans="1:127" ht="15" customHeight="1" thickTop="1" x14ac:dyDescent="0.2">
      <c r="A791" s="79"/>
      <c r="B791" s="74" t="str">
        <f>IF(A791="","",SUM(D791:D794)+SUM(R791:R794)+SUM(AF791:AF794)+SUM(AT791:AT794)+SUM(BW755,CK755,CY755,DM755))</f>
        <v/>
      </c>
      <c r="C791" s="53"/>
      <c r="D791" s="53" t="str">
        <f t="shared" si="1164"/>
        <v/>
      </c>
      <c r="E791" s="53"/>
      <c r="F791" s="31" t="str">
        <f t="shared" si="1165"/>
        <v/>
      </c>
      <c r="G791" s="53"/>
      <c r="H791" s="53" t="str">
        <f t="shared" si="1141"/>
        <v/>
      </c>
      <c r="I791" s="53"/>
      <c r="J791" s="75" t="str">
        <f t="shared" si="1142"/>
        <v/>
      </c>
      <c r="K791" s="76" t="str">
        <f t="shared" si="1143"/>
        <v/>
      </c>
      <c r="L791" s="31" t="str">
        <f t="shared" si="1144"/>
        <v/>
      </c>
      <c r="M791" s="32" t="str">
        <f t="shared" si="1145"/>
        <v/>
      </c>
      <c r="N791" s="15"/>
      <c r="O791" s="2"/>
      <c r="P791" s="79" t="str">
        <f>IF(A791="","",A791)</f>
        <v/>
      </c>
      <c r="Q791" s="53"/>
      <c r="R791" s="53" t="str">
        <f t="shared" si="1166"/>
        <v/>
      </c>
      <c r="S791" s="53"/>
      <c r="T791" s="31" t="str">
        <f t="shared" si="1167"/>
        <v/>
      </c>
      <c r="U791" s="53"/>
      <c r="V791" s="53" t="str">
        <f t="shared" si="1146"/>
        <v/>
      </c>
      <c r="W791" s="53"/>
      <c r="X791" s="75" t="str">
        <f t="shared" si="1147"/>
        <v/>
      </c>
      <c r="Y791" s="76" t="str">
        <f t="shared" si="1148"/>
        <v/>
      </c>
      <c r="Z791" s="31" t="str">
        <f t="shared" si="1149"/>
        <v/>
      </c>
      <c r="AA791" s="32" t="str">
        <f t="shared" si="1150"/>
        <v/>
      </c>
      <c r="AB791" s="15"/>
      <c r="AD791" s="79" t="str">
        <f>IF($A791="","",$A791)</f>
        <v/>
      </c>
      <c r="AE791" s="53"/>
      <c r="AF791" s="53" t="str">
        <f t="shared" si="1151"/>
        <v/>
      </c>
      <c r="AG791" s="53"/>
      <c r="AH791" s="31" t="str">
        <f t="shared" si="1152"/>
        <v/>
      </c>
      <c r="AI791" s="53"/>
      <c r="AJ791" s="53" t="str">
        <f t="shared" si="1153"/>
        <v/>
      </c>
      <c r="AK791" s="53"/>
      <c r="AL791" s="75" t="str">
        <f t="shared" si="1168"/>
        <v/>
      </c>
      <c r="AM791" s="76" t="str">
        <f t="shared" si="1169"/>
        <v/>
      </c>
      <c r="AN791" s="31" t="str">
        <f t="shared" si="1154"/>
        <v/>
      </c>
      <c r="AO791" s="32" t="str">
        <f t="shared" si="1155"/>
        <v/>
      </c>
      <c r="AP791" s="15"/>
      <c r="AQ791" s="115"/>
      <c r="AR791" s="79" t="str">
        <f>IF($A791="","",$A791)</f>
        <v/>
      </c>
      <c r="AS791" s="53"/>
      <c r="AT791" s="53" t="str">
        <f t="shared" si="1156"/>
        <v/>
      </c>
      <c r="AU791" s="53"/>
      <c r="AV791" s="31" t="str">
        <f t="shared" si="1157"/>
        <v/>
      </c>
      <c r="AW791" s="53"/>
      <c r="AX791" s="53" t="str">
        <f t="shared" si="1158"/>
        <v/>
      </c>
      <c r="AY791" s="53"/>
      <c r="AZ791" s="75" t="str">
        <f t="shared" si="1159"/>
        <v/>
      </c>
      <c r="BA791" s="76" t="str">
        <f t="shared" si="1160"/>
        <v/>
      </c>
      <c r="BB791" s="31" t="str">
        <f t="shared" si="1161"/>
        <v/>
      </c>
      <c r="BC791" s="32" t="str">
        <f t="shared" si="1162"/>
        <v/>
      </c>
      <c r="BD791" s="15"/>
      <c r="BT791" s="114"/>
      <c r="BU791" s="16"/>
      <c r="BV791" s="54"/>
      <c r="BW791" s="13"/>
      <c r="BX791" s="13"/>
      <c r="BY791" s="13"/>
      <c r="BZ791" s="13"/>
      <c r="CA791" s="13"/>
      <c r="CB791" s="13"/>
      <c r="CC791" s="13"/>
      <c r="CD791" s="13"/>
      <c r="CE791" s="13"/>
      <c r="CF791" s="14"/>
      <c r="CG791" s="15"/>
      <c r="CH791" s="1"/>
      <c r="CI791" s="16"/>
      <c r="CJ791" s="54"/>
      <c r="CK791" s="13"/>
      <c r="CL791" s="13"/>
      <c r="CM791" s="13"/>
      <c r="CN791" s="13"/>
      <c r="CO791" s="13"/>
      <c r="CP791" s="13"/>
      <c r="CQ791" s="13"/>
      <c r="CR791" s="13"/>
      <c r="CS791" s="13"/>
      <c r="CT791" s="14"/>
      <c r="CU791" s="15"/>
      <c r="CV791" s="1"/>
      <c r="CW791" s="16"/>
      <c r="CX791" s="54"/>
      <c r="CY791" s="13"/>
      <c r="CZ791" s="13"/>
      <c r="DA791" s="13"/>
      <c r="DB791" s="13"/>
      <c r="DC791" s="13"/>
      <c r="DD791" s="13"/>
      <c r="DE791" s="13"/>
      <c r="DF791" s="13"/>
      <c r="DG791" s="13"/>
      <c r="DH791" s="14"/>
      <c r="DI791" s="15"/>
      <c r="DJ791" s="1"/>
      <c r="DK791" s="16"/>
      <c r="DL791" s="54"/>
      <c r="DM791" s="13"/>
      <c r="DN791" s="13"/>
      <c r="DO791" s="13"/>
      <c r="DP791" s="13"/>
      <c r="DQ791" s="13"/>
      <c r="DR791" s="13"/>
      <c r="DS791" s="13"/>
      <c r="DT791" s="13"/>
      <c r="DU791" s="13"/>
      <c r="DV791" s="14"/>
      <c r="DW791" s="15"/>
    </row>
    <row r="792" spans="1:127" ht="15" customHeight="1" x14ac:dyDescent="0.2">
      <c r="A792" s="16"/>
      <c r="B792" s="11"/>
      <c r="C792" s="13"/>
      <c r="D792" s="13" t="str">
        <f t="shared" si="1164"/>
        <v/>
      </c>
      <c r="E792" s="13"/>
      <c r="F792" s="13" t="str">
        <f t="shared" si="1165"/>
        <v/>
      </c>
      <c r="G792" s="13"/>
      <c r="H792" s="50" t="str">
        <f t="shared" si="1141"/>
        <v/>
      </c>
      <c r="I792" s="13"/>
      <c r="J792" s="56" t="str">
        <f t="shared" si="1142"/>
        <v/>
      </c>
      <c r="K792" s="54" t="str">
        <f t="shared" si="1143"/>
        <v/>
      </c>
      <c r="L792" s="13" t="str">
        <f t="shared" si="1144"/>
        <v/>
      </c>
      <c r="M792" s="14" t="str">
        <f t="shared" si="1145"/>
        <v/>
      </c>
      <c r="N792" s="15"/>
      <c r="O792" s="2"/>
      <c r="P792" s="16"/>
      <c r="Q792" s="13"/>
      <c r="R792" s="13" t="str">
        <f t="shared" si="1166"/>
        <v/>
      </c>
      <c r="S792" s="13"/>
      <c r="T792" s="13" t="str">
        <f t="shared" si="1167"/>
        <v/>
      </c>
      <c r="U792" s="13"/>
      <c r="V792" s="50" t="str">
        <f t="shared" si="1146"/>
        <v/>
      </c>
      <c r="W792" s="13"/>
      <c r="X792" s="56" t="str">
        <f t="shared" si="1147"/>
        <v/>
      </c>
      <c r="Y792" s="54" t="str">
        <f t="shared" si="1148"/>
        <v/>
      </c>
      <c r="Z792" s="13" t="str">
        <f t="shared" si="1149"/>
        <v/>
      </c>
      <c r="AA792" s="14" t="str">
        <f t="shared" si="1150"/>
        <v/>
      </c>
      <c r="AB792" s="15"/>
      <c r="AD792" s="16"/>
      <c r="AE792" s="13"/>
      <c r="AF792" s="13" t="str">
        <f t="shared" si="1151"/>
        <v/>
      </c>
      <c r="AG792" s="13"/>
      <c r="AH792" s="13" t="str">
        <f t="shared" si="1152"/>
        <v/>
      </c>
      <c r="AI792" s="13"/>
      <c r="AJ792" s="50" t="str">
        <f t="shared" si="1153"/>
        <v/>
      </c>
      <c r="AK792" s="13"/>
      <c r="AL792" s="56" t="str">
        <f t="shared" si="1168"/>
        <v/>
      </c>
      <c r="AM792" s="54" t="str">
        <f t="shared" si="1169"/>
        <v/>
      </c>
      <c r="AN792" s="13" t="str">
        <f t="shared" si="1154"/>
        <v/>
      </c>
      <c r="AO792" s="14" t="str">
        <f t="shared" si="1155"/>
        <v/>
      </c>
      <c r="AP792" s="15"/>
      <c r="AQ792" s="115"/>
      <c r="AR792" s="16"/>
      <c r="AS792" s="13"/>
      <c r="AT792" s="13" t="str">
        <f t="shared" si="1156"/>
        <v/>
      </c>
      <c r="AU792" s="13"/>
      <c r="AV792" s="13" t="str">
        <f t="shared" si="1157"/>
        <v/>
      </c>
      <c r="AW792" s="13"/>
      <c r="AX792" s="50" t="str">
        <f t="shared" si="1158"/>
        <v/>
      </c>
      <c r="AY792" s="13"/>
      <c r="AZ792" s="56" t="str">
        <f t="shared" si="1159"/>
        <v/>
      </c>
      <c r="BA792" s="54" t="str">
        <f t="shared" si="1160"/>
        <v/>
      </c>
      <c r="BB792" s="13" t="str">
        <f t="shared" si="1161"/>
        <v/>
      </c>
      <c r="BC792" s="14" t="str">
        <f t="shared" si="1162"/>
        <v/>
      </c>
      <c r="BD792" s="15"/>
      <c r="BT792" s="114"/>
      <c r="BU792" s="16"/>
      <c r="BV792" s="54"/>
      <c r="BW792" s="13" t="str">
        <f>IF(BV792="","",BV792-#REF!)</f>
        <v/>
      </c>
      <c r="BX792" s="13"/>
      <c r="BY792" s="13"/>
      <c r="BZ792" s="13"/>
      <c r="CA792" s="13" t="str">
        <f>IF(BZ792="","",#REF!+#REF!-BZ792)</f>
        <v/>
      </c>
      <c r="CB792" s="13"/>
      <c r="CC792" s="13"/>
      <c r="CD792" s="13"/>
      <c r="CE792" s="13" t="str">
        <f>IF(CD792="","",CA792*CD792)</f>
        <v/>
      </c>
      <c r="CF792" s="14" t="str">
        <f>IF(CE792="","",CE792/(BW792*100))</f>
        <v/>
      </c>
      <c r="CG792" s="15"/>
      <c r="CH792" s="1"/>
      <c r="CI792" s="16"/>
      <c r="CJ792" s="54"/>
      <c r="CK792" s="13" t="str">
        <f>IF(CJ792="","",CJ792-#REF!)</f>
        <v/>
      </c>
      <c r="CL792" s="13"/>
      <c r="CM792" s="13"/>
      <c r="CN792" s="13"/>
      <c r="CO792" s="13" t="str">
        <f>IF(CN792="","",#REF!+#REF!-CN792)</f>
        <v/>
      </c>
      <c r="CP792" s="13"/>
      <c r="CQ792" s="13"/>
      <c r="CR792" s="13"/>
      <c r="CS792" s="13" t="str">
        <f>IF(CR792="","",CO792*CR792)</f>
        <v/>
      </c>
      <c r="CT792" s="14" t="str">
        <f>IF(CS792="","",CS792/(CK792*100))</f>
        <v/>
      </c>
      <c r="CU792" s="15"/>
      <c r="CV792" s="1"/>
      <c r="CW792" s="16"/>
      <c r="CX792" s="54"/>
      <c r="CY792" s="13" t="str">
        <f>IF(CX792="","",CX792-#REF!)</f>
        <v/>
      </c>
      <c r="CZ792" s="13"/>
      <c r="DA792" s="13"/>
      <c r="DB792" s="13"/>
      <c r="DC792" s="13" t="str">
        <f>IF(DB792="","",#REF!+#REF!-DB792)</f>
        <v/>
      </c>
      <c r="DD792" s="13"/>
      <c r="DE792" s="13"/>
      <c r="DF792" s="13"/>
      <c r="DG792" s="13" t="str">
        <f>IF(DF792="","",DC792*DF792)</f>
        <v/>
      </c>
      <c r="DH792" s="14" t="str">
        <f>IF(DG792="","",DG792/(CY792*100))</f>
        <v/>
      </c>
      <c r="DI792" s="15"/>
      <c r="DJ792" s="1"/>
      <c r="DK792" s="16"/>
      <c r="DL792" s="54"/>
      <c r="DM792" s="13" t="str">
        <f>IF(DL792="","",DL792-#REF!)</f>
        <v/>
      </c>
      <c r="DN792" s="13"/>
      <c r="DO792" s="13"/>
      <c r="DP792" s="13"/>
      <c r="DQ792" s="13" t="str">
        <f>IF(DP792="","",#REF!+#REF!-DP792)</f>
        <v/>
      </c>
      <c r="DR792" s="13"/>
      <c r="DS792" s="13"/>
      <c r="DT792" s="13"/>
      <c r="DU792" s="13" t="str">
        <f>IF(DT792="","",DQ792*DT792)</f>
        <v/>
      </c>
      <c r="DV792" s="14" t="str">
        <f>IF(DU792="","",DU792/(DM792*100))</f>
        <v/>
      </c>
      <c r="DW792" s="15"/>
    </row>
    <row r="793" spans="1:127" ht="15" customHeight="1" x14ac:dyDescent="0.2">
      <c r="A793" s="16"/>
      <c r="B793" s="11"/>
      <c r="C793" s="13"/>
      <c r="D793" s="13" t="str">
        <f t="shared" si="1164"/>
        <v/>
      </c>
      <c r="E793" s="13"/>
      <c r="F793" s="13" t="str">
        <f t="shared" si="1165"/>
        <v/>
      </c>
      <c r="G793" s="13"/>
      <c r="H793" s="13" t="str">
        <f t="shared" si="1141"/>
        <v/>
      </c>
      <c r="I793" s="13"/>
      <c r="J793" s="56" t="str">
        <f t="shared" si="1142"/>
        <v/>
      </c>
      <c r="K793" s="13" t="str">
        <f t="shared" si="1143"/>
        <v/>
      </c>
      <c r="L793" s="13" t="str">
        <f t="shared" si="1144"/>
        <v/>
      </c>
      <c r="M793" s="14" t="str">
        <f t="shared" si="1145"/>
        <v/>
      </c>
      <c r="N793" s="15"/>
      <c r="O793" s="2"/>
      <c r="P793" s="16"/>
      <c r="Q793" s="13"/>
      <c r="R793" s="13" t="str">
        <f t="shared" si="1166"/>
        <v/>
      </c>
      <c r="S793" s="13"/>
      <c r="T793" s="13" t="str">
        <f t="shared" si="1167"/>
        <v/>
      </c>
      <c r="U793" s="13"/>
      <c r="V793" s="13" t="str">
        <f t="shared" si="1146"/>
        <v/>
      </c>
      <c r="W793" s="13"/>
      <c r="X793" s="56" t="str">
        <f t="shared" si="1147"/>
        <v/>
      </c>
      <c r="Y793" s="13" t="str">
        <f t="shared" si="1148"/>
        <v/>
      </c>
      <c r="Z793" s="13" t="str">
        <f t="shared" si="1149"/>
        <v/>
      </c>
      <c r="AA793" s="14" t="str">
        <f t="shared" si="1150"/>
        <v/>
      </c>
      <c r="AB793" s="15"/>
      <c r="AD793" s="16"/>
      <c r="AE793" s="13"/>
      <c r="AF793" s="13" t="str">
        <f t="shared" si="1151"/>
        <v/>
      </c>
      <c r="AG793" s="13"/>
      <c r="AH793" s="13" t="str">
        <f t="shared" si="1152"/>
        <v/>
      </c>
      <c r="AI793" s="13"/>
      <c r="AJ793" s="13" t="str">
        <f t="shared" si="1153"/>
        <v/>
      </c>
      <c r="AK793" s="13"/>
      <c r="AL793" s="56" t="str">
        <f t="shared" si="1168"/>
        <v/>
      </c>
      <c r="AM793" s="13" t="str">
        <f t="shared" si="1169"/>
        <v/>
      </c>
      <c r="AN793" s="13" t="str">
        <f t="shared" si="1154"/>
        <v/>
      </c>
      <c r="AO793" s="14" t="str">
        <f t="shared" si="1155"/>
        <v/>
      </c>
      <c r="AP793" s="15"/>
      <c r="AQ793" s="115"/>
      <c r="AR793" s="16"/>
      <c r="AS793" s="13"/>
      <c r="AT793" s="13" t="str">
        <f t="shared" si="1156"/>
        <v/>
      </c>
      <c r="AU793" s="13"/>
      <c r="AV793" s="13" t="str">
        <f t="shared" si="1157"/>
        <v/>
      </c>
      <c r="AW793" s="13"/>
      <c r="AX793" s="13" t="str">
        <f t="shared" si="1158"/>
        <v/>
      </c>
      <c r="AY793" s="13"/>
      <c r="AZ793" s="56" t="str">
        <f t="shared" si="1159"/>
        <v/>
      </c>
      <c r="BA793" s="13" t="str">
        <f t="shared" si="1160"/>
        <v/>
      </c>
      <c r="BB793" s="13" t="str">
        <f t="shared" si="1161"/>
        <v/>
      </c>
      <c r="BC793" s="14" t="str">
        <f t="shared" si="1162"/>
        <v/>
      </c>
      <c r="BD793" s="15"/>
      <c r="BU793" s="16"/>
      <c r="BV793" s="54"/>
      <c r="BW793" s="13" t="str">
        <f>IF(BV793="","",BV793-BV792)</f>
        <v/>
      </c>
      <c r="BX793" s="13"/>
      <c r="BY793" s="13"/>
      <c r="BZ793" s="13"/>
      <c r="CA793" s="13" t="str">
        <f>IF(BZ793="","",BZ792+CB792-BZ793)</f>
        <v/>
      </c>
      <c r="CB793" s="13"/>
      <c r="CC793" s="13"/>
      <c r="CD793" s="13"/>
      <c r="CE793" s="13" t="str">
        <f>IF(CD793="","",CA793*CD793)</f>
        <v/>
      </c>
      <c r="CF793" s="14" t="str">
        <f>IF(CE793="","",CE793/(BW793*100))</f>
        <v/>
      </c>
      <c r="CG793" s="15"/>
      <c r="CH793" s="1"/>
      <c r="CI793" s="16"/>
      <c r="CJ793" s="54"/>
      <c r="CK793" s="13" t="str">
        <f>IF(CJ793="","",CJ793-CJ792)</f>
        <v/>
      </c>
      <c r="CL793" s="13"/>
      <c r="CM793" s="13"/>
      <c r="CN793" s="13"/>
      <c r="CO793" s="13" t="str">
        <f>IF(CN793="","",CN792+CP792-CN793)</f>
        <v/>
      </c>
      <c r="CP793" s="13"/>
      <c r="CQ793" s="13"/>
      <c r="CR793" s="13"/>
      <c r="CS793" s="13" t="str">
        <f>IF(CR793="","",CO793*CR793)</f>
        <v/>
      </c>
      <c r="CT793" s="14" t="str">
        <f>IF(CS793="","",CS793/(CK793*100))</f>
        <v/>
      </c>
      <c r="CU793" s="15"/>
      <c r="CV793" s="1"/>
      <c r="CW793" s="16"/>
      <c r="CX793" s="54"/>
      <c r="CY793" s="13" t="str">
        <f>IF(CX793="","",CX793-CX792)</f>
        <v/>
      </c>
      <c r="CZ793" s="13"/>
      <c r="DA793" s="13"/>
      <c r="DB793" s="13"/>
      <c r="DC793" s="13" t="str">
        <f>IF(DB793="","",DB792+DD792-DB793)</f>
        <v/>
      </c>
      <c r="DD793" s="13"/>
      <c r="DE793" s="13"/>
      <c r="DF793" s="13"/>
      <c r="DG793" s="13" t="str">
        <f>IF(DF793="","",DC793*DF793)</f>
        <v/>
      </c>
      <c r="DH793" s="14" t="str">
        <f>IF(DG793="","",DG793/(CY793*100))</f>
        <v/>
      </c>
      <c r="DI793" s="15"/>
      <c r="DJ793" s="1"/>
      <c r="DK793" s="16"/>
      <c r="DL793" s="54"/>
      <c r="DM793" s="13" t="str">
        <f>IF(DL793="","",DL793-DL792)</f>
        <v/>
      </c>
      <c r="DN793" s="13"/>
      <c r="DO793" s="13"/>
      <c r="DP793" s="13"/>
      <c r="DQ793" s="13" t="str">
        <f>IF(DP793="","",DP792+DR792-DP793)</f>
        <v/>
      </c>
      <c r="DR793" s="13"/>
      <c r="DS793" s="13"/>
      <c r="DT793" s="13"/>
      <c r="DU793" s="13" t="str">
        <f>IF(DT793="","",DQ793*DT793)</f>
        <v/>
      </c>
      <c r="DV793" s="14" t="str">
        <f>IF(DU793="","",DU793/(DM793*100))</f>
        <v/>
      </c>
      <c r="DW793" s="15"/>
    </row>
    <row r="794" spans="1:127" ht="15" customHeight="1" thickBot="1" x14ac:dyDescent="0.25">
      <c r="A794" s="26"/>
      <c r="B794" s="46"/>
      <c r="C794" s="27"/>
      <c r="D794" s="27" t="str">
        <f t="shared" si="1164"/>
        <v/>
      </c>
      <c r="E794" s="27"/>
      <c r="F794" s="27" t="str">
        <f t="shared" si="1165"/>
        <v/>
      </c>
      <c r="G794" s="27"/>
      <c r="H794" s="27" t="str">
        <f t="shared" si="1141"/>
        <v/>
      </c>
      <c r="I794" s="27"/>
      <c r="J794" s="57" t="str">
        <f t="shared" si="1142"/>
        <v/>
      </c>
      <c r="K794" s="62" t="str">
        <f t="shared" si="1143"/>
        <v/>
      </c>
      <c r="L794" s="27" t="str">
        <f t="shared" si="1144"/>
        <v/>
      </c>
      <c r="M794" s="28" t="str">
        <f t="shared" si="1145"/>
        <v/>
      </c>
      <c r="N794" s="15"/>
      <c r="O794" s="2"/>
      <c r="P794" s="26"/>
      <c r="Q794" s="27"/>
      <c r="R794" s="27" t="str">
        <f t="shared" si="1166"/>
        <v/>
      </c>
      <c r="S794" s="27"/>
      <c r="T794" s="27" t="str">
        <f t="shared" si="1167"/>
        <v/>
      </c>
      <c r="U794" s="27"/>
      <c r="V794" s="27" t="str">
        <f t="shared" si="1146"/>
        <v/>
      </c>
      <c r="W794" s="27"/>
      <c r="X794" s="57" t="str">
        <f t="shared" si="1147"/>
        <v/>
      </c>
      <c r="Y794" s="62" t="str">
        <f t="shared" si="1148"/>
        <v/>
      </c>
      <c r="Z794" s="27" t="str">
        <f t="shared" si="1149"/>
        <v/>
      </c>
      <c r="AA794" s="28" t="str">
        <f t="shared" si="1150"/>
        <v/>
      </c>
      <c r="AB794" s="15"/>
      <c r="AD794" s="26"/>
      <c r="AE794" s="27"/>
      <c r="AF794" s="27" t="str">
        <f t="shared" si="1151"/>
        <v/>
      </c>
      <c r="AG794" s="27"/>
      <c r="AH794" s="27" t="str">
        <f t="shared" si="1152"/>
        <v/>
      </c>
      <c r="AI794" s="27"/>
      <c r="AJ794" s="27" t="str">
        <f t="shared" si="1153"/>
        <v/>
      </c>
      <c r="AK794" s="27"/>
      <c r="AL794" s="57" t="str">
        <f t="shared" si="1168"/>
        <v/>
      </c>
      <c r="AM794" s="62" t="str">
        <f t="shared" si="1169"/>
        <v/>
      </c>
      <c r="AN794" s="27" t="str">
        <f t="shared" si="1154"/>
        <v/>
      </c>
      <c r="AO794" s="28" t="str">
        <f t="shared" si="1155"/>
        <v/>
      </c>
      <c r="AP794" s="15"/>
      <c r="AQ794" s="115"/>
      <c r="AR794" s="26"/>
      <c r="AS794" s="27"/>
      <c r="AT794" s="27" t="str">
        <f t="shared" si="1156"/>
        <v/>
      </c>
      <c r="AU794" s="27"/>
      <c r="AV794" s="27" t="str">
        <f t="shared" si="1157"/>
        <v/>
      </c>
      <c r="AW794" s="27"/>
      <c r="AX794" s="27" t="str">
        <f t="shared" si="1158"/>
        <v/>
      </c>
      <c r="AY794" s="27"/>
      <c r="AZ794" s="57" t="str">
        <f t="shared" si="1159"/>
        <v/>
      </c>
      <c r="BA794" s="62" t="str">
        <f t="shared" si="1160"/>
        <v/>
      </c>
      <c r="BB794" s="27" t="str">
        <f t="shared" si="1161"/>
        <v/>
      </c>
      <c r="BC794" s="28" t="str">
        <f t="shared" si="1162"/>
        <v/>
      </c>
      <c r="BD794" s="15"/>
      <c r="BU794" s="16"/>
      <c r="BV794" s="54"/>
      <c r="BW794" s="13" t="str">
        <f>IF(BV794="","",BV794-BV793)</f>
        <v/>
      </c>
      <c r="BX794" s="13"/>
      <c r="BY794" s="13"/>
      <c r="BZ794" s="13"/>
      <c r="CA794" s="13" t="str">
        <f>IF(BZ794="","",BZ793+CB793-BZ794)</f>
        <v/>
      </c>
      <c r="CB794" s="13"/>
      <c r="CC794" s="13"/>
      <c r="CD794" s="13"/>
      <c r="CE794" s="13" t="str">
        <f>IF(CD794="","",CA794*CD794)</f>
        <v/>
      </c>
      <c r="CF794" s="14" t="str">
        <f>IF(CE794="","",CE794/(BW794*100))</f>
        <v/>
      </c>
      <c r="CG794" s="15"/>
      <c r="CH794" s="1"/>
      <c r="CI794" s="16"/>
      <c r="CJ794" s="54"/>
      <c r="CK794" s="13" t="str">
        <f>IF(CJ794="","",CJ794-CJ793)</f>
        <v/>
      </c>
      <c r="CL794" s="13"/>
      <c r="CM794" s="13"/>
      <c r="CN794" s="13"/>
      <c r="CO794" s="13" t="str">
        <f>IF(CN794="","",CN793+CP793-CN794)</f>
        <v/>
      </c>
      <c r="CP794" s="13"/>
      <c r="CQ794" s="13"/>
      <c r="CR794" s="13"/>
      <c r="CS794" s="13" t="str">
        <f>IF(CR794="","",CO794*CR794)</f>
        <v/>
      </c>
      <c r="CT794" s="14" t="str">
        <f>IF(CS794="","",CS794/(CK794*100))</f>
        <v/>
      </c>
      <c r="CU794" s="15"/>
      <c r="CV794" s="1"/>
      <c r="CW794" s="16"/>
      <c r="CX794" s="54"/>
      <c r="CY794" s="13" t="str">
        <f>IF(CX794="","",CX794-CX793)</f>
        <v/>
      </c>
      <c r="CZ794" s="13"/>
      <c r="DA794" s="13"/>
      <c r="DB794" s="13"/>
      <c r="DC794" s="13" t="str">
        <f>IF(DB794="","",DB793+DD793-DB794)</f>
        <v/>
      </c>
      <c r="DD794" s="13"/>
      <c r="DE794" s="13"/>
      <c r="DF794" s="13"/>
      <c r="DG794" s="13" t="str">
        <f>IF(DF794="","",DC794*DF794)</f>
        <v/>
      </c>
      <c r="DH794" s="14" t="str">
        <f>IF(DG794="","",DG794/(CY794*100))</f>
        <v/>
      </c>
      <c r="DI794" s="15"/>
      <c r="DJ794" s="1"/>
      <c r="DK794" s="16"/>
      <c r="DL794" s="54"/>
      <c r="DM794" s="13" t="str">
        <f>IF(DL794="","",DL794-DL793)</f>
        <v/>
      </c>
      <c r="DN794" s="13"/>
      <c r="DO794" s="13"/>
      <c r="DP794" s="13"/>
      <c r="DQ794" s="13" t="str">
        <f>IF(DP794="","",DP793+DR793-DP794)</f>
        <v/>
      </c>
      <c r="DR794" s="13"/>
      <c r="DS794" s="13"/>
      <c r="DT794" s="13"/>
      <c r="DU794" s="13" t="str">
        <f>IF(DT794="","",DQ794*DT794)</f>
        <v/>
      </c>
      <c r="DV794" s="14" t="str">
        <f>IF(DU794="","",DU794/(DM794*100))</f>
        <v/>
      </c>
      <c r="DW794" s="15"/>
    </row>
    <row r="795" spans="1:127" ht="15" customHeight="1" thickTop="1" x14ac:dyDescent="0.2">
      <c r="A795" s="79"/>
      <c r="B795" s="74"/>
      <c r="C795" s="53"/>
      <c r="D795" s="53"/>
      <c r="E795" s="53"/>
      <c r="F795" s="53"/>
      <c r="G795" s="53"/>
      <c r="H795" s="53"/>
      <c r="I795" s="53"/>
      <c r="J795" s="75"/>
      <c r="K795" s="53"/>
      <c r="L795" s="53"/>
      <c r="M795" s="53"/>
      <c r="N795" s="15"/>
      <c r="O795" s="2"/>
      <c r="P795" s="79"/>
      <c r="Q795" s="53"/>
      <c r="R795" s="53"/>
      <c r="S795" s="53"/>
      <c r="T795" s="53"/>
      <c r="U795" s="53"/>
      <c r="V795" s="53"/>
      <c r="W795" s="53"/>
      <c r="X795" s="78"/>
      <c r="Y795" s="53"/>
      <c r="Z795" s="53"/>
      <c r="AA795" s="53"/>
      <c r="AB795" s="15"/>
      <c r="AD795" s="79"/>
      <c r="AE795" s="53"/>
      <c r="AF795" s="53"/>
      <c r="AG795" s="53"/>
      <c r="AH795" s="53"/>
      <c r="AI795" s="53"/>
      <c r="AJ795" s="53"/>
      <c r="AK795" s="53"/>
      <c r="AL795" s="75"/>
      <c r="AM795" s="53"/>
      <c r="AN795" s="53"/>
      <c r="AO795" s="53"/>
      <c r="AP795" s="15"/>
      <c r="AQ795" s="2"/>
      <c r="AR795" s="79"/>
      <c r="AS795" s="53"/>
      <c r="AT795" s="53"/>
      <c r="AU795" s="53"/>
      <c r="AV795" s="53"/>
      <c r="AW795" s="53"/>
      <c r="AX795" s="53"/>
      <c r="AY795" s="53"/>
      <c r="AZ795" s="75"/>
      <c r="BA795" s="53"/>
      <c r="BB795" s="53"/>
      <c r="BC795" s="53"/>
      <c r="BD795" s="15"/>
      <c r="BU795" s="16"/>
      <c r="BV795" s="54"/>
      <c r="BW795" s="13"/>
      <c r="BX795" s="13"/>
      <c r="BY795" s="13"/>
      <c r="BZ795" s="13"/>
      <c r="CA795" s="13" t="str">
        <f>IF(BZ795="","",BZ794+CB794-BZ795)</f>
        <v/>
      </c>
      <c r="CB795" s="13"/>
      <c r="CC795" s="13"/>
      <c r="CD795" s="13"/>
      <c r="CE795" s="13" t="str">
        <f>IF(CD795="","",CA795*CD795)</f>
        <v/>
      </c>
      <c r="CF795" s="14" t="str">
        <f>IF(CE795="","",CE795/(BW795*100))</f>
        <v/>
      </c>
      <c r="CG795" s="15"/>
      <c r="CH795" s="1"/>
      <c r="CI795" s="16"/>
      <c r="CJ795" s="54"/>
      <c r="CK795" s="13"/>
      <c r="CL795" s="13"/>
      <c r="CM795" s="13"/>
      <c r="CN795" s="13"/>
      <c r="CO795" s="13" t="str">
        <f>IF(CN795="","",CN794+CP794-CN795)</f>
        <v/>
      </c>
      <c r="CP795" s="13"/>
      <c r="CQ795" s="13"/>
      <c r="CR795" s="13"/>
      <c r="CS795" s="13" t="str">
        <f>IF(CR795="","",CO795*CR795)</f>
        <v/>
      </c>
      <c r="CT795" s="14" t="str">
        <f>IF(CS795="","",CS795/(CK795*100))</f>
        <v/>
      </c>
      <c r="CU795" s="15"/>
      <c r="CV795" s="1"/>
      <c r="CW795" s="16"/>
      <c r="CX795" s="54"/>
      <c r="CY795" s="13"/>
      <c r="CZ795" s="13"/>
      <c r="DA795" s="13"/>
      <c r="DB795" s="13"/>
      <c r="DC795" s="13" t="str">
        <f>IF(DB795="","",DB794+DD794-DB795)</f>
        <v/>
      </c>
      <c r="DD795" s="13"/>
      <c r="DE795" s="13"/>
      <c r="DF795" s="13"/>
      <c r="DG795" s="13" t="str">
        <f>IF(DF795="","",DC795*DF795)</f>
        <v/>
      </c>
      <c r="DH795" s="14" t="str">
        <f>IF(DG795="","",DG795/(CY795*100))</f>
        <v/>
      </c>
      <c r="DI795" s="15"/>
      <c r="DJ795" s="1"/>
      <c r="DK795" s="16"/>
      <c r="DL795" s="54"/>
      <c r="DM795" s="13"/>
      <c r="DN795" s="13"/>
      <c r="DO795" s="13"/>
      <c r="DP795" s="13"/>
      <c r="DQ795" s="13" t="str">
        <f>IF(DP795="","",DP794+DR794-DP795)</f>
        <v/>
      </c>
      <c r="DR795" s="13"/>
      <c r="DS795" s="13"/>
      <c r="DT795" s="13"/>
      <c r="DU795" s="13" t="str">
        <f>IF(DT795="","",DQ795*DT795)</f>
        <v/>
      </c>
      <c r="DV795" s="14" t="str">
        <f>IF(DU795="","",DU795/(DM795*100))</f>
        <v/>
      </c>
      <c r="DW795" s="15"/>
    </row>
    <row r="796" spans="1:127" ht="15" customHeight="1" x14ac:dyDescent="0.2">
      <c r="A796" s="79"/>
      <c r="B796" s="74"/>
      <c r="C796" s="53"/>
      <c r="D796" s="53"/>
      <c r="E796" s="53"/>
      <c r="F796" s="53"/>
      <c r="G796" s="53"/>
      <c r="H796" s="53"/>
      <c r="I796" s="53"/>
      <c r="J796" s="75"/>
      <c r="K796" s="53"/>
      <c r="L796" s="53"/>
      <c r="M796" s="53"/>
      <c r="N796" s="15"/>
      <c r="O796" s="2"/>
      <c r="P796" s="79"/>
      <c r="Q796" s="53"/>
      <c r="R796" s="53"/>
      <c r="S796" s="53"/>
      <c r="T796" s="53"/>
      <c r="U796" s="53"/>
      <c r="V796" s="53"/>
      <c r="W796" s="53"/>
      <c r="X796" s="78"/>
      <c r="Y796" s="53"/>
      <c r="Z796" s="53"/>
      <c r="AA796" s="53"/>
      <c r="AB796" s="15"/>
      <c r="AD796" s="79"/>
      <c r="AE796" s="53"/>
      <c r="AF796" s="53"/>
      <c r="AG796" s="53"/>
      <c r="AH796" s="53"/>
      <c r="AI796" s="53"/>
      <c r="AJ796" s="53"/>
      <c r="AK796" s="53"/>
      <c r="AL796" s="75"/>
      <c r="AM796" s="53"/>
      <c r="AN796" s="53"/>
      <c r="AO796" s="53"/>
      <c r="AP796" s="15"/>
      <c r="AQ796" s="2"/>
      <c r="AR796" s="79"/>
      <c r="AS796" s="53"/>
      <c r="AT796" s="53"/>
      <c r="AU796" s="53"/>
      <c r="AV796" s="53"/>
      <c r="AW796" s="53"/>
      <c r="AX796" s="53"/>
      <c r="AY796" s="53"/>
      <c r="AZ796" s="75"/>
      <c r="BA796" s="53"/>
      <c r="BB796" s="53"/>
      <c r="BC796" s="53"/>
      <c r="BD796" s="15"/>
      <c r="BU796" s="16"/>
      <c r="BV796" s="54"/>
      <c r="BW796" s="13"/>
      <c r="BX796" s="13"/>
      <c r="BY796" s="13"/>
      <c r="BZ796" s="13"/>
      <c r="CA796" s="13"/>
      <c r="CB796" s="13"/>
      <c r="CC796" s="13"/>
      <c r="CD796" s="13"/>
      <c r="CE796" s="13"/>
      <c r="CF796" s="14"/>
      <c r="CG796" s="15"/>
      <c r="CH796" s="1"/>
      <c r="CI796" s="16"/>
      <c r="CJ796" s="54"/>
      <c r="CK796" s="13"/>
      <c r="CL796" s="13"/>
      <c r="CM796" s="13"/>
      <c r="CN796" s="13"/>
      <c r="CO796" s="13"/>
      <c r="CP796" s="13"/>
      <c r="CQ796" s="13"/>
      <c r="CR796" s="13"/>
      <c r="CS796" s="13"/>
      <c r="CT796" s="14"/>
      <c r="CU796" s="15"/>
      <c r="CV796" s="1"/>
      <c r="CW796" s="16"/>
      <c r="CX796" s="54"/>
      <c r="CY796" s="13"/>
      <c r="CZ796" s="13"/>
      <c r="DA796" s="13"/>
      <c r="DB796" s="13"/>
      <c r="DC796" s="13"/>
      <c r="DD796" s="13"/>
      <c r="DE796" s="13"/>
      <c r="DF796" s="13"/>
      <c r="DG796" s="13"/>
      <c r="DH796" s="14"/>
      <c r="DI796" s="15"/>
      <c r="DJ796" s="1"/>
      <c r="DK796" s="16"/>
      <c r="DL796" s="54"/>
      <c r="DM796" s="13"/>
      <c r="DN796" s="13"/>
      <c r="DO796" s="13"/>
      <c r="DP796" s="13"/>
      <c r="DQ796" s="13"/>
      <c r="DR796" s="13"/>
      <c r="DS796" s="13"/>
      <c r="DT796" s="13"/>
      <c r="DU796" s="13"/>
      <c r="DV796" s="14"/>
      <c r="DW796" s="15"/>
    </row>
    <row r="797" spans="1:127" ht="15" customHeight="1" x14ac:dyDescent="0.2">
      <c r="A797" s="79"/>
      <c r="B797" s="74"/>
      <c r="C797" s="53"/>
      <c r="D797" s="53"/>
      <c r="E797" s="53"/>
      <c r="F797" s="53"/>
      <c r="G797" s="53"/>
      <c r="H797" s="53"/>
      <c r="I797" s="53"/>
      <c r="J797" s="75"/>
      <c r="K797" s="53"/>
      <c r="L797" s="53"/>
      <c r="M797" s="53"/>
      <c r="N797" s="15"/>
      <c r="O797" s="2"/>
      <c r="P797" s="79"/>
      <c r="Q797" s="53"/>
      <c r="R797" s="53"/>
      <c r="S797" s="53"/>
      <c r="T797" s="53"/>
      <c r="U797" s="53"/>
      <c r="V797" s="53"/>
      <c r="W797" s="53"/>
      <c r="X797" s="78"/>
      <c r="Y797" s="53"/>
      <c r="Z797" s="53"/>
      <c r="AA797" s="53"/>
      <c r="AB797" s="15"/>
      <c r="AD797" s="79"/>
      <c r="AE797" s="53"/>
      <c r="AF797" s="53"/>
      <c r="AG797" s="53"/>
      <c r="AH797" s="53"/>
      <c r="AI797" s="53"/>
      <c r="AJ797" s="53"/>
      <c r="AK797" s="53"/>
      <c r="AL797" s="75"/>
      <c r="AM797" s="53"/>
      <c r="AN797" s="53"/>
      <c r="AO797" s="53"/>
      <c r="AP797" s="15"/>
      <c r="AQ797" s="2"/>
      <c r="AR797" s="79"/>
      <c r="AS797" s="53"/>
      <c r="AT797" s="53"/>
      <c r="AU797" s="53"/>
      <c r="AV797" s="53"/>
      <c r="AW797" s="53"/>
      <c r="AX797" s="53"/>
      <c r="AY797" s="53"/>
      <c r="AZ797" s="75"/>
      <c r="BA797" s="53"/>
      <c r="BB797" s="53"/>
      <c r="BC797" s="53"/>
      <c r="BD797" s="15"/>
      <c r="BU797" s="16"/>
      <c r="BV797" s="54"/>
      <c r="BW797" s="13"/>
      <c r="BX797" s="13"/>
      <c r="BY797" s="13"/>
      <c r="BZ797" s="13"/>
      <c r="CA797" s="13"/>
      <c r="CB797" s="13"/>
      <c r="CC797" s="13"/>
      <c r="CD797" s="13"/>
      <c r="CE797" s="13"/>
      <c r="CF797" s="14"/>
      <c r="CG797" s="15"/>
      <c r="CH797" s="1"/>
      <c r="CI797" s="16"/>
      <c r="CJ797" s="54"/>
      <c r="CK797" s="13"/>
      <c r="CL797" s="13"/>
      <c r="CM797" s="13"/>
      <c r="CN797" s="13"/>
      <c r="CO797" s="13"/>
      <c r="CP797" s="13"/>
      <c r="CQ797" s="13"/>
      <c r="CR797" s="13"/>
      <c r="CS797" s="13"/>
      <c r="CT797" s="14"/>
      <c r="CU797" s="15"/>
      <c r="CV797" s="1"/>
      <c r="CW797" s="16"/>
      <c r="CX797" s="54"/>
      <c r="CY797" s="13"/>
      <c r="CZ797" s="13"/>
      <c r="DA797" s="13"/>
      <c r="DB797" s="13"/>
      <c r="DC797" s="13"/>
      <c r="DD797" s="13"/>
      <c r="DE797" s="13"/>
      <c r="DF797" s="13"/>
      <c r="DG797" s="13"/>
      <c r="DH797" s="14"/>
      <c r="DI797" s="15"/>
      <c r="DJ797" s="1"/>
      <c r="DK797" s="16"/>
      <c r="DL797" s="54"/>
      <c r="DM797" s="13"/>
      <c r="DN797" s="13"/>
      <c r="DO797" s="13"/>
      <c r="DP797" s="13"/>
      <c r="DQ797" s="13"/>
      <c r="DR797" s="13"/>
      <c r="DS797" s="13"/>
      <c r="DT797" s="13"/>
      <c r="DU797" s="13"/>
      <c r="DV797" s="14"/>
      <c r="DW797" s="15"/>
    </row>
    <row r="798" spans="1:127" ht="15" customHeight="1" x14ac:dyDescent="0.2">
      <c r="A798" s="79"/>
      <c r="B798" s="74"/>
      <c r="C798" s="53"/>
      <c r="D798" s="53"/>
      <c r="E798" s="53"/>
      <c r="F798" s="53"/>
      <c r="G798" s="53"/>
      <c r="H798" s="53"/>
      <c r="I798" s="53"/>
      <c r="J798" s="75"/>
      <c r="K798" s="53"/>
      <c r="L798" s="53"/>
      <c r="M798" s="53"/>
      <c r="N798" s="15"/>
      <c r="O798" s="2"/>
      <c r="P798" s="79"/>
      <c r="Q798" s="53"/>
      <c r="R798" s="53"/>
      <c r="S798" s="53"/>
      <c r="T798" s="53"/>
      <c r="U798" s="53"/>
      <c r="V798" s="53"/>
      <c r="W798" s="53"/>
      <c r="X798" s="78"/>
      <c r="Y798" s="53"/>
      <c r="Z798" s="53"/>
      <c r="AA798" s="53"/>
      <c r="AB798" s="15"/>
      <c r="AD798" s="79"/>
      <c r="AE798" s="53"/>
      <c r="AF798" s="53"/>
      <c r="AG798" s="53"/>
      <c r="AH798" s="53"/>
      <c r="AI798" s="53"/>
      <c r="AJ798" s="53"/>
      <c r="AK798" s="53"/>
      <c r="AL798" s="75"/>
      <c r="AM798" s="53"/>
      <c r="AN798" s="53"/>
      <c r="AO798" s="53"/>
      <c r="AP798" s="15"/>
      <c r="AQ798" s="2"/>
      <c r="AR798" s="79"/>
      <c r="AS798" s="53"/>
      <c r="AT798" s="53"/>
      <c r="AU798" s="53"/>
      <c r="AV798" s="53"/>
      <c r="AW798" s="53"/>
      <c r="AX798" s="53"/>
      <c r="AY798" s="53"/>
      <c r="AZ798" s="75"/>
      <c r="BA798" s="53"/>
      <c r="BB798" s="53"/>
      <c r="BC798" s="53"/>
      <c r="BD798" s="15"/>
      <c r="BU798" s="16"/>
      <c r="BV798" s="54"/>
      <c r="BW798" s="13"/>
      <c r="BX798" s="13"/>
      <c r="BY798" s="13"/>
      <c r="BZ798" s="13"/>
      <c r="CA798" s="13"/>
      <c r="CB798" s="13"/>
      <c r="CC798" s="13"/>
      <c r="CD798" s="13"/>
      <c r="CE798" s="13"/>
      <c r="CF798" s="14"/>
      <c r="CG798" s="15"/>
      <c r="CH798" s="1"/>
      <c r="CI798" s="16"/>
      <c r="CJ798" s="54"/>
      <c r="CK798" s="13"/>
      <c r="CL798" s="13"/>
      <c r="CM798" s="13"/>
      <c r="CN798" s="13"/>
      <c r="CO798" s="13"/>
      <c r="CP798" s="13"/>
      <c r="CQ798" s="13"/>
      <c r="CR798" s="13"/>
      <c r="CS798" s="13"/>
      <c r="CT798" s="14"/>
      <c r="CU798" s="15"/>
      <c r="CV798" s="1"/>
      <c r="CW798" s="16"/>
      <c r="CX798" s="54"/>
      <c r="CY798" s="13"/>
      <c r="CZ798" s="13"/>
      <c r="DA798" s="13"/>
      <c r="DB798" s="13"/>
      <c r="DC798" s="13"/>
      <c r="DD798" s="13"/>
      <c r="DE798" s="13"/>
      <c r="DF798" s="13"/>
      <c r="DG798" s="13"/>
      <c r="DH798" s="14"/>
      <c r="DI798" s="15"/>
      <c r="DJ798" s="1"/>
      <c r="DK798" s="16"/>
      <c r="DL798" s="54"/>
      <c r="DM798" s="13"/>
      <c r="DN798" s="13"/>
      <c r="DO798" s="13"/>
      <c r="DP798" s="13"/>
      <c r="DQ798" s="13"/>
      <c r="DR798" s="13"/>
      <c r="DS798" s="13"/>
      <c r="DT798" s="13"/>
      <c r="DU798" s="13"/>
      <c r="DV798" s="14"/>
      <c r="DW798" s="15"/>
    </row>
    <row r="799" spans="1:127" ht="15" customHeight="1" x14ac:dyDescent="0.2">
      <c r="A799" s="59">
        <v>31</v>
      </c>
      <c r="B799" s="74"/>
      <c r="C799" s="5" t="s">
        <v>19</v>
      </c>
      <c r="D799" s="13">
        <f>SUM(D743:D795)*100</f>
        <v>507500</v>
      </c>
      <c r="E799" s="13"/>
      <c r="F799" s="13"/>
      <c r="G799" s="5"/>
      <c r="H799" s="13"/>
      <c r="I799" s="13"/>
      <c r="J799" s="271" t="s">
        <v>21</v>
      </c>
      <c r="K799" s="271"/>
      <c r="L799" s="13">
        <f>SUM(L743:L795)</f>
        <v>108940</v>
      </c>
      <c r="M799" s="13"/>
      <c r="N799" s="15"/>
      <c r="O799" s="2"/>
      <c r="P799" s="16"/>
      <c r="Q799" s="5" t="s">
        <v>19</v>
      </c>
      <c r="R799" s="13">
        <f>SUM(R743:R795)*100</f>
        <v>356800</v>
      </c>
      <c r="S799" s="13"/>
      <c r="T799" s="13"/>
      <c r="U799" s="5"/>
      <c r="V799" s="13"/>
      <c r="W799" s="13"/>
      <c r="X799" s="271" t="s">
        <v>21</v>
      </c>
      <c r="Y799" s="271"/>
      <c r="Z799" s="13">
        <f>SUM(Z743:Z795)</f>
        <v>99256</v>
      </c>
      <c r="AA799" s="13"/>
      <c r="AB799" s="15"/>
      <c r="AD799" s="16"/>
      <c r="AE799" s="5" t="s">
        <v>19</v>
      </c>
      <c r="AF799" s="13">
        <f>SUM(AF743:AF795)*100</f>
        <v>319600</v>
      </c>
      <c r="AG799" s="13"/>
      <c r="AH799" s="13"/>
      <c r="AI799" s="5"/>
      <c r="AJ799" s="13"/>
      <c r="AK799" s="13"/>
      <c r="AL799" s="271" t="s">
        <v>21</v>
      </c>
      <c r="AM799" s="271"/>
      <c r="AN799" s="13">
        <f>SUM(AN743:AN795)</f>
        <v>48800</v>
      </c>
      <c r="AO799" s="13"/>
      <c r="AP799" s="15"/>
      <c r="AQ799" s="2"/>
      <c r="AR799" s="16"/>
      <c r="AS799" s="5" t="s">
        <v>19</v>
      </c>
      <c r="AT799" s="13">
        <f>SUM(AT743:AT795)*100</f>
        <v>393600</v>
      </c>
      <c r="AU799" s="13"/>
      <c r="AV799" s="13"/>
      <c r="AW799" s="5"/>
      <c r="AX799" s="13"/>
      <c r="AY799" s="13"/>
      <c r="AZ799" s="271" t="s">
        <v>21</v>
      </c>
      <c r="BA799" s="271"/>
      <c r="BB799" s="13">
        <f>SUM(BB743:BB795)</f>
        <v>87444</v>
      </c>
      <c r="BC799" s="13"/>
      <c r="BD799" s="15"/>
      <c r="BU799" s="16"/>
      <c r="BV799" s="69" t="s">
        <v>19</v>
      </c>
      <c r="BW799" s="13">
        <f>SUM(BW743:BW795)*100</f>
        <v>142700</v>
      </c>
      <c r="BX799" s="13"/>
      <c r="BY799" s="13"/>
      <c r="BZ799" s="5"/>
      <c r="CA799" s="13"/>
      <c r="CB799" s="13"/>
      <c r="CC799" s="13"/>
      <c r="CD799" s="13"/>
      <c r="CE799" s="13"/>
      <c r="CF799" s="13"/>
      <c r="CG799" s="15"/>
      <c r="CH799" s="1"/>
      <c r="CI799" s="16"/>
      <c r="CJ799" s="69" t="s">
        <v>19</v>
      </c>
      <c r="CK799" s="13">
        <f>SUM(CK743:CK795)*100</f>
        <v>117500</v>
      </c>
      <c r="CL799" s="13"/>
      <c r="CM799" s="13"/>
      <c r="CN799" s="5"/>
      <c r="CO799" s="13"/>
      <c r="CP799" s="13"/>
      <c r="CQ799" s="13"/>
      <c r="CR799" s="13"/>
      <c r="CS799" s="13"/>
      <c r="CT799" s="13"/>
      <c r="CU799" s="15"/>
      <c r="CV799" s="1"/>
      <c r="CW799" s="16"/>
      <c r="CX799" s="69" t="s">
        <v>19</v>
      </c>
      <c r="CY799" s="13">
        <f>SUM(CY743:CY795)*100</f>
        <v>177300</v>
      </c>
      <c r="CZ799" s="13"/>
      <c r="DA799" s="13"/>
      <c r="DB799" s="5"/>
      <c r="DC799" s="13"/>
      <c r="DD799" s="13"/>
      <c r="DE799" s="13"/>
      <c r="DF799" s="13"/>
      <c r="DG799" s="13"/>
      <c r="DH799" s="13"/>
      <c r="DI799" s="15"/>
      <c r="DJ799" s="1"/>
      <c r="DK799" s="16"/>
      <c r="DL799" s="69" t="s">
        <v>19</v>
      </c>
      <c r="DM799" s="13">
        <f>SUM(DM743:DM795)*100</f>
        <v>127300</v>
      </c>
      <c r="DN799" s="13"/>
      <c r="DO799" s="13"/>
      <c r="DP799" s="5"/>
      <c r="DQ799" s="13"/>
      <c r="DR799" s="13"/>
      <c r="DS799" s="13"/>
      <c r="DT799" s="13"/>
      <c r="DU799" s="13"/>
      <c r="DV799" s="13"/>
      <c r="DW799" s="15"/>
    </row>
    <row r="800" spans="1:127" ht="15" customHeight="1" x14ac:dyDescent="0.2">
      <c r="A800" s="94">
        <f>DATEDIF(A$849,A$771,"d")</f>
        <v>31</v>
      </c>
      <c r="B800">
        <f>SUMIF(B742:B795,"&gt;=0")</f>
        <v>21423</v>
      </c>
      <c r="C800" s="5" t="s">
        <v>22</v>
      </c>
      <c r="D800" s="13">
        <f>D799/A800</f>
        <v>16370.967741935483</v>
      </c>
      <c r="E800" s="13">
        <f>D800*A799</f>
        <v>507500</v>
      </c>
      <c r="F800" s="13"/>
      <c r="G800" s="5"/>
      <c r="H800" s="13"/>
      <c r="I800" s="13"/>
      <c r="J800" s="271" t="s">
        <v>23</v>
      </c>
      <c r="K800" s="271"/>
      <c r="L800" s="13"/>
      <c r="M800" s="36">
        <f>L799/D799</f>
        <v>0.2146600985221675</v>
      </c>
      <c r="N800" s="15"/>
      <c r="O800" s="2"/>
      <c r="P800" s="33"/>
      <c r="Q800" s="5" t="s">
        <v>22</v>
      </c>
      <c r="R800" s="13">
        <f>R799/A800</f>
        <v>11509.677419354839</v>
      </c>
      <c r="S800" s="13">
        <f>R800*A799</f>
        <v>356800</v>
      </c>
      <c r="T800" s="13"/>
      <c r="U800" s="5"/>
      <c r="V800" s="13"/>
      <c r="W800" s="13"/>
      <c r="X800" s="271" t="s">
        <v>23</v>
      </c>
      <c r="Y800" s="271"/>
      <c r="Z800" s="13"/>
      <c r="AA800" s="36">
        <f>Z799/R799</f>
        <v>0.27818385650224214</v>
      </c>
      <c r="AB800" s="15"/>
      <c r="AD800" s="51"/>
      <c r="AE800" s="5" t="s">
        <v>22</v>
      </c>
      <c r="AF800" s="13">
        <f>AF799/A800</f>
        <v>10309.677419354839</v>
      </c>
      <c r="AG800" s="13">
        <f>AF800*A799</f>
        <v>319600</v>
      </c>
      <c r="AH800" s="13"/>
      <c r="AI800" s="5"/>
      <c r="AJ800" s="13"/>
      <c r="AK800" s="13"/>
      <c r="AL800" s="271" t="s">
        <v>23</v>
      </c>
      <c r="AM800" s="271"/>
      <c r="AN800" s="13"/>
      <c r="AO800" s="36">
        <f>AN799/AF799</f>
        <v>0.15269086357947434</v>
      </c>
      <c r="AP800" s="15"/>
      <c r="AQ800" s="2"/>
      <c r="AR800" s="33"/>
      <c r="AS800" s="5" t="s">
        <v>22</v>
      </c>
      <c r="AT800" s="13">
        <f>AT799/A800</f>
        <v>12696.774193548386</v>
      </c>
      <c r="AU800" s="13">
        <f>AT800*A799</f>
        <v>393600</v>
      </c>
      <c r="AV800" s="13"/>
      <c r="AW800" s="5"/>
      <c r="AX800" s="13"/>
      <c r="AY800" s="13"/>
      <c r="AZ800" s="271" t="s">
        <v>23</v>
      </c>
      <c r="BA800" s="271"/>
      <c r="BB800" s="13"/>
      <c r="BC800" s="36">
        <f>BB799/AT799</f>
        <v>0.22216463414634147</v>
      </c>
      <c r="BD800" s="15"/>
      <c r="BU800" s="16"/>
      <c r="BV800" s="69" t="s">
        <v>22</v>
      </c>
      <c r="BW800" s="13">
        <f>BW799/A800</f>
        <v>4603.2258064516127</v>
      </c>
      <c r="BX800" s="13">
        <f>BW800*A799</f>
        <v>142700</v>
      </c>
      <c r="BY800" s="13"/>
      <c r="BZ800" s="5"/>
      <c r="CA800" s="13"/>
      <c r="CB800" s="13"/>
      <c r="CC800" s="13"/>
      <c r="CD800" s="13"/>
      <c r="CE800" s="13"/>
      <c r="CF800" s="13"/>
      <c r="CG800" s="15"/>
      <c r="CH800" s="1"/>
      <c r="CI800" s="16"/>
      <c r="CJ800" s="69" t="s">
        <v>22</v>
      </c>
      <c r="CK800" s="13">
        <f>CK799/A800</f>
        <v>3790.3225806451615</v>
      </c>
      <c r="CL800" s="13">
        <f>CK800*A799</f>
        <v>117500</v>
      </c>
      <c r="CM800" s="13"/>
      <c r="CN800" s="5"/>
      <c r="CO800" s="13"/>
      <c r="CP800" s="13"/>
      <c r="CQ800" s="13"/>
      <c r="CR800" s="13"/>
      <c r="CS800" s="13"/>
      <c r="CT800" s="13"/>
      <c r="CU800" s="15"/>
      <c r="CV800" s="1"/>
      <c r="CW800" s="16"/>
      <c r="CX800" s="69" t="s">
        <v>22</v>
      </c>
      <c r="CY800" s="13">
        <f>CY799/A800</f>
        <v>5719.3548387096771</v>
      </c>
      <c r="CZ800" s="13">
        <f>CY800*A799</f>
        <v>177300</v>
      </c>
      <c r="DA800" s="13"/>
      <c r="DB800" s="5"/>
      <c r="DC800" s="13"/>
      <c r="DD800" s="13"/>
      <c r="DE800" s="13"/>
      <c r="DF800" s="13"/>
      <c r="DG800" s="13"/>
      <c r="DH800" s="13"/>
      <c r="DI800" s="15"/>
      <c r="DJ800" s="1"/>
      <c r="DK800" s="16"/>
      <c r="DL800" s="69" t="s">
        <v>22</v>
      </c>
      <c r="DM800" s="13">
        <f>DM799/A800</f>
        <v>4106.4516129032254</v>
      </c>
      <c r="DN800" s="13">
        <f>DM800*A799</f>
        <v>127299.99999999999</v>
      </c>
      <c r="DO800" s="13"/>
      <c r="DP800" s="5"/>
      <c r="DQ800" s="13"/>
      <c r="DR800" s="13"/>
      <c r="DS800" s="13"/>
      <c r="DT800" s="13"/>
      <c r="DU800" s="13"/>
      <c r="DV800" s="13"/>
      <c r="DW800" s="15"/>
    </row>
    <row r="801" spans="1:127" ht="15" customHeight="1" x14ac:dyDescent="0.2">
      <c r="A801" s="44" t="s">
        <v>22</v>
      </c>
      <c r="B801" s="81">
        <f>B800/A800</f>
        <v>691.06451612903231</v>
      </c>
      <c r="C801" s="69" t="s">
        <v>25</v>
      </c>
      <c r="D801" s="13">
        <f>D799*0.6</f>
        <v>304500</v>
      </c>
      <c r="E801" s="13"/>
      <c r="F801" s="13"/>
      <c r="G801" s="5"/>
      <c r="H801" s="13"/>
      <c r="I801" s="13"/>
      <c r="J801" s="271" t="s">
        <v>26</v>
      </c>
      <c r="K801" s="271"/>
      <c r="L801" s="13">
        <f>D801-L799</f>
        <v>195560</v>
      </c>
      <c r="M801" s="36">
        <f>L801/D799</f>
        <v>0.38533990147783254</v>
      </c>
      <c r="N801" s="15"/>
      <c r="O801" s="2"/>
      <c r="P801" s="16"/>
      <c r="Q801" s="69" t="s">
        <v>25</v>
      </c>
      <c r="R801" s="13">
        <f>R799*0.6</f>
        <v>214080</v>
      </c>
      <c r="S801" s="13"/>
      <c r="T801" s="13"/>
      <c r="U801" s="5"/>
      <c r="V801" s="13"/>
      <c r="W801" s="13"/>
      <c r="X801" s="271" t="s">
        <v>26</v>
      </c>
      <c r="Y801" s="271"/>
      <c r="Z801" s="13">
        <f>R801-Z799</f>
        <v>114824</v>
      </c>
      <c r="AA801" s="36">
        <f>Z801/R799</f>
        <v>0.32181614349775783</v>
      </c>
      <c r="AB801" s="15"/>
      <c r="AD801" s="16"/>
      <c r="AE801" s="69" t="s">
        <v>25</v>
      </c>
      <c r="AF801" s="13">
        <f>AF799*0.6</f>
        <v>191760</v>
      </c>
      <c r="AG801" s="13"/>
      <c r="AH801" s="13"/>
      <c r="AI801" s="5"/>
      <c r="AJ801" s="13"/>
      <c r="AK801" s="13"/>
      <c r="AL801" s="271" t="s">
        <v>26</v>
      </c>
      <c r="AM801" s="271"/>
      <c r="AN801" s="13">
        <f>AF801-AN799</f>
        <v>142960</v>
      </c>
      <c r="AO801" s="36">
        <f>AN801/AF799</f>
        <v>0.44730913642052567</v>
      </c>
      <c r="AP801" s="15"/>
      <c r="AQ801" s="2"/>
      <c r="AR801" s="16"/>
      <c r="AS801" s="69" t="s">
        <v>25</v>
      </c>
      <c r="AT801" s="13">
        <f>AT799*0.6</f>
        <v>236160</v>
      </c>
      <c r="AU801" s="13"/>
      <c r="AV801" s="13"/>
      <c r="AW801" s="5"/>
      <c r="AX801" s="13"/>
      <c r="AY801" s="13"/>
      <c r="AZ801" s="271" t="s">
        <v>26</v>
      </c>
      <c r="BA801" s="271"/>
      <c r="BB801" s="13">
        <f>AT801-BB799</f>
        <v>148716</v>
      </c>
      <c r="BC801" s="36">
        <f>BB801/AT799</f>
        <v>0.37783536585365851</v>
      </c>
      <c r="BD801" s="15"/>
      <c r="BU801" s="16"/>
      <c r="BV801" s="69" t="s">
        <v>25</v>
      </c>
      <c r="BW801" s="13">
        <f>BW799*0.6</f>
        <v>85620</v>
      </c>
      <c r="BX801" s="13"/>
      <c r="BY801" s="13"/>
      <c r="BZ801" s="5" t="s">
        <v>24</v>
      </c>
      <c r="CA801" s="13">
        <f>SUM(CE743:CE795)</f>
        <v>16115</v>
      </c>
      <c r="CB801" s="36">
        <f>CA801/BW799</f>
        <v>0.1129292221443588</v>
      </c>
      <c r="CC801" s="36"/>
      <c r="CD801" s="13"/>
      <c r="CE801" s="13"/>
      <c r="CF801" s="13"/>
      <c r="CG801" s="15"/>
      <c r="CH801" s="1"/>
      <c r="CI801" s="16"/>
      <c r="CJ801" s="69" t="s">
        <v>25</v>
      </c>
      <c r="CK801" s="13">
        <f>CK799*0.6</f>
        <v>70500</v>
      </c>
      <c r="CL801" s="13"/>
      <c r="CM801" s="13"/>
      <c r="CN801" s="5" t="s">
        <v>24</v>
      </c>
      <c r="CO801" s="13">
        <f>SUM(CS743:CS795)</f>
        <v>16192</v>
      </c>
      <c r="CP801" s="36">
        <f>CO801/CK799</f>
        <v>0.13780425531914894</v>
      </c>
      <c r="CQ801" s="36"/>
      <c r="CR801" s="13"/>
      <c r="CS801" s="13"/>
      <c r="CT801" s="13"/>
      <c r="CU801" s="15"/>
      <c r="CV801" s="1"/>
      <c r="CW801" s="16"/>
      <c r="CX801" s="69" t="s">
        <v>25</v>
      </c>
      <c r="CY801" s="13">
        <f>CY799*0.6</f>
        <v>106380</v>
      </c>
      <c r="CZ801" s="13"/>
      <c r="DA801" s="13"/>
      <c r="DB801" s="5" t="s">
        <v>24</v>
      </c>
      <c r="DC801" s="13">
        <f>SUM(DG743:DG795)</f>
        <v>30800</v>
      </c>
      <c r="DD801" s="36">
        <f>DC801/CY799</f>
        <v>0.17371686407219403</v>
      </c>
      <c r="DE801" s="36"/>
      <c r="DF801" s="13"/>
      <c r="DG801" s="13"/>
      <c r="DH801" s="13"/>
      <c r="DI801" s="15"/>
      <c r="DJ801" s="1"/>
      <c r="DK801" s="16"/>
      <c r="DL801" s="69" t="s">
        <v>25</v>
      </c>
      <c r="DM801" s="13">
        <f>DM799*0.6</f>
        <v>76380</v>
      </c>
      <c r="DN801" s="13"/>
      <c r="DO801" s="13"/>
      <c r="DP801" s="5" t="s">
        <v>24</v>
      </c>
      <c r="DQ801" s="13">
        <f>SUM(DU743:DU795)</f>
        <v>58596</v>
      </c>
      <c r="DR801" s="36">
        <f>DQ801/DM799</f>
        <v>0.46029850746268658</v>
      </c>
      <c r="DS801" s="36"/>
      <c r="DT801" s="13"/>
      <c r="DU801" s="13"/>
      <c r="DV801" s="13"/>
      <c r="DW801" s="15"/>
    </row>
    <row r="802" spans="1:127" ht="15" customHeight="1" x14ac:dyDescent="0.2">
      <c r="A802" s="79"/>
      <c r="B802" s="74">
        <f>B801*A799</f>
        <v>21423</v>
      </c>
      <c r="C802" s="5" t="s">
        <v>27</v>
      </c>
      <c r="D802" s="13">
        <f>D873</f>
        <v>344900</v>
      </c>
      <c r="E802" s="13"/>
      <c r="F802" s="13"/>
      <c r="G802" s="5"/>
      <c r="H802" s="13"/>
      <c r="I802" s="24"/>
      <c r="J802" s="272" t="s">
        <v>29</v>
      </c>
      <c r="K802" s="272"/>
      <c r="L802" s="53">
        <f>(G771+I771)*K771+(G772+I772)*K772+(G773+I773)*K773+(G774+I774)*K774</f>
        <v>79384</v>
      </c>
      <c r="M802" s="14"/>
      <c r="N802" s="15"/>
      <c r="O802" s="2"/>
      <c r="P802" s="79"/>
      <c r="Q802" s="5" t="s">
        <v>27</v>
      </c>
      <c r="R802" s="13">
        <f>R873</f>
        <v>376200</v>
      </c>
      <c r="S802" s="13"/>
      <c r="T802" s="13"/>
      <c r="U802" s="5"/>
      <c r="V802" s="13"/>
      <c r="W802" s="24"/>
      <c r="X802" s="272" t="s">
        <v>29</v>
      </c>
      <c r="Y802" s="272"/>
      <c r="Z802" s="53">
        <f>(U771+W771)*Y771+(U772+W772)*Y772+(U773+W773)*Y773+(U774+W774)*Y774</f>
        <v>35476</v>
      </c>
      <c r="AA802" s="14"/>
      <c r="AB802" s="15"/>
      <c r="AD802" s="79"/>
      <c r="AE802" s="5" t="s">
        <v>27</v>
      </c>
      <c r="AF802" s="13">
        <f>AF873</f>
        <v>259800</v>
      </c>
      <c r="AG802" s="13"/>
      <c r="AH802" s="13"/>
      <c r="AI802" s="5"/>
      <c r="AJ802" s="13"/>
      <c r="AK802" s="24"/>
      <c r="AL802" s="272" t="s">
        <v>29</v>
      </c>
      <c r="AM802" s="272"/>
      <c r="AN802" s="53">
        <f>(AI771+AK771)*AM771+(AI772+AK772)*AM772+(AI773+AK773)*AM773+(AI774+AK774)*AM774</f>
        <v>73970</v>
      </c>
      <c r="AO802" s="14"/>
      <c r="AP802" s="15"/>
      <c r="AQ802" s="2"/>
      <c r="AR802" s="79"/>
      <c r="AS802" s="5" t="s">
        <v>27</v>
      </c>
      <c r="AT802" s="13">
        <f>AT873</f>
        <v>310300</v>
      </c>
      <c r="AU802" s="13"/>
      <c r="AV802" s="13"/>
      <c r="AW802" s="5"/>
      <c r="AX802" s="13"/>
      <c r="AY802" s="24"/>
      <c r="AZ802" s="272" t="s">
        <v>29</v>
      </c>
      <c r="BA802" s="272"/>
      <c r="BB802" s="53">
        <f>(AW771+AY771)*BA771+(AW772+AY772)*BA772+(AW773+AY773)*BA773+(AW774+AY774)*BA774</f>
        <v>116238</v>
      </c>
      <c r="BC802" s="14"/>
      <c r="BD802" s="15"/>
      <c r="BU802" s="16"/>
      <c r="BV802" s="69" t="s">
        <v>27</v>
      </c>
      <c r="BW802" s="13">
        <f>BW873</f>
        <v>130700</v>
      </c>
      <c r="BX802" s="13"/>
      <c r="BY802" s="13"/>
      <c r="BZ802" s="5" t="s">
        <v>26</v>
      </c>
      <c r="CA802" s="13">
        <f>BW801-CA801</f>
        <v>69505</v>
      </c>
      <c r="CB802" s="36">
        <f>CA802/BW799</f>
        <v>0.48707077785564118</v>
      </c>
      <c r="CC802" s="36"/>
      <c r="CD802" s="14"/>
      <c r="CE802" s="14"/>
      <c r="CF802" s="14"/>
      <c r="CG802" s="15"/>
      <c r="CH802" s="1"/>
      <c r="CI802" s="16"/>
      <c r="CJ802" s="69" t="s">
        <v>27</v>
      </c>
      <c r="CK802" s="13">
        <f>CK873</f>
        <v>74500</v>
      </c>
      <c r="CL802" s="13"/>
      <c r="CM802" s="13"/>
      <c r="CN802" s="5" t="s">
        <v>26</v>
      </c>
      <c r="CO802" s="13">
        <f>CK801-CO801</f>
        <v>54308</v>
      </c>
      <c r="CP802" s="36">
        <f>CO802/CK799</f>
        <v>0.46219574468085106</v>
      </c>
      <c r="CQ802" s="36"/>
      <c r="CR802" s="14"/>
      <c r="CS802" s="14"/>
      <c r="CT802" s="14"/>
      <c r="CU802" s="15"/>
      <c r="CV802" s="1"/>
      <c r="CW802" s="16"/>
      <c r="CX802" s="69" t="s">
        <v>27</v>
      </c>
      <c r="CY802" s="13">
        <f>CY873</f>
        <v>159200</v>
      </c>
      <c r="CZ802" s="13"/>
      <c r="DA802" s="13"/>
      <c r="DB802" s="5" t="s">
        <v>26</v>
      </c>
      <c r="DC802" s="13">
        <f>CY801-DC801</f>
        <v>75580</v>
      </c>
      <c r="DD802" s="36">
        <f>DC802/CY799</f>
        <v>0.42628313592780598</v>
      </c>
      <c r="DE802" s="36"/>
      <c r="DF802" s="14"/>
      <c r="DG802" s="14"/>
      <c r="DH802" s="14"/>
      <c r="DI802" s="15"/>
      <c r="DJ802" s="1"/>
      <c r="DK802" s="16"/>
      <c r="DL802" s="69" t="s">
        <v>27</v>
      </c>
      <c r="DM802" s="13">
        <f>DM873</f>
        <v>100800</v>
      </c>
      <c r="DN802" s="13"/>
      <c r="DO802" s="13"/>
      <c r="DP802" s="5" t="s">
        <v>26</v>
      </c>
      <c r="DQ802" s="13">
        <f>DM801-DQ801</f>
        <v>17784</v>
      </c>
      <c r="DR802" s="36">
        <f>DQ802/DM799</f>
        <v>0.13970149253731343</v>
      </c>
      <c r="DS802" s="36"/>
      <c r="DT802" s="14"/>
      <c r="DU802" s="14"/>
      <c r="DV802" s="14"/>
      <c r="DW802" s="15"/>
    </row>
    <row r="803" spans="1:127" ht="15" customHeight="1" x14ac:dyDescent="0.2">
      <c r="A803" s="273" t="s">
        <v>57</v>
      </c>
      <c r="B803" s="274"/>
      <c r="C803" s="273" t="s">
        <v>62</v>
      </c>
      <c r="D803" s="274"/>
      <c r="E803" s="273" t="s">
        <v>63</v>
      </c>
      <c r="F803" s="275"/>
      <c r="G803" s="5"/>
      <c r="H803" s="13"/>
      <c r="I803" s="24"/>
      <c r="J803" s="99"/>
      <c r="K803" s="102"/>
      <c r="L803" s="53"/>
      <c r="M803" s="14"/>
      <c r="N803" s="15"/>
      <c r="O803" s="2"/>
      <c r="P803" s="85"/>
      <c r="Q803" s="69"/>
      <c r="R803" s="13"/>
      <c r="S803" s="13"/>
      <c r="T803" s="13"/>
      <c r="U803" s="5"/>
      <c r="V803" s="13"/>
      <c r="W803" s="24"/>
      <c r="X803" s="99"/>
      <c r="Y803" s="102"/>
      <c r="Z803" s="53"/>
      <c r="AA803" s="14"/>
      <c r="AB803" s="15"/>
      <c r="AD803" s="85"/>
      <c r="AE803" s="69"/>
      <c r="AF803" s="13"/>
      <c r="AG803" s="13"/>
      <c r="AH803" s="13"/>
      <c r="AI803" s="5"/>
      <c r="AJ803" s="13"/>
      <c r="AK803" s="24"/>
      <c r="AL803" s="99"/>
      <c r="AM803" s="102"/>
      <c r="AN803" s="53"/>
      <c r="AO803" s="14"/>
      <c r="AP803" s="15"/>
      <c r="AQ803" s="2"/>
      <c r="AR803" s="85"/>
      <c r="AS803" s="69"/>
      <c r="AT803" s="13"/>
      <c r="AU803" s="13"/>
      <c r="AV803" s="13"/>
      <c r="AW803" s="5"/>
      <c r="AX803" s="13"/>
      <c r="AY803" s="24"/>
      <c r="AZ803" s="118"/>
      <c r="BA803" s="102"/>
      <c r="BB803" s="53"/>
      <c r="BC803" s="14"/>
      <c r="BD803" s="15"/>
      <c r="BU803" s="16"/>
      <c r="BV803" s="54"/>
      <c r="BW803" s="13"/>
      <c r="BX803" s="13"/>
      <c r="BY803" s="13"/>
      <c r="BZ803" s="263" t="s">
        <v>29</v>
      </c>
      <c r="CA803" s="264"/>
      <c r="CB803" s="13">
        <f>(BZ750+CB750)*CD750</f>
        <v>6930</v>
      </c>
      <c r="CC803" s="13"/>
      <c r="CD803" s="14"/>
      <c r="CE803" s="14"/>
      <c r="CF803" s="14"/>
      <c r="CG803" s="15"/>
      <c r="CH803" s="1"/>
      <c r="CI803" s="16"/>
      <c r="CJ803" s="54"/>
      <c r="CK803" s="13"/>
      <c r="CL803" s="13"/>
      <c r="CM803" s="13"/>
      <c r="CN803" s="263" t="s">
        <v>29</v>
      </c>
      <c r="CO803" s="264"/>
      <c r="CP803" s="13">
        <f>(CN750+CP750)*CR750</f>
        <v>14168</v>
      </c>
      <c r="CQ803" s="13"/>
      <c r="CR803" s="14"/>
      <c r="CS803" s="14"/>
      <c r="CT803" s="14"/>
      <c r="CU803" s="15"/>
      <c r="CV803" s="1"/>
      <c r="CW803" s="16"/>
      <c r="CX803" s="54"/>
      <c r="CY803" s="13"/>
      <c r="CZ803" s="13"/>
      <c r="DA803" s="13"/>
      <c r="DB803" s="263" t="s">
        <v>29</v>
      </c>
      <c r="DC803" s="264"/>
      <c r="DD803" s="13">
        <f>(DB750+DD750)*DF750</f>
        <v>39600</v>
      </c>
      <c r="DE803" s="13"/>
      <c r="DF803" s="14"/>
      <c r="DG803" s="14"/>
      <c r="DH803" s="14"/>
      <c r="DI803" s="15"/>
      <c r="DJ803" s="1"/>
      <c r="DK803" s="16"/>
      <c r="DL803" s="54"/>
      <c r="DM803" s="13"/>
      <c r="DN803" s="13"/>
      <c r="DO803" s="13"/>
      <c r="DP803" s="263" t="s">
        <v>29</v>
      </c>
      <c r="DQ803" s="264"/>
      <c r="DR803" s="13">
        <f>(DP750+DR750)*DT750</f>
        <v>45232</v>
      </c>
      <c r="DS803" s="13"/>
      <c r="DT803" s="14"/>
      <c r="DU803" s="14"/>
      <c r="DV803" s="14"/>
      <c r="DW803" s="15"/>
    </row>
    <row r="804" spans="1:127" ht="15" customHeight="1" x14ac:dyDescent="0.2">
      <c r="A804" s="283">
        <f>E800+S800+AG800+AU800+BX800+CL800+CZ800+DN800</f>
        <v>2142300</v>
      </c>
      <c r="B804" s="284"/>
      <c r="C804" s="267">
        <f>L799+Z799+AN799+BB799</f>
        <v>344440</v>
      </c>
      <c r="D804" s="268"/>
      <c r="E804" s="267">
        <f>L802+Z802+AN802+BB802</f>
        <v>305068</v>
      </c>
      <c r="F804" s="268"/>
      <c r="G804" s="5"/>
      <c r="H804" s="13"/>
      <c r="I804" s="24"/>
      <c r="J804" s="99"/>
      <c r="K804" s="102"/>
      <c r="L804" s="53"/>
      <c r="M804" s="14"/>
      <c r="N804" s="15"/>
      <c r="O804" s="2"/>
      <c r="P804" s="85"/>
      <c r="Q804" s="69"/>
      <c r="R804" s="13"/>
      <c r="S804" s="13"/>
      <c r="T804" s="13"/>
      <c r="U804" s="5"/>
      <c r="V804" s="13"/>
      <c r="W804" s="24"/>
      <c r="X804" s="99"/>
      <c r="Y804" s="102"/>
      <c r="Z804" s="53"/>
      <c r="AA804" s="14"/>
      <c r="AB804" s="15"/>
      <c r="AD804" s="85"/>
      <c r="AE804" s="69"/>
      <c r="AF804" s="13"/>
      <c r="AG804" s="13"/>
      <c r="AH804" s="13"/>
      <c r="AI804" s="5"/>
      <c r="AJ804" s="13"/>
      <c r="AK804" s="24"/>
      <c r="AL804" s="99"/>
      <c r="AM804" s="102"/>
      <c r="AN804" s="53"/>
      <c r="AO804" s="14"/>
      <c r="AP804" s="15"/>
      <c r="AQ804" s="2"/>
      <c r="AR804" s="85"/>
      <c r="AS804" s="69"/>
      <c r="AT804" s="13"/>
      <c r="AU804" s="13"/>
      <c r="AV804" s="13"/>
      <c r="AW804" s="5"/>
      <c r="AX804" s="13"/>
      <c r="AY804" s="24"/>
      <c r="AZ804" s="118"/>
      <c r="BA804" s="102"/>
      <c r="BB804" s="53"/>
      <c r="BC804" s="14"/>
      <c r="BD804" s="15"/>
      <c r="BU804" s="16"/>
      <c r="BV804" s="54"/>
      <c r="BW804" s="13"/>
      <c r="BX804" s="13"/>
      <c r="BY804" s="13"/>
      <c r="BZ804" s="5"/>
      <c r="CA804" s="13"/>
      <c r="CB804" s="13"/>
      <c r="CC804" s="13"/>
      <c r="CD804" s="14"/>
      <c r="CE804" s="14"/>
      <c r="CF804" s="14"/>
      <c r="CG804" s="15"/>
      <c r="CH804" s="1"/>
      <c r="CI804" s="16"/>
      <c r="CJ804" s="54"/>
      <c r="CK804" s="13"/>
      <c r="CL804" s="13"/>
      <c r="CM804" s="13"/>
      <c r="CN804" s="5"/>
      <c r="CO804" s="13"/>
      <c r="CP804" s="13"/>
      <c r="CQ804" s="13"/>
      <c r="CR804" s="14"/>
      <c r="CS804" s="14"/>
      <c r="CT804" s="14"/>
      <c r="CU804" s="15"/>
      <c r="CV804" s="1"/>
      <c r="CW804" s="16"/>
      <c r="CX804" s="54"/>
      <c r="CY804" s="13"/>
      <c r="CZ804" s="13"/>
      <c r="DA804" s="13"/>
      <c r="DB804" s="5"/>
      <c r="DC804" s="13"/>
      <c r="DD804" s="13"/>
      <c r="DE804" s="13"/>
      <c r="DF804" s="14"/>
      <c r="DG804" s="14"/>
      <c r="DH804" s="14"/>
      <c r="DI804" s="15"/>
      <c r="DJ804" s="1"/>
      <c r="DK804" s="16"/>
      <c r="DL804" s="54"/>
      <c r="DM804" s="13"/>
      <c r="DN804" s="13"/>
      <c r="DO804" s="13"/>
      <c r="DP804" s="5"/>
      <c r="DQ804" s="13"/>
      <c r="DR804" s="13"/>
      <c r="DS804" s="13"/>
      <c r="DT804" s="14"/>
      <c r="DU804" s="14"/>
      <c r="DV804" s="14"/>
      <c r="DW804" s="15"/>
    </row>
    <row r="805" spans="1:127" ht="15" customHeight="1" x14ac:dyDescent="0.2">
      <c r="A805" s="95"/>
      <c r="B805" s="97"/>
      <c r="C805" s="98"/>
      <c r="D805" s="106">
        <f>C804/A804</f>
        <v>0.16078046958875974</v>
      </c>
      <c r="E805" s="104"/>
      <c r="F805" s="96"/>
      <c r="G805" s="5"/>
      <c r="H805" s="13"/>
      <c r="I805" s="24"/>
      <c r="J805" s="99"/>
      <c r="K805" s="102"/>
      <c r="L805" s="53"/>
      <c r="M805" s="14"/>
      <c r="N805" s="15"/>
      <c r="O805" s="2"/>
      <c r="P805" s="85"/>
      <c r="Q805" s="69"/>
      <c r="R805" s="13"/>
      <c r="S805" s="13"/>
      <c r="T805" s="13"/>
      <c r="U805" s="5"/>
      <c r="V805" s="13"/>
      <c r="W805" s="24"/>
      <c r="X805" s="99"/>
      <c r="Y805" s="102"/>
      <c r="Z805" s="53"/>
      <c r="AA805" s="14"/>
      <c r="AB805" s="15"/>
      <c r="AD805" s="85"/>
      <c r="AE805" s="69"/>
      <c r="AF805" s="13"/>
      <c r="AG805" s="13"/>
      <c r="AH805" s="13"/>
      <c r="AI805" s="5"/>
      <c r="AJ805" s="13"/>
      <c r="AK805" s="24"/>
      <c r="AL805" s="99"/>
      <c r="AM805" s="102"/>
      <c r="AN805" s="53"/>
      <c r="AO805" s="14"/>
      <c r="AP805" s="15"/>
      <c r="AQ805" s="2"/>
      <c r="AR805" s="85"/>
      <c r="AS805" s="69"/>
      <c r="AT805" s="13"/>
      <c r="AU805" s="13"/>
      <c r="AV805" s="13"/>
      <c r="AW805" s="5"/>
      <c r="AX805" s="13"/>
      <c r="AY805" s="24"/>
      <c r="AZ805" s="118"/>
      <c r="BA805" s="102"/>
      <c r="BB805" s="53"/>
      <c r="BC805" s="14"/>
      <c r="BD805" s="15"/>
      <c r="BU805" s="16"/>
      <c r="BV805" s="54"/>
      <c r="BW805" s="13"/>
      <c r="BX805" s="13"/>
      <c r="BY805" s="13"/>
      <c r="BZ805" s="5"/>
      <c r="CA805" s="13"/>
      <c r="CB805" s="36"/>
      <c r="CC805" s="36"/>
      <c r="CD805" s="13"/>
      <c r="CE805" s="13"/>
      <c r="CF805" s="13"/>
      <c r="CG805" s="15"/>
      <c r="CH805" s="1"/>
      <c r="CI805" s="16"/>
      <c r="CJ805" s="54"/>
      <c r="CK805" s="13"/>
      <c r="CL805" s="13"/>
      <c r="CM805" s="13"/>
      <c r="CN805" s="5"/>
      <c r="CO805" s="13"/>
      <c r="CP805" s="36"/>
      <c r="CQ805" s="36"/>
      <c r="CR805" s="13"/>
      <c r="CS805" s="13"/>
      <c r="CT805" s="13"/>
      <c r="CU805" s="15"/>
      <c r="CV805" s="1"/>
      <c r="CW805" s="16"/>
      <c r="CX805" s="54"/>
      <c r="CY805" s="13"/>
      <c r="CZ805" s="13"/>
      <c r="DA805" s="13"/>
      <c r="DB805" s="5"/>
      <c r="DC805" s="13"/>
      <c r="DD805" s="36"/>
      <c r="DE805" s="36"/>
      <c r="DF805" s="13"/>
      <c r="DG805" s="13"/>
      <c r="DH805" s="13"/>
      <c r="DI805" s="15"/>
      <c r="DJ805" s="1"/>
      <c r="DK805" s="16"/>
      <c r="DL805" s="54"/>
      <c r="DM805" s="13"/>
      <c r="DN805" s="13"/>
      <c r="DO805" s="13"/>
      <c r="DP805" s="5"/>
      <c r="DQ805" s="13"/>
      <c r="DR805" s="36"/>
      <c r="DS805" s="36"/>
      <c r="DT805" s="13"/>
      <c r="DU805" s="13"/>
      <c r="DV805" s="13"/>
      <c r="DW805" s="15"/>
    </row>
    <row r="806" spans="1:127" ht="15" customHeight="1" x14ac:dyDescent="0.2">
      <c r="A806" s="95"/>
      <c r="B806" s="97"/>
      <c r="C806" s="98"/>
      <c r="D806" s="96"/>
      <c r="E806" s="5"/>
      <c r="F806" s="13"/>
      <c r="G806" s="5"/>
      <c r="H806" s="13"/>
      <c r="I806" s="13"/>
      <c r="J806" s="68"/>
      <c r="K806" s="82"/>
      <c r="L806" s="14"/>
      <c r="M806" s="14"/>
      <c r="N806" s="15"/>
      <c r="O806" s="2"/>
      <c r="P806" s="86"/>
      <c r="Q806" s="54"/>
      <c r="R806" s="13"/>
      <c r="S806" s="5"/>
      <c r="T806" s="13"/>
      <c r="U806" s="5"/>
      <c r="V806" s="13"/>
      <c r="W806" s="13"/>
      <c r="X806" s="52"/>
      <c r="Y806" s="82"/>
      <c r="Z806" s="14"/>
      <c r="AA806" s="14"/>
      <c r="AB806" s="15"/>
      <c r="AD806" s="86"/>
      <c r="AE806" s="54"/>
      <c r="AF806" s="13"/>
      <c r="AG806" s="5"/>
      <c r="AH806" s="13"/>
      <c r="AI806" s="5"/>
      <c r="AJ806" s="13"/>
      <c r="AK806" s="13"/>
      <c r="AL806" s="68"/>
      <c r="AM806" s="82"/>
      <c r="AN806" s="14"/>
      <c r="AO806" s="14"/>
      <c r="AP806" s="15"/>
      <c r="AQ806" s="2"/>
      <c r="AR806" s="86"/>
      <c r="AS806" s="54"/>
      <c r="AT806" s="13"/>
      <c r="AU806" s="5"/>
      <c r="AV806" s="13"/>
      <c r="AW806" s="5"/>
      <c r="AX806" s="13"/>
      <c r="AY806" s="13"/>
      <c r="AZ806" s="68"/>
      <c r="BA806" s="82"/>
      <c r="BB806" s="14"/>
      <c r="BC806" s="14"/>
      <c r="BD806" s="15"/>
      <c r="BU806" s="16"/>
      <c r="BV806" s="13"/>
      <c r="BW806" s="13"/>
      <c r="BX806" s="13"/>
      <c r="BY806" s="13"/>
      <c r="BZ806" s="5"/>
      <c r="CA806" s="13"/>
      <c r="CB806" s="36"/>
      <c r="CC806" s="36"/>
      <c r="CD806" s="13"/>
      <c r="CE806" s="13"/>
      <c r="CF806" s="13"/>
      <c r="CG806" s="15"/>
      <c r="CH806" s="1"/>
      <c r="CI806" s="16"/>
      <c r="CJ806" s="13"/>
      <c r="CK806" s="13"/>
      <c r="CL806" s="13"/>
      <c r="CM806" s="13"/>
      <c r="CN806" s="5"/>
      <c r="CO806" s="13"/>
      <c r="CP806" s="36"/>
      <c r="CQ806" s="36"/>
      <c r="CR806" s="13"/>
      <c r="CS806" s="13"/>
      <c r="CT806" s="13"/>
      <c r="CU806" s="15"/>
      <c r="CV806" s="1"/>
      <c r="CW806" s="16"/>
      <c r="CX806" s="13"/>
      <c r="CY806" s="13"/>
      <c r="CZ806" s="13"/>
      <c r="DA806" s="13"/>
      <c r="DB806" s="5"/>
      <c r="DC806" s="13"/>
      <c r="DD806" s="36"/>
      <c r="DE806" s="36"/>
      <c r="DF806" s="13"/>
      <c r="DG806" s="13"/>
      <c r="DH806" s="13"/>
      <c r="DI806" s="15"/>
      <c r="DJ806" s="1"/>
      <c r="DK806" s="16"/>
      <c r="DL806" s="13"/>
      <c r="DM806" s="13"/>
      <c r="DN806" s="13"/>
      <c r="DO806" s="13"/>
      <c r="DP806" s="5"/>
      <c r="DQ806" s="13"/>
      <c r="DR806" s="36"/>
      <c r="DS806" s="36"/>
      <c r="DT806" s="13"/>
      <c r="DU806" s="13"/>
      <c r="DV806" s="13"/>
      <c r="DW806" s="15"/>
    </row>
    <row r="807" spans="1:127" ht="15" customHeight="1" x14ac:dyDescent="0.2">
      <c r="A807" s="258" t="s">
        <v>28</v>
      </c>
      <c r="B807" s="260"/>
      <c r="C807" s="259"/>
      <c r="D807" s="38">
        <f>SUM(D743,D747,D751,D755,D759,D763,D767,D771,D775,D779,D783,D787,D791)*100</f>
        <v>72400</v>
      </c>
      <c r="E807" s="54"/>
      <c r="F807" s="13"/>
      <c r="G807" s="5">
        <f>D807/H807</f>
        <v>2784.6153846153848</v>
      </c>
      <c r="H807" s="38">
        <f>SUM(H743,H747,H751,H755,H759,H763,H768,H771,H775,H779,H783,H787,H791)</f>
        <v>26</v>
      </c>
      <c r="I807" s="13"/>
      <c r="J807" s="75" t="str">
        <f t="shared" ref="J807:K810" si="1186">J743</f>
        <v>ジャグラーサウンドボタン</v>
      </c>
      <c r="K807" s="76">
        <f t="shared" si="1186"/>
        <v>748</v>
      </c>
      <c r="L807" s="38">
        <f>SUM(L743,L747,L751,L755,L759,L763,L768,L771,L775,L779,L783,L787,L791)</f>
        <v>19800</v>
      </c>
      <c r="M807" s="36">
        <f>L807/D807</f>
        <v>0.27348066298342544</v>
      </c>
      <c r="N807" s="15"/>
      <c r="O807" s="2"/>
      <c r="P807" s="258" t="s">
        <v>28</v>
      </c>
      <c r="Q807" s="259"/>
      <c r="R807" s="38">
        <f>SUM(R743,R747,R751,R755,R759,R763,R768,R771,R775,R779,R783,R787,R791)*100</f>
        <v>70500</v>
      </c>
      <c r="S807" s="54"/>
      <c r="T807" s="13"/>
      <c r="U807" s="5">
        <f>R807/V807</f>
        <v>1807.6923076923076</v>
      </c>
      <c r="V807" s="38">
        <f>SUM(V743,V747,V751,V755,V759,V763,V768,V771,V775,V779,V783,V787,V791)</f>
        <v>39</v>
      </c>
      <c r="W807" s="13"/>
      <c r="X807" s="78" t="str">
        <f t="shared" ref="X807:Y810" si="1187">X743</f>
        <v>ジャグラーパネルKH</v>
      </c>
      <c r="Y807" s="76">
        <f t="shared" si="1187"/>
        <v>500</v>
      </c>
      <c r="Z807" s="38">
        <f>SUM(Z743,Z747,Z751,Z755,Z759,Z763,Z768,Z771,Z775,Z779,Z783,Z787,Z791)</f>
        <v>22500</v>
      </c>
      <c r="AA807" s="36">
        <f>Z807/R807</f>
        <v>0.31914893617021278</v>
      </c>
      <c r="AB807" s="15"/>
      <c r="AC807" s="23"/>
      <c r="AD807" s="258" t="s">
        <v>28</v>
      </c>
      <c r="AE807" s="259"/>
      <c r="AF807" s="38">
        <f>SUM(AF743,AF747,AF751,AF755,AF759,AF763,AF767,AF771,AF775,AF779,AF783,AF787,AF791)*100</f>
        <v>61300</v>
      </c>
      <c r="AG807" s="54"/>
      <c r="AH807" s="13"/>
      <c r="AI807" s="5">
        <f>AF807/AJ807</f>
        <v>10216.666666666666</v>
      </c>
      <c r="AJ807" s="38">
        <f>SUM(AJ743,AJ747,AJ751,AJ755,AJ759,AJ763,AJ768,AJ771,AJ775,AJ779,AJ783,AJ787,AJ791)</f>
        <v>6</v>
      </c>
      <c r="AK807" s="13"/>
      <c r="AL807" s="75" t="str">
        <f t="shared" ref="AL807:AM810" si="1188">AL743</f>
        <v>ミニ香水</v>
      </c>
      <c r="AM807" s="76">
        <f t="shared" si="1188"/>
        <v>1100</v>
      </c>
      <c r="AN807" s="38">
        <f>SUM(AN743,AN747,AN751,AN755,AN759,AN763,AN768,AN771,AN775,AN779,AN783,AN787,AN791)</f>
        <v>6300</v>
      </c>
      <c r="AO807" s="36">
        <f>AN807/AF807</f>
        <v>0.10277324632952692</v>
      </c>
      <c r="AP807" s="15"/>
      <c r="AQ807" s="2"/>
      <c r="AR807" s="258" t="s">
        <v>28</v>
      </c>
      <c r="AS807" s="259"/>
      <c r="AT807" s="38">
        <f>SUM(AT743,AT747,AT751,AT755,AT759,AT763,AT768,AT771,AT775,AT779,AT783,AT787,AT791)*100</f>
        <v>121100</v>
      </c>
      <c r="AU807" s="54"/>
      <c r="AV807" s="13"/>
      <c r="AW807" s="5">
        <f>AT807/AX807</f>
        <v>4175.8620689655172</v>
      </c>
      <c r="AX807" s="38">
        <f>SUM(AX743,AX747,AX751,AX755,AX759,AX763,AX768,AX771,AX775,AX779,AX783,AX787,AX791)</f>
        <v>29</v>
      </c>
      <c r="AY807" s="13"/>
      <c r="AZ807" s="75" t="str">
        <f t="shared" ref="AZ807:BA810" si="1189">AZ743</f>
        <v>こびとづかんキーケース</v>
      </c>
      <c r="BA807" s="76">
        <f t="shared" si="1189"/>
        <v>726</v>
      </c>
      <c r="BB807" s="38">
        <f>SUM(BB743,BB747,BB751,BB755,BB759,BB763,BB768,BB771,BB775,BB779,BB783,BB787,BB791)</f>
        <v>23392</v>
      </c>
      <c r="BC807" s="36">
        <f>BB807/AT807</f>
        <v>0.19316267547481419</v>
      </c>
      <c r="BD807" s="15"/>
      <c r="BU807" s="16"/>
      <c r="BV807" s="270"/>
      <c r="BW807" s="270"/>
      <c r="BX807" s="10"/>
      <c r="BY807" s="13"/>
      <c r="BZ807" s="5"/>
      <c r="CA807" s="13"/>
      <c r="CB807" s="36"/>
      <c r="CC807" s="36"/>
      <c r="CD807" s="13"/>
      <c r="CE807" s="13"/>
      <c r="CF807" s="13"/>
      <c r="CG807" s="15"/>
      <c r="CH807" s="1"/>
      <c r="CI807" s="16"/>
      <c r="CJ807" s="270"/>
      <c r="CK807" s="270"/>
      <c r="CL807" s="10"/>
      <c r="CM807" s="13"/>
      <c r="CN807" s="5"/>
      <c r="CO807" s="13"/>
      <c r="CP807" s="36"/>
      <c r="CQ807" s="36"/>
      <c r="CR807" s="13"/>
      <c r="CS807" s="13"/>
      <c r="CT807" s="13"/>
      <c r="CU807" s="15"/>
      <c r="CV807" s="1"/>
      <c r="CW807" s="16"/>
      <c r="CX807" s="270"/>
      <c r="CY807" s="270"/>
      <c r="CZ807" s="10"/>
      <c r="DA807" s="13"/>
      <c r="DB807" s="5"/>
      <c r="DC807" s="13"/>
      <c r="DD807" s="36"/>
      <c r="DE807" s="36"/>
      <c r="DF807" s="13"/>
      <c r="DG807" s="13"/>
      <c r="DH807" s="13"/>
      <c r="DI807" s="15"/>
      <c r="DJ807" s="1"/>
      <c r="DK807" s="16"/>
      <c r="DL807" s="270"/>
      <c r="DM807" s="270"/>
      <c r="DN807" s="10"/>
      <c r="DO807" s="13"/>
      <c r="DP807" s="5"/>
      <c r="DQ807" s="13"/>
      <c r="DR807" s="36"/>
      <c r="DS807" s="36"/>
      <c r="DT807" s="13"/>
      <c r="DU807" s="13"/>
      <c r="DV807" s="13"/>
      <c r="DW807" s="15"/>
    </row>
    <row r="808" spans="1:127" x14ac:dyDescent="0.2">
      <c r="A808" s="258" t="s">
        <v>28</v>
      </c>
      <c r="B808" s="260"/>
      <c r="C808" s="259"/>
      <c r="D808" s="38">
        <f>SUM(D744,D748,D752,D756,D760,D764,D768,D772,D776,D780,D784,D788,D792)*100</f>
        <v>51900</v>
      </c>
      <c r="E808" s="54"/>
      <c r="F808" s="13"/>
      <c r="G808" s="5">
        <f>D808/H808</f>
        <v>3243.75</v>
      </c>
      <c r="H808" s="38">
        <f>SUM(H744,H748,H752,H756,H760,H764,H767,H772,H776,H780,H784,H788,H792)</f>
        <v>16</v>
      </c>
      <c r="I808" s="13"/>
      <c r="J808" s="75" t="str">
        <f t="shared" si="1186"/>
        <v>ジャグラーイヤホン</v>
      </c>
      <c r="K808" s="76">
        <f t="shared" si="1186"/>
        <v>1100</v>
      </c>
      <c r="L808" s="38">
        <f>SUM(L744,L748,L752,L756,L760,L764,L767,L772,L776,L780,L784,L788,L792)</f>
        <v>16544</v>
      </c>
      <c r="M808" s="36">
        <f>L808/D808</f>
        <v>0.31876685934489402</v>
      </c>
      <c r="N808" s="15"/>
      <c r="O808" s="2"/>
      <c r="P808" s="258" t="s">
        <v>28</v>
      </c>
      <c r="Q808" s="259"/>
      <c r="R808" s="38">
        <f>SUM(R744,R748,R752,R756,R760,R764,R767,R772,R776,R780,R784,R788,R792)*100</f>
        <v>93400</v>
      </c>
      <c r="S808" s="54"/>
      <c r="T808" s="13"/>
      <c r="U808" s="5">
        <f>R808/V808</f>
        <v>2394.8717948717949</v>
      </c>
      <c r="V808" s="38">
        <f>SUM(V744,V748,V752,V756,V760,V764,V767,V772,V776,V780,V784,V788,V792)</f>
        <v>39</v>
      </c>
      <c r="W808" s="13"/>
      <c r="X808" s="78" t="str">
        <f t="shared" si="1187"/>
        <v>サンリオFAN</v>
      </c>
      <c r="Y808" s="76">
        <f t="shared" si="1187"/>
        <v>1100</v>
      </c>
      <c r="Z808" s="38">
        <f>SUM(Z744,Z748,Z752,Z756,Z760,Z764,Z767,Z772,Z776,Z780,Z784,Z788,Z792)</f>
        <v>42300</v>
      </c>
      <c r="AA808" s="36">
        <f>Z808/R808</f>
        <v>0.45289079229122053</v>
      </c>
      <c r="AB808" s="15"/>
      <c r="AC808" s="1"/>
      <c r="AD808" s="258" t="s">
        <v>28</v>
      </c>
      <c r="AE808" s="259"/>
      <c r="AF808" s="38">
        <f>SUM(AF744,AF748,AF752,AF756,AF760,AF764,AF768,AF772,AF776,AF780,AF784,AF788,AF792)*100</f>
        <v>80600</v>
      </c>
      <c r="AG808" s="54"/>
      <c r="AH808" s="13"/>
      <c r="AI808" s="5">
        <f>AF808/AJ808</f>
        <v>6200</v>
      </c>
      <c r="AJ808" s="38">
        <f>SUM(AJ744,AJ748,AJ752,AJ756,AJ760,AJ764,AJ767,AJ772,AJ776,AJ780,AJ784,AJ788,AJ792)</f>
        <v>13</v>
      </c>
      <c r="AK808" s="13"/>
      <c r="AL808" s="75" t="str">
        <f t="shared" si="1188"/>
        <v>デジタルミニカメラ</v>
      </c>
      <c r="AM808" s="76">
        <f t="shared" si="1188"/>
        <v>800</v>
      </c>
      <c r="AN808" s="38">
        <f>SUM(AN744,AN748,AN752,AN756,AN760,AN764,AN767,AN772,AN776,AN780,AN784,AN788,AN792)</f>
        <v>10400</v>
      </c>
      <c r="AO808" s="36">
        <f>AN808/AF808</f>
        <v>0.12903225806451613</v>
      </c>
      <c r="AP808" s="15"/>
      <c r="AQ808" s="2"/>
      <c r="AR808" s="258" t="s">
        <v>28</v>
      </c>
      <c r="AS808" s="259"/>
      <c r="AT808" s="38">
        <f>SUM(AT744,AT748,AT752,AT756,AT760,AT764,AT767,AT772,AT776,AT780,AT784,AT788,AT792)*100</f>
        <v>60200</v>
      </c>
      <c r="AU808" s="54"/>
      <c r="AV808" s="13"/>
      <c r="AW808" s="5">
        <f>AT808/AX808</f>
        <v>2075.8620689655172</v>
      </c>
      <c r="AX808" s="38">
        <f>SUM(AX744,AX748,AX752,AX756,AX760,AX764,AX767,AX772,AX776,AX780,AX784,AX788,AX792)</f>
        <v>29</v>
      </c>
      <c r="AY808" s="13"/>
      <c r="AZ808" s="75" t="str">
        <f t="shared" si="1189"/>
        <v>ねこアイシャドウ</v>
      </c>
      <c r="BA808" s="76">
        <f t="shared" si="1189"/>
        <v>1000</v>
      </c>
      <c r="BB808" s="38">
        <f>SUM(BB744,BB748,BB752,BB756,BB760,BB764,BB767,BB772,BB776,BB780,BB784,BB788,BB792)</f>
        <v>28452</v>
      </c>
      <c r="BC808" s="36">
        <f>BB808/AT808</f>
        <v>0.47262458471760799</v>
      </c>
      <c r="BD808" s="15"/>
      <c r="BU808" s="16"/>
      <c r="BV808" s="270"/>
      <c r="BW808" s="270"/>
      <c r="BX808" s="13"/>
      <c r="BY808" s="13"/>
      <c r="BZ808" s="5"/>
      <c r="CA808" s="13"/>
      <c r="CB808" s="36"/>
      <c r="CC808" s="36"/>
      <c r="CD808" s="14"/>
      <c r="CE808" s="14"/>
      <c r="CF808" s="14"/>
      <c r="CG808" s="15"/>
      <c r="CH808" s="1"/>
      <c r="CI808" s="16"/>
      <c r="CJ808" s="270"/>
      <c r="CK808" s="270"/>
      <c r="CL808" s="13"/>
      <c r="CM808" s="13"/>
      <c r="CN808" s="5"/>
      <c r="CO808" s="13"/>
      <c r="CP808" s="36"/>
      <c r="CQ808" s="36"/>
      <c r="CR808" s="14"/>
      <c r="CS808" s="14"/>
      <c r="CT808" s="14"/>
      <c r="CU808" s="15"/>
      <c r="CV808" s="1"/>
      <c r="CW808" s="16"/>
      <c r="CX808" s="270"/>
      <c r="CY808" s="270"/>
      <c r="CZ808" s="13"/>
      <c r="DA808" s="13"/>
      <c r="DB808" s="5"/>
      <c r="DC808" s="13"/>
      <c r="DD808" s="36"/>
      <c r="DE808" s="36"/>
      <c r="DF808" s="14"/>
      <c r="DG808" s="14"/>
      <c r="DH808" s="14"/>
      <c r="DI808" s="15"/>
      <c r="DJ808" s="1"/>
      <c r="DK808" s="16"/>
      <c r="DL808" s="270"/>
      <c r="DM808" s="270"/>
      <c r="DN808" s="13"/>
      <c r="DO808" s="13"/>
      <c r="DP808" s="5"/>
      <c r="DQ808" s="13"/>
      <c r="DR808" s="36"/>
      <c r="DS808" s="36"/>
      <c r="DT808" s="14"/>
      <c r="DU808" s="14"/>
      <c r="DV808" s="14"/>
      <c r="DW808" s="15"/>
    </row>
    <row r="809" spans="1:127" x14ac:dyDescent="0.2">
      <c r="A809" s="258" t="s">
        <v>28</v>
      </c>
      <c r="B809" s="260"/>
      <c r="C809" s="259"/>
      <c r="D809" s="38">
        <f>SUM(D745,D749,D753,D757,D761,D765,D769,D773,D777,D781,D785,D789,D793)*100</f>
        <v>269900</v>
      </c>
      <c r="E809" s="54"/>
      <c r="F809" s="13"/>
      <c r="G809" s="5">
        <f>D809/H809</f>
        <v>2902.1505376344085</v>
      </c>
      <c r="H809" s="38">
        <f>SUM(H745,H749,H753,H758,H761,H765,H769,H773,H777,H781,H785,H789,H793)</f>
        <v>93</v>
      </c>
      <c r="I809" s="13"/>
      <c r="J809" s="75" t="str">
        <f t="shared" si="1186"/>
        <v>AIモンスタラバー</v>
      </c>
      <c r="K809" s="76">
        <f t="shared" si="1186"/>
        <v>200</v>
      </c>
      <c r="L809" s="38">
        <f>SUM(L745,L749,L753,L758,L761,L765,L769,L773,L777,L781,L785,L789,L793)</f>
        <v>22938</v>
      </c>
      <c r="M809" s="36">
        <f>L809/D809</f>
        <v>8.4987032234160806E-2</v>
      </c>
      <c r="N809" s="15"/>
      <c r="O809" s="2"/>
      <c r="P809" s="258" t="s">
        <v>28</v>
      </c>
      <c r="Q809" s="259"/>
      <c r="R809" s="38">
        <f>SUM(R745,R749,R753,R757,R761,R765,R769,R773,R777,R781,R785,R789,R793)*100</f>
        <v>119500</v>
      </c>
      <c r="S809" s="54"/>
      <c r="T809" s="13"/>
      <c r="U809" s="5">
        <f>R809/V809</f>
        <v>6638.8888888888887</v>
      </c>
      <c r="V809" s="38">
        <f>SUM(V745,V749,V753,V758,V761,V765,V769,V773,V777,V781,V785,V789,V793)</f>
        <v>18</v>
      </c>
      <c r="W809" s="13"/>
      <c r="X809" s="78" t="str">
        <f t="shared" si="1187"/>
        <v>キティフェイスポーチ</v>
      </c>
      <c r="Y809" s="76">
        <f t="shared" si="1187"/>
        <v>957</v>
      </c>
      <c r="Z809" s="38">
        <f>SUM(Z745,Z749,Z753,Z758,Z761,Z765,Z769,Z773,Z777,Z781,Z785,Z789,Z793)</f>
        <v>17069</v>
      </c>
      <c r="AA809" s="36">
        <f>Z809/R809</f>
        <v>0.14283682008368201</v>
      </c>
      <c r="AB809" s="15"/>
      <c r="AC809" s="1"/>
      <c r="AD809" s="258" t="s">
        <v>28</v>
      </c>
      <c r="AE809" s="259"/>
      <c r="AF809" s="38">
        <f>SUM(AF745,AF749,AF753,AF757,AF761,AF765,AF769,AF773,AF777,AF781,AF785,AF789,AF793)*100</f>
        <v>90000</v>
      </c>
      <c r="AG809" s="54"/>
      <c r="AH809" s="13"/>
      <c r="AI809" s="5">
        <f>AF809/AJ809</f>
        <v>4285.7142857142853</v>
      </c>
      <c r="AJ809" s="38">
        <f>SUM(AJ745,AJ749,AJ753,AJ758,AJ761,AJ765,AJ769,AJ773,AJ777,AJ781,AJ785,AJ789,AJ793)</f>
        <v>21</v>
      </c>
      <c r="AK809" s="13"/>
      <c r="AL809" s="75" t="str">
        <f t="shared" si="1188"/>
        <v>モンチッチボールペン</v>
      </c>
      <c r="AM809" s="76">
        <f t="shared" si="1188"/>
        <v>160</v>
      </c>
      <c r="AN809" s="38">
        <f>SUM(AN745,AN749,AN753,AN758,AN761,AN765,AN769,AN773,AN777,AN781,AN785,AN789,AN793)</f>
        <v>20690</v>
      </c>
      <c r="AO809" s="36">
        <f>AN809/AF809</f>
        <v>0.22988888888888889</v>
      </c>
      <c r="AP809" s="15"/>
      <c r="AQ809" s="2"/>
      <c r="AR809" s="258" t="s">
        <v>28</v>
      </c>
      <c r="AS809" s="259"/>
      <c r="AT809" s="38">
        <f>SUM(AT745,AT749,AT753,AT757,AT761,AT765,AT769,AT773,AT777,AT781,AT785,AT789,AT793)*100</f>
        <v>106100</v>
      </c>
      <c r="AU809" s="54"/>
      <c r="AV809" s="13"/>
      <c r="AW809" s="5">
        <f>AT809/AX809</f>
        <v>1278.3132530120481</v>
      </c>
      <c r="AX809" s="38">
        <f>SUM(AX745,AX749,AX753,AX758,AX761,AX765,AX769,AX773,AX777,AX781,AX785,AX789,AX793)</f>
        <v>83</v>
      </c>
      <c r="AY809" s="13"/>
      <c r="AZ809" s="75" t="str">
        <f t="shared" si="1189"/>
        <v>SPGラバーキーホルダー</v>
      </c>
      <c r="BA809" s="76">
        <f t="shared" si="1189"/>
        <v>200</v>
      </c>
      <c r="BB809" s="38">
        <f>SUM(BB745,BB749,BB753,BB758,BB761,BB765,BB769,BB773,BB777,BB781,BB785,BB789,BB793)</f>
        <v>17000</v>
      </c>
      <c r="BC809" s="36">
        <f>BB809/AT809</f>
        <v>0.16022620169651272</v>
      </c>
      <c r="BD809" s="15"/>
      <c r="BU809" s="16"/>
      <c r="BV809" s="270"/>
      <c r="BW809" s="270"/>
      <c r="BX809" s="36"/>
      <c r="BY809" s="13"/>
      <c r="BZ809" s="5"/>
      <c r="CA809" s="13"/>
      <c r="CB809" s="36"/>
      <c r="CC809" s="36"/>
      <c r="CD809" s="14"/>
      <c r="CE809" s="14"/>
      <c r="CF809" s="14"/>
      <c r="CG809" s="15"/>
      <c r="CH809" s="1"/>
      <c r="CI809" s="16"/>
      <c r="CJ809" s="270"/>
      <c r="CK809" s="270"/>
      <c r="CL809" s="36"/>
      <c r="CM809" s="13"/>
      <c r="CN809" s="5"/>
      <c r="CO809" s="13"/>
      <c r="CP809" s="36"/>
      <c r="CQ809" s="36"/>
      <c r="CR809" s="14"/>
      <c r="CS809" s="14"/>
      <c r="CT809" s="14"/>
      <c r="CU809" s="15"/>
      <c r="CV809" s="1"/>
      <c r="CW809" s="16"/>
      <c r="CX809" s="270"/>
      <c r="CY809" s="270"/>
      <c r="CZ809" s="36"/>
      <c r="DA809" s="13"/>
      <c r="DB809" s="5"/>
      <c r="DC809" s="13"/>
      <c r="DD809" s="36"/>
      <c r="DE809" s="36"/>
      <c r="DF809" s="14"/>
      <c r="DG809" s="14"/>
      <c r="DH809" s="14"/>
      <c r="DI809" s="15"/>
      <c r="DJ809" s="1"/>
      <c r="DK809" s="16"/>
      <c r="DL809" s="270"/>
      <c r="DM809" s="270"/>
      <c r="DN809" s="36"/>
      <c r="DO809" s="13"/>
      <c r="DP809" s="5"/>
      <c r="DQ809" s="13"/>
      <c r="DR809" s="36"/>
      <c r="DS809" s="36"/>
      <c r="DT809" s="14"/>
      <c r="DU809" s="14"/>
      <c r="DV809" s="14"/>
      <c r="DW809" s="15"/>
    </row>
    <row r="810" spans="1:127" x14ac:dyDescent="0.2">
      <c r="A810" s="258" t="s">
        <v>28</v>
      </c>
      <c r="B810" s="260"/>
      <c r="C810" s="259"/>
      <c r="D810" s="38">
        <f>SUM(D746,D750,D754,D758,D762,D766,D770,D774,D778,D782,D786,D790,D794)*100</f>
        <v>113300</v>
      </c>
      <c r="E810" s="54"/>
      <c r="F810" s="13"/>
      <c r="G810" s="5">
        <f>D810/H810</f>
        <v>1381.7073170731708</v>
      </c>
      <c r="H810" s="38">
        <f>SUM(H746,H750,H754,H757,H762,H766,H770,H774,H778,H782,H786,H790,H794)</f>
        <v>82</v>
      </c>
      <c r="I810" s="13"/>
      <c r="J810" s="75" t="str">
        <f t="shared" si="1186"/>
        <v>NICIマスコット</v>
      </c>
      <c r="K810" s="76">
        <f t="shared" si="1186"/>
        <v>682</v>
      </c>
      <c r="L810" s="38">
        <f>SUM(L746,L750,L754,L757,L762,L766,L770,L774,L778,L782,L786,L790,L794)</f>
        <v>49658</v>
      </c>
      <c r="M810" s="36">
        <f>L810/D810</f>
        <v>0.43828773168578994</v>
      </c>
      <c r="N810" s="15"/>
      <c r="O810" s="2"/>
      <c r="P810" s="258" t="s">
        <v>28</v>
      </c>
      <c r="Q810" s="259"/>
      <c r="R810" s="38">
        <f>SUM(R746,R750,R754,R758,R762,R766,R770,R774,R778,R782,R786,R790,R794)*100</f>
        <v>73400</v>
      </c>
      <c r="S810" s="54"/>
      <c r="T810" s="13"/>
      <c r="U810" s="5">
        <f>R810/V810</f>
        <v>2936</v>
      </c>
      <c r="V810" s="38">
        <f>SUM(V746,V750,V754,V757,V762,V766,V770,V774,V778,V782,V786,V790,V794)</f>
        <v>25</v>
      </c>
      <c r="W810" s="13"/>
      <c r="X810" s="78" t="str">
        <f t="shared" si="1187"/>
        <v>ターボババァマスコット</v>
      </c>
      <c r="Y810" s="76">
        <f t="shared" si="1187"/>
        <v>800</v>
      </c>
      <c r="Z810" s="38">
        <f>SUM(Z746,Z750,Z754,Z757,Z762,Z766,Z770,Z774,Z778,Z782,Z786,Z790,Z794)</f>
        <v>17387</v>
      </c>
      <c r="AA810" s="36">
        <f>Z810/R810</f>
        <v>0.2368801089918256</v>
      </c>
      <c r="AB810" s="15"/>
      <c r="AC810" s="1"/>
      <c r="AD810" s="258" t="s">
        <v>28</v>
      </c>
      <c r="AE810" s="259"/>
      <c r="AF810" s="38">
        <f>SUM(AF746,AF750,AF754,AF758,AF762,AF766,AF770,AF774,AF778,AF782,AF786,AF790,AF794)*100</f>
        <v>87700</v>
      </c>
      <c r="AG810" s="54"/>
      <c r="AH810" s="13"/>
      <c r="AI810" s="5">
        <f>AF810/AJ810</f>
        <v>5846.666666666667</v>
      </c>
      <c r="AJ810" s="38">
        <f>SUM(AJ746,AJ750,AJ754,AJ757,AJ762,AJ766,AJ770,AJ774,AJ778,AJ782,AJ786,AJ790,AJ794)</f>
        <v>15</v>
      </c>
      <c r="AK810" s="13"/>
      <c r="AL810" s="75" t="str">
        <f t="shared" si="1188"/>
        <v>ギャルキティキーケース</v>
      </c>
      <c r="AM810" s="76">
        <f t="shared" si="1188"/>
        <v>726</v>
      </c>
      <c r="AN810" s="38">
        <f>SUM(AN746,AN750,AN754,AN757,AN762,AN766,AN770,AN774,AN778,AN782,AN786,AN790,AN794)</f>
        <v>11410</v>
      </c>
      <c r="AO810" s="36">
        <f>AN810/AF810</f>
        <v>0.13010262257696692</v>
      </c>
      <c r="AP810" s="15"/>
      <c r="AQ810" s="2"/>
      <c r="AR810" s="258" t="s">
        <v>28</v>
      </c>
      <c r="AS810" s="259"/>
      <c r="AT810" s="38">
        <f>SUM(AT746,AT750,AT754,AT758,AT762,AT766,AT770,AT774,AT778,AT782,AT786,AT790,AT794)*100</f>
        <v>106200</v>
      </c>
      <c r="AU810" s="54"/>
      <c r="AV810" s="13"/>
      <c r="AW810" s="5">
        <f>AT810/AX810</f>
        <v>3218.181818181818</v>
      </c>
      <c r="AX810" s="38">
        <f>SUM(AX746,AX750,AX754,AX757,AX762,AX766,AX770,AX774,AX778,AX782,AX786,AX790,AX794)</f>
        <v>33</v>
      </c>
      <c r="AY810" s="13"/>
      <c r="AZ810" s="75" t="str">
        <f t="shared" si="1189"/>
        <v>キティサンダルキーホルダー</v>
      </c>
      <c r="BA810" s="76">
        <f t="shared" si="1189"/>
        <v>600</v>
      </c>
      <c r="BB810" s="38">
        <f>SUM(BB746,BB750,BB754,BB757,BB762,BB766,BB770,BB774,BB778,BB782,BB786,BB790,BB794)</f>
        <v>18600</v>
      </c>
      <c r="BC810" s="36">
        <f>BB810/AT810</f>
        <v>0.1751412429378531</v>
      </c>
      <c r="BD810" s="15"/>
      <c r="BU810" s="40"/>
      <c r="BV810" s="3"/>
      <c r="BW810" s="2"/>
      <c r="BX810" s="41"/>
      <c r="BY810" s="1"/>
      <c r="BZ810" s="3"/>
      <c r="CA810" s="1"/>
      <c r="CB810" s="23"/>
      <c r="CC810" s="23"/>
      <c r="CD810" s="23"/>
      <c r="CE810" s="23"/>
      <c r="CF810" s="23"/>
      <c r="CG810" s="18"/>
      <c r="CH810" s="1"/>
      <c r="CI810" s="40"/>
      <c r="CJ810" s="3"/>
      <c r="CK810" s="2"/>
      <c r="CL810" s="41"/>
      <c r="CM810" s="1"/>
      <c r="CN810" s="3"/>
      <c r="CO810" s="1"/>
      <c r="CP810" s="23"/>
      <c r="CQ810" s="23"/>
      <c r="CR810" s="23"/>
      <c r="CS810" s="23"/>
      <c r="CT810" s="23"/>
      <c r="CU810" s="18"/>
      <c r="CV810" s="1"/>
      <c r="CW810" s="40"/>
      <c r="CX810" s="3"/>
      <c r="CY810" s="2"/>
      <c r="CZ810" s="41"/>
      <c r="DA810" s="1"/>
      <c r="DB810" s="3"/>
      <c r="DC810" s="1"/>
      <c r="DD810" s="23"/>
      <c r="DE810" s="23"/>
      <c r="DF810" s="23"/>
      <c r="DG810" s="23"/>
      <c r="DH810" s="23"/>
      <c r="DI810" s="18"/>
      <c r="DJ810" s="1"/>
      <c r="DK810" s="40"/>
      <c r="DL810" s="3"/>
      <c r="DM810" s="2"/>
      <c r="DN810" s="41"/>
      <c r="DO810" s="1"/>
      <c r="DP810" s="3"/>
      <c r="DQ810" s="1"/>
      <c r="DR810" s="23"/>
      <c r="DS810" s="23"/>
      <c r="DT810" s="23"/>
      <c r="DU810" s="23"/>
      <c r="DV810" s="23"/>
      <c r="DW810" s="18"/>
    </row>
    <row r="811" spans="1:127" x14ac:dyDescent="0.2">
      <c r="A811" s="16"/>
      <c r="B811" s="11"/>
      <c r="C811" s="5" t="s">
        <v>19</v>
      </c>
      <c r="D811" s="13">
        <f>SUM(D807:D810)</f>
        <v>507500</v>
      </c>
      <c r="E811" s="13"/>
      <c r="F811" s="13"/>
      <c r="G811" s="13"/>
      <c r="H811" s="13">
        <f>SUM(H807:H810)</f>
        <v>217</v>
      </c>
      <c r="I811" s="13"/>
      <c r="J811" s="262" t="s">
        <v>31</v>
      </c>
      <c r="K811" s="259"/>
      <c r="L811" s="53">
        <f>SUM(L807:L810)</f>
        <v>108940</v>
      </c>
      <c r="M811" s="83">
        <f>L811/D811</f>
        <v>0.2146600985221675</v>
      </c>
      <c r="N811" s="84"/>
      <c r="O811" s="2"/>
      <c r="P811" s="16"/>
      <c r="Q811" s="5" t="s">
        <v>19</v>
      </c>
      <c r="R811" s="13">
        <f>SUM(R807:R810)</f>
        <v>356800</v>
      </c>
      <c r="S811" s="54"/>
      <c r="T811" s="13"/>
      <c r="U811" s="13"/>
      <c r="V811" s="13">
        <f>SUM(V807:V810)</f>
        <v>121</v>
      </c>
      <c r="W811" s="13"/>
      <c r="X811" s="262" t="s">
        <v>31</v>
      </c>
      <c r="Y811" s="259"/>
      <c r="Z811" s="53">
        <f>SUM(Z807:Z810)</f>
        <v>99256</v>
      </c>
      <c r="AA811" s="83">
        <f>Z811/R811</f>
        <v>0.27818385650224214</v>
      </c>
      <c r="AB811" s="84"/>
      <c r="AC811" s="1"/>
      <c r="AD811" s="16"/>
      <c r="AE811" s="5" t="s">
        <v>19</v>
      </c>
      <c r="AF811" s="13">
        <f>SUM(AF807:AF810)</f>
        <v>319600</v>
      </c>
      <c r="AG811" s="54"/>
      <c r="AH811" s="13"/>
      <c r="AI811" s="13"/>
      <c r="AJ811" s="13">
        <f>SUM(AJ807:AJ810)</f>
        <v>55</v>
      </c>
      <c r="AK811" s="13"/>
      <c r="AL811" s="262" t="s">
        <v>31</v>
      </c>
      <c r="AM811" s="259"/>
      <c r="AN811" s="53">
        <f>SUM(AN807:AN810)</f>
        <v>48800</v>
      </c>
      <c r="AO811" s="83">
        <f>AN811/AF811</f>
        <v>0.15269086357947434</v>
      </c>
      <c r="AP811" s="84"/>
      <c r="AQ811" s="2"/>
      <c r="AR811" s="16"/>
      <c r="AS811" s="5" t="s">
        <v>19</v>
      </c>
      <c r="AT811" s="13">
        <f>SUM(AT807:AT810)</f>
        <v>393600</v>
      </c>
      <c r="AU811" s="54"/>
      <c r="AV811" s="13"/>
      <c r="AW811" s="13"/>
      <c r="AX811" s="13">
        <f>SUM(AX807:AX810)</f>
        <v>174</v>
      </c>
      <c r="AY811" s="13"/>
      <c r="AZ811" s="262" t="s">
        <v>31</v>
      </c>
      <c r="BA811" s="259"/>
      <c r="BB811" s="53">
        <f>SUM(BB807:BB810)</f>
        <v>87444</v>
      </c>
      <c r="BC811" s="83">
        <f>BB811/AT811</f>
        <v>0.22216463414634147</v>
      </c>
      <c r="BD811" s="84"/>
      <c r="BU811" s="42"/>
      <c r="BV811" s="256"/>
      <c r="BW811" s="256"/>
      <c r="BX811" s="41"/>
      <c r="BY811" s="1"/>
      <c r="BZ811" s="3"/>
      <c r="CA811" s="1"/>
      <c r="CB811" s="23"/>
      <c r="CC811" s="23"/>
      <c r="CD811" s="23"/>
      <c r="CE811" s="23"/>
      <c r="CF811" s="23"/>
      <c r="CG811" s="18"/>
      <c r="CH811" s="1"/>
      <c r="CI811" s="42"/>
      <c r="CJ811" s="256"/>
      <c r="CK811" s="256"/>
      <c r="CL811" s="41"/>
      <c r="CM811" s="1"/>
      <c r="CN811" s="3"/>
      <c r="CO811" s="1"/>
      <c r="CP811" s="23"/>
      <c r="CQ811" s="23"/>
      <c r="CR811" s="23"/>
      <c r="CS811" s="23"/>
      <c r="CT811" s="23"/>
      <c r="CU811" s="18"/>
      <c r="CV811" s="1"/>
      <c r="CW811" s="42"/>
      <c r="CX811" s="256"/>
      <c r="CY811" s="256"/>
      <c r="CZ811" s="41"/>
      <c r="DA811" s="1"/>
      <c r="DB811" s="3"/>
      <c r="DC811" s="1"/>
      <c r="DD811" s="23"/>
      <c r="DE811" s="23"/>
      <c r="DF811" s="23"/>
      <c r="DG811" s="23"/>
      <c r="DH811" s="23"/>
      <c r="DI811" s="18"/>
      <c r="DJ811" s="1"/>
      <c r="DK811" s="42"/>
      <c r="DL811" s="256"/>
      <c r="DM811" s="256"/>
      <c r="DN811" s="41"/>
      <c r="DO811" s="1"/>
      <c r="DP811" s="3"/>
      <c r="DQ811" s="1"/>
      <c r="DR811" s="23"/>
      <c r="DS811" s="23"/>
      <c r="DT811" s="23"/>
      <c r="DU811" s="23"/>
      <c r="DV811" s="23"/>
      <c r="DW811" s="18"/>
    </row>
    <row r="812" spans="1:127" x14ac:dyDescent="0.2">
      <c r="A812" s="85"/>
      <c r="B812" s="101"/>
      <c r="C812" s="35"/>
      <c r="D812" s="54"/>
      <c r="E812" s="24"/>
      <c r="F812" s="54"/>
      <c r="G812" s="5"/>
      <c r="H812" s="13"/>
      <c r="I812" s="24"/>
      <c r="J812" s="99"/>
      <c r="K812" s="100"/>
      <c r="L812" s="76"/>
      <c r="M812" s="14"/>
      <c r="N812" s="15"/>
      <c r="O812" s="2"/>
      <c r="P812" s="79"/>
      <c r="Q812" s="5"/>
      <c r="R812" s="13"/>
      <c r="S812" s="13"/>
      <c r="T812" s="13"/>
      <c r="U812" s="5"/>
      <c r="V812" s="13"/>
      <c r="W812" s="24"/>
      <c r="X812" s="99"/>
      <c r="Y812" s="100"/>
      <c r="Z812" s="76"/>
      <c r="AA812" s="14"/>
      <c r="AB812" s="15"/>
      <c r="AD812" s="79"/>
      <c r="AE812" s="5"/>
      <c r="AF812" s="13"/>
      <c r="AG812" s="13"/>
      <c r="AH812" s="13"/>
      <c r="AI812" s="5"/>
      <c r="AJ812" s="13"/>
      <c r="AK812" s="24"/>
      <c r="AL812" s="99"/>
      <c r="AM812" s="100"/>
      <c r="AN812" s="76"/>
      <c r="AO812" s="14"/>
      <c r="AP812" s="15"/>
      <c r="AQ812" s="2"/>
      <c r="AR812" s="79"/>
      <c r="AS812" s="5"/>
      <c r="AT812" s="13"/>
      <c r="AU812" s="13"/>
      <c r="AV812" s="13"/>
      <c r="AW812" s="5"/>
      <c r="AX812" s="13"/>
      <c r="AY812" s="24"/>
      <c r="AZ812" s="118"/>
      <c r="BA812" s="100"/>
      <c r="BB812" s="76"/>
      <c r="BC812" s="14"/>
      <c r="BD812" s="15"/>
      <c r="BU812" s="42"/>
      <c r="BV812" s="3"/>
      <c r="BX812" s="41"/>
      <c r="BY812" s="1"/>
      <c r="BZ812" s="3"/>
      <c r="CA812" s="1"/>
      <c r="CB812" s="23"/>
      <c r="CC812" s="23"/>
      <c r="CD812" s="23"/>
      <c r="CE812" s="23"/>
      <c r="CF812" s="23"/>
      <c r="CG812" s="18"/>
      <c r="CH812" s="1"/>
      <c r="CI812" s="42"/>
      <c r="CJ812" s="3"/>
      <c r="CL812" s="41"/>
      <c r="CM812" s="1"/>
      <c r="CN812" s="3"/>
      <c r="CO812" s="1"/>
      <c r="CP812" s="23"/>
      <c r="CQ812" s="23"/>
      <c r="CR812" s="23"/>
      <c r="CS812" s="23"/>
      <c r="CT812" s="23"/>
      <c r="CU812" s="18"/>
      <c r="CV812" s="1"/>
      <c r="CW812" s="42"/>
      <c r="CX812" s="3"/>
      <c r="CZ812" s="41"/>
      <c r="DA812" s="1"/>
      <c r="DB812" s="3"/>
      <c r="DC812" s="1"/>
      <c r="DD812" s="23"/>
      <c r="DE812" s="23"/>
      <c r="DF812" s="23"/>
      <c r="DG812" s="23"/>
      <c r="DH812" s="23"/>
      <c r="DI812" s="18"/>
      <c r="DJ812" s="1"/>
      <c r="DK812" s="42"/>
      <c r="DL812" s="3"/>
      <c r="DN812" s="41"/>
      <c r="DO812" s="1"/>
      <c r="DP812" s="3"/>
      <c r="DQ812" s="1"/>
      <c r="DR812" s="23"/>
      <c r="DS812" s="23"/>
      <c r="DT812" s="23"/>
      <c r="DU812" s="23"/>
      <c r="DV812" s="23"/>
      <c r="DW812" s="18"/>
    </row>
    <row r="813" spans="1:127" x14ac:dyDescent="0.2">
      <c r="A813" s="257"/>
      <c r="B813" s="257"/>
      <c r="C813" s="257"/>
      <c r="D813" s="257"/>
      <c r="E813" s="257"/>
      <c r="F813" s="257"/>
      <c r="BU813" s="40"/>
      <c r="BV813" s="256"/>
      <c r="BW813" s="256"/>
      <c r="BX813" s="41"/>
      <c r="BY813" s="1"/>
      <c r="BZ813" s="3"/>
      <c r="CA813" s="1"/>
      <c r="CB813" s="23"/>
      <c r="CC813" s="23"/>
      <c r="CD813" s="23"/>
      <c r="CE813" s="23"/>
      <c r="CF813" s="23"/>
      <c r="CG813" s="18"/>
      <c r="CH813" s="1"/>
      <c r="CI813" s="40"/>
      <c r="CJ813" s="256"/>
      <c r="CK813" s="256"/>
      <c r="CL813" s="41"/>
      <c r="CM813" s="1"/>
      <c r="CN813" s="3"/>
      <c r="CO813" s="1"/>
      <c r="CP813" s="23"/>
      <c r="CQ813" s="23"/>
      <c r="CR813" s="23"/>
      <c r="CS813" s="23"/>
      <c r="CT813" s="23"/>
      <c r="CU813" s="18"/>
      <c r="CV813" s="1"/>
      <c r="CW813" s="40"/>
      <c r="CX813" s="256"/>
      <c r="CY813" s="256"/>
      <c r="CZ813" s="41"/>
      <c r="DA813" s="1"/>
      <c r="DB813" s="3"/>
      <c r="DC813" s="1"/>
      <c r="DD813" s="23"/>
      <c r="DE813" s="23"/>
      <c r="DF813" s="23"/>
      <c r="DG813" s="23"/>
      <c r="DH813" s="23"/>
      <c r="DI813" s="18"/>
      <c r="DJ813" s="1"/>
      <c r="DK813" s="40"/>
      <c r="DL813" s="256"/>
      <c r="DM813" s="256"/>
      <c r="DN813" s="41"/>
      <c r="DO813" s="1"/>
      <c r="DP813" s="3"/>
      <c r="DQ813" s="1"/>
      <c r="DR813" s="23"/>
      <c r="DS813" s="23"/>
      <c r="DT813" s="23"/>
      <c r="DU813" s="23"/>
      <c r="DV813" s="23"/>
      <c r="DW813" s="18"/>
    </row>
    <row r="814" spans="1:127" ht="15" customHeight="1" x14ac:dyDescent="0.2">
      <c r="A814" s="257"/>
      <c r="B814" s="257"/>
      <c r="J814"/>
      <c r="BU814" s="40"/>
      <c r="BV814" s="3"/>
      <c r="BX814" s="41"/>
      <c r="BY814" s="1"/>
      <c r="BZ814" s="3"/>
      <c r="CA814" s="1"/>
      <c r="CB814" s="23"/>
      <c r="CC814" s="23"/>
      <c r="CD814" s="23"/>
      <c r="CE814" s="23"/>
      <c r="CF814" s="23"/>
      <c r="CG814" s="18"/>
      <c r="CH814" s="1"/>
      <c r="CI814" s="40"/>
      <c r="CJ814" s="3"/>
      <c r="CL814" s="41"/>
      <c r="CM814" s="1"/>
      <c r="CN814" s="3"/>
      <c r="CO814" s="1"/>
      <c r="CP814" s="23"/>
      <c r="CQ814" s="23"/>
      <c r="CR814" s="23"/>
      <c r="CS814" s="23"/>
      <c r="CT814" s="23"/>
      <c r="CU814" s="18"/>
      <c r="CV814" s="1"/>
      <c r="CW814" s="40"/>
      <c r="CX814" s="3"/>
      <c r="CZ814" s="41"/>
      <c r="DA814" s="1"/>
      <c r="DB814" s="3"/>
      <c r="DC814" s="1"/>
      <c r="DD814" s="23"/>
      <c r="DE814" s="23"/>
      <c r="DF814" s="23"/>
      <c r="DG814" s="23"/>
      <c r="DH814" s="23"/>
      <c r="DI814" s="18"/>
      <c r="DJ814" s="1"/>
      <c r="DK814" s="40"/>
      <c r="DL814" s="3"/>
      <c r="DN814" s="41"/>
      <c r="DO814" s="1"/>
      <c r="DP814" s="3"/>
      <c r="DQ814" s="1"/>
      <c r="DR814" s="23"/>
      <c r="DS814" s="23"/>
      <c r="DT814" s="23"/>
      <c r="DU814" s="23"/>
      <c r="DV814" s="23"/>
      <c r="DW814" s="18"/>
    </row>
    <row r="815" spans="1:127" x14ac:dyDescent="0.2">
      <c r="A815" s="276" t="s">
        <v>42</v>
      </c>
      <c r="B815" s="276"/>
      <c r="C815" s="276"/>
      <c r="D815" s="276"/>
      <c r="E815" s="70" t="s">
        <v>56</v>
      </c>
      <c r="F815" s="70"/>
      <c r="G815" s="70"/>
      <c r="H815" s="70"/>
      <c r="I815" s="70"/>
      <c r="J815" s="71"/>
      <c r="K815" s="70"/>
      <c r="L815" s="70"/>
      <c r="M815" s="70"/>
      <c r="N815" s="72"/>
      <c r="O815" s="2"/>
      <c r="P815" s="276" t="s">
        <v>43</v>
      </c>
      <c r="Q815" s="276"/>
      <c r="R815" s="276"/>
      <c r="S815" s="70" t="s">
        <v>55</v>
      </c>
      <c r="T815" s="70"/>
      <c r="U815" s="70"/>
      <c r="V815" s="70"/>
      <c r="W815" s="70"/>
      <c r="X815" s="73"/>
      <c r="Y815" s="70"/>
      <c r="Z815" s="70"/>
      <c r="AA815" s="70"/>
      <c r="AB815" s="72"/>
      <c r="AC815" s="1"/>
      <c r="AD815" s="276" t="s">
        <v>54</v>
      </c>
      <c r="AE815" s="276"/>
      <c r="AF815" s="276"/>
      <c r="AG815" s="70" t="s">
        <v>52</v>
      </c>
      <c r="AH815" s="70"/>
      <c r="AI815" s="70"/>
      <c r="AJ815" s="70"/>
      <c r="AK815" s="70"/>
      <c r="AL815" s="71"/>
      <c r="AM815" s="70"/>
      <c r="AN815" s="70"/>
      <c r="AO815" s="70"/>
      <c r="AP815" s="72"/>
      <c r="AQ815" s="2"/>
      <c r="AR815" s="276" t="s">
        <v>54</v>
      </c>
      <c r="AS815" s="276"/>
      <c r="AT815" s="276"/>
      <c r="AU815" s="70" t="s">
        <v>53</v>
      </c>
      <c r="AV815" s="70"/>
      <c r="AW815" s="70"/>
      <c r="AX815" s="70"/>
      <c r="AY815" s="70"/>
      <c r="AZ815" s="71"/>
      <c r="BA815" s="70"/>
      <c r="BB815" s="70"/>
      <c r="BC815" s="70"/>
      <c r="BD815" s="72"/>
      <c r="BU815" s="124"/>
      <c r="BV815" s="277" t="s">
        <v>137</v>
      </c>
      <c r="BW815" s="278"/>
      <c r="BX815" s="278"/>
      <c r="BY815" s="278"/>
      <c r="BZ815" s="125"/>
      <c r="CA815" s="125"/>
      <c r="CB815" s="125"/>
      <c r="CC815" s="125"/>
      <c r="CD815" s="125"/>
      <c r="CE815" s="125"/>
      <c r="CF815" s="125"/>
      <c r="CG815" s="125"/>
      <c r="CH815" s="125"/>
      <c r="CI815" s="124"/>
      <c r="CJ815" s="277" t="s">
        <v>138</v>
      </c>
      <c r="CK815" s="278"/>
      <c r="CL815" s="278"/>
      <c r="CM815" s="278"/>
      <c r="CN815" s="125"/>
      <c r="CO815" s="125"/>
      <c r="CP815" s="125"/>
      <c r="CQ815" s="125"/>
      <c r="CR815" s="125"/>
      <c r="CS815" s="125"/>
      <c r="CT815" s="125"/>
      <c r="CU815" s="125"/>
      <c r="CV815" s="125"/>
      <c r="CW815" s="124"/>
      <c r="CX815" s="277" t="s">
        <v>139</v>
      </c>
      <c r="CY815" s="278"/>
      <c r="CZ815" s="278"/>
      <c r="DA815" s="278"/>
      <c r="DB815" s="125"/>
      <c r="DC815" s="125"/>
      <c r="DD815" s="125"/>
      <c r="DE815" s="125"/>
      <c r="DF815" s="125"/>
      <c r="DG815" s="125"/>
      <c r="DH815" s="125"/>
      <c r="DI815" s="125"/>
      <c r="DJ815" s="125"/>
      <c r="DK815" s="124"/>
      <c r="DL815" s="277" t="s">
        <v>140</v>
      </c>
      <c r="DM815" s="278"/>
      <c r="DN815" s="278"/>
      <c r="DO815" s="278"/>
      <c r="DP815" s="125"/>
      <c r="DQ815" s="125"/>
      <c r="DR815" s="125"/>
      <c r="DS815" s="125"/>
      <c r="DT815" s="125"/>
      <c r="DU815" s="125"/>
      <c r="DV815" s="125"/>
      <c r="DW815" s="125"/>
    </row>
    <row r="816" spans="1:127" x14ac:dyDescent="0.2">
      <c r="A816" s="7" t="s">
        <v>1</v>
      </c>
      <c r="B816" s="4" t="s">
        <v>19</v>
      </c>
      <c r="C816" s="5" t="s">
        <v>2</v>
      </c>
      <c r="D816" s="5" t="s">
        <v>3</v>
      </c>
      <c r="E816" s="6" t="s">
        <v>4</v>
      </c>
      <c r="F816" s="5" t="s">
        <v>3</v>
      </c>
      <c r="G816" s="5" t="s">
        <v>5</v>
      </c>
      <c r="H816" s="5" t="s">
        <v>6</v>
      </c>
      <c r="I816" s="5" t="s">
        <v>7</v>
      </c>
      <c r="J816" s="55" t="s">
        <v>12</v>
      </c>
      <c r="K816" s="5" t="s">
        <v>8</v>
      </c>
      <c r="L816" s="5" t="s">
        <v>6</v>
      </c>
      <c r="M816" s="5" t="s">
        <v>13</v>
      </c>
      <c r="N816" s="5" t="s">
        <v>11</v>
      </c>
      <c r="O816" s="2"/>
      <c r="P816" s="7" t="s">
        <v>1</v>
      </c>
      <c r="Q816" s="5" t="s">
        <v>2</v>
      </c>
      <c r="R816" s="5" t="s">
        <v>3</v>
      </c>
      <c r="S816" s="6" t="s">
        <v>4</v>
      </c>
      <c r="T816" s="5" t="s">
        <v>3</v>
      </c>
      <c r="U816" s="5" t="s">
        <v>5</v>
      </c>
      <c r="V816" s="5" t="s">
        <v>6</v>
      </c>
      <c r="W816" s="5" t="s">
        <v>7</v>
      </c>
      <c r="X816" s="6" t="s">
        <v>12</v>
      </c>
      <c r="Y816" s="5" t="s">
        <v>8</v>
      </c>
      <c r="Z816" s="5" t="s">
        <v>6</v>
      </c>
      <c r="AA816" s="5" t="s">
        <v>13</v>
      </c>
      <c r="AB816" s="5" t="s">
        <v>11</v>
      </c>
      <c r="AC816" s="3"/>
      <c r="AD816" s="7" t="s">
        <v>1</v>
      </c>
      <c r="AE816" s="5" t="s">
        <v>2</v>
      </c>
      <c r="AF816" s="5" t="s">
        <v>3</v>
      </c>
      <c r="AG816" s="6" t="s">
        <v>4</v>
      </c>
      <c r="AH816" s="5" t="s">
        <v>3</v>
      </c>
      <c r="AI816" s="5" t="s">
        <v>5</v>
      </c>
      <c r="AJ816" s="5" t="s">
        <v>6</v>
      </c>
      <c r="AK816" s="5" t="s">
        <v>7</v>
      </c>
      <c r="AL816" s="55" t="s">
        <v>12</v>
      </c>
      <c r="AM816" s="5" t="s">
        <v>8</v>
      </c>
      <c r="AN816" s="5" t="s">
        <v>6</v>
      </c>
      <c r="AO816" s="5" t="s">
        <v>13</v>
      </c>
      <c r="AP816" s="5" t="s">
        <v>11</v>
      </c>
      <c r="AQ816" s="2"/>
      <c r="AR816" s="7" t="s">
        <v>1</v>
      </c>
      <c r="AS816" s="5" t="s">
        <v>2</v>
      </c>
      <c r="AT816" s="5" t="s">
        <v>3</v>
      </c>
      <c r="AU816" s="6" t="s">
        <v>4</v>
      </c>
      <c r="AV816" s="5" t="s">
        <v>3</v>
      </c>
      <c r="AW816" s="5" t="s">
        <v>5</v>
      </c>
      <c r="AX816" s="5" t="s">
        <v>6</v>
      </c>
      <c r="AY816" s="5" t="s">
        <v>7</v>
      </c>
      <c r="AZ816" s="55" t="s">
        <v>12</v>
      </c>
      <c r="BA816" s="5" t="s">
        <v>8</v>
      </c>
      <c r="BB816" s="5" t="s">
        <v>6</v>
      </c>
      <c r="BC816" s="5" t="s">
        <v>13</v>
      </c>
      <c r="BD816" s="5" t="s">
        <v>11</v>
      </c>
      <c r="BU816" s="8" t="s">
        <v>1</v>
      </c>
      <c r="BV816" s="5" t="s">
        <v>2</v>
      </c>
      <c r="BW816" s="5" t="s">
        <v>3</v>
      </c>
      <c r="BX816" s="6" t="s">
        <v>4</v>
      </c>
      <c r="BY816" s="5" t="s">
        <v>3</v>
      </c>
      <c r="BZ816" s="5" t="s">
        <v>5</v>
      </c>
      <c r="CA816" s="5" t="s">
        <v>6</v>
      </c>
      <c r="CB816" s="5" t="s">
        <v>7</v>
      </c>
      <c r="CC816" s="5"/>
      <c r="CD816" s="5" t="s">
        <v>8</v>
      </c>
      <c r="CE816" s="5" t="s">
        <v>9</v>
      </c>
      <c r="CF816" s="5" t="s">
        <v>10</v>
      </c>
      <c r="CG816" s="5" t="s">
        <v>11</v>
      </c>
      <c r="CH816" s="63"/>
      <c r="CI816" s="8" t="s">
        <v>1</v>
      </c>
      <c r="CJ816" s="5" t="s">
        <v>2</v>
      </c>
      <c r="CK816" s="5" t="s">
        <v>3</v>
      </c>
      <c r="CL816" s="6" t="s">
        <v>4</v>
      </c>
      <c r="CM816" s="5" t="s">
        <v>3</v>
      </c>
      <c r="CN816" s="5" t="s">
        <v>5</v>
      </c>
      <c r="CO816" s="5" t="s">
        <v>6</v>
      </c>
      <c r="CP816" s="5" t="s">
        <v>7</v>
      </c>
      <c r="CQ816" s="5"/>
      <c r="CR816" s="5" t="s">
        <v>8</v>
      </c>
      <c r="CS816" s="5" t="s">
        <v>9</v>
      </c>
      <c r="CT816" s="5" t="s">
        <v>10</v>
      </c>
      <c r="CU816" s="5" t="s">
        <v>11</v>
      </c>
      <c r="CV816" s="1"/>
      <c r="CW816" s="8" t="s">
        <v>1</v>
      </c>
      <c r="CX816" s="5" t="s">
        <v>2</v>
      </c>
      <c r="CY816" s="5" t="s">
        <v>3</v>
      </c>
      <c r="CZ816" s="6" t="s">
        <v>4</v>
      </c>
      <c r="DA816" s="5" t="s">
        <v>3</v>
      </c>
      <c r="DB816" s="5" t="s">
        <v>5</v>
      </c>
      <c r="DC816" s="5" t="s">
        <v>6</v>
      </c>
      <c r="DD816" s="5" t="s">
        <v>7</v>
      </c>
      <c r="DE816" s="5"/>
      <c r="DF816" s="5" t="s">
        <v>8</v>
      </c>
      <c r="DG816" s="5" t="s">
        <v>9</v>
      </c>
      <c r="DH816" s="5" t="s">
        <v>10</v>
      </c>
      <c r="DI816" s="5" t="s">
        <v>11</v>
      </c>
      <c r="DJ816" s="63"/>
      <c r="DK816" s="8" t="s">
        <v>1</v>
      </c>
      <c r="DL816" s="5" t="s">
        <v>2</v>
      </c>
      <c r="DM816" s="5" t="s">
        <v>3</v>
      </c>
      <c r="DN816" s="6" t="s">
        <v>4</v>
      </c>
      <c r="DO816" s="5" t="s">
        <v>3</v>
      </c>
      <c r="DP816" s="5" t="s">
        <v>5</v>
      </c>
      <c r="DQ816" s="5" t="s">
        <v>6</v>
      </c>
      <c r="DR816" s="5" t="s">
        <v>7</v>
      </c>
      <c r="DS816" s="5"/>
      <c r="DT816" s="5" t="s">
        <v>8</v>
      </c>
      <c r="DU816" s="5" t="s">
        <v>9</v>
      </c>
      <c r="DV816" s="5" t="s">
        <v>10</v>
      </c>
      <c r="DW816" s="5" t="s">
        <v>11</v>
      </c>
    </row>
    <row r="817" spans="1:127" x14ac:dyDescent="0.2">
      <c r="A817" s="16">
        <v>45824</v>
      </c>
      <c r="B817" s="74">
        <v>2904</v>
      </c>
      <c r="C817" s="53">
        <v>21228</v>
      </c>
      <c r="D817" s="53">
        <v>118</v>
      </c>
      <c r="E817" s="53">
        <v>1128</v>
      </c>
      <c r="F817" s="53">
        <v>4</v>
      </c>
      <c r="G817" s="53">
        <v>7</v>
      </c>
      <c r="H817" s="53">
        <v>2</v>
      </c>
      <c r="I817" s="53"/>
      <c r="J817" s="75" t="s">
        <v>60</v>
      </c>
      <c r="K817" s="76">
        <v>748</v>
      </c>
      <c r="L817" s="53">
        <v>1496</v>
      </c>
      <c r="M817" s="77">
        <v>0.12677966101694915</v>
      </c>
      <c r="N817" s="15"/>
      <c r="O817" s="2"/>
      <c r="P817" s="16">
        <v>45824</v>
      </c>
      <c r="Q817" s="53">
        <v>21058</v>
      </c>
      <c r="R817" s="53">
        <v>60</v>
      </c>
      <c r="S817" s="53">
        <v>1179</v>
      </c>
      <c r="T817" s="53">
        <v>2</v>
      </c>
      <c r="U817" s="53">
        <v>9</v>
      </c>
      <c r="V817" s="53">
        <v>3</v>
      </c>
      <c r="W817" s="53">
        <v>4</v>
      </c>
      <c r="X817" s="78" t="s">
        <v>143</v>
      </c>
      <c r="Y817" s="76">
        <v>0</v>
      </c>
      <c r="Z817" s="53">
        <v>0</v>
      </c>
      <c r="AA817" s="77">
        <v>0</v>
      </c>
      <c r="AB817" s="15"/>
      <c r="AC817" s="1"/>
      <c r="AD817" s="16">
        <v>45824</v>
      </c>
      <c r="AE817" s="53">
        <v>5323</v>
      </c>
      <c r="AF817" s="53">
        <v>128</v>
      </c>
      <c r="AG817" s="53">
        <v>109</v>
      </c>
      <c r="AH817" s="53">
        <v>3</v>
      </c>
      <c r="AI817" s="53">
        <v>34</v>
      </c>
      <c r="AJ817" s="53">
        <v>3</v>
      </c>
      <c r="AK817" s="53">
        <v>1</v>
      </c>
      <c r="AL817" s="75" t="s">
        <v>15</v>
      </c>
      <c r="AM817" s="76">
        <v>1100</v>
      </c>
      <c r="AN817" s="53">
        <v>3300</v>
      </c>
      <c r="AO817" s="77">
        <v>0.2578125</v>
      </c>
      <c r="AP817" s="15"/>
      <c r="AQ817" s="2"/>
      <c r="AR817" s="16">
        <v>45824</v>
      </c>
      <c r="AS817" s="53">
        <v>5367</v>
      </c>
      <c r="AT817" s="53">
        <v>60</v>
      </c>
      <c r="AU817" s="53">
        <v>174</v>
      </c>
      <c r="AV817" s="53">
        <v>2</v>
      </c>
      <c r="AW817" s="53">
        <v>15</v>
      </c>
      <c r="AX817" s="53">
        <v>1</v>
      </c>
      <c r="AY817" s="53">
        <v>0</v>
      </c>
      <c r="AZ817" s="75" t="s">
        <v>16</v>
      </c>
      <c r="BA817" s="76">
        <v>1001</v>
      </c>
      <c r="BB817" s="53">
        <v>1001</v>
      </c>
      <c r="BC817" s="77">
        <v>0.16683333333333333</v>
      </c>
      <c r="BD817" s="15"/>
      <c r="BU817" s="16">
        <v>45824</v>
      </c>
      <c r="BV817" s="76">
        <v>1389</v>
      </c>
      <c r="BW817" s="53">
        <v>343</v>
      </c>
      <c r="BX817" s="53">
        <v>54</v>
      </c>
      <c r="BY817" s="53">
        <v>12</v>
      </c>
      <c r="BZ817" s="53">
        <v>27</v>
      </c>
      <c r="CA817" s="53">
        <v>19</v>
      </c>
      <c r="CB817" s="53">
        <v>13</v>
      </c>
      <c r="CC817" s="53"/>
      <c r="CD817" s="53">
        <v>385</v>
      </c>
      <c r="CE817" s="13">
        <v>7315</v>
      </c>
      <c r="CF817" s="14">
        <v>5.2663786897048238E-2</v>
      </c>
      <c r="CG817" s="91" t="s">
        <v>114</v>
      </c>
      <c r="CH817" s="1"/>
      <c r="CI817" s="16">
        <v>45824</v>
      </c>
      <c r="CJ817" s="76">
        <v>932</v>
      </c>
      <c r="CK817" s="53">
        <v>144</v>
      </c>
      <c r="CL817" s="53">
        <v>3</v>
      </c>
      <c r="CM817" s="53">
        <v>2</v>
      </c>
      <c r="CN817" s="53">
        <v>18</v>
      </c>
      <c r="CO817" s="53">
        <v>2</v>
      </c>
      <c r="CP817" s="53">
        <v>3</v>
      </c>
      <c r="CQ817" s="53"/>
      <c r="CR817" s="13">
        <v>1012</v>
      </c>
      <c r="CS817" s="13">
        <v>2024</v>
      </c>
      <c r="CT817" s="14">
        <v>0.14055555555555554</v>
      </c>
      <c r="CU817" s="67" t="s">
        <v>158</v>
      </c>
      <c r="CV817" s="1"/>
      <c r="CW817" s="16">
        <v>45824</v>
      </c>
      <c r="CX817" s="76">
        <v>1516</v>
      </c>
      <c r="CY817" s="53">
        <v>190</v>
      </c>
      <c r="CZ817" s="53">
        <v>45</v>
      </c>
      <c r="DA817" s="53">
        <v>11</v>
      </c>
      <c r="DB817" s="53">
        <v>29</v>
      </c>
      <c r="DC817" s="53">
        <v>13</v>
      </c>
      <c r="DD817" s="53">
        <v>10</v>
      </c>
      <c r="DE817" s="53"/>
      <c r="DF817" s="53">
        <v>880</v>
      </c>
      <c r="DG817" s="13">
        <v>11440</v>
      </c>
      <c r="DH817" s="14">
        <v>0.6021052631578947</v>
      </c>
      <c r="DI817" s="15" t="s">
        <v>156</v>
      </c>
      <c r="DJ817" s="1"/>
      <c r="DK817" s="16">
        <v>45824</v>
      </c>
      <c r="DL817" s="76">
        <v>1160</v>
      </c>
      <c r="DM817" s="53">
        <v>186</v>
      </c>
      <c r="DN817" s="53">
        <v>51</v>
      </c>
      <c r="DO817" s="53">
        <v>11</v>
      </c>
      <c r="DP817" s="53">
        <v>34</v>
      </c>
      <c r="DQ817" s="53">
        <v>11</v>
      </c>
      <c r="DR817" s="53">
        <v>3</v>
      </c>
      <c r="DS817" s="53"/>
      <c r="DT817" s="13">
        <v>300</v>
      </c>
      <c r="DU817" s="13">
        <v>3300</v>
      </c>
      <c r="DV817" s="14">
        <v>0.17741935483870969</v>
      </c>
      <c r="DW817" s="22" t="s">
        <v>34</v>
      </c>
    </row>
    <row r="818" spans="1:127" x14ac:dyDescent="0.2">
      <c r="A818" s="290" t="s">
        <v>155</v>
      </c>
      <c r="B818" s="291"/>
      <c r="C818" s="13">
        <v>25310</v>
      </c>
      <c r="D818" s="13">
        <v>78</v>
      </c>
      <c r="E818" s="13">
        <v>1303</v>
      </c>
      <c r="F818" s="13">
        <v>3</v>
      </c>
      <c r="G818" s="13">
        <v>17</v>
      </c>
      <c r="H818" s="13">
        <v>3</v>
      </c>
      <c r="I818" s="13">
        <v>2</v>
      </c>
      <c r="J818" s="56" t="s">
        <v>36</v>
      </c>
      <c r="K818" s="54">
        <v>1100</v>
      </c>
      <c r="L818" s="13">
        <v>3300</v>
      </c>
      <c r="M818" s="14">
        <v>0.42307692307692307</v>
      </c>
      <c r="N818" s="15"/>
      <c r="O818" s="2"/>
      <c r="P818" s="16"/>
      <c r="Q818" s="13">
        <v>26439</v>
      </c>
      <c r="R818" s="13">
        <v>234</v>
      </c>
      <c r="S818" s="13">
        <v>1485</v>
      </c>
      <c r="T818" s="13">
        <v>6</v>
      </c>
      <c r="U818" s="13">
        <v>7</v>
      </c>
      <c r="V818" s="13">
        <v>6</v>
      </c>
      <c r="W818" s="13">
        <v>4</v>
      </c>
      <c r="X818" s="78" t="s">
        <v>102</v>
      </c>
      <c r="Y818" s="53">
        <v>1100</v>
      </c>
      <c r="Z818" s="13">
        <v>6600</v>
      </c>
      <c r="AA818" s="14">
        <v>0.28205128205128205</v>
      </c>
      <c r="AB818" s="15"/>
      <c r="AC818" s="1"/>
      <c r="AD818" s="16"/>
      <c r="AE818" s="13">
        <v>4311</v>
      </c>
      <c r="AF818" s="13">
        <v>16</v>
      </c>
      <c r="AG818" s="13">
        <v>100</v>
      </c>
      <c r="AH818" s="13">
        <v>0</v>
      </c>
      <c r="AI818" s="13">
        <v>0</v>
      </c>
      <c r="AJ818" s="13">
        <v>2</v>
      </c>
      <c r="AK818" s="13">
        <v>6</v>
      </c>
      <c r="AL818" s="56" t="s">
        <v>81</v>
      </c>
      <c r="AM818" s="54">
        <v>800</v>
      </c>
      <c r="AN818" s="13">
        <v>1600</v>
      </c>
      <c r="AO818" s="14">
        <v>1</v>
      </c>
      <c r="AP818" s="15"/>
      <c r="AQ818" s="2"/>
      <c r="AR818" s="16"/>
      <c r="AS818" s="13">
        <v>3657</v>
      </c>
      <c r="AT818" s="13">
        <v>144</v>
      </c>
      <c r="AU818" s="13">
        <v>196</v>
      </c>
      <c r="AV818" s="13">
        <v>6</v>
      </c>
      <c r="AW818" s="13">
        <v>14</v>
      </c>
      <c r="AX818" s="13">
        <v>6</v>
      </c>
      <c r="AY818" s="13">
        <v>1</v>
      </c>
      <c r="AZ818" s="56" t="s">
        <v>130</v>
      </c>
      <c r="BA818" s="54">
        <v>400</v>
      </c>
      <c r="BB818" s="13">
        <v>2400</v>
      </c>
      <c r="BC818" s="14">
        <v>0.16666666666666666</v>
      </c>
      <c r="BD818" s="15"/>
      <c r="BU818" s="79">
        <f>IF($A821="","",$A821)</f>
        <v>45828</v>
      </c>
      <c r="BV818" s="13">
        <v>1523</v>
      </c>
      <c r="BW818" s="13">
        <f t="shared" ref="BW818:BW825" si="1190">IF(BV818="","",BV818-BV817)</f>
        <v>134</v>
      </c>
      <c r="BX818" s="13">
        <v>60</v>
      </c>
      <c r="BY818" s="13">
        <f t="shared" ref="BY818:BY825" si="1191">IF(BX818="","",BX818-BX817)</f>
        <v>6</v>
      </c>
      <c r="BZ818" s="13">
        <v>34</v>
      </c>
      <c r="CA818" s="13">
        <f t="shared" ref="CA818:CA825" si="1192">IF(BZ818="","",BZ817+CB817-BZ818)</f>
        <v>6</v>
      </c>
      <c r="CB818" s="13">
        <v>8</v>
      </c>
      <c r="CC818" s="53"/>
      <c r="CD818" s="53">
        <f t="shared" ref="CD818:CD825" si="1193">IF(BV818="","",CD817)</f>
        <v>385</v>
      </c>
      <c r="CE818" s="13">
        <f t="shared" ref="CE818:CE825" si="1194">IF(CD818="","",CA818*CD818)</f>
        <v>2310</v>
      </c>
      <c r="CF818" s="14">
        <f t="shared" ref="CF818:CF823" si="1195">IF(CE818="","",CE818/(BW818*100))</f>
        <v>0.17238805970149254</v>
      </c>
      <c r="CG818" s="67"/>
      <c r="CH818" s="1"/>
      <c r="CI818" s="79">
        <f>IF($A821="","",$A821)</f>
        <v>45828</v>
      </c>
      <c r="CJ818" s="13">
        <v>1057</v>
      </c>
      <c r="CK818" s="13">
        <f t="shared" ref="CK818:CK825" si="1196">IF(CJ818="","",CJ818-CJ817)</f>
        <v>125</v>
      </c>
      <c r="CL818" s="13">
        <v>4</v>
      </c>
      <c r="CM818" s="13">
        <f t="shared" ref="CM818:CM825" si="1197">IF(CL818="","",CL818-CL817)</f>
        <v>1</v>
      </c>
      <c r="CN818" s="13">
        <v>20</v>
      </c>
      <c r="CO818" s="13">
        <f t="shared" ref="CO818:CO825" si="1198">IF(CN818="","",CN817+CP817-CN818)</f>
        <v>1</v>
      </c>
      <c r="CP818" s="13">
        <v>0</v>
      </c>
      <c r="CQ818" s="53"/>
      <c r="CR818" s="53">
        <f t="shared" ref="CR818:CR825" si="1199">IF(CJ818="","",CR817)</f>
        <v>1012</v>
      </c>
      <c r="CS818" s="13">
        <f t="shared" ref="CS818:CS825" si="1200">IF(CR818="","",CO818*CR818)</f>
        <v>1012</v>
      </c>
      <c r="CT818" s="14">
        <f t="shared" ref="CT818:CT825" si="1201">IF(CS818="","",CS818/(CK818*100))</f>
        <v>8.0960000000000004E-2</v>
      </c>
      <c r="CU818" s="67"/>
      <c r="CV818" s="1"/>
      <c r="CW818" s="79">
        <f>IF($A821="","",$A821)</f>
        <v>45828</v>
      </c>
      <c r="CX818" s="13">
        <v>1712</v>
      </c>
      <c r="CY818" s="13">
        <f t="shared" ref="CY818:CY825" si="1202">IF(CX818="","",CX818-CX817)</f>
        <v>196</v>
      </c>
      <c r="CZ818" s="13">
        <v>53</v>
      </c>
      <c r="DA818" s="13">
        <f t="shared" ref="DA818:DA825" si="1203">IF(CZ818="","",CZ818-CZ817)</f>
        <v>8</v>
      </c>
      <c r="DB818" s="13">
        <v>28</v>
      </c>
      <c r="DC818" s="13">
        <f t="shared" ref="DC818:DC825" si="1204">IF(DB818="","",DB817+DD817-DB818)</f>
        <v>11</v>
      </c>
      <c r="DD818" s="13">
        <v>8</v>
      </c>
      <c r="DE818" s="53"/>
      <c r="DF818" s="53">
        <f t="shared" ref="DF818:DF825" si="1205">IF(CX818="","",DF817)</f>
        <v>880</v>
      </c>
      <c r="DG818" s="13">
        <f t="shared" ref="DG818:DG825" si="1206">IF(DF818="","",DC818*DF818)</f>
        <v>9680</v>
      </c>
      <c r="DH818" s="14">
        <f t="shared" ref="DH818:DH824" si="1207">IF(DG818="","",DG818/(CY818*100))</f>
        <v>0.49387755102040815</v>
      </c>
      <c r="DI818" s="67"/>
      <c r="DJ818" s="1"/>
      <c r="DK818" s="79">
        <f>IF($A821="","",$A821)</f>
        <v>45828</v>
      </c>
      <c r="DL818" s="13">
        <v>1234</v>
      </c>
      <c r="DM818" s="13">
        <f t="shared" ref="DM818:DM825" si="1208">IF(DL818="","",DL818-DL817)</f>
        <v>74</v>
      </c>
      <c r="DN818" s="13">
        <v>53</v>
      </c>
      <c r="DO818" s="13">
        <f t="shared" ref="DO818:DO825" si="1209">IF(DN818="","",DN818-DN817)</f>
        <v>2</v>
      </c>
      <c r="DP818" s="13">
        <v>34</v>
      </c>
      <c r="DQ818" s="13">
        <f t="shared" ref="DQ818:DQ825" si="1210">IF(DP818="","",DP817+DR817-DP818)</f>
        <v>3</v>
      </c>
      <c r="DR818" s="13">
        <v>0</v>
      </c>
      <c r="DS818" s="53"/>
      <c r="DT818" s="53">
        <f t="shared" ref="DT818:DT825" si="1211">IF(DL818="","",DT817)</f>
        <v>300</v>
      </c>
      <c r="DU818" s="13">
        <f t="shared" ref="DU818:DU825" si="1212">IF(DT818="","",DQ818*DT818)</f>
        <v>900</v>
      </c>
      <c r="DV818" s="14">
        <f t="shared" ref="DV818:DV823" si="1213">IF(DU818="","",DU818/(DM818*100))</f>
        <v>0.12162162162162163</v>
      </c>
      <c r="DW818" s="67"/>
    </row>
    <row r="819" spans="1:127" x14ac:dyDescent="0.2">
      <c r="A819" s="292" t="s">
        <v>150</v>
      </c>
      <c r="B819" s="274"/>
      <c r="C819" s="13">
        <v>21182</v>
      </c>
      <c r="D819" s="13">
        <v>90</v>
      </c>
      <c r="E819" s="13">
        <v>1069</v>
      </c>
      <c r="F819" s="13">
        <v>6</v>
      </c>
      <c r="G819" s="13">
        <v>3</v>
      </c>
      <c r="H819" s="13">
        <v>7</v>
      </c>
      <c r="I819" s="13">
        <v>9</v>
      </c>
      <c r="J819" s="56" t="s">
        <v>17</v>
      </c>
      <c r="K819" s="54">
        <v>180</v>
      </c>
      <c r="L819" s="13">
        <v>1260</v>
      </c>
      <c r="M819" s="14">
        <v>0.14000000000000001</v>
      </c>
      <c r="N819" s="15"/>
      <c r="O819" s="2"/>
      <c r="P819" s="16"/>
      <c r="Q819" s="13">
        <v>19772</v>
      </c>
      <c r="R819" s="13">
        <v>92</v>
      </c>
      <c r="S819" s="13">
        <v>2707</v>
      </c>
      <c r="T819" s="13">
        <v>4</v>
      </c>
      <c r="U819" s="13">
        <v>1</v>
      </c>
      <c r="V819" s="13">
        <v>11</v>
      </c>
      <c r="W819" s="13">
        <v>6</v>
      </c>
      <c r="X819" s="21" t="s">
        <v>142</v>
      </c>
      <c r="Y819" s="54">
        <v>0</v>
      </c>
      <c r="Z819" s="13">
        <v>0</v>
      </c>
      <c r="AA819" s="14">
        <v>0</v>
      </c>
      <c r="AB819" s="15"/>
      <c r="AC819" s="1"/>
      <c r="AD819" s="16"/>
      <c r="AE819" s="13">
        <v>4575</v>
      </c>
      <c r="AF819" s="13">
        <v>58</v>
      </c>
      <c r="AG819" s="13">
        <v>150</v>
      </c>
      <c r="AH819" s="13">
        <v>2</v>
      </c>
      <c r="AI819" s="13">
        <v>66</v>
      </c>
      <c r="AJ819" s="13">
        <v>10</v>
      </c>
      <c r="AK819" s="13">
        <v>0</v>
      </c>
      <c r="AL819" s="56" t="s">
        <v>141</v>
      </c>
      <c r="AM819" s="54">
        <v>160</v>
      </c>
      <c r="AN819" s="13">
        <v>0</v>
      </c>
      <c r="AO819" s="14">
        <v>0</v>
      </c>
      <c r="AP819" s="15"/>
      <c r="AQ819" s="2"/>
      <c r="AR819" s="16"/>
      <c r="AS819" s="13">
        <v>5973</v>
      </c>
      <c r="AT819" s="13">
        <v>300</v>
      </c>
      <c r="AU819" s="13">
        <v>240</v>
      </c>
      <c r="AV819" s="13">
        <v>10</v>
      </c>
      <c r="AW819" s="13">
        <v>115</v>
      </c>
      <c r="AX819" s="13">
        <v>13</v>
      </c>
      <c r="AY819" s="13">
        <v>35</v>
      </c>
      <c r="AZ819" s="56" t="s">
        <v>74</v>
      </c>
      <c r="BA819" s="54">
        <v>200</v>
      </c>
      <c r="BB819" s="13">
        <v>2600</v>
      </c>
      <c r="BC819" s="14">
        <v>8.666666666666667E-2</v>
      </c>
      <c r="BD819" s="15"/>
      <c r="BU819" s="79">
        <f>IF($A825="","",$A825)</f>
        <v>45831</v>
      </c>
      <c r="BV819" s="13">
        <v>1655</v>
      </c>
      <c r="BW819" s="13">
        <f t="shared" si="1190"/>
        <v>132</v>
      </c>
      <c r="BX819" s="13">
        <v>66</v>
      </c>
      <c r="BY819" s="13">
        <f t="shared" si="1191"/>
        <v>6</v>
      </c>
      <c r="BZ819" s="13">
        <v>34</v>
      </c>
      <c r="CA819" s="13">
        <f t="shared" si="1192"/>
        <v>8</v>
      </c>
      <c r="CB819" s="13">
        <v>8</v>
      </c>
      <c r="CC819" s="53"/>
      <c r="CD819" s="53">
        <f t="shared" si="1193"/>
        <v>385</v>
      </c>
      <c r="CE819" s="13">
        <f t="shared" si="1194"/>
        <v>3080</v>
      </c>
      <c r="CF819" s="14">
        <f t="shared" si="1195"/>
        <v>0.23333333333333334</v>
      </c>
      <c r="CG819" s="67"/>
      <c r="CH819" s="1"/>
      <c r="CI819" s="79">
        <f>IF($A825="","",$A825)</f>
        <v>45831</v>
      </c>
      <c r="CJ819" s="13">
        <v>1135</v>
      </c>
      <c r="CK819" s="13">
        <f t="shared" si="1196"/>
        <v>78</v>
      </c>
      <c r="CL819" s="13">
        <v>5</v>
      </c>
      <c r="CM819" s="13">
        <f t="shared" si="1197"/>
        <v>1</v>
      </c>
      <c r="CN819" s="13">
        <v>19</v>
      </c>
      <c r="CO819" s="13">
        <f t="shared" si="1198"/>
        <v>1</v>
      </c>
      <c r="CP819" s="13">
        <v>2</v>
      </c>
      <c r="CQ819" s="53"/>
      <c r="CR819" s="53">
        <f t="shared" si="1199"/>
        <v>1012</v>
      </c>
      <c r="CS819" s="13">
        <f t="shared" si="1200"/>
        <v>1012</v>
      </c>
      <c r="CT819" s="14">
        <f t="shared" si="1201"/>
        <v>0.12974358974358974</v>
      </c>
      <c r="CU819" s="67"/>
      <c r="CV819" s="1"/>
      <c r="CW819" s="79">
        <f>IF($A825="","",$A825)</f>
        <v>45831</v>
      </c>
      <c r="CX819" s="13">
        <v>1941</v>
      </c>
      <c r="CY819" s="13">
        <f t="shared" si="1202"/>
        <v>229</v>
      </c>
      <c r="CZ819" s="13">
        <v>57</v>
      </c>
      <c r="DA819" s="13">
        <f t="shared" si="1203"/>
        <v>4</v>
      </c>
      <c r="DB819" s="13">
        <v>32</v>
      </c>
      <c r="DC819" s="13">
        <f t="shared" si="1204"/>
        <v>4</v>
      </c>
      <c r="DD819" s="13">
        <v>10</v>
      </c>
      <c r="DE819" s="53"/>
      <c r="DF819" s="53">
        <f t="shared" si="1205"/>
        <v>880</v>
      </c>
      <c r="DG819" s="13">
        <f t="shared" si="1206"/>
        <v>3520</v>
      </c>
      <c r="DH819" s="14">
        <f t="shared" si="1207"/>
        <v>0.15371179039301311</v>
      </c>
      <c r="DI819" s="67"/>
      <c r="DJ819" s="1"/>
      <c r="DK819" s="79">
        <f>IF($A825="","",$A825)</f>
        <v>45831</v>
      </c>
      <c r="DL819" s="13">
        <v>1412</v>
      </c>
      <c r="DM819" s="13">
        <f t="shared" si="1208"/>
        <v>178</v>
      </c>
      <c r="DN819" s="13">
        <v>62</v>
      </c>
      <c r="DO819" s="13">
        <f t="shared" si="1209"/>
        <v>9</v>
      </c>
      <c r="DP819" s="13">
        <v>24</v>
      </c>
      <c r="DQ819" s="13">
        <f t="shared" si="1210"/>
        <v>10</v>
      </c>
      <c r="DR819" s="13">
        <v>6</v>
      </c>
      <c r="DS819" s="53"/>
      <c r="DT819" s="53">
        <f t="shared" si="1211"/>
        <v>300</v>
      </c>
      <c r="DU819" s="13">
        <f t="shared" si="1212"/>
        <v>3000</v>
      </c>
      <c r="DV819" s="14">
        <f t="shared" si="1213"/>
        <v>0.16853932584269662</v>
      </c>
      <c r="DW819" s="67"/>
    </row>
    <row r="820" spans="1:127" ht="15" customHeight="1" thickBot="1" x14ac:dyDescent="0.25">
      <c r="A820" s="26"/>
      <c r="B820" s="46"/>
      <c r="C820" s="27">
        <v>27397</v>
      </c>
      <c r="D820" s="27">
        <v>160</v>
      </c>
      <c r="E820" s="27">
        <v>1328</v>
      </c>
      <c r="F820" s="27">
        <v>7</v>
      </c>
      <c r="G820" s="27">
        <v>41</v>
      </c>
      <c r="H820" s="27">
        <v>8</v>
      </c>
      <c r="I820" s="27">
        <v>8</v>
      </c>
      <c r="J820" s="57" t="s">
        <v>44</v>
      </c>
      <c r="K820" s="27">
        <v>682</v>
      </c>
      <c r="L820" s="27">
        <v>5456</v>
      </c>
      <c r="M820" s="28">
        <v>0.34100000000000003</v>
      </c>
      <c r="N820" s="15"/>
      <c r="O820" s="2"/>
      <c r="P820" s="26"/>
      <c r="Q820" s="27">
        <v>19037</v>
      </c>
      <c r="R820" s="27">
        <v>218</v>
      </c>
      <c r="S820" s="27">
        <v>1678</v>
      </c>
      <c r="T820" s="27">
        <v>7</v>
      </c>
      <c r="U820" s="27">
        <v>6</v>
      </c>
      <c r="V820" s="27">
        <v>7</v>
      </c>
      <c r="W820" s="27">
        <v>0</v>
      </c>
      <c r="X820" s="30" t="s">
        <v>30</v>
      </c>
      <c r="Y820" s="27">
        <v>600</v>
      </c>
      <c r="Z820" s="27">
        <v>4200</v>
      </c>
      <c r="AA820" s="28">
        <v>0.19266055045871561</v>
      </c>
      <c r="AB820" s="15"/>
      <c r="AC820" s="1"/>
      <c r="AD820" s="26"/>
      <c r="AE820" s="27">
        <v>4634</v>
      </c>
      <c r="AF820" s="90">
        <v>204</v>
      </c>
      <c r="AG820" s="27">
        <v>161</v>
      </c>
      <c r="AH820" s="27">
        <v>7</v>
      </c>
      <c r="AI820" s="27">
        <v>10</v>
      </c>
      <c r="AJ820" s="27">
        <v>8</v>
      </c>
      <c r="AK820" s="27">
        <v>6</v>
      </c>
      <c r="AL820" s="108" t="s">
        <v>91</v>
      </c>
      <c r="AM820" s="27">
        <v>726</v>
      </c>
      <c r="AN820" s="27">
        <v>5808</v>
      </c>
      <c r="AO820" s="28">
        <v>0.2847058823529412</v>
      </c>
      <c r="AP820" s="15"/>
      <c r="AQ820" s="2"/>
      <c r="AR820" s="26"/>
      <c r="AS820" s="27">
        <v>5098</v>
      </c>
      <c r="AT820" s="27">
        <v>81</v>
      </c>
      <c r="AU820" s="27">
        <v>229</v>
      </c>
      <c r="AV820" s="27">
        <v>2</v>
      </c>
      <c r="AW820" s="27">
        <v>10</v>
      </c>
      <c r="AX820" s="27">
        <v>2</v>
      </c>
      <c r="AY820" s="27">
        <v>3</v>
      </c>
      <c r="AZ820" s="57" t="s">
        <v>69</v>
      </c>
      <c r="BA820" s="27">
        <v>0</v>
      </c>
      <c r="BB820" s="27">
        <v>0</v>
      </c>
      <c r="BC820" s="28">
        <v>0</v>
      </c>
      <c r="BD820" s="15"/>
      <c r="BU820" s="79">
        <f>IF($A829="","",$A829)</f>
        <v>45835</v>
      </c>
      <c r="BV820" s="13">
        <v>1838</v>
      </c>
      <c r="BW820" s="13">
        <f t="shared" si="1190"/>
        <v>183</v>
      </c>
      <c r="BX820" s="13">
        <v>73</v>
      </c>
      <c r="BY820" s="13">
        <f t="shared" si="1191"/>
        <v>7</v>
      </c>
      <c r="BZ820" s="13">
        <v>35</v>
      </c>
      <c r="CA820" s="13">
        <f t="shared" si="1192"/>
        <v>7</v>
      </c>
      <c r="CB820" s="13">
        <v>6</v>
      </c>
      <c r="CC820" s="53"/>
      <c r="CD820" s="53">
        <f t="shared" si="1193"/>
        <v>385</v>
      </c>
      <c r="CE820" s="13">
        <f t="shared" si="1194"/>
        <v>2695</v>
      </c>
      <c r="CF820" s="14">
        <f t="shared" si="1195"/>
        <v>0.14726775956284152</v>
      </c>
      <c r="CG820" s="67"/>
      <c r="CH820" s="1"/>
      <c r="CI820" s="79">
        <f>IF($A829="","",$A829)</f>
        <v>45835</v>
      </c>
      <c r="CJ820" s="13">
        <v>1236</v>
      </c>
      <c r="CK820" s="13">
        <f t="shared" si="1196"/>
        <v>101</v>
      </c>
      <c r="CL820" s="13">
        <v>7</v>
      </c>
      <c r="CM820" s="13">
        <f t="shared" si="1197"/>
        <v>2</v>
      </c>
      <c r="CN820" s="13">
        <v>19</v>
      </c>
      <c r="CO820" s="13">
        <f t="shared" si="1198"/>
        <v>2</v>
      </c>
      <c r="CP820" s="13">
        <v>0</v>
      </c>
      <c r="CQ820" s="53"/>
      <c r="CR820" s="53">
        <f t="shared" si="1199"/>
        <v>1012</v>
      </c>
      <c r="CS820" s="13">
        <f t="shared" si="1200"/>
        <v>2024</v>
      </c>
      <c r="CT820" s="14">
        <f t="shared" si="1201"/>
        <v>0.20039603960396041</v>
      </c>
      <c r="CU820" s="67"/>
      <c r="CV820" s="1"/>
      <c r="CW820" s="79">
        <f>IF($A829="","",$A829)</f>
        <v>45835</v>
      </c>
      <c r="CX820" s="13">
        <v>2093</v>
      </c>
      <c r="CY820" s="13">
        <f t="shared" si="1202"/>
        <v>152</v>
      </c>
      <c r="CZ820" s="13">
        <v>61</v>
      </c>
      <c r="DA820" s="13">
        <f t="shared" si="1203"/>
        <v>4</v>
      </c>
      <c r="DB820" s="13">
        <v>38</v>
      </c>
      <c r="DC820" s="13">
        <f t="shared" si="1204"/>
        <v>4</v>
      </c>
      <c r="DD820" s="13">
        <v>-5</v>
      </c>
      <c r="DE820" s="53"/>
      <c r="DF820" s="53">
        <f t="shared" si="1205"/>
        <v>880</v>
      </c>
      <c r="DG820" s="13">
        <f t="shared" si="1206"/>
        <v>3520</v>
      </c>
      <c r="DH820" s="14">
        <f t="shared" si="1207"/>
        <v>0.23157894736842105</v>
      </c>
      <c r="DI820" s="67"/>
      <c r="DJ820" s="1"/>
      <c r="DK820" s="79">
        <f>IF($A829="","",$A829)</f>
        <v>45835</v>
      </c>
      <c r="DL820" s="13">
        <v>1482</v>
      </c>
      <c r="DM820" s="13">
        <f t="shared" si="1208"/>
        <v>70</v>
      </c>
      <c r="DN820" s="13">
        <v>66</v>
      </c>
      <c r="DO820" s="13">
        <f t="shared" si="1209"/>
        <v>4</v>
      </c>
      <c r="DP820" s="13">
        <v>26</v>
      </c>
      <c r="DQ820" s="13">
        <f t="shared" si="1210"/>
        <v>4</v>
      </c>
      <c r="DR820" s="13">
        <v>5</v>
      </c>
      <c r="DS820" s="53"/>
      <c r="DT820" s="53">
        <f t="shared" si="1211"/>
        <v>300</v>
      </c>
      <c r="DU820" s="13">
        <f t="shared" si="1212"/>
        <v>1200</v>
      </c>
      <c r="DV820" s="14">
        <f t="shared" si="1213"/>
        <v>0.17142857142857143</v>
      </c>
      <c r="DW820" s="67"/>
    </row>
    <row r="821" spans="1:127" ht="15" customHeight="1" thickTop="1" x14ac:dyDescent="0.2">
      <c r="A821" s="79">
        <v>45828</v>
      </c>
      <c r="B821" s="74">
        <f>IF(A821="","",SUM(D821:D824)+SUM(R821:R824)+SUM(AF821:AF824)+SUM(AT821:AT824)+SUM(BW818,CK818,CY818,DM818))</f>
        <v>1603</v>
      </c>
      <c r="C821" s="53">
        <v>21309</v>
      </c>
      <c r="D821" s="53">
        <f t="shared" ref="D821:D852" si="1214">IF(C821="","",C821-C817)</f>
        <v>81</v>
      </c>
      <c r="E821" s="53">
        <v>1131</v>
      </c>
      <c r="F821" s="31">
        <f t="shared" ref="F821:F852" si="1215">IF(E821="","",E821-E817)</f>
        <v>3</v>
      </c>
      <c r="G821" s="53">
        <v>5</v>
      </c>
      <c r="H821" s="53">
        <f t="shared" ref="H821:H852" si="1216">IF(G821="","",G817+I817-G821)</f>
        <v>2</v>
      </c>
      <c r="I821" s="80">
        <v>8</v>
      </c>
      <c r="J821" s="21" t="str">
        <f t="shared" ref="J821:J852" si="1217">IF(C821="","",J817)</f>
        <v>ジャグラーサウンドボタン</v>
      </c>
      <c r="K821" s="54">
        <f t="shared" ref="K821:K852" si="1218">IF(D821="","",K817)</f>
        <v>748</v>
      </c>
      <c r="L821" s="31">
        <f t="shared" ref="L821:L852" si="1219">IF(G821="","",H821*K821)</f>
        <v>1496</v>
      </c>
      <c r="M821" s="32">
        <f t="shared" ref="M821:M852" si="1220">IF(H821="","",L821/(D821*100))</f>
        <v>0.18469135802469136</v>
      </c>
      <c r="N821" s="15"/>
      <c r="O821" s="2"/>
      <c r="P821" s="79">
        <f>IF(A821="","",A821)</f>
        <v>45828</v>
      </c>
      <c r="Q821" s="53">
        <v>21113</v>
      </c>
      <c r="R821" s="53">
        <f t="shared" ref="R821:R852" si="1221">IF(Q821="","",Q821-Q817)</f>
        <v>55</v>
      </c>
      <c r="S821" s="53">
        <v>1181</v>
      </c>
      <c r="T821" s="31">
        <f t="shared" ref="T821:T852" si="1222">IF(S821="","",S821-S817)</f>
        <v>2</v>
      </c>
      <c r="U821" s="53">
        <v>11</v>
      </c>
      <c r="V821" s="53">
        <f t="shared" ref="V821:V852" si="1223">IF(U821="","",U817+W817-U821)</f>
        <v>2</v>
      </c>
      <c r="W821" s="80">
        <v>2</v>
      </c>
      <c r="X821" s="21" t="str">
        <f t="shared" ref="X821:X852" si="1224">IF(Q821="","",X817)</f>
        <v>ジャグラータイマークロック</v>
      </c>
      <c r="Y821" s="54">
        <f t="shared" ref="Y821:Y852" si="1225">IF(R821="","",Y817)</f>
        <v>0</v>
      </c>
      <c r="Z821" s="31">
        <f t="shared" ref="Z821:Z852" si="1226">IF(U821="","",V821*Y821)</f>
        <v>0</v>
      </c>
      <c r="AA821" s="32">
        <f t="shared" ref="AA821:AA852" si="1227">IF(V821="","",Z821/(R821*100))</f>
        <v>0</v>
      </c>
      <c r="AB821" s="15"/>
      <c r="AD821" s="79">
        <f>IF($A821="","",$A821)</f>
        <v>45828</v>
      </c>
      <c r="AE821" s="53">
        <v>5388</v>
      </c>
      <c r="AF821" s="53">
        <f t="shared" ref="AF821:AF852" si="1228">IF(AE821="","",AE821-AE817)</f>
        <v>65</v>
      </c>
      <c r="AG821" s="53">
        <v>112</v>
      </c>
      <c r="AH821" s="31">
        <f t="shared" ref="AH821:AH852" si="1229">IF(AG821="","",AG821-AG817)</f>
        <v>3</v>
      </c>
      <c r="AI821" s="53">
        <v>33</v>
      </c>
      <c r="AJ821" s="53">
        <f t="shared" ref="AJ821:AJ852" si="1230">IF(AI821="","",AI817+AK817-AI821)</f>
        <v>2</v>
      </c>
      <c r="AK821" s="80">
        <v>5</v>
      </c>
      <c r="AL821" s="21" t="str">
        <f t="shared" ref="AL821:AL852" si="1231">IF(AE821="","",AL817)</f>
        <v>ミニ香水</v>
      </c>
      <c r="AM821" s="54">
        <f t="shared" ref="AM821:AM852" si="1232">IF(AF821="","",AM817)</f>
        <v>1100</v>
      </c>
      <c r="AN821" s="31">
        <f t="shared" ref="AN821:AN852" si="1233">IF(AI821="","",AJ821*AM821)</f>
        <v>2200</v>
      </c>
      <c r="AO821" s="32">
        <f t="shared" ref="AO821:AO852" si="1234">IF(AJ821="","",AN821/(AF821*100))</f>
        <v>0.33846153846153848</v>
      </c>
      <c r="AP821" s="15"/>
      <c r="AQ821" s="2"/>
      <c r="AR821" s="79">
        <f>IF($A821="","",$A821)</f>
        <v>45828</v>
      </c>
      <c r="AS821" s="53">
        <v>5452</v>
      </c>
      <c r="AT821" s="53">
        <f t="shared" ref="AT821:AT852" si="1235">IF(AS821="","",AS821-AS817)</f>
        <v>85</v>
      </c>
      <c r="AU821" s="53">
        <v>175</v>
      </c>
      <c r="AV821" s="31">
        <f t="shared" ref="AV821:AV852" si="1236">IF(AU821="","",AU821-AU817)</f>
        <v>1</v>
      </c>
      <c r="AW821" s="53">
        <v>14</v>
      </c>
      <c r="AX821" s="53">
        <f t="shared" ref="AX821:AX852" si="1237">IF(AW821="","",AW817+AY817-AW821)</f>
        <v>1</v>
      </c>
      <c r="AY821" s="80">
        <v>0</v>
      </c>
      <c r="AZ821" s="21" t="str">
        <f t="shared" ref="AZ821:AZ852" si="1238">IF(AS821="","",AZ817)</f>
        <v>ロムアンド</v>
      </c>
      <c r="BA821" s="54">
        <f t="shared" ref="BA821:BA852" si="1239">IF(AT821="","",BA817)</f>
        <v>1001</v>
      </c>
      <c r="BB821" s="31">
        <f t="shared" ref="BB821:BB852" si="1240">IF(AW821="","",AX821*BA821)</f>
        <v>1001</v>
      </c>
      <c r="BC821" s="32">
        <f t="shared" ref="BC821:BC852" si="1241">IF(AX821="","",BB821/(AT821*100))</f>
        <v>0.11776470588235294</v>
      </c>
      <c r="BD821" s="15"/>
      <c r="BU821" s="79">
        <f>IF($A833="","",$A833)</f>
        <v>45838</v>
      </c>
      <c r="BV821" s="13">
        <v>1940</v>
      </c>
      <c r="BW821" s="13">
        <f t="shared" si="1190"/>
        <v>102</v>
      </c>
      <c r="BX821" s="13">
        <v>77</v>
      </c>
      <c r="BY821" s="13">
        <f t="shared" si="1191"/>
        <v>4</v>
      </c>
      <c r="BZ821" s="13">
        <v>36</v>
      </c>
      <c r="CA821" s="13">
        <f t="shared" si="1192"/>
        <v>5</v>
      </c>
      <c r="CB821" s="13">
        <v>10</v>
      </c>
      <c r="CC821" s="53"/>
      <c r="CD821" s="53">
        <f t="shared" si="1193"/>
        <v>385</v>
      </c>
      <c r="CE821" s="13">
        <f t="shared" si="1194"/>
        <v>1925</v>
      </c>
      <c r="CF821" s="14">
        <f t="shared" si="1195"/>
        <v>0.18872549019607843</v>
      </c>
      <c r="CG821" s="67"/>
      <c r="CH821" s="1"/>
      <c r="CI821" s="79">
        <f>IF($A833="","",$A833)</f>
        <v>45838</v>
      </c>
      <c r="CJ821" s="13">
        <v>1292</v>
      </c>
      <c r="CK821" s="13">
        <f t="shared" si="1196"/>
        <v>56</v>
      </c>
      <c r="CL821" s="13">
        <v>8</v>
      </c>
      <c r="CM821" s="13">
        <f t="shared" si="1197"/>
        <v>1</v>
      </c>
      <c r="CN821" s="13">
        <v>18</v>
      </c>
      <c r="CO821" s="13">
        <f t="shared" si="1198"/>
        <v>1</v>
      </c>
      <c r="CP821" s="13">
        <v>0</v>
      </c>
      <c r="CQ821" s="53"/>
      <c r="CR821" s="53">
        <f t="shared" si="1199"/>
        <v>1012</v>
      </c>
      <c r="CS821" s="13">
        <f t="shared" si="1200"/>
        <v>1012</v>
      </c>
      <c r="CT821" s="14">
        <f t="shared" si="1201"/>
        <v>0.18071428571428572</v>
      </c>
      <c r="CU821" s="67"/>
      <c r="CV821" s="1"/>
      <c r="CW821" s="79">
        <f>IF($A833="","",$A833)</f>
        <v>45838</v>
      </c>
      <c r="CX821" s="13">
        <v>2352</v>
      </c>
      <c r="CY821" s="13">
        <f t="shared" si="1202"/>
        <v>259</v>
      </c>
      <c r="CZ821" s="13">
        <v>67</v>
      </c>
      <c r="DA821" s="13">
        <f t="shared" si="1203"/>
        <v>6</v>
      </c>
      <c r="DB821" s="13">
        <v>27</v>
      </c>
      <c r="DC821" s="13">
        <f t="shared" si="1204"/>
        <v>6</v>
      </c>
      <c r="DD821" s="13">
        <v>0</v>
      </c>
      <c r="DE821" s="53"/>
      <c r="DF821" s="53">
        <f t="shared" si="1205"/>
        <v>880</v>
      </c>
      <c r="DG821" s="13">
        <f t="shared" si="1206"/>
        <v>5280</v>
      </c>
      <c r="DH821" s="14">
        <f t="shared" si="1207"/>
        <v>0.20386100386100386</v>
      </c>
      <c r="DI821" s="67"/>
      <c r="DJ821" s="1"/>
      <c r="DK821" s="79">
        <f>IF($A833="","",$A833)</f>
        <v>45838</v>
      </c>
      <c r="DL821" s="13">
        <v>1582</v>
      </c>
      <c r="DM821" s="13">
        <f t="shared" si="1208"/>
        <v>100</v>
      </c>
      <c r="DN821" s="13">
        <v>73</v>
      </c>
      <c r="DO821" s="13">
        <f t="shared" si="1209"/>
        <v>7</v>
      </c>
      <c r="DP821" s="13">
        <v>26</v>
      </c>
      <c r="DQ821" s="13">
        <f t="shared" si="1210"/>
        <v>5</v>
      </c>
      <c r="DR821" s="13">
        <v>6</v>
      </c>
      <c r="DS821" s="53"/>
      <c r="DT821" s="53">
        <f t="shared" si="1211"/>
        <v>300</v>
      </c>
      <c r="DU821" s="13">
        <f t="shared" si="1212"/>
        <v>1500</v>
      </c>
      <c r="DV821" s="14">
        <f t="shared" si="1213"/>
        <v>0.15</v>
      </c>
      <c r="DW821" s="112" t="s">
        <v>175</v>
      </c>
    </row>
    <row r="822" spans="1:127" x14ac:dyDescent="0.2">
      <c r="A822" s="16"/>
      <c r="B822" s="11"/>
      <c r="C822" s="13">
        <v>25330</v>
      </c>
      <c r="D822" s="127">
        <f t="shared" si="1214"/>
        <v>20</v>
      </c>
      <c r="E822" s="13">
        <v>1305</v>
      </c>
      <c r="F822" s="13">
        <f t="shared" si="1215"/>
        <v>2</v>
      </c>
      <c r="G822" s="13">
        <v>19</v>
      </c>
      <c r="H822" s="13">
        <f t="shared" si="1216"/>
        <v>0</v>
      </c>
      <c r="I822" s="17">
        <v>0</v>
      </c>
      <c r="J822" s="21" t="str">
        <f t="shared" si="1217"/>
        <v>ジャグラーイヤホン</v>
      </c>
      <c r="K822" s="54">
        <f t="shared" si="1218"/>
        <v>1100</v>
      </c>
      <c r="L822" s="13">
        <f t="shared" si="1219"/>
        <v>0</v>
      </c>
      <c r="M822" s="14">
        <f t="shared" si="1220"/>
        <v>0</v>
      </c>
      <c r="N822" s="15"/>
      <c r="O822" s="2"/>
      <c r="P822" s="16"/>
      <c r="Q822" s="13">
        <v>26631</v>
      </c>
      <c r="R822" s="53">
        <f t="shared" si="1221"/>
        <v>192</v>
      </c>
      <c r="S822" s="13">
        <v>1488</v>
      </c>
      <c r="T822" s="13">
        <f t="shared" si="1222"/>
        <v>3</v>
      </c>
      <c r="U822" s="13">
        <v>8</v>
      </c>
      <c r="V822" s="13">
        <f t="shared" si="1223"/>
        <v>3</v>
      </c>
      <c r="W822" s="17">
        <v>2</v>
      </c>
      <c r="X822" s="21" t="str">
        <f t="shared" si="1224"/>
        <v>サンリオFAN</v>
      </c>
      <c r="Y822" s="54">
        <f t="shared" si="1225"/>
        <v>1100</v>
      </c>
      <c r="Z822" s="13">
        <f t="shared" si="1226"/>
        <v>3300</v>
      </c>
      <c r="AA822" s="14">
        <f t="shared" si="1227"/>
        <v>0.171875</v>
      </c>
      <c r="AB822" s="15"/>
      <c r="AD822" s="16"/>
      <c r="AE822" s="13">
        <v>4357</v>
      </c>
      <c r="AF822" s="53">
        <f t="shared" si="1228"/>
        <v>46</v>
      </c>
      <c r="AG822" s="13">
        <v>101</v>
      </c>
      <c r="AH822" s="13">
        <f t="shared" si="1229"/>
        <v>1</v>
      </c>
      <c r="AI822" s="13">
        <v>5</v>
      </c>
      <c r="AJ822" s="13">
        <f t="shared" si="1230"/>
        <v>1</v>
      </c>
      <c r="AK822" s="17">
        <v>6</v>
      </c>
      <c r="AL822" s="21" t="str">
        <f t="shared" si="1231"/>
        <v>デジタルミニカメラ</v>
      </c>
      <c r="AM822" s="54">
        <f t="shared" si="1232"/>
        <v>800</v>
      </c>
      <c r="AN822" s="13">
        <f t="shared" si="1233"/>
        <v>800</v>
      </c>
      <c r="AO822" s="14">
        <f t="shared" si="1234"/>
        <v>0.17391304347826086</v>
      </c>
      <c r="AP822" s="15"/>
      <c r="AQ822" s="2"/>
      <c r="AR822" s="16"/>
      <c r="AS822" s="13">
        <v>3712</v>
      </c>
      <c r="AT822" s="53">
        <f t="shared" si="1235"/>
        <v>55</v>
      </c>
      <c r="AU822" s="13">
        <v>199</v>
      </c>
      <c r="AV822" s="13">
        <f t="shared" si="1236"/>
        <v>3</v>
      </c>
      <c r="AW822" s="13">
        <v>12</v>
      </c>
      <c r="AX822" s="13">
        <f t="shared" si="1237"/>
        <v>3</v>
      </c>
      <c r="AY822" s="17">
        <v>3</v>
      </c>
      <c r="AZ822" s="21" t="str">
        <f t="shared" si="1238"/>
        <v>モンチッチヘアゴム</v>
      </c>
      <c r="BA822" s="54">
        <f t="shared" si="1239"/>
        <v>400</v>
      </c>
      <c r="BB822" s="13">
        <f t="shared" si="1240"/>
        <v>1200</v>
      </c>
      <c r="BC822" s="14">
        <f t="shared" si="1241"/>
        <v>0.21818181818181817</v>
      </c>
      <c r="BD822" s="15"/>
      <c r="BU822" s="79">
        <f>IF($A837="","",$A837)</f>
        <v>45840</v>
      </c>
      <c r="BV822" s="13">
        <v>1984</v>
      </c>
      <c r="BW822" s="13">
        <f t="shared" si="1190"/>
        <v>44</v>
      </c>
      <c r="BX822" s="13">
        <v>81</v>
      </c>
      <c r="BY822" s="13">
        <f t="shared" si="1191"/>
        <v>4</v>
      </c>
      <c r="BZ822" s="13">
        <v>42</v>
      </c>
      <c r="CA822" s="13">
        <f t="shared" si="1192"/>
        <v>4</v>
      </c>
      <c r="CB822" s="13">
        <v>0</v>
      </c>
      <c r="CC822" s="53"/>
      <c r="CD822" s="53">
        <f t="shared" si="1193"/>
        <v>385</v>
      </c>
      <c r="CE822" s="13">
        <f t="shared" si="1194"/>
        <v>1540</v>
      </c>
      <c r="CF822" s="14">
        <f t="shared" si="1195"/>
        <v>0.35</v>
      </c>
      <c r="CG822" s="67"/>
      <c r="CH822" s="1"/>
      <c r="CI822" s="79">
        <f>IF($A837="","",$A837)</f>
        <v>45840</v>
      </c>
      <c r="CJ822" s="13">
        <v>1339</v>
      </c>
      <c r="CK822" s="13">
        <f t="shared" si="1196"/>
        <v>47</v>
      </c>
      <c r="CL822" s="13">
        <v>8</v>
      </c>
      <c r="CM822" s="13">
        <f t="shared" si="1197"/>
        <v>0</v>
      </c>
      <c r="CN822" s="13">
        <v>18</v>
      </c>
      <c r="CO822" s="13">
        <f t="shared" si="1198"/>
        <v>0</v>
      </c>
      <c r="CP822" s="13">
        <v>4</v>
      </c>
      <c r="CQ822" s="53"/>
      <c r="CR822" s="53">
        <f t="shared" si="1199"/>
        <v>1012</v>
      </c>
      <c r="CS822" s="13">
        <f t="shared" si="1200"/>
        <v>0</v>
      </c>
      <c r="CT822" s="14">
        <f t="shared" si="1201"/>
        <v>0</v>
      </c>
      <c r="CU822" s="67"/>
      <c r="CV822" s="1"/>
      <c r="CW822" s="79">
        <f>IF($A837="","",$A837)</f>
        <v>45840</v>
      </c>
      <c r="CX822" s="13">
        <v>2505</v>
      </c>
      <c r="CY822" s="13">
        <f t="shared" si="1202"/>
        <v>153</v>
      </c>
      <c r="CZ822" s="13">
        <v>70</v>
      </c>
      <c r="DA822" s="13">
        <f t="shared" si="1203"/>
        <v>3</v>
      </c>
      <c r="DB822" s="13">
        <v>24</v>
      </c>
      <c r="DC822" s="13">
        <f t="shared" si="1204"/>
        <v>3</v>
      </c>
      <c r="DD822" s="13">
        <v>0</v>
      </c>
      <c r="DE822" s="53"/>
      <c r="DF822" s="53">
        <f t="shared" si="1205"/>
        <v>880</v>
      </c>
      <c r="DG822" s="13">
        <f t="shared" si="1206"/>
        <v>2640</v>
      </c>
      <c r="DH822" s="14">
        <f t="shared" si="1207"/>
        <v>0.17254901960784313</v>
      </c>
      <c r="DI822" s="67"/>
      <c r="DJ822" s="1"/>
      <c r="DK822" s="79">
        <f>IF($A837="","",$A837)</f>
        <v>45840</v>
      </c>
      <c r="DL822" s="13">
        <v>1615</v>
      </c>
      <c r="DM822" s="13">
        <f t="shared" si="1208"/>
        <v>33</v>
      </c>
      <c r="DN822" s="13">
        <v>74</v>
      </c>
      <c r="DO822" s="13">
        <f t="shared" si="1209"/>
        <v>1</v>
      </c>
      <c r="DP822" s="13">
        <v>30</v>
      </c>
      <c r="DQ822" s="13">
        <f t="shared" si="1210"/>
        <v>2</v>
      </c>
      <c r="DR822" s="13">
        <v>-6</v>
      </c>
      <c r="DS822" s="53"/>
      <c r="DT822" s="53">
        <f t="shared" si="1211"/>
        <v>300</v>
      </c>
      <c r="DU822" s="13">
        <f t="shared" si="1212"/>
        <v>600</v>
      </c>
      <c r="DV822" s="14">
        <f t="shared" si="1213"/>
        <v>0.18181818181818182</v>
      </c>
      <c r="DW822" s="67" t="s">
        <v>179</v>
      </c>
    </row>
    <row r="823" spans="1:127" x14ac:dyDescent="0.2">
      <c r="A823" s="16"/>
      <c r="B823" s="11"/>
      <c r="C823" s="13">
        <v>21234</v>
      </c>
      <c r="D823" s="128">
        <f t="shared" si="1214"/>
        <v>52</v>
      </c>
      <c r="E823" s="13">
        <v>1072</v>
      </c>
      <c r="F823" s="13">
        <f t="shared" si="1215"/>
        <v>3</v>
      </c>
      <c r="G823" s="13">
        <v>9</v>
      </c>
      <c r="H823" s="13">
        <f t="shared" si="1216"/>
        <v>3</v>
      </c>
      <c r="I823" s="17">
        <v>0</v>
      </c>
      <c r="J823" s="21" t="str">
        <f t="shared" si="1217"/>
        <v>グミッツェルプチ</v>
      </c>
      <c r="K823" s="54">
        <f t="shared" si="1218"/>
        <v>180</v>
      </c>
      <c r="L823" s="13">
        <f t="shared" si="1219"/>
        <v>540</v>
      </c>
      <c r="M823" s="14">
        <f t="shared" si="1220"/>
        <v>0.10384615384615385</v>
      </c>
      <c r="N823" s="15"/>
      <c r="O823" s="2"/>
      <c r="P823" s="16"/>
      <c r="Q823" s="13">
        <v>19830</v>
      </c>
      <c r="R823" s="63">
        <f t="shared" si="1221"/>
        <v>58</v>
      </c>
      <c r="S823" s="13">
        <v>2710</v>
      </c>
      <c r="T823" s="13">
        <f t="shared" si="1222"/>
        <v>3</v>
      </c>
      <c r="U823" s="13">
        <v>4</v>
      </c>
      <c r="V823" s="13">
        <f t="shared" si="1223"/>
        <v>3</v>
      </c>
      <c r="W823" s="17">
        <v>2</v>
      </c>
      <c r="X823" s="21" t="str">
        <f t="shared" si="1224"/>
        <v>なんちゃって手榴弾</v>
      </c>
      <c r="Y823" s="54">
        <f t="shared" si="1225"/>
        <v>0</v>
      </c>
      <c r="Z823" s="13">
        <f t="shared" si="1226"/>
        <v>0</v>
      </c>
      <c r="AA823" s="14">
        <f t="shared" si="1227"/>
        <v>0</v>
      </c>
      <c r="AB823" s="15"/>
      <c r="AD823" s="16"/>
      <c r="AE823" s="13">
        <v>4583</v>
      </c>
      <c r="AF823" s="128">
        <f t="shared" si="1228"/>
        <v>8</v>
      </c>
      <c r="AG823" s="13">
        <v>151</v>
      </c>
      <c r="AH823" s="13">
        <f t="shared" si="1229"/>
        <v>1</v>
      </c>
      <c r="AI823" s="13">
        <v>66</v>
      </c>
      <c r="AJ823" s="13">
        <f t="shared" si="1230"/>
        <v>0</v>
      </c>
      <c r="AK823" s="17">
        <v>74</v>
      </c>
      <c r="AL823" s="21" t="str">
        <f t="shared" si="1231"/>
        <v>モンチッチボールペン</v>
      </c>
      <c r="AM823" s="54">
        <f t="shared" si="1232"/>
        <v>160</v>
      </c>
      <c r="AN823" s="13">
        <f t="shared" si="1233"/>
        <v>0</v>
      </c>
      <c r="AO823" s="14">
        <f t="shared" si="1234"/>
        <v>0</v>
      </c>
      <c r="AP823" s="15"/>
      <c r="AQ823" s="2"/>
      <c r="AR823" s="16"/>
      <c r="AS823" s="13">
        <v>6060</v>
      </c>
      <c r="AT823" s="63">
        <f t="shared" si="1235"/>
        <v>87</v>
      </c>
      <c r="AU823" s="13">
        <v>252</v>
      </c>
      <c r="AV823" s="13">
        <f t="shared" si="1236"/>
        <v>12</v>
      </c>
      <c r="AW823" s="13">
        <v>137</v>
      </c>
      <c r="AX823" s="13">
        <f t="shared" si="1237"/>
        <v>13</v>
      </c>
      <c r="AY823" s="17">
        <v>0</v>
      </c>
      <c r="AZ823" s="21" t="str">
        <f t="shared" si="1238"/>
        <v>スプランキーラバーキーホルダー</v>
      </c>
      <c r="BA823" s="54">
        <f t="shared" si="1239"/>
        <v>200</v>
      </c>
      <c r="BB823" s="13">
        <f t="shared" si="1240"/>
        <v>2600</v>
      </c>
      <c r="BC823" s="14">
        <f t="shared" si="1241"/>
        <v>0.2988505747126437</v>
      </c>
      <c r="BD823" s="15"/>
      <c r="BU823" s="79">
        <f>IF($A841="","",$A841)</f>
        <v>45842</v>
      </c>
      <c r="BV823" s="13">
        <v>2078</v>
      </c>
      <c r="BW823" s="13">
        <f t="shared" si="1190"/>
        <v>94</v>
      </c>
      <c r="BX823" s="13">
        <v>87</v>
      </c>
      <c r="BY823" s="13">
        <f t="shared" si="1191"/>
        <v>6</v>
      </c>
      <c r="BZ823" s="13">
        <v>36</v>
      </c>
      <c r="CA823" s="13">
        <f t="shared" si="1192"/>
        <v>6</v>
      </c>
      <c r="CB823" s="13">
        <v>5</v>
      </c>
      <c r="CC823" s="53"/>
      <c r="CD823" s="53">
        <f t="shared" si="1193"/>
        <v>385</v>
      </c>
      <c r="CE823" s="13">
        <f t="shared" si="1194"/>
        <v>2310</v>
      </c>
      <c r="CF823" s="14">
        <f t="shared" si="1195"/>
        <v>0.24574468085106382</v>
      </c>
      <c r="CG823" s="67"/>
      <c r="CH823" s="1"/>
      <c r="CI823" s="79">
        <f>IF($A841="","",$A841)</f>
        <v>45842</v>
      </c>
      <c r="CJ823" s="13">
        <v>1360</v>
      </c>
      <c r="CK823" s="13">
        <f t="shared" si="1196"/>
        <v>21</v>
      </c>
      <c r="CL823" s="13">
        <v>9</v>
      </c>
      <c r="CM823" s="13">
        <f t="shared" si="1197"/>
        <v>1</v>
      </c>
      <c r="CN823" s="13">
        <v>21</v>
      </c>
      <c r="CO823" s="13">
        <f t="shared" si="1198"/>
        <v>1</v>
      </c>
      <c r="CP823" s="13">
        <v>0</v>
      </c>
      <c r="CQ823" s="53"/>
      <c r="CR823" s="53">
        <f t="shared" si="1199"/>
        <v>1012</v>
      </c>
      <c r="CS823" s="13">
        <f t="shared" si="1200"/>
        <v>1012</v>
      </c>
      <c r="CT823" s="14">
        <f t="shared" si="1201"/>
        <v>0.48190476190476189</v>
      </c>
      <c r="CU823" s="67"/>
      <c r="CV823" s="1"/>
      <c r="CW823" s="79">
        <f>IF($A841="","",$A841)</f>
        <v>45842</v>
      </c>
      <c r="CX823" s="13">
        <v>2561</v>
      </c>
      <c r="CY823" s="13">
        <f t="shared" si="1202"/>
        <v>56</v>
      </c>
      <c r="CZ823" s="13">
        <v>71</v>
      </c>
      <c r="DA823" s="13">
        <f t="shared" si="1203"/>
        <v>1</v>
      </c>
      <c r="DB823" s="13">
        <v>23</v>
      </c>
      <c r="DC823" s="13">
        <f t="shared" si="1204"/>
        <v>1</v>
      </c>
      <c r="DD823" s="13">
        <v>7</v>
      </c>
      <c r="DE823" s="53"/>
      <c r="DF823" s="53">
        <f t="shared" si="1205"/>
        <v>880</v>
      </c>
      <c r="DG823" s="13">
        <f t="shared" si="1206"/>
        <v>880</v>
      </c>
      <c r="DH823" s="14">
        <f t="shared" si="1207"/>
        <v>0.15714285714285714</v>
      </c>
      <c r="DI823" s="67"/>
      <c r="DJ823" s="1"/>
      <c r="DK823" s="79">
        <f>IF($A841="","",$A841)</f>
        <v>45842</v>
      </c>
      <c r="DL823" s="13">
        <v>1769</v>
      </c>
      <c r="DM823" s="13">
        <f t="shared" si="1208"/>
        <v>154</v>
      </c>
      <c r="DN823" s="13">
        <v>87</v>
      </c>
      <c r="DO823" s="13">
        <f t="shared" si="1209"/>
        <v>13</v>
      </c>
      <c r="DP823" s="13">
        <v>11</v>
      </c>
      <c r="DQ823" s="13">
        <f t="shared" si="1210"/>
        <v>13</v>
      </c>
      <c r="DR823" s="13">
        <v>0</v>
      </c>
      <c r="DS823" s="53"/>
      <c r="DT823" s="53">
        <v>1028</v>
      </c>
      <c r="DU823" s="13">
        <f t="shared" si="1212"/>
        <v>13364</v>
      </c>
      <c r="DV823" s="14">
        <f t="shared" si="1213"/>
        <v>0.86779220779220778</v>
      </c>
      <c r="DW823" s="67" t="s">
        <v>180</v>
      </c>
    </row>
    <row r="824" spans="1:127" ht="15" customHeight="1" thickBot="1" x14ac:dyDescent="0.25">
      <c r="A824" s="26"/>
      <c r="B824" s="46"/>
      <c r="C824" s="29">
        <v>27470</v>
      </c>
      <c r="D824" s="61">
        <f t="shared" si="1214"/>
        <v>73</v>
      </c>
      <c r="E824" s="62">
        <v>1329</v>
      </c>
      <c r="F824" s="27">
        <f t="shared" si="1215"/>
        <v>1</v>
      </c>
      <c r="G824" s="27">
        <v>49</v>
      </c>
      <c r="H824" s="27">
        <f t="shared" si="1216"/>
        <v>0</v>
      </c>
      <c r="I824" s="47">
        <v>0</v>
      </c>
      <c r="J824" s="30" t="str">
        <f t="shared" si="1217"/>
        <v>NICIマスコット</v>
      </c>
      <c r="K824" s="62">
        <f t="shared" si="1218"/>
        <v>682</v>
      </c>
      <c r="L824" s="27">
        <f t="shared" si="1219"/>
        <v>0</v>
      </c>
      <c r="M824" s="28">
        <f t="shared" si="1220"/>
        <v>0</v>
      </c>
      <c r="N824" s="15"/>
      <c r="O824" s="2"/>
      <c r="P824" s="26"/>
      <c r="Q824" s="29">
        <v>19108</v>
      </c>
      <c r="R824" s="61">
        <f t="shared" si="1221"/>
        <v>71</v>
      </c>
      <c r="S824" s="62">
        <v>1681</v>
      </c>
      <c r="T824" s="27">
        <f t="shared" si="1222"/>
        <v>3</v>
      </c>
      <c r="U824" s="27">
        <v>3</v>
      </c>
      <c r="V824" s="27">
        <f t="shared" si="1223"/>
        <v>3</v>
      </c>
      <c r="W824" s="47">
        <v>7</v>
      </c>
      <c r="X824" s="30" t="str">
        <f t="shared" si="1224"/>
        <v>ピクミンマスコット</v>
      </c>
      <c r="Y824" s="62">
        <f t="shared" si="1225"/>
        <v>600</v>
      </c>
      <c r="Z824" s="27">
        <f t="shared" si="1226"/>
        <v>1800</v>
      </c>
      <c r="AA824" s="28">
        <f t="shared" si="1227"/>
        <v>0.25352112676056338</v>
      </c>
      <c r="AB824" s="15"/>
      <c r="AD824" s="26"/>
      <c r="AE824" s="29">
        <v>4742</v>
      </c>
      <c r="AF824" s="61">
        <f t="shared" si="1228"/>
        <v>108</v>
      </c>
      <c r="AG824" s="62">
        <v>164</v>
      </c>
      <c r="AH824" s="27">
        <f t="shared" si="1229"/>
        <v>3</v>
      </c>
      <c r="AI824" s="27">
        <v>13</v>
      </c>
      <c r="AJ824" s="27">
        <f t="shared" si="1230"/>
        <v>3</v>
      </c>
      <c r="AK824" s="47">
        <v>4</v>
      </c>
      <c r="AL824" s="30" t="str">
        <f t="shared" si="1231"/>
        <v>ギャルキティキーケース</v>
      </c>
      <c r="AM824" s="62">
        <f t="shared" si="1232"/>
        <v>726</v>
      </c>
      <c r="AN824" s="27">
        <f t="shared" si="1233"/>
        <v>2178</v>
      </c>
      <c r="AO824" s="28">
        <f t="shared" si="1234"/>
        <v>0.20166666666666666</v>
      </c>
      <c r="AP824" s="15"/>
      <c r="AQ824" s="2"/>
      <c r="AR824" s="26"/>
      <c r="AS824" s="29">
        <v>5116</v>
      </c>
      <c r="AT824" s="93">
        <f t="shared" si="1235"/>
        <v>18</v>
      </c>
      <c r="AU824" s="62">
        <v>230</v>
      </c>
      <c r="AV824" s="27">
        <f t="shared" si="1236"/>
        <v>1</v>
      </c>
      <c r="AW824" s="27">
        <v>12</v>
      </c>
      <c r="AX824" s="27">
        <f t="shared" si="1237"/>
        <v>1</v>
      </c>
      <c r="AY824" s="47">
        <v>0</v>
      </c>
      <c r="AZ824" s="30" t="str">
        <f t="shared" si="1238"/>
        <v>お菓子ウォレット</v>
      </c>
      <c r="BA824" s="62">
        <f t="shared" si="1239"/>
        <v>0</v>
      </c>
      <c r="BB824" s="27">
        <f t="shared" si="1240"/>
        <v>0</v>
      </c>
      <c r="BC824" s="28">
        <f t="shared" si="1241"/>
        <v>0</v>
      </c>
      <c r="BD824" s="21" t="s">
        <v>157</v>
      </c>
      <c r="BU824" s="79">
        <f>IF($A845="","",$A845)</f>
        <v>45845</v>
      </c>
      <c r="BV824" s="13">
        <v>2297</v>
      </c>
      <c r="BW824" s="13">
        <f t="shared" si="1190"/>
        <v>219</v>
      </c>
      <c r="BX824" s="13">
        <v>93</v>
      </c>
      <c r="BY824" s="13">
        <f t="shared" si="1191"/>
        <v>6</v>
      </c>
      <c r="BZ824" s="13">
        <v>36</v>
      </c>
      <c r="CA824" s="13">
        <f t="shared" si="1192"/>
        <v>5</v>
      </c>
      <c r="CB824" s="13">
        <v>0</v>
      </c>
      <c r="CC824" s="53"/>
      <c r="CD824" s="53">
        <f t="shared" si="1193"/>
        <v>385</v>
      </c>
      <c r="CE824" s="13">
        <f t="shared" si="1194"/>
        <v>1925</v>
      </c>
      <c r="CF824" s="14">
        <f>IF(CE824="","",CE824/(BW824*100))</f>
        <v>8.7899543378995429E-2</v>
      </c>
      <c r="CG824" s="67"/>
      <c r="CH824" s="1"/>
      <c r="CI824" s="79">
        <f>IF($A845="","",$A845)</f>
        <v>45845</v>
      </c>
      <c r="CJ824" s="13">
        <v>1477</v>
      </c>
      <c r="CK824" s="13">
        <f t="shared" si="1196"/>
        <v>117</v>
      </c>
      <c r="CL824" s="13">
        <v>11</v>
      </c>
      <c r="CM824" s="13">
        <f t="shared" si="1197"/>
        <v>2</v>
      </c>
      <c r="CN824" s="13">
        <v>19</v>
      </c>
      <c r="CO824" s="13">
        <f t="shared" si="1198"/>
        <v>2</v>
      </c>
      <c r="CP824" s="13">
        <v>2</v>
      </c>
      <c r="CQ824" s="53"/>
      <c r="CR824" s="53">
        <f t="shared" si="1199"/>
        <v>1012</v>
      </c>
      <c r="CS824" s="13">
        <f t="shared" si="1200"/>
        <v>2024</v>
      </c>
      <c r="CT824" s="14">
        <f t="shared" si="1201"/>
        <v>0.17299145299145299</v>
      </c>
      <c r="CU824" s="67"/>
      <c r="CV824" s="1"/>
      <c r="CW824" s="79">
        <f>IF($A845="","",$A845)</f>
        <v>45845</v>
      </c>
      <c r="CX824" s="13">
        <v>2731</v>
      </c>
      <c r="CY824" s="13">
        <f t="shared" si="1202"/>
        <v>170</v>
      </c>
      <c r="CZ824" s="13">
        <v>75</v>
      </c>
      <c r="DA824" s="13">
        <f t="shared" si="1203"/>
        <v>4</v>
      </c>
      <c r="DB824" s="13">
        <v>23</v>
      </c>
      <c r="DC824" s="13">
        <f t="shared" si="1204"/>
        <v>7</v>
      </c>
      <c r="DD824" s="13">
        <v>8</v>
      </c>
      <c r="DE824" s="53"/>
      <c r="DF824" s="53">
        <f t="shared" si="1205"/>
        <v>880</v>
      </c>
      <c r="DG824" s="13">
        <f t="shared" si="1206"/>
        <v>6160</v>
      </c>
      <c r="DH824" s="14">
        <f t="shared" si="1207"/>
        <v>0.3623529411764706</v>
      </c>
      <c r="DI824" s="67"/>
      <c r="DJ824" s="1"/>
      <c r="DK824" s="79">
        <f>IF($A845="","",$A845)</f>
        <v>45845</v>
      </c>
      <c r="DL824" s="13">
        <v>1937</v>
      </c>
      <c r="DM824" s="13">
        <f t="shared" si="1208"/>
        <v>168</v>
      </c>
      <c r="DN824" s="13">
        <v>93</v>
      </c>
      <c r="DO824" s="13">
        <f t="shared" si="1209"/>
        <v>6</v>
      </c>
      <c r="DP824" s="13">
        <v>2</v>
      </c>
      <c r="DQ824" s="13">
        <f t="shared" si="1210"/>
        <v>9</v>
      </c>
      <c r="DR824" s="13">
        <v>17</v>
      </c>
      <c r="DS824" s="53"/>
      <c r="DT824" s="53">
        <f t="shared" si="1211"/>
        <v>1028</v>
      </c>
      <c r="DU824" s="13">
        <f t="shared" si="1212"/>
        <v>9252</v>
      </c>
      <c r="DV824" s="14">
        <f t="shared" ref="DV824:DV825" si="1242">IF(DU824="","",DU824/(DM824*100))</f>
        <v>0.55071428571428571</v>
      </c>
      <c r="DW824" s="67" t="s">
        <v>187</v>
      </c>
    </row>
    <row r="825" spans="1:127" ht="15" customHeight="1" thickTop="1" x14ac:dyDescent="0.2">
      <c r="A825" s="79">
        <v>45831</v>
      </c>
      <c r="B825" s="74">
        <f>IF(A825="","",SUM(D825:D828)+SUM(R825:R828)+SUM(AF825:AF828)+SUM(AT825:AT828)+SUM(BW819,CK819,CY819,DM819))</f>
        <v>2215</v>
      </c>
      <c r="C825" s="53">
        <v>21367</v>
      </c>
      <c r="D825" s="53">
        <f t="shared" si="1214"/>
        <v>58</v>
      </c>
      <c r="E825" s="53">
        <v>1134</v>
      </c>
      <c r="F825" s="31">
        <f t="shared" si="1215"/>
        <v>3</v>
      </c>
      <c r="G825" s="53">
        <v>9</v>
      </c>
      <c r="H825" s="53">
        <f t="shared" si="1216"/>
        <v>4</v>
      </c>
      <c r="I825" s="80">
        <v>0</v>
      </c>
      <c r="J825" s="75" t="str">
        <f t="shared" si="1217"/>
        <v>ジャグラーサウンドボタン</v>
      </c>
      <c r="K825" s="76">
        <f t="shared" si="1218"/>
        <v>748</v>
      </c>
      <c r="L825" s="31">
        <f t="shared" si="1219"/>
        <v>2992</v>
      </c>
      <c r="M825" s="32">
        <f t="shared" si="1220"/>
        <v>0.51586206896551723</v>
      </c>
      <c r="N825" s="15" t="s">
        <v>159</v>
      </c>
      <c r="O825" s="2"/>
      <c r="P825" s="79">
        <f>IF(A825="","",A825)</f>
        <v>45831</v>
      </c>
      <c r="Q825" s="53">
        <v>21207</v>
      </c>
      <c r="R825" s="53">
        <f t="shared" si="1221"/>
        <v>94</v>
      </c>
      <c r="S825" s="53">
        <v>1183</v>
      </c>
      <c r="T825" s="31">
        <f t="shared" si="1222"/>
        <v>2</v>
      </c>
      <c r="U825" s="53">
        <v>11</v>
      </c>
      <c r="V825" s="53">
        <f t="shared" si="1223"/>
        <v>2</v>
      </c>
      <c r="W825" s="80">
        <v>0</v>
      </c>
      <c r="X825" s="75" t="str">
        <f t="shared" si="1224"/>
        <v>ジャグラータイマークロック</v>
      </c>
      <c r="Y825" s="76">
        <f t="shared" si="1225"/>
        <v>0</v>
      </c>
      <c r="Z825" s="31">
        <f t="shared" si="1226"/>
        <v>0</v>
      </c>
      <c r="AA825" s="32">
        <f t="shared" si="1227"/>
        <v>0</v>
      </c>
      <c r="AB825" s="15"/>
      <c r="AD825" s="79">
        <f>IF($A825="","",$A825)</f>
        <v>45831</v>
      </c>
      <c r="AE825" s="53">
        <v>5486</v>
      </c>
      <c r="AF825" s="53">
        <f t="shared" si="1228"/>
        <v>98</v>
      </c>
      <c r="AG825" s="53">
        <v>113</v>
      </c>
      <c r="AH825" s="31">
        <f t="shared" si="1229"/>
        <v>1</v>
      </c>
      <c r="AI825" s="53">
        <v>37</v>
      </c>
      <c r="AJ825" s="53">
        <f t="shared" si="1230"/>
        <v>1</v>
      </c>
      <c r="AK825" s="80">
        <v>6</v>
      </c>
      <c r="AL825" s="75" t="str">
        <f t="shared" si="1231"/>
        <v>ミニ香水</v>
      </c>
      <c r="AM825" s="76">
        <f t="shared" si="1232"/>
        <v>1100</v>
      </c>
      <c r="AN825" s="31">
        <f t="shared" si="1233"/>
        <v>1100</v>
      </c>
      <c r="AO825" s="32">
        <f t="shared" si="1234"/>
        <v>0.11224489795918367</v>
      </c>
      <c r="AP825" s="15"/>
      <c r="AQ825" s="15"/>
      <c r="AR825" s="79">
        <f>IF($A825="","",$A825)</f>
        <v>45831</v>
      </c>
      <c r="AS825" s="53">
        <v>5544</v>
      </c>
      <c r="AT825" s="53">
        <f t="shared" si="1235"/>
        <v>92</v>
      </c>
      <c r="AU825" s="53">
        <v>180</v>
      </c>
      <c r="AV825" s="31">
        <f t="shared" si="1236"/>
        <v>5</v>
      </c>
      <c r="AW825" s="53">
        <v>13</v>
      </c>
      <c r="AX825" s="53">
        <f t="shared" si="1237"/>
        <v>1</v>
      </c>
      <c r="AY825" s="80">
        <v>0</v>
      </c>
      <c r="AZ825" s="75" t="str">
        <f t="shared" si="1238"/>
        <v>ロムアンド</v>
      </c>
      <c r="BA825" s="76">
        <f t="shared" si="1239"/>
        <v>1001</v>
      </c>
      <c r="BB825" s="31">
        <f t="shared" si="1240"/>
        <v>1001</v>
      </c>
      <c r="BC825" s="32">
        <f t="shared" si="1241"/>
        <v>0.10880434782608696</v>
      </c>
      <c r="BD825" s="15"/>
      <c r="BT825" s="15"/>
      <c r="BU825" s="79">
        <f>IF($A849="","",$A849)</f>
        <v>45849</v>
      </c>
      <c r="BV825" s="13">
        <v>2353</v>
      </c>
      <c r="BW825" s="13">
        <f t="shared" si="1190"/>
        <v>56</v>
      </c>
      <c r="BX825" s="13">
        <v>94</v>
      </c>
      <c r="BY825" s="13">
        <f t="shared" si="1191"/>
        <v>1</v>
      </c>
      <c r="BZ825" s="13">
        <v>35</v>
      </c>
      <c r="CA825" s="13">
        <f t="shared" si="1192"/>
        <v>1</v>
      </c>
      <c r="CB825" s="13">
        <v>2</v>
      </c>
      <c r="CC825" s="53"/>
      <c r="CD825" s="53">
        <f t="shared" si="1193"/>
        <v>385</v>
      </c>
      <c r="CE825" s="13">
        <f t="shared" si="1194"/>
        <v>385</v>
      </c>
      <c r="CF825" s="14">
        <f>IF(CE825="","",CE825/(BW825*100))</f>
        <v>6.8750000000000006E-2</v>
      </c>
      <c r="CG825" s="67"/>
      <c r="CH825" s="1"/>
      <c r="CI825" s="79">
        <f>IF($A849="","",$A849)</f>
        <v>45849</v>
      </c>
      <c r="CJ825" s="13">
        <v>1533</v>
      </c>
      <c r="CK825" s="13">
        <f t="shared" si="1196"/>
        <v>56</v>
      </c>
      <c r="CL825" s="13">
        <v>13</v>
      </c>
      <c r="CM825" s="13">
        <f t="shared" si="1197"/>
        <v>2</v>
      </c>
      <c r="CN825" s="13">
        <v>19</v>
      </c>
      <c r="CO825" s="13">
        <f t="shared" si="1198"/>
        <v>2</v>
      </c>
      <c r="CP825" s="13">
        <v>2</v>
      </c>
      <c r="CQ825" s="53"/>
      <c r="CR825" s="53">
        <f t="shared" si="1199"/>
        <v>1012</v>
      </c>
      <c r="CS825" s="13">
        <f t="shared" si="1200"/>
        <v>2024</v>
      </c>
      <c r="CT825" s="14">
        <f t="shared" si="1201"/>
        <v>0.36142857142857143</v>
      </c>
      <c r="CU825" s="67"/>
      <c r="CV825" s="1"/>
      <c r="CW825" s="79">
        <f>IF($A849="","",$A849)</f>
        <v>45849</v>
      </c>
      <c r="CX825" s="13">
        <v>2918</v>
      </c>
      <c r="CY825" s="13">
        <f t="shared" si="1202"/>
        <v>187</v>
      </c>
      <c r="CZ825" s="13">
        <v>78</v>
      </c>
      <c r="DA825" s="13">
        <f t="shared" si="1203"/>
        <v>3</v>
      </c>
      <c r="DB825" s="13">
        <v>28</v>
      </c>
      <c r="DC825" s="13">
        <f t="shared" si="1204"/>
        <v>3</v>
      </c>
      <c r="DD825" s="13">
        <v>5</v>
      </c>
      <c r="DE825" s="53"/>
      <c r="DF825" s="53">
        <f t="shared" si="1205"/>
        <v>880</v>
      </c>
      <c r="DG825" s="13">
        <f t="shared" si="1206"/>
        <v>2640</v>
      </c>
      <c r="DH825" s="14">
        <f>IF(DG825="","",DG825/(CY825*100))</f>
        <v>0.14117647058823529</v>
      </c>
      <c r="DI825" s="67"/>
      <c r="DJ825" s="1"/>
      <c r="DK825" s="79">
        <f>IF($A849="","",$A849)</f>
        <v>45849</v>
      </c>
      <c r="DL825" s="13">
        <v>1982</v>
      </c>
      <c r="DM825" s="13">
        <f t="shared" si="1208"/>
        <v>45</v>
      </c>
      <c r="DN825" s="13">
        <v>93</v>
      </c>
      <c r="DO825" s="13">
        <f t="shared" si="1209"/>
        <v>0</v>
      </c>
      <c r="DP825" s="13">
        <v>19</v>
      </c>
      <c r="DQ825" s="13">
        <f t="shared" si="1210"/>
        <v>0</v>
      </c>
      <c r="DR825" s="13">
        <v>4</v>
      </c>
      <c r="DS825" s="53"/>
      <c r="DT825" s="53">
        <f t="shared" si="1211"/>
        <v>1028</v>
      </c>
      <c r="DU825" s="13">
        <f t="shared" si="1212"/>
        <v>0</v>
      </c>
      <c r="DV825" s="14">
        <f t="shared" si="1242"/>
        <v>0</v>
      </c>
      <c r="DW825" s="67" t="s">
        <v>191</v>
      </c>
    </row>
    <row r="826" spans="1:127" x14ac:dyDescent="0.2">
      <c r="A826" s="16"/>
      <c r="B826" s="11"/>
      <c r="C826" s="53">
        <v>25389</v>
      </c>
      <c r="D826" s="13">
        <f t="shared" si="1214"/>
        <v>59</v>
      </c>
      <c r="E826" s="13">
        <v>1306</v>
      </c>
      <c r="F826" s="13">
        <f t="shared" si="1215"/>
        <v>1</v>
      </c>
      <c r="G826" s="13">
        <v>18</v>
      </c>
      <c r="H826" s="13">
        <f t="shared" si="1216"/>
        <v>1</v>
      </c>
      <c r="I826" s="17">
        <v>1</v>
      </c>
      <c r="J826" s="56" t="str">
        <f t="shared" si="1217"/>
        <v>ジャグラーイヤホン</v>
      </c>
      <c r="K826" s="54">
        <f t="shared" si="1218"/>
        <v>1100</v>
      </c>
      <c r="L826" s="13">
        <f t="shared" si="1219"/>
        <v>1100</v>
      </c>
      <c r="M826" s="14">
        <f t="shared" si="1220"/>
        <v>0.1864406779661017</v>
      </c>
      <c r="N826" s="15"/>
      <c r="O826" s="2"/>
      <c r="P826" s="16"/>
      <c r="Q826" s="53">
        <v>26819</v>
      </c>
      <c r="R826" s="13">
        <f t="shared" si="1221"/>
        <v>188</v>
      </c>
      <c r="S826" s="13">
        <v>1492</v>
      </c>
      <c r="T826" s="13">
        <f t="shared" si="1222"/>
        <v>4</v>
      </c>
      <c r="U826" s="13">
        <v>6</v>
      </c>
      <c r="V826" s="13">
        <f t="shared" si="1223"/>
        <v>4</v>
      </c>
      <c r="W826" s="17">
        <v>4</v>
      </c>
      <c r="X826" s="56" t="str">
        <f t="shared" si="1224"/>
        <v>サンリオFAN</v>
      </c>
      <c r="Y826" s="54">
        <f t="shared" si="1225"/>
        <v>1100</v>
      </c>
      <c r="Z826" s="13">
        <f t="shared" si="1226"/>
        <v>4400</v>
      </c>
      <c r="AA826" s="14">
        <f t="shared" si="1227"/>
        <v>0.23404255319148937</v>
      </c>
      <c r="AB826" s="15"/>
      <c r="AD826" s="16"/>
      <c r="AE826" s="53">
        <v>4447</v>
      </c>
      <c r="AF826" s="13">
        <f t="shared" si="1228"/>
        <v>90</v>
      </c>
      <c r="AG826" s="13">
        <v>104</v>
      </c>
      <c r="AH826" s="13">
        <f t="shared" si="1229"/>
        <v>3</v>
      </c>
      <c r="AI826" s="13">
        <v>8</v>
      </c>
      <c r="AJ826" s="13">
        <f t="shared" si="1230"/>
        <v>3</v>
      </c>
      <c r="AK826" s="17">
        <v>4</v>
      </c>
      <c r="AL826" s="56" t="str">
        <f t="shared" si="1231"/>
        <v>デジタルミニカメラ</v>
      </c>
      <c r="AM826" s="54">
        <f t="shared" si="1232"/>
        <v>800</v>
      </c>
      <c r="AN826" s="13">
        <f t="shared" si="1233"/>
        <v>2400</v>
      </c>
      <c r="AO826" s="14">
        <f t="shared" si="1234"/>
        <v>0.26666666666666666</v>
      </c>
      <c r="AP826" s="15"/>
      <c r="AQ826" s="15"/>
      <c r="AR826" s="16"/>
      <c r="AS826" s="53">
        <v>3837</v>
      </c>
      <c r="AT826" s="13">
        <f t="shared" si="1235"/>
        <v>125</v>
      </c>
      <c r="AU826" s="13">
        <v>205</v>
      </c>
      <c r="AV826" s="13">
        <f t="shared" si="1236"/>
        <v>6</v>
      </c>
      <c r="AW826" s="13">
        <v>9</v>
      </c>
      <c r="AX826" s="13">
        <f t="shared" si="1237"/>
        <v>6</v>
      </c>
      <c r="AY826" s="17">
        <v>16</v>
      </c>
      <c r="AZ826" s="56" t="str">
        <f t="shared" si="1238"/>
        <v>モンチッチヘアゴム</v>
      </c>
      <c r="BA826" s="54">
        <f t="shared" si="1239"/>
        <v>400</v>
      </c>
      <c r="BB826" s="13">
        <f t="shared" si="1240"/>
        <v>2400</v>
      </c>
      <c r="BC826" s="14">
        <f t="shared" si="1241"/>
        <v>0.192</v>
      </c>
      <c r="BD826" s="15" t="s">
        <v>162</v>
      </c>
      <c r="BT826" s="15"/>
      <c r="BU826" s="79" t="str">
        <f>IF($A853="","",$A853)</f>
        <v/>
      </c>
      <c r="BV826" s="13"/>
      <c r="BW826" s="13"/>
      <c r="BX826" s="13"/>
      <c r="BY826" s="13"/>
      <c r="BZ826" s="13"/>
      <c r="CA826" s="13"/>
      <c r="CB826" s="13"/>
      <c r="CC826" s="53"/>
      <c r="CD826" s="53"/>
      <c r="CE826" s="13"/>
      <c r="CF826" s="14"/>
      <c r="CG826" s="67"/>
      <c r="CH826" s="1"/>
      <c r="CI826" s="79"/>
      <c r="CJ826" s="13"/>
      <c r="CK826" s="13"/>
      <c r="CL826" s="13"/>
      <c r="CM826" s="13"/>
      <c r="CN826" s="13"/>
      <c r="CO826" s="13"/>
      <c r="CP826" s="13"/>
      <c r="CQ826" s="53"/>
      <c r="CR826" s="53"/>
      <c r="CS826" s="13"/>
      <c r="CT826" s="14"/>
      <c r="CU826" s="67"/>
      <c r="CV826" s="1"/>
      <c r="CW826" s="79"/>
      <c r="CX826" s="13"/>
      <c r="CY826" s="13"/>
      <c r="CZ826" s="13"/>
      <c r="DA826" s="13"/>
      <c r="DB826" s="13"/>
      <c r="DC826" s="13"/>
      <c r="DD826" s="13"/>
      <c r="DE826" s="53"/>
      <c r="DF826" s="53"/>
      <c r="DG826" s="13"/>
      <c r="DH826" s="14"/>
      <c r="DI826" s="67"/>
      <c r="DJ826" s="1"/>
      <c r="DK826" s="79"/>
      <c r="DL826" s="13"/>
      <c r="DM826" s="13"/>
      <c r="DN826" s="13"/>
      <c r="DO826" s="13"/>
      <c r="DP826" s="13"/>
      <c r="DQ826" s="13"/>
      <c r="DR826" s="13"/>
      <c r="DS826" s="53"/>
      <c r="DT826" s="53"/>
      <c r="DU826" s="13"/>
      <c r="DV826" s="14"/>
      <c r="DW826" s="67"/>
    </row>
    <row r="827" spans="1:127" x14ac:dyDescent="0.2">
      <c r="A827" s="16"/>
      <c r="B827" s="11"/>
      <c r="C827" s="63">
        <v>21308</v>
      </c>
      <c r="D827" s="13">
        <f t="shared" si="1214"/>
        <v>74</v>
      </c>
      <c r="E827" s="13">
        <v>1076</v>
      </c>
      <c r="F827" s="13">
        <f t="shared" si="1215"/>
        <v>4</v>
      </c>
      <c r="G827" s="13">
        <v>5</v>
      </c>
      <c r="H827" s="13">
        <f t="shared" si="1216"/>
        <v>4</v>
      </c>
      <c r="I827" s="17">
        <v>0</v>
      </c>
      <c r="J827" s="56" t="str">
        <f t="shared" si="1217"/>
        <v>グミッツェルプチ</v>
      </c>
      <c r="K827" s="13">
        <f t="shared" si="1218"/>
        <v>180</v>
      </c>
      <c r="L827" s="13">
        <f t="shared" si="1219"/>
        <v>720</v>
      </c>
      <c r="M827" s="14">
        <f t="shared" si="1220"/>
        <v>9.7297297297297303E-2</v>
      </c>
      <c r="N827" s="15"/>
      <c r="O827" s="2"/>
      <c r="P827" s="16"/>
      <c r="Q827" s="63">
        <v>19909</v>
      </c>
      <c r="R827" s="13">
        <f t="shared" si="1221"/>
        <v>79</v>
      </c>
      <c r="S827" s="13">
        <v>2713</v>
      </c>
      <c r="T827" s="13">
        <f t="shared" si="1222"/>
        <v>3</v>
      </c>
      <c r="U827" s="13">
        <v>1</v>
      </c>
      <c r="V827" s="13">
        <f t="shared" si="1223"/>
        <v>5</v>
      </c>
      <c r="W827" s="17">
        <v>4</v>
      </c>
      <c r="X827" s="56" t="str">
        <f t="shared" si="1224"/>
        <v>なんちゃって手榴弾</v>
      </c>
      <c r="Y827" s="13">
        <f t="shared" si="1225"/>
        <v>0</v>
      </c>
      <c r="Z827" s="13">
        <f t="shared" si="1226"/>
        <v>0</v>
      </c>
      <c r="AA827" s="14">
        <f t="shared" si="1227"/>
        <v>0</v>
      </c>
      <c r="AB827" s="15"/>
      <c r="AD827" s="16"/>
      <c r="AE827" s="63">
        <v>4692</v>
      </c>
      <c r="AF827" s="13">
        <f t="shared" si="1228"/>
        <v>109</v>
      </c>
      <c r="AG827" s="13">
        <v>169</v>
      </c>
      <c r="AH827" s="13">
        <f t="shared" si="1229"/>
        <v>18</v>
      </c>
      <c r="AI827" s="13">
        <v>120</v>
      </c>
      <c r="AJ827" s="13">
        <f t="shared" si="1230"/>
        <v>20</v>
      </c>
      <c r="AK827" s="17">
        <v>0</v>
      </c>
      <c r="AL827" s="56" t="str">
        <f t="shared" si="1231"/>
        <v>モンチッチボールペン</v>
      </c>
      <c r="AM827" s="13">
        <f t="shared" si="1232"/>
        <v>160</v>
      </c>
      <c r="AN827" s="13">
        <f t="shared" si="1233"/>
        <v>3200</v>
      </c>
      <c r="AO827" s="14">
        <f t="shared" si="1234"/>
        <v>0.29357798165137616</v>
      </c>
      <c r="AP827" s="15"/>
      <c r="AQ827" s="15"/>
      <c r="AR827" s="16"/>
      <c r="AS827" s="63">
        <v>6238</v>
      </c>
      <c r="AT827" s="13">
        <f t="shared" si="1235"/>
        <v>178</v>
      </c>
      <c r="AU827" s="13">
        <v>264</v>
      </c>
      <c r="AV827" s="13">
        <f t="shared" si="1236"/>
        <v>12</v>
      </c>
      <c r="AW827" s="13">
        <v>122</v>
      </c>
      <c r="AX827" s="13">
        <f t="shared" si="1237"/>
        <v>15</v>
      </c>
      <c r="AY827" s="17">
        <v>0</v>
      </c>
      <c r="AZ827" s="56" t="str">
        <f t="shared" si="1238"/>
        <v>スプランキーラバーキーホルダー</v>
      </c>
      <c r="BA827" s="13">
        <f t="shared" si="1239"/>
        <v>200</v>
      </c>
      <c r="BB827" s="13">
        <f t="shared" si="1240"/>
        <v>3000</v>
      </c>
      <c r="BC827" s="14">
        <f t="shared" si="1241"/>
        <v>0.16853932584269662</v>
      </c>
      <c r="BD827" s="15"/>
      <c r="BT827" s="15"/>
      <c r="BU827" s="79" t="str">
        <f>IF($A857="","",$A857)</f>
        <v/>
      </c>
      <c r="BV827" s="13"/>
      <c r="BW827" s="13"/>
      <c r="BX827" s="13"/>
      <c r="BY827" s="13"/>
      <c r="BZ827" s="13"/>
      <c r="CA827" s="13"/>
      <c r="CB827" s="13"/>
      <c r="CC827" s="53"/>
      <c r="CD827" s="53"/>
      <c r="CE827" s="13"/>
      <c r="CF827" s="14"/>
      <c r="CG827" s="15"/>
      <c r="CH827" s="1"/>
      <c r="CI827" s="79"/>
      <c r="CJ827" s="13"/>
      <c r="CK827" s="13"/>
      <c r="CL827" s="13"/>
      <c r="CM827" s="13"/>
      <c r="CN827" s="13"/>
      <c r="CO827" s="13"/>
      <c r="CP827" s="13"/>
      <c r="CQ827" s="53"/>
      <c r="CR827" s="53"/>
      <c r="CS827" s="13"/>
      <c r="CT827" s="14"/>
      <c r="CU827" s="15"/>
      <c r="CV827" s="1"/>
      <c r="CW827" s="79"/>
      <c r="CX827" s="13"/>
      <c r="CY827" s="13"/>
      <c r="CZ827" s="13"/>
      <c r="DA827" s="13"/>
      <c r="DB827" s="13"/>
      <c r="DC827" s="13"/>
      <c r="DD827" s="13"/>
      <c r="DE827" s="53"/>
      <c r="DF827" s="53"/>
      <c r="DG827" s="13"/>
      <c r="DH827" s="14"/>
      <c r="DI827" s="15"/>
      <c r="DJ827" s="1"/>
      <c r="DK827" s="79"/>
      <c r="DL827" s="13"/>
      <c r="DM827" s="13"/>
      <c r="DN827" s="13"/>
      <c r="DO827" s="13"/>
      <c r="DP827" s="13"/>
      <c r="DQ827" s="13"/>
      <c r="DR827" s="13"/>
      <c r="DS827" s="53"/>
      <c r="DT827" s="53"/>
      <c r="DU827" s="13"/>
      <c r="DV827" s="14"/>
      <c r="DW827" s="15"/>
    </row>
    <row r="828" spans="1:127" ht="15" customHeight="1" thickBot="1" x14ac:dyDescent="0.25">
      <c r="A828" s="26"/>
      <c r="B828" s="46"/>
      <c r="C828" s="61">
        <v>27640</v>
      </c>
      <c r="D828" s="62">
        <f t="shared" si="1214"/>
        <v>170</v>
      </c>
      <c r="E828" s="27">
        <v>1337</v>
      </c>
      <c r="F828" s="27">
        <f t="shared" si="1215"/>
        <v>8</v>
      </c>
      <c r="G828" s="27">
        <v>42</v>
      </c>
      <c r="H828" s="27">
        <f t="shared" si="1216"/>
        <v>7</v>
      </c>
      <c r="I828" s="47">
        <v>6</v>
      </c>
      <c r="J828" s="57" t="str">
        <f t="shared" si="1217"/>
        <v>NICIマスコット</v>
      </c>
      <c r="K828" s="62">
        <f t="shared" si="1218"/>
        <v>682</v>
      </c>
      <c r="L828" s="27">
        <f t="shared" si="1219"/>
        <v>4774</v>
      </c>
      <c r="M828" s="28">
        <f t="shared" si="1220"/>
        <v>0.28082352941176469</v>
      </c>
      <c r="N828" s="15"/>
      <c r="O828" s="2"/>
      <c r="P828" s="26"/>
      <c r="Q828" s="61">
        <v>19201</v>
      </c>
      <c r="R828" s="62">
        <f t="shared" si="1221"/>
        <v>93</v>
      </c>
      <c r="S828" s="27">
        <v>1682</v>
      </c>
      <c r="T828" s="27">
        <f t="shared" si="1222"/>
        <v>1</v>
      </c>
      <c r="U828" s="27">
        <v>9</v>
      </c>
      <c r="V828" s="27">
        <f t="shared" si="1223"/>
        <v>1</v>
      </c>
      <c r="W828" s="47">
        <v>5</v>
      </c>
      <c r="X828" s="57" t="str">
        <f t="shared" si="1224"/>
        <v>ピクミンマスコット</v>
      </c>
      <c r="Y828" s="62">
        <f t="shared" si="1225"/>
        <v>600</v>
      </c>
      <c r="Z828" s="27">
        <f t="shared" si="1226"/>
        <v>600</v>
      </c>
      <c r="AA828" s="28">
        <f t="shared" si="1227"/>
        <v>6.4516129032258063E-2</v>
      </c>
      <c r="AB828" s="15" t="s">
        <v>160</v>
      </c>
      <c r="AD828" s="26"/>
      <c r="AE828" s="61">
        <v>4800</v>
      </c>
      <c r="AF828" s="62">
        <f t="shared" si="1228"/>
        <v>58</v>
      </c>
      <c r="AG828" s="27">
        <v>164</v>
      </c>
      <c r="AH828" s="27">
        <f t="shared" si="1229"/>
        <v>0</v>
      </c>
      <c r="AI828" s="27">
        <v>17</v>
      </c>
      <c r="AJ828" s="27">
        <f t="shared" si="1230"/>
        <v>0</v>
      </c>
      <c r="AK828" s="47">
        <v>0</v>
      </c>
      <c r="AL828" s="57" t="str">
        <f t="shared" si="1231"/>
        <v>ギャルキティキーケース</v>
      </c>
      <c r="AM828" s="62">
        <f t="shared" si="1232"/>
        <v>726</v>
      </c>
      <c r="AN828" s="27">
        <f t="shared" si="1233"/>
        <v>0</v>
      </c>
      <c r="AO828" s="28">
        <f t="shared" si="1234"/>
        <v>0</v>
      </c>
      <c r="AP828" s="15"/>
      <c r="AQ828" s="15"/>
      <c r="AR828" s="26"/>
      <c r="AS828" s="61">
        <v>5149</v>
      </c>
      <c r="AT828" s="62">
        <f t="shared" si="1235"/>
        <v>33</v>
      </c>
      <c r="AU828" s="27">
        <v>231</v>
      </c>
      <c r="AV828" s="27">
        <f t="shared" si="1236"/>
        <v>1</v>
      </c>
      <c r="AW828" s="27">
        <v>11</v>
      </c>
      <c r="AX828" s="27">
        <f t="shared" si="1237"/>
        <v>1</v>
      </c>
      <c r="AY828" s="47">
        <v>57</v>
      </c>
      <c r="AZ828" s="57" t="str">
        <f t="shared" si="1238"/>
        <v>お菓子ウォレット</v>
      </c>
      <c r="BA828" s="62">
        <f t="shared" si="1239"/>
        <v>0</v>
      </c>
      <c r="BB828" s="27">
        <f t="shared" si="1240"/>
        <v>0</v>
      </c>
      <c r="BC828" s="28">
        <f t="shared" si="1241"/>
        <v>0</v>
      </c>
      <c r="BD828" s="15" t="s">
        <v>161</v>
      </c>
      <c r="BT828" s="15"/>
      <c r="BU828" s="79" t="str">
        <f>IF($A861="","",$A861)</f>
        <v/>
      </c>
      <c r="BV828" s="13"/>
      <c r="BW828" s="13"/>
      <c r="BX828" s="13"/>
      <c r="BY828" s="13"/>
      <c r="BZ828" s="13"/>
      <c r="CA828" s="13"/>
      <c r="CB828" s="13"/>
      <c r="CC828" s="53"/>
      <c r="CD828" s="53"/>
      <c r="CE828" s="13"/>
      <c r="CF828" s="14"/>
      <c r="CG828" s="15"/>
      <c r="CH828" s="1"/>
      <c r="CI828" s="79"/>
      <c r="CJ828" s="13"/>
      <c r="CK828" s="13"/>
      <c r="CL828" s="13"/>
      <c r="CM828" s="13"/>
      <c r="CN828" s="13"/>
      <c r="CO828" s="13"/>
      <c r="CP828" s="13"/>
      <c r="CQ828" s="53"/>
      <c r="CR828" s="53"/>
      <c r="CS828" s="13"/>
      <c r="CT828" s="14"/>
      <c r="CU828" s="15"/>
      <c r="CV828" s="1"/>
      <c r="CW828" s="79"/>
      <c r="CX828" s="13"/>
      <c r="CY828" s="13"/>
      <c r="CZ828" s="13"/>
      <c r="DA828" s="13"/>
      <c r="DB828" s="13"/>
      <c r="DC828" s="13"/>
      <c r="DD828" s="13"/>
      <c r="DE828" s="53"/>
      <c r="DF828" s="53"/>
      <c r="DG828" s="13"/>
      <c r="DH828" s="14"/>
      <c r="DI828" s="15"/>
      <c r="DJ828" s="1"/>
      <c r="DK828" s="79"/>
      <c r="DL828" s="13"/>
      <c r="DM828" s="13"/>
      <c r="DN828" s="13"/>
      <c r="DO828" s="13"/>
      <c r="DP828" s="13"/>
      <c r="DQ828" s="13"/>
      <c r="DR828" s="13"/>
      <c r="DS828" s="53"/>
      <c r="DT828" s="53"/>
      <c r="DU828" s="13"/>
      <c r="DV828" s="14"/>
      <c r="DW828" s="15"/>
    </row>
    <row r="829" spans="1:127" ht="15" customHeight="1" thickTop="1" x14ac:dyDescent="0.2">
      <c r="A829" s="79">
        <v>45835</v>
      </c>
      <c r="B829" s="74">
        <f>IF(A829="","",SUM(D829:D832)+SUM(R829:R832)+SUM(AF829:AF832)+SUM(AT829:AT832)+SUM(BW820,CK820,CY820,DM820))</f>
        <v>2007</v>
      </c>
      <c r="C829" s="53">
        <v>21421</v>
      </c>
      <c r="D829" s="53">
        <f t="shared" si="1214"/>
        <v>54</v>
      </c>
      <c r="E829" s="53">
        <v>1135</v>
      </c>
      <c r="F829" s="31">
        <f t="shared" si="1215"/>
        <v>1</v>
      </c>
      <c r="G829" s="53">
        <v>8</v>
      </c>
      <c r="H829" s="53">
        <f t="shared" si="1216"/>
        <v>1</v>
      </c>
      <c r="I829" s="80">
        <v>4</v>
      </c>
      <c r="J829" s="75" t="str">
        <f t="shared" si="1217"/>
        <v>ジャグラーサウンドボタン</v>
      </c>
      <c r="K829" s="76">
        <f t="shared" si="1218"/>
        <v>748</v>
      </c>
      <c r="L829" s="31">
        <f t="shared" si="1219"/>
        <v>748</v>
      </c>
      <c r="M829" s="32">
        <f t="shared" si="1220"/>
        <v>0.13851851851851851</v>
      </c>
      <c r="N829" s="15"/>
      <c r="O829" s="2"/>
      <c r="P829" s="79">
        <f>IF(A829="","",A829)</f>
        <v>45835</v>
      </c>
      <c r="Q829" s="53">
        <v>21245</v>
      </c>
      <c r="R829" s="53">
        <f t="shared" si="1221"/>
        <v>38</v>
      </c>
      <c r="S829" s="53">
        <v>1185</v>
      </c>
      <c r="T829" s="31">
        <f t="shared" si="1222"/>
        <v>2</v>
      </c>
      <c r="U829" s="53">
        <v>9</v>
      </c>
      <c r="V829" s="53">
        <f t="shared" si="1223"/>
        <v>2</v>
      </c>
      <c r="W829" s="80">
        <v>8</v>
      </c>
      <c r="X829" s="75" t="str">
        <f t="shared" si="1224"/>
        <v>ジャグラータイマークロック</v>
      </c>
      <c r="Y829" s="76">
        <f t="shared" si="1225"/>
        <v>0</v>
      </c>
      <c r="Z829" s="31">
        <f t="shared" si="1226"/>
        <v>0</v>
      </c>
      <c r="AA829" s="32">
        <f t="shared" si="1227"/>
        <v>0</v>
      </c>
      <c r="AB829" s="15" t="s">
        <v>169</v>
      </c>
      <c r="AC829" s="15"/>
      <c r="AD829" s="79">
        <f>IF($A829="","",$A829)</f>
        <v>45835</v>
      </c>
      <c r="AE829" s="53">
        <v>5566</v>
      </c>
      <c r="AF829" s="53">
        <f t="shared" si="1228"/>
        <v>80</v>
      </c>
      <c r="AG829" s="53">
        <v>115</v>
      </c>
      <c r="AH829" s="31">
        <f t="shared" si="1229"/>
        <v>2</v>
      </c>
      <c r="AI829" s="53">
        <v>41</v>
      </c>
      <c r="AJ829" s="53">
        <f t="shared" si="1230"/>
        <v>2</v>
      </c>
      <c r="AK829" s="80">
        <v>0</v>
      </c>
      <c r="AL829" s="75" t="str">
        <f t="shared" si="1231"/>
        <v>ミニ香水</v>
      </c>
      <c r="AM829" s="76">
        <f t="shared" si="1232"/>
        <v>1100</v>
      </c>
      <c r="AN829" s="31">
        <f t="shared" si="1233"/>
        <v>2200</v>
      </c>
      <c r="AO829" s="32">
        <f t="shared" si="1234"/>
        <v>0.27500000000000002</v>
      </c>
      <c r="AP829" s="15"/>
      <c r="AQ829" s="15"/>
      <c r="AR829" s="79">
        <f>IF($A829="","",$A829)</f>
        <v>45835</v>
      </c>
      <c r="AS829" s="53">
        <v>5587</v>
      </c>
      <c r="AT829" s="53">
        <f t="shared" si="1235"/>
        <v>43</v>
      </c>
      <c r="AU829" s="53">
        <v>183</v>
      </c>
      <c r="AV829" s="31">
        <f t="shared" si="1236"/>
        <v>3</v>
      </c>
      <c r="AW829" s="53">
        <v>12</v>
      </c>
      <c r="AX829" s="53">
        <f t="shared" si="1237"/>
        <v>1</v>
      </c>
      <c r="AY829" s="80">
        <v>0</v>
      </c>
      <c r="AZ829" s="75" t="str">
        <f t="shared" si="1238"/>
        <v>ロムアンド</v>
      </c>
      <c r="BA829" s="76">
        <f t="shared" si="1239"/>
        <v>1001</v>
      </c>
      <c r="BB829" s="31">
        <f t="shared" si="1240"/>
        <v>1001</v>
      </c>
      <c r="BC829" s="32">
        <f t="shared" si="1241"/>
        <v>0.2327906976744186</v>
      </c>
      <c r="BD829" s="15" t="s">
        <v>170</v>
      </c>
      <c r="BT829" s="15"/>
      <c r="BU829" s="79" t="str">
        <f>IF($A865="","",$A865)</f>
        <v/>
      </c>
      <c r="BV829" s="13"/>
      <c r="BW829" s="13"/>
      <c r="BX829" s="13"/>
      <c r="BY829" s="13"/>
      <c r="BZ829" s="13"/>
      <c r="CA829" s="13"/>
      <c r="CB829" s="13"/>
      <c r="CC829" s="53"/>
      <c r="CD829" s="53"/>
      <c r="CE829" s="13"/>
      <c r="CF829" s="14"/>
      <c r="CG829" s="132"/>
      <c r="CH829" s="1"/>
      <c r="CI829" s="79"/>
      <c r="CJ829" s="13"/>
      <c r="CK829" s="13"/>
      <c r="CL829" s="13"/>
      <c r="CM829" s="13"/>
      <c r="CN829" s="13"/>
      <c r="CO829" s="13"/>
      <c r="CP829" s="13"/>
      <c r="CQ829" s="53"/>
      <c r="CR829" s="53"/>
      <c r="CS829" s="13"/>
      <c r="CT829" s="14"/>
      <c r="CU829" s="15"/>
      <c r="CV829" s="1"/>
      <c r="CW829" s="79"/>
      <c r="CX829" s="13"/>
      <c r="CY829" s="13"/>
      <c r="CZ829" s="13"/>
      <c r="DA829" s="13"/>
      <c r="DB829" s="13"/>
      <c r="DC829" s="13"/>
      <c r="DD829" s="13"/>
      <c r="DE829" s="53"/>
      <c r="DF829" s="53"/>
      <c r="DG829" s="13"/>
      <c r="DH829" s="14"/>
      <c r="DI829" s="15"/>
      <c r="DJ829" s="1"/>
      <c r="DK829" s="79"/>
      <c r="DL829" s="13"/>
      <c r="DM829" s="13"/>
      <c r="DN829" s="13"/>
      <c r="DO829" s="13"/>
      <c r="DP829" s="13"/>
      <c r="DQ829" s="13"/>
      <c r="DR829" s="13"/>
      <c r="DS829" s="53"/>
      <c r="DT829" s="53"/>
      <c r="DU829" s="13"/>
      <c r="DV829" s="14"/>
      <c r="DW829" s="15"/>
    </row>
    <row r="830" spans="1:127" x14ac:dyDescent="0.2">
      <c r="A830" s="16"/>
      <c r="B830" s="11"/>
      <c r="C830" s="13">
        <v>25522</v>
      </c>
      <c r="D830" s="53">
        <f t="shared" si="1214"/>
        <v>133</v>
      </c>
      <c r="E830" s="13">
        <v>1307</v>
      </c>
      <c r="F830" s="13">
        <f t="shared" si="1215"/>
        <v>1</v>
      </c>
      <c r="G830" s="13">
        <v>18</v>
      </c>
      <c r="H830" s="13">
        <f t="shared" si="1216"/>
        <v>1</v>
      </c>
      <c r="I830" s="17">
        <v>0</v>
      </c>
      <c r="J830" s="56" t="str">
        <f t="shared" si="1217"/>
        <v>ジャグラーイヤホン</v>
      </c>
      <c r="K830" s="54">
        <f t="shared" si="1218"/>
        <v>1100</v>
      </c>
      <c r="L830" s="13">
        <f t="shared" si="1219"/>
        <v>1100</v>
      </c>
      <c r="M830" s="14">
        <f t="shared" si="1220"/>
        <v>8.2706766917293228E-2</v>
      </c>
      <c r="N830" s="15"/>
      <c r="O830" s="2"/>
      <c r="P830" s="16"/>
      <c r="Q830" s="13">
        <v>26970</v>
      </c>
      <c r="R830" s="53">
        <f t="shared" si="1221"/>
        <v>151</v>
      </c>
      <c r="S830" s="13">
        <v>1494</v>
      </c>
      <c r="T830" s="13">
        <f t="shared" si="1222"/>
        <v>2</v>
      </c>
      <c r="U830" s="13">
        <v>8</v>
      </c>
      <c r="V830" s="13">
        <f t="shared" si="1223"/>
        <v>2</v>
      </c>
      <c r="W830" s="17">
        <v>1</v>
      </c>
      <c r="X830" s="56" t="str">
        <f t="shared" si="1224"/>
        <v>サンリオFAN</v>
      </c>
      <c r="Y830" s="54">
        <f t="shared" si="1225"/>
        <v>1100</v>
      </c>
      <c r="Z830" s="13">
        <f t="shared" si="1226"/>
        <v>2200</v>
      </c>
      <c r="AA830" s="14">
        <f t="shared" si="1227"/>
        <v>0.14569536423841059</v>
      </c>
      <c r="AB830" s="15"/>
      <c r="AC830" s="15"/>
      <c r="AD830" s="16"/>
      <c r="AE830" s="13">
        <v>4509</v>
      </c>
      <c r="AF830" s="53">
        <f t="shared" si="1228"/>
        <v>62</v>
      </c>
      <c r="AG830" s="13">
        <v>106</v>
      </c>
      <c r="AH830" s="13">
        <f t="shared" si="1229"/>
        <v>2</v>
      </c>
      <c r="AI830" s="13">
        <v>10</v>
      </c>
      <c r="AJ830" s="13">
        <f t="shared" si="1230"/>
        <v>2</v>
      </c>
      <c r="AK830" s="17">
        <v>2</v>
      </c>
      <c r="AL830" s="56" t="str">
        <f t="shared" si="1231"/>
        <v>デジタルミニカメラ</v>
      </c>
      <c r="AM830" s="54">
        <f t="shared" si="1232"/>
        <v>800</v>
      </c>
      <c r="AN830" s="13">
        <f t="shared" si="1233"/>
        <v>1600</v>
      </c>
      <c r="AO830" s="14">
        <f t="shared" si="1234"/>
        <v>0.25806451612903225</v>
      </c>
      <c r="AP830" s="15"/>
      <c r="AQ830" s="15"/>
      <c r="AR830" s="16"/>
      <c r="AS830" s="13">
        <v>3910</v>
      </c>
      <c r="AT830" s="53">
        <f t="shared" si="1235"/>
        <v>73</v>
      </c>
      <c r="AU830" s="13">
        <v>205</v>
      </c>
      <c r="AV830" s="13">
        <f t="shared" si="1236"/>
        <v>0</v>
      </c>
      <c r="AW830" s="13">
        <v>19</v>
      </c>
      <c r="AX830" s="13">
        <f t="shared" si="1237"/>
        <v>6</v>
      </c>
      <c r="AY830" s="17">
        <v>0</v>
      </c>
      <c r="AZ830" s="56" t="s">
        <v>164</v>
      </c>
      <c r="BA830" s="54">
        <v>1000</v>
      </c>
      <c r="BB830" s="13">
        <f t="shared" si="1240"/>
        <v>6000</v>
      </c>
      <c r="BC830" s="14">
        <f t="shared" si="1241"/>
        <v>0.82191780821917804</v>
      </c>
      <c r="BD830" s="15"/>
      <c r="BT830" s="15"/>
      <c r="BU830" s="79" t="str">
        <f>IF($A836="","",$A836)</f>
        <v/>
      </c>
      <c r="BV830" s="13"/>
      <c r="BW830" s="13"/>
      <c r="BX830" s="13"/>
      <c r="BY830" s="13"/>
      <c r="BZ830" s="13"/>
      <c r="CA830" s="13"/>
      <c r="CB830" s="13"/>
      <c r="CC830" s="53"/>
      <c r="CD830" s="53"/>
      <c r="CE830" s="13"/>
      <c r="CF830" s="14"/>
      <c r="CG830" s="15"/>
      <c r="CH830" s="1"/>
      <c r="CI830" s="79"/>
      <c r="CJ830" s="13"/>
      <c r="CK830" s="13"/>
      <c r="CL830" s="13"/>
      <c r="CM830" s="13"/>
      <c r="CN830" s="13"/>
      <c r="CO830" s="13"/>
      <c r="CP830" s="13"/>
      <c r="CQ830" s="53"/>
      <c r="CR830" s="53"/>
      <c r="CS830" s="13"/>
      <c r="CT830" s="14"/>
      <c r="CU830" s="15"/>
      <c r="CV830" s="1"/>
      <c r="CW830" s="79"/>
      <c r="CX830" s="13"/>
      <c r="CY830" s="13"/>
      <c r="CZ830" s="13"/>
      <c r="DA830" s="13"/>
      <c r="DB830" s="13"/>
      <c r="DC830" s="13"/>
      <c r="DD830" s="13"/>
      <c r="DE830" s="53"/>
      <c r="DF830" s="53"/>
      <c r="DG830" s="13"/>
      <c r="DH830" s="14"/>
      <c r="DI830" s="15"/>
      <c r="DJ830" s="1"/>
      <c r="DK830" s="79"/>
      <c r="DL830" s="13"/>
      <c r="DM830" s="13"/>
      <c r="DN830" s="13"/>
      <c r="DO830" s="13"/>
      <c r="DP830" s="13"/>
      <c r="DQ830" s="13"/>
      <c r="DR830" s="13"/>
      <c r="DS830" s="53"/>
      <c r="DT830" s="53"/>
      <c r="DU830" s="13"/>
      <c r="DV830" s="14"/>
      <c r="DW830" s="15"/>
    </row>
    <row r="831" spans="1:127" x14ac:dyDescent="0.2">
      <c r="A831" s="33"/>
      <c r="B831" s="48"/>
      <c r="C831" s="34">
        <v>21342</v>
      </c>
      <c r="D831" s="53">
        <f t="shared" si="1214"/>
        <v>34</v>
      </c>
      <c r="E831" s="34">
        <v>1078</v>
      </c>
      <c r="F831" s="13">
        <f t="shared" si="1215"/>
        <v>2</v>
      </c>
      <c r="G831" s="34">
        <v>1</v>
      </c>
      <c r="H831" s="13">
        <f t="shared" si="1216"/>
        <v>4</v>
      </c>
      <c r="I831" s="49">
        <v>64</v>
      </c>
      <c r="J831" s="56" t="str">
        <f t="shared" si="1217"/>
        <v>グミッツェルプチ</v>
      </c>
      <c r="K831" s="13">
        <f t="shared" si="1218"/>
        <v>180</v>
      </c>
      <c r="L831" s="13">
        <f t="shared" si="1219"/>
        <v>720</v>
      </c>
      <c r="M831" s="14">
        <f t="shared" si="1220"/>
        <v>0.21176470588235294</v>
      </c>
      <c r="N831" s="15" t="s">
        <v>167</v>
      </c>
      <c r="O831" s="2"/>
      <c r="P831" s="33"/>
      <c r="Q831" s="34">
        <v>19960</v>
      </c>
      <c r="R831" s="53">
        <f t="shared" si="1221"/>
        <v>51</v>
      </c>
      <c r="S831" s="34">
        <v>2718</v>
      </c>
      <c r="T831" s="13">
        <f t="shared" si="1222"/>
        <v>5</v>
      </c>
      <c r="U831" s="34">
        <v>0</v>
      </c>
      <c r="V831" s="13">
        <f t="shared" si="1223"/>
        <v>5</v>
      </c>
      <c r="W831" s="49">
        <v>8</v>
      </c>
      <c r="X831" s="56" t="str">
        <f t="shared" si="1224"/>
        <v>なんちゃって手榴弾</v>
      </c>
      <c r="Y831" s="13">
        <f t="shared" si="1225"/>
        <v>0</v>
      </c>
      <c r="Z831" s="13">
        <f t="shared" si="1226"/>
        <v>0</v>
      </c>
      <c r="AA831" s="14">
        <f t="shared" si="1227"/>
        <v>0</v>
      </c>
      <c r="AB831" s="15" t="s">
        <v>168</v>
      </c>
      <c r="AC831" s="15"/>
      <c r="AD831" s="33"/>
      <c r="AE831" s="34">
        <v>4721</v>
      </c>
      <c r="AF831" s="53">
        <f t="shared" si="1228"/>
        <v>29</v>
      </c>
      <c r="AG831" s="34">
        <v>173</v>
      </c>
      <c r="AH831" s="13">
        <f t="shared" si="1229"/>
        <v>4</v>
      </c>
      <c r="AI831" s="34">
        <v>115</v>
      </c>
      <c r="AJ831" s="13">
        <f t="shared" si="1230"/>
        <v>5</v>
      </c>
      <c r="AK831" s="49">
        <v>0</v>
      </c>
      <c r="AL831" s="56" t="str">
        <f t="shared" si="1231"/>
        <v>モンチッチボールペン</v>
      </c>
      <c r="AM831" s="13">
        <f t="shared" si="1232"/>
        <v>160</v>
      </c>
      <c r="AN831" s="13">
        <f t="shared" si="1233"/>
        <v>800</v>
      </c>
      <c r="AO831" s="14">
        <f t="shared" si="1234"/>
        <v>0.27586206896551724</v>
      </c>
      <c r="AP831" s="15"/>
      <c r="AQ831" s="15"/>
      <c r="AR831" s="33"/>
      <c r="AS831" s="34">
        <v>6421</v>
      </c>
      <c r="AT831" s="53">
        <f t="shared" si="1235"/>
        <v>183</v>
      </c>
      <c r="AU831" s="34">
        <v>270</v>
      </c>
      <c r="AV831" s="13">
        <f t="shared" si="1236"/>
        <v>6</v>
      </c>
      <c r="AW831" s="34">
        <v>112</v>
      </c>
      <c r="AX831" s="13">
        <f t="shared" si="1237"/>
        <v>10</v>
      </c>
      <c r="AY831" s="49">
        <v>0</v>
      </c>
      <c r="AZ831" s="56" t="str">
        <f t="shared" si="1238"/>
        <v>スプランキーラバーキーホルダー</v>
      </c>
      <c r="BA831" s="13">
        <f t="shared" si="1239"/>
        <v>200</v>
      </c>
      <c r="BB831" s="13">
        <f t="shared" si="1240"/>
        <v>2000</v>
      </c>
      <c r="BC831" s="14">
        <f t="shared" si="1241"/>
        <v>0.10928961748633879</v>
      </c>
      <c r="BD831" s="15"/>
      <c r="BT831" s="15"/>
      <c r="BU831" s="79" t="e">
        <f>IF(#REF!="","",#REF!)</f>
        <v>#REF!</v>
      </c>
      <c r="BV831" s="13"/>
      <c r="BW831" s="13"/>
      <c r="BX831" s="13"/>
      <c r="BY831" s="13"/>
      <c r="BZ831" s="13"/>
      <c r="CA831" s="13"/>
      <c r="CB831" s="13"/>
      <c r="CC831" s="53"/>
      <c r="CD831" s="53"/>
      <c r="CE831" s="13"/>
      <c r="CF831" s="14" t="str">
        <f t="shared" ref="CF831" si="1243">IF(CE831="","",CE831/(BV831*100))</f>
        <v/>
      </c>
      <c r="CG831" s="15"/>
      <c r="CH831" s="1"/>
      <c r="CI831" s="79" t="e">
        <f>IF(#REF!="","",#REF!)</f>
        <v>#REF!</v>
      </c>
      <c r="CJ831" s="13"/>
      <c r="CK831" s="13"/>
      <c r="CL831" s="13"/>
      <c r="CM831" s="13"/>
      <c r="CN831" s="13"/>
      <c r="CO831" s="13"/>
      <c r="CP831" s="13"/>
      <c r="CQ831" s="53"/>
      <c r="CR831" s="53"/>
      <c r="CS831" s="13"/>
      <c r="CT831" s="14" t="str">
        <f t="shared" ref="CT831:CT835" si="1244">IF(CS831="","",CS831/(CK831*100))</f>
        <v/>
      </c>
      <c r="CU831" s="15"/>
      <c r="CV831" s="1"/>
      <c r="CW831" s="79" t="e">
        <f>IF(#REF!="","",#REF!)</f>
        <v>#REF!</v>
      </c>
      <c r="CX831" s="13"/>
      <c r="CY831" s="13"/>
      <c r="CZ831" s="13"/>
      <c r="DA831" s="13"/>
      <c r="DB831" s="13"/>
      <c r="DC831" s="13"/>
      <c r="DD831" s="13"/>
      <c r="DE831" s="53"/>
      <c r="DF831" s="53"/>
      <c r="DG831" s="13"/>
      <c r="DH831" s="14"/>
      <c r="DI831" s="15"/>
      <c r="DJ831" s="1"/>
      <c r="DK831" s="79" t="e">
        <f>IF(#REF!="","",#REF!)</f>
        <v>#REF!</v>
      </c>
      <c r="DL831" s="13"/>
      <c r="DM831" s="13"/>
      <c r="DN831" s="13"/>
      <c r="DO831" s="13"/>
      <c r="DP831" s="13"/>
      <c r="DQ831" s="13"/>
      <c r="DR831" s="13"/>
      <c r="DS831" s="53"/>
      <c r="DT831" s="53"/>
      <c r="DU831" s="13"/>
      <c r="DV831" s="14"/>
      <c r="DW831" s="15"/>
    </row>
    <row r="832" spans="1:127" ht="15" customHeight="1" thickBot="1" x14ac:dyDescent="0.25">
      <c r="A832" s="26"/>
      <c r="B832" s="46"/>
      <c r="C832" s="27">
        <v>27788</v>
      </c>
      <c r="D832" s="61">
        <f t="shared" si="1214"/>
        <v>148</v>
      </c>
      <c r="E832" s="27">
        <v>1339</v>
      </c>
      <c r="F832" s="27">
        <f t="shared" si="1215"/>
        <v>2</v>
      </c>
      <c r="G832" s="27">
        <v>46</v>
      </c>
      <c r="H832" s="27">
        <f t="shared" si="1216"/>
        <v>2</v>
      </c>
      <c r="I832" s="47">
        <v>5</v>
      </c>
      <c r="J832" s="57" t="str">
        <f t="shared" si="1217"/>
        <v>NICIマスコット</v>
      </c>
      <c r="K832" s="62">
        <f t="shared" si="1218"/>
        <v>682</v>
      </c>
      <c r="L832" s="27">
        <f t="shared" si="1219"/>
        <v>1364</v>
      </c>
      <c r="M832" s="28">
        <f t="shared" si="1220"/>
        <v>9.2162162162162165E-2</v>
      </c>
      <c r="N832" s="15"/>
      <c r="O832" s="2"/>
      <c r="P832" s="26"/>
      <c r="Q832" s="27">
        <v>19291</v>
      </c>
      <c r="R832" s="61">
        <f t="shared" si="1221"/>
        <v>90</v>
      </c>
      <c r="S832" s="27">
        <v>1683</v>
      </c>
      <c r="T832" s="27">
        <f t="shared" si="1222"/>
        <v>1</v>
      </c>
      <c r="U832" s="27">
        <v>13</v>
      </c>
      <c r="V832" s="27">
        <f t="shared" si="1223"/>
        <v>1</v>
      </c>
      <c r="W832" s="47">
        <v>1</v>
      </c>
      <c r="X832" s="57" t="str">
        <f t="shared" si="1224"/>
        <v>ピクミンマスコット</v>
      </c>
      <c r="Y832" s="62">
        <f t="shared" si="1225"/>
        <v>600</v>
      </c>
      <c r="Z832" s="27">
        <f t="shared" si="1226"/>
        <v>600</v>
      </c>
      <c r="AA832" s="28">
        <f t="shared" si="1227"/>
        <v>6.6666666666666666E-2</v>
      </c>
      <c r="AB832" s="15"/>
      <c r="AC832" s="15"/>
      <c r="AD832" s="26"/>
      <c r="AE832" s="27">
        <v>4861</v>
      </c>
      <c r="AF832" s="61">
        <f t="shared" si="1228"/>
        <v>61</v>
      </c>
      <c r="AG832" s="27">
        <v>165</v>
      </c>
      <c r="AH832" s="27">
        <f t="shared" si="1229"/>
        <v>1</v>
      </c>
      <c r="AI832" s="27">
        <v>16</v>
      </c>
      <c r="AJ832" s="27">
        <f t="shared" si="1230"/>
        <v>1</v>
      </c>
      <c r="AK832" s="47">
        <v>2</v>
      </c>
      <c r="AL832" s="57" t="str">
        <f t="shared" si="1231"/>
        <v>ギャルキティキーケース</v>
      </c>
      <c r="AM832" s="62">
        <f t="shared" si="1232"/>
        <v>726</v>
      </c>
      <c r="AN832" s="27">
        <f t="shared" si="1233"/>
        <v>726</v>
      </c>
      <c r="AO832" s="28">
        <f t="shared" si="1234"/>
        <v>0.11901639344262295</v>
      </c>
      <c r="AP832" s="15"/>
      <c r="AQ832" s="15"/>
      <c r="AR832" s="26"/>
      <c r="AS832" s="27">
        <v>5420</v>
      </c>
      <c r="AT832" s="61">
        <f t="shared" si="1235"/>
        <v>271</v>
      </c>
      <c r="AU832" s="27">
        <v>233</v>
      </c>
      <c r="AV832" s="27">
        <f t="shared" si="1236"/>
        <v>2</v>
      </c>
      <c r="AW832" s="27">
        <v>54</v>
      </c>
      <c r="AX832" s="27">
        <f t="shared" si="1237"/>
        <v>14</v>
      </c>
      <c r="AY832" s="47">
        <v>10</v>
      </c>
      <c r="AZ832" s="57" t="s">
        <v>165</v>
      </c>
      <c r="BA832" s="62">
        <v>600</v>
      </c>
      <c r="BB832" s="27">
        <f t="shared" si="1240"/>
        <v>8400</v>
      </c>
      <c r="BC832" s="28">
        <f t="shared" si="1241"/>
        <v>0.30996309963099633</v>
      </c>
      <c r="BD832" s="15"/>
      <c r="BT832" s="15"/>
      <c r="BU832" s="79" t="e">
        <f>IF(#REF!="","",#REF!)</f>
        <v>#REF!</v>
      </c>
      <c r="BV832" s="13"/>
      <c r="BW832" s="13" t="str">
        <f>IF(BV832="","",BV832-BV833)</f>
        <v/>
      </c>
      <c r="BX832" s="13"/>
      <c r="BY832" s="13" t="str">
        <f>IF(BX832="","",BX832-BX833)</f>
        <v/>
      </c>
      <c r="BZ832" s="13"/>
      <c r="CA832" s="13" t="str">
        <f>IF(BZ832="","",BZ833+CB833-BZ832)</f>
        <v/>
      </c>
      <c r="CB832" s="13"/>
      <c r="CC832" s="53"/>
      <c r="CD832" s="53" t="str">
        <f>IF(BV832="","",CD833)</f>
        <v/>
      </c>
      <c r="CE832" s="13" t="str">
        <f t="shared" ref="CE832:CE864" si="1245">IF(CD832="","",CA832*CD832)</f>
        <v/>
      </c>
      <c r="CF832" s="14" t="str">
        <f t="shared" ref="CF832:CF864" si="1246">IF(CE832="","",CE832/(BW832*100))</f>
        <v/>
      </c>
      <c r="CG832" s="15"/>
      <c r="CH832" s="1"/>
      <c r="CI832" s="79" t="e">
        <f>IF(#REF!="","",#REF!)</f>
        <v>#REF!</v>
      </c>
      <c r="CJ832" s="13"/>
      <c r="CK832" s="13" t="str">
        <f>IF(CJ832="","",CJ832-CJ833)</f>
        <v/>
      </c>
      <c r="CL832" s="13"/>
      <c r="CM832" s="13" t="str">
        <f>IF(CL832="","",CL832-CL833)</f>
        <v/>
      </c>
      <c r="CN832" s="13"/>
      <c r="CO832" s="13" t="str">
        <f>IF(CN832="","",CN833+CP833-CN832)</f>
        <v/>
      </c>
      <c r="CP832" s="13"/>
      <c r="CQ832" s="53"/>
      <c r="CR832" s="53" t="str">
        <f>IF(CJ832="","",CR833)</f>
        <v/>
      </c>
      <c r="CS832" s="13" t="str">
        <f t="shared" ref="CS832:CS864" si="1247">IF(CR832="","",CO832*CR832)</f>
        <v/>
      </c>
      <c r="CT832" s="14" t="str">
        <f t="shared" si="1244"/>
        <v/>
      </c>
      <c r="CU832" s="15"/>
      <c r="CV832" s="1"/>
      <c r="CW832" s="79" t="e">
        <f>IF(#REF!="","",#REF!)</f>
        <v>#REF!</v>
      </c>
      <c r="CX832" s="13"/>
      <c r="CY832" s="13" t="str">
        <f>IF(CX832="","",CX832-CX833)</f>
        <v/>
      </c>
      <c r="CZ832" s="13"/>
      <c r="DA832" s="13" t="str">
        <f>IF(CZ832="","",CZ832-CZ833)</f>
        <v/>
      </c>
      <c r="DB832" s="13"/>
      <c r="DC832" s="13" t="str">
        <f>IF(DB832="","",DB833+DD833-DB832)</f>
        <v/>
      </c>
      <c r="DD832" s="13"/>
      <c r="DE832" s="53"/>
      <c r="DF832" s="53" t="str">
        <f>IF(CX832="","",DF833)</f>
        <v/>
      </c>
      <c r="DG832" s="13" t="str">
        <f t="shared" ref="DG832:DG864" si="1248">IF(DF832="","",DC832*DF832)</f>
        <v/>
      </c>
      <c r="DH832" s="14" t="str">
        <f t="shared" ref="DH832:DH864" si="1249">IF(DG832="","",DG832/(CY832*100))</f>
        <v/>
      </c>
      <c r="DI832" s="15"/>
      <c r="DJ832" s="1"/>
      <c r="DK832" s="79" t="e">
        <f>IF(#REF!="","",#REF!)</f>
        <v>#REF!</v>
      </c>
      <c r="DL832" s="13"/>
      <c r="DM832" s="13" t="str">
        <f>IF(DL832="","",DL832-DL833)</f>
        <v/>
      </c>
      <c r="DN832" s="13"/>
      <c r="DO832" s="13" t="str">
        <f>IF(DN832="","",DN832-DN833)</f>
        <v/>
      </c>
      <c r="DP832" s="13"/>
      <c r="DQ832" s="13" t="str">
        <f>IF(DP832="","",DP833+DR833-DP832)</f>
        <v/>
      </c>
      <c r="DR832" s="13"/>
      <c r="DS832" s="53"/>
      <c r="DT832" s="53" t="str">
        <f>IF(DL832="","",DT833)</f>
        <v/>
      </c>
      <c r="DU832" s="13" t="str">
        <f t="shared" ref="DU832:DU864" si="1250">IF(DT832="","",DQ832*DT832)</f>
        <v/>
      </c>
      <c r="DV832" s="14" t="str">
        <f t="shared" ref="DV832:DV864" si="1251">IF(DU832="","",DU832/(DM832*100))</f>
        <v/>
      </c>
      <c r="DW832" s="15"/>
    </row>
    <row r="833" spans="1:127" ht="15" customHeight="1" thickTop="1" x14ac:dyDescent="0.2">
      <c r="A833" s="79">
        <v>45838</v>
      </c>
      <c r="B833" s="74">
        <f>IF(A833="","",SUM(D833:D836)+SUM(R833:R836)+SUM(AF833:AF836)+SUM(AT833:AT836)+SUM(BW821,CK821,CY821,DM821))</f>
        <v>2431</v>
      </c>
      <c r="C833" s="53">
        <v>21515</v>
      </c>
      <c r="D833" s="53">
        <f t="shared" si="1214"/>
        <v>94</v>
      </c>
      <c r="E833" s="53">
        <v>1139</v>
      </c>
      <c r="F833" s="31">
        <f t="shared" si="1215"/>
        <v>4</v>
      </c>
      <c r="G833" s="53">
        <v>11</v>
      </c>
      <c r="H833" s="53">
        <f t="shared" si="1216"/>
        <v>1</v>
      </c>
      <c r="I833" s="80">
        <v>0</v>
      </c>
      <c r="J833" s="75" t="str">
        <f t="shared" si="1217"/>
        <v>ジャグラーサウンドボタン</v>
      </c>
      <c r="K833" s="76">
        <f t="shared" si="1218"/>
        <v>748</v>
      </c>
      <c r="L833" s="31">
        <f t="shared" si="1219"/>
        <v>748</v>
      </c>
      <c r="M833" s="32">
        <f t="shared" si="1220"/>
        <v>7.957446808510639E-2</v>
      </c>
      <c r="N833" s="15"/>
      <c r="O833" s="2"/>
      <c r="P833" s="79">
        <f>IF($A833="","",$A833)</f>
        <v>45838</v>
      </c>
      <c r="Q833" s="53">
        <v>21409</v>
      </c>
      <c r="R833" s="53">
        <f t="shared" si="1221"/>
        <v>164</v>
      </c>
      <c r="S833" s="53">
        <v>1187</v>
      </c>
      <c r="T833" s="31">
        <f t="shared" si="1222"/>
        <v>2</v>
      </c>
      <c r="U833" s="53">
        <v>16</v>
      </c>
      <c r="V833" s="53">
        <f t="shared" si="1223"/>
        <v>1</v>
      </c>
      <c r="W833" s="80">
        <v>0</v>
      </c>
      <c r="X833" s="75" t="s">
        <v>185</v>
      </c>
      <c r="Y833" s="76">
        <v>500</v>
      </c>
      <c r="Z833" s="31">
        <f t="shared" si="1226"/>
        <v>500</v>
      </c>
      <c r="AA833" s="32">
        <f t="shared" si="1227"/>
        <v>3.048780487804878E-2</v>
      </c>
      <c r="AB833" s="15"/>
      <c r="AC833" s="15"/>
      <c r="AD833" s="79">
        <f>IF($A833="","",$A833)</f>
        <v>45838</v>
      </c>
      <c r="AE833" s="53">
        <v>5622</v>
      </c>
      <c r="AF833" s="53">
        <f t="shared" si="1228"/>
        <v>56</v>
      </c>
      <c r="AG833" s="53">
        <v>116</v>
      </c>
      <c r="AH833" s="31">
        <f t="shared" si="1229"/>
        <v>1</v>
      </c>
      <c r="AI833" s="53">
        <v>40</v>
      </c>
      <c r="AJ833" s="53">
        <f t="shared" si="1230"/>
        <v>1</v>
      </c>
      <c r="AK833" s="80">
        <v>0</v>
      </c>
      <c r="AL833" s="75" t="str">
        <f t="shared" si="1231"/>
        <v>ミニ香水</v>
      </c>
      <c r="AM833" s="76">
        <f t="shared" si="1232"/>
        <v>1100</v>
      </c>
      <c r="AN833" s="31">
        <f t="shared" si="1233"/>
        <v>1100</v>
      </c>
      <c r="AO833" s="32">
        <f t="shared" si="1234"/>
        <v>0.19642857142857142</v>
      </c>
      <c r="AP833" s="15"/>
      <c r="AQ833" s="15"/>
      <c r="AR833" s="79">
        <f>IF($A833="","",$A833)</f>
        <v>45838</v>
      </c>
      <c r="AS833" s="53">
        <v>5633</v>
      </c>
      <c r="AT833" s="53">
        <f t="shared" si="1235"/>
        <v>46</v>
      </c>
      <c r="AU833" s="53">
        <v>195</v>
      </c>
      <c r="AV833" s="31">
        <f t="shared" si="1236"/>
        <v>12</v>
      </c>
      <c r="AW833" s="53">
        <v>0</v>
      </c>
      <c r="AX833" s="53">
        <f t="shared" si="1237"/>
        <v>12</v>
      </c>
      <c r="AY833" s="80">
        <v>0</v>
      </c>
      <c r="AZ833" s="75" t="s">
        <v>172</v>
      </c>
      <c r="BA833" s="76">
        <v>1100</v>
      </c>
      <c r="BB833" s="31">
        <f t="shared" si="1240"/>
        <v>13200</v>
      </c>
      <c r="BC833" s="130">
        <f t="shared" si="1241"/>
        <v>2.8695652173913042</v>
      </c>
      <c r="BD833" s="15"/>
      <c r="BT833" s="15"/>
      <c r="BU833" s="79" t="e">
        <f>IF(#REF!="","",#REF!)</f>
        <v>#REF!</v>
      </c>
      <c r="BV833" s="13"/>
      <c r="BW833" s="13" t="str">
        <f>IF(BV833="","",BV833-BV830)</f>
        <v/>
      </c>
      <c r="BX833" s="13"/>
      <c r="BY833" s="13" t="str">
        <f>IF(BX833="","",BX833-BX830)</f>
        <v/>
      </c>
      <c r="BZ833" s="13"/>
      <c r="CA833" s="13" t="str">
        <f>IF(BZ833="","",BZ830+CB830-BZ833)</f>
        <v/>
      </c>
      <c r="CB833" s="13"/>
      <c r="CC833" s="53"/>
      <c r="CD833" s="53" t="str">
        <f>IF(BV833="","",CD830)</f>
        <v/>
      </c>
      <c r="CE833" s="13" t="str">
        <f t="shared" si="1245"/>
        <v/>
      </c>
      <c r="CF833" s="14" t="str">
        <f t="shared" si="1246"/>
        <v/>
      </c>
      <c r="CG833" s="15"/>
      <c r="CH833" s="1"/>
      <c r="CI833" s="79" t="e">
        <f>IF(#REF!="","",#REF!)</f>
        <v>#REF!</v>
      </c>
      <c r="CJ833" s="13"/>
      <c r="CK833" s="13" t="str">
        <f>IF(CJ833="","",CJ833-CJ830)</f>
        <v/>
      </c>
      <c r="CL833" s="13"/>
      <c r="CM833" s="13" t="str">
        <f>IF(CL833="","",CL833-CL830)</f>
        <v/>
      </c>
      <c r="CN833" s="13"/>
      <c r="CO833" s="13" t="str">
        <f>IF(CN833="","",CN830+CP830-CN833)</f>
        <v/>
      </c>
      <c r="CP833" s="13"/>
      <c r="CQ833" s="53"/>
      <c r="CR833" s="53" t="str">
        <f>IF(CJ833="","",CR830)</f>
        <v/>
      </c>
      <c r="CS833" s="13" t="str">
        <f t="shared" si="1247"/>
        <v/>
      </c>
      <c r="CT833" s="14" t="str">
        <f t="shared" si="1244"/>
        <v/>
      </c>
      <c r="CU833" s="15"/>
      <c r="CV833" s="1"/>
      <c r="CW833" s="79" t="e">
        <f>IF(#REF!="","",#REF!)</f>
        <v>#REF!</v>
      </c>
      <c r="CX833" s="13"/>
      <c r="CY833" s="13" t="str">
        <f>IF(CX833="","",CX833-CX830)</f>
        <v/>
      </c>
      <c r="CZ833" s="13"/>
      <c r="DA833" s="13" t="str">
        <f>IF(CZ833="","",CZ833-CZ830)</f>
        <v/>
      </c>
      <c r="DB833" s="13"/>
      <c r="DC833" s="13" t="str">
        <f>IF(DB833="","",DB830+DD830-DB833)</f>
        <v/>
      </c>
      <c r="DD833" s="13"/>
      <c r="DE833" s="53"/>
      <c r="DF833" s="53" t="str">
        <f>IF(CX833="","",DF830)</f>
        <v/>
      </c>
      <c r="DG833" s="13" t="str">
        <f t="shared" si="1248"/>
        <v/>
      </c>
      <c r="DH833" s="14" t="str">
        <f t="shared" si="1249"/>
        <v/>
      </c>
      <c r="DI833" s="15"/>
      <c r="DJ833" s="1"/>
      <c r="DK833" s="79" t="e">
        <f>IF(#REF!="","",#REF!)</f>
        <v>#REF!</v>
      </c>
      <c r="DL833" s="13"/>
      <c r="DM833" s="13" t="str">
        <f>IF(DL833="","",DL833-DL830)</f>
        <v/>
      </c>
      <c r="DN833" s="13"/>
      <c r="DO833" s="13" t="str">
        <f>IF(DN833="","",DN833-DN830)</f>
        <v/>
      </c>
      <c r="DP833" s="13"/>
      <c r="DQ833" s="13" t="str">
        <f>IF(DP833="","",DP830+DR830-DP833)</f>
        <v/>
      </c>
      <c r="DR833" s="13"/>
      <c r="DS833" s="53"/>
      <c r="DT833" s="53" t="str">
        <f>IF(DL833="","",DT830)</f>
        <v/>
      </c>
      <c r="DU833" s="13" t="str">
        <f t="shared" si="1250"/>
        <v/>
      </c>
      <c r="DV833" s="14" t="str">
        <f t="shared" si="1251"/>
        <v/>
      </c>
      <c r="DW833" s="15"/>
    </row>
    <row r="834" spans="1:127" x14ac:dyDescent="0.2">
      <c r="A834" s="119"/>
      <c r="B834" s="11"/>
      <c r="C834" s="13">
        <v>25573</v>
      </c>
      <c r="D834" s="13">
        <f t="shared" si="1214"/>
        <v>51</v>
      </c>
      <c r="E834" s="13">
        <v>1308</v>
      </c>
      <c r="F834" s="13">
        <f t="shared" si="1215"/>
        <v>1</v>
      </c>
      <c r="G834" s="13">
        <v>18</v>
      </c>
      <c r="H834" s="13">
        <f t="shared" si="1216"/>
        <v>0</v>
      </c>
      <c r="I834" s="17">
        <v>0</v>
      </c>
      <c r="J834" s="56" t="str">
        <f t="shared" si="1217"/>
        <v>ジャグラーイヤホン</v>
      </c>
      <c r="K834" s="54">
        <f t="shared" si="1218"/>
        <v>1100</v>
      </c>
      <c r="L834" s="13">
        <f t="shared" si="1219"/>
        <v>0</v>
      </c>
      <c r="M834" s="14">
        <f t="shared" si="1220"/>
        <v>0</v>
      </c>
      <c r="N834" s="15"/>
      <c r="O834" s="2"/>
      <c r="P834" s="79"/>
      <c r="Q834" s="13">
        <v>27184</v>
      </c>
      <c r="R834" s="13">
        <f t="shared" si="1221"/>
        <v>214</v>
      </c>
      <c r="S834" s="13">
        <v>1496</v>
      </c>
      <c r="T834" s="13">
        <f t="shared" si="1222"/>
        <v>2</v>
      </c>
      <c r="U834" s="13">
        <v>9</v>
      </c>
      <c r="V834" s="13">
        <f t="shared" si="1223"/>
        <v>0</v>
      </c>
      <c r="W834" s="17">
        <v>2</v>
      </c>
      <c r="X834" s="56" t="str">
        <f t="shared" si="1224"/>
        <v>サンリオFAN</v>
      </c>
      <c r="Y834" s="54">
        <f t="shared" si="1225"/>
        <v>1100</v>
      </c>
      <c r="Z834" s="13">
        <f t="shared" si="1226"/>
        <v>0</v>
      </c>
      <c r="AA834" s="14">
        <f t="shared" si="1227"/>
        <v>0</v>
      </c>
      <c r="AB834" s="15"/>
      <c r="AC834" s="15"/>
      <c r="AD834" s="79"/>
      <c r="AE834" s="13">
        <v>4613</v>
      </c>
      <c r="AF834" s="13">
        <f t="shared" si="1228"/>
        <v>104</v>
      </c>
      <c r="AG834" s="13">
        <v>109</v>
      </c>
      <c r="AH834" s="13">
        <f t="shared" si="1229"/>
        <v>3</v>
      </c>
      <c r="AI834" s="13">
        <v>9</v>
      </c>
      <c r="AJ834" s="13">
        <f t="shared" si="1230"/>
        <v>3</v>
      </c>
      <c r="AK834" s="17">
        <v>0</v>
      </c>
      <c r="AL834" s="56" t="str">
        <f t="shared" si="1231"/>
        <v>デジタルミニカメラ</v>
      </c>
      <c r="AM834" s="54">
        <f t="shared" si="1232"/>
        <v>800</v>
      </c>
      <c r="AN834" s="13">
        <f t="shared" si="1233"/>
        <v>2400</v>
      </c>
      <c r="AO834" s="14">
        <f t="shared" si="1234"/>
        <v>0.23076923076923078</v>
      </c>
      <c r="AP834" s="15"/>
      <c r="AQ834" s="15"/>
      <c r="AR834" s="79"/>
      <c r="AS834" s="13">
        <v>3939</v>
      </c>
      <c r="AT834" s="13">
        <f t="shared" si="1235"/>
        <v>29</v>
      </c>
      <c r="AU834" s="13">
        <v>205</v>
      </c>
      <c r="AV834" s="13">
        <f t="shared" si="1236"/>
        <v>0</v>
      </c>
      <c r="AW834" s="13">
        <v>19</v>
      </c>
      <c r="AX834" s="13">
        <f t="shared" si="1237"/>
        <v>0</v>
      </c>
      <c r="AY834" s="17">
        <v>0</v>
      </c>
      <c r="AZ834" s="111" t="str">
        <f t="shared" si="1238"/>
        <v>ねこアイシャドウ</v>
      </c>
      <c r="BA834" s="54">
        <f t="shared" si="1239"/>
        <v>1000</v>
      </c>
      <c r="BB834" s="13">
        <f t="shared" si="1240"/>
        <v>0</v>
      </c>
      <c r="BC834" s="14">
        <f t="shared" si="1241"/>
        <v>0</v>
      </c>
      <c r="BD834" s="15"/>
      <c r="BT834" s="15"/>
      <c r="BU834" s="79" t="e">
        <f>IF(#REF!="","",#REF!)</f>
        <v>#REF!</v>
      </c>
      <c r="BV834" s="13"/>
      <c r="BW834" s="13" t="str">
        <f>IF(BV834="","",BV834-BV832)</f>
        <v/>
      </c>
      <c r="BX834" s="13"/>
      <c r="BY834" s="13" t="str">
        <f>IF(BX834="","",BX834-BX832)</f>
        <v/>
      </c>
      <c r="BZ834" s="13"/>
      <c r="CA834" s="13" t="str">
        <f>IF(BZ834="","",BZ832+CB832-BZ834)</f>
        <v/>
      </c>
      <c r="CB834" s="13"/>
      <c r="CC834" s="53"/>
      <c r="CD834" s="53" t="str">
        <f>IF(BV834="","",CD832)</f>
        <v/>
      </c>
      <c r="CE834" s="13" t="str">
        <f t="shared" si="1245"/>
        <v/>
      </c>
      <c r="CF834" s="14" t="str">
        <f t="shared" si="1246"/>
        <v/>
      </c>
      <c r="CG834" s="15"/>
      <c r="CH834" s="1"/>
      <c r="CI834" s="79" t="e">
        <f>IF(#REF!="","",#REF!)</f>
        <v>#REF!</v>
      </c>
      <c r="CJ834" s="13"/>
      <c r="CK834" s="13" t="str">
        <f>IF(CJ834="","",CJ834-CJ832)</f>
        <v/>
      </c>
      <c r="CL834" s="13"/>
      <c r="CM834" s="13" t="str">
        <f>IF(CL834="","",CL834-CL832)</f>
        <v/>
      </c>
      <c r="CN834" s="13"/>
      <c r="CO834" s="13" t="str">
        <f>IF(CN834="","",CN832+CP832-CN834)</f>
        <v/>
      </c>
      <c r="CP834" s="13"/>
      <c r="CQ834" s="53"/>
      <c r="CR834" s="53" t="str">
        <f>IF(CJ834="","",CR832)</f>
        <v/>
      </c>
      <c r="CS834" s="13" t="str">
        <f t="shared" si="1247"/>
        <v/>
      </c>
      <c r="CT834" s="14" t="str">
        <f t="shared" si="1244"/>
        <v/>
      </c>
      <c r="CU834" s="15"/>
      <c r="CV834" s="1"/>
      <c r="CW834" s="79" t="e">
        <f>IF(#REF!="","",#REF!)</f>
        <v>#REF!</v>
      </c>
      <c r="CX834" s="13"/>
      <c r="CY834" s="13" t="str">
        <f>IF(CX834="","",CX834-CX832)</f>
        <v/>
      </c>
      <c r="CZ834" s="13"/>
      <c r="DA834" s="13" t="str">
        <f>IF(CZ834="","",CZ834-CZ832)</f>
        <v/>
      </c>
      <c r="DB834" s="13"/>
      <c r="DC834" s="13" t="str">
        <f>IF(DB834="","",DB832+DD832-DB834)</f>
        <v/>
      </c>
      <c r="DD834" s="13"/>
      <c r="DE834" s="53"/>
      <c r="DF834" s="53" t="str">
        <f>IF(CX834="","",DF832)</f>
        <v/>
      </c>
      <c r="DG834" s="13" t="str">
        <f t="shared" si="1248"/>
        <v/>
      </c>
      <c r="DH834" s="14" t="str">
        <f t="shared" si="1249"/>
        <v/>
      </c>
      <c r="DI834" s="15"/>
      <c r="DJ834" s="1"/>
      <c r="DK834" s="79" t="e">
        <f>IF(#REF!="","",#REF!)</f>
        <v>#REF!</v>
      </c>
      <c r="DL834" s="13"/>
      <c r="DM834" s="13" t="str">
        <f>IF(DL834="","",DL834-DL832)</f>
        <v/>
      </c>
      <c r="DN834" s="13"/>
      <c r="DO834" s="13" t="str">
        <f>IF(DN834="","",DN834-DN832)</f>
        <v/>
      </c>
      <c r="DP834" s="13"/>
      <c r="DQ834" s="13" t="str">
        <f>IF(DP834="","",DP832+DR832-DP834)</f>
        <v/>
      </c>
      <c r="DR834" s="13"/>
      <c r="DS834" s="53"/>
      <c r="DT834" s="53" t="str">
        <f>IF(DL834="","",DT832)</f>
        <v/>
      </c>
      <c r="DU834" s="13" t="str">
        <f t="shared" si="1250"/>
        <v/>
      </c>
      <c r="DV834" s="14" t="str">
        <f t="shared" si="1251"/>
        <v/>
      </c>
      <c r="DW834" s="15"/>
    </row>
    <row r="835" spans="1:127" ht="15" customHeight="1" x14ac:dyDescent="0.2">
      <c r="A835" s="79"/>
      <c r="B835" s="11"/>
      <c r="C835" s="34">
        <v>21693</v>
      </c>
      <c r="D835" s="13">
        <f t="shared" si="1214"/>
        <v>351</v>
      </c>
      <c r="E835" s="34">
        <v>1093</v>
      </c>
      <c r="F835" s="13">
        <f t="shared" si="1215"/>
        <v>15</v>
      </c>
      <c r="G835" s="34">
        <v>58</v>
      </c>
      <c r="H835" s="13">
        <f t="shared" si="1216"/>
        <v>7</v>
      </c>
      <c r="I835" s="49">
        <v>0</v>
      </c>
      <c r="J835" s="56" t="s">
        <v>171</v>
      </c>
      <c r="K835" s="13">
        <v>200</v>
      </c>
      <c r="L835" s="13">
        <f t="shared" si="1219"/>
        <v>1400</v>
      </c>
      <c r="M835" s="14">
        <f t="shared" si="1220"/>
        <v>3.9886039886039885E-2</v>
      </c>
      <c r="N835" s="15"/>
      <c r="O835" s="2"/>
      <c r="P835" s="79"/>
      <c r="Q835" s="34">
        <v>20098</v>
      </c>
      <c r="R835" s="13">
        <f t="shared" si="1221"/>
        <v>138</v>
      </c>
      <c r="S835" s="34">
        <v>2725</v>
      </c>
      <c r="T835" s="13">
        <f t="shared" si="1222"/>
        <v>7</v>
      </c>
      <c r="U835" s="34">
        <v>1</v>
      </c>
      <c r="V835" s="13">
        <f t="shared" si="1223"/>
        <v>7</v>
      </c>
      <c r="W835" s="49">
        <v>7</v>
      </c>
      <c r="X835" s="56" t="s">
        <v>166</v>
      </c>
      <c r="Y835" s="13">
        <v>957</v>
      </c>
      <c r="Z835" s="13">
        <f t="shared" si="1226"/>
        <v>6699</v>
      </c>
      <c r="AA835" s="14">
        <f t="shared" si="1227"/>
        <v>0.48543478260869566</v>
      </c>
      <c r="AB835" s="15" t="s">
        <v>173</v>
      </c>
      <c r="AC835" s="15"/>
      <c r="AD835" s="79"/>
      <c r="AE835" s="34">
        <v>4864</v>
      </c>
      <c r="AF835" s="13">
        <f t="shared" si="1228"/>
        <v>143</v>
      </c>
      <c r="AG835" s="34">
        <v>185</v>
      </c>
      <c r="AH835" s="13">
        <f t="shared" si="1229"/>
        <v>12</v>
      </c>
      <c r="AI835" s="34">
        <v>100</v>
      </c>
      <c r="AJ835" s="13">
        <f t="shared" si="1230"/>
        <v>15</v>
      </c>
      <c r="AK835" s="49">
        <v>0</v>
      </c>
      <c r="AL835" s="56" t="str">
        <f t="shared" si="1231"/>
        <v>モンチッチボールペン</v>
      </c>
      <c r="AM835" s="13">
        <f t="shared" si="1232"/>
        <v>160</v>
      </c>
      <c r="AN835" s="13">
        <f t="shared" si="1233"/>
        <v>2400</v>
      </c>
      <c r="AO835" s="14">
        <f t="shared" si="1234"/>
        <v>0.16783216783216784</v>
      </c>
      <c r="AP835" s="15"/>
      <c r="AQ835" s="15"/>
      <c r="AR835" s="79"/>
      <c r="AS835" s="34">
        <v>6582</v>
      </c>
      <c r="AT835" s="13">
        <f t="shared" si="1235"/>
        <v>161</v>
      </c>
      <c r="AU835" s="34">
        <v>276</v>
      </c>
      <c r="AV835" s="13">
        <f t="shared" si="1236"/>
        <v>6</v>
      </c>
      <c r="AW835" s="34">
        <v>104</v>
      </c>
      <c r="AX835" s="13">
        <f t="shared" si="1237"/>
        <v>8</v>
      </c>
      <c r="AY835" s="49">
        <v>0</v>
      </c>
      <c r="AZ835" s="56" t="str">
        <f t="shared" si="1238"/>
        <v>スプランキーラバーキーホルダー</v>
      </c>
      <c r="BA835" s="13">
        <f t="shared" si="1239"/>
        <v>200</v>
      </c>
      <c r="BB835" s="13">
        <f t="shared" si="1240"/>
        <v>1600</v>
      </c>
      <c r="BC835" s="14">
        <f t="shared" si="1241"/>
        <v>9.9378881987577633E-2</v>
      </c>
      <c r="BD835" s="15"/>
      <c r="BT835" s="15"/>
      <c r="BU835" s="79" t="e">
        <f>IF(#REF!="","",#REF!)</f>
        <v>#REF!</v>
      </c>
      <c r="BV835" s="13"/>
      <c r="BW835" s="13" t="str">
        <f>IF(BV835="","",BV835-#REF!)</f>
        <v/>
      </c>
      <c r="BX835" s="13"/>
      <c r="BY835" s="13" t="str">
        <f>IF(BX835="","",BX835-#REF!)</f>
        <v/>
      </c>
      <c r="BZ835" s="13"/>
      <c r="CA835" s="13" t="str">
        <f>IF(BZ835="","",#REF!+#REF!-BZ835)</f>
        <v/>
      </c>
      <c r="CB835" s="13"/>
      <c r="CC835" s="53"/>
      <c r="CD835" s="53" t="str">
        <f>IF(BV835="","",#REF!)</f>
        <v/>
      </c>
      <c r="CE835" s="13" t="str">
        <f t="shared" si="1245"/>
        <v/>
      </c>
      <c r="CF835" s="14" t="str">
        <f t="shared" si="1246"/>
        <v/>
      </c>
      <c r="CG835" s="15"/>
      <c r="CH835" s="1"/>
      <c r="CI835" s="79" t="e">
        <f>IF(#REF!="","",#REF!)</f>
        <v>#REF!</v>
      </c>
      <c r="CJ835" s="13"/>
      <c r="CK835" s="13" t="str">
        <f>IF(CJ835="","",CJ835-#REF!)</f>
        <v/>
      </c>
      <c r="CL835" s="13"/>
      <c r="CM835" s="13" t="str">
        <f>IF(CL835="","",CL835-#REF!)</f>
        <v/>
      </c>
      <c r="CN835" s="13"/>
      <c r="CO835" s="13" t="str">
        <f>IF(CN835="","",#REF!+#REF!-CN835)</f>
        <v/>
      </c>
      <c r="CP835" s="13"/>
      <c r="CQ835" s="53"/>
      <c r="CR835" s="53" t="str">
        <f>IF(CJ835="","",#REF!)</f>
        <v/>
      </c>
      <c r="CS835" s="13" t="str">
        <f t="shared" si="1247"/>
        <v/>
      </c>
      <c r="CT835" s="14" t="str">
        <f t="shared" si="1244"/>
        <v/>
      </c>
      <c r="CU835" s="15"/>
      <c r="CV835" s="1"/>
      <c r="CW835" s="79" t="e">
        <f>IF(#REF!="","",#REF!)</f>
        <v>#REF!</v>
      </c>
      <c r="CX835" s="13"/>
      <c r="CY835" s="13" t="str">
        <f>IF(CX835="","",CX835-#REF!)</f>
        <v/>
      </c>
      <c r="CZ835" s="13"/>
      <c r="DA835" s="13" t="str">
        <f>IF(CZ835="","",CZ835-#REF!)</f>
        <v/>
      </c>
      <c r="DB835" s="13"/>
      <c r="DC835" s="13" t="str">
        <f>IF(DB835="","",#REF!+#REF!-DB835)</f>
        <v/>
      </c>
      <c r="DD835" s="13"/>
      <c r="DE835" s="53"/>
      <c r="DF835" s="53" t="str">
        <f>IF(CX835="","",#REF!)</f>
        <v/>
      </c>
      <c r="DG835" s="13" t="str">
        <f t="shared" si="1248"/>
        <v/>
      </c>
      <c r="DH835" s="14" t="str">
        <f t="shared" si="1249"/>
        <v/>
      </c>
      <c r="DI835" s="15"/>
      <c r="DJ835" s="1"/>
      <c r="DK835" s="79" t="e">
        <f>IF(#REF!="","",#REF!)</f>
        <v>#REF!</v>
      </c>
      <c r="DL835" s="13"/>
      <c r="DM835" s="13" t="str">
        <f>IF(DL835="","",DL835-#REF!)</f>
        <v/>
      </c>
      <c r="DN835" s="13"/>
      <c r="DO835" s="13" t="str">
        <f>IF(DN835="","",DN835-#REF!)</f>
        <v/>
      </c>
      <c r="DP835" s="13"/>
      <c r="DQ835" s="13" t="str">
        <f>IF(DP835="","",#REF!+#REF!-DP835)</f>
        <v/>
      </c>
      <c r="DR835" s="13"/>
      <c r="DS835" s="53"/>
      <c r="DT835" s="53" t="str">
        <f>IF(DL835="","",#REF!)</f>
        <v/>
      </c>
      <c r="DU835" s="13" t="str">
        <f t="shared" si="1250"/>
        <v/>
      </c>
      <c r="DV835" s="14" t="str">
        <f t="shared" si="1251"/>
        <v/>
      </c>
      <c r="DW835" s="15"/>
    </row>
    <row r="836" spans="1:127" ht="15" customHeight="1" thickBot="1" x14ac:dyDescent="0.25">
      <c r="A836" s="26"/>
      <c r="B836" s="46"/>
      <c r="C836" s="27">
        <v>27861</v>
      </c>
      <c r="D836" s="27">
        <f t="shared" si="1214"/>
        <v>73</v>
      </c>
      <c r="E836" s="27">
        <v>1342</v>
      </c>
      <c r="F836" s="27">
        <f t="shared" si="1215"/>
        <v>3</v>
      </c>
      <c r="G836" s="27">
        <v>48</v>
      </c>
      <c r="H836" s="27">
        <f t="shared" si="1216"/>
        <v>3</v>
      </c>
      <c r="I836" s="47">
        <v>0</v>
      </c>
      <c r="J836" s="57" t="str">
        <f t="shared" si="1217"/>
        <v>NICIマスコット</v>
      </c>
      <c r="K836" s="62">
        <f t="shared" si="1218"/>
        <v>682</v>
      </c>
      <c r="L836" s="27">
        <f t="shared" si="1219"/>
        <v>2046</v>
      </c>
      <c r="M836" s="28">
        <f t="shared" si="1220"/>
        <v>0.28027397260273973</v>
      </c>
      <c r="N836" s="15"/>
      <c r="O836" s="2"/>
      <c r="P836" s="26"/>
      <c r="Q836" s="27">
        <v>19394</v>
      </c>
      <c r="R836" s="27">
        <f t="shared" si="1221"/>
        <v>103</v>
      </c>
      <c r="S836" s="27">
        <v>1685</v>
      </c>
      <c r="T836" s="27">
        <f t="shared" si="1222"/>
        <v>2</v>
      </c>
      <c r="U836" s="27">
        <v>12</v>
      </c>
      <c r="V836" s="27">
        <f t="shared" si="1223"/>
        <v>2</v>
      </c>
      <c r="W836" s="47">
        <v>0</v>
      </c>
      <c r="X836" s="57" t="str">
        <f t="shared" si="1224"/>
        <v>ピクミンマスコット</v>
      </c>
      <c r="Y836" s="62">
        <f t="shared" si="1225"/>
        <v>600</v>
      </c>
      <c r="Z836" s="27">
        <f t="shared" si="1226"/>
        <v>1200</v>
      </c>
      <c r="AA836" s="28">
        <f t="shared" si="1227"/>
        <v>0.11650485436893204</v>
      </c>
      <c r="AB836" s="15"/>
      <c r="AC836" s="15"/>
      <c r="AD836" s="26"/>
      <c r="AE836" s="27">
        <v>4987</v>
      </c>
      <c r="AF836" s="27">
        <f t="shared" si="1228"/>
        <v>126</v>
      </c>
      <c r="AG836" s="27">
        <v>168</v>
      </c>
      <c r="AH836" s="27">
        <f t="shared" si="1229"/>
        <v>3</v>
      </c>
      <c r="AI836" s="27">
        <v>15</v>
      </c>
      <c r="AJ836" s="27">
        <f t="shared" si="1230"/>
        <v>3</v>
      </c>
      <c r="AK836" s="47">
        <v>0</v>
      </c>
      <c r="AL836" s="57" t="str">
        <f t="shared" si="1231"/>
        <v>ギャルキティキーケース</v>
      </c>
      <c r="AM836" s="62">
        <f t="shared" si="1232"/>
        <v>726</v>
      </c>
      <c r="AN836" s="27">
        <f t="shared" si="1233"/>
        <v>2178</v>
      </c>
      <c r="AO836" s="28">
        <f t="shared" si="1234"/>
        <v>0.17285714285714285</v>
      </c>
      <c r="AP836" s="15"/>
      <c r="AQ836" s="15"/>
      <c r="AR836" s="26"/>
      <c r="AS836" s="27">
        <v>5481</v>
      </c>
      <c r="AT836" s="27">
        <f t="shared" si="1235"/>
        <v>61</v>
      </c>
      <c r="AU836" s="27">
        <v>242</v>
      </c>
      <c r="AV836" s="27">
        <f t="shared" si="1236"/>
        <v>9</v>
      </c>
      <c r="AW836" s="27">
        <v>49</v>
      </c>
      <c r="AX836" s="27">
        <f t="shared" si="1237"/>
        <v>15</v>
      </c>
      <c r="AY836" s="47">
        <v>10</v>
      </c>
      <c r="AZ836" s="57" t="str">
        <f t="shared" si="1238"/>
        <v>キティサンダルキーホルダー</v>
      </c>
      <c r="BA836" s="62">
        <f t="shared" si="1239"/>
        <v>600</v>
      </c>
      <c r="BB836" s="27">
        <f t="shared" si="1240"/>
        <v>9000</v>
      </c>
      <c r="BC836" s="28">
        <f t="shared" si="1241"/>
        <v>1.4754098360655739</v>
      </c>
      <c r="BD836" s="60" t="s">
        <v>174</v>
      </c>
      <c r="BT836" s="15"/>
      <c r="BU836" s="79" t="e">
        <f>IF(#REF!="","",#REF!)</f>
        <v>#REF!</v>
      </c>
      <c r="BV836" s="13"/>
      <c r="BW836" s="13" t="str">
        <f>IF(BV836="","",BV836-BV835)</f>
        <v/>
      </c>
      <c r="BX836" s="13"/>
      <c r="BY836" s="13" t="str">
        <f>IF(BX836="","",BX836-BX835)</f>
        <v/>
      </c>
      <c r="BZ836" s="13"/>
      <c r="CA836" s="13" t="str">
        <f>IF(BZ836="","",BZ835+CB835-BZ836)</f>
        <v/>
      </c>
      <c r="CB836" s="13"/>
      <c r="CC836" s="53"/>
      <c r="CD836" s="53" t="str">
        <f>IF(BV836="","",CD835)</f>
        <v/>
      </c>
      <c r="CE836" s="13" t="str">
        <f t="shared" si="1245"/>
        <v/>
      </c>
      <c r="CF836" s="14" t="str">
        <f t="shared" si="1246"/>
        <v/>
      </c>
      <c r="CG836" s="15"/>
      <c r="CH836" s="1"/>
      <c r="CI836" s="79" t="e">
        <f>IF(#REF!="","",#REF!)</f>
        <v>#REF!</v>
      </c>
      <c r="CJ836" s="13"/>
      <c r="CK836" s="13" t="str">
        <f>IF(CJ836="","",CJ836-CJ835)</f>
        <v/>
      </c>
      <c r="CL836" s="13"/>
      <c r="CM836" s="13" t="str">
        <f>IF(CL836="","",CL836-CL835)</f>
        <v/>
      </c>
      <c r="CN836" s="13"/>
      <c r="CO836" s="13" t="str">
        <f>IF(CN836="","",CN835+CP835-CN836)</f>
        <v/>
      </c>
      <c r="CP836" s="13"/>
      <c r="CQ836" s="53"/>
      <c r="CR836" s="53" t="str">
        <f>IF(CJ836="","",CR835)</f>
        <v/>
      </c>
      <c r="CS836" s="13" t="str">
        <f t="shared" si="1247"/>
        <v/>
      </c>
      <c r="CT836" s="14" t="str">
        <f>IF(CS836="","",CS836/(CJ836*100))</f>
        <v/>
      </c>
      <c r="CU836" s="15"/>
      <c r="CV836" s="1"/>
      <c r="CW836" s="79" t="e">
        <f>IF(#REF!="","",#REF!)</f>
        <v>#REF!</v>
      </c>
      <c r="CX836" s="13"/>
      <c r="CY836" s="13" t="str">
        <f>IF(CX836="","",CX836-CX835)</f>
        <v/>
      </c>
      <c r="CZ836" s="13"/>
      <c r="DA836" s="13" t="str">
        <f>IF(CZ836="","",CZ836-CZ835)</f>
        <v/>
      </c>
      <c r="DB836" s="13"/>
      <c r="DC836" s="13" t="str">
        <f>IF(DB836="","",DB835+DD835-DB836)</f>
        <v/>
      </c>
      <c r="DD836" s="13"/>
      <c r="DE836" s="53"/>
      <c r="DF836" s="53" t="str">
        <f>IF(CX836="","",DF835)</f>
        <v/>
      </c>
      <c r="DG836" s="13" t="str">
        <f t="shared" si="1248"/>
        <v/>
      </c>
      <c r="DH836" s="14" t="str">
        <f t="shared" si="1249"/>
        <v/>
      </c>
      <c r="DI836" s="15"/>
      <c r="DJ836" s="1"/>
      <c r="DK836" s="79" t="e">
        <f>IF(#REF!="","",#REF!)</f>
        <v>#REF!</v>
      </c>
      <c r="DL836" s="13"/>
      <c r="DM836" s="13" t="str">
        <f>IF(DL836="","",DL836-DL835)</f>
        <v/>
      </c>
      <c r="DN836" s="13"/>
      <c r="DO836" s="13" t="str">
        <f>IF(DN836="","",DN836-DN835)</f>
        <v/>
      </c>
      <c r="DP836" s="13"/>
      <c r="DQ836" s="13" t="str">
        <f>IF(DP836="","",DP835+DR835-DP836)</f>
        <v/>
      </c>
      <c r="DR836" s="13"/>
      <c r="DS836" s="53"/>
      <c r="DT836" s="53" t="str">
        <f>IF(DL836="","",DT835)</f>
        <v/>
      </c>
      <c r="DU836" s="13" t="str">
        <f t="shared" si="1250"/>
        <v/>
      </c>
      <c r="DV836" s="14" t="str">
        <f t="shared" si="1251"/>
        <v/>
      </c>
      <c r="DW836" s="15"/>
    </row>
    <row r="837" spans="1:127" ht="15" customHeight="1" thickTop="1" x14ac:dyDescent="0.2">
      <c r="A837" s="79">
        <v>45840</v>
      </c>
      <c r="B837" s="74">
        <f>IF(A837="","",SUM(D837:D840)+SUM(R837:R840)+SUM(AF837:AF840)+SUM(AT837:AT840)+SUM(BW822,CK822,CY822,DM822))</f>
        <v>1097</v>
      </c>
      <c r="C837" s="53">
        <v>21527</v>
      </c>
      <c r="D837" s="53">
        <f t="shared" si="1214"/>
        <v>12</v>
      </c>
      <c r="E837" s="53">
        <v>1139</v>
      </c>
      <c r="F837" s="31">
        <f t="shared" si="1215"/>
        <v>0</v>
      </c>
      <c r="G837" s="53">
        <v>11</v>
      </c>
      <c r="H837" s="53">
        <f t="shared" si="1216"/>
        <v>0</v>
      </c>
      <c r="I837" s="80">
        <v>0</v>
      </c>
      <c r="J837" s="75" t="str">
        <f t="shared" si="1217"/>
        <v>ジャグラーサウンドボタン</v>
      </c>
      <c r="K837" s="76">
        <f t="shared" si="1218"/>
        <v>748</v>
      </c>
      <c r="L837" s="31">
        <f t="shared" si="1219"/>
        <v>0</v>
      </c>
      <c r="M837" s="32">
        <f t="shared" si="1220"/>
        <v>0</v>
      </c>
      <c r="N837" s="15"/>
      <c r="O837" s="2"/>
      <c r="P837" s="79">
        <f>IF($A837="","",$A837)</f>
        <v>45840</v>
      </c>
      <c r="Q837" s="53">
        <v>21486</v>
      </c>
      <c r="R837" s="53">
        <f t="shared" si="1221"/>
        <v>77</v>
      </c>
      <c r="S837" s="53">
        <v>1188</v>
      </c>
      <c r="T837" s="31">
        <f t="shared" si="1222"/>
        <v>1</v>
      </c>
      <c r="U837" s="53">
        <v>15</v>
      </c>
      <c r="V837" s="53">
        <f t="shared" si="1223"/>
        <v>1</v>
      </c>
      <c r="W837" s="80">
        <v>0</v>
      </c>
      <c r="X837" s="75" t="str">
        <f t="shared" si="1224"/>
        <v>ジャグラーパネルKH</v>
      </c>
      <c r="Y837" s="76">
        <f t="shared" si="1225"/>
        <v>500</v>
      </c>
      <c r="Z837" s="31">
        <f t="shared" si="1226"/>
        <v>500</v>
      </c>
      <c r="AA837" s="32">
        <f t="shared" si="1227"/>
        <v>6.4935064935064929E-2</v>
      </c>
      <c r="AB837" s="15"/>
      <c r="AC837" s="15"/>
      <c r="AD837" s="79">
        <f>IF($A837="","",$A837)</f>
        <v>45840</v>
      </c>
      <c r="AE837" s="53">
        <v>5645</v>
      </c>
      <c r="AF837" s="53">
        <f t="shared" si="1228"/>
        <v>23</v>
      </c>
      <c r="AG837" s="53">
        <v>117</v>
      </c>
      <c r="AH837" s="31">
        <f t="shared" si="1229"/>
        <v>1</v>
      </c>
      <c r="AI837" s="53">
        <v>39</v>
      </c>
      <c r="AJ837" s="53">
        <f t="shared" si="1230"/>
        <v>1</v>
      </c>
      <c r="AK837" s="80">
        <v>0</v>
      </c>
      <c r="AL837" s="75" t="str">
        <f t="shared" si="1231"/>
        <v>ミニ香水</v>
      </c>
      <c r="AM837" s="76">
        <f t="shared" si="1232"/>
        <v>1100</v>
      </c>
      <c r="AN837" s="31">
        <f t="shared" si="1233"/>
        <v>1100</v>
      </c>
      <c r="AO837" s="32">
        <f t="shared" si="1234"/>
        <v>0.47826086956521741</v>
      </c>
      <c r="AP837" s="15"/>
      <c r="AQ837" s="15"/>
      <c r="AR837" s="79">
        <f>IF($A837="","",$A837)</f>
        <v>45840</v>
      </c>
      <c r="AS837" s="53">
        <v>5633</v>
      </c>
      <c r="AT837" s="53">
        <f t="shared" si="1235"/>
        <v>0</v>
      </c>
      <c r="AU837" s="53">
        <v>195</v>
      </c>
      <c r="AV837" s="31">
        <f t="shared" si="1236"/>
        <v>0</v>
      </c>
      <c r="AW837" s="53">
        <v>0</v>
      </c>
      <c r="AX837" s="53">
        <f t="shared" si="1237"/>
        <v>0</v>
      </c>
      <c r="AY837" s="80">
        <v>16</v>
      </c>
      <c r="AZ837" s="75" t="str">
        <f t="shared" si="1238"/>
        <v>チロルチョコイヤホン</v>
      </c>
      <c r="BA837" s="76">
        <f t="shared" si="1239"/>
        <v>1100</v>
      </c>
      <c r="BB837" s="31">
        <f t="shared" si="1240"/>
        <v>0</v>
      </c>
      <c r="BC837" s="32" t="e">
        <f t="shared" si="1241"/>
        <v>#DIV/0!</v>
      </c>
      <c r="BD837" s="15" t="s">
        <v>178</v>
      </c>
      <c r="BT837" s="15"/>
      <c r="BU837" s="79" t="e">
        <f>IF(#REF!="","",#REF!)</f>
        <v>#REF!</v>
      </c>
      <c r="BV837" s="13"/>
      <c r="BW837" s="13" t="str">
        <f>IF(BV837="","",BV837-BV836)</f>
        <v/>
      </c>
      <c r="BX837" s="13"/>
      <c r="BY837" s="13" t="str">
        <f>IF(BX837="","",BX837-BX836)</f>
        <v/>
      </c>
      <c r="BZ837" s="13"/>
      <c r="CA837" s="13" t="str">
        <f>IF(BZ837="","",BZ836+CB836-BZ837)</f>
        <v/>
      </c>
      <c r="CB837" s="13"/>
      <c r="CC837" s="53"/>
      <c r="CD837" s="53" t="str">
        <f>IF(BV837="","",CD836)</f>
        <v/>
      </c>
      <c r="CE837" s="13" t="str">
        <f t="shared" si="1245"/>
        <v/>
      </c>
      <c r="CF837" s="14" t="str">
        <f t="shared" si="1246"/>
        <v/>
      </c>
      <c r="CG837" s="15"/>
      <c r="CH837" s="1"/>
      <c r="CI837" s="79" t="e">
        <f>IF(#REF!="","",#REF!)</f>
        <v>#REF!</v>
      </c>
      <c r="CJ837" s="13"/>
      <c r="CK837" s="13" t="str">
        <f>IF(CJ837="","",CJ837-CJ836)</f>
        <v/>
      </c>
      <c r="CL837" s="13"/>
      <c r="CM837" s="13" t="str">
        <f>IF(CL837="","",CL837-CL836)</f>
        <v/>
      </c>
      <c r="CN837" s="13"/>
      <c r="CO837" s="13" t="str">
        <f>IF(CN837="","",CN836+CP836-CN837)</f>
        <v/>
      </c>
      <c r="CP837" s="13"/>
      <c r="CQ837" s="53"/>
      <c r="CR837" s="53" t="str">
        <f>IF(CJ837="","",CR836)</f>
        <v/>
      </c>
      <c r="CS837" s="13" t="str">
        <f t="shared" si="1247"/>
        <v/>
      </c>
      <c r="CT837" s="14" t="str">
        <f>IF(CS837="","",CS837/(CJ837*100))</f>
        <v/>
      </c>
      <c r="CU837" s="15"/>
      <c r="CV837" s="1"/>
      <c r="CW837" s="79" t="e">
        <f>IF(#REF!="","",#REF!)</f>
        <v>#REF!</v>
      </c>
      <c r="CX837" s="13"/>
      <c r="CY837" s="13" t="str">
        <f>IF(CX837="","",CX837-CX836)</f>
        <v/>
      </c>
      <c r="CZ837" s="13"/>
      <c r="DA837" s="13" t="str">
        <f>IF(CZ837="","",CZ837-CZ836)</f>
        <v/>
      </c>
      <c r="DB837" s="13"/>
      <c r="DC837" s="13" t="str">
        <f>IF(DB837="","",DB836+DD836-DB837)</f>
        <v/>
      </c>
      <c r="DD837" s="13"/>
      <c r="DE837" s="53"/>
      <c r="DF837" s="53" t="str">
        <f>IF(CX837="","",DF836)</f>
        <v/>
      </c>
      <c r="DG837" s="13" t="str">
        <f t="shared" si="1248"/>
        <v/>
      </c>
      <c r="DH837" s="14" t="str">
        <f t="shared" si="1249"/>
        <v/>
      </c>
      <c r="DI837" s="15"/>
      <c r="DJ837" s="1"/>
      <c r="DK837" s="79" t="e">
        <f>IF(#REF!="","",#REF!)</f>
        <v>#REF!</v>
      </c>
      <c r="DL837" s="13"/>
      <c r="DM837" s="13" t="str">
        <f>IF(DL837="","",DL837-DL836)</f>
        <v/>
      </c>
      <c r="DN837" s="13"/>
      <c r="DO837" s="13" t="str">
        <f>IF(DN837="","",DN837-DN836)</f>
        <v/>
      </c>
      <c r="DP837" s="13"/>
      <c r="DQ837" s="13" t="str">
        <f>IF(DP837="","",DP836+DR836-DP837)</f>
        <v/>
      </c>
      <c r="DR837" s="13"/>
      <c r="DS837" s="53"/>
      <c r="DT837" s="53" t="str">
        <f>IF(DL837="","",DT836)</f>
        <v/>
      </c>
      <c r="DU837" s="13" t="str">
        <f t="shared" si="1250"/>
        <v/>
      </c>
      <c r="DV837" s="14" t="str">
        <f t="shared" si="1251"/>
        <v/>
      </c>
      <c r="DW837" s="15"/>
    </row>
    <row r="838" spans="1:127" ht="15" customHeight="1" x14ac:dyDescent="0.2">
      <c r="A838" s="121"/>
      <c r="B838" s="11"/>
      <c r="C838" s="13">
        <v>25576</v>
      </c>
      <c r="D838" s="13">
        <f t="shared" si="1214"/>
        <v>3</v>
      </c>
      <c r="E838" s="13">
        <v>1308</v>
      </c>
      <c r="F838" s="13">
        <f t="shared" si="1215"/>
        <v>0</v>
      </c>
      <c r="G838" s="13">
        <v>18</v>
      </c>
      <c r="H838" s="13">
        <f t="shared" si="1216"/>
        <v>0</v>
      </c>
      <c r="I838" s="17">
        <v>0</v>
      </c>
      <c r="J838" s="56" t="str">
        <f t="shared" si="1217"/>
        <v>ジャグラーイヤホン</v>
      </c>
      <c r="K838" s="54">
        <f t="shared" si="1218"/>
        <v>1100</v>
      </c>
      <c r="L838" s="13">
        <f t="shared" si="1219"/>
        <v>0</v>
      </c>
      <c r="M838" s="14">
        <f t="shared" si="1220"/>
        <v>0</v>
      </c>
      <c r="N838" s="15"/>
      <c r="O838" s="2"/>
      <c r="P838" s="16"/>
      <c r="Q838" s="13">
        <v>27281</v>
      </c>
      <c r="R838" s="13">
        <f t="shared" si="1221"/>
        <v>97</v>
      </c>
      <c r="S838" s="13">
        <v>1497</v>
      </c>
      <c r="T838" s="13">
        <f t="shared" si="1222"/>
        <v>1</v>
      </c>
      <c r="U838" s="13">
        <v>10</v>
      </c>
      <c r="V838" s="13">
        <f t="shared" si="1223"/>
        <v>1</v>
      </c>
      <c r="W838" s="17">
        <v>0</v>
      </c>
      <c r="X838" s="56" t="str">
        <f t="shared" si="1224"/>
        <v>サンリオFAN</v>
      </c>
      <c r="Y838" s="54">
        <f t="shared" si="1225"/>
        <v>1100</v>
      </c>
      <c r="Z838" s="13">
        <f t="shared" si="1226"/>
        <v>1100</v>
      </c>
      <c r="AA838" s="14">
        <f t="shared" si="1227"/>
        <v>0.1134020618556701</v>
      </c>
      <c r="AB838" s="15"/>
      <c r="AC838" s="15"/>
      <c r="AD838" s="16"/>
      <c r="AE838" s="13">
        <v>4626</v>
      </c>
      <c r="AF838" s="13">
        <f t="shared" si="1228"/>
        <v>13</v>
      </c>
      <c r="AG838" s="13">
        <v>110</v>
      </c>
      <c r="AH838" s="13">
        <f t="shared" si="1229"/>
        <v>1</v>
      </c>
      <c r="AI838" s="13">
        <v>8</v>
      </c>
      <c r="AJ838" s="13">
        <f t="shared" si="1230"/>
        <v>1</v>
      </c>
      <c r="AK838" s="17">
        <v>0</v>
      </c>
      <c r="AL838" s="56" t="str">
        <f t="shared" si="1231"/>
        <v>デジタルミニカメラ</v>
      </c>
      <c r="AM838" s="54">
        <f t="shared" si="1232"/>
        <v>800</v>
      </c>
      <c r="AN838" s="13">
        <f t="shared" si="1233"/>
        <v>800</v>
      </c>
      <c r="AO838" s="14">
        <f t="shared" si="1234"/>
        <v>0.61538461538461542</v>
      </c>
      <c r="AP838" s="15" t="s">
        <v>177</v>
      </c>
      <c r="AQ838" s="15"/>
      <c r="AR838" s="16"/>
      <c r="AS838" s="13">
        <v>3966</v>
      </c>
      <c r="AT838" s="13">
        <f t="shared" si="1235"/>
        <v>27</v>
      </c>
      <c r="AU838" s="13">
        <v>205</v>
      </c>
      <c r="AV838" s="13">
        <f t="shared" si="1236"/>
        <v>0</v>
      </c>
      <c r="AW838" s="13">
        <v>19</v>
      </c>
      <c r="AX838" s="13">
        <f t="shared" si="1237"/>
        <v>0</v>
      </c>
      <c r="AY838" s="17">
        <v>0</v>
      </c>
      <c r="AZ838" s="56" t="str">
        <f t="shared" si="1238"/>
        <v>ねこアイシャドウ</v>
      </c>
      <c r="BA838" s="54">
        <f t="shared" si="1239"/>
        <v>1000</v>
      </c>
      <c r="BB838" s="13">
        <f t="shared" si="1240"/>
        <v>0</v>
      </c>
      <c r="BC838" s="14">
        <f t="shared" si="1241"/>
        <v>0</v>
      </c>
      <c r="BD838" s="15"/>
      <c r="BT838" s="15"/>
      <c r="BU838" s="16"/>
      <c r="BV838" s="54"/>
      <c r="BW838" s="13" t="str">
        <f>IF(BV838="","",BV838-BV837)</f>
        <v/>
      </c>
      <c r="BX838" s="13"/>
      <c r="BY838" s="13" t="str">
        <f>IF(BX838="","",BX838-BX837)</f>
        <v/>
      </c>
      <c r="BZ838" s="13"/>
      <c r="CA838" s="13" t="str">
        <f>IF(BZ838="","",BZ837+CB837-BZ838)</f>
        <v/>
      </c>
      <c r="CB838" s="13"/>
      <c r="CC838" s="13"/>
      <c r="CD838" s="13"/>
      <c r="CE838" s="13" t="str">
        <f t="shared" si="1245"/>
        <v/>
      </c>
      <c r="CF838" s="14" t="str">
        <f t="shared" si="1246"/>
        <v/>
      </c>
      <c r="CG838" s="15"/>
      <c r="CH838" s="1"/>
      <c r="CI838" s="16"/>
      <c r="CJ838" s="54"/>
      <c r="CK838" s="13" t="str">
        <f>IF(CJ838="","",CJ838-CJ837)</f>
        <v/>
      </c>
      <c r="CL838" s="13"/>
      <c r="CM838" s="13" t="str">
        <f>IF(CL838="","",CL838-CL837)</f>
        <v/>
      </c>
      <c r="CN838" s="13"/>
      <c r="CO838" s="13" t="str">
        <f>IF(CN838="","",CN837+CP837-CN838)</f>
        <v/>
      </c>
      <c r="CP838" s="13"/>
      <c r="CQ838" s="13"/>
      <c r="CR838" s="13"/>
      <c r="CS838" s="13" t="str">
        <f t="shared" si="1247"/>
        <v/>
      </c>
      <c r="CT838" s="14" t="str">
        <f t="shared" ref="CT838:CT864" si="1252">IF(CS838="","",CS838/(CK838*100))</f>
        <v/>
      </c>
      <c r="CU838" s="15"/>
      <c r="CV838" s="1"/>
      <c r="CW838" s="16"/>
      <c r="CX838" s="54"/>
      <c r="CY838" s="13" t="str">
        <f>IF(CX838="","",CX838-CX837)</f>
        <v/>
      </c>
      <c r="CZ838" s="13"/>
      <c r="DA838" s="13" t="str">
        <f>IF(CZ838="","",CZ838-CZ837)</f>
        <v/>
      </c>
      <c r="DB838" s="13"/>
      <c r="DC838" s="13" t="str">
        <f>IF(DB838="","",DB837+DD837-DB838)</f>
        <v/>
      </c>
      <c r="DD838" s="13"/>
      <c r="DE838" s="13"/>
      <c r="DF838" s="13"/>
      <c r="DG838" s="13" t="str">
        <f t="shared" si="1248"/>
        <v/>
      </c>
      <c r="DH838" s="14" t="str">
        <f t="shared" si="1249"/>
        <v/>
      </c>
      <c r="DI838" s="15"/>
      <c r="DJ838" s="1"/>
      <c r="DK838" s="16"/>
      <c r="DL838" s="54"/>
      <c r="DM838" s="13" t="str">
        <f>IF(DL838="","",DL838-DL837)</f>
        <v/>
      </c>
      <c r="DN838" s="13"/>
      <c r="DO838" s="13" t="str">
        <f>IF(DN838="","",DN838-DN837)</f>
        <v/>
      </c>
      <c r="DP838" s="13"/>
      <c r="DQ838" s="13" t="str">
        <f>IF(DP838="","",DP837+DR837-DP838)</f>
        <v/>
      </c>
      <c r="DR838" s="13"/>
      <c r="DS838" s="13"/>
      <c r="DT838" s="13"/>
      <c r="DU838" s="13" t="str">
        <f t="shared" si="1250"/>
        <v/>
      </c>
      <c r="DV838" s="14" t="str">
        <f t="shared" si="1251"/>
        <v/>
      </c>
      <c r="DW838" s="15"/>
    </row>
    <row r="839" spans="1:127" ht="15" customHeight="1" x14ac:dyDescent="0.2">
      <c r="A839" s="16"/>
      <c r="B839" s="11"/>
      <c r="C839" s="34">
        <v>21804</v>
      </c>
      <c r="D839" s="13">
        <f t="shared" si="1214"/>
        <v>111</v>
      </c>
      <c r="E839" s="34">
        <v>1096</v>
      </c>
      <c r="F839" s="13">
        <f t="shared" si="1215"/>
        <v>3</v>
      </c>
      <c r="G839" s="13">
        <v>54</v>
      </c>
      <c r="H839" s="13">
        <f t="shared" si="1216"/>
        <v>4</v>
      </c>
      <c r="I839" s="49">
        <v>0</v>
      </c>
      <c r="J839" s="56" t="str">
        <f t="shared" si="1217"/>
        <v>AIモンスタラバー</v>
      </c>
      <c r="K839" s="13">
        <f t="shared" si="1218"/>
        <v>200</v>
      </c>
      <c r="L839" s="13">
        <f t="shared" si="1219"/>
        <v>800</v>
      </c>
      <c r="M839" s="14">
        <f t="shared" si="1220"/>
        <v>7.2072072072072071E-2</v>
      </c>
      <c r="N839" s="15"/>
      <c r="O839" s="2"/>
      <c r="P839" s="16"/>
      <c r="Q839" s="34">
        <v>20183</v>
      </c>
      <c r="R839" s="13">
        <f t="shared" si="1221"/>
        <v>85</v>
      </c>
      <c r="S839" s="34">
        <v>2727</v>
      </c>
      <c r="T839" s="13">
        <f t="shared" si="1222"/>
        <v>2</v>
      </c>
      <c r="U839" s="13">
        <v>5</v>
      </c>
      <c r="V839" s="13">
        <f t="shared" si="1223"/>
        <v>3</v>
      </c>
      <c r="W839" s="49">
        <v>0</v>
      </c>
      <c r="X839" s="56" t="str">
        <f t="shared" si="1224"/>
        <v>キティフェイスポーチ</v>
      </c>
      <c r="Y839" s="13">
        <f t="shared" si="1225"/>
        <v>957</v>
      </c>
      <c r="Z839" s="13">
        <f t="shared" si="1226"/>
        <v>2871</v>
      </c>
      <c r="AA839" s="14">
        <f t="shared" si="1227"/>
        <v>0.33776470588235297</v>
      </c>
      <c r="AB839" s="15" t="s">
        <v>176</v>
      </c>
      <c r="AC839" s="15"/>
      <c r="AD839" s="16"/>
      <c r="AE839" s="34">
        <v>4892</v>
      </c>
      <c r="AF839" s="13">
        <f t="shared" si="1228"/>
        <v>28</v>
      </c>
      <c r="AG839" s="34">
        <v>186</v>
      </c>
      <c r="AH839" s="13">
        <f t="shared" si="1229"/>
        <v>1</v>
      </c>
      <c r="AI839" s="13">
        <v>98</v>
      </c>
      <c r="AJ839" s="13">
        <f t="shared" si="1230"/>
        <v>2</v>
      </c>
      <c r="AK839" s="49">
        <v>0</v>
      </c>
      <c r="AL839" s="56" t="str">
        <f t="shared" si="1231"/>
        <v>モンチッチボールペン</v>
      </c>
      <c r="AM839" s="13">
        <f t="shared" si="1232"/>
        <v>160</v>
      </c>
      <c r="AN839" s="13">
        <f t="shared" si="1233"/>
        <v>320</v>
      </c>
      <c r="AO839" s="14">
        <f t="shared" si="1234"/>
        <v>0.11428571428571428</v>
      </c>
      <c r="AP839" s="15"/>
      <c r="AQ839" s="15"/>
      <c r="AR839" s="16"/>
      <c r="AS839" s="34">
        <v>6602</v>
      </c>
      <c r="AT839" s="13">
        <f t="shared" si="1235"/>
        <v>20</v>
      </c>
      <c r="AU839" s="34">
        <v>276</v>
      </c>
      <c r="AV839" s="13">
        <f t="shared" si="1236"/>
        <v>0</v>
      </c>
      <c r="AW839" s="13">
        <v>102</v>
      </c>
      <c r="AX839" s="13">
        <f t="shared" si="1237"/>
        <v>2</v>
      </c>
      <c r="AY839" s="49">
        <v>0</v>
      </c>
      <c r="AZ839" s="56" t="str">
        <f t="shared" si="1238"/>
        <v>スプランキーラバーキーホルダー</v>
      </c>
      <c r="BA839" s="13">
        <f t="shared" si="1239"/>
        <v>200</v>
      </c>
      <c r="BB839" s="13">
        <f t="shared" si="1240"/>
        <v>400</v>
      </c>
      <c r="BC839" s="14">
        <f t="shared" si="1241"/>
        <v>0.2</v>
      </c>
      <c r="BD839" s="15"/>
      <c r="BT839" s="15"/>
      <c r="BU839" s="16"/>
      <c r="BV839" s="54"/>
      <c r="BW839" s="13" t="str">
        <f>IF(BV839="","",BV839-BV838)</f>
        <v/>
      </c>
      <c r="BX839" s="13"/>
      <c r="BY839" s="13" t="str">
        <f>IF(BX839="","",BX839-BX838)</f>
        <v/>
      </c>
      <c r="BZ839" s="13"/>
      <c r="CA839" s="13" t="str">
        <f>IF(BZ839="","",BZ838+CB838-BZ839)</f>
        <v/>
      </c>
      <c r="CB839" s="13"/>
      <c r="CC839" s="13"/>
      <c r="CD839" s="13"/>
      <c r="CE839" s="13" t="str">
        <f t="shared" si="1245"/>
        <v/>
      </c>
      <c r="CF839" s="14" t="str">
        <f t="shared" si="1246"/>
        <v/>
      </c>
      <c r="CG839" s="15"/>
      <c r="CH839" s="1"/>
      <c r="CI839" s="16"/>
      <c r="CJ839" s="54"/>
      <c r="CK839" s="13" t="str">
        <f>IF(CJ839="","",CJ839-CJ838)</f>
        <v/>
      </c>
      <c r="CL839" s="13"/>
      <c r="CM839" s="13" t="str">
        <f>IF(CL839="","",CL839-CL838)</f>
        <v/>
      </c>
      <c r="CN839" s="13"/>
      <c r="CO839" s="13" t="str">
        <f>IF(CN839="","",CN838+CP838-CN839)</f>
        <v/>
      </c>
      <c r="CP839" s="13"/>
      <c r="CQ839" s="13"/>
      <c r="CR839" s="13"/>
      <c r="CS839" s="13" t="str">
        <f t="shared" si="1247"/>
        <v/>
      </c>
      <c r="CT839" s="14" t="str">
        <f t="shared" si="1252"/>
        <v/>
      </c>
      <c r="CU839" s="15"/>
      <c r="CV839" s="1"/>
      <c r="CW839" s="16"/>
      <c r="CX839" s="54"/>
      <c r="CY839" s="13" t="str">
        <f>IF(CX839="","",CX839-CX838)</f>
        <v/>
      </c>
      <c r="CZ839" s="13"/>
      <c r="DA839" s="13" t="str">
        <f>IF(CZ839="","",CZ839-CZ838)</f>
        <v/>
      </c>
      <c r="DB839" s="13"/>
      <c r="DC839" s="13" t="str">
        <f>IF(DB839="","",DB838+DD838-DB839)</f>
        <v/>
      </c>
      <c r="DD839" s="13"/>
      <c r="DE839" s="13"/>
      <c r="DF839" s="13"/>
      <c r="DG839" s="13" t="str">
        <f t="shared" si="1248"/>
        <v/>
      </c>
      <c r="DH839" s="14" t="str">
        <f t="shared" si="1249"/>
        <v/>
      </c>
      <c r="DI839" s="15"/>
      <c r="DJ839" s="1"/>
      <c r="DK839" s="16"/>
      <c r="DL839" s="54"/>
      <c r="DM839" s="13" t="str">
        <f>IF(DL839="","",DL839-DL838)</f>
        <v/>
      </c>
      <c r="DN839" s="13"/>
      <c r="DO839" s="13" t="str">
        <f>IF(DN839="","",DN839-DN838)</f>
        <v/>
      </c>
      <c r="DP839" s="13"/>
      <c r="DQ839" s="13" t="str">
        <f>IF(DP839="","",DP838+DR838-DP839)</f>
        <v/>
      </c>
      <c r="DR839" s="13"/>
      <c r="DS839" s="13"/>
      <c r="DT839" s="13"/>
      <c r="DU839" s="13" t="str">
        <f t="shared" si="1250"/>
        <v/>
      </c>
      <c r="DV839" s="14" t="str">
        <f t="shared" si="1251"/>
        <v/>
      </c>
      <c r="DW839" s="15"/>
    </row>
    <row r="840" spans="1:127" ht="15" customHeight="1" thickBot="1" x14ac:dyDescent="0.25">
      <c r="A840" s="26"/>
      <c r="B840" s="46"/>
      <c r="C840" s="27">
        <v>27965</v>
      </c>
      <c r="D840" s="27">
        <f t="shared" si="1214"/>
        <v>104</v>
      </c>
      <c r="E840" s="27">
        <v>1347</v>
      </c>
      <c r="F840" s="27">
        <f t="shared" si="1215"/>
        <v>5</v>
      </c>
      <c r="G840" s="27">
        <v>42</v>
      </c>
      <c r="H840" s="27">
        <f t="shared" si="1216"/>
        <v>6</v>
      </c>
      <c r="I840" s="47">
        <v>0</v>
      </c>
      <c r="J840" s="57" t="str">
        <f t="shared" si="1217"/>
        <v>NICIマスコット</v>
      </c>
      <c r="K840" s="62">
        <f t="shared" si="1218"/>
        <v>682</v>
      </c>
      <c r="L840" s="27">
        <f t="shared" si="1219"/>
        <v>4092</v>
      </c>
      <c r="M840" s="28">
        <f t="shared" si="1220"/>
        <v>0.39346153846153847</v>
      </c>
      <c r="N840" s="15"/>
      <c r="O840" s="2"/>
      <c r="P840" s="26"/>
      <c r="Q840" s="27">
        <v>19437</v>
      </c>
      <c r="R840" s="27">
        <f t="shared" si="1221"/>
        <v>43</v>
      </c>
      <c r="S840" s="27">
        <v>1685</v>
      </c>
      <c r="T840" s="27">
        <f t="shared" si="1222"/>
        <v>0</v>
      </c>
      <c r="U840" s="27">
        <v>12</v>
      </c>
      <c r="V840" s="27">
        <f t="shared" si="1223"/>
        <v>0</v>
      </c>
      <c r="W840" s="47">
        <v>0</v>
      </c>
      <c r="X840" s="57" t="str">
        <f t="shared" si="1224"/>
        <v>ピクミンマスコット</v>
      </c>
      <c r="Y840" s="62">
        <f t="shared" si="1225"/>
        <v>600</v>
      </c>
      <c r="Z840" s="27">
        <f t="shared" si="1226"/>
        <v>0</v>
      </c>
      <c r="AA840" s="28">
        <f t="shared" si="1227"/>
        <v>0</v>
      </c>
      <c r="AB840" s="15"/>
      <c r="AC840" s="15"/>
      <c r="AD840" s="26"/>
      <c r="AE840" s="27">
        <v>5035</v>
      </c>
      <c r="AF840" s="27">
        <f t="shared" si="1228"/>
        <v>48</v>
      </c>
      <c r="AG840" s="27">
        <v>170</v>
      </c>
      <c r="AH840" s="27">
        <f t="shared" si="1229"/>
        <v>2</v>
      </c>
      <c r="AI840" s="27">
        <v>13</v>
      </c>
      <c r="AJ840" s="27">
        <f t="shared" si="1230"/>
        <v>2</v>
      </c>
      <c r="AK840" s="47">
        <v>0</v>
      </c>
      <c r="AL840" s="57" t="str">
        <f t="shared" si="1231"/>
        <v>ギャルキティキーケース</v>
      </c>
      <c r="AM840" s="62">
        <f t="shared" si="1232"/>
        <v>726</v>
      </c>
      <c r="AN840" s="27">
        <f t="shared" si="1233"/>
        <v>1452</v>
      </c>
      <c r="AO840" s="28">
        <f t="shared" si="1234"/>
        <v>0.30249999999999999</v>
      </c>
      <c r="AP840" s="15"/>
      <c r="AQ840" s="15"/>
      <c r="AR840" s="26"/>
      <c r="AS840" s="27">
        <v>5610</v>
      </c>
      <c r="AT840" s="27">
        <f t="shared" si="1235"/>
        <v>129</v>
      </c>
      <c r="AU840" s="27">
        <v>242</v>
      </c>
      <c r="AV840" s="27">
        <f t="shared" si="1236"/>
        <v>0</v>
      </c>
      <c r="AW840" s="27">
        <v>58</v>
      </c>
      <c r="AX840" s="27">
        <f t="shared" si="1237"/>
        <v>1</v>
      </c>
      <c r="AY840" s="47">
        <v>0</v>
      </c>
      <c r="AZ840" s="57" t="str">
        <f t="shared" si="1238"/>
        <v>キティサンダルキーホルダー</v>
      </c>
      <c r="BA840" s="62">
        <f t="shared" si="1239"/>
        <v>600</v>
      </c>
      <c r="BB840" s="27">
        <f t="shared" si="1240"/>
        <v>600</v>
      </c>
      <c r="BC840" s="28">
        <f t="shared" si="1241"/>
        <v>4.6511627906976744E-2</v>
      </c>
      <c r="BD840" s="15"/>
      <c r="BT840" s="15"/>
      <c r="BU840" s="16"/>
      <c r="BV840" s="54"/>
      <c r="BW840" s="13" t="str">
        <f>IF(BV840="","",BV840-BV839)</f>
        <v/>
      </c>
      <c r="BX840" s="13"/>
      <c r="BY840" s="13"/>
      <c r="BZ840" s="13"/>
      <c r="CA840" s="13" t="str">
        <f>IF(BZ840="","",BZ839+CB839-BZ840)</f>
        <v/>
      </c>
      <c r="CB840" s="13"/>
      <c r="CC840" s="13"/>
      <c r="CD840" s="13"/>
      <c r="CE840" s="13" t="str">
        <f t="shared" si="1245"/>
        <v/>
      </c>
      <c r="CF840" s="14" t="str">
        <f t="shared" si="1246"/>
        <v/>
      </c>
      <c r="CG840" s="15"/>
      <c r="CH840" s="1"/>
      <c r="CI840" s="16"/>
      <c r="CJ840" s="54"/>
      <c r="CK840" s="13" t="str">
        <f>IF(CJ840="","",CJ840-CJ839)</f>
        <v/>
      </c>
      <c r="CL840" s="13"/>
      <c r="CM840" s="13"/>
      <c r="CN840" s="13"/>
      <c r="CO840" s="13" t="str">
        <f>IF(CN840="","",CN839+CP839-CN840)</f>
        <v/>
      </c>
      <c r="CP840" s="13"/>
      <c r="CQ840" s="13"/>
      <c r="CR840" s="13"/>
      <c r="CS840" s="13" t="str">
        <f t="shared" si="1247"/>
        <v/>
      </c>
      <c r="CT840" s="14" t="str">
        <f t="shared" si="1252"/>
        <v/>
      </c>
      <c r="CU840" s="15"/>
      <c r="CV840" s="1"/>
      <c r="CW840" s="16"/>
      <c r="CX840" s="54"/>
      <c r="CY840" s="13" t="str">
        <f>IF(CX840="","",CX840-CX839)</f>
        <v/>
      </c>
      <c r="CZ840" s="13"/>
      <c r="DA840" s="13"/>
      <c r="DB840" s="13"/>
      <c r="DC840" s="13" t="str">
        <f>IF(DB840="","",DB839+DD839-DB840)</f>
        <v/>
      </c>
      <c r="DD840" s="13"/>
      <c r="DE840" s="13"/>
      <c r="DF840" s="13"/>
      <c r="DG840" s="13" t="str">
        <f t="shared" si="1248"/>
        <v/>
      </c>
      <c r="DH840" s="14" t="str">
        <f t="shared" si="1249"/>
        <v/>
      </c>
      <c r="DI840" s="15"/>
      <c r="DJ840" s="1"/>
      <c r="DK840" s="16"/>
      <c r="DL840" s="54"/>
      <c r="DM840" s="13" t="str">
        <f>IF(DL840="","",DL840-DL839)</f>
        <v/>
      </c>
      <c r="DN840" s="13"/>
      <c r="DO840" s="13"/>
      <c r="DP840" s="13"/>
      <c r="DQ840" s="13" t="str">
        <f>IF(DP840="","",DP839+DR839-DP840)</f>
        <v/>
      </c>
      <c r="DR840" s="13"/>
      <c r="DS840" s="13"/>
      <c r="DT840" s="13"/>
      <c r="DU840" s="13" t="str">
        <f t="shared" si="1250"/>
        <v/>
      </c>
      <c r="DV840" s="14" t="str">
        <f t="shared" si="1251"/>
        <v/>
      </c>
      <c r="DW840" s="15"/>
    </row>
    <row r="841" spans="1:127" ht="15" customHeight="1" thickTop="1" x14ac:dyDescent="0.2">
      <c r="A841" s="16">
        <v>45842</v>
      </c>
      <c r="B841" s="74">
        <f>IF(A841="","",SUM(D841:D844)+SUM(R841:R844)+SUM(AF841:AF844)+SUM(AT841:AT844)+SUM(BW823,CK823,CY823,DM823))</f>
        <v>888</v>
      </c>
      <c r="C841" s="13">
        <v>21556</v>
      </c>
      <c r="D841" s="53">
        <f t="shared" si="1214"/>
        <v>29</v>
      </c>
      <c r="E841" s="13">
        <v>1139</v>
      </c>
      <c r="F841" s="31">
        <f t="shared" si="1215"/>
        <v>0</v>
      </c>
      <c r="G841" s="13">
        <v>11</v>
      </c>
      <c r="H841" s="53">
        <f t="shared" si="1216"/>
        <v>0</v>
      </c>
      <c r="I841" s="17">
        <v>4</v>
      </c>
      <c r="J841" s="75" t="str">
        <f t="shared" si="1217"/>
        <v>ジャグラーサウンドボタン</v>
      </c>
      <c r="K841" s="76">
        <f t="shared" si="1218"/>
        <v>748</v>
      </c>
      <c r="L841" s="31">
        <f t="shared" si="1219"/>
        <v>0</v>
      </c>
      <c r="M841" s="32">
        <f t="shared" si="1220"/>
        <v>0</v>
      </c>
      <c r="N841" s="15"/>
      <c r="O841" s="2"/>
      <c r="P841" s="79">
        <f>IF($A841="","",$A841)</f>
        <v>45842</v>
      </c>
      <c r="Q841" s="13">
        <v>21509</v>
      </c>
      <c r="R841" s="53">
        <f t="shared" si="1221"/>
        <v>23</v>
      </c>
      <c r="S841" s="13">
        <v>1189</v>
      </c>
      <c r="T841" s="31">
        <f t="shared" si="1222"/>
        <v>1</v>
      </c>
      <c r="U841" s="13">
        <v>14</v>
      </c>
      <c r="V841" s="53">
        <f t="shared" si="1223"/>
        <v>1</v>
      </c>
      <c r="W841" s="17">
        <v>8</v>
      </c>
      <c r="X841" s="75" t="str">
        <f t="shared" si="1224"/>
        <v>ジャグラーパネルKH</v>
      </c>
      <c r="Y841" s="76">
        <f t="shared" si="1225"/>
        <v>500</v>
      </c>
      <c r="Z841" s="31">
        <f t="shared" si="1226"/>
        <v>500</v>
      </c>
      <c r="AA841" s="32">
        <f t="shared" si="1227"/>
        <v>0.21739130434782608</v>
      </c>
      <c r="AB841" s="15"/>
      <c r="AC841" s="15"/>
      <c r="AD841" s="79">
        <f>IF($A841="","",$A841)</f>
        <v>45842</v>
      </c>
      <c r="AE841" s="13">
        <v>5674</v>
      </c>
      <c r="AF841" s="53">
        <f t="shared" si="1228"/>
        <v>29</v>
      </c>
      <c r="AG841" s="13">
        <v>118</v>
      </c>
      <c r="AH841" s="31">
        <f t="shared" si="1229"/>
        <v>1</v>
      </c>
      <c r="AI841" s="13">
        <v>38</v>
      </c>
      <c r="AJ841" s="53">
        <f t="shared" si="1230"/>
        <v>1</v>
      </c>
      <c r="AK841" s="17">
        <v>1</v>
      </c>
      <c r="AL841" s="75" t="str">
        <f t="shared" si="1231"/>
        <v>ミニ香水</v>
      </c>
      <c r="AM841" s="76">
        <f t="shared" si="1232"/>
        <v>1100</v>
      </c>
      <c r="AN841" s="31">
        <f t="shared" si="1233"/>
        <v>1100</v>
      </c>
      <c r="AO841" s="32">
        <f t="shared" si="1234"/>
        <v>0.37931034482758619</v>
      </c>
      <c r="AP841" s="15"/>
      <c r="AQ841" s="15"/>
      <c r="AR841" s="79">
        <f>IF($A841="","",$A841)</f>
        <v>45842</v>
      </c>
      <c r="AS841" s="13">
        <v>5637</v>
      </c>
      <c r="AT841" s="53">
        <f t="shared" si="1235"/>
        <v>4</v>
      </c>
      <c r="AU841" s="13">
        <v>195</v>
      </c>
      <c r="AV841" s="31">
        <f t="shared" si="1236"/>
        <v>0</v>
      </c>
      <c r="AW841" s="13">
        <v>16</v>
      </c>
      <c r="AX841" s="53">
        <f t="shared" si="1237"/>
        <v>0</v>
      </c>
      <c r="AY841" s="17">
        <v>0</v>
      </c>
      <c r="AZ841" s="75" t="str">
        <f t="shared" si="1238"/>
        <v>チロルチョコイヤホン</v>
      </c>
      <c r="BA841" s="76">
        <f t="shared" si="1239"/>
        <v>1100</v>
      </c>
      <c r="BB841" s="31">
        <f t="shared" si="1240"/>
        <v>0</v>
      </c>
      <c r="BC841" s="32">
        <f t="shared" si="1241"/>
        <v>0</v>
      </c>
      <c r="BD841" s="15" t="s">
        <v>182</v>
      </c>
      <c r="BT841" s="15"/>
      <c r="BU841" s="16"/>
      <c r="BV841" s="13"/>
      <c r="BW841" s="13" t="str">
        <f>IF(BV841="","",BV841-BV842)</f>
        <v/>
      </c>
      <c r="BX841" s="13"/>
      <c r="BY841" s="13" t="str">
        <f>IF(BX841="","",BX841-BX842)</f>
        <v/>
      </c>
      <c r="BZ841" s="13"/>
      <c r="CA841" s="13" t="str">
        <f>IF(BZ841="","",BZ842+CB842-BZ841)</f>
        <v/>
      </c>
      <c r="CB841" s="13"/>
      <c r="CC841" s="13"/>
      <c r="CD841" s="13"/>
      <c r="CE841" s="13" t="str">
        <f t="shared" si="1245"/>
        <v/>
      </c>
      <c r="CF841" s="14" t="str">
        <f t="shared" si="1246"/>
        <v/>
      </c>
      <c r="CG841" s="15"/>
      <c r="CH841" s="1"/>
      <c r="CI841" s="16"/>
      <c r="CJ841" s="13"/>
      <c r="CK841" s="13" t="str">
        <f>IF(CJ841="","",CJ841-CJ842)</f>
        <v/>
      </c>
      <c r="CL841" s="13"/>
      <c r="CM841" s="13" t="str">
        <f>IF(CL841="","",CL841-CL842)</f>
        <v/>
      </c>
      <c r="CN841" s="13"/>
      <c r="CO841" s="13" t="str">
        <f>IF(CN841="","",CN842+CP842-CN841)</f>
        <v/>
      </c>
      <c r="CP841" s="13"/>
      <c r="CQ841" s="13"/>
      <c r="CR841" s="13"/>
      <c r="CS841" s="13" t="str">
        <f t="shared" si="1247"/>
        <v/>
      </c>
      <c r="CT841" s="14" t="str">
        <f t="shared" si="1252"/>
        <v/>
      </c>
      <c r="CU841" s="15"/>
      <c r="CV841" s="1"/>
      <c r="CW841" s="16"/>
      <c r="CX841" s="13"/>
      <c r="CY841" s="13" t="str">
        <f>IF(CX841="","",CX841-CX842)</f>
        <v/>
      </c>
      <c r="CZ841" s="13"/>
      <c r="DA841" s="13" t="str">
        <f>IF(CZ841="","",CZ841-CZ842)</f>
        <v/>
      </c>
      <c r="DB841" s="13"/>
      <c r="DC841" s="13" t="str">
        <f>IF(DB841="","",DB842+DD842-DB841)</f>
        <v/>
      </c>
      <c r="DD841" s="13"/>
      <c r="DE841" s="13"/>
      <c r="DF841" s="13"/>
      <c r="DG841" s="13" t="str">
        <f t="shared" si="1248"/>
        <v/>
      </c>
      <c r="DH841" s="14" t="str">
        <f t="shared" si="1249"/>
        <v/>
      </c>
      <c r="DI841" s="15"/>
      <c r="DJ841" s="1"/>
      <c r="DK841" s="16"/>
      <c r="DL841" s="13"/>
      <c r="DM841" s="13" t="str">
        <f>IF(DL841="","",DL841-DL842)</f>
        <v/>
      </c>
      <c r="DN841" s="13"/>
      <c r="DO841" s="13" t="str">
        <f>IF(DN841="","",DN841-DN842)</f>
        <v/>
      </c>
      <c r="DP841" s="13"/>
      <c r="DQ841" s="13" t="str">
        <f>IF(DP841="","",DP842+DR842-DP841)</f>
        <v/>
      </c>
      <c r="DR841" s="13"/>
      <c r="DS841" s="13"/>
      <c r="DT841" s="13"/>
      <c r="DU841" s="13" t="str">
        <f t="shared" si="1250"/>
        <v/>
      </c>
      <c r="DV841" s="14" t="str">
        <f t="shared" si="1251"/>
        <v/>
      </c>
      <c r="DW841" s="15"/>
    </row>
    <row r="842" spans="1:127" ht="15" customHeight="1" x14ac:dyDescent="0.2">
      <c r="A842" s="79"/>
      <c r="B842" s="11"/>
      <c r="C842" s="53">
        <v>25581</v>
      </c>
      <c r="D842" s="13">
        <f t="shared" si="1214"/>
        <v>5</v>
      </c>
      <c r="E842" s="53">
        <v>1308</v>
      </c>
      <c r="F842" s="13">
        <f t="shared" si="1215"/>
        <v>0</v>
      </c>
      <c r="G842" s="13">
        <v>18</v>
      </c>
      <c r="H842" s="13">
        <f t="shared" si="1216"/>
        <v>0</v>
      </c>
      <c r="I842" s="17">
        <v>0</v>
      </c>
      <c r="J842" s="56" t="str">
        <f t="shared" si="1217"/>
        <v>ジャグラーイヤホン</v>
      </c>
      <c r="K842" s="54">
        <f t="shared" si="1218"/>
        <v>1100</v>
      </c>
      <c r="L842" s="13">
        <f t="shared" si="1219"/>
        <v>0</v>
      </c>
      <c r="M842" s="14">
        <f t="shared" si="1220"/>
        <v>0</v>
      </c>
      <c r="N842" s="15" t="s">
        <v>184</v>
      </c>
      <c r="O842" s="2"/>
      <c r="P842" s="79" t="str">
        <f>IF(A842="","",A842)</f>
        <v/>
      </c>
      <c r="Q842" s="53">
        <v>27361</v>
      </c>
      <c r="R842" s="13">
        <f t="shared" si="1221"/>
        <v>80</v>
      </c>
      <c r="S842" s="53">
        <v>1500</v>
      </c>
      <c r="T842" s="13">
        <f t="shared" si="1222"/>
        <v>3</v>
      </c>
      <c r="U842" s="13">
        <v>7</v>
      </c>
      <c r="V842" s="13">
        <f t="shared" si="1223"/>
        <v>3</v>
      </c>
      <c r="W842" s="17">
        <v>4</v>
      </c>
      <c r="X842" s="56" t="str">
        <f t="shared" si="1224"/>
        <v>サンリオFAN</v>
      </c>
      <c r="Y842" s="54">
        <f t="shared" si="1225"/>
        <v>1100</v>
      </c>
      <c r="Z842" s="13">
        <f t="shared" si="1226"/>
        <v>3300</v>
      </c>
      <c r="AA842" s="14">
        <f t="shared" si="1227"/>
        <v>0.41249999999999998</v>
      </c>
      <c r="AB842" s="15"/>
      <c r="AC842" s="15"/>
      <c r="AD842" s="79" t="str">
        <f>IF(O842="","",O842)</f>
        <v/>
      </c>
      <c r="AE842" s="53">
        <v>4643</v>
      </c>
      <c r="AF842" s="13">
        <f t="shared" si="1228"/>
        <v>17</v>
      </c>
      <c r="AG842" s="53">
        <v>110</v>
      </c>
      <c r="AH842" s="13">
        <f t="shared" si="1229"/>
        <v>0</v>
      </c>
      <c r="AI842" s="13">
        <v>8</v>
      </c>
      <c r="AJ842" s="13">
        <f t="shared" si="1230"/>
        <v>0</v>
      </c>
      <c r="AK842" s="17">
        <v>8</v>
      </c>
      <c r="AL842" s="56" t="str">
        <f t="shared" si="1231"/>
        <v>デジタルミニカメラ</v>
      </c>
      <c r="AM842" s="54">
        <f t="shared" si="1232"/>
        <v>800</v>
      </c>
      <c r="AN842" s="13">
        <f t="shared" si="1233"/>
        <v>0</v>
      </c>
      <c r="AO842" s="14">
        <f t="shared" si="1234"/>
        <v>0</v>
      </c>
      <c r="AP842" s="15" t="s">
        <v>181</v>
      </c>
      <c r="AQ842" s="15"/>
      <c r="AR842" s="79" t="str">
        <f>IF(AC842="","",AC842)</f>
        <v/>
      </c>
      <c r="AS842" s="53">
        <v>3975</v>
      </c>
      <c r="AT842" s="13">
        <f t="shared" si="1235"/>
        <v>9</v>
      </c>
      <c r="AU842" s="53">
        <v>205</v>
      </c>
      <c r="AV842" s="13">
        <f t="shared" si="1236"/>
        <v>0</v>
      </c>
      <c r="AW842" s="13">
        <v>19</v>
      </c>
      <c r="AX842" s="13">
        <f t="shared" si="1237"/>
        <v>0</v>
      </c>
      <c r="AY842" s="17">
        <v>0</v>
      </c>
      <c r="AZ842" s="56" t="str">
        <f t="shared" si="1238"/>
        <v>ねこアイシャドウ</v>
      </c>
      <c r="BA842" s="54">
        <f t="shared" si="1239"/>
        <v>1000</v>
      </c>
      <c r="BB842" s="13">
        <f t="shared" si="1240"/>
        <v>0</v>
      </c>
      <c r="BC842" s="14">
        <f t="shared" si="1241"/>
        <v>0</v>
      </c>
      <c r="BD842" s="15" t="s">
        <v>183</v>
      </c>
      <c r="BT842" s="15"/>
      <c r="BU842" s="16"/>
      <c r="BV842" s="13"/>
      <c r="BW842" s="13" t="str">
        <f>IF(BV842="","",BV842-BV840)</f>
        <v/>
      </c>
      <c r="BX842" s="13"/>
      <c r="BY842" s="13" t="str">
        <f>IF(BX842="","",BX842-BX840)</f>
        <v/>
      </c>
      <c r="BZ842" s="13"/>
      <c r="CA842" s="13" t="str">
        <f>IF(BZ842="","",BZ840+CB840-BZ842)</f>
        <v/>
      </c>
      <c r="CB842" s="13"/>
      <c r="CC842" s="13"/>
      <c r="CD842" s="13"/>
      <c r="CE842" s="13" t="str">
        <f t="shared" si="1245"/>
        <v/>
      </c>
      <c r="CF842" s="14" t="str">
        <f t="shared" si="1246"/>
        <v/>
      </c>
      <c r="CG842" s="15"/>
      <c r="CH842" s="1"/>
      <c r="CI842" s="16"/>
      <c r="CJ842" s="13"/>
      <c r="CK842" s="13" t="str">
        <f>IF(CJ842="","",CJ842-CJ840)</f>
        <v/>
      </c>
      <c r="CL842" s="13"/>
      <c r="CM842" s="13" t="str">
        <f>IF(CL842="","",CL842-CL840)</f>
        <v/>
      </c>
      <c r="CN842" s="13"/>
      <c r="CO842" s="13" t="str">
        <f>IF(CN842="","",CN840+CP840-CN842)</f>
        <v/>
      </c>
      <c r="CP842" s="13"/>
      <c r="CQ842" s="13"/>
      <c r="CR842" s="13"/>
      <c r="CS842" s="13" t="str">
        <f t="shared" si="1247"/>
        <v/>
      </c>
      <c r="CT842" s="14" t="str">
        <f t="shared" si="1252"/>
        <v/>
      </c>
      <c r="CU842" s="15"/>
      <c r="CV842" s="1"/>
      <c r="CW842" s="16"/>
      <c r="CX842" s="13"/>
      <c r="CY842" s="13" t="str">
        <f>IF(CX842="","",CX842-CX840)</f>
        <v/>
      </c>
      <c r="CZ842" s="13"/>
      <c r="DA842" s="13" t="str">
        <f>IF(CZ842="","",CZ842-CZ840)</f>
        <v/>
      </c>
      <c r="DB842" s="13"/>
      <c r="DC842" s="13" t="str">
        <f>IF(DB842="","",DB840+DD840-DB842)</f>
        <v/>
      </c>
      <c r="DD842" s="13"/>
      <c r="DE842" s="13"/>
      <c r="DF842" s="13"/>
      <c r="DG842" s="13" t="str">
        <f t="shared" si="1248"/>
        <v/>
      </c>
      <c r="DH842" s="14" t="str">
        <f t="shared" si="1249"/>
        <v/>
      </c>
      <c r="DI842" s="15"/>
      <c r="DJ842" s="1"/>
      <c r="DK842" s="16"/>
      <c r="DL842" s="13"/>
      <c r="DM842" s="13" t="str">
        <f>IF(DL842="","",DL842-DL840)</f>
        <v/>
      </c>
      <c r="DN842" s="13"/>
      <c r="DO842" s="13" t="str">
        <f>IF(DN842="","",DN842-DN840)</f>
        <v/>
      </c>
      <c r="DP842" s="13"/>
      <c r="DQ842" s="13" t="str">
        <f>IF(DP842="","",DP840+DR840-DP842)</f>
        <v/>
      </c>
      <c r="DR842" s="13"/>
      <c r="DS842" s="13"/>
      <c r="DT842" s="13"/>
      <c r="DU842" s="13" t="str">
        <f t="shared" si="1250"/>
        <v/>
      </c>
      <c r="DV842" s="14" t="str">
        <f t="shared" si="1251"/>
        <v/>
      </c>
      <c r="DW842" s="15"/>
    </row>
    <row r="843" spans="1:127" ht="15" customHeight="1" x14ac:dyDescent="0.2">
      <c r="A843" s="16"/>
      <c r="B843" s="11"/>
      <c r="C843" s="13">
        <v>21903</v>
      </c>
      <c r="D843" s="13">
        <f t="shared" si="1214"/>
        <v>99</v>
      </c>
      <c r="E843" s="13">
        <v>1099</v>
      </c>
      <c r="F843" s="13">
        <f t="shared" si="1215"/>
        <v>3</v>
      </c>
      <c r="G843" s="13">
        <v>50</v>
      </c>
      <c r="H843" s="13">
        <f t="shared" si="1216"/>
        <v>4</v>
      </c>
      <c r="I843" s="17">
        <v>8</v>
      </c>
      <c r="J843" s="56" t="str">
        <f t="shared" si="1217"/>
        <v>AIモンスタラバー</v>
      </c>
      <c r="K843" s="13">
        <f t="shared" si="1218"/>
        <v>200</v>
      </c>
      <c r="L843" s="13">
        <f t="shared" si="1219"/>
        <v>800</v>
      </c>
      <c r="M843" s="14">
        <f t="shared" si="1220"/>
        <v>8.0808080808080815E-2</v>
      </c>
      <c r="N843" s="15"/>
      <c r="O843" s="2"/>
      <c r="P843" s="16"/>
      <c r="Q843" s="13">
        <v>20223</v>
      </c>
      <c r="R843" s="13">
        <f t="shared" si="1221"/>
        <v>40</v>
      </c>
      <c r="S843" s="13">
        <v>2730</v>
      </c>
      <c r="T843" s="13">
        <f t="shared" si="1222"/>
        <v>3</v>
      </c>
      <c r="U843" s="13">
        <v>3</v>
      </c>
      <c r="V843" s="13">
        <f t="shared" si="1223"/>
        <v>2</v>
      </c>
      <c r="W843" s="17">
        <v>4</v>
      </c>
      <c r="X843" s="56" t="str">
        <f t="shared" si="1224"/>
        <v>キティフェイスポーチ</v>
      </c>
      <c r="Y843" s="13">
        <f t="shared" si="1225"/>
        <v>957</v>
      </c>
      <c r="Z843" s="13">
        <f t="shared" si="1226"/>
        <v>1914</v>
      </c>
      <c r="AA843" s="14">
        <f t="shared" si="1227"/>
        <v>0.47849999999999998</v>
      </c>
      <c r="AB843" s="15" t="s">
        <v>176</v>
      </c>
      <c r="AC843" s="15"/>
      <c r="AD843" s="16"/>
      <c r="AE843" s="13">
        <v>4923</v>
      </c>
      <c r="AF843" s="13">
        <f t="shared" si="1228"/>
        <v>31</v>
      </c>
      <c r="AG843" s="13">
        <v>188</v>
      </c>
      <c r="AH843" s="13">
        <f t="shared" si="1229"/>
        <v>2</v>
      </c>
      <c r="AI843" s="13">
        <v>96</v>
      </c>
      <c r="AJ843" s="13">
        <f t="shared" si="1230"/>
        <v>2</v>
      </c>
      <c r="AK843" s="17">
        <v>60</v>
      </c>
      <c r="AL843" s="56" t="str">
        <f t="shared" si="1231"/>
        <v>モンチッチボールペン</v>
      </c>
      <c r="AM843" s="13">
        <f t="shared" si="1232"/>
        <v>160</v>
      </c>
      <c r="AN843" s="13">
        <f t="shared" si="1233"/>
        <v>320</v>
      </c>
      <c r="AO843" s="14">
        <f t="shared" si="1234"/>
        <v>0.1032258064516129</v>
      </c>
      <c r="AP843" s="15"/>
      <c r="AQ843" s="15"/>
      <c r="AR843" s="16"/>
      <c r="AS843" s="13">
        <v>6627</v>
      </c>
      <c r="AT843" s="13">
        <f t="shared" si="1235"/>
        <v>25</v>
      </c>
      <c r="AU843" s="13">
        <v>277</v>
      </c>
      <c r="AV843" s="13">
        <f t="shared" si="1236"/>
        <v>1</v>
      </c>
      <c r="AW843" s="13">
        <v>100</v>
      </c>
      <c r="AX843" s="13">
        <f t="shared" si="1237"/>
        <v>2</v>
      </c>
      <c r="AY843" s="17">
        <v>0</v>
      </c>
      <c r="AZ843" s="56" t="str">
        <f t="shared" si="1238"/>
        <v>スプランキーラバーキーホルダー</v>
      </c>
      <c r="BA843" s="13">
        <f t="shared" si="1239"/>
        <v>200</v>
      </c>
      <c r="BB843" s="13">
        <f t="shared" si="1240"/>
        <v>400</v>
      </c>
      <c r="BC843" s="14">
        <f t="shared" si="1241"/>
        <v>0.16</v>
      </c>
      <c r="BD843" s="15"/>
      <c r="BT843" s="15"/>
      <c r="BU843" s="16"/>
      <c r="BV843" s="54"/>
      <c r="BW843" s="13" t="str">
        <f>IF(BV843="","",BV843-BV841)</f>
        <v/>
      </c>
      <c r="BX843" s="13"/>
      <c r="BY843" s="13"/>
      <c r="BZ843" s="13"/>
      <c r="CA843" s="13" t="str">
        <f>IF(BZ843="","",BZ841+CB841-BZ843)</f>
        <v/>
      </c>
      <c r="CB843" s="13"/>
      <c r="CC843" s="13"/>
      <c r="CD843" s="13"/>
      <c r="CE843" s="13" t="str">
        <f t="shared" si="1245"/>
        <v/>
      </c>
      <c r="CF843" s="14" t="str">
        <f t="shared" si="1246"/>
        <v/>
      </c>
      <c r="CG843" s="15"/>
      <c r="CH843" s="1"/>
      <c r="CI843" s="16"/>
      <c r="CJ843" s="54"/>
      <c r="CK843" s="13" t="str">
        <f>IF(CJ843="","",CJ843-CJ841)</f>
        <v/>
      </c>
      <c r="CL843" s="13"/>
      <c r="CM843" s="13"/>
      <c r="CN843" s="13"/>
      <c r="CO843" s="13" t="str">
        <f>IF(CN843="","",CN841+CP841-CN843)</f>
        <v/>
      </c>
      <c r="CP843" s="13"/>
      <c r="CQ843" s="13"/>
      <c r="CR843" s="13"/>
      <c r="CS843" s="13" t="str">
        <f t="shared" si="1247"/>
        <v/>
      </c>
      <c r="CT843" s="14" t="str">
        <f t="shared" si="1252"/>
        <v/>
      </c>
      <c r="CU843" s="15"/>
      <c r="CV843" s="1"/>
      <c r="CW843" s="16"/>
      <c r="CX843" s="54"/>
      <c r="CY843" s="13" t="str">
        <f>IF(CX843="","",CX843-CX841)</f>
        <v/>
      </c>
      <c r="CZ843" s="13"/>
      <c r="DA843" s="13"/>
      <c r="DB843" s="13"/>
      <c r="DC843" s="13" t="str">
        <f>IF(DB843="","",DB841+DD841-DB843)</f>
        <v/>
      </c>
      <c r="DD843" s="13"/>
      <c r="DE843" s="13"/>
      <c r="DF843" s="13"/>
      <c r="DG843" s="13" t="str">
        <f t="shared" si="1248"/>
        <v/>
      </c>
      <c r="DH843" s="14" t="str">
        <f t="shared" si="1249"/>
        <v/>
      </c>
      <c r="DI843" s="15"/>
      <c r="DJ843" s="1"/>
      <c r="DK843" s="16"/>
      <c r="DL843" s="54"/>
      <c r="DM843" s="13" t="str">
        <f>IF(DL843="","",DL843-DL841)</f>
        <v/>
      </c>
      <c r="DN843" s="13"/>
      <c r="DO843" s="13"/>
      <c r="DP843" s="13"/>
      <c r="DQ843" s="13" t="str">
        <f>IF(DP843="","",DP841+DR841-DP843)</f>
        <v/>
      </c>
      <c r="DR843" s="13"/>
      <c r="DS843" s="13"/>
      <c r="DT843" s="13"/>
      <c r="DU843" s="13" t="str">
        <f t="shared" si="1250"/>
        <v/>
      </c>
      <c r="DV843" s="14" t="str">
        <f t="shared" si="1251"/>
        <v/>
      </c>
      <c r="DW843" s="15"/>
    </row>
    <row r="844" spans="1:127" ht="15" customHeight="1" thickBot="1" x14ac:dyDescent="0.25">
      <c r="A844" s="26"/>
      <c r="B844" s="46"/>
      <c r="C844" s="27">
        <v>28019</v>
      </c>
      <c r="D844" s="27">
        <f t="shared" si="1214"/>
        <v>54</v>
      </c>
      <c r="E844" s="27">
        <v>1349</v>
      </c>
      <c r="F844" s="27">
        <f t="shared" si="1215"/>
        <v>2</v>
      </c>
      <c r="G844" s="27">
        <v>40</v>
      </c>
      <c r="H844" s="27">
        <f t="shared" si="1216"/>
        <v>2</v>
      </c>
      <c r="I844" s="47">
        <v>0</v>
      </c>
      <c r="J844" s="57" t="str">
        <f t="shared" si="1217"/>
        <v>NICIマスコット</v>
      </c>
      <c r="K844" s="62">
        <f t="shared" si="1218"/>
        <v>682</v>
      </c>
      <c r="L844" s="27">
        <f t="shared" si="1219"/>
        <v>1364</v>
      </c>
      <c r="M844" s="28">
        <f t="shared" si="1220"/>
        <v>0.25259259259259259</v>
      </c>
      <c r="N844" s="15"/>
      <c r="O844" s="2"/>
      <c r="P844" s="26"/>
      <c r="Q844" s="27">
        <v>19459</v>
      </c>
      <c r="R844" s="27">
        <f t="shared" si="1221"/>
        <v>22</v>
      </c>
      <c r="S844" s="27">
        <v>1685</v>
      </c>
      <c r="T844" s="27">
        <f t="shared" si="1222"/>
        <v>0</v>
      </c>
      <c r="U844" s="27">
        <v>12</v>
      </c>
      <c r="V844" s="27">
        <f t="shared" si="1223"/>
        <v>0</v>
      </c>
      <c r="W844" s="47">
        <v>6</v>
      </c>
      <c r="X844" s="57" t="str">
        <f t="shared" si="1224"/>
        <v>ピクミンマスコット</v>
      </c>
      <c r="Y844" s="62">
        <f t="shared" si="1225"/>
        <v>600</v>
      </c>
      <c r="Z844" s="27">
        <f t="shared" si="1226"/>
        <v>0</v>
      </c>
      <c r="AA844" s="28">
        <f t="shared" si="1227"/>
        <v>0</v>
      </c>
      <c r="AB844" s="15"/>
      <c r="AC844" s="15"/>
      <c r="AD844" s="26"/>
      <c r="AE844" s="27">
        <v>5062</v>
      </c>
      <c r="AF844" s="27">
        <f t="shared" si="1228"/>
        <v>27</v>
      </c>
      <c r="AG844" s="27">
        <v>170</v>
      </c>
      <c r="AH844" s="27">
        <f t="shared" si="1229"/>
        <v>0</v>
      </c>
      <c r="AI844" s="27">
        <v>12</v>
      </c>
      <c r="AJ844" s="27">
        <f t="shared" si="1230"/>
        <v>1</v>
      </c>
      <c r="AK844" s="47">
        <v>5</v>
      </c>
      <c r="AL844" s="57" t="str">
        <f t="shared" si="1231"/>
        <v>ギャルキティキーケース</v>
      </c>
      <c r="AM844" s="62">
        <f t="shared" si="1232"/>
        <v>726</v>
      </c>
      <c r="AN844" s="27">
        <f t="shared" si="1233"/>
        <v>726</v>
      </c>
      <c r="AO844" s="28">
        <f t="shared" si="1234"/>
        <v>0.2688888888888889</v>
      </c>
      <c r="AP844" s="15"/>
      <c r="AQ844" s="15"/>
      <c r="AR844" s="26"/>
      <c r="AS844" s="27">
        <v>5679</v>
      </c>
      <c r="AT844" s="27">
        <f t="shared" si="1235"/>
        <v>69</v>
      </c>
      <c r="AU844" s="27">
        <v>247</v>
      </c>
      <c r="AV844" s="27">
        <f t="shared" si="1236"/>
        <v>5</v>
      </c>
      <c r="AW844" s="27">
        <v>46</v>
      </c>
      <c r="AX844" s="27">
        <f t="shared" si="1237"/>
        <v>12</v>
      </c>
      <c r="AY844" s="47">
        <v>25</v>
      </c>
      <c r="AZ844" s="57" t="str">
        <f t="shared" si="1238"/>
        <v>キティサンダルキーホルダー</v>
      </c>
      <c r="BA844" s="62">
        <f t="shared" si="1239"/>
        <v>600</v>
      </c>
      <c r="BB844" s="27">
        <f t="shared" si="1240"/>
        <v>7200</v>
      </c>
      <c r="BC844" s="28">
        <f t="shared" si="1241"/>
        <v>1.0434782608695652</v>
      </c>
      <c r="BD844" s="15" t="s">
        <v>49</v>
      </c>
      <c r="BT844" s="15"/>
      <c r="BU844" s="16"/>
      <c r="BV844" s="54"/>
      <c r="BW844" s="13" t="str">
        <f t="shared" ref="BW844:BW864" si="1253">IF(BV844="","",BV844-BV843)</f>
        <v/>
      </c>
      <c r="BX844" s="13"/>
      <c r="BY844" s="13"/>
      <c r="BZ844" s="13"/>
      <c r="CA844" s="13" t="str">
        <f t="shared" ref="CA844:CA864" si="1254">IF(BZ844="","",BZ843+CB843-BZ844)</f>
        <v/>
      </c>
      <c r="CB844" s="13"/>
      <c r="CC844" s="13"/>
      <c r="CD844" s="13"/>
      <c r="CE844" s="13" t="str">
        <f t="shared" si="1245"/>
        <v/>
      </c>
      <c r="CF844" s="14" t="str">
        <f t="shared" si="1246"/>
        <v/>
      </c>
      <c r="CG844" s="15"/>
      <c r="CH844" s="1"/>
      <c r="CI844" s="16"/>
      <c r="CJ844" s="54"/>
      <c r="CK844" s="13" t="str">
        <f t="shared" ref="CK844:CK864" si="1255">IF(CJ844="","",CJ844-CJ843)</f>
        <v/>
      </c>
      <c r="CL844" s="13"/>
      <c r="CM844" s="13"/>
      <c r="CN844" s="13"/>
      <c r="CO844" s="13" t="str">
        <f t="shared" ref="CO844:CO864" si="1256">IF(CN844="","",CN843+CP843-CN844)</f>
        <v/>
      </c>
      <c r="CP844" s="13"/>
      <c r="CQ844" s="13"/>
      <c r="CR844" s="13"/>
      <c r="CS844" s="13" t="str">
        <f t="shared" si="1247"/>
        <v/>
      </c>
      <c r="CT844" s="14" t="str">
        <f t="shared" si="1252"/>
        <v/>
      </c>
      <c r="CU844" s="15"/>
      <c r="CV844" s="1"/>
      <c r="CW844" s="16"/>
      <c r="CX844" s="54"/>
      <c r="CY844" s="13" t="str">
        <f t="shared" ref="CY844:CY864" si="1257">IF(CX844="","",CX844-CX843)</f>
        <v/>
      </c>
      <c r="CZ844" s="13"/>
      <c r="DA844" s="13"/>
      <c r="DB844" s="13"/>
      <c r="DC844" s="13" t="str">
        <f t="shared" ref="DC844:DC864" si="1258">IF(DB844="","",DB843+DD843-DB844)</f>
        <v/>
      </c>
      <c r="DD844" s="13"/>
      <c r="DE844" s="13"/>
      <c r="DF844" s="13"/>
      <c r="DG844" s="13" t="str">
        <f t="shared" si="1248"/>
        <v/>
      </c>
      <c r="DH844" s="14" t="str">
        <f t="shared" si="1249"/>
        <v/>
      </c>
      <c r="DI844" s="15"/>
      <c r="DJ844" s="1"/>
      <c r="DK844" s="16"/>
      <c r="DL844" s="54"/>
      <c r="DM844" s="13" t="str">
        <f t="shared" ref="DM844:DM864" si="1259">IF(DL844="","",DL844-DL843)</f>
        <v/>
      </c>
      <c r="DN844" s="13"/>
      <c r="DO844" s="13"/>
      <c r="DP844" s="13"/>
      <c r="DQ844" s="13" t="str">
        <f t="shared" ref="DQ844:DQ864" si="1260">IF(DP844="","",DP843+DR843-DP844)</f>
        <v/>
      </c>
      <c r="DR844" s="13"/>
      <c r="DS844" s="13"/>
      <c r="DT844" s="13"/>
      <c r="DU844" s="13" t="str">
        <f t="shared" si="1250"/>
        <v/>
      </c>
      <c r="DV844" s="14" t="str">
        <f t="shared" si="1251"/>
        <v/>
      </c>
      <c r="DW844" s="15"/>
    </row>
    <row r="845" spans="1:127" ht="15" customHeight="1" thickTop="1" x14ac:dyDescent="0.2">
      <c r="A845" s="79">
        <v>45845</v>
      </c>
      <c r="B845" s="74">
        <f>IF(A845="","",SUM(D845:D848)+SUM(R845:R848)+SUM(AF845:AF848)+SUM(AT845:AT848)+SUM(BW824,CK824,CY824,DM824))</f>
        <v>2648</v>
      </c>
      <c r="C845" s="13">
        <v>21587</v>
      </c>
      <c r="D845" s="53">
        <f t="shared" si="1214"/>
        <v>31</v>
      </c>
      <c r="E845" s="13">
        <v>1142</v>
      </c>
      <c r="F845" s="31">
        <f t="shared" si="1215"/>
        <v>3</v>
      </c>
      <c r="G845" s="13">
        <v>15</v>
      </c>
      <c r="H845" s="53">
        <f t="shared" si="1216"/>
        <v>0</v>
      </c>
      <c r="I845" s="80">
        <v>0</v>
      </c>
      <c r="J845" s="75" t="str">
        <f t="shared" si="1217"/>
        <v>ジャグラーサウンドボタン</v>
      </c>
      <c r="K845" s="76">
        <f t="shared" si="1218"/>
        <v>748</v>
      </c>
      <c r="L845" s="31">
        <f t="shared" si="1219"/>
        <v>0</v>
      </c>
      <c r="M845" s="32">
        <f t="shared" si="1220"/>
        <v>0</v>
      </c>
      <c r="N845" s="15"/>
      <c r="O845" s="2"/>
      <c r="P845" s="79">
        <f>IF($A845="","",$A845)</f>
        <v>45845</v>
      </c>
      <c r="Q845" s="13">
        <v>21602</v>
      </c>
      <c r="R845" s="53">
        <f t="shared" si="1221"/>
        <v>93</v>
      </c>
      <c r="S845" s="13">
        <v>1190</v>
      </c>
      <c r="T845" s="31">
        <f t="shared" si="1222"/>
        <v>1</v>
      </c>
      <c r="U845" s="13">
        <v>21</v>
      </c>
      <c r="V845" s="53">
        <f t="shared" si="1223"/>
        <v>1</v>
      </c>
      <c r="W845" s="80">
        <v>0</v>
      </c>
      <c r="X845" s="75" t="str">
        <f t="shared" si="1224"/>
        <v>ジャグラーパネルKH</v>
      </c>
      <c r="Y845" s="76">
        <f t="shared" si="1225"/>
        <v>500</v>
      </c>
      <c r="Z845" s="31">
        <f t="shared" si="1226"/>
        <v>500</v>
      </c>
      <c r="AA845" s="32">
        <f t="shared" si="1227"/>
        <v>5.3763440860215055E-2</v>
      </c>
      <c r="AB845" s="15" t="s">
        <v>35</v>
      </c>
      <c r="AC845" s="15"/>
      <c r="AD845" s="79">
        <f>IF($A845="","",$A845)</f>
        <v>45845</v>
      </c>
      <c r="AE845" s="13">
        <v>5769</v>
      </c>
      <c r="AF845" s="53">
        <f t="shared" si="1228"/>
        <v>95</v>
      </c>
      <c r="AG845" s="13">
        <v>119</v>
      </c>
      <c r="AH845" s="31">
        <f t="shared" si="1229"/>
        <v>1</v>
      </c>
      <c r="AI845" s="13">
        <v>38</v>
      </c>
      <c r="AJ845" s="53">
        <f t="shared" si="1230"/>
        <v>1</v>
      </c>
      <c r="AK845" s="80">
        <v>0</v>
      </c>
      <c r="AL845" s="75" t="str">
        <f t="shared" si="1231"/>
        <v>ミニ香水</v>
      </c>
      <c r="AM845" s="76">
        <f t="shared" si="1232"/>
        <v>1100</v>
      </c>
      <c r="AN845" s="31">
        <f t="shared" si="1233"/>
        <v>1100</v>
      </c>
      <c r="AO845" s="32">
        <f t="shared" si="1234"/>
        <v>0.11578947368421053</v>
      </c>
      <c r="AP845" s="15"/>
      <c r="AQ845" s="15"/>
      <c r="AR845" s="79">
        <f>IF($A845="","",$A845)</f>
        <v>45845</v>
      </c>
      <c r="AS845" s="13">
        <v>5672</v>
      </c>
      <c r="AT845" s="53">
        <f t="shared" si="1235"/>
        <v>35</v>
      </c>
      <c r="AU845" s="13">
        <v>195</v>
      </c>
      <c r="AV845" s="31">
        <f t="shared" si="1236"/>
        <v>0</v>
      </c>
      <c r="AW845" s="13">
        <v>15</v>
      </c>
      <c r="AX845" s="53">
        <f t="shared" si="1237"/>
        <v>1</v>
      </c>
      <c r="AY845" s="80">
        <v>-9</v>
      </c>
      <c r="AZ845" s="75" t="str">
        <f t="shared" si="1238"/>
        <v>チロルチョコイヤホン</v>
      </c>
      <c r="BA845" s="76">
        <f t="shared" si="1239"/>
        <v>1100</v>
      </c>
      <c r="BB845" s="31">
        <f t="shared" si="1240"/>
        <v>1100</v>
      </c>
      <c r="BC845" s="32">
        <f t="shared" si="1241"/>
        <v>0.31428571428571428</v>
      </c>
      <c r="BD845" s="15" t="s">
        <v>188</v>
      </c>
      <c r="BT845" s="15"/>
      <c r="BU845" s="16"/>
      <c r="BV845" s="54"/>
      <c r="BW845" s="13" t="str">
        <f t="shared" si="1253"/>
        <v/>
      </c>
      <c r="BX845" s="13"/>
      <c r="BY845" s="13"/>
      <c r="BZ845" s="13"/>
      <c r="CA845" s="13" t="str">
        <f t="shared" si="1254"/>
        <v/>
      </c>
      <c r="CB845" s="13"/>
      <c r="CC845" s="13"/>
      <c r="CD845" s="13"/>
      <c r="CE845" s="13" t="str">
        <f t="shared" si="1245"/>
        <v/>
      </c>
      <c r="CF845" s="14" t="str">
        <f t="shared" si="1246"/>
        <v/>
      </c>
      <c r="CG845" s="15"/>
      <c r="CH845" s="1"/>
      <c r="CI845" s="16"/>
      <c r="CJ845" s="54"/>
      <c r="CK845" s="13" t="str">
        <f t="shared" si="1255"/>
        <v/>
      </c>
      <c r="CL845" s="13"/>
      <c r="CM845" s="13"/>
      <c r="CN845" s="13"/>
      <c r="CO845" s="13" t="str">
        <f t="shared" si="1256"/>
        <v/>
      </c>
      <c r="CP845" s="13"/>
      <c r="CQ845" s="13"/>
      <c r="CR845" s="13"/>
      <c r="CS845" s="13" t="str">
        <f t="shared" si="1247"/>
        <v/>
      </c>
      <c r="CT845" s="14" t="str">
        <f t="shared" si="1252"/>
        <v/>
      </c>
      <c r="CU845" s="15"/>
      <c r="CV845" s="1"/>
      <c r="CW845" s="16"/>
      <c r="CX845" s="54"/>
      <c r="CY845" s="13" t="str">
        <f t="shared" si="1257"/>
        <v/>
      </c>
      <c r="CZ845" s="13"/>
      <c r="DA845" s="13"/>
      <c r="DB845" s="13"/>
      <c r="DC845" s="13" t="str">
        <f t="shared" si="1258"/>
        <v/>
      </c>
      <c r="DD845" s="13"/>
      <c r="DE845" s="13"/>
      <c r="DF845" s="13"/>
      <c r="DG845" s="13" t="str">
        <f t="shared" si="1248"/>
        <v/>
      </c>
      <c r="DH845" s="14" t="str">
        <f t="shared" si="1249"/>
        <v/>
      </c>
      <c r="DI845" s="15"/>
      <c r="DJ845" s="1"/>
      <c r="DK845" s="16"/>
      <c r="DL845" s="54"/>
      <c r="DM845" s="13" t="str">
        <f t="shared" si="1259"/>
        <v/>
      </c>
      <c r="DN845" s="13"/>
      <c r="DO845" s="13"/>
      <c r="DP845" s="13"/>
      <c r="DQ845" s="13" t="str">
        <f t="shared" si="1260"/>
        <v/>
      </c>
      <c r="DR845" s="13"/>
      <c r="DS845" s="13"/>
      <c r="DT845" s="13"/>
      <c r="DU845" s="13" t="str">
        <f t="shared" si="1250"/>
        <v/>
      </c>
      <c r="DV845" s="14" t="str">
        <f t="shared" si="1251"/>
        <v/>
      </c>
      <c r="DW845" s="15"/>
    </row>
    <row r="846" spans="1:127" ht="15" customHeight="1" x14ac:dyDescent="0.2">
      <c r="A846" s="121"/>
      <c r="B846" s="74"/>
      <c r="C846" s="53">
        <v>25625</v>
      </c>
      <c r="D846" s="13">
        <f t="shared" si="1214"/>
        <v>44</v>
      </c>
      <c r="E846" s="53">
        <v>1309</v>
      </c>
      <c r="F846" s="13">
        <f t="shared" si="1215"/>
        <v>1</v>
      </c>
      <c r="G846" s="13">
        <v>18</v>
      </c>
      <c r="H846" s="13">
        <f t="shared" si="1216"/>
        <v>0</v>
      </c>
      <c r="I846" s="17">
        <v>0</v>
      </c>
      <c r="J846" s="56" t="str">
        <f t="shared" si="1217"/>
        <v>ジャグラーイヤホン</v>
      </c>
      <c r="K846" s="54">
        <f t="shared" si="1218"/>
        <v>1100</v>
      </c>
      <c r="L846" s="13">
        <f t="shared" si="1219"/>
        <v>0</v>
      </c>
      <c r="M846" s="14">
        <f t="shared" si="1220"/>
        <v>0</v>
      </c>
      <c r="N846" s="15"/>
      <c r="O846" s="2"/>
      <c r="P846" s="16"/>
      <c r="Q846" s="53">
        <v>27464</v>
      </c>
      <c r="R846" s="13">
        <f t="shared" si="1221"/>
        <v>103</v>
      </c>
      <c r="S846" s="53">
        <v>1500</v>
      </c>
      <c r="T846" s="13">
        <f t="shared" si="1222"/>
        <v>0</v>
      </c>
      <c r="U846" s="13">
        <v>11</v>
      </c>
      <c r="V846" s="13">
        <f t="shared" si="1223"/>
        <v>0</v>
      </c>
      <c r="W846" s="17">
        <v>0</v>
      </c>
      <c r="X846" s="56" t="str">
        <f t="shared" si="1224"/>
        <v>サンリオFAN</v>
      </c>
      <c r="Y846" s="54">
        <f t="shared" si="1225"/>
        <v>1100</v>
      </c>
      <c r="Z846" s="13">
        <f t="shared" si="1226"/>
        <v>0</v>
      </c>
      <c r="AA846" s="14">
        <f t="shared" si="1227"/>
        <v>0</v>
      </c>
      <c r="AB846" s="15"/>
      <c r="AC846" s="15"/>
      <c r="AD846" s="16"/>
      <c r="AE846" s="53">
        <v>4741</v>
      </c>
      <c r="AF846" s="13">
        <f t="shared" si="1228"/>
        <v>98</v>
      </c>
      <c r="AG846" s="53">
        <v>112</v>
      </c>
      <c r="AH846" s="13">
        <f t="shared" si="1229"/>
        <v>2</v>
      </c>
      <c r="AI846" s="13">
        <v>14</v>
      </c>
      <c r="AJ846" s="13">
        <f t="shared" si="1230"/>
        <v>2</v>
      </c>
      <c r="AK846" s="17">
        <v>0</v>
      </c>
      <c r="AL846" s="56" t="str">
        <f t="shared" si="1231"/>
        <v>デジタルミニカメラ</v>
      </c>
      <c r="AM846" s="54">
        <f t="shared" si="1232"/>
        <v>800</v>
      </c>
      <c r="AN846" s="13">
        <f t="shared" si="1233"/>
        <v>1600</v>
      </c>
      <c r="AO846" s="14">
        <f t="shared" si="1234"/>
        <v>0.16326530612244897</v>
      </c>
      <c r="AP846" s="15"/>
      <c r="AQ846" s="15"/>
      <c r="AR846" s="16"/>
      <c r="AS846" s="53">
        <v>4014</v>
      </c>
      <c r="AT846" s="13">
        <f t="shared" si="1235"/>
        <v>39</v>
      </c>
      <c r="AU846" s="53">
        <v>209</v>
      </c>
      <c r="AV846" s="13">
        <f t="shared" si="1236"/>
        <v>4</v>
      </c>
      <c r="AW846" s="13">
        <v>15</v>
      </c>
      <c r="AX846" s="13">
        <f t="shared" si="1237"/>
        <v>4</v>
      </c>
      <c r="AY846" s="17">
        <v>0</v>
      </c>
      <c r="AZ846" s="56" t="str">
        <f t="shared" si="1238"/>
        <v>ねこアイシャドウ</v>
      </c>
      <c r="BA846" s="54">
        <f t="shared" si="1239"/>
        <v>1000</v>
      </c>
      <c r="BB846" s="13">
        <f t="shared" si="1240"/>
        <v>4000</v>
      </c>
      <c r="BC846" s="14">
        <f t="shared" si="1241"/>
        <v>1.0256410256410255</v>
      </c>
      <c r="BD846" s="15" t="s">
        <v>186</v>
      </c>
      <c r="BT846" s="15"/>
      <c r="BU846" s="16"/>
      <c r="BV846" s="54"/>
      <c r="BW846" s="13" t="str">
        <f t="shared" si="1253"/>
        <v/>
      </c>
      <c r="BX846" s="13"/>
      <c r="BY846" s="13"/>
      <c r="BZ846" s="13"/>
      <c r="CA846" s="13" t="str">
        <f t="shared" si="1254"/>
        <v/>
      </c>
      <c r="CB846" s="13"/>
      <c r="CC846" s="13"/>
      <c r="CD846" s="13"/>
      <c r="CE846" s="13" t="str">
        <f t="shared" si="1245"/>
        <v/>
      </c>
      <c r="CF846" s="14" t="str">
        <f t="shared" si="1246"/>
        <v/>
      </c>
      <c r="CG846" s="15"/>
      <c r="CH846" s="1"/>
      <c r="CI846" s="16"/>
      <c r="CJ846" s="54"/>
      <c r="CK846" s="13" t="str">
        <f t="shared" si="1255"/>
        <v/>
      </c>
      <c r="CL846" s="13"/>
      <c r="CM846" s="13"/>
      <c r="CN846" s="13"/>
      <c r="CO846" s="13" t="str">
        <f t="shared" si="1256"/>
        <v/>
      </c>
      <c r="CP846" s="13"/>
      <c r="CQ846" s="13"/>
      <c r="CR846" s="13"/>
      <c r="CS846" s="13" t="str">
        <f t="shared" si="1247"/>
        <v/>
      </c>
      <c r="CT846" s="14" t="str">
        <f t="shared" si="1252"/>
        <v/>
      </c>
      <c r="CU846" s="15"/>
      <c r="CV846" s="1"/>
      <c r="CW846" s="16"/>
      <c r="CX846" s="54"/>
      <c r="CY846" s="13" t="str">
        <f t="shared" si="1257"/>
        <v/>
      </c>
      <c r="CZ846" s="13"/>
      <c r="DA846" s="13"/>
      <c r="DB846" s="13"/>
      <c r="DC846" s="13" t="str">
        <f t="shared" si="1258"/>
        <v/>
      </c>
      <c r="DD846" s="13"/>
      <c r="DE846" s="13"/>
      <c r="DF846" s="13"/>
      <c r="DG846" s="13" t="str">
        <f t="shared" si="1248"/>
        <v/>
      </c>
      <c r="DH846" s="14" t="str">
        <f t="shared" si="1249"/>
        <v/>
      </c>
      <c r="DI846" s="15"/>
      <c r="DJ846" s="1"/>
      <c r="DK846" s="16"/>
      <c r="DL846" s="54"/>
      <c r="DM846" s="13" t="str">
        <f t="shared" si="1259"/>
        <v/>
      </c>
      <c r="DN846" s="13"/>
      <c r="DO846" s="13"/>
      <c r="DP846" s="13"/>
      <c r="DQ846" s="13" t="str">
        <f t="shared" si="1260"/>
        <v/>
      </c>
      <c r="DR846" s="13"/>
      <c r="DS846" s="13"/>
      <c r="DT846" s="13"/>
      <c r="DU846" s="13" t="str">
        <f t="shared" si="1250"/>
        <v/>
      </c>
      <c r="DV846" s="14" t="str">
        <f t="shared" si="1251"/>
        <v/>
      </c>
      <c r="DW846" s="15"/>
    </row>
    <row r="847" spans="1:127" ht="15" customHeight="1" x14ac:dyDescent="0.2">
      <c r="A847" s="16"/>
      <c r="B847" s="11"/>
      <c r="C847" s="13">
        <v>22288</v>
      </c>
      <c r="D847" s="13">
        <f t="shared" si="1214"/>
        <v>385</v>
      </c>
      <c r="E847" s="13">
        <v>1107</v>
      </c>
      <c r="F847" s="13">
        <f t="shared" si="1215"/>
        <v>8</v>
      </c>
      <c r="G847" s="13">
        <v>48</v>
      </c>
      <c r="H847" s="13">
        <f t="shared" si="1216"/>
        <v>10</v>
      </c>
      <c r="I847" s="49">
        <v>2</v>
      </c>
      <c r="J847" s="56" t="str">
        <f t="shared" si="1217"/>
        <v>AIモンスタラバー</v>
      </c>
      <c r="K847" s="13">
        <f t="shared" si="1218"/>
        <v>200</v>
      </c>
      <c r="L847" s="13">
        <f t="shared" si="1219"/>
        <v>2000</v>
      </c>
      <c r="M847" s="14">
        <f t="shared" si="1220"/>
        <v>5.1948051948051951E-2</v>
      </c>
      <c r="N847" s="15"/>
      <c r="O847" s="2"/>
      <c r="P847" s="16"/>
      <c r="Q847" s="13">
        <v>20346</v>
      </c>
      <c r="R847" s="13">
        <f t="shared" si="1221"/>
        <v>123</v>
      </c>
      <c r="S847" s="13">
        <v>2733</v>
      </c>
      <c r="T847" s="13">
        <f t="shared" si="1222"/>
        <v>3</v>
      </c>
      <c r="U847" s="13">
        <v>3</v>
      </c>
      <c r="V847" s="13">
        <f t="shared" si="1223"/>
        <v>4</v>
      </c>
      <c r="W847" s="49">
        <v>6</v>
      </c>
      <c r="X847" s="56" t="str">
        <f t="shared" si="1224"/>
        <v>キティフェイスポーチ</v>
      </c>
      <c r="Y847" s="13">
        <f t="shared" si="1225"/>
        <v>957</v>
      </c>
      <c r="Z847" s="13">
        <f t="shared" si="1226"/>
        <v>3828</v>
      </c>
      <c r="AA847" s="14">
        <f t="shared" si="1227"/>
        <v>0.31121951219512195</v>
      </c>
      <c r="AB847" s="15"/>
      <c r="AC847" s="15"/>
      <c r="AD847" s="16"/>
      <c r="AE847" s="13">
        <v>5070</v>
      </c>
      <c r="AF847" s="13">
        <f t="shared" si="1228"/>
        <v>147</v>
      </c>
      <c r="AG847" s="13">
        <v>202</v>
      </c>
      <c r="AH847" s="13">
        <f t="shared" si="1229"/>
        <v>14</v>
      </c>
      <c r="AI847" s="13">
        <v>140</v>
      </c>
      <c r="AJ847" s="13">
        <f t="shared" si="1230"/>
        <v>16</v>
      </c>
      <c r="AK847" s="49">
        <v>2</v>
      </c>
      <c r="AL847" s="56" t="str">
        <f t="shared" si="1231"/>
        <v>モンチッチボールペン</v>
      </c>
      <c r="AM847" s="13">
        <f t="shared" si="1232"/>
        <v>160</v>
      </c>
      <c r="AN847" s="13">
        <f t="shared" si="1233"/>
        <v>2560</v>
      </c>
      <c r="AO847" s="14">
        <f t="shared" si="1234"/>
        <v>0.17414965986394557</v>
      </c>
      <c r="AP847" s="15"/>
      <c r="AQ847" s="15"/>
      <c r="AR847" s="16"/>
      <c r="AS847" s="13">
        <v>6744</v>
      </c>
      <c r="AT847" s="13">
        <f t="shared" si="1235"/>
        <v>117</v>
      </c>
      <c r="AU847" s="13">
        <v>282</v>
      </c>
      <c r="AV847" s="13">
        <f t="shared" si="1236"/>
        <v>5</v>
      </c>
      <c r="AW847" s="13">
        <v>95</v>
      </c>
      <c r="AX847" s="13">
        <f t="shared" si="1237"/>
        <v>5</v>
      </c>
      <c r="AY847" s="49">
        <v>32</v>
      </c>
      <c r="AZ847" s="56" t="str">
        <f t="shared" si="1238"/>
        <v>スプランキーラバーキーホルダー</v>
      </c>
      <c r="BA847" s="13">
        <f t="shared" si="1239"/>
        <v>200</v>
      </c>
      <c r="BB847" s="13">
        <f t="shared" si="1240"/>
        <v>1000</v>
      </c>
      <c r="BC847" s="14">
        <f t="shared" si="1241"/>
        <v>8.5470085470085472E-2</v>
      </c>
      <c r="BD847" s="15"/>
      <c r="BT847" s="15"/>
      <c r="BU847" s="16"/>
      <c r="BV847" s="54"/>
      <c r="BW847" s="13" t="str">
        <f t="shared" si="1253"/>
        <v/>
      </c>
      <c r="BX847" s="13"/>
      <c r="BY847" s="13"/>
      <c r="BZ847" s="13"/>
      <c r="CA847" s="13" t="str">
        <f t="shared" si="1254"/>
        <v/>
      </c>
      <c r="CB847" s="13"/>
      <c r="CC847" s="13"/>
      <c r="CD847" s="13"/>
      <c r="CE847" s="13" t="str">
        <f t="shared" si="1245"/>
        <v/>
      </c>
      <c r="CF847" s="14" t="str">
        <f t="shared" si="1246"/>
        <v/>
      </c>
      <c r="CG847" s="15"/>
      <c r="CH847" s="1"/>
      <c r="CI847" s="16"/>
      <c r="CJ847" s="54"/>
      <c r="CK847" s="13" t="str">
        <f t="shared" si="1255"/>
        <v/>
      </c>
      <c r="CL847" s="13"/>
      <c r="CM847" s="13"/>
      <c r="CN847" s="13"/>
      <c r="CO847" s="13" t="str">
        <f t="shared" si="1256"/>
        <v/>
      </c>
      <c r="CP847" s="13"/>
      <c r="CQ847" s="13"/>
      <c r="CR847" s="13"/>
      <c r="CS847" s="13" t="str">
        <f t="shared" si="1247"/>
        <v/>
      </c>
      <c r="CT847" s="14" t="str">
        <f t="shared" si="1252"/>
        <v/>
      </c>
      <c r="CU847" s="15"/>
      <c r="CV847" s="1"/>
      <c r="CW847" s="16"/>
      <c r="CX847" s="54"/>
      <c r="CY847" s="13" t="str">
        <f t="shared" si="1257"/>
        <v/>
      </c>
      <c r="CZ847" s="13"/>
      <c r="DA847" s="13"/>
      <c r="DB847" s="13"/>
      <c r="DC847" s="13" t="str">
        <f t="shared" si="1258"/>
        <v/>
      </c>
      <c r="DD847" s="13"/>
      <c r="DE847" s="13"/>
      <c r="DF847" s="13"/>
      <c r="DG847" s="13" t="str">
        <f t="shared" si="1248"/>
        <v/>
      </c>
      <c r="DH847" s="14" t="str">
        <f t="shared" si="1249"/>
        <v/>
      </c>
      <c r="DI847" s="15"/>
      <c r="DJ847" s="1"/>
      <c r="DK847" s="16"/>
      <c r="DL847" s="54"/>
      <c r="DM847" s="13" t="str">
        <f t="shared" si="1259"/>
        <v/>
      </c>
      <c r="DN847" s="13"/>
      <c r="DO847" s="13"/>
      <c r="DP847" s="13"/>
      <c r="DQ847" s="13" t="str">
        <f t="shared" si="1260"/>
        <v/>
      </c>
      <c r="DR847" s="13"/>
      <c r="DS847" s="13"/>
      <c r="DT847" s="13"/>
      <c r="DU847" s="13" t="str">
        <f t="shared" si="1250"/>
        <v/>
      </c>
      <c r="DV847" s="14" t="str">
        <f t="shared" si="1251"/>
        <v/>
      </c>
      <c r="DW847" s="15"/>
    </row>
    <row r="848" spans="1:127" ht="15" customHeight="1" thickBot="1" x14ac:dyDescent="0.25">
      <c r="A848" s="26"/>
      <c r="B848" s="46"/>
      <c r="C848" s="27">
        <v>28184</v>
      </c>
      <c r="D848" s="27">
        <f t="shared" si="1214"/>
        <v>165</v>
      </c>
      <c r="E848" s="27">
        <v>1354</v>
      </c>
      <c r="F848" s="27">
        <f t="shared" si="1215"/>
        <v>5</v>
      </c>
      <c r="G848" s="27">
        <v>34</v>
      </c>
      <c r="H848" s="27">
        <f t="shared" si="1216"/>
        <v>6</v>
      </c>
      <c r="I848" s="47">
        <v>18</v>
      </c>
      <c r="J848" s="57" t="str">
        <f t="shared" si="1217"/>
        <v>NICIマスコット</v>
      </c>
      <c r="K848" s="62">
        <f t="shared" si="1218"/>
        <v>682</v>
      </c>
      <c r="L848" s="27">
        <f t="shared" si="1219"/>
        <v>4092</v>
      </c>
      <c r="M848" s="28">
        <f t="shared" si="1220"/>
        <v>0.248</v>
      </c>
      <c r="N848" s="15"/>
      <c r="O848" s="2"/>
      <c r="P848" s="26"/>
      <c r="Q848" s="27">
        <v>19637</v>
      </c>
      <c r="R848" s="27">
        <f t="shared" si="1221"/>
        <v>178</v>
      </c>
      <c r="S848" s="27">
        <v>1689</v>
      </c>
      <c r="T848" s="27">
        <f t="shared" si="1222"/>
        <v>4</v>
      </c>
      <c r="U848" s="27">
        <v>13</v>
      </c>
      <c r="V848" s="27">
        <f t="shared" si="1223"/>
        <v>5</v>
      </c>
      <c r="W848" s="47">
        <v>0</v>
      </c>
      <c r="X848" s="57" t="str">
        <f t="shared" si="1224"/>
        <v>ピクミンマスコット</v>
      </c>
      <c r="Y848" s="62">
        <f t="shared" si="1225"/>
        <v>600</v>
      </c>
      <c r="Z848" s="27">
        <f t="shared" si="1226"/>
        <v>3000</v>
      </c>
      <c r="AA848" s="28">
        <f t="shared" si="1227"/>
        <v>0.16853932584269662</v>
      </c>
      <c r="AB848" s="15"/>
      <c r="AC848" s="15"/>
      <c r="AD848" s="26"/>
      <c r="AE848" s="27">
        <v>5182</v>
      </c>
      <c r="AF848" s="27">
        <f t="shared" si="1228"/>
        <v>120</v>
      </c>
      <c r="AG848" s="27">
        <v>172</v>
      </c>
      <c r="AH848" s="27">
        <f t="shared" si="1229"/>
        <v>2</v>
      </c>
      <c r="AI848" s="27">
        <v>15</v>
      </c>
      <c r="AJ848" s="27">
        <f t="shared" si="1230"/>
        <v>2</v>
      </c>
      <c r="AK848" s="47">
        <v>1</v>
      </c>
      <c r="AL848" s="57" t="str">
        <f t="shared" si="1231"/>
        <v>ギャルキティキーケース</v>
      </c>
      <c r="AM848" s="62">
        <f t="shared" si="1232"/>
        <v>726</v>
      </c>
      <c r="AN848" s="27">
        <f t="shared" si="1233"/>
        <v>1452</v>
      </c>
      <c r="AO848" s="28">
        <f t="shared" si="1234"/>
        <v>0.121</v>
      </c>
      <c r="AP848" s="15"/>
      <c r="AQ848" s="15"/>
      <c r="AR848" s="26"/>
      <c r="AS848" s="27">
        <v>5880</v>
      </c>
      <c r="AT848" s="27">
        <f t="shared" si="1235"/>
        <v>201</v>
      </c>
      <c r="AU848" s="27">
        <v>255</v>
      </c>
      <c r="AV848" s="27">
        <f t="shared" si="1236"/>
        <v>8</v>
      </c>
      <c r="AW848" s="27">
        <v>66</v>
      </c>
      <c r="AX848" s="27">
        <f t="shared" si="1237"/>
        <v>5</v>
      </c>
      <c r="AY848" s="47">
        <v>0</v>
      </c>
      <c r="AZ848" s="57" t="str">
        <f t="shared" si="1238"/>
        <v>キティサンダルキーホルダー</v>
      </c>
      <c r="BA848" s="62">
        <f t="shared" si="1239"/>
        <v>600</v>
      </c>
      <c r="BB848" s="27">
        <f t="shared" si="1240"/>
        <v>3000</v>
      </c>
      <c r="BC848" s="28">
        <f t="shared" si="1241"/>
        <v>0.14925373134328357</v>
      </c>
      <c r="BD848" s="15"/>
      <c r="BT848" s="15"/>
      <c r="BU848" s="16"/>
      <c r="BV848" s="54"/>
      <c r="BW848" s="13" t="str">
        <f t="shared" si="1253"/>
        <v/>
      </c>
      <c r="BX848" s="13"/>
      <c r="BY848" s="13"/>
      <c r="BZ848" s="13"/>
      <c r="CA848" s="13" t="str">
        <f t="shared" si="1254"/>
        <v/>
      </c>
      <c r="CB848" s="13"/>
      <c r="CC848" s="13"/>
      <c r="CD848" s="13"/>
      <c r="CE848" s="13" t="str">
        <f t="shared" si="1245"/>
        <v/>
      </c>
      <c r="CF848" s="14" t="str">
        <f t="shared" si="1246"/>
        <v/>
      </c>
      <c r="CG848" s="15"/>
      <c r="CH848" s="1"/>
      <c r="CI848" s="16"/>
      <c r="CJ848" s="54"/>
      <c r="CK848" s="13" t="str">
        <f t="shared" si="1255"/>
        <v/>
      </c>
      <c r="CL848" s="13"/>
      <c r="CM848" s="13"/>
      <c r="CN848" s="13"/>
      <c r="CO848" s="13" t="str">
        <f t="shared" si="1256"/>
        <v/>
      </c>
      <c r="CP848" s="13"/>
      <c r="CQ848" s="13"/>
      <c r="CR848" s="13"/>
      <c r="CS848" s="13" t="str">
        <f t="shared" si="1247"/>
        <v/>
      </c>
      <c r="CT848" s="14" t="str">
        <f t="shared" si="1252"/>
        <v/>
      </c>
      <c r="CU848" s="15"/>
      <c r="CV848" s="1"/>
      <c r="CW848" s="16"/>
      <c r="CX848" s="54"/>
      <c r="CY848" s="13" t="str">
        <f t="shared" si="1257"/>
        <v/>
      </c>
      <c r="CZ848" s="13"/>
      <c r="DA848" s="13"/>
      <c r="DB848" s="13"/>
      <c r="DC848" s="13" t="str">
        <f t="shared" si="1258"/>
        <v/>
      </c>
      <c r="DD848" s="13"/>
      <c r="DE848" s="13"/>
      <c r="DF848" s="13"/>
      <c r="DG848" s="13" t="str">
        <f t="shared" si="1248"/>
        <v/>
      </c>
      <c r="DH848" s="14" t="str">
        <f t="shared" si="1249"/>
        <v/>
      </c>
      <c r="DI848" s="15"/>
      <c r="DJ848" s="1"/>
      <c r="DK848" s="16"/>
      <c r="DL848" s="54"/>
      <c r="DM848" s="13" t="str">
        <f t="shared" si="1259"/>
        <v/>
      </c>
      <c r="DN848" s="13"/>
      <c r="DO848" s="13"/>
      <c r="DP848" s="13"/>
      <c r="DQ848" s="13" t="str">
        <f t="shared" si="1260"/>
        <v/>
      </c>
      <c r="DR848" s="13"/>
      <c r="DS848" s="13"/>
      <c r="DT848" s="13"/>
      <c r="DU848" s="13" t="str">
        <f t="shared" si="1250"/>
        <v/>
      </c>
      <c r="DV848" s="14" t="str">
        <f t="shared" si="1251"/>
        <v/>
      </c>
      <c r="DW848" s="15"/>
    </row>
    <row r="849" spans="1:127" ht="15" customHeight="1" thickTop="1" x14ac:dyDescent="0.2">
      <c r="A849" s="79">
        <v>45849</v>
      </c>
      <c r="B849" s="74">
        <f>IF(A849="","",SUM(D849:D852)+SUM(R849:R852)+SUM(AF849:AF852)+SUM(AT849:AT852)+SUM(BW825,CK825,CY825,DM825))</f>
        <v>1771</v>
      </c>
      <c r="C849" s="13">
        <v>21728</v>
      </c>
      <c r="D849" s="53">
        <f t="shared" si="1214"/>
        <v>141</v>
      </c>
      <c r="E849" s="13">
        <v>1144</v>
      </c>
      <c r="F849" s="31">
        <f t="shared" si="1215"/>
        <v>2</v>
      </c>
      <c r="G849" s="13">
        <v>11</v>
      </c>
      <c r="H849" s="53">
        <f t="shared" si="1216"/>
        <v>4</v>
      </c>
      <c r="I849" s="80">
        <v>3</v>
      </c>
      <c r="J849" s="75" t="str">
        <f t="shared" si="1217"/>
        <v>ジャグラーサウンドボタン</v>
      </c>
      <c r="K849" s="76">
        <f t="shared" si="1218"/>
        <v>748</v>
      </c>
      <c r="L849" s="31">
        <f t="shared" si="1219"/>
        <v>2992</v>
      </c>
      <c r="M849" s="32">
        <f t="shared" si="1220"/>
        <v>0.21219858156028368</v>
      </c>
      <c r="N849" s="15"/>
      <c r="O849" s="2"/>
      <c r="P849" s="79">
        <f>IF($A849="","",$A849)</f>
        <v>45849</v>
      </c>
      <c r="Q849" s="13">
        <v>21703</v>
      </c>
      <c r="R849" s="53">
        <f t="shared" si="1221"/>
        <v>101</v>
      </c>
      <c r="S849" s="13">
        <v>1194</v>
      </c>
      <c r="T849" s="31">
        <f t="shared" si="1222"/>
        <v>4</v>
      </c>
      <c r="U849" s="13">
        <v>17</v>
      </c>
      <c r="V849" s="53">
        <f t="shared" si="1223"/>
        <v>4</v>
      </c>
      <c r="W849" s="80">
        <v>0</v>
      </c>
      <c r="X849" s="75" t="str">
        <f t="shared" si="1224"/>
        <v>ジャグラーパネルKH</v>
      </c>
      <c r="Y849" s="76">
        <f t="shared" si="1225"/>
        <v>500</v>
      </c>
      <c r="Z849" s="31">
        <f t="shared" si="1226"/>
        <v>2000</v>
      </c>
      <c r="AA849" s="32">
        <f t="shared" si="1227"/>
        <v>0.19801980198019803</v>
      </c>
      <c r="AB849" s="15"/>
      <c r="AC849" s="15"/>
      <c r="AD849" s="79">
        <f>IF($A849="","",$A849)</f>
        <v>45849</v>
      </c>
      <c r="AE849" s="13">
        <v>5837</v>
      </c>
      <c r="AF849" s="53">
        <f t="shared" si="1228"/>
        <v>68</v>
      </c>
      <c r="AG849" s="13">
        <v>121</v>
      </c>
      <c r="AH849" s="31">
        <f t="shared" si="1229"/>
        <v>2</v>
      </c>
      <c r="AI849" s="13">
        <v>37</v>
      </c>
      <c r="AJ849" s="53">
        <f t="shared" si="1230"/>
        <v>1</v>
      </c>
      <c r="AK849" s="80">
        <v>4</v>
      </c>
      <c r="AL849" s="75" t="str">
        <f t="shared" si="1231"/>
        <v>ミニ香水</v>
      </c>
      <c r="AM849" s="76">
        <f t="shared" si="1232"/>
        <v>1100</v>
      </c>
      <c r="AN849" s="31">
        <f t="shared" si="1233"/>
        <v>1100</v>
      </c>
      <c r="AO849" s="32">
        <f t="shared" si="1234"/>
        <v>0.16176470588235295</v>
      </c>
      <c r="AP849" s="15"/>
      <c r="AQ849" s="15"/>
      <c r="AR849" s="79">
        <f>IF($A849="","",$A849)</f>
        <v>45849</v>
      </c>
      <c r="AS849" s="13">
        <v>5763</v>
      </c>
      <c r="AT849" s="53">
        <f t="shared" si="1235"/>
        <v>91</v>
      </c>
      <c r="AU849" s="13">
        <v>201</v>
      </c>
      <c r="AV849" s="31">
        <f t="shared" si="1236"/>
        <v>6</v>
      </c>
      <c r="AW849" s="13">
        <v>0</v>
      </c>
      <c r="AX849" s="53">
        <f t="shared" si="1237"/>
        <v>6</v>
      </c>
      <c r="AY849" s="80">
        <v>10</v>
      </c>
      <c r="AZ849" s="75" t="s">
        <v>192</v>
      </c>
      <c r="BA849" s="76">
        <v>1050</v>
      </c>
      <c r="BB849" s="31">
        <f t="shared" si="1240"/>
        <v>6300</v>
      </c>
      <c r="BC849" s="32">
        <f t="shared" si="1241"/>
        <v>0.69230769230769229</v>
      </c>
      <c r="BD849" s="15" t="s">
        <v>193</v>
      </c>
      <c r="BT849" s="15"/>
      <c r="BU849" s="16"/>
      <c r="BV849" s="54"/>
      <c r="BW849" s="13" t="str">
        <f t="shared" si="1253"/>
        <v/>
      </c>
      <c r="BX849" s="13"/>
      <c r="BY849" s="13"/>
      <c r="BZ849" s="13"/>
      <c r="CA849" s="13" t="str">
        <f t="shared" si="1254"/>
        <v/>
      </c>
      <c r="CB849" s="13"/>
      <c r="CC849" s="13"/>
      <c r="CD849" s="13"/>
      <c r="CE849" s="13" t="str">
        <f t="shared" si="1245"/>
        <v/>
      </c>
      <c r="CF849" s="14" t="str">
        <f t="shared" si="1246"/>
        <v/>
      </c>
      <c r="CG849" s="15"/>
      <c r="CH849" s="1"/>
      <c r="CI849" s="16"/>
      <c r="CJ849" s="54"/>
      <c r="CK849" s="13" t="str">
        <f t="shared" si="1255"/>
        <v/>
      </c>
      <c r="CL849" s="13"/>
      <c r="CM849" s="13"/>
      <c r="CN849" s="13"/>
      <c r="CO849" s="13" t="str">
        <f t="shared" si="1256"/>
        <v/>
      </c>
      <c r="CP849" s="13"/>
      <c r="CQ849" s="13"/>
      <c r="CR849" s="13"/>
      <c r="CS849" s="13" t="str">
        <f t="shared" si="1247"/>
        <v/>
      </c>
      <c r="CT849" s="14" t="str">
        <f t="shared" si="1252"/>
        <v/>
      </c>
      <c r="CU849" s="15"/>
      <c r="CV849" s="1"/>
      <c r="CW849" s="16"/>
      <c r="CX849" s="54"/>
      <c r="CY849" s="13" t="str">
        <f t="shared" si="1257"/>
        <v/>
      </c>
      <c r="CZ849" s="13"/>
      <c r="DA849" s="13"/>
      <c r="DB849" s="13"/>
      <c r="DC849" s="13" t="str">
        <f t="shared" si="1258"/>
        <v/>
      </c>
      <c r="DD849" s="13"/>
      <c r="DE849" s="13"/>
      <c r="DF849" s="13"/>
      <c r="DG849" s="13" t="str">
        <f t="shared" si="1248"/>
        <v/>
      </c>
      <c r="DH849" s="14" t="str">
        <f t="shared" si="1249"/>
        <v/>
      </c>
      <c r="DI849" s="15"/>
      <c r="DJ849" s="1"/>
      <c r="DK849" s="16"/>
      <c r="DL849" s="54"/>
      <c r="DM849" s="13" t="str">
        <f t="shared" si="1259"/>
        <v/>
      </c>
      <c r="DN849" s="13"/>
      <c r="DO849" s="13"/>
      <c r="DP849" s="13"/>
      <c r="DQ849" s="13" t="str">
        <f t="shared" si="1260"/>
        <v/>
      </c>
      <c r="DR849" s="13"/>
      <c r="DS849" s="13"/>
      <c r="DT849" s="13"/>
      <c r="DU849" s="13" t="str">
        <f t="shared" si="1250"/>
        <v/>
      </c>
      <c r="DV849" s="14" t="str">
        <f t="shared" si="1251"/>
        <v/>
      </c>
      <c r="DW849" s="15"/>
    </row>
    <row r="850" spans="1:127" ht="15" customHeight="1" x14ac:dyDescent="0.2">
      <c r="A850" s="126" t="s">
        <v>189</v>
      </c>
      <c r="B850" s="11"/>
      <c r="C850" s="53">
        <v>25673</v>
      </c>
      <c r="D850" s="13">
        <f t="shared" si="1214"/>
        <v>48</v>
      </c>
      <c r="E850" s="53">
        <v>1310</v>
      </c>
      <c r="F850" s="13">
        <f t="shared" si="1215"/>
        <v>1</v>
      </c>
      <c r="G850" s="13">
        <v>18</v>
      </c>
      <c r="H850" s="13">
        <f t="shared" si="1216"/>
        <v>0</v>
      </c>
      <c r="I850" s="17">
        <v>0</v>
      </c>
      <c r="J850" s="56" t="str">
        <f t="shared" si="1217"/>
        <v>ジャグラーイヤホン</v>
      </c>
      <c r="K850" s="54">
        <f t="shared" si="1218"/>
        <v>1100</v>
      </c>
      <c r="L850" s="13">
        <f t="shared" si="1219"/>
        <v>0</v>
      </c>
      <c r="M850" s="14">
        <f t="shared" si="1220"/>
        <v>0</v>
      </c>
      <c r="N850" s="15" t="s">
        <v>190</v>
      </c>
      <c r="O850" s="2"/>
      <c r="P850" s="16"/>
      <c r="Q850" s="53">
        <v>27566</v>
      </c>
      <c r="R850" s="13">
        <f t="shared" si="1221"/>
        <v>102</v>
      </c>
      <c r="S850" s="53">
        <v>1502</v>
      </c>
      <c r="T850" s="13">
        <f t="shared" si="1222"/>
        <v>2</v>
      </c>
      <c r="U850" s="13">
        <v>9</v>
      </c>
      <c r="V850" s="13">
        <f t="shared" si="1223"/>
        <v>2</v>
      </c>
      <c r="W850" s="17">
        <v>1</v>
      </c>
      <c r="X850" s="56" t="str">
        <f t="shared" si="1224"/>
        <v>サンリオFAN</v>
      </c>
      <c r="Y850" s="54">
        <f t="shared" si="1225"/>
        <v>1100</v>
      </c>
      <c r="Z850" s="13">
        <f t="shared" si="1226"/>
        <v>2200</v>
      </c>
      <c r="AA850" s="14">
        <f t="shared" si="1227"/>
        <v>0.21568627450980393</v>
      </c>
      <c r="AB850" s="15"/>
      <c r="AC850" s="15"/>
      <c r="AD850" s="16"/>
      <c r="AE850" s="53">
        <v>4781</v>
      </c>
      <c r="AF850" s="13">
        <f t="shared" si="1228"/>
        <v>40</v>
      </c>
      <c r="AG850" s="53">
        <v>112</v>
      </c>
      <c r="AH850" s="13">
        <f t="shared" si="1229"/>
        <v>0</v>
      </c>
      <c r="AI850" s="13">
        <v>14</v>
      </c>
      <c r="AJ850" s="13">
        <f t="shared" si="1230"/>
        <v>0</v>
      </c>
      <c r="AK850" s="17">
        <v>5</v>
      </c>
      <c r="AL850" s="56" t="str">
        <f t="shared" si="1231"/>
        <v>デジタルミニカメラ</v>
      </c>
      <c r="AM850" s="54">
        <f t="shared" si="1232"/>
        <v>800</v>
      </c>
      <c r="AN850" s="13">
        <f t="shared" si="1233"/>
        <v>0</v>
      </c>
      <c r="AO850" s="14">
        <f t="shared" si="1234"/>
        <v>0</v>
      </c>
      <c r="AP850" s="15"/>
      <c r="AQ850" s="15"/>
      <c r="AR850" s="16"/>
      <c r="AS850" s="53">
        <v>4031</v>
      </c>
      <c r="AT850" s="13">
        <f t="shared" si="1235"/>
        <v>17</v>
      </c>
      <c r="AU850" s="53">
        <v>213</v>
      </c>
      <c r="AV850" s="13">
        <f t="shared" si="1236"/>
        <v>4</v>
      </c>
      <c r="AW850" s="13">
        <v>12</v>
      </c>
      <c r="AX850" s="13">
        <f t="shared" si="1237"/>
        <v>3</v>
      </c>
      <c r="AY850" s="17">
        <v>16</v>
      </c>
      <c r="AZ850" s="56" t="str">
        <f t="shared" si="1238"/>
        <v>ねこアイシャドウ</v>
      </c>
      <c r="BA850" s="54">
        <f t="shared" si="1239"/>
        <v>1000</v>
      </c>
      <c r="BB850" s="13">
        <f t="shared" si="1240"/>
        <v>3000</v>
      </c>
      <c r="BC850" s="14">
        <f t="shared" si="1241"/>
        <v>1.7647058823529411</v>
      </c>
      <c r="BD850" s="15"/>
      <c r="BT850" s="15"/>
      <c r="BU850" s="16"/>
      <c r="BV850" s="54"/>
      <c r="BW850" s="13" t="str">
        <f t="shared" si="1253"/>
        <v/>
      </c>
      <c r="BX850" s="13"/>
      <c r="BY850" s="13"/>
      <c r="BZ850" s="13"/>
      <c r="CA850" s="13" t="str">
        <f t="shared" si="1254"/>
        <v/>
      </c>
      <c r="CB850" s="13"/>
      <c r="CC850" s="13"/>
      <c r="CD850" s="13"/>
      <c r="CE850" s="13" t="str">
        <f t="shared" si="1245"/>
        <v/>
      </c>
      <c r="CF850" s="14" t="str">
        <f t="shared" si="1246"/>
        <v/>
      </c>
      <c r="CG850" s="15"/>
      <c r="CH850" s="1"/>
      <c r="CI850" s="16"/>
      <c r="CJ850" s="54"/>
      <c r="CK850" s="13" t="str">
        <f t="shared" si="1255"/>
        <v/>
      </c>
      <c r="CL850" s="13"/>
      <c r="CM850" s="13"/>
      <c r="CN850" s="13"/>
      <c r="CO850" s="13" t="str">
        <f t="shared" si="1256"/>
        <v/>
      </c>
      <c r="CP850" s="13"/>
      <c r="CQ850" s="13"/>
      <c r="CR850" s="13"/>
      <c r="CS850" s="13" t="str">
        <f t="shared" si="1247"/>
        <v/>
      </c>
      <c r="CT850" s="14" t="str">
        <f t="shared" si="1252"/>
        <v/>
      </c>
      <c r="CU850" s="15"/>
      <c r="CV850" s="1"/>
      <c r="CW850" s="16"/>
      <c r="CX850" s="54"/>
      <c r="CY850" s="13" t="str">
        <f t="shared" si="1257"/>
        <v/>
      </c>
      <c r="CZ850" s="13"/>
      <c r="DA850" s="13"/>
      <c r="DB850" s="13"/>
      <c r="DC850" s="13" t="str">
        <f t="shared" si="1258"/>
        <v/>
      </c>
      <c r="DD850" s="13"/>
      <c r="DE850" s="13"/>
      <c r="DF850" s="13"/>
      <c r="DG850" s="13" t="str">
        <f t="shared" si="1248"/>
        <v/>
      </c>
      <c r="DH850" s="14" t="str">
        <f t="shared" si="1249"/>
        <v/>
      </c>
      <c r="DI850" s="15"/>
      <c r="DJ850" s="1"/>
      <c r="DK850" s="16"/>
      <c r="DL850" s="54"/>
      <c r="DM850" s="13" t="str">
        <f t="shared" si="1259"/>
        <v/>
      </c>
      <c r="DN850" s="13"/>
      <c r="DO850" s="13"/>
      <c r="DP850" s="13"/>
      <c r="DQ850" s="13" t="str">
        <f t="shared" si="1260"/>
        <v/>
      </c>
      <c r="DR850" s="13"/>
      <c r="DS850" s="13"/>
      <c r="DT850" s="13"/>
      <c r="DU850" s="13" t="str">
        <f t="shared" si="1250"/>
        <v/>
      </c>
      <c r="DV850" s="14" t="str">
        <f t="shared" si="1251"/>
        <v/>
      </c>
      <c r="DW850" s="15"/>
    </row>
    <row r="851" spans="1:127" ht="15" customHeight="1" x14ac:dyDescent="0.2">
      <c r="A851" s="16"/>
      <c r="B851" s="11"/>
      <c r="C851" s="13">
        <v>22490</v>
      </c>
      <c r="D851" s="13">
        <f t="shared" si="1214"/>
        <v>202</v>
      </c>
      <c r="E851" s="13">
        <v>1112</v>
      </c>
      <c r="F851" s="13">
        <f t="shared" si="1215"/>
        <v>5</v>
      </c>
      <c r="G851" s="13">
        <v>45</v>
      </c>
      <c r="H851" s="13">
        <f t="shared" si="1216"/>
        <v>5</v>
      </c>
      <c r="I851" s="17">
        <v>0</v>
      </c>
      <c r="J851" s="56" t="str">
        <f t="shared" si="1217"/>
        <v>AIモンスタラバー</v>
      </c>
      <c r="K851" s="13">
        <f t="shared" si="1218"/>
        <v>200</v>
      </c>
      <c r="L851" s="13">
        <f t="shared" si="1219"/>
        <v>1000</v>
      </c>
      <c r="M851" s="14">
        <f t="shared" si="1220"/>
        <v>4.9504950495049507E-2</v>
      </c>
      <c r="N851" s="15"/>
      <c r="O851" s="2"/>
      <c r="P851" s="16"/>
      <c r="Q851" s="13">
        <v>20473</v>
      </c>
      <c r="R851" s="13">
        <f t="shared" si="1221"/>
        <v>127</v>
      </c>
      <c r="S851" s="13">
        <v>2735</v>
      </c>
      <c r="T851" s="13">
        <f t="shared" si="1222"/>
        <v>2</v>
      </c>
      <c r="U851" s="13">
        <v>7</v>
      </c>
      <c r="V851" s="13">
        <f t="shared" si="1223"/>
        <v>2</v>
      </c>
      <c r="W851" s="17">
        <v>2</v>
      </c>
      <c r="X851" s="56" t="str">
        <f t="shared" si="1224"/>
        <v>キティフェイスポーチ</v>
      </c>
      <c r="Y851" s="13">
        <f t="shared" si="1225"/>
        <v>957</v>
      </c>
      <c r="Z851" s="13">
        <f t="shared" si="1226"/>
        <v>1914</v>
      </c>
      <c r="AA851" s="14">
        <f t="shared" si="1227"/>
        <v>0.15070866141732284</v>
      </c>
      <c r="AB851" s="15"/>
      <c r="AC851" s="15"/>
      <c r="AD851" s="16"/>
      <c r="AE851" s="13">
        <v>5144</v>
      </c>
      <c r="AF851" s="13">
        <f t="shared" si="1228"/>
        <v>74</v>
      </c>
      <c r="AG851" s="13">
        <v>207</v>
      </c>
      <c r="AH851" s="13">
        <f t="shared" si="1229"/>
        <v>5</v>
      </c>
      <c r="AI851" s="13">
        <v>136</v>
      </c>
      <c r="AJ851" s="13">
        <f t="shared" si="1230"/>
        <v>6</v>
      </c>
      <c r="AK851" s="17">
        <v>26</v>
      </c>
      <c r="AL851" s="56" t="str">
        <f t="shared" si="1231"/>
        <v>モンチッチボールペン</v>
      </c>
      <c r="AM851" s="13">
        <f t="shared" si="1232"/>
        <v>160</v>
      </c>
      <c r="AN851" s="13">
        <f t="shared" si="1233"/>
        <v>960</v>
      </c>
      <c r="AO851" s="14">
        <f t="shared" si="1234"/>
        <v>0.12972972972972974</v>
      </c>
      <c r="AP851" s="15"/>
      <c r="AQ851" s="15"/>
      <c r="AR851" s="16"/>
      <c r="AS851" s="13">
        <v>6849</v>
      </c>
      <c r="AT851" s="13">
        <f t="shared" si="1235"/>
        <v>105</v>
      </c>
      <c r="AU851" s="13">
        <v>290</v>
      </c>
      <c r="AV851" s="13">
        <f t="shared" si="1236"/>
        <v>8</v>
      </c>
      <c r="AW851" s="13">
        <v>114</v>
      </c>
      <c r="AX851" s="13">
        <f t="shared" si="1237"/>
        <v>13</v>
      </c>
      <c r="AY851" s="17">
        <v>0</v>
      </c>
      <c r="AZ851" s="56" t="str">
        <f t="shared" si="1238"/>
        <v>スプランキーラバーキーホルダー</v>
      </c>
      <c r="BA851" s="13">
        <f t="shared" si="1239"/>
        <v>200</v>
      </c>
      <c r="BB851" s="13">
        <f t="shared" si="1240"/>
        <v>2600</v>
      </c>
      <c r="BC851" s="14">
        <f t="shared" si="1241"/>
        <v>0.24761904761904763</v>
      </c>
      <c r="BD851" s="15"/>
      <c r="BT851" s="15"/>
      <c r="BU851" s="16"/>
      <c r="BV851" s="54"/>
      <c r="BW851" s="13" t="str">
        <f t="shared" si="1253"/>
        <v/>
      </c>
      <c r="BX851" s="13"/>
      <c r="BY851" s="13"/>
      <c r="BZ851" s="13"/>
      <c r="CA851" s="13" t="str">
        <f t="shared" si="1254"/>
        <v/>
      </c>
      <c r="CB851" s="13"/>
      <c r="CC851" s="13"/>
      <c r="CD851" s="13"/>
      <c r="CE851" s="13" t="str">
        <f t="shared" si="1245"/>
        <v/>
      </c>
      <c r="CF851" s="14" t="str">
        <f t="shared" si="1246"/>
        <v/>
      </c>
      <c r="CG851" s="15"/>
      <c r="CH851" s="1"/>
      <c r="CI851" s="16"/>
      <c r="CJ851" s="54"/>
      <c r="CK851" s="13" t="str">
        <f t="shared" si="1255"/>
        <v/>
      </c>
      <c r="CL851" s="13"/>
      <c r="CM851" s="13"/>
      <c r="CN851" s="13"/>
      <c r="CO851" s="13" t="str">
        <f t="shared" si="1256"/>
        <v/>
      </c>
      <c r="CP851" s="13"/>
      <c r="CQ851" s="13"/>
      <c r="CR851" s="13"/>
      <c r="CS851" s="13" t="str">
        <f t="shared" si="1247"/>
        <v/>
      </c>
      <c r="CT851" s="14" t="str">
        <f t="shared" si="1252"/>
        <v/>
      </c>
      <c r="CU851" s="15"/>
      <c r="CV851" s="1"/>
      <c r="CW851" s="16"/>
      <c r="CX851" s="54"/>
      <c r="CY851" s="13" t="str">
        <f t="shared" si="1257"/>
        <v/>
      </c>
      <c r="CZ851" s="13"/>
      <c r="DA851" s="13"/>
      <c r="DB851" s="13"/>
      <c r="DC851" s="13" t="str">
        <f t="shared" si="1258"/>
        <v/>
      </c>
      <c r="DD851" s="13"/>
      <c r="DE851" s="13"/>
      <c r="DF851" s="13"/>
      <c r="DG851" s="13" t="str">
        <f t="shared" si="1248"/>
        <v/>
      </c>
      <c r="DH851" s="14" t="str">
        <f t="shared" si="1249"/>
        <v/>
      </c>
      <c r="DI851" s="15"/>
      <c r="DJ851" s="1"/>
      <c r="DK851" s="16"/>
      <c r="DL851" s="54"/>
      <c r="DM851" s="13" t="str">
        <f t="shared" si="1259"/>
        <v/>
      </c>
      <c r="DN851" s="13"/>
      <c r="DO851" s="13"/>
      <c r="DP851" s="13"/>
      <c r="DQ851" s="13" t="str">
        <f t="shared" si="1260"/>
        <v/>
      </c>
      <c r="DR851" s="13"/>
      <c r="DS851" s="13"/>
      <c r="DT851" s="13"/>
      <c r="DU851" s="13" t="str">
        <f t="shared" si="1250"/>
        <v/>
      </c>
      <c r="DV851" s="14" t="str">
        <f t="shared" si="1251"/>
        <v/>
      </c>
      <c r="DW851" s="15"/>
    </row>
    <row r="852" spans="1:127" ht="15" customHeight="1" thickBot="1" x14ac:dyDescent="0.25">
      <c r="A852" s="26"/>
      <c r="B852" s="46"/>
      <c r="C852" s="27">
        <v>28229</v>
      </c>
      <c r="D852" s="27">
        <f t="shared" si="1214"/>
        <v>45</v>
      </c>
      <c r="E852" s="27">
        <v>1356</v>
      </c>
      <c r="F852" s="27">
        <f t="shared" si="1215"/>
        <v>2</v>
      </c>
      <c r="G852" s="27">
        <v>52</v>
      </c>
      <c r="H852" s="27">
        <f t="shared" si="1216"/>
        <v>0</v>
      </c>
      <c r="I852" s="47">
        <v>0</v>
      </c>
      <c r="J852" s="57" t="str">
        <f t="shared" si="1217"/>
        <v>NICIマスコット</v>
      </c>
      <c r="K852" s="62">
        <f t="shared" si="1218"/>
        <v>682</v>
      </c>
      <c r="L852" s="27">
        <f t="shared" si="1219"/>
        <v>0</v>
      </c>
      <c r="M852" s="28">
        <f t="shared" si="1220"/>
        <v>0</v>
      </c>
      <c r="N852" s="15"/>
      <c r="O852" s="2"/>
      <c r="P852" s="26"/>
      <c r="Q852" s="27">
        <v>19722</v>
      </c>
      <c r="R852" s="27">
        <f t="shared" si="1221"/>
        <v>85</v>
      </c>
      <c r="S852" s="27">
        <v>1691</v>
      </c>
      <c r="T852" s="27">
        <f t="shared" si="1222"/>
        <v>2</v>
      </c>
      <c r="U852" s="27">
        <v>10</v>
      </c>
      <c r="V852" s="27">
        <f t="shared" si="1223"/>
        <v>3</v>
      </c>
      <c r="W852" s="47">
        <v>9</v>
      </c>
      <c r="X852" s="57" t="str">
        <f t="shared" si="1224"/>
        <v>ピクミンマスコット</v>
      </c>
      <c r="Y852" s="62">
        <f t="shared" si="1225"/>
        <v>600</v>
      </c>
      <c r="Z852" s="27">
        <f t="shared" si="1226"/>
        <v>1800</v>
      </c>
      <c r="AA852" s="28">
        <f t="shared" si="1227"/>
        <v>0.21176470588235294</v>
      </c>
      <c r="AB852" s="15" t="s">
        <v>202</v>
      </c>
      <c r="AC852" s="15"/>
      <c r="AD852" s="26"/>
      <c r="AE852" s="27">
        <v>5273</v>
      </c>
      <c r="AF852" s="27">
        <f t="shared" si="1228"/>
        <v>91</v>
      </c>
      <c r="AG852" s="27">
        <v>173</v>
      </c>
      <c r="AH852" s="27">
        <f t="shared" si="1229"/>
        <v>1</v>
      </c>
      <c r="AI852" s="27">
        <v>15</v>
      </c>
      <c r="AJ852" s="27">
        <f t="shared" si="1230"/>
        <v>1</v>
      </c>
      <c r="AK852" s="47">
        <v>2</v>
      </c>
      <c r="AL852" s="57" t="str">
        <f t="shared" si="1231"/>
        <v>ギャルキティキーケース</v>
      </c>
      <c r="AM852" s="62">
        <f t="shared" si="1232"/>
        <v>726</v>
      </c>
      <c r="AN852" s="27">
        <f t="shared" si="1233"/>
        <v>726</v>
      </c>
      <c r="AO852" s="28">
        <f t="shared" si="1234"/>
        <v>7.9780219780219777E-2</v>
      </c>
      <c r="AP852" s="15"/>
      <c r="AQ852" s="39"/>
      <c r="AR852" s="26"/>
      <c r="AS852" s="27">
        <v>5970</v>
      </c>
      <c r="AT852" s="27">
        <f t="shared" si="1235"/>
        <v>90</v>
      </c>
      <c r="AU852" s="27">
        <v>259</v>
      </c>
      <c r="AV852" s="27">
        <f t="shared" si="1236"/>
        <v>4</v>
      </c>
      <c r="AW852" s="27">
        <v>57</v>
      </c>
      <c r="AX852" s="27">
        <f t="shared" si="1237"/>
        <v>9</v>
      </c>
      <c r="AY852" s="47">
        <v>0</v>
      </c>
      <c r="AZ852" s="57" t="str">
        <f t="shared" si="1238"/>
        <v>キティサンダルキーホルダー</v>
      </c>
      <c r="BA852" s="62">
        <f t="shared" si="1239"/>
        <v>600</v>
      </c>
      <c r="BB852" s="27">
        <f t="shared" si="1240"/>
        <v>5400</v>
      </c>
      <c r="BC852" s="28">
        <f t="shared" si="1241"/>
        <v>0.6</v>
      </c>
      <c r="BD852" s="15"/>
      <c r="BT852" s="39"/>
      <c r="BU852" s="16"/>
      <c r="BV852" s="54"/>
      <c r="BW852" s="13" t="str">
        <f t="shared" si="1253"/>
        <v/>
      </c>
      <c r="BX852" s="13"/>
      <c r="BY852" s="13"/>
      <c r="BZ852" s="13"/>
      <c r="CA852" s="13" t="str">
        <f t="shared" si="1254"/>
        <v/>
      </c>
      <c r="CB852" s="13"/>
      <c r="CC852" s="13"/>
      <c r="CD852" s="13"/>
      <c r="CE852" s="13" t="str">
        <f t="shared" si="1245"/>
        <v/>
      </c>
      <c r="CF852" s="14" t="str">
        <f t="shared" si="1246"/>
        <v/>
      </c>
      <c r="CG852" s="15"/>
      <c r="CH852" s="1"/>
      <c r="CI852" s="16"/>
      <c r="CJ852" s="54"/>
      <c r="CK852" s="13" t="str">
        <f t="shared" si="1255"/>
        <v/>
      </c>
      <c r="CL852" s="13"/>
      <c r="CM852" s="13"/>
      <c r="CN852" s="13"/>
      <c r="CO852" s="13" t="str">
        <f t="shared" si="1256"/>
        <v/>
      </c>
      <c r="CP852" s="13"/>
      <c r="CQ852" s="13"/>
      <c r="CR852" s="13"/>
      <c r="CS852" s="13" t="str">
        <f t="shared" si="1247"/>
        <v/>
      </c>
      <c r="CT852" s="14" t="str">
        <f t="shared" si="1252"/>
        <v/>
      </c>
      <c r="CU852" s="15"/>
      <c r="CV852" s="1"/>
      <c r="CW852" s="16"/>
      <c r="CX852" s="54"/>
      <c r="CY852" s="13" t="str">
        <f t="shared" si="1257"/>
        <v/>
      </c>
      <c r="CZ852" s="13"/>
      <c r="DA852" s="13"/>
      <c r="DB852" s="13"/>
      <c r="DC852" s="13" t="str">
        <f t="shared" si="1258"/>
        <v/>
      </c>
      <c r="DD852" s="13"/>
      <c r="DE852" s="13"/>
      <c r="DF852" s="13"/>
      <c r="DG852" s="13" t="str">
        <f t="shared" si="1248"/>
        <v/>
      </c>
      <c r="DH852" s="14" t="str">
        <f t="shared" si="1249"/>
        <v/>
      </c>
      <c r="DI852" s="15"/>
      <c r="DJ852" s="1"/>
      <c r="DK852" s="16"/>
      <c r="DL852" s="54"/>
      <c r="DM852" s="13" t="str">
        <f t="shared" si="1259"/>
        <v/>
      </c>
      <c r="DN852" s="13"/>
      <c r="DO852" s="13"/>
      <c r="DP852" s="13"/>
      <c r="DQ852" s="13" t="str">
        <f t="shared" si="1260"/>
        <v/>
      </c>
      <c r="DR852" s="13"/>
      <c r="DS852" s="13"/>
      <c r="DT852" s="13"/>
      <c r="DU852" s="13" t="str">
        <f t="shared" si="1250"/>
        <v/>
      </c>
      <c r="DV852" s="14" t="str">
        <f t="shared" si="1251"/>
        <v/>
      </c>
      <c r="DW852" s="15"/>
    </row>
    <row r="853" spans="1:127" ht="15" customHeight="1" thickTop="1" x14ac:dyDescent="0.2">
      <c r="A853" s="16"/>
      <c r="B853" s="74"/>
      <c r="C853" s="53"/>
      <c r="D853" s="53"/>
      <c r="E853" s="53"/>
      <c r="F853" s="31"/>
      <c r="G853" s="53"/>
      <c r="H853" s="53"/>
      <c r="I853" s="80"/>
      <c r="J853" s="75"/>
      <c r="K853" s="76"/>
      <c r="L853" s="31"/>
      <c r="M853" s="32"/>
      <c r="N853" s="15"/>
      <c r="O853" s="2"/>
      <c r="P853" s="79"/>
      <c r="Q853" s="53"/>
      <c r="R853" s="53"/>
      <c r="S853" s="53"/>
      <c r="T853" s="31"/>
      <c r="U853" s="53"/>
      <c r="V853" s="53"/>
      <c r="W853" s="80"/>
      <c r="X853" s="75"/>
      <c r="Y853" s="76"/>
      <c r="Z853" s="31"/>
      <c r="AA853" s="32"/>
      <c r="AB853" s="15"/>
      <c r="AC853" s="15"/>
      <c r="AD853" s="79"/>
      <c r="AE853" s="53"/>
      <c r="AF853" s="53"/>
      <c r="AG853" s="53"/>
      <c r="AH853" s="31"/>
      <c r="AI853" s="53"/>
      <c r="AJ853" s="53"/>
      <c r="AK853" s="80"/>
      <c r="AL853" s="75"/>
      <c r="AM853" s="76"/>
      <c r="AN853" s="31"/>
      <c r="AO853" s="32"/>
      <c r="AP853" s="15"/>
      <c r="AQ853" s="113"/>
      <c r="AR853" s="79"/>
      <c r="AS853" s="53"/>
      <c r="AT853" s="53"/>
      <c r="AU853" s="53"/>
      <c r="AV853" s="31"/>
      <c r="AW853" s="53"/>
      <c r="AX853" s="53"/>
      <c r="AY853" s="80"/>
      <c r="AZ853" s="75"/>
      <c r="BA853" s="76"/>
      <c r="BB853" s="31"/>
      <c r="BC853" s="32"/>
      <c r="BD853" s="15"/>
      <c r="BT853" s="113"/>
      <c r="BU853" s="16"/>
      <c r="BV853" s="54"/>
      <c r="BW853" s="13" t="str">
        <f t="shared" si="1253"/>
        <v/>
      </c>
      <c r="BX853" s="13"/>
      <c r="BY853" s="13"/>
      <c r="BZ853" s="13"/>
      <c r="CA853" s="13" t="str">
        <f t="shared" si="1254"/>
        <v/>
      </c>
      <c r="CB853" s="13"/>
      <c r="CC853" s="13"/>
      <c r="CD853" s="13"/>
      <c r="CE853" s="13" t="str">
        <f t="shared" si="1245"/>
        <v/>
      </c>
      <c r="CF853" s="14" t="str">
        <f t="shared" si="1246"/>
        <v/>
      </c>
      <c r="CG853" s="15"/>
      <c r="CH853" s="1"/>
      <c r="CI853" s="16"/>
      <c r="CJ853" s="54"/>
      <c r="CK853" s="13" t="str">
        <f t="shared" si="1255"/>
        <v/>
      </c>
      <c r="CL853" s="13"/>
      <c r="CM853" s="13"/>
      <c r="CN853" s="13"/>
      <c r="CO853" s="13" t="str">
        <f t="shared" si="1256"/>
        <v/>
      </c>
      <c r="CP853" s="13"/>
      <c r="CQ853" s="13"/>
      <c r="CR853" s="13"/>
      <c r="CS853" s="13" t="str">
        <f t="shared" si="1247"/>
        <v/>
      </c>
      <c r="CT853" s="14" t="str">
        <f t="shared" si="1252"/>
        <v/>
      </c>
      <c r="CU853" s="15"/>
      <c r="CV853" s="1"/>
      <c r="CW853" s="16"/>
      <c r="CX853" s="54"/>
      <c r="CY853" s="13" t="str">
        <f t="shared" si="1257"/>
        <v/>
      </c>
      <c r="CZ853" s="13"/>
      <c r="DA853" s="13"/>
      <c r="DB853" s="13"/>
      <c r="DC853" s="13" t="str">
        <f t="shared" si="1258"/>
        <v/>
      </c>
      <c r="DD853" s="13"/>
      <c r="DE853" s="13"/>
      <c r="DF853" s="13"/>
      <c r="DG853" s="13" t="str">
        <f t="shared" si="1248"/>
        <v/>
      </c>
      <c r="DH853" s="14" t="str">
        <f t="shared" si="1249"/>
        <v/>
      </c>
      <c r="DI853" s="15"/>
      <c r="DJ853" s="1"/>
      <c r="DK853" s="16"/>
      <c r="DL853" s="54"/>
      <c r="DM853" s="13" t="str">
        <f t="shared" si="1259"/>
        <v/>
      </c>
      <c r="DN853" s="13"/>
      <c r="DO853" s="13"/>
      <c r="DP853" s="13"/>
      <c r="DQ853" s="13" t="str">
        <f t="shared" si="1260"/>
        <v/>
      </c>
      <c r="DR853" s="13"/>
      <c r="DS853" s="13"/>
      <c r="DT853" s="13"/>
      <c r="DU853" s="13" t="str">
        <f t="shared" si="1250"/>
        <v/>
      </c>
      <c r="DV853" s="14" t="str">
        <f t="shared" si="1251"/>
        <v/>
      </c>
      <c r="DW853" s="15"/>
    </row>
    <row r="854" spans="1:127" ht="15" customHeight="1" x14ac:dyDescent="0.2">
      <c r="A854" s="16"/>
      <c r="B854" s="11"/>
      <c r="C854" s="13"/>
      <c r="D854" s="53"/>
      <c r="E854" s="13"/>
      <c r="F854" s="13"/>
      <c r="G854" s="13"/>
      <c r="H854" s="13"/>
      <c r="I854" s="17"/>
      <c r="J854" s="56"/>
      <c r="K854" s="54"/>
      <c r="L854" s="13"/>
      <c r="M854" s="14"/>
      <c r="N854" s="15"/>
      <c r="O854" s="2"/>
      <c r="P854" s="16"/>
      <c r="Q854" s="13"/>
      <c r="R854" s="53"/>
      <c r="S854" s="13"/>
      <c r="T854" s="13"/>
      <c r="U854" s="13"/>
      <c r="V854" s="13"/>
      <c r="W854" s="17"/>
      <c r="X854" s="56"/>
      <c r="Y854" s="54"/>
      <c r="Z854" s="13"/>
      <c r="AA854" s="14"/>
      <c r="AB854" s="15"/>
      <c r="AC854" s="15"/>
      <c r="AD854" s="16"/>
      <c r="AE854" s="13"/>
      <c r="AF854" s="53"/>
      <c r="AG854" s="13"/>
      <c r="AH854" s="13"/>
      <c r="AI854" s="13"/>
      <c r="AJ854" s="13"/>
      <c r="AK854" s="17"/>
      <c r="AL854" s="56"/>
      <c r="AM854" s="54"/>
      <c r="AN854" s="13"/>
      <c r="AO854" s="14"/>
      <c r="AP854" s="15"/>
      <c r="AQ854" s="113"/>
      <c r="AR854" s="16"/>
      <c r="AS854" s="13"/>
      <c r="AT854" s="53"/>
      <c r="AU854" s="13"/>
      <c r="AV854" s="13"/>
      <c r="AW854" s="13"/>
      <c r="AX854" s="13"/>
      <c r="AY854" s="17"/>
      <c r="AZ854" s="56"/>
      <c r="BA854" s="54"/>
      <c r="BB854" s="13"/>
      <c r="BC854" s="14"/>
      <c r="BD854" s="15"/>
      <c r="BT854" s="113"/>
      <c r="BU854" s="16"/>
      <c r="BV854" s="54"/>
      <c r="BW854" s="13" t="str">
        <f t="shared" si="1253"/>
        <v/>
      </c>
      <c r="BX854" s="13"/>
      <c r="BY854" s="13"/>
      <c r="BZ854" s="13"/>
      <c r="CA854" s="13" t="str">
        <f t="shared" si="1254"/>
        <v/>
      </c>
      <c r="CB854" s="13"/>
      <c r="CC854" s="13"/>
      <c r="CD854" s="13"/>
      <c r="CE854" s="13" t="str">
        <f t="shared" si="1245"/>
        <v/>
      </c>
      <c r="CF854" s="14" t="str">
        <f t="shared" si="1246"/>
        <v/>
      </c>
      <c r="CG854" s="15"/>
      <c r="CH854" s="1"/>
      <c r="CI854" s="16"/>
      <c r="CJ854" s="54"/>
      <c r="CK854" s="13" t="str">
        <f t="shared" si="1255"/>
        <v/>
      </c>
      <c r="CL854" s="13"/>
      <c r="CM854" s="13"/>
      <c r="CN854" s="13"/>
      <c r="CO854" s="13" t="str">
        <f t="shared" si="1256"/>
        <v/>
      </c>
      <c r="CP854" s="13"/>
      <c r="CQ854" s="13"/>
      <c r="CR854" s="13"/>
      <c r="CS854" s="13" t="str">
        <f t="shared" si="1247"/>
        <v/>
      </c>
      <c r="CT854" s="14" t="str">
        <f t="shared" si="1252"/>
        <v/>
      </c>
      <c r="CU854" s="15"/>
      <c r="CV854" s="1"/>
      <c r="CW854" s="16"/>
      <c r="CX854" s="54"/>
      <c r="CY854" s="13" t="str">
        <f t="shared" si="1257"/>
        <v/>
      </c>
      <c r="CZ854" s="13"/>
      <c r="DA854" s="13"/>
      <c r="DB854" s="13"/>
      <c r="DC854" s="13" t="str">
        <f t="shared" si="1258"/>
        <v/>
      </c>
      <c r="DD854" s="13"/>
      <c r="DE854" s="13"/>
      <c r="DF854" s="13"/>
      <c r="DG854" s="13" t="str">
        <f t="shared" si="1248"/>
        <v/>
      </c>
      <c r="DH854" s="14" t="str">
        <f t="shared" si="1249"/>
        <v/>
      </c>
      <c r="DI854" s="15"/>
      <c r="DJ854" s="1"/>
      <c r="DK854" s="16"/>
      <c r="DL854" s="54"/>
      <c r="DM854" s="13" t="str">
        <f t="shared" si="1259"/>
        <v/>
      </c>
      <c r="DN854" s="13"/>
      <c r="DO854" s="13"/>
      <c r="DP854" s="13"/>
      <c r="DQ854" s="13" t="str">
        <f t="shared" si="1260"/>
        <v/>
      </c>
      <c r="DR854" s="13"/>
      <c r="DS854" s="13"/>
      <c r="DT854" s="13"/>
      <c r="DU854" s="13" t="str">
        <f t="shared" si="1250"/>
        <v/>
      </c>
      <c r="DV854" s="14" t="str">
        <f t="shared" si="1251"/>
        <v/>
      </c>
      <c r="DW854" s="15"/>
    </row>
    <row r="855" spans="1:127" ht="15" customHeight="1" x14ac:dyDescent="0.2">
      <c r="A855" s="16"/>
      <c r="B855" s="11"/>
      <c r="C855" s="13"/>
      <c r="D855" s="63"/>
      <c r="E855" s="13"/>
      <c r="F855" s="13"/>
      <c r="G855" s="34"/>
      <c r="H855" s="34"/>
      <c r="I855" s="17"/>
      <c r="J855" s="56"/>
      <c r="K855" s="13"/>
      <c r="L855" s="13"/>
      <c r="M855" s="14"/>
      <c r="N855" s="15"/>
      <c r="O855" s="2"/>
      <c r="P855" s="16"/>
      <c r="Q855" s="13"/>
      <c r="R855" s="63"/>
      <c r="S855" s="13"/>
      <c r="T855" s="13"/>
      <c r="U855" s="34"/>
      <c r="V855" s="34"/>
      <c r="W855" s="17"/>
      <c r="X855" s="56"/>
      <c r="Y855" s="13"/>
      <c r="Z855" s="13"/>
      <c r="AA855" s="14"/>
      <c r="AB855" s="15"/>
      <c r="AC855" s="15"/>
      <c r="AD855" s="16"/>
      <c r="AE855" s="13"/>
      <c r="AF855" s="63"/>
      <c r="AG855" s="13"/>
      <c r="AH855" s="13"/>
      <c r="AI855" s="34"/>
      <c r="AJ855" s="34"/>
      <c r="AK855" s="17"/>
      <c r="AL855" s="56"/>
      <c r="AM855" s="13"/>
      <c r="AN855" s="13"/>
      <c r="AO855" s="14"/>
      <c r="AP855" s="92"/>
      <c r="AQ855" s="113"/>
      <c r="AR855" s="16"/>
      <c r="AS855" s="13"/>
      <c r="AT855" s="63"/>
      <c r="AU855" s="13"/>
      <c r="AV855" s="13"/>
      <c r="AW855" s="34"/>
      <c r="AX855" s="34"/>
      <c r="AY855" s="17"/>
      <c r="AZ855" s="56"/>
      <c r="BA855" s="13"/>
      <c r="BB855" s="13"/>
      <c r="BC855" s="14"/>
      <c r="BD855" s="15"/>
      <c r="BT855" s="113"/>
      <c r="BU855" s="16"/>
      <c r="BV855" s="54"/>
      <c r="BW855" s="13" t="str">
        <f t="shared" si="1253"/>
        <v/>
      </c>
      <c r="BX855" s="13"/>
      <c r="BY855" s="13"/>
      <c r="BZ855" s="13"/>
      <c r="CA855" s="13" t="str">
        <f t="shared" si="1254"/>
        <v/>
      </c>
      <c r="CB855" s="13"/>
      <c r="CC855" s="13"/>
      <c r="CD855" s="13"/>
      <c r="CE855" s="13" t="str">
        <f t="shared" si="1245"/>
        <v/>
      </c>
      <c r="CF855" s="14" t="str">
        <f t="shared" si="1246"/>
        <v/>
      </c>
      <c r="CG855" s="15"/>
      <c r="CH855" s="1"/>
      <c r="CI855" s="16"/>
      <c r="CJ855" s="54"/>
      <c r="CK855" s="13" t="str">
        <f t="shared" si="1255"/>
        <v/>
      </c>
      <c r="CL855" s="13"/>
      <c r="CM855" s="13"/>
      <c r="CN855" s="13"/>
      <c r="CO855" s="13" t="str">
        <f t="shared" si="1256"/>
        <v/>
      </c>
      <c r="CP855" s="13"/>
      <c r="CQ855" s="13"/>
      <c r="CR855" s="13"/>
      <c r="CS855" s="13" t="str">
        <f t="shared" si="1247"/>
        <v/>
      </c>
      <c r="CT855" s="14" t="str">
        <f t="shared" si="1252"/>
        <v/>
      </c>
      <c r="CU855" s="15"/>
      <c r="CV855" s="1"/>
      <c r="CW855" s="16"/>
      <c r="CX855" s="54"/>
      <c r="CY855" s="13" t="str">
        <f t="shared" si="1257"/>
        <v/>
      </c>
      <c r="CZ855" s="13"/>
      <c r="DA855" s="13"/>
      <c r="DB855" s="13"/>
      <c r="DC855" s="13" t="str">
        <f t="shared" si="1258"/>
        <v/>
      </c>
      <c r="DD855" s="13"/>
      <c r="DE855" s="13"/>
      <c r="DF855" s="13"/>
      <c r="DG855" s="13" t="str">
        <f t="shared" si="1248"/>
        <v/>
      </c>
      <c r="DH855" s="14" t="str">
        <f t="shared" si="1249"/>
        <v/>
      </c>
      <c r="DI855" s="15"/>
      <c r="DJ855" s="1"/>
      <c r="DK855" s="16"/>
      <c r="DL855" s="54"/>
      <c r="DM855" s="13" t="str">
        <f t="shared" si="1259"/>
        <v/>
      </c>
      <c r="DN855" s="13"/>
      <c r="DO855" s="13"/>
      <c r="DP855" s="13"/>
      <c r="DQ855" s="13" t="str">
        <f t="shared" si="1260"/>
        <v/>
      </c>
      <c r="DR855" s="13"/>
      <c r="DS855" s="13"/>
      <c r="DT855" s="13"/>
      <c r="DU855" s="13" t="str">
        <f t="shared" si="1250"/>
        <v/>
      </c>
      <c r="DV855" s="14" t="str">
        <f t="shared" si="1251"/>
        <v/>
      </c>
      <c r="DW855" s="15"/>
    </row>
    <row r="856" spans="1:127" ht="15" customHeight="1" thickBot="1" x14ac:dyDescent="0.25">
      <c r="A856" s="26"/>
      <c r="B856" s="46"/>
      <c r="C856" s="29"/>
      <c r="D856" s="61"/>
      <c r="E856" s="62"/>
      <c r="F856" s="29"/>
      <c r="G856" s="64"/>
      <c r="H856" s="64"/>
      <c r="I856" s="107"/>
      <c r="J856" s="57"/>
      <c r="K856" s="62"/>
      <c r="L856" s="27"/>
      <c r="M856" s="28"/>
      <c r="N856" s="15"/>
      <c r="O856" s="2"/>
      <c r="P856" s="26"/>
      <c r="Q856" s="29"/>
      <c r="R856" s="61"/>
      <c r="S856" s="62"/>
      <c r="T856" s="29"/>
      <c r="U856" s="64"/>
      <c r="V856" s="64"/>
      <c r="W856" s="107"/>
      <c r="X856" s="57"/>
      <c r="Y856" s="62"/>
      <c r="Z856" s="27"/>
      <c r="AA856" s="28"/>
      <c r="AB856" s="15"/>
      <c r="AC856" s="15"/>
      <c r="AD856" s="26"/>
      <c r="AE856" s="29"/>
      <c r="AF856" s="61"/>
      <c r="AG856" s="62"/>
      <c r="AH856" s="29"/>
      <c r="AI856" s="64"/>
      <c r="AJ856" s="64"/>
      <c r="AK856" s="107"/>
      <c r="AL856" s="57"/>
      <c r="AM856" s="62"/>
      <c r="AN856" s="27"/>
      <c r="AO856" s="28"/>
      <c r="AP856" s="15"/>
      <c r="AQ856" s="113"/>
      <c r="AR856" s="26"/>
      <c r="AS856" s="29"/>
      <c r="AT856" s="61"/>
      <c r="AU856" s="62"/>
      <c r="AV856" s="29"/>
      <c r="AW856" s="64"/>
      <c r="AX856" s="64"/>
      <c r="AY856" s="107"/>
      <c r="AZ856" s="57"/>
      <c r="BA856" s="62"/>
      <c r="BB856" s="27"/>
      <c r="BC856" s="28"/>
      <c r="BD856" s="15"/>
      <c r="BT856" s="113"/>
      <c r="BU856" s="16"/>
      <c r="BV856" s="54"/>
      <c r="BW856" s="13" t="str">
        <f t="shared" si="1253"/>
        <v/>
      </c>
      <c r="BX856" s="13"/>
      <c r="BY856" s="13"/>
      <c r="BZ856" s="13"/>
      <c r="CA856" s="13" t="str">
        <f t="shared" si="1254"/>
        <v/>
      </c>
      <c r="CB856" s="13"/>
      <c r="CC856" s="13"/>
      <c r="CD856" s="13"/>
      <c r="CE856" s="13" t="str">
        <f t="shared" si="1245"/>
        <v/>
      </c>
      <c r="CF856" s="14" t="str">
        <f t="shared" si="1246"/>
        <v/>
      </c>
      <c r="CG856" s="15"/>
      <c r="CH856" s="1"/>
      <c r="CI856" s="16"/>
      <c r="CJ856" s="54"/>
      <c r="CK856" s="13" t="str">
        <f t="shared" si="1255"/>
        <v/>
      </c>
      <c r="CL856" s="13"/>
      <c r="CM856" s="13"/>
      <c r="CN856" s="13"/>
      <c r="CO856" s="13" t="str">
        <f t="shared" si="1256"/>
        <v/>
      </c>
      <c r="CP856" s="13"/>
      <c r="CQ856" s="13"/>
      <c r="CR856" s="13"/>
      <c r="CS856" s="13" t="str">
        <f t="shared" si="1247"/>
        <v/>
      </c>
      <c r="CT856" s="14" t="str">
        <f t="shared" si="1252"/>
        <v/>
      </c>
      <c r="CU856" s="15"/>
      <c r="CV856" s="1"/>
      <c r="CW856" s="16"/>
      <c r="CX856" s="54"/>
      <c r="CY856" s="13" t="str">
        <f t="shared" si="1257"/>
        <v/>
      </c>
      <c r="CZ856" s="13"/>
      <c r="DA856" s="13"/>
      <c r="DB856" s="13"/>
      <c r="DC856" s="13" t="str">
        <f t="shared" si="1258"/>
        <v/>
      </c>
      <c r="DD856" s="13"/>
      <c r="DE856" s="13"/>
      <c r="DF856" s="13"/>
      <c r="DG856" s="13" t="str">
        <f t="shared" si="1248"/>
        <v/>
      </c>
      <c r="DH856" s="14" t="str">
        <f t="shared" si="1249"/>
        <v/>
      </c>
      <c r="DI856" s="15"/>
      <c r="DJ856" s="1"/>
      <c r="DK856" s="16"/>
      <c r="DL856" s="54"/>
      <c r="DM856" s="13" t="str">
        <f t="shared" si="1259"/>
        <v/>
      </c>
      <c r="DN856" s="13"/>
      <c r="DO856" s="13"/>
      <c r="DP856" s="13"/>
      <c r="DQ856" s="13" t="str">
        <f t="shared" si="1260"/>
        <v/>
      </c>
      <c r="DR856" s="13"/>
      <c r="DS856" s="13"/>
      <c r="DT856" s="13"/>
      <c r="DU856" s="13" t="str">
        <f t="shared" si="1250"/>
        <v/>
      </c>
      <c r="DV856" s="14" t="str">
        <f t="shared" si="1251"/>
        <v/>
      </c>
      <c r="DW856" s="15"/>
    </row>
    <row r="857" spans="1:127" ht="15" customHeight="1" thickTop="1" x14ac:dyDescent="0.2">
      <c r="A857" s="79"/>
      <c r="B857" s="74"/>
      <c r="C857" s="53"/>
      <c r="D857" s="53"/>
      <c r="E857" s="53"/>
      <c r="F857" s="31"/>
      <c r="G857" s="53"/>
      <c r="H857" s="53"/>
      <c r="I857" s="80"/>
      <c r="J857" s="21"/>
      <c r="K857" s="54"/>
      <c r="L857" s="31"/>
      <c r="M857" s="32"/>
      <c r="N857" s="15"/>
      <c r="O857" s="2"/>
      <c r="P857" s="79"/>
      <c r="Q857" s="53"/>
      <c r="R857" s="53"/>
      <c r="S857" s="53"/>
      <c r="T857" s="31"/>
      <c r="U857" s="53"/>
      <c r="V857" s="53"/>
      <c r="W857" s="80"/>
      <c r="X857" s="21"/>
      <c r="Y857" s="54"/>
      <c r="Z857" s="31"/>
      <c r="AA857" s="32"/>
      <c r="AB857" s="15"/>
      <c r="AC857" s="15"/>
      <c r="AD857" s="79"/>
      <c r="AE857" s="53"/>
      <c r="AF857" s="53"/>
      <c r="AG857" s="53"/>
      <c r="AH857" s="31"/>
      <c r="AI857" s="53"/>
      <c r="AJ857" s="53"/>
      <c r="AK857" s="80"/>
      <c r="AL857" s="21"/>
      <c r="AM857" s="54"/>
      <c r="AN857" s="31"/>
      <c r="AO857" s="32"/>
      <c r="AP857" s="15"/>
      <c r="AQ857" s="113"/>
      <c r="AR857" s="79"/>
      <c r="AS857" s="53"/>
      <c r="AT857" s="53"/>
      <c r="AU857" s="53"/>
      <c r="AV857" s="31"/>
      <c r="AW857" s="53"/>
      <c r="AX857" s="53"/>
      <c r="AY857" s="80"/>
      <c r="AZ857" s="21"/>
      <c r="BA857" s="54"/>
      <c r="BB857" s="31"/>
      <c r="BC857" s="32"/>
      <c r="BD857" s="15"/>
      <c r="BT857" s="113"/>
      <c r="BU857" s="16"/>
      <c r="BV857" s="54"/>
      <c r="BW857" s="13" t="str">
        <f t="shared" si="1253"/>
        <v/>
      </c>
      <c r="BX857" s="13"/>
      <c r="BY857" s="13"/>
      <c r="BZ857" s="13"/>
      <c r="CA857" s="13" t="str">
        <f t="shared" si="1254"/>
        <v/>
      </c>
      <c r="CB857" s="13"/>
      <c r="CC857" s="13"/>
      <c r="CD857" s="13"/>
      <c r="CE857" s="13" t="str">
        <f t="shared" si="1245"/>
        <v/>
      </c>
      <c r="CF857" s="14" t="str">
        <f t="shared" si="1246"/>
        <v/>
      </c>
      <c r="CG857" s="15"/>
      <c r="CH857" s="1"/>
      <c r="CI857" s="16"/>
      <c r="CJ857" s="54"/>
      <c r="CK857" s="13" t="str">
        <f t="shared" si="1255"/>
        <v/>
      </c>
      <c r="CL857" s="13"/>
      <c r="CM857" s="13"/>
      <c r="CN857" s="13"/>
      <c r="CO857" s="13" t="str">
        <f t="shared" si="1256"/>
        <v/>
      </c>
      <c r="CP857" s="13"/>
      <c r="CQ857" s="13"/>
      <c r="CR857" s="13"/>
      <c r="CS857" s="13" t="str">
        <f t="shared" si="1247"/>
        <v/>
      </c>
      <c r="CT857" s="14" t="str">
        <f t="shared" si="1252"/>
        <v/>
      </c>
      <c r="CU857" s="15"/>
      <c r="CV857" s="1"/>
      <c r="CW857" s="16"/>
      <c r="CX857" s="54"/>
      <c r="CY857" s="13" t="str">
        <f t="shared" si="1257"/>
        <v/>
      </c>
      <c r="CZ857" s="13"/>
      <c r="DA857" s="13"/>
      <c r="DB857" s="13"/>
      <c r="DC857" s="13" t="str">
        <f t="shared" si="1258"/>
        <v/>
      </c>
      <c r="DD857" s="13"/>
      <c r="DE857" s="13"/>
      <c r="DF857" s="13"/>
      <c r="DG857" s="13" t="str">
        <f t="shared" si="1248"/>
        <v/>
      </c>
      <c r="DH857" s="14" t="str">
        <f t="shared" si="1249"/>
        <v/>
      </c>
      <c r="DI857" s="15"/>
      <c r="DJ857" s="1"/>
      <c r="DK857" s="16"/>
      <c r="DL857" s="54"/>
      <c r="DM857" s="13" t="str">
        <f t="shared" si="1259"/>
        <v/>
      </c>
      <c r="DN857" s="13"/>
      <c r="DO857" s="13"/>
      <c r="DP857" s="13"/>
      <c r="DQ857" s="13" t="str">
        <f t="shared" si="1260"/>
        <v/>
      </c>
      <c r="DR857" s="13"/>
      <c r="DS857" s="13"/>
      <c r="DT857" s="13"/>
      <c r="DU857" s="13" t="str">
        <f t="shared" si="1250"/>
        <v/>
      </c>
      <c r="DV857" s="14" t="str">
        <f t="shared" si="1251"/>
        <v/>
      </c>
      <c r="DW857" s="15"/>
    </row>
    <row r="858" spans="1:127" ht="15" customHeight="1" x14ac:dyDescent="0.2">
      <c r="A858" s="16"/>
      <c r="B858" s="11"/>
      <c r="C858" s="13"/>
      <c r="D858" s="53"/>
      <c r="E858" s="13"/>
      <c r="F858" s="13"/>
      <c r="G858" s="13"/>
      <c r="H858" s="13"/>
      <c r="I858" s="17"/>
      <c r="J858" s="21"/>
      <c r="K858" s="54"/>
      <c r="L858" s="13"/>
      <c r="M858" s="14"/>
      <c r="N858" s="15"/>
      <c r="O858" s="2"/>
      <c r="P858" s="16"/>
      <c r="Q858" s="13"/>
      <c r="R858" s="53"/>
      <c r="S858" s="13"/>
      <c r="T858" s="13"/>
      <c r="U858" s="13"/>
      <c r="V858" s="13"/>
      <c r="W858" s="17"/>
      <c r="X858" s="21"/>
      <c r="Y858" s="54"/>
      <c r="Z858" s="13"/>
      <c r="AA858" s="14"/>
      <c r="AB858" s="15"/>
      <c r="AC858" s="15"/>
      <c r="AD858" s="16"/>
      <c r="AE858" s="13"/>
      <c r="AF858" s="53"/>
      <c r="AG858" s="13"/>
      <c r="AH858" s="13"/>
      <c r="AI858" s="13"/>
      <c r="AJ858" s="13"/>
      <c r="AK858" s="17"/>
      <c r="AL858" s="21"/>
      <c r="AM858" s="54"/>
      <c r="AN858" s="13"/>
      <c r="AO858" s="14"/>
      <c r="AP858" s="15"/>
      <c r="AQ858" s="113"/>
      <c r="AR858" s="16"/>
      <c r="AS858" s="13"/>
      <c r="AT858" s="53"/>
      <c r="AU858" s="13"/>
      <c r="AV858" s="13"/>
      <c r="AW858" s="13"/>
      <c r="AX858" s="13"/>
      <c r="AY858" s="17"/>
      <c r="AZ858" s="21"/>
      <c r="BA858" s="54"/>
      <c r="BB858" s="13"/>
      <c r="BC858" s="14"/>
      <c r="BD858" s="15"/>
      <c r="BT858" s="113"/>
      <c r="BU858" s="16"/>
      <c r="BV858" s="54"/>
      <c r="BW858" s="13" t="str">
        <f t="shared" si="1253"/>
        <v/>
      </c>
      <c r="BX858" s="13"/>
      <c r="BY858" s="13"/>
      <c r="BZ858" s="13"/>
      <c r="CA858" s="13" t="str">
        <f t="shared" si="1254"/>
        <v/>
      </c>
      <c r="CB858" s="13"/>
      <c r="CC858" s="13"/>
      <c r="CD858" s="13"/>
      <c r="CE858" s="13" t="str">
        <f t="shared" si="1245"/>
        <v/>
      </c>
      <c r="CF858" s="14" t="str">
        <f t="shared" si="1246"/>
        <v/>
      </c>
      <c r="CG858" s="15"/>
      <c r="CH858" s="1"/>
      <c r="CI858" s="16"/>
      <c r="CJ858" s="54"/>
      <c r="CK858" s="13" t="str">
        <f t="shared" si="1255"/>
        <v/>
      </c>
      <c r="CL858" s="13"/>
      <c r="CM858" s="13"/>
      <c r="CN858" s="13"/>
      <c r="CO858" s="13" t="str">
        <f t="shared" si="1256"/>
        <v/>
      </c>
      <c r="CP858" s="13"/>
      <c r="CQ858" s="13"/>
      <c r="CR858" s="13"/>
      <c r="CS858" s="13" t="str">
        <f t="shared" si="1247"/>
        <v/>
      </c>
      <c r="CT858" s="14" t="str">
        <f t="shared" si="1252"/>
        <v/>
      </c>
      <c r="CU858" s="15"/>
      <c r="CV858" s="1"/>
      <c r="CW858" s="16"/>
      <c r="CX858" s="54"/>
      <c r="CY858" s="13" t="str">
        <f t="shared" si="1257"/>
        <v/>
      </c>
      <c r="CZ858" s="13"/>
      <c r="DA858" s="13"/>
      <c r="DB858" s="13"/>
      <c r="DC858" s="13" t="str">
        <f t="shared" si="1258"/>
        <v/>
      </c>
      <c r="DD858" s="13"/>
      <c r="DE858" s="13"/>
      <c r="DF858" s="13"/>
      <c r="DG858" s="13" t="str">
        <f t="shared" si="1248"/>
        <v/>
      </c>
      <c r="DH858" s="14" t="str">
        <f t="shared" si="1249"/>
        <v/>
      </c>
      <c r="DI858" s="15"/>
      <c r="DJ858" s="1"/>
      <c r="DK858" s="16"/>
      <c r="DL858" s="54"/>
      <c r="DM858" s="13" t="str">
        <f t="shared" si="1259"/>
        <v/>
      </c>
      <c r="DN858" s="13"/>
      <c r="DO858" s="13"/>
      <c r="DP858" s="13"/>
      <c r="DQ858" s="13" t="str">
        <f t="shared" si="1260"/>
        <v/>
      </c>
      <c r="DR858" s="13"/>
      <c r="DS858" s="13"/>
      <c r="DT858" s="13"/>
      <c r="DU858" s="13" t="str">
        <f t="shared" si="1250"/>
        <v/>
      </c>
      <c r="DV858" s="14" t="str">
        <f t="shared" si="1251"/>
        <v/>
      </c>
      <c r="DW858" s="15"/>
    </row>
    <row r="859" spans="1:127" ht="15" customHeight="1" x14ac:dyDescent="0.2">
      <c r="A859" s="16"/>
      <c r="B859" s="11"/>
      <c r="C859" s="13"/>
      <c r="D859" s="63"/>
      <c r="E859" s="13"/>
      <c r="F859" s="13"/>
      <c r="G859" s="13"/>
      <c r="H859" s="13"/>
      <c r="I859" s="17"/>
      <c r="J859" s="21"/>
      <c r="K859" s="54"/>
      <c r="L859" s="13"/>
      <c r="M859" s="14"/>
      <c r="N859" s="15"/>
      <c r="O859" s="2"/>
      <c r="P859" s="16"/>
      <c r="Q859" s="13"/>
      <c r="R859" s="63"/>
      <c r="S859" s="13"/>
      <c r="T859" s="13"/>
      <c r="U859" s="13"/>
      <c r="V859" s="13"/>
      <c r="W859" s="17"/>
      <c r="X859" s="21"/>
      <c r="Y859" s="54"/>
      <c r="Z859" s="13"/>
      <c r="AA859" s="14"/>
      <c r="AB859" s="15"/>
      <c r="AC859" s="15"/>
      <c r="AD859" s="16"/>
      <c r="AE859" s="13"/>
      <c r="AF859" s="63"/>
      <c r="AG859" s="13"/>
      <c r="AH859" s="13"/>
      <c r="AI859" s="13"/>
      <c r="AJ859" s="13"/>
      <c r="AK859" s="17"/>
      <c r="AL859" s="21"/>
      <c r="AM859" s="54"/>
      <c r="AN859" s="13"/>
      <c r="AO859" s="14"/>
      <c r="AP859" s="15"/>
      <c r="AQ859" s="113"/>
      <c r="AR859" s="16"/>
      <c r="AS859" s="13"/>
      <c r="AT859" s="63"/>
      <c r="AU859" s="13"/>
      <c r="AV859" s="13"/>
      <c r="AW859" s="13"/>
      <c r="AX859" s="13"/>
      <c r="AY859" s="17"/>
      <c r="AZ859" s="21"/>
      <c r="BA859" s="54"/>
      <c r="BB859" s="13"/>
      <c r="BC859" s="14"/>
      <c r="BD859" s="15"/>
      <c r="BT859" s="113"/>
      <c r="BU859" s="16"/>
      <c r="BV859" s="54"/>
      <c r="BW859" s="13" t="str">
        <f t="shared" si="1253"/>
        <v/>
      </c>
      <c r="BX859" s="13"/>
      <c r="BY859" s="13"/>
      <c r="BZ859" s="13"/>
      <c r="CA859" s="13" t="str">
        <f t="shared" si="1254"/>
        <v/>
      </c>
      <c r="CB859" s="13"/>
      <c r="CC859" s="13"/>
      <c r="CD859" s="13"/>
      <c r="CE859" s="13" t="str">
        <f t="shared" si="1245"/>
        <v/>
      </c>
      <c r="CF859" s="14" t="str">
        <f t="shared" si="1246"/>
        <v/>
      </c>
      <c r="CG859" s="15"/>
      <c r="CH859" s="1"/>
      <c r="CI859" s="16"/>
      <c r="CJ859" s="54"/>
      <c r="CK859" s="13" t="str">
        <f t="shared" si="1255"/>
        <v/>
      </c>
      <c r="CL859" s="13"/>
      <c r="CM859" s="13"/>
      <c r="CN859" s="13"/>
      <c r="CO859" s="13" t="str">
        <f t="shared" si="1256"/>
        <v/>
      </c>
      <c r="CP859" s="13"/>
      <c r="CQ859" s="13"/>
      <c r="CR859" s="13"/>
      <c r="CS859" s="13" t="str">
        <f t="shared" si="1247"/>
        <v/>
      </c>
      <c r="CT859" s="14" t="str">
        <f t="shared" si="1252"/>
        <v/>
      </c>
      <c r="CU859" s="15"/>
      <c r="CV859" s="1"/>
      <c r="CW859" s="16"/>
      <c r="CX859" s="54"/>
      <c r="CY859" s="13" t="str">
        <f t="shared" si="1257"/>
        <v/>
      </c>
      <c r="CZ859" s="13"/>
      <c r="DA859" s="13"/>
      <c r="DB859" s="13"/>
      <c r="DC859" s="13" t="str">
        <f t="shared" si="1258"/>
        <v/>
      </c>
      <c r="DD859" s="13"/>
      <c r="DE859" s="13"/>
      <c r="DF859" s="13"/>
      <c r="DG859" s="13" t="str">
        <f t="shared" si="1248"/>
        <v/>
      </c>
      <c r="DH859" s="14" t="str">
        <f t="shared" si="1249"/>
        <v/>
      </c>
      <c r="DI859" s="15"/>
      <c r="DJ859" s="1"/>
      <c r="DK859" s="16"/>
      <c r="DL859" s="54"/>
      <c r="DM859" s="13" t="str">
        <f t="shared" si="1259"/>
        <v/>
      </c>
      <c r="DN859" s="13"/>
      <c r="DO859" s="13"/>
      <c r="DP859" s="13"/>
      <c r="DQ859" s="13" t="str">
        <f t="shared" si="1260"/>
        <v/>
      </c>
      <c r="DR859" s="13"/>
      <c r="DS859" s="13"/>
      <c r="DT859" s="13"/>
      <c r="DU859" s="13" t="str">
        <f t="shared" si="1250"/>
        <v/>
      </c>
      <c r="DV859" s="14" t="str">
        <f t="shared" si="1251"/>
        <v/>
      </c>
      <c r="DW859" s="15"/>
    </row>
    <row r="860" spans="1:127" ht="15" customHeight="1" thickBot="1" x14ac:dyDescent="0.25">
      <c r="A860" s="26"/>
      <c r="B860" s="46"/>
      <c r="C860" s="29"/>
      <c r="D860" s="61"/>
      <c r="E860" s="62"/>
      <c r="F860" s="27"/>
      <c r="G860" s="27"/>
      <c r="H860" s="27"/>
      <c r="I860" s="107"/>
      <c r="J860" s="30"/>
      <c r="K860" s="62"/>
      <c r="L860" s="27"/>
      <c r="M860" s="28"/>
      <c r="N860" s="15"/>
      <c r="O860" s="2"/>
      <c r="P860" s="26"/>
      <c r="Q860" s="29"/>
      <c r="R860" s="61"/>
      <c r="S860" s="62"/>
      <c r="T860" s="27"/>
      <c r="U860" s="27"/>
      <c r="V860" s="27"/>
      <c r="W860" s="47"/>
      <c r="X860" s="30"/>
      <c r="Y860" s="62"/>
      <c r="Z860" s="27"/>
      <c r="AA860" s="28"/>
      <c r="AB860" s="15"/>
      <c r="AC860" s="15"/>
      <c r="AD860" s="26"/>
      <c r="AE860" s="29"/>
      <c r="AF860" s="61"/>
      <c r="AG860" s="62"/>
      <c r="AH860" s="27"/>
      <c r="AI860" s="27"/>
      <c r="AJ860" s="27"/>
      <c r="AK860" s="47"/>
      <c r="AL860" s="30"/>
      <c r="AM860" s="62"/>
      <c r="AN860" s="27"/>
      <c r="AO860" s="28"/>
      <c r="AP860" s="15"/>
      <c r="AQ860" s="113"/>
      <c r="AR860" s="26"/>
      <c r="AS860" s="29"/>
      <c r="AT860" s="61"/>
      <c r="AU860" s="62"/>
      <c r="AV860" s="27"/>
      <c r="AW860" s="27"/>
      <c r="AX860" s="27"/>
      <c r="AY860" s="47"/>
      <c r="AZ860" s="30"/>
      <c r="BA860" s="62"/>
      <c r="BB860" s="27"/>
      <c r="BC860" s="28"/>
      <c r="BD860" s="15"/>
      <c r="BT860" s="113"/>
      <c r="BU860" s="16"/>
      <c r="BV860" s="54"/>
      <c r="BW860" s="13" t="str">
        <f t="shared" si="1253"/>
        <v/>
      </c>
      <c r="BX860" s="13"/>
      <c r="BY860" s="13"/>
      <c r="BZ860" s="13"/>
      <c r="CA860" s="13" t="str">
        <f t="shared" si="1254"/>
        <v/>
      </c>
      <c r="CB860" s="13"/>
      <c r="CC860" s="13"/>
      <c r="CD860" s="13"/>
      <c r="CE860" s="13" t="str">
        <f t="shared" si="1245"/>
        <v/>
      </c>
      <c r="CF860" s="14" t="str">
        <f t="shared" si="1246"/>
        <v/>
      </c>
      <c r="CG860" s="15"/>
      <c r="CH860" s="1"/>
      <c r="CI860" s="16"/>
      <c r="CJ860" s="54"/>
      <c r="CK860" s="13" t="str">
        <f t="shared" si="1255"/>
        <v/>
      </c>
      <c r="CL860" s="13"/>
      <c r="CM860" s="13"/>
      <c r="CN860" s="13"/>
      <c r="CO860" s="13" t="str">
        <f t="shared" si="1256"/>
        <v/>
      </c>
      <c r="CP860" s="13"/>
      <c r="CQ860" s="13"/>
      <c r="CR860" s="13"/>
      <c r="CS860" s="13" t="str">
        <f t="shared" si="1247"/>
        <v/>
      </c>
      <c r="CT860" s="14" t="str">
        <f t="shared" si="1252"/>
        <v/>
      </c>
      <c r="CU860" s="15"/>
      <c r="CV860" s="1"/>
      <c r="CW860" s="16"/>
      <c r="CX860" s="54"/>
      <c r="CY860" s="13" t="str">
        <f t="shared" si="1257"/>
        <v/>
      </c>
      <c r="CZ860" s="13"/>
      <c r="DA860" s="13"/>
      <c r="DB860" s="13"/>
      <c r="DC860" s="13" t="str">
        <f t="shared" si="1258"/>
        <v/>
      </c>
      <c r="DD860" s="13"/>
      <c r="DE860" s="13"/>
      <c r="DF860" s="13"/>
      <c r="DG860" s="13" t="str">
        <f t="shared" si="1248"/>
        <v/>
      </c>
      <c r="DH860" s="14" t="str">
        <f t="shared" si="1249"/>
        <v/>
      </c>
      <c r="DI860" s="15"/>
      <c r="DJ860" s="1"/>
      <c r="DK860" s="16"/>
      <c r="DL860" s="54"/>
      <c r="DM860" s="13" t="str">
        <f t="shared" si="1259"/>
        <v/>
      </c>
      <c r="DN860" s="13"/>
      <c r="DO860" s="13"/>
      <c r="DP860" s="13"/>
      <c r="DQ860" s="13" t="str">
        <f t="shared" si="1260"/>
        <v/>
      </c>
      <c r="DR860" s="13"/>
      <c r="DS860" s="13"/>
      <c r="DT860" s="13"/>
      <c r="DU860" s="13" t="str">
        <f t="shared" si="1250"/>
        <v/>
      </c>
      <c r="DV860" s="14" t="str">
        <f t="shared" si="1251"/>
        <v/>
      </c>
      <c r="DW860" s="15"/>
    </row>
    <row r="861" spans="1:127" ht="15" customHeight="1" thickTop="1" x14ac:dyDescent="0.2">
      <c r="A861" s="79"/>
      <c r="B861" s="74"/>
      <c r="C861" s="53"/>
      <c r="D861" s="53"/>
      <c r="E861" s="53"/>
      <c r="F861" s="31"/>
      <c r="G861" s="53"/>
      <c r="H861" s="53"/>
      <c r="I861" s="53"/>
      <c r="J861" s="75"/>
      <c r="K861" s="76"/>
      <c r="L861" s="31"/>
      <c r="M861" s="32"/>
      <c r="N861" s="15"/>
      <c r="O861" s="2"/>
      <c r="P861" s="79"/>
      <c r="Q861" s="53"/>
      <c r="R861" s="53"/>
      <c r="S861" s="53"/>
      <c r="T861" s="31"/>
      <c r="U861" s="53"/>
      <c r="V861" s="53"/>
      <c r="W861" s="80"/>
      <c r="X861" s="75"/>
      <c r="Y861" s="76"/>
      <c r="Z861" s="31"/>
      <c r="AA861" s="32"/>
      <c r="AB861" s="15"/>
      <c r="AC861" s="15"/>
      <c r="AD861" s="79"/>
      <c r="AE861" s="53"/>
      <c r="AF861" s="53"/>
      <c r="AG861" s="53"/>
      <c r="AH861" s="31"/>
      <c r="AI861" s="53"/>
      <c r="AJ861" s="53"/>
      <c r="AK861" s="80"/>
      <c r="AL861" s="21"/>
      <c r="AM861" s="54"/>
      <c r="AN861" s="31"/>
      <c r="AO861" s="32"/>
      <c r="AP861" s="15"/>
      <c r="AQ861" s="113"/>
      <c r="AR861" s="79"/>
      <c r="AS861" s="53"/>
      <c r="AT861" s="53"/>
      <c r="AU861" s="53"/>
      <c r="AV861" s="31"/>
      <c r="AW861" s="53"/>
      <c r="AX861" s="53"/>
      <c r="AY861" s="80"/>
      <c r="AZ861" s="75"/>
      <c r="BA861" s="76"/>
      <c r="BB861" s="31"/>
      <c r="BC861" s="32"/>
      <c r="BD861" s="15"/>
      <c r="BT861" s="113"/>
      <c r="BU861" s="16"/>
      <c r="BV861" s="54"/>
      <c r="BW861" s="13" t="str">
        <f t="shared" si="1253"/>
        <v/>
      </c>
      <c r="BX861" s="13"/>
      <c r="BY861" s="13"/>
      <c r="BZ861" s="13"/>
      <c r="CA861" s="13" t="str">
        <f t="shared" si="1254"/>
        <v/>
      </c>
      <c r="CB861" s="13"/>
      <c r="CC861" s="13"/>
      <c r="CD861" s="13"/>
      <c r="CE861" s="13" t="str">
        <f t="shared" si="1245"/>
        <v/>
      </c>
      <c r="CF861" s="14" t="str">
        <f t="shared" si="1246"/>
        <v/>
      </c>
      <c r="CG861" s="15"/>
      <c r="CH861" s="1"/>
      <c r="CI861" s="16"/>
      <c r="CJ861" s="54"/>
      <c r="CK861" s="13" t="str">
        <f t="shared" si="1255"/>
        <v/>
      </c>
      <c r="CL861" s="13"/>
      <c r="CM861" s="13"/>
      <c r="CN861" s="13"/>
      <c r="CO861" s="13" t="str">
        <f t="shared" si="1256"/>
        <v/>
      </c>
      <c r="CP861" s="13"/>
      <c r="CQ861" s="13"/>
      <c r="CR861" s="13"/>
      <c r="CS861" s="13" t="str">
        <f t="shared" si="1247"/>
        <v/>
      </c>
      <c r="CT861" s="14" t="str">
        <f t="shared" si="1252"/>
        <v/>
      </c>
      <c r="CU861" s="15"/>
      <c r="CV861" s="1"/>
      <c r="CW861" s="16"/>
      <c r="CX861" s="54"/>
      <c r="CY861" s="13" t="str">
        <f t="shared" si="1257"/>
        <v/>
      </c>
      <c r="CZ861" s="13"/>
      <c r="DA861" s="13"/>
      <c r="DB861" s="13"/>
      <c r="DC861" s="13" t="str">
        <f t="shared" si="1258"/>
        <v/>
      </c>
      <c r="DD861" s="13"/>
      <c r="DE861" s="13"/>
      <c r="DF861" s="13"/>
      <c r="DG861" s="13" t="str">
        <f t="shared" si="1248"/>
        <v/>
      </c>
      <c r="DH861" s="14" t="str">
        <f t="shared" si="1249"/>
        <v/>
      </c>
      <c r="DI861" s="15"/>
      <c r="DJ861" s="1"/>
      <c r="DK861" s="16"/>
      <c r="DL861" s="54"/>
      <c r="DM861" s="13" t="str">
        <f t="shared" si="1259"/>
        <v/>
      </c>
      <c r="DN861" s="13"/>
      <c r="DO861" s="13"/>
      <c r="DP861" s="13"/>
      <c r="DQ861" s="13" t="str">
        <f t="shared" si="1260"/>
        <v/>
      </c>
      <c r="DR861" s="13"/>
      <c r="DS861" s="13"/>
      <c r="DT861" s="13"/>
      <c r="DU861" s="13" t="str">
        <f t="shared" si="1250"/>
        <v/>
      </c>
      <c r="DV861" s="14" t="str">
        <f t="shared" si="1251"/>
        <v/>
      </c>
      <c r="DW861" s="15"/>
    </row>
    <row r="862" spans="1:127" ht="15" customHeight="1" x14ac:dyDescent="0.2">
      <c r="A862" s="16"/>
      <c r="B862" s="11"/>
      <c r="C862" s="13"/>
      <c r="D862" s="13"/>
      <c r="E862" s="13"/>
      <c r="F862" s="13"/>
      <c r="G862" s="13"/>
      <c r="H862" s="13"/>
      <c r="I862" s="13"/>
      <c r="J862" s="56"/>
      <c r="K862" s="54"/>
      <c r="L862" s="13"/>
      <c r="M862" s="14"/>
      <c r="N862" s="15"/>
      <c r="O862" s="2"/>
      <c r="P862" s="16"/>
      <c r="Q862" s="13"/>
      <c r="R862" s="13"/>
      <c r="S862" s="13"/>
      <c r="T862" s="13"/>
      <c r="U862" s="13"/>
      <c r="V862" s="13"/>
      <c r="W862" s="17"/>
      <c r="X862" s="56"/>
      <c r="Y862" s="54"/>
      <c r="Z862" s="13"/>
      <c r="AA862" s="14"/>
      <c r="AB862" s="15"/>
      <c r="AC862" s="15"/>
      <c r="AD862" s="16"/>
      <c r="AE862" s="13"/>
      <c r="AF862" s="53"/>
      <c r="AG862" s="13"/>
      <c r="AH862" s="13"/>
      <c r="AI862" s="13"/>
      <c r="AJ862" s="13"/>
      <c r="AK862" s="17"/>
      <c r="AL862" s="21"/>
      <c r="AM862" s="54"/>
      <c r="AN862" s="13"/>
      <c r="AO862" s="14"/>
      <c r="AP862" s="15"/>
      <c r="AQ862" s="113"/>
      <c r="AR862" s="16"/>
      <c r="AS862" s="13"/>
      <c r="AT862" s="53"/>
      <c r="AU862" s="13"/>
      <c r="AV862" s="13"/>
      <c r="AW862" s="13"/>
      <c r="AX862" s="13"/>
      <c r="AY862" s="17"/>
      <c r="AZ862" s="56"/>
      <c r="BA862" s="54"/>
      <c r="BB862" s="13"/>
      <c r="BC862" s="14"/>
      <c r="BD862" s="15"/>
      <c r="BT862" s="113"/>
      <c r="BU862" s="16"/>
      <c r="BV862" s="54"/>
      <c r="BW862" s="13" t="str">
        <f t="shared" si="1253"/>
        <v/>
      </c>
      <c r="BX862" s="13"/>
      <c r="BY862" s="13"/>
      <c r="BZ862" s="13"/>
      <c r="CA862" s="13" t="str">
        <f t="shared" si="1254"/>
        <v/>
      </c>
      <c r="CB862" s="13"/>
      <c r="CC862" s="13"/>
      <c r="CD862" s="13"/>
      <c r="CE862" s="13" t="str">
        <f t="shared" si="1245"/>
        <v/>
      </c>
      <c r="CF862" s="14" t="str">
        <f t="shared" si="1246"/>
        <v/>
      </c>
      <c r="CG862" s="15"/>
      <c r="CH862" s="1"/>
      <c r="CI862" s="16"/>
      <c r="CJ862" s="54"/>
      <c r="CK862" s="13" t="str">
        <f t="shared" si="1255"/>
        <v/>
      </c>
      <c r="CL862" s="13"/>
      <c r="CM862" s="13"/>
      <c r="CN862" s="13"/>
      <c r="CO862" s="13" t="str">
        <f t="shared" si="1256"/>
        <v/>
      </c>
      <c r="CP862" s="13"/>
      <c r="CQ862" s="13"/>
      <c r="CR862" s="13"/>
      <c r="CS862" s="13" t="str">
        <f t="shared" si="1247"/>
        <v/>
      </c>
      <c r="CT862" s="14" t="str">
        <f t="shared" si="1252"/>
        <v/>
      </c>
      <c r="CU862" s="15"/>
      <c r="CV862" s="1"/>
      <c r="CW862" s="16"/>
      <c r="CX862" s="54"/>
      <c r="CY862" s="13" t="str">
        <f t="shared" si="1257"/>
        <v/>
      </c>
      <c r="CZ862" s="13"/>
      <c r="DA862" s="13"/>
      <c r="DB862" s="13"/>
      <c r="DC862" s="13" t="str">
        <f t="shared" si="1258"/>
        <v/>
      </c>
      <c r="DD862" s="13"/>
      <c r="DE862" s="13"/>
      <c r="DF862" s="13"/>
      <c r="DG862" s="13" t="str">
        <f t="shared" si="1248"/>
        <v/>
      </c>
      <c r="DH862" s="14" t="str">
        <f t="shared" si="1249"/>
        <v/>
      </c>
      <c r="DI862" s="15"/>
      <c r="DJ862" s="1"/>
      <c r="DK862" s="16"/>
      <c r="DL862" s="54"/>
      <c r="DM862" s="13" t="str">
        <f t="shared" si="1259"/>
        <v/>
      </c>
      <c r="DN862" s="13"/>
      <c r="DO862" s="13"/>
      <c r="DP862" s="13"/>
      <c r="DQ862" s="13" t="str">
        <f t="shared" si="1260"/>
        <v/>
      </c>
      <c r="DR862" s="13"/>
      <c r="DS862" s="13"/>
      <c r="DT862" s="13"/>
      <c r="DU862" s="13" t="str">
        <f t="shared" si="1250"/>
        <v/>
      </c>
      <c r="DV862" s="14" t="str">
        <f t="shared" si="1251"/>
        <v/>
      </c>
      <c r="DW862" s="15"/>
    </row>
    <row r="863" spans="1:127" ht="15" customHeight="1" x14ac:dyDescent="0.2">
      <c r="A863" s="16"/>
      <c r="B863" s="11"/>
      <c r="C863" s="13"/>
      <c r="D863" s="13"/>
      <c r="E863" s="13"/>
      <c r="F863" s="13"/>
      <c r="G863" s="13"/>
      <c r="H863" s="13"/>
      <c r="I863" s="13"/>
      <c r="J863" s="56"/>
      <c r="K863" s="13"/>
      <c r="L863" s="13"/>
      <c r="M863" s="14"/>
      <c r="N863" s="15"/>
      <c r="O863" s="2"/>
      <c r="P863" s="16"/>
      <c r="Q863" s="13"/>
      <c r="R863" s="34"/>
      <c r="S863" s="13"/>
      <c r="T863" s="13"/>
      <c r="U863" s="13"/>
      <c r="V863" s="13"/>
      <c r="W863" s="17"/>
      <c r="X863" s="56"/>
      <c r="Y863" s="13"/>
      <c r="Z863" s="13"/>
      <c r="AA863" s="14"/>
      <c r="AB863" s="15"/>
      <c r="AC863" s="15"/>
      <c r="AD863" s="16"/>
      <c r="AE863" s="13"/>
      <c r="AF863" s="63"/>
      <c r="AG863" s="13"/>
      <c r="AH863" s="13"/>
      <c r="AI863" s="13"/>
      <c r="AJ863" s="13"/>
      <c r="AK863" s="17"/>
      <c r="AL863" s="21"/>
      <c r="AM863" s="54"/>
      <c r="AN863" s="13"/>
      <c r="AO863" s="14"/>
      <c r="AP863" s="15"/>
      <c r="AQ863" s="113"/>
      <c r="AR863" s="16"/>
      <c r="AS863" s="13"/>
      <c r="AT863" s="63"/>
      <c r="AU863" s="13"/>
      <c r="AV863" s="13"/>
      <c r="AW863" s="13"/>
      <c r="AX863" s="13"/>
      <c r="AY863" s="17"/>
      <c r="AZ863" s="56"/>
      <c r="BA863" s="13"/>
      <c r="BB863" s="13"/>
      <c r="BC863" s="14"/>
      <c r="BD863" s="15"/>
      <c r="BT863" s="113"/>
      <c r="BU863" s="16"/>
      <c r="BV863" s="54"/>
      <c r="BW863" s="13" t="str">
        <f t="shared" si="1253"/>
        <v/>
      </c>
      <c r="BX863" s="13"/>
      <c r="BY863" s="13"/>
      <c r="BZ863" s="13"/>
      <c r="CA863" s="13" t="str">
        <f t="shared" si="1254"/>
        <v/>
      </c>
      <c r="CB863" s="13"/>
      <c r="CC863" s="13"/>
      <c r="CD863" s="13"/>
      <c r="CE863" s="13" t="str">
        <f t="shared" si="1245"/>
        <v/>
      </c>
      <c r="CF863" s="14" t="str">
        <f t="shared" si="1246"/>
        <v/>
      </c>
      <c r="CG863" s="15"/>
      <c r="CH863" s="1"/>
      <c r="CI863" s="16"/>
      <c r="CJ863" s="54"/>
      <c r="CK863" s="13" t="str">
        <f t="shared" si="1255"/>
        <v/>
      </c>
      <c r="CL863" s="13"/>
      <c r="CM863" s="13"/>
      <c r="CN863" s="13"/>
      <c r="CO863" s="13" t="str">
        <f t="shared" si="1256"/>
        <v/>
      </c>
      <c r="CP863" s="13"/>
      <c r="CQ863" s="13"/>
      <c r="CR863" s="13"/>
      <c r="CS863" s="13" t="str">
        <f t="shared" si="1247"/>
        <v/>
      </c>
      <c r="CT863" s="14" t="str">
        <f t="shared" si="1252"/>
        <v/>
      </c>
      <c r="CU863" s="15"/>
      <c r="CV863" s="1"/>
      <c r="CW863" s="16"/>
      <c r="CX863" s="54"/>
      <c r="CY863" s="13" t="str">
        <f t="shared" si="1257"/>
        <v/>
      </c>
      <c r="CZ863" s="13"/>
      <c r="DA863" s="13"/>
      <c r="DB863" s="13"/>
      <c r="DC863" s="13" t="str">
        <f t="shared" si="1258"/>
        <v/>
      </c>
      <c r="DD863" s="13"/>
      <c r="DE863" s="13"/>
      <c r="DF863" s="13"/>
      <c r="DG863" s="13" t="str">
        <f t="shared" si="1248"/>
        <v/>
      </c>
      <c r="DH863" s="14" t="str">
        <f t="shared" si="1249"/>
        <v/>
      </c>
      <c r="DI863" s="15"/>
      <c r="DJ863" s="1"/>
      <c r="DK863" s="16"/>
      <c r="DL863" s="54"/>
      <c r="DM863" s="13" t="str">
        <f t="shared" si="1259"/>
        <v/>
      </c>
      <c r="DN863" s="13"/>
      <c r="DO863" s="13"/>
      <c r="DP863" s="13"/>
      <c r="DQ863" s="13" t="str">
        <f t="shared" si="1260"/>
        <v/>
      </c>
      <c r="DR863" s="13"/>
      <c r="DS863" s="13"/>
      <c r="DT863" s="13"/>
      <c r="DU863" s="13" t="str">
        <f t="shared" si="1250"/>
        <v/>
      </c>
      <c r="DV863" s="14" t="str">
        <f t="shared" si="1251"/>
        <v/>
      </c>
      <c r="DW863" s="15"/>
    </row>
    <row r="864" spans="1:127" ht="15" customHeight="1" thickBot="1" x14ac:dyDescent="0.25">
      <c r="A864" s="26"/>
      <c r="B864" s="46"/>
      <c r="C864" s="27"/>
      <c r="D864" s="27"/>
      <c r="E864" s="27"/>
      <c r="F864" s="27"/>
      <c r="G864" s="27"/>
      <c r="H864" s="27"/>
      <c r="I864" s="27"/>
      <c r="J864" s="57"/>
      <c r="K864" s="62"/>
      <c r="L864" s="27"/>
      <c r="M864" s="28"/>
      <c r="N864" s="15"/>
      <c r="O864" s="2"/>
      <c r="P864" s="26"/>
      <c r="Q864" s="29"/>
      <c r="R864" s="131"/>
      <c r="S864" s="62"/>
      <c r="T864" s="27"/>
      <c r="U864" s="27"/>
      <c r="V864" s="27"/>
      <c r="W864" s="107"/>
      <c r="X864" s="57"/>
      <c r="Y864" s="62"/>
      <c r="Z864" s="27"/>
      <c r="AA864" s="28"/>
      <c r="AB864" s="15"/>
      <c r="AC864" s="15"/>
      <c r="AD864" s="26"/>
      <c r="AE864" s="29"/>
      <c r="AF864" s="61"/>
      <c r="AG864" s="62"/>
      <c r="AH864" s="27"/>
      <c r="AI864" s="27"/>
      <c r="AJ864" s="27"/>
      <c r="AK864" s="107"/>
      <c r="AL864" s="30"/>
      <c r="AM864" s="62"/>
      <c r="AN864" s="27"/>
      <c r="AO864" s="28"/>
      <c r="AP864" s="15"/>
      <c r="AQ864" s="113"/>
      <c r="AR864" s="26"/>
      <c r="AS864" s="29"/>
      <c r="AT864" s="61"/>
      <c r="AU864" s="62"/>
      <c r="AV864" s="27"/>
      <c r="AW864" s="27"/>
      <c r="AX864" s="27"/>
      <c r="AY864" s="107"/>
      <c r="AZ864" s="57"/>
      <c r="BA864" s="62"/>
      <c r="BB864" s="27"/>
      <c r="BC864" s="28"/>
      <c r="BD864" s="15"/>
      <c r="BT864" s="113"/>
      <c r="BU864" s="16"/>
      <c r="BV864" s="54"/>
      <c r="BW864" s="13" t="str">
        <f t="shared" si="1253"/>
        <v/>
      </c>
      <c r="BX864" s="13"/>
      <c r="BY864" s="13"/>
      <c r="BZ864" s="13"/>
      <c r="CA864" s="13" t="str">
        <f t="shared" si="1254"/>
        <v/>
      </c>
      <c r="CB864" s="13"/>
      <c r="CC864" s="13"/>
      <c r="CD864" s="13"/>
      <c r="CE864" s="13" t="str">
        <f t="shared" si="1245"/>
        <v/>
      </c>
      <c r="CF864" s="14" t="str">
        <f t="shared" si="1246"/>
        <v/>
      </c>
      <c r="CG864" s="15"/>
      <c r="CH864" s="1"/>
      <c r="CI864" s="16"/>
      <c r="CJ864" s="54"/>
      <c r="CK864" s="13" t="str">
        <f t="shared" si="1255"/>
        <v/>
      </c>
      <c r="CL864" s="13"/>
      <c r="CM864" s="13"/>
      <c r="CN864" s="13"/>
      <c r="CO864" s="13" t="str">
        <f t="shared" si="1256"/>
        <v/>
      </c>
      <c r="CP864" s="13"/>
      <c r="CQ864" s="13"/>
      <c r="CR864" s="13"/>
      <c r="CS864" s="13" t="str">
        <f t="shared" si="1247"/>
        <v/>
      </c>
      <c r="CT864" s="14" t="str">
        <f t="shared" si="1252"/>
        <v/>
      </c>
      <c r="CU864" s="15"/>
      <c r="CV864" s="1"/>
      <c r="CW864" s="16"/>
      <c r="CX864" s="54"/>
      <c r="CY864" s="13" t="str">
        <f t="shared" si="1257"/>
        <v/>
      </c>
      <c r="CZ864" s="13"/>
      <c r="DA864" s="13"/>
      <c r="DB864" s="13"/>
      <c r="DC864" s="13" t="str">
        <f t="shared" si="1258"/>
        <v/>
      </c>
      <c r="DD864" s="13"/>
      <c r="DE864" s="13"/>
      <c r="DF864" s="13"/>
      <c r="DG864" s="13" t="str">
        <f t="shared" si="1248"/>
        <v/>
      </c>
      <c r="DH864" s="14" t="str">
        <f t="shared" si="1249"/>
        <v/>
      </c>
      <c r="DI864" s="15"/>
      <c r="DJ864" s="1"/>
      <c r="DK864" s="16"/>
      <c r="DL864" s="54"/>
      <c r="DM864" s="13" t="str">
        <f t="shared" si="1259"/>
        <v/>
      </c>
      <c r="DN864" s="13"/>
      <c r="DO864" s="13"/>
      <c r="DP864" s="13"/>
      <c r="DQ864" s="13" t="str">
        <f t="shared" si="1260"/>
        <v/>
      </c>
      <c r="DR864" s="13"/>
      <c r="DS864" s="13"/>
      <c r="DT864" s="13"/>
      <c r="DU864" s="13" t="str">
        <f t="shared" si="1250"/>
        <v/>
      </c>
      <c r="DV864" s="14" t="str">
        <f t="shared" si="1251"/>
        <v/>
      </c>
      <c r="DW864" s="15"/>
    </row>
    <row r="865" spans="1:127" ht="15" customHeight="1" thickTop="1" x14ac:dyDescent="0.2">
      <c r="A865" s="79"/>
      <c r="B865" s="74"/>
      <c r="C865" s="53"/>
      <c r="D865" s="53"/>
      <c r="E865" s="53"/>
      <c r="F865" s="31"/>
      <c r="G865" s="53"/>
      <c r="H865" s="53"/>
      <c r="I865" s="53"/>
      <c r="J865" s="75"/>
      <c r="K865" s="76"/>
      <c r="L865" s="31"/>
      <c r="M865" s="32"/>
      <c r="N865" s="15"/>
      <c r="O865" s="2"/>
      <c r="P865" s="79"/>
      <c r="Q865" s="53"/>
      <c r="R865" s="53"/>
      <c r="S865" s="53"/>
      <c r="T865" s="31"/>
      <c r="U865" s="53"/>
      <c r="V865" s="53"/>
      <c r="W865" s="53"/>
      <c r="X865" s="75"/>
      <c r="Y865" s="76"/>
      <c r="Z865" s="31"/>
      <c r="AA865" s="32"/>
      <c r="AB865" s="15"/>
      <c r="AD865" s="79"/>
      <c r="AE865" s="53"/>
      <c r="AF865" s="53"/>
      <c r="AG865" s="53"/>
      <c r="AH865" s="31"/>
      <c r="AI865" s="53"/>
      <c r="AJ865" s="53"/>
      <c r="AK865" s="53"/>
      <c r="AL865" s="75"/>
      <c r="AM865" s="76"/>
      <c r="AN865" s="53"/>
      <c r="AO865" s="32"/>
      <c r="AP865" s="15"/>
      <c r="AQ865" s="115"/>
      <c r="AR865" s="79"/>
      <c r="AS865" s="53"/>
      <c r="AT865" s="53"/>
      <c r="AU865" s="53"/>
      <c r="AV865" s="31"/>
      <c r="AW865" s="53"/>
      <c r="AX865" s="53"/>
      <c r="AY865" s="80"/>
      <c r="AZ865" s="75"/>
      <c r="BA865" s="76"/>
      <c r="BB865" s="53"/>
      <c r="BC865" s="32"/>
      <c r="BD865" s="15"/>
      <c r="BT865" s="114"/>
      <c r="BU865" s="16"/>
      <c r="BV865" s="54"/>
      <c r="BW865" s="13"/>
      <c r="BX865" s="13"/>
      <c r="BY865" s="13"/>
      <c r="BZ865" s="13"/>
      <c r="CA865" s="13"/>
      <c r="CB865" s="13"/>
      <c r="CC865" s="13"/>
      <c r="CD865" s="13"/>
      <c r="CE865" s="13"/>
      <c r="CF865" s="14"/>
      <c r="CG865" s="15"/>
      <c r="CH865" s="1"/>
      <c r="CI865" s="16"/>
      <c r="CJ865" s="54"/>
      <c r="CK865" s="13"/>
      <c r="CL865" s="13"/>
      <c r="CM865" s="13"/>
      <c r="CN865" s="13"/>
      <c r="CO865" s="13"/>
      <c r="CP865" s="13"/>
      <c r="CQ865" s="13"/>
      <c r="CR865" s="13"/>
      <c r="CS865" s="13"/>
      <c r="CT865" s="14"/>
      <c r="CU865" s="15"/>
      <c r="CV865" s="1"/>
      <c r="CW865" s="16"/>
      <c r="CX865" s="54"/>
      <c r="CY865" s="13"/>
      <c r="CZ865" s="13"/>
      <c r="DA865" s="13"/>
      <c r="DB865" s="13"/>
      <c r="DC865" s="13"/>
      <c r="DD865" s="13"/>
      <c r="DE865" s="13"/>
      <c r="DF865" s="13"/>
      <c r="DG865" s="13"/>
      <c r="DH865" s="14"/>
      <c r="DI865" s="15"/>
      <c r="DJ865" s="1"/>
      <c r="DK865" s="16"/>
      <c r="DL865" s="54"/>
      <c r="DM865" s="13"/>
      <c r="DN865" s="13"/>
      <c r="DO865" s="13"/>
      <c r="DP865" s="13"/>
      <c r="DQ865" s="13"/>
      <c r="DR865" s="13"/>
      <c r="DS865" s="13"/>
      <c r="DT865" s="13"/>
      <c r="DU865" s="13"/>
      <c r="DV865" s="14"/>
      <c r="DW865" s="15"/>
    </row>
    <row r="866" spans="1:127" ht="15" customHeight="1" x14ac:dyDescent="0.2">
      <c r="A866" s="16"/>
      <c r="B866" s="11"/>
      <c r="C866" s="13"/>
      <c r="D866" s="13"/>
      <c r="E866" s="13"/>
      <c r="F866" s="13"/>
      <c r="G866" s="13"/>
      <c r="H866" s="50"/>
      <c r="I866" s="13"/>
      <c r="J866" s="56"/>
      <c r="K866" s="54"/>
      <c r="L866" s="13"/>
      <c r="M866" s="14"/>
      <c r="N866" s="15"/>
      <c r="O866" s="2"/>
      <c r="P866" s="16"/>
      <c r="Q866" s="13"/>
      <c r="R866" s="13"/>
      <c r="S866" s="13"/>
      <c r="T866" s="13"/>
      <c r="U866" s="13"/>
      <c r="V866" s="13"/>
      <c r="W866" s="13"/>
      <c r="X866" s="56"/>
      <c r="Y866" s="54"/>
      <c r="Z866" s="13"/>
      <c r="AA866" s="14"/>
      <c r="AB866" s="15"/>
      <c r="AD866" s="16"/>
      <c r="AE866" s="13"/>
      <c r="AF866" s="13"/>
      <c r="AG866" s="13"/>
      <c r="AH866" s="13"/>
      <c r="AI866" s="13"/>
      <c r="AJ866" s="50"/>
      <c r="AK866" s="13"/>
      <c r="AL866" s="56"/>
      <c r="AM866" s="54"/>
      <c r="AN866" s="13"/>
      <c r="AO866" s="14"/>
      <c r="AP866" s="15"/>
      <c r="AQ866" s="115"/>
      <c r="AR866" s="16"/>
      <c r="AS866" s="13"/>
      <c r="AT866" s="13"/>
      <c r="AU866" s="13"/>
      <c r="AV866" s="13"/>
      <c r="AW866" s="13"/>
      <c r="AX866" s="13"/>
      <c r="AY866" s="17"/>
      <c r="AZ866" s="56"/>
      <c r="BA866" s="54"/>
      <c r="BB866" s="13"/>
      <c r="BC866" s="14"/>
      <c r="BD866" s="15"/>
      <c r="BT866" s="114"/>
      <c r="BU866" s="16"/>
      <c r="BV866" s="54"/>
      <c r="BW866" s="13" t="str">
        <f>IF(BV866="","",BV866-#REF!)</f>
        <v/>
      </c>
      <c r="BX866" s="13"/>
      <c r="BY866" s="13"/>
      <c r="BZ866" s="13"/>
      <c r="CA866" s="13" t="str">
        <f>IF(BZ866="","",#REF!+#REF!-BZ866)</f>
        <v/>
      </c>
      <c r="CB866" s="13"/>
      <c r="CC866" s="13"/>
      <c r="CD866" s="13"/>
      <c r="CE866" s="13" t="str">
        <f>IF(CD866="","",CA866*CD866)</f>
        <v/>
      </c>
      <c r="CF866" s="14" t="str">
        <f>IF(CE866="","",CE866/(BW866*100))</f>
        <v/>
      </c>
      <c r="CG866" s="15"/>
      <c r="CH866" s="1"/>
      <c r="CI866" s="16"/>
      <c r="CJ866" s="54"/>
      <c r="CK866" s="13" t="str">
        <f>IF(CJ866="","",CJ866-#REF!)</f>
        <v/>
      </c>
      <c r="CL866" s="13"/>
      <c r="CM866" s="13"/>
      <c r="CN866" s="13"/>
      <c r="CO866" s="13" t="str">
        <f>IF(CN866="","",#REF!+#REF!-CN866)</f>
        <v/>
      </c>
      <c r="CP866" s="13"/>
      <c r="CQ866" s="13"/>
      <c r="CR866" s="13"/>
      <c r="CS866" s="13" t="str">
        <f>IF(CR866="","",CO866*CR866)</f>
        <v/>
      </c>
      <c r="CT866" s="14" t="str">
        <f>IF(CS866="","",CS866/(CK866*100))</f>
        <v/>
      </c>
      <c r="CU866" s="15"/>
      <c r="CV866" s="1"/>
      <c r="CW866" s="16"/>
      <c r="CX866" s="54"/>
      <c r="CY866" s="13" t="str">
        <f>IF(CX866="","",CX866-#REF!)</f>
        <v/>
      </c>
      <c r="CZ866" s="13"/>
      <c r="DA866" s="13"/>
      <c r="DB866" s="13"/>
      <c r="DC866" s="13" t="str">
        <f>IF(DB866="","",#REF!+#REF!-DB866)</f>
        <v/>
      </c>
      <c r="DD866" s="13"/>
      <c r="DE866" s="13"/>
      <c r="DF866" s="13"/>
      <c r="DG866" s="13" t="str">
        <f>IF(DF866="","",DC866*DF866)</f>
        <v/>
      </c>
      <c r="DH866" s="14" t="str">
        <f>IF(DG866="","",DG866/(CY866*100))</f>
        <v/>
      </c>
      <c r="DI866" s="15"/>
      <c r="DJ866" s="1"/>
      <c r="DK866" s="16"/>
      <c r="DL866" s="54"/>
      <c r="DM866" s="13" t="str">
        <f>IF(DL866="","",DL866-#REF!)</f>
        <v/>
      </c>
      <c r="DN866" s="13"/>
      <c r="DO866" s="13"/>
      <c r="DP866" s="13"/>
      <c r="DQ866" s="13" t="str">
        <f>IF(DP866="","",#REF!+#REF!-DP866)</f>
        <v/>
      </c>
      <c r="DR866" s="13"/>
      <c r="DS866" s="13"/>
      <c r="DT866" s="13"/>
      <c r="DU866" s="13" t="str">
        <f>IF(DT866="","",DQ866*DT866)</f>
        <v/>
      </c>
      <c r="DV866" s="14" t="str">
        <f>IF(DU866="","",DU866/(DM866*100))</f>
        <v/>
      </c>
      <c r="DW866" s="15"/>
    </row>
    <row r="867" spans="1:127" ht="15" customHeight="1" x14ac:dyDescent="0.2">
      <c r="A867" s="16"/>
      <c r="B867" s="11"/>
      <c r="C867" s="13"/>
      <c r="D867" s="13"/>
      <c r="E867" s="13"/>
      <c r="F867" s="13"/>
      <c r="G867" s="13"/>
      <c r="H867" s="13"/>
      <c r="I867" s="13"/>
      <c r="J867" s="56"/>
      <c r="K867" s="13"/>
      <c r="L867" s="13"/>
      <c r="M867" s="14"/>
      <c r="N867" s="15"/>
      <c r="O867" s="2"/>
      <c r="P867" s="16"/>
      <c r="Q867" s="13"/>
      <c r="R867" s="13"/>
      <c r="S867" s="13"/>
      <c r="T867" s="13"/>
      <c r="U867" s="13"/>
      <c r="V867" s="13"/>
      <c r="W867" s="13"/>
      <c r="X867" s="56"/>
      <c r="Y867" s="13"/>
      <c r="Z867" s="13"/>
      <c r="AA867" s="14"/>
      <c r="AB867" s="15"/>
      <c r="AD867" s="16"/>
      <c r="AE867" s="13"/>
      <c r="AF867" s="13"/>
      <c r="AG867" s="13"/>
      <c r="AH867" s="13"/>
      <c r="AI867" s="13"/>
      <c r="AJ867" s="13"/>
      <c r="AK867" s="13"/>
      <c r="AL867" s="56"/>
      <c r="AM867" s="13"/>
      <c r="AN867" s="13"/>
      <c r="AO867" s="14"/>
      <c r="AP867" s="92"/>
      <c r="AQ867" s="115"/>
      <c r="AR867" s="16"/>
      <c r="AS867" s="13"/>
      <c r="AT867" s="13"/>
      <c r="AU867" s="13"/>
      <c r="AV867" s="13"/>
      <c r="AW867" s="13"/>
      <c r="AX867" s="13"/>
      <c r="AY867" s="17"/>
      <c r="AZ867" s="56"/>
      <c r="BA867" s="13"/>
      <c r="BB867" s="13"/>
      <c r="BC867" s="14"/>
      <c r="BD867" s="15"/>
      <c r="BU867" s="16"/>
      <c r="BV867" s="54"/>
      <c r="BW867" s="13" t="str">
        <f>IF(BV867="","",BV867-BV866)</f>
        <v/>
      </c>
      <c r="BX867" s="13"/>
      <c r="BY867" s="13"/>
      <c r="BZ867" s="13"/>
      <c r="CA867" s="13" t="str">
        <f>IF(BZ867="","",BZ866+CB866-BZ867)</f>
        <v/>
      </c>
      <c r="CB867" s="13"/>
      <c r="CC867" s="13"/>
      <c r="CD867" s="13"/>
      <c r="CE867" s="13" t="str">
        <f>IF(CD867="","",CA867*CD867)</f>
        <v/>
      </c>
      <c r="CF867" s="14" t="str">
        <f>IF(CE867="","",CE867/(BW867*100))</f>
        <v/>
      </c>
      <c r="CG867" s="15"/>
      <c r="CH867" s="1"/>
      <c r="CI867" s="16"/>
      <c r="CJ867" s="54"/>
      <c r="CK867" s="13" t="str">
        <f>IF(CJ867="","",CJ867-CJ866)</f>
        <v/>
      </c>
      <c r="CL867" s="13"/>
      <c r="CM867" s="13"/>
      <c r="CN867" s="13"/>
      <c r="CO867" s="13" t="str">
        <f>IF(CN867="","",CN866+CP866-CN867)</f>
        <v/>
      </c>
      <c r="CP867" s="13"/>
      <c r="CQ867" s="13"/>
      <c r="CR867" s="13"/>
      <c r="CS867" s="13" t="str">
        <f>IF(CR867="","",CO867*CR867)</f>
        <v/>
      </c>
      <c r="CT867" s="14" t="str">
        <f>IF(CS867="","",CS867/(CK867*100))</f>
        <v/>
      </c>
      <c r="CU867" s="15"/>
      <c r="CV867" s="1"/>
      <c r="CW867" s="16"/>
      <c r="CX867" s="54"/>
      <c r="CY867" s="13" t="str">
        <f>IF(CX867="","",CX867-CX866)</f>
        <v/>
      </c>
      <c r="CZ867" s="13"/>
      <c r="DA867" s="13"/>
      <c r="DB867" s="13"/>
      <c r="DC867" s="13" t="str">
        <f>IF(DB867="","",DB866+DD866-DB867)</f>
        <v/>
      </c>
      <c r="DD867" s="13"/>
      <c r="DE867" s="13"/>
      <c r="DF867" s="13"/>
      <c r="DG867" s="13" t="str">
        <f>IF(DF867="","",DC867*DF867)</f>
        <v/>
      </c>
      <c r="DH867" s="14" t="str">
        <f>IF(DG867="","",DG867/(CY867*100))</f>
        <v/>
      </c>
      <c r="DI867" s="15"/>
      <c r="DJ867" s="1"/>
      <c r="DK867" s="16"/>
      <c r="DL867" s="54"/>
      <c r="DM867" s="13" t="str">
        <f>IF(DL867="","",DL867-DL866)</f>
        <v/>
      </c>
      <c r="DN867" s="13"/>
      <c r="DO867" s="13"/>
      <c r="DP867" s="13"/>
      <c r="DQ867" s="13" t="str">
        <f>IF(DP867="","",DP866+DR866-DP867)</f>
        <v/>
      </c>
      <c r="DR867" s="13"/>
      <c r="DS867" s="13"/>
      <c r="DT867" s="13"/>
      <c r="DU867" s="13" t="str">
        <f>IF(DT867="","",DQ867*DT867)</f>
        <v/>
      </c>
      <c r="DV867" s="14" t="str">
        <f>IF(DU867="","",DU867/(DM867*100))</f>
        <v/>
      </c>
      <c r="DW867" s="15"/>
    </row>
    <row r="868" spans="1:127" ht="15" customHeight="1" thickBot="1" x14ac:dyDescent="0.25">
      <c r="A868" s="26"/>
      <c r="B868" s="46"/>
      <c r="C868" s="27"/>
      <c r="D868" s="27"/>
      <c r="E868" s="27"/>
      <c r="F868" s="27"/>
      <c r="G868" s="27"/>
      <c r="H868" s="27"/>
      <c r="I868" s="27"/>
      <c r="J868" s="57"/>
      <c r="K868" s="62"/>
      <c r="L868" s="27"/>
      <c r="M868" s="28"/>
      <c r="N868" s="15"/>
      <c r="O868" s="2"/>
      <c r="P868" s="26"/>
      <c r="Q868" s="27"/>
      <c r="R868" s="27"/>
      <c r="S868" s="27"/>
      <c r="T868" s="27"/>
      <c r="U868" s="27"/>
      <c r="V868" s="27"/>
      <c r="W868" s="27"/>
      <c r="X868" s="57"/>
      <c r="Y868" s="62"/>
      <c r="Z868" s="27"/>
      <c r="AA868" s="28"/>
      <c r="AB868" s="15"/>
      <c r="AD868" s="26"/>
      <c r="AE868" s="27"/>
      <c r="AF868" s="27"/>
      <c r="AG868" s="27"/>
      <c r="AH868" s="27"/>
      <c r="AI868" s="27"/>
      <c r="AJ868" s="27"/>
      <c r="AK868" s="27"/>
      <c r="AL868" s="57"/>
      <c r="AM868" s="62"/>
      <c r="AN868" s="27"/>
      <c r="AO868" s="28"/>
      <c r="AP868" s="15"/>
      <c r="AQ868" s="115"/>
      <c r="AR868" s="26"/>
      <c r="AS868" s="27"/>
      <c r="AT868" s="27"/>
      <c r="AU868" s="27"/>
      <c r="AV868" s="27"/>
      <c r="AW868" s="27"/>
      <c r="AX868" s="27"/>
      <c r="AY868" s="107"/>
      <c r="AZ868" s="57"/>
      <c r="BA868" s="62"/>
      <c r="BB868" s="27"/>
      <c r="BC868" s="28"/>
      <c r="BD868" s="15"/>
      <c r="BU868" s="16"/>
      <c r="BV868" s="54"/>
      <c r="BW868" s="13" t="str">
        <f>IF(BV868="","",BV868-BV867)</f>
        <v/>
      </c>
      <c r="BX868" s="13"/>
      <c r="BY868" s="13"/>
      <c r="BZ868" s="13"/>
      <c r="CA868" s="13" t="str">
        <f>IF(BZ868="","",BZ867+CB867-BZ868)</f>
        <v/>
      </c>
      <c r="CB868" s="13"/>
      <c r="CC868" s="13"/>
      <c r="CD868" s="13"/>
      <c r="CE868" s="13" t="str">
        <f>IF(CD868="","",CA868*CD868)</f>
        <v/>
      </c>
      <c r="CF868" s="14" t="str">
        <f>IF(CE868="","",CE868/(BW868*100))</f>
        <v/>
      </c>
      <c r="CG868" s="15"/>
      <c r="CH868" s="1"/>
      <c r="CI868" s="16"/>
      <c r="CJ868" s="54"/>
      <c r="CK868" s="13" t="str">
        <f>IF(CJ868="","",CJ868-CJ867)</f>
        <v/>
      </c>
      <c r="CL868" s="13"/>
      <c r="CM868" s="13"/>
      <c r="CN868" s="13"/>
      <c r="CO868" s="13" t="str">
        <f>IF(CN868="","",CN867+CP867-CN868)</f>
        <v/>
      </c>
      <c r="CP868" s="13"/>
      <c r="CQ868" s="13"/>
      <c r="CR868" s="13"/>
      <c r="CS868" s="13" t="str">
        <f>IF(CR868="","",CO868*CR868)</f>
        <v/>
      </c>
      <c r="CT868" s="14" t="str">
        <f>IF(CS868="","",CS868/(CK868*100))</f>
        <v/>
      </c>
      <c r="CU868" s="15"/>
      <c r="CV868" s="1"/>
      <c r="CW868" s="16"/>
      <c r="CX868" s="54"/>
      <c r="CY868" s="13" t="str">
        <f>IF(CX868="","",CX868-CX867)</f>
        <v/>
      </c>
      <c r="CZ868" s="13"/>
      <c r="DA868" s="13"/>
      <c r="DB868" s="13"/>
      <c r="DC868" s="13" t="str">
        <f>IF(DB868="","",DB867+DD867-DB868)</f>
        <v/>
      </c>
      <c r="DD868" s="13"/>
      <c r="DE868" s="13"/>
      <c r="DF868" s="13"/>
      <c r="DG868" s="13" t="str">
        <f>IF(DF868="","",DC868*DF868)</f>
        <v/>
      </c>
      <c r="DH868" s="14" t="str">
        <f>IF(DG868="","",DG868/(CY868*100))</f>
        <v/>
      </c>
      <c r="DI868" s="15"/>
      <c r="DJ868" s="1"/>
      <c r="DK868" s="16"/>
      <c r="DL868" s="54"/>
      <c r="DM868" s="13" t="str">
        <f>IF(DL868="","",DL868-DL867)</f>
        <v/>
      </c>
      <c r="DN868" s="13"/>
      <c r="DO868" s="13"/>
      <c r="DP868" s="13"/>
      <c r="DQ868" s="13" t="str">
        <f>IF(DP868="","",DP867+DR867-DP868)</f>
        <v/>
      </c>
      <c r="DR868" s="13"/>
      <c r="DS868" s="13"/>
      <c r="DT868" s="13"/>
      <c r="DU868" s="13" t="str">
        <f>IF(DT868="","",DQ868*DT868)</f>
        <v/>
      </c>
      <c r="DV868" s="14" t="str">
        <f>IF(DU868="","",DU868/(DM868*100))</f>
        <v/>
      </c>
      <c r="DW868" s="15"/>
    </row>
    <row r="869" spans="1:127" ht="15" customHeight="1" thickTop="1" x14ac:dyDescent="0.2">
      <c r="A869" s="79"/>
      <c r="B869" s="74"/>
      <c r="C869" s="53"/>
      <c r="D869" s="53"/>
      <c r="E869" s="53"/>
      <c r="F869" s="53"/>
      <c r="G869" s="53"/>
      <c r="H869" s="53"/>
      <c r="I869" s="53"/>
      <c r="J869" s="75"/>
      <c r="K869" s="53"/>
      <c r="L869" s="53"/>
      <c r="M869" s="53"/>
      <c r="N869" s="15"/>
      <c r="O869" s="2"/>
      <c r="P869" s="79"/>
      <c r="Q869" s="53"/>
      <c r="R869" s="53"/>
      <c r="S869" s="53"/>
      <c r="T869" s="53"/>
      <c r="U869" s="53"/>
      <c r="V869" s="53"/>
      <c r="W869" s="53"/>
      <c r="X869" s="78"/>
      <c r="Y869" s="53"/>
      <c r="Z869" s="53"/>
      <c r="AA869" s="53"/>
      <c r="AB869" s="15"/>
      <c r="AD869" s="79"/>
      <c r="AE869" s="53"/>
      <c r="AF869" s="53"/>
      <c r="AG869" s="53"/>
      <c r="AH869" s="53"/>
      <c r="AI869" s="53"/>
      <c r="AJ869" s="53"/>
      <c r="AK869" s="53"/>
      <c r="AL869" s="75"/>
      <c r="AM869" s="53"/>
      <c r="AN869" s="53"/>
      <c r="AO869" s="53"/>
      <c r="AP869" s="15"/>
      <c r="AQ869" s="2"/>
      <c r="AR869" s="79"/>
      <c r="AS869" s="53"/>
      <c r="AT869" s="53"/>
      <c r="AU869" s="53"/>
      <c r="AV869" s="53"/>
      <c r="AW869" s="53"/>
      <c r="AX869" s="53"/>
      <c r="AY869" s="53"/>
      <c r="AZ869" s="75"/>
      <c r="BA869" s="53"/>
      <c r="BB869" s="53"/>
      <c r="BC869" s="53"/>
      <c r="BD869" s="15"/>
      <c r="BU869" s="16"/>
      <c r="BV869" s="54"/>
      <c r="BW869" s="13"/>
      <c r="BX869" s="13"/>
      <c r="BY869" s="13"/>
      <c r="BZ869" s="13"/>
      <c r="CA869" s="13" t="str">
        <f>IF(BZ869="","",BZ868+CB868-BZ869)</f>
        <v/>
      </c>
      <c r="CB869" s="13"/>
      <c r="CC869" s="13"/>
      <c r="CD869" s="13"/>
      <c r="CE869" s="13" t="str">
        <f>IF(CD869="","",CA869*CD869)</f>
        <v/>
      </c>
      <c r="CF869" s="14" t="str">
        <f>IF(CE869="","",CE869/(BW869*100))</f>
        <v/>
      </c>
      <c r="CG869" s="15"/>
      <c r="CH869" s="1"/>
      <c r="CI869" s="16"/>
      <c r="CJ869" s="54"/>
      <c r="CK869" s="13"/>
      <c r="CL869" s="13"/>
      <c r="CM869" s="13"/>
      <c r="CN869" s="13"/>
      <c r="CO869" s="13" t="str">
        <f>IF(CN869="","",CN868+CP868-CN869)</f>
        <v/>
      </c>
      <c r="CP869" s="13"/>
      <c r="CQ869" s="13"/>
      <c r="CR869" s="13"/>
      <c r="CS869" s="13" t="str">
        <f>IF(CR869="","",CO869*CR869)</f>
        <v/>
      </c>
      <c r="CT869" s="14" t="str">
        <f>IF(CS869="","",CS869/(CK869*100))</f>
        <v/>
      </c>
      <c r="CU869" s="15"/>
      <c r="CV869" s="1"/>
      <c r="CW869" s="16"/>
      <c r="CX869" s="54"/>
      <c r="CY869" s="13"/>
      <c r="CZ869" s="13"/>
      <c r="DA869" s="13"/>
      <c r="DB869" s="13"/>
      <c r="DC869" s="13" t="str">
        <f>IF(DB869="","",DB868+DD868-DB869)</f>
        <v/>
      </c>
      <c r="DD869" s="13"/>
      <c r="DE869" s="13"/>
      <c r="DF869" s="13"/>
      <c r="DG869" s="13" t="str">
        <f>IF(DF869="","",DC869*DF869)</f>
        <v/>
      </c>
      <c r="DH869" s="14" t="str">
        <f>IF(DG869="","",DG869/(CY869*100))</f>
        <v/>
      </c>
      <c r="DI869" s="15"/>
      <c r="DJ869" s="1"/>
      <c r="DK869" s="16"/>
      <c r="DL869" s="54"/>
      <c r="DM869" s="13"/>
      <c r="DN869" s="13"/>
      <c r="DO869" s="13"/>
      <c r="DP869" s="13"/>
      <c r="DQ869" s="13" t="str">
        <f>IF(DP869="","",DP868+DR868-DP869)</f>
        <v/>
      </c>
      <c r="DR869" s="13"/>
      <c r="DS869" s="13"/>
      <c r="DT869" s="13"/>
      <c r="DU869" s="13" t="str">
        <f>IF(DT869="","",DQ869*DT869)</f>
        <v/>
      </c>
      <c r="DV869" s="14" t="str">
        <f>IF(DU869="","",DU869/(DM869*100))</f>
        <v/>
      </c>
      <c r="DW869" s="15"/>
    </row>
    <row r="870" spans="1:127" ht="15" customHeight="1" x14ac:dyDescent="0.2">
      <c r="A870" s="79"/>
      <c r="B870" s="74"/>
      <c r="C870" s="53"/>
      <c r="D870" s="53"/>
      <c r="E870" s="53"/>
      <c r="F870" s="53"/>
      <c r="G870" s="53"/>
      <c r="H870" s="53"/>
      <c r="I870" s="53"/>
      <c r="J870" s="75"/>
      <c r="K870" s="53"/>
      <c r="L870" s="53"/>
      <c r="M870" s="53"/>
      <c r="N870" s="15"/>
      <c r="O870" s="2"/>
      <c r="P870" s="79"/>
      <c r="Q870" s="53"/>
      <c r="R870" s="53"/>
      <c r="S870" s="53"/>
      <c r="T870" s="53"/>
      <c r="U870" s="53"/>
      <c r="V870" s="53"/>
      <c r="W870" s="53"/>
      <c r="X870" s="78"/>
      <c r="Y870" s="53"/>
      <c r="Z870" s="53"/>
      <c r="AA870" s="53"/>
      <c r="AB870" s="15"/>
      <c r="AD870" s="79"/>
      <c r="AE870" s="53"/>
      <c r="AF870" s="53"/>
      <c r="AG870" s="53"/>
      <c r="AH870" s="53"/>
      <c r="AI870" s="53"/>
      <c r="AJ870" s="53"/>
      <c r="AK870" s="53"/>
      <c r="AL870" s="75"/>
      <c r="AM870" s="53"/>
      <c r="AN870" s="53"/>
      <c r="AO870" s="53"/>
      <c r="AP870" s="15"/>
      <c r="AQ870" s="2"/>
      <c r="AR870" s="79"/>
      <c r="AS870" s="53"/>
      <c r="AT870" s="53"/>
      <c r="AU870" s="53"/>
      <c r="AV870" s="53"/>
      <c r="AW870" s="53"/>
      <c r="AX870" s="53"/>
      <c r="AY870" s="53"/>
      <c r="AZ870" s="75"/>
      <c r="BA870" s="53"/>
      <c r="BB870" s="53"/>
      <c r="BC870" s="53"/>
      <c r="BD870" s="15"/>
      <c r="BU870" s="16"/>
      <c r="BV870" s="54"/>
      <c r="BW870" s="13"/>
      <c r="BX870" s="13"/>
      <c r="BY870" s="13"/>
      <c r="BZ870" s="13"/>
      <c r="CA870" s="13"/>
      <c r="CB870" s="13"/>
      <c r="CC870" s="13"/>
      <c r="CD870" s="13"/>
      <c r="CE870" s="13"/>
      <c r="CF870" s="14"/>
      <c r="CG870" s="15"/>
      <c r="CH870" s="1"/>
      <c r="CI870" s="16"/>
      <c r="CJ870" s="54"/>
      <c r="CK870" s="13"/>
      <c r="CL870" s="13"/>
      <c r="CM870" s="13"/>
      <c r="CN870" s="13"/>
      <c r="CO870" s="13"/>
      <c r="CP870" s="13"/>
      <c r="CQ870" s="13"/>
      <c r="CR870" s="13"/>
      <c r="CS870" s="13"/>
      <c r="CT870" s="14"/>
      <c r="CU870" s="15"/>
      <c r="CV870" s="1"/>
      <c r="CW870" s="16"/>
      <c r="CX870" s="54"/>
      <c r="CY870" s="13"/>
      <c r="CZ870" s="13"/>
      <c r="DA870" s="13"/>
      <c r="DB870" s="13"/>
      <c r="DC870" s="13"/>
      <c r="DD870" s="13"/>
      <c r="DE870" s="13"/>
      <c r="DF870" s="13"/>
      <c r="DG870" s="13"/>
      <c r="DH870" s="14"/>
      <c r="DI870" s="15"/>
      <c r="DJ870" s="1"/>
      <c r="DK870" s="16"/>
      <c r="DL870" s="54"/>
      <c r="DM870" s="13"/>
      <c r="DN870" s="13"/>
      <c r="DO870" s="13"/>
      <c r="DP870" s="13"/>
      <c r="DQ870" s="13"/>
      <c r="DR870" s="13"/>
      <c r="DS870" s="13"/>
      <c r="DT870" s="13"/>
      <c r="DU870" s="13"/>
      <c r="DV870" s="14"/>
      <c r="DW870" s="15"/>
    </row>
    <row r="871" spans="1:127" ht="15" customHeight="1" x14ac:dyDescent="0.2">
      <c r="A871" s="79"/>
      <c r="B871" s="74"/>
      <c r="C871" s="53"/>
      <c r="D871" s="53"/>
      <c r="E871" s="53"/>
      <c r="F871" s="53"/>
      <c r="G871" s="53"/>
      <c r="H871" s="53"/>
      <c r="I871" s="53"/>
      <c r="J871" s="75"/>
      <c r="K871" s="53"/>
      <c r="L871" s="53"/>
      <c r="M871" s="53"/>
      <c r="N871" s="15"/>
      <c r="O871" s="2"/>
      <c r="P871" s="79"/>
      <c r="Q871" s="53"/>
      <c r="R871" s="53"/>
      <c r="S871" s="53"/>
      <c r="T871" s="53"/>
      <c r="U871" s="53"/>
      <c r="V871" s="53"/>
      <c r="W871" s="53"/>
      <c r="X871" s="78"/>
      <c r="Y871" s="53"/>
      <c r="Z871" s="53"/>
      <c r="AA871" s="53"/>
      <c r="AB871" s="15"/>
      <c r="AD871" s="79"/>
      <c r="AE871" s="53"/>
      <c r="AF871" s="53"/>
      <c r="AG871" s="53"/>
      <c r="AH871" s="53"/>
      <c r="AI871" s="53"/>
      <c r="AJ871" s="53"/>
      <c r="AK871" s="53"/>
      <c r="AL871" s="75"/>
      <c r="AM871" s="53"/>
      <c r="AN871" s="53"/>
      <c r="AO871" s="53"/>
      <c r="AP871" s="15"/>
      <c r="AQ871" s="2"/>
      <c r="AR871" s="79"/>
      <c r="AS871" s="53"/>
      <c r="AT871" s="53"/>
      <c r="AU871" s="53"/>
      <c r="AV871" s="53"/>
      <c r="AW871" s="53"/>
      <c r="AX871" s="53"/>
      <c r="AY871" s="53"/>
      <c r="AZ871" s="75"/>
      <c r="BA871" s="53"/>
      <c r="BB871" s="53"/>
      <c r="BC871" s="53"/>
      <c r="BD871" s="15"/>
      <c r="BU871" s="16"/>
      <c r="BV871" s="54"/>
      <c r="BW871" s="13"/>
      <c r="BX871" s="13"/>
      <c r="BY871" s="13"/>
      <c r="BZ871" s="13"/>
      <c r="CA871" s="13"/>
      <c r="CB871" s="13"/>
      <c r="CC871" s="13"/>
      <c r="CD871" s="13"/>
      <c r="CE871" s="13"/>
      <c r="CF871" s="14"/>
      <c r="CG871" s="15"/>
      <c r="CH871" s="1"/>
      <c r="CI871" s="16"/>
      <c r="CJ871" s="54"/>
      <c r="CK871" s="13"/>
      <c r="CL871" s="13"/>
      <c r="CM871" s="13"/>
      <c r="CN871" s="13"/>
      <c r="CO871" s="13"/>
      <c r="CP871" s="13"/>
      <c r="CQ871" s="13"/>
      <c r="CR871" s="13"/>
      <c r="CS871" s="13"/>
      <c r="CT871" s="14"/>
      <c r="CU871" s="15"/>
      <c r="CV871" s="1"/>
      <c r="CW871" s="16"/>
      <c r="CX871" s="54"/>
      <c r="CY871" s="13"/>
      <c r="CZ871" s="13"/>
      <c r="DA871" s="13"/>
      <c r="DB871" s="13"/>
      <c r="DC871" s="13"/>
      <c r="DD871" s="13"/>
      <c r="DE871" s="13"/>
      <c r="DF871" s="13"/>
      <c r="DG871" s="13"/>
      <c r="DH871" s="14"/>
      <c r="DI871" s="15"/>
      <c r="DJ871" s="1"/>
      <c r="DK871" s="16"/>
      <c r="DL871" s="54"/>
      <c r="DM871" s="13"/>
      <c r="DN871" s="13"/>
      <c r="DO871" s="13"/>
      <c r="DP871" s="13"/>
      <c r="DQ871" s="13"/>
      <c r="DR871" s="13"/>
      <c r="DS871" s="13"/>
      <c r="DT871" s="13"/>
      <c r="DU871" s="13"/>
      <c r="DV871" s="14"/>
      <c r="DW871" s="15"/>
    </row>
    <row r="872" spans="1:127" ht="15" customHeight="1" x14ac:dyDescent="0.2">
      <c r="A872" s="79"/>
      <c r="B872" s="74"/>
      <c r="C872" s="53"/>
      <c r="D872" s="53"/>
      <c r="E872" s="53"/>
      <c r="F872" s="53"/>
      <c r="G872" s="53"/>
      <c r="H872" s="53"/>
      <c r="I872" s="53"/>
      <c r="J872" s="75"/>
      <c r="K872" s="53"/>
      <c r="L872" s="53"/>
      <c r="M872" s="53"/>
      <c r="N872" s="15"/>
      <c r="O872" s="2"/>
      <c r="P872" s="79"/>
      <c r="Q872" s="53"/>
      <c r="R872" s="53"/>
      <c r="S872" s="53"/>
      <c r="T872" s="53"/>
      <c r="U872" s="53"/>
      <c r="V872" s="53"/>
      <c r="W872" s="53"/>
      <c r="X872" s="78"/>
      <c r="Y872" s="53"/>
      <c r="Z872" s="53"/>
      <c r="AA872" s="53"/>
      <c r="AB872" s="15"/>
      <c r="AD872" s="79"/>
      <c r="AE872" s="53"/>
      <c r="AF872" s="53"/>
      <c r="AG872" s="53"/>
      <c r="AH872" s="53"/>
      <c r="AI872" s="53"/>
      <c r="AJ872" s="53"/>
      <c r="AK872" s="53"/>
      <c r="AL872" s="75"/>
      <c r="AM872" s="53"/>
      <c r="AN872" s="53"/>
      <c r="AO872" s="53"/>
      <c r="AP872" s="15"/>
      <c r="AQ872" s="2"/>
      <c r="AR872" s="79"/>
      <c r="AS872" s="53"/>
      <c r="AT872" s="53"/>
      <c r="AU872" s="53"/>
      <c r="AV872" s="53"/>
      <c r="AW872" s="53"/>
      <c r="AX872" s="53"/>
      <c r="AY872" s="53"/>
      <c r="AZ872" s="75"/>
      <c r="BA872" s="53"/>
      <c r="BB872" s="53"/>
      <c r="BC872" s="53"/>
      <c r="BD872" s="15"/>
      <c r="BU872" s="16"/>
      <c r="BV872" s="54"/>
      <c r="BW872" s="13"/>
      <c r="BX872" s="13"/>
      <c r="BY872" s="13"/>
      <c r="BZ872" s="13"/>
      <c r="CA872" s="13"/>
      <c r="CB872" s="13"/>
      <c r="CC872" s="13"/>
      <c r="CD872" s="13"/>
      <c r="CE872" s="13"/>
      <c r="CF872" s="14"/>
      <c r="CG872" s="15"/>
      <c r="CH872" s="1"/>
      <c r="CI872" s="16"/>
      <c r="CJ872" s="54"/>
      <c r="CK872" s="13"/>
      <c r="CL872" s="13"/>
      <c r="CM872" s="13"/>
      <c r="CN872" s="13"/>
      <c r="CO872" s="13"/>
      <c r="CP872" s="13"/>
      <c r="CQ872" s="13"/>
      <c r="CR872" s="13"/>
      <c r="CS872" s="13"/>
      <c r="CT872" s="14"/>
      <c r="CU872" s="15"/>
      <c r="CV872" s="1"/>
      <c r="CW872" s="16"/>
      <c r="CX872" s="54"/>
      <c r="CY872" s="13"/>
      <c r="CZ872" s="13"/>
      <c r="DA872" s="13"/>
      <c r="DB872" s="13"/>
      <c r="DC872" s="13"/>
      <c r="DD872" s="13"/>
      <c r="DE872" s="13"/>
      <c r="DF872" s="13"/>
      <c r="DG872" s="13"/>
      <c r="DH872" s="14"/>
      <c r="DI872" s="15"/>
      <c r="DJ872" s="1"/>
      <c r="DK872" s="16"/>
      <c r="DL872" s="54"/>
      <c r="DM872" s="13"/>
      <c r="DN872" s="13"/>
      <c r="DO872" s="13"/>
      <c r="DP872" s="13"/>
      <c r="DQ872" s="13"/>
      <c r="DR872" s="13"/>
      <c r="DS872" s="13"/>
      <c r="DT872" s="13"/>
      <c r="DU872" s="13"/>
      <c r="DV872" s="14"/>
      <c r="DW872" s="15"/>
    </row>
    <row r="873" spans="1:127" ht="15" customHeight="1" x14ac:dyDescent="0.2">
      <c r="A873" s="59">
        <v>29</v>
      </c>
      <c r="B873" s="74"/>
      <c r="C873" s="5" t="s">
        <v>19</v>
      </c>
      <c r="D873" s="13">
        <f>SUM(D817:D869)*100</f>
        <v>344900</v>
      </c>
      <c r="E873" s="13"/>
      <c r="F873" s="13"/>
      <c r="G873" s="5"/>
      <c r="H873" s="13"/>
      <c r="I873" s="13"/>
      <c r="J873" s="271" t="s">
        <v>21</v>
      </c>
      <c r="K873" s="271"/>
      <c r="L873" s="13">
        <f>SUM(L817:L869)</f>
        <v>48400</v>
      </c>
      <c r="M873" s="13"/>
      <c r="N873" s="15"/>
      <c r="O873" s="2"/>
      <c r="P873" s="16"/>
      <c r="Q873" s="5" t="s">
        <v>19</v>
      </c>
      <c r="R873" s="13">
        <f>SUM(R817:R869)*100</f>
        <v>376200</v>
      </c>
      <c r="S873" s="13"/>
      <c r="T873" s="13"/>
      <c r="U873" s="5"/>
      <c r="V873" s="13"/>
      <c r="W873" s="13"/>
      <c r="X873" s="271" t="s">
        <v>21</v>
      </c>
      <c r="Y873" s="271"/>
      <c r="Z873" s="13">
        <f>SUM(Z817:Z869)</f>
        <v>57526</v>
      </c>
      <c r="AA873" s="13"/>
      <c r="AB873" s="15"/>
      <c r="AD873" s="16"/>
      <c r="AE873" s="5" t="s">
        <v>19</v>
      </c>
      <c r="AF873" s="13">
        <f>SUM(AF817:AF869)*100</f>
        <v>259800</v>
      </c>
      <c r="AG873" s="13"/>
      <c r="AH873" s="13"/>
      <c r="AI873" s="5"/>
      <c r="AJ873" s="13"/>
      <c r="AK873" s="13"/>
      <c r="AL873" s="271" t="s">
        <v>21</v>
      </c>
      <c r="AM873" s="271"/>
      <c r="AN873" s="13">
        <f>SUM(AN817:AN869)</f>
        <v>51306</v>
      </c>
      <c r="AO873" s="13"/>
      <c r="AP873" s="15"/>
      <c r="AQ873" s="2"/>
      <c r="AR873" s="16"/>
      <c r="AS873" s="5" t="s">
        <v>19</v>
      </c>
      <c r="AT873" s="13">
        <f>SUM(AT817:AT869)*100</f>
        <v>310300</v>
      </c>
      <c r="AU873" s="13"/>
      <c r="AV873" s="13"/>
      <c r="AW873" s="5"/>
      <c r="AX873" s="13"/>
      <c r="AY873" s="13"/>
      <c r="AZ873" s="271" t="s">
        <v>21</v>
      </c>
      <c r="BA873" s="271"/>
      <c r="BB873" s="13">
        <f>SUM(BB817:BB869)</f>
        <v>93404</v>
      </c>
      <c r="BC873" s="13"/>
      <c r="BD873" s="15"/>
      <c r="BU873" s="16"/>
      <c r="BV873" s="69" t="s">
        <v>19</v>
      </c>
      <c r="BW873" s="13">
        <f>SUM(BW817:BW869)*100</f>
        <v>130700</v>
      </c>
      <c r="BX873" s="13"/>
      <c r="BY873" s="13"/>
      <c r="BZ873" s="5"/>
      <c r="CA873" s="13"/>
      <c r="CB873" s="13"/>
      <c r="CC873" s="13"/>
      <c r="CD873" s="13"/>
      <c r="CE873" s="13"/>
      <c r="CF873" s="13"/>
      <c r="CG873" s="15"/>
      <c r="CH873" s="1"/>
      <c r="CI873" s="16"/>
      <c r="CJ873" s="69" t="s">
        <v>19</v>
      </c>
      <c r="CK873" s="13">
        <f>SUM(CK817:CK869)*100</f>
        <v>74500</v>
      </c>
      <c r="CL873" s="13"/>
      <c r="CM873" s="13"/>
      <c r="CN873" s="5"/>
      <c r="CO873" s="13"/>
      <c r="CP873" s="13"/>
      <c r="CQ873" s="13"/>
      <c r="CR873" s="13"/>
      <c r="CS873" s="13"/>
      <c r="CT873" s="13"/>
      <c r="CU873" s="15"/>
      <c r="CV873" s="1"/>
      <c r="CW873" s="16"/>
      <c r="CX873" s="69" t="s">
        <v>19</v>
      </c>
      <c r="CY873" s="13">
        <f>SUM(CY817:CY869)*100</f>
        <v>159200</v>
      </c>
      <c r="CZ873" s="13"/>
      <c r="DA873" s="13"/>
      <c r="DB873" s="5"/>
      <c r="DC873" s="13"/>
      <c r="DD873" s="13"/>
      <c r="DE873" s="13"/>
      <c r="DF873" s="13"/>
      <c r="DG873" s="13"/>
      <c r="DH873" s="13"/>
      <c r="DI873" s="15"/>
      <c r="DJ873" s="1"/>
      <c r="DK873" s="16"/>
      <c r="DL873" s="69" t="s">
        <v>19</v>
      </c>
      <c r="DM873" s="13">
        <f>SUM(DM817:DM869)*100</f>
        <v>100800</v>
      </c>
      <c r="DN873" s="13"/>
      <c r="DO873" s="13"/>
      <c r="DP873" s="5"/>
      <c r="DQ873" s="13"/>
      <c r="DR873" s="13"/>
      <c r="DS873" s="13"/>
      <c r="DT873" s="13"/>
      <c r="DU873" s="13"/>
      <c r="DV873" s="13"/>
      <c r="DW873" s="15"/>
    </row>
    <row r="874" spans="1:127" ht="15" customHeight="1" x14ac:dyDescent="0.2">
      <c r="A874" s="94">
        <f>DATEDIF(A$923,A$849,"d")</f>
        <v>29</v>
      </c>
      <c r="B874">
        <f>SUMIF(B816:B869,"&gt;=0")</f>
        <v>17564</v>
      </c>
      <c r="C874" s="5" t="s">
        <v>22</v>
      </c>
      <c r="D874" s="13">
        <f>D873/A874</f>
        <v>11893.103448275862</v>
      </c>
      <c r="E874" s="13">
        <f>D874*A873</f>
        <v>344900</v>
      </c>
      <c r="F874" s="13"/>
      <c r="G874" s="5"/>
      <c r="H874" s="13"/>
      <c r="I874" s="13"/>
      <c r="J874" s="271" t="s">
        <v>23</v>
      </c>
      <c r="K874" s="271"/>
      <c r="L874" s="13"/>
      <c r="M874" s="36">
        <f>L873/D873</f>
        <v>0.14033053058857639</v>
      </c>
      <c r="N874" s="15"/>
      <c r="O874" s="2"/>
      <c r="P874" s="33"/>
      <c r="Q874" s="5" t="s">
        <v>22</v>
      </c>
      <c r="R874" s="13">
        <f>R873/A874</f>
        <v>12972.413793103447</v>
      </c>
      <c r="S874" s="13">
        <f>R874*A873</f>
        <v>376200</v>
      </c>
      <c r="T874" s="13"/>
      <c r="U874" s="5"/>
      <c r="V874" s="13"/>
      <c r="W874" s="13"/>
      <c r="X874" s="271" t="s">
        <v>23</v>
      </c>
      <c r="Y874" s="271"/>
      <c r="Z874" s="13"/>
      <c r="AA874" s="36">
        <f>Z873/R873</f>
        <v>0.15291334396597556</v>
      </c>
      <c r="AB874" s="15"/>
      <c r="AD874" s="51"/>
      <c r="AE874" s="5" t="s">
        <v>22</v>
      </c>
      <c r="AF874" s="13">
        <f>AF873/A874</f>
        <v>8958.6206896551721</v>
      </c>
      <c r="AG874" s="13">
        <f>AF874*A873</f>
        <v>259800</v>
      </c>
      <c r="AH874" s="13"/>
      <c r="AI874" s="5"/>
      <c r="AJ874" s="13"/>
      <c r="AK874" s="13"/>
      <c r="AL874" s="271" t="s">
        <v>23</v>
      </c>
      <c r="AM874" s="271"/>
      <c r="AN874" s="13"/>
      <c r="AO874" s="36">
        <f>AN873/AF873</f>
        <v>0.19748267898383373</v>
      </c>
      <c r="AP874" s="15"/>
      <c r="AQ874" s="2"/>
      <c r="AR874" s="33"/>
      <c r="AS874" s="5" t="s">
        <v>22</v>
      </c>
      <c r="AT874" s="13">
        <f>AT873/A874</f>
        <v>10700</v>
      </c>
      <c r="AU874" s="13">
        <f>AT874*A873</f>
        <v>310300</v>
      </c>
      <c r="AV874" s="13"/>
      <c r="AW874" s="5"/>
      <c r="AX874" s="13"/>
      <c r="AY874" s="13"/>
      <c r="AZ874" s="271" t="s">
        <v>23</v>
      </c>
      <c r="BA874" s="271"/>
      <c r="BB874" s="13"/>
      <c r="BC874" s="36">
        <f>BB873/AT873</f>
        <v>0.30101192394456977</v>
      </c>
      <c r="BD874" s="15"/>
      <c r="BU874" s="16"/>
      <c r="BV874" s="69" t="s">
        <v>22</v>
      </c>
      <c r="BW874" s="13">
        <f>BW873/A874</f>
        <v>4506.8965517241377</v>
      </c>
      <c r="BX874" s="13">
        <f>BW874*A873</f>
        <v>130700</v>
      </c>
      <c r="BY874" s="13"/>
      <c r="BZ874" s="5"/>
      <c r="CA874" s="13"/>
      <c r="CB874" s="13"/>
      <c r="CC874" s="13"/>
      <c r="CD874" s="13"/>
      <c r="CE874" s="13"/>
      <c r="CF874" s="13"/>
      <c r="CG874" s="15"/>
      <c r="CH874" s="1"/>
      <c r="CI874" s="16"/>
      <c r="CJ874" s="69" t="s">
        <v>22</v>
      </c>
      <c r="CK874" s="13">
        <f>CK873/A874</f>
        <v>2568.9655172413795</v>
      </c>
      <c r="CL874" s="13">
        <f>CK874*A873</f>
        <v>74500</v>
      </c>
      <c r="CM874" s="13"/>
      <c r="CN874" s="5"/>
      <c r="CO874" s="13"/>
      <c r="CP874" s="13"/>
      <c r="CQ874" s="13"/>
      <c r="CR874" s="13"/>
      <c r="CS874" s="13"/>
      <c r="CT874" s="13"/>
      <c r="CU874" s="15"/>
      <c r="CV874" s="1"/>
      <c r="CW874" s="16"/>
      <c r="CX874" s="69" t="s">
        <v>22</v>
      </c>
      <c r="CY874" s="13">
        <f>CY873/A874</f>
        <v>5489.6551724137935</v>
      </c>
      <c r="CZ874" s="13">
        <f>CY874*A873</f>
        <v>159200</v>
      </c>
      <c r="DA874" s="13"/>
      <c r="DB874" s="5"/>
      <c r="DC874" s="13"/>
      <c r="DD874" s="13"/>
      <c r="DE874" s="13"/>
      <c r="DF874" s="13"/>
      <c r="DG874" s="13"/>
      <c r="DH874" s="13"/>
      <c r="DI874" s="15"/>
      <c r="DJ874" s="1"/>
      <c r="DK874" s="16"/>
      <c r="DL874" s="69" t="s">
        <v>22</v>
      </c>
      <c r="DM874" s="13">
        <f>DM873/A874</f>
        <v>3475.8620689655172</v>
      </c>
      <c r="DN874" s="13">
        <f>DM874*A873</f>
        <v>100800</v>
      </c>
      <c r="DO874" s="13"/>
      <c r="DP874" s="5"/>
      <c r="DQ874" s="13"/>
      <c r="DR874" s="13"/>
      <c r="DS874" s="13"/>
      <c r="DT874" s="13"/>
      <c r="DU874" s="13"/>
      <c r="DV874" s="13"/>
      <c r="DW874" s="15"/>
    </row>
    <row r="875" spans="1:127" ht="15" customHeight="1" x14ac:dyDescent="0.2">
      <c r="A875" s="44" t="s">
        <v>22</v>
      </c>
      <c r="B875" s="81">
        <f>B874/A874</f>
        <v>605.65517241379314</v>
      </c>
      <c r="C875" s="69" t="s">
        <v>25</v>
      </c>
      <c r="D875" s="13">
        <f>D873*0.6</f>
        <v>206940</v>
      </c>
      <c r="E875" s="13"/>
      <c r="F875" s="13"/>
      <c r="G875" s="5"/>
      <c r="H875" s="13"/>
      <c r="I875" s="13"/>
      <c r="J875" s="271" t="s">
        <v>26</v>
      </c>
      <c r="K875" s="271"/>
      <c r="L875" s="13">
        <f>D875-L873</f>
        <v>158540</v>
      </c>
      <c r="M875" s="36">
        <f>L875/D873</f>
        <v>0.45966946941142361</v>
      </c>
      <c r="N875" s="15"/>
      <c r="O875" s="2"/>
      <c r="P875" s="16"/>
      <c r="Q875" s="69" t="s">
        <v>25</v>
      </c>
      <c r="R875" s="13">
        <f>R873*0.6</f>
        <v>225720</v>
      </c>
      <c r="S875" s="13"/>
      <c r="T875" s="13"/>
      <c r="U875" s="5"/>
      <c r="V875" s="13"/>
      <c r="W875" s="13"/>
      <c r="X875" s="271" t="s">
        <v>26</v>
      </c>
      <c r="Y875" s="271"/>
      <c r="Z875" s="13">
        <f>R875-Z873</f>
        <v>168194</v>
      </c>
      <c r="AA875" s="36">
        <f>Z875/R873</f>
        <v>0.44708665603402448</v>
      </c>
      <c r="AB875" s="15"/>
      <c r="AD875" s="16"/>
      <c r="AE875" s="69" t="s">
        <v>25</v>
      </c>
      <c r="AF875" s="13">
        <f>AF873*0.6</f>
        <v>155880</v>
      </c>
      <c r="AG875" s="13"/>
      <c r="AH875" s="13"/>
      <c r="AI875" s="5"/>
      <c r="AJ875" s="13"/>
      <c r="AK875" s="13"/>
      <c r="AL875" s="271" t="s">
        <v>26</v>
      </c>
      <c r="AM875" s="271"/>
      <c r="AN875" s="13">
        <f>AF875-AN873</f>
        <v>104574</v>
      </c>
      <c r="AO875" s="36">
        <f>AN875/AF873</f>
        <v>0.40251732101616627</v>
      </c>
      <c r="AP875" s="15"/>
      <c r="AQ875" s="2"/>
      <c r="AR875" s="16"/>
      <c r="AS875" s="69" t="s">
        <v>25</v>
      </c>
      <c r="AT875" s="13">
        <f>AT873*0.6</f>
        <v>186180</v>
      </c>
      <c r="AU875" s="13"/>
      <c r="AV875" s="13"/>
      <c r="AW875" s="5"/>
      <c r="AX875" s="13"/>
      <c r="AY875" s="13"/>
      <c r="AZ875" s="271" t="s">
        <v>26</v>
      </c>
      <c r="BA875" s="271"/>
      <c r="BB875" s="13">
        <f>AT875-BB873</f>
        <v>92776</v>
      </c>
      <c r="BC875" s="36">
        <f>BB875/AT873</f>
        <v>0.29898807605543021</v>
      </c>
      <c r="BD875" s="15"/>
      <c r="BU875" s="16"/>
      <c r="BV875" s="69" t="s">
        <v>25</v>
      </c>
      <c r="BW875" s="13">
        <f>BW873*0.6</f>
        <v>78420</v>
      </c>
      <c r="BX875" s="13"/>
      <c r="BY875" s="13"/>
      <c r="BZ875" s="5" t="s">
        <v>24</v>
      </c>
      <c r="CA875" s="13">
        <f>SUM(CE817:CE869)</f>
        <v>23485</v>
      </c>
      <c r="CB875" s="36">
        <f>CA875/BW873</f>
        <v>0.17968630451415454</v>
      </c>
      <c r="CC875" s="36"/>
      <c r="CD875" s="13"/>
      <c r="CE875" s="13"/>
      <c r="CF875" s="13"/>
      <c r="CG875" s="15"/>
      <c r="CH875" s="1"/>
      <c r="CI875" s="16"/>
      <c r="CJ875" s="69" t="s">
        <v>25</v>
      </c>
      <c r="CK875" s="13">
        <f>CK873*0.6</f>
        <v>44700</v>
      </c>
      <c r="CL875" s="13"/>
      <c r="CM875" s="13"/>
      <c r="CN875" s="5" t="s">
        <v>24</v>
      </c>
      <c r="CO875" s="13">
        <f>SUM(CS817:CS869)</f>
        <v>12144</v>
      </c>
      <c r="CP875" s="36">
        <f>CO875/CK873</f>
        <v>0.16300671140939596</v>
      </c>
      <c r="CQ875" s="36"/>
      <c r="CR875" s="13"/>
      <c r="CS875" s="13"/>
      <c r="CT875" s="13"/>
      <c r="CU875" s="15"/>
      <c r="CV875" s="1"/>
      <c r="CW875" s="16"/>
      <c r="CX875" s="69" t="s">
        <v>25</v>
      </c>
      <c r="CY875" s="13">
        <f>CY873*0.6</f>
        <v>95520</v>
      </c>
      <c r="CZ875" s="13"/>
      <c r="DA875" s="13"/>
      <c r="DB875" s="5" t="s">
        <v>24</v>
      </c>
      <c r="DC875" s="13">
        <f>SUM(DG817:DG869)</f>
        <v>45760</v>
      </c>
      <c r="DD875" s="36">
        <f>DC875/CY873</f>
        <v>0.28743718592964823</v>
      </c>
      <c r="DE875" s="36"/>
      <c r="DF875" s="13"/>
      <c r="DG875" s="13"/>
      <c r="DH875" s="13"/>
      <c r="DI875" s="15"/>
      <c r="DJ875" s="1"/>
      <c r="DK875" s="16"/>
      <c r="DL875" s="69" t="s">
        <v>25</v>
      </c>
      <c r="DM875" s="13">
        <f>DM873*0.6</f>
        <v>60480</v>
      </c>
      <c r="DN875" s="13"/>
      <c r="DO875" s="13"/>
      <c r="DP875" s="5" t="s">
        <v>24</v>
      </c>
      <c r="DQ875" s="13">
        <f>SUM(DU817:DU869)</f>
        <v>33116</v>
      </c>
      <c r="DR875" s="36">
        <f>DQ875/DM873</f>
        <v>0.32853174603174601</v>
      </c>
      <c r="DS875" s="36"/>
      <c r="DT875" s="13"/>
      <c r="DU875" s="13"/>
      <c r="DV875" s="13"/>
      <c r="DW875" s="15"/>
    </row>
    <row r="876" spans="1:127" ht="15" customHeight="1" x14ac:dyDescent="0.2">
      <c r="A876" s="79"/>
      <c r="B876" s="74">
        <f>B875*A873</f>
        <v>17564</v>
      </c>
      <c r="C876" s="5" t="s">
        <v>27</v>
      </c>
      <c r="D876" s="13">
        <f>D947</f>
        <v>307600</v>
      </c>
      <c r="E876" s="13"/>
      <c r="F876" s="13"/>
      <c r="G876" s="5"/>
      <c r="H876" s="13"/>
      <c r="I876" s="24"/>
      <c r="J876" s="272" t="s">
        <v>29</v>
      </c>
      <c r="K876" s="272"/>
      <c r="L876" s="53">
        <f>(G849+I849)*K849+(G850+I850)*K850+(G851+I851)*K851+(G852+I852)*K852</f>
        <v>74736</v>
      </c>
      <c r="M876" s="14"/>
      <c r="N876" s="15"/>
      <c r="O876" s="2"/>
      <c r="P876" s="79"/>
      <c r="Q876" s="5" t="s">
        <v>27</v>
      </c>
      <c r="R876" s="13">
        <f>R947</f>
        <v>289700</v>
      </c>
      <c r="S876" s="13"/>
      <c r="T876" s="13"/>
      <c r="U876" s="5"/>
      <c r="V876" s="13"/>
      <c r="W876" s="24"/>
      <c r="X876" s="272" t="s">
        <v>29</v>
      </c>
      <c r="Y876" s="272"/>
      <c r="Z876" s="53">
        <f>(U849+W849)*Y849+(U850+W850)*Y850+(U851+W851)*Y851+(U852+W852)*Y852</f>
        <v>39513</v>
      </c>
      <c r="AA876" s="14"/>
      <c r="AB876" s="15"/>
      <c r="AD876" s="79"/>
      <c r="AE876" s="5" t="s">
        <v>27</v>
      </c>
      <c r="AF876" s="13">
        <f>AF947</f>
        <v>272500</v>
      </c>
      <c r="AG876" s="13"/>
      <c r="AH876" s="13"/>
      <c r="AI876" s="5"/>
      <c r="AJ876" s="13"/>
      <c r="AK876" s="24"/>
      <c r="AL876" s="272" t="s">
        <v>29</v>
      </c>
      <c r="AM876" s="272"/>
      <c r="AN876" s="53">
        <f>(AI849+AK849)*AM849+(AI850+AK850)*AM850+(AI851+AK851)*AM851+(AI852+AK852)*AM852</f>
        <v>98562</v>
      </c>
      <c r="AO876" s="14"/>
      <c r="AP876" s="15"/>
      <c r="AQ876" s="2"/>
      <c r="AR876" s="79"/>
      <c r="AS876" s="5" t="s">
        <v>27</v>
      </c>
      <c r="AT876" s="13">
        <f>AT947</f>
        <v>326200</v>
      </c>
      <c r="AU876" s="13"/>
      <c r="AV876" s="13"/>
      <c r="AW876" s="5"/>
      <c r="AX876" s="13"/>
      <c r="AY876" s="24"/>
      <c r="AZ876" s="272" t="s">
        <v>29</v>
      </c>
      <c r="BA876" s="272"/>
      <c r="BB876" s="53">
        <f>(AW849+AY849)*BA849+(AW850+AY850)*BA850+(AW851+AY851)*BA851+(AW852+AY852)*BA852</f>
        <v>95500</v>
      </c>
      <c r="BC876" s="14"/>
      <c r="BD876" s="15"/>
      <c r="BU876" s="16"/>
      <c r="BV876" s="69" t="s">
        <v>27</v>
      </c>
      <c r="BW876" s="13">
        <f>BW947</f>
        <v>105300</v>
      </c>
      <c r="BX876" s="13"/>
      <c r="BY876" s="13"/>
      <c r="BZ876" s="5" t="s">
        <v>26</v>
      </c>
      <c r="CA876" s="13">
        <f>BW875-CA875</f>
        <v>54935</v>
      </c>
      <c r="CB876" s="36">
        <f>CA876/BW873</f>
        <v>0.42031369548584546</v>
      </c>
      <c r="CC876" s="36"/>
      <c r="CD876" s="14"/>
      <c r="CE876" s="14"/>
      <c r="CF876" s="14"/>
      <c r="CG876" s="15"/>
      <c r="CH876" s="1"/>
      <c r="CI876" s="16"/>
      <c r="CJ876" s="69" t="s">
        <v>27</v>
      </c>
      <c r="CK876" s="13">
        <f>CK947</f>
        <v>79300</v>
      </c>
      <c r="CL876" s="13"/>
      <c r="CM876" s="13"/>
      <c r="CN876" s="5" t="s">
        <v>26</v>
      </c>
      <c r="CO876" s="13">
        <f>CK875-CO875</f>
        <v>32556</v>
      </c>
      <c r="CP876" s="36">
        <f>CO876/CK873</f>
        <v>0.43699328859060405</v>
      </c>
      <c r="CQ876" s="36"/>
      <c r="CR876" s="14"/>
      <c r="CS876" s="14"/>
      <c r="CT876" s="14"/>
      <c r="CU876" s="15"/>
      <c r="CV876" s="1"/>
      <c r="CW876" s="16"/>
      <c r="CX876" s="69" t="s">
        <v>27</v>
      </c>
      <c r="CY876" s="13">
        <f>CY947</f>
        <v>133400</v>
      </c>
      <c r="CZ876" s="13"/>
      <c r="DA876" s="13"/>
      <c r="DB876" s="5" t="s">
        <v>26</v>
      </c>
      <c r="DC876" s="13">
        <f>CY875-DC875</f>
        <v>49760</v>
      </c>
      <c r="DD876" s="36">
        <f>DC876/CY873</f>
        <v>0.31256281407035175</v>
      </c>
      <c r="DE876" s="36"/>
      <c r="DF876" s="14"/>
      <c r="DG876" s="14"/>
      <c r="DH876" s="14"/>
      <c r="DI876" s="15"/>
      <c r="DJ876" s="1"/>
      <c r="DK876" s="16"/>
      <c r="DL876" s="69" t="s">
        <v>27</v>
      </c>
      <c r="DM876" s="13">
        <f>DM947</f>
        <v>97800</v>
      </c>
      <c r="DN876" s="13"/>
      <c r="DO876" s="13"/>
      <c r="DP876" s="5" t="s">
        <v>26</v>
      </c>
      <c r="DQ876" s="13">
        <f>DM875-DQ875</f>
        <v>27364</v>
      </c>
      <c r="DR876" s="36">
        <f>DQ876/DM873</f>
        <v>0.27146825396825397</v>
      </c>
      <c r="DS876" s="36"/>
      <c r="DT876" s="14"/>
      <c r="DU876" s="14"/>
      <c r="DV876" s="14"/>
      <c r="DW876" s="15"/>
    </row>
    <row r="877" spans="1:127" ht="15" customHeight="1" x14ac:dyDescent="0.2">
      <c r="A877" s="273" t="s">
        <v>57</v>
      </c>
      <c r="B877" s="274"/>
      <c r="C877" s="273" t="s">
        <v>62</v>
      </c>
      <c r="D877" s="274"/>
      <c r="E877" s="273" t="s">
        <v>63</v>
      </c>
      <c r="F877" s="275"/>
      <c r="G877" s="5"/>
      <c r="H877" s="13"/>
      <c r="I877" s="24"/>
      <c r="J877" s="99"/>
      <c r="K877" s="102"/>
      <c r="L877" s="53"/>
      <c r="M877" s="14"/>
      <c r="N877" s="15"/>
      <c r="O877" s="2"/>
      <c r="P877" s="85"/>
      <c r="Q877" s="69"/>
      <c r="R877" s="13"/>
      <c r="S877" s="13"/>
      <c r="T877" s="13"/>
      <c r="U877" s="5"/>
      <c r="V877" s="13"/>
      <c r="W877" s="24"/>
      <c r="X877" s="99"/>
      <c r="Y877" s="102"/>
      <c r="Z877" s="53"/>
      <c r="AA877" s="14"/>
      <c r="AB877" s="15"/>
      <c r="AD877" s="85"/>
      <c r="AE877" s="69"/>
      <c r="AF877" s="13"/>
      <c r="AG877" s="13"/>
      <c r="AH877" s="13"/>
      <c r="AI877" s="5"/>
      <c r="AJ877" s="13"/>
      <c r="AK877" s="24"/>
      <c r="AL877" s="99"/>
      <c r="AM877" s="102"/>
      <c r="AN877" s="53"/>
      <c r="AO877" s="14"/>
      <c r="AP877" s="15"/>
      <c r="AQ877" s="2"/>
      <c r="AR877" s="85"/>
      <c r="AS877" s="69"/>
      <c r="AT877" s="13"/>
      <c r="AU877" s="13"/>
      <c r="AV877" s="13"/>
      <c r="AW877" s="5"/>
      <c r="AX877" s="13"/>
      <c r="AY877" s="24"/>
      <c r="AZ877" s="118"/>
      <c r="BA877" s="102"/>
      <c r="BB877" s="53"/>
      <c r="BC877" s="14"/>
      <c r="BD877" s="15"/>
      <c r="BU877" s="16"/>
      <c r="BV877" s="54"/>
      <c r="BW877" s="13"/>
      <c r="BX877" s="13"/>
      <c r="BY877" s="13"/>
      <c r="BZ877" s="263" t="s">
        <v>29</v>
      </c>
      <c r="CA877" s="264"/>
      <c r="CB877" s="13">
        <f>(BZ825+CB825)*CD825</f>
        <v>14245</v>
      </c>
      <c r="CC877" s="13"/>
      <c r="CD877" s="14"/>
      <c r="CE877" s="14"/>
      <c r="CF877" s="14"/>
      <c r="CG877" s="15"/>
      <c r="CH877" s="1"/>
      <c r="CI877" s="16"/>
      <c r="CJ877" s="54"/>
      <c r="CK877" s="13"/>
      <c r="CL877" s="13"/>
      <c r="CM877" s="13"/>
      <c r="CN877" s="263" t="s">
        <v>29</v>
      </c>
      <c r="CO877" s="264"/>
      <c r="CP877" s="13">
        <f>(CN825+CP825)*CR825</f>
        <v>21252</v>
      </c>
      <c r="CQ877" s="13"/>
      <c r="CR877" s="14"/>
      <c r="CS877" s="14"/>
      <c r="CT877" s="14"/>
      <c r="CU877" s="15"/>
      <c r="CV877" s="1"/>
      <c r="CW877" s="16"/>
      <c r="CX877" s="54"/>
      <c r="CY877" s="13"/>
      <c r="CZ877" s="13"/>
      <c r="DA877" s="13"/>
      <c r="DB877" s="263" t="s">
        <v>29</v>
      </c>
      <c r="DC877" s="264"/>
      <c r="DD877" s="13">
        <f>(DB825+DD825)*DF825</f>
        <v>29040</v>
      </c>
      <c r="DE877" s="13"/>
      <c r="DF877" s="14"/>
      <c r="DG877" s="14"/>
      <c r="DH877" s="14"/>
      <c r="DI877" s="15"/>
      <c r="DJ877" s="1"/>
      <c r="DK877" s="16"/>
      <c r="DL877" s="54"/>
      <c r="DM877" s="13"/>
      <c r="DN877" s="13"/>
      <c r="DO877" s="13"/>
      <c r="DP877" s="263" t="s">
        <v>29</v>
      </c>
      <c r="DQ877" s="264"/>
      <c r="DR877" s="13">
        <f>(DP825+DR825)*DT825</f>
        <v>23644</v>
      </c>
      <c r="DS877" s="13"/>
      <c r="DT877" s="14"/>
      <c r="DU877" s="14"/>
      <c r="DV877" s="14"/>
      <c r="DW877" s="15"/>
    </row>
    <row r="878" spans="1:127" ht="15" customHeight="1" x14ac:dyDescent="0.2">
      <c r="A878" s="283">
        <f>E874+S874+AG874+AU874+BX874+CL874+CZ874+DN874</f>
        <v>1756400</v>
      </c>
      <c r="B878" s="284"/>
      <c r="C878" s="267">
        <f>L873+Z873+AN873+BB873</f>
        <v>250636</v>
      </c>
      <c r="D878" s="268"/>
      <c r="E878" s="267">
        <f>L876+Z876+AN876+BB876</f>
        <v>308311</v>
      </c>
      <c r="F878" s="268"/>
      <c r="G878" s="5"/>
      <c r="H878" s="13"/>
      <c r="I878" s="24"/>
      <c r="J878" s="99"/>
      <c r="K878" s="102"/>
      <c r="L878" s="53"/>
      <c r="M878" s="14"/>
      <c r="N878" s="15"/>
      <c r="O878" s="2"/>
      <c r="P878" s="85"/>
      <c r="Q878" s="69"/>
      <c r="R878" s="13"/>
      <c r="S878" s="13"/>
      <c r="T878" s="13"/>
      <c r="U878" s="5"/>
      <c r="V878" s="13"/>
      <c r="W878" s="24"/>
      <c r="X878" s="99"/>
      <c r="Y878" s="102"/>
      <c r="Z878" s="53"/>
      <c r="AA878" s="14"/>
      <c r="AB878" s="15"/>
      <c r="AD878" s="85"/>
      <c r="AE878" s="69"/>
      <c r="AF878" s="13"/>
      <c r="AG878" s="13"/>
      <c r="AH878" s="13"/>
      <c r="AI878" s="5"/>
      <c r="AJ878" s="13"/>
      <c r="AK878" s="24"/>
      <c r="AL878" s="99"/>
      <c r="AM878" s="102"/>
      <c r="AN878" s="53"/>
      <c r="AO878" s="14"/>
      <c r="AP878" s="15"/>
      <c r="AQ878" s="2"/>
      <c r="AR878" s="85"/>
      <c r="AS878" s="69"/>
      <c r="AT878" s="13"/>
      <c r="AU878" s="13"/>
      <c r="AV878" s="13"/>
      <c r="AW878" s="5"/>
      <c r="AX878" s="13"/>
      <c r="AY878" s="24"/>
      <c r="AZ878" s="118"/>
      <c r="BA878" s="102"/>
      <c r="BB878" s="53"/>
      <c r="BC878" s="14"/>
      <c r="BD878" s="15"/>
      <c r="BU878" s="16"/>
      <c r="BV878" s="54"/>
      <c r="BW878" s="13"/>
      <c r="BX878" s="13"/>
      <c r="BY878" s="13"/>
      <c r="BZ878" s="5"/>
      <c r="CA878" s="13"/>
      <c r="CB878" s="13"/>
      <c r="CC878" s="13"/>
      <c r="CD878" s="14"/>
      <c r="CE878" s="14"/>
      <c r="CF878" s="14"/>
      <c r="CG878" s="15"/>
      <c r="CH878" s="1"/>
      <c r="CI878" s="16"/>
      <c r="CJ878" s="54"/>
      <c r="CK878" s="13"/>
      <c r="CL878" s="13"/>
      <c r="CM878" s="13"/>
      <c r="CN878" s="5"/>
      <c r="CO878" s="13"/>
      <c r="CP878" s="13"/>
      <c r="CQ878" s="13"/>
      <c r="CR878" s="14"/>
      <c r="CS878" s="14"/>
      <c r="CT878" s="14"/>
      <c r="CU878" s="15"/>
      <c r="CV878" s="1"/>
      <c r="CW878" s="16"/>
      <c r="CX878" s="54"/>
      <c r="CY878" s="13"/>
      <c r="CZ878" s="13"/>
      <c r="DA878" s="13"/>
      <c r="DB878" s="5"/>
      <c r="DC878" s="13"/>
      <c r="DD878" s="13"/>
      <c r="DE878" s="13"/>
      <c r="DF878" s="14"/>
      <c r="DG878" s="14"/>
      <c r="DH878" s="14"/>
      <c r="DI878" s="15"/>
      <c r="DJ878" s="1"/>
      <c r="DK878" s="16"/>
      <c r="DL878" s="54"/>
      <c r="DM878" s="13"/>
      <c r="DN878" s="13"/>
      <c r="DO878" s="13"/>
      <c r="DP878" s="5"/>
      <c r="DQ878" s="13"/>
      <c r="DR878" s="13"/>
      <c r="DS878" s="13"/>
      <c r="DT878" s="14"/>
      <c r="DU878" s="14"/>
      <c r="DV878" s="14"/>
      <c r="DW878" s="15"/>
    </row>
    <row r="879" spans="1:127" ht="15" customHeight="1" x14ac:dyDescent="0.2">
      <c r="A879" s="95"/>
      <c r="B879" s="97"/>
      <c r="C879" s="98"/>
      <c r="D879" s="106">
        <f>C878/A878</f>
        <v>0.14269870189023001</v>
      </c>
      <c r="E879" s="104"/>
      <c r="F879" s="96"/>
      <c r="G879" s="5"/>
      <c r="H879" s="13"/>
      <c r="I879" s="24"/>
      <c r="J879" s="99"/>
      <c r="K879" s="102"/>
      <c r="L879" s="53"/>
      <c r="M879" s="14"/>
      <c r="N879" s="15"/>
      <c r="O879" s="2"/>
      <c r="P879" s="85"/>
      <c r="Q879" s="69"/>
      <c r="R879" s="13"/>
      <c r="S879" s="13"/>
      <c r="T879" s="13"/>
      <c r="U879" s="5"/>
      <c r="V879" s="13"/>
      <c r="W879" s="24"/>
      <c r="X879" s="99"/>
      <c r="Y879" s="102"/>
      <c r="Z879" s="53"/>
      <c r="AA879" s="14"/>
      <c r="AB879" s="15"/>
      <c r="AD879" s="85"/>
      <c r="AE879" s="69"/>
      <c r="AF879" s="13"/>
      <c r="AG879" s="13"/>
      <c r="AH879" s="13"/>
      <c r="AI879" s="5"/>
      <c r="AJ879" s="13"/>
      <c r="AK879" s="24"/>
      <c r="AL879" s="99"/>
      <c r="AM879" s="102"/>
      <c r="AN879" s="53"/>
      <c r="AO879" s="14"/>
      <c r="AP879" s="15"/>
      <c r="AQ879" s="2"/>
      <c r="AR879" s="85"/>
      <c r="AS879" s="69"/>
      <c r="AT879" s="13"/>
      <c r="AU879" s="13"/>
      <c r="AV879" s="13"/>
      <c r="AW879" s="5"/>
      <c r="AX879" s="13"/>
      <c r="AY879" s="24"/>
      <c r="AZ879" s="118"/>
      <c r="BA879" s="102"/>
      <c r="BB879" s="53"/>
      <c r="BC879" s="14"/>
      <c r="BD879" s="15"/>
      <c r="BU879" s="16"/>
      <c r="BV879" s="54"/>
      <c r="BW879" s="13"/>
      <c r="BX879" s="13"/>
      <c r="BY879" s="13"/>
      <c r="BZ879" s="5"/>
      <c r="CA879" s="13"/>
      <c r="CB879" s="36"/>
      <c r="CC879" s="36"/>
      <c r="CD879" s="13"/>
      <c r="CE879" s="13"/>
      <c r="CF879" s="13"/>
      <c r="CG879" s="15"/>
      <c r="CH879" s="1"/>
      <c r="CI879" s="16"/>
      <c r="CJ879" s="54"/>
      <c r="CK879" s="13"/>
      <c r="CL879" s="13"/>
      <c r="CM879" s="13"/>
      <c r="CN879" s="5"/>
      <c r="CO879" s="13"/>
      <c r="CP879" s="36"/>
      <c r="CQ879" s="36"/>
      <c r="CR879" s="13"/>
      <c r="CS879" s="13"/>
      <c r="CT879" s="13"/>
      <c r="CU879" s="15"/>
      <c r="CV879" s="1"/>
      <c r="CW879" s="16"/>
      <c r="CX879" s="54"/>
      <c r="CY879" s="13"/>
      <c r="CZ879" s="13"/>
      <c r="DA879" s="13"/>
      <c r="DB879" s="5"/>
      <c r="DC879" s="13"/>
      <c r="DD879" s="36"/>
      <c r="DE879" s="36"/>
      <c r="DF879" s="13"/>
      <c r="DG879" s="13"/>
      <c r="DH879" s="13"/>
      <c r="DI879" s="15"/>
      <c r="DJ879" s="1"/>
      <c r="DK879" s="16"/>
      <c r="DL879" s="54"/>
      <c r="DM879" s="13"/>
      <c r="DN879" s="13"/>
      <c r="DO879" s="13"/>
      <c r="DP879" s="5"/>
      <c r="DQ879" s="13"/>
      <c r="DR879" s="36"/>
      <c r="DS879" s="36"/>
      <c r="DT879" s="13"/>
      <c r="DU879" s="13"/>
      <c r="DV879" s="13"/>
      <c r="DW879" s="15"/>
    </row>
    <row r="880" spans="1:127" ht="15" customHeight="1" x14ac:dyDescent="0.2">
      <c r="A880" s="95"/>
      <c r="B880" s="97"/>
      <c r="C880" s="98"/>
      <c r="D880" s="96"/>
      <c r="E880" s="5"/>
      <c r="F880" s="13"/>
      <c r="G880" s="5"/>
      <c r="H880" s="13"/>
      <c r="I880" s="13"/>
      <c r="J880" s="68"/>
      <c r="K880" s="82"/>
      <c r="L880" s="14"/>
      <c r="M880" s="14"/>
      <c r="N880" s="15"/>
      <c r="O880" s="2"/>
      <c r="P880" s="86"/>
      <c r="Q880" s="54"/>
      <c r="R880" s="13"/>
      <c r="S880" s="5"/>
      <c r="T880" s="13"/>
      <c r="U880" s="5"/>
      <c r="V880" s="13"/>
      <c r="W880" s="13"/>
      <c r="X880" s="52"/>
      <c r="Y880" s="82"/>
      <c r="Z880" s="14"/>
      <c r="AA880" s="14"/>
      <c r="AB880" s="15"/>
      <c r="AD880" s="86"/>
      <c r="AE880" s="54"/>
      <c r="AF880" s="13"/>
      <c r="AG880" s="5"/>
      <c r="AH880" s="13"/>
      <c r="AI880" s="5"/>
      <c r="AJ880" s="13"/>
      <c r="AK880" s="13"/>
      <c r="AL880" s="68"/>
      <c r="AM880" s="82"/>
      <c r="AN880" s="14"/>
      <c r="AO880" s="14"/>
      <c r="AP880" s="15"/>
      <c r="AQ880" s="2"/>
      <c r="AR880" s="86"/>
      <c r="AS880" s="54"/>
      <c r="AT880" s="13"/>
      <c r="AU880" s="5"/>
      <c r="AV880" s="13"/>
      <c r="AW880" s="5"/>
      <c r="AX880" s="13"/>
      <c r="AY880" s="13"/>
      <c r="AZ880" s="68"/>
      <c r="BA880" s="82"/>
      <c r="BB880" s="14"/>
      <c r="BC880" s="14"/>
      <c r="BD880" s="15"/>
      <c r="BU880" s="16"/>
      <c r="BV880" s="13"/>
      <c r="BW880" s="13"/>
      <c r="BX880" s="13"/>
      <c r="BY880" s="13"/>
      <c r="BZ880" s="5"/>
      <c r="CA880" s="13"/>
      <c r="CB880" s="36"/>
      <c r="CC880" s="36"/>
      <c r="CD880" s="13"/>
      <c r="CE880" s="13"/>
      <c r="CF880" s="13"/>
      <c r="CG880" s="15"/>
      <c r="CH880" s="1"/>
      <c r="CI880" s="16"/>
      <c r="CJ880" s="13"/>
      <c r="CK880" s="13"/>
      <c r="CL880" s="13"/>
      <c r="CM880" s="13"/>
      <c r="CN880" s="5"/>
      <c r="CO880" s="13"/>
      <c r="CP880" s="36"/>
      <c r="CQ880" s="36"/>
      <c r="CR880" s="13"/>
      <c r="CS880" s="13"/>
      <c r="CT880" s="13"/>
      <c r="CU880" s="15"/>
      <c r="CV880" s="1"/>
      <c r="CW880" s="16"/>
      <c r="CX880" s="13"/>
      <c r="CY880" s="13"/>
      <c r="CZ880" s="13"/>
      <c r="DA880" s="13"/>
      <c r="DB880" s="5"/>
      <c r="DC880" s="13"/>
      <c r="DD880" s="36"/>
      <c r="DE880" s="36"/>
      <c r="DF880" s="13"/>
      <c r="DG880" s="13"/>
      <c r="DH880" s="13"/>
      <c r="DI880" s="15"/>
      <c r="DJ880" s="1"/>
      <c r="DK880" s="16"/>
      <c r="DL880" s="13"/>
      <c r="DM880" s="13"/>
      <c r="DN880" s="13"/>
      <c r="DO880" s="13"/>
      <c r="DP880" s="5"/>
      <c r="DQ880" s="13"/>
      <c r="DR880" s="36"/>
      <c r="DS880" s="36"/>
      <c r="DT880" s="13"/>
      <c r="DU880" s="13"/>
      <c r="DV880" s="13"/>
      <c r="DW880" s="15"/>
    </row>
    <row r="881" spans="1:127" ht="15" customHeight="1" x14ac:dyDescent="0.2">
      <c r="A881" s="258" t="s">
        <v>28</v>
      </c>
      <c r="B881" s="260"/>
      <c r="C881" s="259"/>
      <c r="D881" s="38">
        <f>SUM(D817,D821,D825,D829,D833,D837,D841,D845,D849,D853,D857,D861,D865)*100</f>
        <v>61800</v>
      </c>
      <c r="E881" s="54"/>
      <c r="F881" s="13"/>
      <c r="G881" s="5">
        <f>D881/H881</f>
        <v>4414.2857142857147</v>
      </c>
      <c r="H881" s="38">
        <f>SUM(H817,H821,H825,H829,H833,H837,H842,H845,H849,H853,H857,H861,H865)</f>
        <v>14</v>
      </c>
      <c r="I881" s="13"/>
      <c r="J881" s="75" t="str">
        <f t="shared" ref="J881:K884" si="1261">J817</f>
        <v>ジャグラーサウンドボタン</v>
      </c>
      <c r="K881" s="76">
        <f t="shared" si="1261"/>
        <v>748</v>
      </c>
      <c r="L881" s="38">
        <f>SUM(L817,L821,L825,L829,L833,L837,L842,L845,L849,L853,L857,L861,L865)</f>
        <v>10472</v>
      </c>
      <c r="M881" s="36">
        <f>L881/D881</f>
        <v>0.16944983818770226</v>
      </c>
      <c r="N881" s="15"/>
      <c r="O881" s="2"/>
      <c r="P881" s="258" t="s">
        <v>28</v>
      </c>
      <c r="Q881" s="259"/>
      <c r="R881" s="38">
        <f>SUM(R817,R821,R825,R829,R833,R837,R842,R845,R849,R853,R857,R861,R865)*100</f>
        <v>76200</v>
      </c>
      <c r="S881" s="54"/>
      <c r="T881" s="13"/>
      <c r="U881" s="5">
        <f>R881/V881</f>
        <v>4010.5263157894738</v>
      </c>
      <c r="V881" s="38">
        <f>SUM(V817,V821,V825,V829,V833,V837,V842,V845,V849,V853,V857,V861,V865)</f>
        <v>19</v>
      </c>
      <c r="W881" s="13"/>
      <c r="X881" s="78" t="str">
        <f t="shared" ref="X881:Y884" si="1262">X817</f>
        <v>ジャグラータイマークロック</v>
      </c>
      <c r="Y881" s="76">
        <f t="shared" si="1262"/>
        <v>0</v>
      </c>
      <c r="Z881" s="38">
        <f>SUM(Z817,Z821,Z825,Z829,Z833,Z837,Z842,Z845,Z849,Z853,Z857,Z861,Z865)</f>
        <v>6800</v>
      </c>
      <c r="AA881" s="36">
        <f>Z881/R881</f>
        <v>8.9238845144356954E-2</v>
      </c>
      <c r="AB881" s="15"/>
      <c r="AC881" s="23"/>
      <c r="AD881" s="258" t="s">
        <v>28</v>
      </c>
      <c r="AE881" s="259"/>
      <c r="AF881" s="38">
        <f>SUM(AF817,AF821,AF825,AF829,AF833,AF837,AF841,AF845,AF849,AF853,AF857,AF861,AF865)*100</f>
        <v>64200</v>
      </c>
      <c r="AG881" s="54"/>
      <c r="AH881" s="13"/>
      <c r="AI881" s="5">
        <f>AF881/AJ881</f>
        <v>5350</v>
      </c>
      <c r="AJ881" s="38">
        <f>SUM(AJ817,AJ821,AJ825,AJ829,AJ833,AJ837,AJ842,AJ845,AJ849,AJ853,AJ857,AJ861,AJ865)</f>
        <v>12</v>
      </c>
      <c r="AK881" s="13"/>
      <c r="AL881" s="75" t="str">
        <f t="shared" ref="AL881:AM884" si="1263">AL817</f>
        <v>ミニ香水</v>
      </c>
      <c r="AM881" s="76">
        <f t="shared" si="1263"/>
        <v>1100</v>
      </c>
      <c r="AN881" s="38">
        <f>SUM(AN817,AN821,AN825,AN829,AN833,AN837,AN842,AN845,AN849,AN853,AN857,AN861,AN865)</f>
        <v>13200</v>
      </c>
      <c r="AO881" s="36">
        <f>AN881/AF881</f>
        <v>0.20560747663551401</v>
      </c>
      <c r="AP881" s="15"/>
      <c r="AQ881" s="2"/>
      <c r="AR881" s="258" t="s">
        <v>28</v>
      </c>
      <c r="AS881" s="259"/>
      <c r="AT881" s="38">
        <f>SUM(AT817,AT821,AT825,AT829,AT833,AT837,AT842,AT845,AT849,AT853,AT857,AT861,AT865)*100</f>
        <v>46100</v>
      </c>
      <c r="AU881" s="54"/>
      <c r="AV881" s="13"/>
      <c r="AW881" s="5">
        <f>AT881/AX881</f>
        <v>2004.3478260869565</v>
      </c>
      <c r="AX881" s="38">
        <f>SUM(AX817,AX821,AX825,AX829,AX833,AX837,AX842,AX845,AX849,AX853,AX857,AX861,AX865)</f>
        <v>23</v>
      </c>
      <c r="AY881" s="13"/>
      <c r="AZ881" s="75" t="str">
        <f t="shared" ref="AZ881:BA884" si="1264">AZ817</f>
        <v>ロムアンド</v>
      </c>
      <c r="BA881" s="76">
        <f t="shared" si="1264"/>
        <v>1001</v>
      </c>
      <c r="BB881" s="38">
        <f>SUM(BB817,BB821,BB825,BB829,BB833,BB837,BB842,BB845,BB849,BB853,BB857,BB861,BB865)</f>
        <v>24604</v>
      </c>
      <c r="BC881" s="36">
        <f>BB881/AT881</f>
        <v>0.53370932754880696</v>
      </c>
      <c r="BD881" s="15"/>
      <c r="BU881" s="16"/>
      <c r="BV881" s="270"/>
      <c r="BW881" s="270"/>
      <c r="BX881" s="10"/>
      <c r="BY881" s="13"/>
      <c r="BZ881" s="5"/>
      <c r="CA881" s="13"/>
      <c r="CB881" s="36"/>
      <c r="CC881" s="36"/>
      <c r="CD881" s="13"/>
      <c r="CE881" s="13"/>
      <c r="CF881" s="13"/>
      <c r="CG881" s="15"/>
      <c r="CH881" s="1"/>
      <c r="CI881" s="16"/>
      <c r="CJ881" s="270"/>
      <c r="CK881" s="270"/>
      <c r="CL881" s="10"/>
      <c r="CM881" s="13"/>
      <c r="CN881" s="5"/>
      <c r="CO881" s="13"/>
      <c r="CP881" s="36"/>
      <c r="CQ881" s="36"/>
      <c r="CR881" s="13"/>
      <c r="CS881" s="13"/>
      <c r="CT881" s="13"/>
      <c r="CU881" s="15"/>
      <c r="CV881" s="1"/>
      <c r="CW881" s="16"/>
      <c r="CX881" s="270"/>
      <c r="CY881" s="270"/>
      <c r="CZ881" s="10"/>
      <c r="DA881" s="13"/>
      <c r="DB881" s="5"/>
      <c r="DC881" s="13"/>
      <c r="DD881" s="36"/>
      <c r="DE881" s="36"/>
      <c r="DF881" s="13"/>
      <c r="DG881" s="13"/>
      <c r="DH881" s="13"/>
      <c r="DI881" s="15"/>
      <c r="DJ881" s="1"/>
      <c r="DK881" s="16"/>
      <c r="DL881" s="270"/>
      <c r="DM881" s="270"/>
      <c r="DN881" s="10"/>
      <c r="DO881" s="13"/>
      <c r="DP881" s="5"/>
      <c r="DQ881" s="13"/>
      <c r="DR881" s="36"/>
      <c r="DS881" s="36"/>
      <c r="DT881" s="13"/>
      <c r="DU881" s="13"/>
      <c r="DV881" s="13"/>
      <c r="DW881" s="15"/>
    </row>
    <row r="882" spans="1:127" x14ac:dyDescent="0.2">
      <c r="A882" s="258" t="s">
        <v>28</v>
      </c>
      <c r="B882" s="260"/>
      <c r="C882" s="259"/>
      <c r="D882" s="38">
        <f>SUM(D818,D822,D826,D830,D834,D838,D842,D846,D850,D854,D858,D862,D866)*100</f>
        <v>44100</v>
      </c>
      <c r="E882" s="54"/>
      <c r="F882" s="13"/>
      <c r="G882" s="5">
        <f>D882/H882</f>
        <v>8820</v>
      </c>
      <c r="H882" s="38">
        <f>SUM(H818,H822,H826,H830,H834,H838,H841,H846,H850,H854,H858,H862,H866)</f>
        <v>5</v>
      </c>
      <c r="I882" s="13"/>
      <c r="J882" s="75" t="str">
        <f t="shared" si="1261"/>
        <v>ジャグラーイヤホン</v>
      </c>
      <c r="K882" s="76">
        <f t="shared" si="1261"/>
        <v>1100</v>
      </c>
      <c r="L882" s="38">
        <f>SUM(L818,L822,L826,L830,L834,L838,L841,L846,L850,L854,L858,L862,L866)</f>
        <v>5500</v>
      </c>
      <c r="M882" s="36">
        <f>L882/D882</f>
        <v>0.12471655328798185</v>
      </c>
      <c r="N882" s="15"/>
      <c r="O882" s="2"/>
      <c r="P882" s="258" t="s">
        <v>28</v>
      </c>
      <c r="Q882" s="259"/>
      <c r="R882" s="38">
        <f>SUM(R818,R822,R826,R830,R834,R838,R841,R846,R850,R854,R858,R862,R866)*100</f>
        <v>130400</v>
      </c>
      <c r="S882" s="54"/>
      <c r="T882" s="13"/>
      <c r="U882" s="5">
        <f>R882/V882</f>
        <v>6863.1578947368425</v>
      </c>
      <c r="V882" s="38">
        <f>SUM(V818,V822,V826,V830,V834,V838,V841,V846,V850,V854,V858,V862,V866)</f>
        <v>19</v>
      </c>
      <c r="W882" s="13"/>
      <c r="X882" s="78" t="str">
        <f t="shared" si="1262"/>
        <v>サンリオFAN</v>
      </c>
      <c r="Y882" s="76">
        <f t="shared" si="1262"/>
        <v>1100</v>
      </c>
      <c r="Z882" s="38">
        <f>SUM(Z818,Z822,Z826,Z830,Z834,Z838,Z841,Z846,Z850,Z854,Z858,Z862,Z866)</f>
        <v>20300</v>
      </c>
      <c r="AA882" s="36">
        <f>Z882/R882</f>
        <v>0.15567484662576686</v>
      </c>
      <c r="AB882" s="15"/>
      <c r="AC882" s="1"/>
      <c r="AD882" s="258" t="s">
        <v>28</v>
      </c>
      <c r="AE882" s="259"/>
      <c r="AF882" s="38">
        <f>SUM(AF818,AF822,AF826,AF830,AF834,AF838,AF842,AF846,AF850,AF854,AF858,AF862,AF866)*100</f>
        <v>48600</v>
      </c>
      <c r="AG882" s="54"/>
      <c r="AH882" s="13"/>
      <c r="AI882" s="5">
        <f>AF882/AJ882</f>
        <v>3240</v>
      </c>
      <c r="AJ882" s="38">
        <f>SUM(AJ818,AJ822,AJ826,AJ830,AJ834,AJ838,AJ841,AJ846,AJ850,AJ854,AJ858,AJ862,AJ866)</f>
        <v>15</v>
      </c>
      <c r="AK882" s="13"/>
      <c r="AL882" s="75" t="str">
        <f t="shared" si="1263"/>
        <v>デジタルミニカメラ</v>
      </c>
      <c r="AM882" s="76">
        <f t="shared" si="1263"/>
        <v>800</v>
      </c>
      <c r="AN882" s="38">
        <f>SUM(AN818,AN822,AN826,AN830,AN834,AN838,AN841,AN846,AN850,AN854,AN858,AN862,AN866)</f>
        <v>12300</v>
      </c>
      <c r="AO882" s="36">
        <f>AN882/AF882</f>
        <v>0.25308641975308643</v>
      </c>
      <c r="AP882" s="15"/>
      <c r="AQ882" s="2"/>
      <c r="AR882" s="258" t="s">
        <v>28</v>
      </c>
      <c r="AS882" s="259"/>
      <c r="AT882" s="38">
        <f>SUM(AT818,AT822,AT826,AT830,AT834,AT838,AT841,AT846,AT850,AT854,AT858,AT862,AT866)*100</f>
        <v>51300</v>
      </c>
      <c r="AU882" s="54"/>
      <c r="AV882" s="13"/>
      <c r="AW882" s="5">
        <f>AT882/AX882</f>
        <v>1832.1428571428571</v>
      </c>
      <c r="AX882" s="38">
        <f>SUM(AX818,AX822,AX826,AX830,AX834,AX838,AX841,AX846,AX850,AX854,AX858,AX862,AX866)</f>
        <v>28</v>
      </c>
      <c r="AY882" s="13"/>
      <c r="AZ882" s="75" t="str">
        <f t="shared" si="1264"/>
        <v>モンチッチヘアゴム</v>
      </c>
      <c r="BA882" s="76">
        <f t="shared" si="1264"/>
        <v>400</v>
      </c>
      <c r="BB882" s="38">
        <f>SUM(BB818,BB822,BB826,BB830,BB834,BB838,BB841,BB846,BB850,BB854,BB858,BB862,BB866)</f>
        <v>19000</v>
      </c>
      <c r="BC882" s="36">
        <f>BB882/AT882</f>
        <v>0.37037037037037035</v>
      </c>
      <c r="BD882" s="15"/>
      <c r="BU882" s="16"/>
      <c r="BV882" s="270"/>
      <c r="BW882" s="270"/>
      <c r="BX882" s="13"/>
      <c r="BY882" s="13"/>
      <c r="BZ882" s="5"/>
      <c r="CA882" s="13"/>
      <c r="CB882" s="36"/>
      <c r="CC882" s="36"/>
      <c r="CD882" s="14"/>
      <c r="CE882" s="14"/>
      <c r="CF882" s="14"/>
      <c r="CG882" s="15"/>
      <c r="CH882" s="1"/>
      <c r="CI882" s="16"/>
      <c r="CJ882" s="270"/>
      <c r="CK882" s="270"/>
      <c r="CL882" s="13"/>
      <c r="CM882" s="13"/>
      <c r="CN882" s="5"/>
      <c r="CO882" s="13"/>
      <c r="CP882" s="36"/>
      <c r="CQ882" s="36"/>
      <c r="CR882" s="14"/>
      <c r="CS882" s="14"/>
      <c r="CT882" s="14"/>
      <c r="CU882" s="15"/>
      <c r="CV882" s="1"/>
      <c r="CW882" s="16"/>
      <c r="CX882" s="270"/>
      <c r="CY882" s="270"/>
      <c r="CZ882" s="13"/>
      <c r="DA882" s="13"/>
      <c r="DB882" s="5"/>
      <c r="DC882" s="13"/>
      <c r="DD882" s="36"/>
      <c r="DE882" s="36"/>
      <c r="DF882" s="14"/>
      <c r="DG882" s="14"/>
      <c r="DH882" s="14"/>
      <c r="DI882" s="15"/>
      <c r="DJ882" s="1"/>
      <c r="DK882" s="16"/>
      <c r="DL882" s="270"/>
      <c r="DM882" s="270"/>
      <c r="DN882" s="13"/>
      <c r="DO882" s="13"/>
      <c r="DP882" s="5"/>
      <c r="DQ882" s="13"/>
      <c r="DR882" s="36"/>
      <c r="DS882" s="36"/>
      <c r="DT882" s="14"/>
      <c r="DU882" s="14"/>
      <c r="DV882" s="14"/>
      <c r="DW882" s="15"/>
    </row>
    <row r="883" spans="1:127" x14ac:dyDescent="0.2">
      <c r="A883" s="258" t="s">
        <v>28</v>
      </c>
      <c r="B883" s="260"/>
      <c r="C883" s="259"/>
      <c r="D883" s="38">
        <f>SUM(D819,D823,D827,D831,D835,D839,D843,D847,D851,D855,D859,D863,D867)*100</f>
        <v>139800</v>
      </c>
      <c r="E883" s="54"/>
      <c r="F883" s="13"/>
      <c r="G883" s="5">
        <f>D883/H883</f>
        <v>3039.1304347826085</v>
      </c>
      <c r="H883" s="38">
        <f>SUM(H819,H823,H827,H832,H835,H839,H843,H847,H851,H855,H859,H863,H867)</f>
        <v>46</v>
      </c>
      <c r="I883" s="13"/>
      <c r="J883" s="75" t="str">
        <f t="shared" si="1261"/>
        <v>グミッツェルプチ</v>
      </c>
      <c r="K883" s="76">
        <f t="shared" si="1261"/>
        <v>180</v>
      </c>
      <c r="L883" s="38">
        <f>SUM(L819,L823,L827,L832,L835,L839,L843,L847,L851,L855,L859,L863,L867)</f>
        <v>9884</v>
      </c>
      <c r="M883" s="36">
        <f>L883/D883</f>
        <v>7.0701001430615168E-2</v>
      </c>
      <c r="N883" s="15"/>
      <c r="O883" s="2"/>
      <c r="P883" s="258" t="s">
        <v>28</v>
      </c>
      <c r="Q883" s="259"/>
      <c r="R883" s="38">
        <f>SUM(R819,R823,R827,R831,R835,R839,R843,R847,R851,R855,R859,R863,R867)*100</f>
        <v>79300</v>
      </c>
      <c r="S883" s="54"/>
      <c r="T883" s="13"/>
      <c r="U883" s="5">
        <f>R883/V883</f>
        <v>2086.8421052631579</v>
      </c>
      <c r="V883" s="38">
        <f>SUM(V819,V823,V827,V832,V835,V839,V843,V847,V851,V855,V859,V863,V867)</f>
        <v>38</v>
      </c>
      <c r="W883" s="13"/>
      <c r="X883" s="78" t="str">
        <f t="shared" si="1262"/>
        <v>なんちゃって手榴弾</v>
      </c>
      <c r="Y883" s="76">
        <f t="shared" si="1262"/>
        <v>0</v>
      </c>
      <c r="Z883" s="38">
        <f>SUM(Z819,Z823,Z827,Z832,Z835,Z839,Z843,Z847,Z851,Z855,Z859,Z863,Z867)</f>
        <v>17826</v>
      </c>
      <c r="AA883" s="36">
        <f>Z883/R883</f>
        <v>0.2247919293820933</v>
      </c>
      <c r="AB883" s="15"/>
      <c r="AC883" s="1"/>
      <c r="AD883" s="258" t="s">
        <v>28</v>
      </c>
      <c r="AE883" s="259"/>
      <c r="AF883" s="38">
        <f>SUM(AF819,AF823,AF827,AF831,AF835,AF839,AF843,AF847,AF851,AF855,AF859,AF863,AF867)*100</f>
        <v>62700</v>
      </c>
      <c r="AG883" s="54"/>
      <c r="AH883" s="13"/>
      <c r="AI883" s="5">
        <f>AF883/AJ883</f>
        <v>870.83333333333337</v>
      </c>
      <c r="AJ883" s="38">
        <f>SUM(AJ819,AJ823,AJ827,AJ832,AJ835,AJ839,AJ843,AJ847,AJ851,AJ855,AJ859,AJ863,AJ867)</f>
        <v>72</v>
      </c>
      <c r="AK883" s="13"/>
      <c r="AL883" s="75" t="str">
        <f t="shared" si="1263"/>
        <v>モンチッチボールペン</v>
      </c>
      <c r="AM883" s="76">
        <f t="shared" si="1263"/>
        <v>160</v>
      </c>
      <c r="AN883" s="38">
        <f>SUM(AN819,AN823,AN827,AN832,AN835,AN839,AN843,AN847,AN851,AN855,AN859,AN863,AN867)</f>
        <v>10486</v>
      </c>
      <c r="AO883" s="36">
        <f>AN883/AF883</f>
        <v>0.1672408293460925</v>
      </c>
      <c r="AP883" s="15"/>
      <c r="AQ883" s="2"/>
      <c r="AR883" s="258" t="s">
        <v>28</v>
      </c>
      <c r="AS883" s="259"/>
      <c r="AT883" s="38">
        <f>SUM(AT819,AT823,AT827,AT831,AT835,AT839,AT843,AT847,AT851,AT855,AT859,AT863,AT867)*100</f>
        <v>117600</v>
      </c>
      <c r="AU883" s="54"/>
      <c r="AV883" s="13"/>
      <c r="AW883" s="5">
        <f>AT883/AX883</f>
        <v>1383.5294117647059</v>
      </c>
      <c r="AX883" s="38">
        <f>SUM(AX819,AX823,AX827,AX832,AX835,AX839,AX843,AX847,AX851,AX855,AX859,AX863,AX867)</f>
        <v>85</v>
      </c>
      <c r="AY883" s="13"/>
      <c r="AZ883" s="75" t="str">
        <f t="shared" si="1264"/>
        <v>スプランキーラバーキーホルダー</v>
      </c>
      <c r="BA883" s="76">
        <f t="shared" si="1264"/>
        <v>200</v>
      </c>
      <c r="BB883" s="38">
        <f>SUM(BB819,BB823,BB827,BB832,BB835,BB839,BB843,BB847,BB851,BB855,BB859,BB863,BB867)</f>
        <v>22600</v>
      </c>
      <c r="BC883" s="36">
        <f>BB883/AT883</f>
        <v>0.19217687074829931</v>
      </c>
      <c r="BD883" s="15"/>
      <c r="BU883" s="16"/>
      <c r="BV883" s="270"/>
      <c r="BW883" s="270"/>
      <c r="BX883" s="36"/>
      <c r="BY883" s="13"/>
      <c r="BZ883" s="5"/>
      <c r="CA883" s="13"/>
      <c r="CB883" s="36"/>
      <c r="CC883" s="36"/>
      <c r="CD883" s="14"/>
      <c r="CE883" s="14"/>
      <c r="CF883" s="14"/>
      <c r="CG883" s="15"/>
      <c r="CH883" s="1"/>
      <c r="CI883" s="16"/>
      <c r="CJ883" s="270"/>
      <c r="CK883" s="270"/>
      <c r="CL883" s="36"/>
      <c r="CM883" s="13"/>
      <c r="CN883" s="5"/>
      <c r="CO883" s="13"/>
      <c r="CP883" s="36"/>
      <c r="CQ883" s="36"/>
      <c r="CR883" s="14"/>
      <c r="CS883" s="14"/>
      <c r="CT883" s="14"/>
      <c r="CU883" s="15"/>
      <c r="CV883" s="1"/>
      <c r="CW883" s="16"/>
      <c r="CX883" s="270"/>
      <c r="CY883" s="270"/>
      <c r="CZ883" s="36"/>
      <c r="DA883" s="13"/>
      <c r="DB883" s="5"/>
      <c r="DC883" s="13"/>
      <c r="DD883" s="36"/>
      <c r="DE883" s="36"/>
      <c r="DF883" s="14"/>
      <c r="DG883" s="14"/>
      <c r="DH883" s="14"/>
      <c r="DI883" s="15"/>
      <c r="DJ883" s="1"/>
      <c r="DK883" s="16"/>
      <c r="DL883" s="270"/>
      <c r="DM883" s="270"/>
      <c r="DN883" s="36"/>
      <c r="DO883" s="13"/>
      <c r="DP883" s="5"/>
      <c r="DQ883" s="13"/>
      <c r="DR883" s="36"/>
      <c r="DS883" s="36"/>
      <c r="DT883" s="14"/>
      <c r="DU883" s="14"/>
      <c r="DV883" s="14"/>
      <c r="DW883" s="15"/>
    </row>
    <row r="884" spans="1:127" x14ac:dyDescent="0.2">
      <c r="A884" s="258" t="s">
        <v>28</v>
      </c>
      <c r="B884" s="260"/>
      <c r="C884" s="259"/>
      <c r="D884" s="38">
        <f>SUM(D820,D824,D828,D832,D836,D840,D844,D848,D852,D856,D860,D864,D868)*100</f>
        <v>99200</v>
      </c>
      <c r="E884" s="54"/>
      <c r="F884" s="13"/>
      <c r="G884" s="5">
        <f>D884/H884</f>
        <v>2755.5555555555557</v>
      </c>
      <c r="H884" s="38">
        <f>SUM(H820,H824,H828,H831,H836,H840,H844,H848,H852,H856,H860,H864,H868)</f>
        <v>36</v>
      </c>
      <c r="I884" s="13"/>
      <c r="J884" s="75" t="str">
        <f t="shared" si="1261"/>
        <v>NICIマスコット</v>
      </c>
      <c r="K884" s="76">
        <f t="shared" si="1261"/>
        <v>682</v>
      </c>
      <c r="L884" s="38">
        <f>SUM(L820,L824,L828,L831,L836,L840,L844,L848,L852,L856,L860,L864,L868)</f>
        <v>22544</v>
      </c>
      <c r="M884" s="36">
        <f>L884/D884</f>
        <v>0.22725806451612904</v>
      </c>
      <c r="N884" s="15"/>
      <c r="O884" s="2"/>
      <c r="P884" s="258" t="s">
        <v>28</v>
      </c>
      <c r="Q884" s="259"/>
      <c r="R884" s="38">
        <f>SUM(R820,R824,R828,R832,R836,R840,R844,R848,R852,R856,R860,R864,R868)*100</f>
        <v>90300</v>
      </c>
      <c r="S884" s="54"/>
      <c r="T884" s="13"/>
      <c r="U884" s="5">
        <f>R884/V884</f>
        <v>3473.0769230769229</v>
      </c>
      <c r="V884" s="38">
        <f>SUM(V820,V824,V828,V831,V836,V840,V844,V848,V852,V856,V860,V864,V868)</f>
        <v>26</v>
      </c>
      <c r="W884" s="13"/>
      <c r="X884" s="78" t="str">
        <f t="shared" si="1262"/>
        <v>ピクミンマスコット</v>
      </c>
      <c r="Y884" s="76">
        <f t="shared" si="1262"/>
        <v>600</v>
      </c>
      <c r="Z884" s="38">
        <f>SUM(Z820,Z824,Z828,Z831,Z836,Z840,Z844,Z848,Z852,Z856,Z860,Z864,Z868)</f>
        <v>12600</v>
      </c>
      <c r="AA884" s="36">
        <f>Z884/R884</f>
        <v>0.13953488372093023</v>
      </c>
      <c r="AB884" s="15"/>
      <c r="AC884" s="1"/>
      <c r="AD884" s="258" t="s">
        <v>28</v>
      </c>
      <c r="AE884" s="259"/>
      <c r="AF884" s="38">
        <f>SUM(AF820,AF824,AF828,AF832,AF836,AF840,AF844,AF848,AF852,AF856,AF860,AF864,AF868)*100</f>
        <v>84300</v>
      </c>
      <c r="AG884" s="54"/>
      <c r="AH884" s="13"/>
      <c r="AI884" s="5">
        <f>AF884/AJ884</f>
        <v>3372</v>
      </c>
      <c r="AJ884" s="38">
        <f>SUM(AJ820,AJ824,AJ828,AJ831,AJ836,AJ840,AJ844,AJ848,AJ852,AJ856,AJ860,AJ864,AJ868)</f>
        <v>25</v>
      </c>
      <c r="AK884" s="13"/>
      <c r="AL884" s="75" t="str">
        <f t="shared" si="1263"/>
        <v>ギャルキティキーケース</v>
      </c>
      <c r="AM884" s="76">
        <f t="shared" si="1263"/>
        <v>726</v>
      </c>
      <c r="AN884" s="38">
        <f>SUM(AN820,AN824,AN828,AN831,AN836,AN840,AN844,AN848,AN852,AN856,AN860,AN864,AN868)</f>
        <v>15320</v>
      </c>
      <c r="AO884" s="36">
        <f>AN884/AF884</f>
        <v>0.18173190984578885</v>
      </c>
      <c r="AP884" s="15"/>
      <c r="AQ884" s="2"/>
      <c r="AR884" s="258" t="s">
        <v>28</v>
      </c>
      <c r="AS884" s="259"/>
      <c r="AT884" s="38">
        <f>SUM(AT820,AT824,AT828,AT832,AT836,AT840,AT844,AT848,AT852,AT856,AT860,AT864,AT868)*100</f>
        <v>95300</v>
      </c>
      <c r="AU884" s="54"/>
      <c r="AV884" s="13"/>
      <c r="AW884" s="5">
        <f>AT884/AX884</f>
        <v>1701.7857142857142</v>
      </c>
      <c r="AX884" s="38">
        <f>SUM(AX820,AX824,AX828,AX831,AX836,AX840,AX844,AX848,AX852,AX856,AX860,AX864,AX868)</f>
        <v>56</v>
      </c>
      <c r="AY884" s="13"/>
      <c r="AZ884" s="75" t="str">
        <f t="shared" si="1264"/>
        <v>お菓子ウォレット</v>
      </c>
      <c r="BA884" s="76">
        <f t="shared" si="1264"/>
        <v>0</v>
      </c>
      <c r="BB884" s="38">
        <f>SUM(BB820,BB824,BB828,BB831,BB836,BB840,BB844,BB848,BB852,BB856,BB860,BB864,BB868)</f>
        <v>27200</v>
      </c>
      <c r="BC884" s="36">
        <f>BB884/AT884</f>
        <v>0.28541448058761804</v>
      </c>
      <c r="BD884" s="15"/>
      <c r="BU884" s="40"/>
      <c r="BV884" s="3"/>
      <c r="BW884" s="2"/>
      <c r="BX884" s="41"/>
      <c r="BY884" s="1"/>
      <c r="BZ884" s="3"/>
      <c r="CA884" s="1"/>
      <c r="CB884" s="23"/>
      <c r="CC884" s="23"/>
      <c r="CD884" s="23"/>
      <c r="CE884" s="23"/>
      <c r="CF884" s="23"/>
      <c r="CG884" s="18"/>
      <c r="CH884" s="1"/>
      <c r="CI884" s="40"/>
      <c r="CJ884" s="3"/>
      <c r="CK884" s="2"/>
      <c r="CL884" s="41"/>
      <c r="CM884" s="1"/>
      <c r="CN884" s="3"/>
      <c r="CO884" s="1"/>
      <c r="CP884" s="23"/>
      <c r="CQ884" s="23"/>
      <c r="CR884" s="23"/>
      <c r="CS884" s="23"/>
      <c r="CT884" s="23"/>
      <c r="CU884" s="18"/>
      <c r="CV884" s="1"/>
      <c r="CW884" s="40"/>
      <c r="CX884" s="3"/>
      <c r="CY884" s="2"/>
      <c r="CZ884" s="41"/>
      <c r="DA884" s="1"/>
      <c r="DB884" s="3"/>
      <c r="DC884" s="1"/>
      <c r="DD884" s="23"/>
      <c r="DE884" s="23"/>
      <c r="DF884" s="23"/>
      <c r="DG884" s="23"/>
      <c r="DH884" s="23"/>
      <c r="DI884" s="18"/>
      <c r="DJ884" s="1"/>
      <c r="DK884" s="40"/>
      <c r="DL884" s="3"/>
      <c r="DM884" s="2"/>
      <c r="DN884" s="41"/>
      <c r="DO884" s="1"/>
      <c r="DP884" s="3"/>
      <c r="DQ884" s="1"/>
      <c r="DR884" s="23"/>
      <c r="DS884" s="23"/>
      <c r="DT884" s="23"/>
      <c r="DU884" s="23"/>
      <c r="DV884" s="23"/>
      <c r="DW884" s="18"/>
    </row>
    <row r="885" spans="1:127" x14ac:dyDescent="0.2">
      <c r="A885" s="16"/>
      <c r="B885" s="11"/>
      <c r="C885" s="5" t="s">
        <v>19</v>
      </c>
      <c r="D885" s="13">
        <f>SUM(D881:D884)</f>
        <v>344900</v>
      </c>
      <c r="E885" s="13"/>
      <c r="F885" s="13"/>
      <c r="G885" s="13"/>
      <c r="H885" s="13">
        <f>SUM(H881:H884)</f>
        <v>101</v>
      </c>
      <c r="I885" s="13"/>
      <c r="J885" s="262" t="s">
        <v>31</v>
      </c>
      <c r="K885" s="259"/>
      <c r="L885" s="53">
        <f>SUM(L881:L884)</f>
        <v>48400</v>
      </c>
      <c r="M885" s="83">
        <f>L885/D885</f>
        <v>0.14033053058857639</v>
      </c>
      <c r="N885" s="84"/>
      <c r="O885" s="2"/>
      <c r="P885" s="16"/>
      <c r="Q885" s="5" t="s">
        <v>19</v>
      </c>
      <c r="R885" s="13">
        <f>SUM(R881:R884)</f>
        <v>376200</v>
      </c>
      <c r="S885" s="54"/>
      <c r="T885" s="13"/>
      <c r="U885" s="13"/>
      <c r="V885" s="13">
        <f>SUM(V881:V884)</f>
        <v>102</v>
      </c>
      <c r="W885" s="13"/>
      <c r="X885" s="262" t="s">
        <v>31</v>
      </c>
      <c r="Y885" s="259"/>
      <c r="Z885" s="53">
        <f>SUM(Z881:Z884)</f>
        <v>57526</v>
      </c>
      <c r="AA885" s="83">
        <f>Z885/R885</f>
        <v>0.15291334396597556</v>
      </c>
      <c r="AB885" s="84"/>
      <c r="AC885" s="1"/>
      <c r="AD885" s="16"/>
      <c r="AE885" s="5" t="s">
        <v>19</v>
      </c>
      <c r="AF885" s="13">
        <f>SUM(AF881:AF884)</f>
        <v>259800</v>
      </c>
      <c r="AG885" s="54"/>
      <c r="AH885" s="13"/>
      <c r="AI885" s="13"/>
      <c r="AJ885" s="13">
        <f>SUM(AJ881:AJ884)</f>
        <v>124</v>
      </c>
      <c r="AK885" s="13"/>
      <c r="AL885" s="262" t="s">
        <v>31</v>
      </c>
      <c r="AM885" s="259"/>
      <c r="AN885" s="53">
        <f>SUM(AN881:AN884)</f>
        <v>51306</v>
      </c>
      <c r="AO885" s="83">
        <f>AN885/AF885</f>
        <v>0.19748267898383373</v>
      </c>
      <c r="AP885" s="84"/>
      <c r="AQ885" s="2"/>
      <c r="AR885" s="16"/>
      <c r="AS885" s="5" t="s">
        <v>19</v>
      </c>
      <c r="AT885" s="13">
        <f>SUM(AT881:AT884)</f>
        <v>310300</v>
      </c>
      <c r="AU885" s="54"/>
      <c r="AV885" s="13"/>
      <c r="AW885" s="13"/>
      <c r="AX885" s="13">
        <f>SUM(AX881:AX884)</f>
        <v>192</v>
      </c>
      <c r="AY885" s="13"/>
      <c r="AZ885" s="262" t="s">
        <v>31</v>
      </c>
      <c r="BA885" s="259"/>
      <c r="BB885" s="53">
        <f>SUM(BB881:BB884)</f>
        <v>93404</v>
      </c>
      <c r="BC885" s="83">
        <f>BB885/AT885</f>
        <v>0.30101192394456977</v>
      </c>
      <c r="BD885" s="84"/>
      <c r="BU885" s="42"/>
      <c r="BV885" s="256"/>
      <c r="BW885" s="256"/>
      <c r="BX885" s="41"/>
      <c r="BY885" s="1"/>
      <c r="BZ885" s="3"/>
      <c r="CA885" s="1"/>
      <c r="CB885" s="23"/>
      <c r="CC885" s="23"/>
      <c r="CD885" s="23"/>
      <c r="CE885" s="23"/>
      <c r="CF885" s="23"/>
      <c r="CG885" s="18"/>
      <c r="CH885" s="1"/>
      <c r="CI885" s="42"/>
      <c r="CJ885" s="256"/>
      <c r="CK885" s="256"/>
      <c r="CL885" s="41"/>
      <c r="CM885" s="1"/>
      <c r="CN885" s="3"/>
      <c r="CO885" s="1"/>
      <c r="CP885" s="23"/>
      <c r="CQ885" s="23"/>
      <c r="CR885" s="23"/>
      <c r="CS885" s="23"/>
      <c r="CT885" s="23"/>
      <c r="CU885" s="18"/>
      <c r="CV885" s="1"/>
      <c r="CW885" s="42"/>
      <c r="CX885" s="256"/>
      <c r="CY885" s="256"/>
      <c r="CZ885" s="41"/>
      <c r="DA885" s="1"/>
      <c r="DB885" s="3"/>
      <c r="DC885" s="1"/>
      <c r="DD885" s="23"/>
      <c r="DE885" s="23"/>
      <c r="DF885" s="23"/>
      <c r="DG885" s="23"/>
      <c r="DH885" s="23"/>
      <c r="DI885" s="18"/>
      <c r="DJ885" s="1"/>
      <c r="DK885" s="42"/>
      <c r="DL885" s="256"/>
      <c r="DM885" s="256"/>
      <c r="DN885" s="41"/>
      <c r="DO885" s="1"/>
      <c r="DP885" s="3"/>
      <c r="DQ885" s="1"/>
      <c r="DR885" s="23"/>
      <c r="DS885" s="23"/>
      <c r="DT885" s="23"/>
      <c r="DU885" s="23"/>
      <c r="DV885" s="23"/>
      <c r="DW885" s="18"/>
    </row>
    <row r="886" spans="1:127" x14ac:dyDescent="0.2">
      <c r="A886" s="85"/>
      <c r="B886" s="101"/>
      <c r="C886" s="35"/>
      <c r="D886" s="54"/>
      <c r="E886" s="24"/>
      <c r="F886" s="54"/>
      <c r="G886" s="5"/>
      <c r="H886" s="13"/>
      <c r="I886" s="24"/>
      <c r="J886" s="99"/>
      <c r="K886" s="100"/>
      <c r="L886" s="76"/>
      <c r="M886" s="14"/>
      <c r="N886" s="15"/>
      <c r="O886" s="2"/>
      <c r="P886" s="79"/>
      <c r="Q886" s="5"/>
      <c r="R886" s="13"/>
      <c r="S886" s="13"/>
      <c r="T886" s="13"/>
      <c r="U886" s="5"/>
      <c r="V886" s="13"/>
      <c r="W886" s="24"/>
      <c r="X886" s="99"/>
      <c r="Y886" s="100"/>
      <c r="Z886" s="76"/>
      <c r="AA886" s="14"/>
      <c r="AB886" s="15"/>
      <c r="AD886" s="79"/>
      <c r="AE886" s="5"/>
      <c r="AF886" s="13"/>
      <c r="AG886" s="13"/>
      <c r="AH886" s="13"/>
      <c r="AI886" s="5"/>
      <c r="AJ886" s="13"/>
      <c r="AK886" s="24"/>
      <c r="AL886" s="99"/>
      <c r="AM886" s="100"/>
      <c r="AN886" s="76"/>
      <c r="AO886" s="14"/>
      <c r="AP886" s="15"/>
      <c r="AQ886" s="2"/>
      <c r="AR886" s="79"/>
      <c r="AS886" s="5"/>
      <c r="AT886" s="13"/>
      <c r="AU886" s="13"/>
      <c r="AV886" s="13"/>
      <c r="AW886" s="5"/>
      <c r="AX886" s="13"/>
      <c r="AY886" s="24"/>
      <c r="AZ886" s="118"/>
      <c r="BA886" s="100"/>
      <c r="BB886" s="76"/>
      <c r="BC886" s="14"/>
      <c r="BD886" s="15"/>
      <c r="BU886" s="42"/>
      <c r="BV886" s="3"/>
      <c r="BX886" s="41"/>
      <c r="BY886" s="1"/>
      <c r="BZ886" s="3"/>
      <c r="CA886" s="1"/>
      <c r="CB886" s="23"/>
      <c r="CC886" s="23"/>
      <c r="CD886" s="23"/>
      <c r="CE886" s="23"/>
      <c r="CF886" s="23"/>
      <c r="CG886" s="18"/>
      <c r="CH886" s="1"/>
      <c r="CI886" s="42"/>
      <c r="CJ886" s="3"/>
      <c r="CL886" s="41"/>
      <c r="CM886" s="1"/>
      <c r="CN886" s="3"/>
      <c r="CO886" s="1"/>
      <c r="CP886" s="23"/>
      <c r="CQ886" s="23"/>
      <c r="CR886" s="23"/>
      <c r="CS886" s="23"/>
      <c r="CT886" s="23"/>
      <c r="CU886" s="18"/>
      <c r="CV886" s="1"/>
      <c r="CW886" s="42"/>
      <c r="CX886" s="3"/>
      <c r="CZ886" s="41"/>
      <c r="DA886" s="1"/>
      <c r="DB886" s="3"/>
      <c r="DC886" s="1"/>
      <c r="DD886" s="23"/>
      <c r="DE886" s="23"/>
      <c r="DF886" s="23"/>
      <c r="DG886" s="23"/>
      <c r="DH886" s="23"/>
      <c r="DI886" s="18"/>
      <c r="DJ886" s="1"/>
      <c r="DK886" s="42"/>
      <c r="DL886" s="3"/>
      <c r="DN886" s="41"/>
      <c r="DO886" s="1"/>
      <c r="DP886" s="3"/>
      <c r="DQ886" s="1"/>
      <c r="DR886" s="23"/>
      <c r="DS886" s="23"/>
      <c r="DT886" s="23"/>
      <c r="DU886" s="23"/>
      <c r="DV886" s="23"/>
      <c r="DW886" s="18"/>
    </row>
    <row r="887" spans="1:127" x14ac:dyDescent="0.2">
      <c r="A887" s="257"/>
      <c r="B887" s="257"/>
      <c r="C887" s="257"/>
      <c r="D887" s="257"/>
      <c r="E887" s="257"/>
      <c r="F887" s="257"/>
      <c r="BU887" s="40"/>
      <c r="BV887" s="256"/>
      <c r="BW887" s="256"/>
      <c r="BX887" s="41"/>
      <c r="BY887" s="1"/>
      <c r="BZ887" s="3"/>
      <c r="CA887" s="1"/>
      <c r="CB887" s="23"/>
      <c r="CC887" s="23"/>
      <c r="CD887" s="23"/>
      <c r="CE887" s="23"/>
      <c r="CF887" s="23"/>
      <c r="CG887" s="18"/>
      <c r="CH887" s="1"/>
      <c r="CI887" s="40"/>
      <c r="CJ887" s="256"/>
      <c r="CK887" s="256"/>
      <c r="CL887" s="41"/>
      <c r="CM887" s="1"/>
      <c r="CN887" s="3"/>
      <c r="CO887" s="1"/>
      <c r="CP887" s="23"/>
      <c r="CQ887" s="23"/>
      <c r="CR887" s="23"/>
      <c r="CS887" s="23"/>
      <c r="CT887" s="23"/>
      <c r="CU887" s="18"/>
      <c r="CV887" s="1"/>
      <c r="CW887" s="40"/>
      <c r="CX887" s="256"/>
      <c r="CY887" s="256"/>
      <c r="CZ887" s="41"/>
      <c r="DA887" s="1"/>
      <c r="DB887" s="3"/>
      <c r="DC887" s="1"/>
      <c r="DD887" s="23"/>
      <c r="DE887" s="23"/>
      <c r="DF887" s="23"/>
      <c r="DG887" s="23"/>
      <c r="DH887" s="23"/>
      <c r="DI887" s="18"/>
      <c r="DJ887" s="1"/>
      <c r="DK887" s="40"/>
      <c r="DL887" s="256"/>
      <c r="DM887" s="256"/>
      <c r="DN887" s="41"/>
      <c r="DO887" s="1"/>
      <c r="DP887" s="3"/>
      <c r="DQ887" s="1"/>
      <c r="DR887" s="23"/>
      <c r="DS887" s="23"/>
      <c r="DT887" s="23"/>
      <c r="DU887" s="23"/>
      <c r="DV887" s="23"/>
      <c r="DW887" s="18"/>
    </row>
    <row r="888" spans="1:127" ht="15" customHeight="1" x14ac:dyDescent="0.2">
      <c r="A888" s="257"/>
      <c r="B888" s="257"/>
      <c r="J888"/>
      <c r="BU888" s="40"/>
      <c r="BV888" s="3"/>
      <c r="BX888" s="41"/>
      <c r="BY888" s="1"/>
      <c r="BZ888" s="3"/>
      <c r="CA888" s="1"/>
      <c r="CB888" s="23"/>
      <c r="CC888" s="23"/>
      <c r="CD888" s="23"/>
      <c r="CE888" s="23"/>
      <c r="CF888" s="23"/>
      <c r="CG888" s="18"/>
      <c r="CH888" s="1"/>
      <c r="CI888" s="40"/>
      <c r="CJ888" s="3"/>
      <c r="CL888" s="41"/>
      <c r="CM888" s="1"/>
      <c r="CN888" s="3"/>
      <c r="CO888" s="1"/>
      <c r="CP888" s="23"/>
      <c r="CQ888" s="23"/>
      <c r="CR888" s="23"/>
      <c r="CS888" s="23"/>
      <c r="CT888" s="23"/>
      <c r="CU888" s="18"/>
      <c r="CV888" s="1"/>
      <c r="CW888" s="40"/>
      <c r="CX888" s="3"/>
      <c r="CZ888" s="41"/>
      <c r="DA888" s="1"/>
      <c r="DB888" s="3"/>
      <c r="DC888" s="1"/>
      <c r="DD888" s="23"/>
      <c r="DE888" s="23"/>
      <c r="DF888" s="23"/>
      <c r="DG888" s="23"/>
      <c r="DH888" s="23"/>
      <c r="DI888" s="18"/>
      <c r="DJ888" s="1"/>
      <c r="DK888" s="40"/>
      <c r="DL888" s="3"/>
      <c r="DN888" s="41"/>
      <c r="DO888" s="1"/>
      <c r="DP888" s="3"/>
      <c r="DQ888" s="1"/>
      <c r="DR888" s="23"/>
      <c r="DS888" s="23"/>
      <c r="DT888" s="23"/>
      <c r="DU888" s="23"/>
      <c r="DV888" s="23"/>
      <c r="DW888" s="18"/>
    </row>
    <row r="889" spans="1:127" x14ac:dyDescent="0.2">
      <c r="A889" s="276" t="s">
        <v>42</v>
      </c>
      <c r="B889" s="276"/>
      <c r="C889" s="276"/>
      <c r="D889" s="276"/>
      <c r="E889" s="70" t="s">
        <v>56</v>
      </c>
      <c r="F889" s="70"/>
      <c r="G889" s="70"/>
      <c r="H889" s="70"/>
      <c r="I889" s="70"/>
      <c r="J889" s="71"/>
      <c r="K889" s="70"/>
      <c r="L889" s="70"/>
      <c r="M889" s="70"/>
      <c r="N889" s="72"/>
      <c r="O889" s="2"/>
      <c r="P889" s="276" t="s">
        <v>43</v>
      </c>
      <c r="Q889" s="276"/>
      <c r="R889" s="276"/>
      <c r="S889" s="70" t="s">
        <v>55</v>
      </c>
      <c r="T889" s="70"/>
      <c r="U889" s="70"/>
      <c r="V889" s="70"/>
      <c r="W889" s="70"/>
      <c r="X889" s="73"/>
      <c r="Y889" s="70"/>
      <c r="Z889" s="70"/>
      <c r="AA889" s="70"/>
      <c r="AB889" s="72"/>
      <c r="AC889" s="1"/>
      <c r="AD889" s="276" t="s">
        <v>54</v>
      </c>
      <c r="AE889" s="276"/>
      <c r="AF889" s="276"/>
      <c r="AG889" s="70" t="s">
        <v>52</v>
      </c>
      <c r="AH889" s="70"/>
      <c r="AI889" s="70"/>
      <c r="AJ889" s="70"/>
      <c r="AK889" s="70"/>
      <c r="AL889" s="71"/>
      <c r="AM889" s="70"/>
      <c r="AN889" s="70"/>
      <c r="AO889" s="70"/>
      <c r="AP889" s="72"/>
      <c r="AQ889" s="2"/>
      <c r="AR889" s="276" t="s">
        <v>54</v>
      </c>
      <c r="AS889" s="276"/>
      <c r="AT889" s="276"/>
      <c r="AU889" s="70" t="s">
        <v>53</v>
      </c>
      <c r="AV889" s="70"/>
      <c r="AW889" s="70"/>
      <c r="AX889" s="70"/>
      <c r="AY889" s="70"/>
      <c r="AZ889" s="71"/>
      <c r="BA889" s="70"/>
      <c r="BB889" s="70"/>
      <c r="BC889" s="70"/>
      <c r="BD889" s="72"/>
      <c r="BU889" s="116"/>
      <c r="BV889" s="286" t="s">
        <v>137</v>
      </c>
      <c r="BW889" s="287"/>
      <c r="BX889" s="287"/>
      <c r="BY889" s="287"/>
      <c r="BZ889" s="117"/>
      <c r="CA889" s="117"/>
      <c r="CB889" s="117"/>
      <c r="CC889" s="117"/>
      <c r="CD889" s="117"/>
      <c r="CE889" s="117"/>
      <c r="CF889" s="117"/>
      <c r="CG889" s="117"/>
      <c r="CH889" s="117"/>
      <c r="CI889" s="116"/>
      <c r="CJ889" s="286" t="s">
        <v>138</v>
      </c>
      <c r="CK889" s="287"/>
      <c r="CL889" s="287"/>
      <c r="CM889" s="287"/>
      <c r="CN889" s="117"/>
      <c r="CO889" s="117"/>
      <c r="CP889" s="117"/>
      <c r="CQ889" s="117"/>
      <c r="CR889" s="117"/>
      <c r="CS889" s="117"/>
      <c r="CT889" s="117"/>
      <c r="CU889" s="117"/>
      <c r="CV889" s="117"/>
      <c r="CW889" s="116"/>
      <c r="CX889" s="286" t="s">
        <v>139</v>
      </c>
      <c r="CY889" s="287"/>
      <c r="CZ889" s="287"/>
      <c r="DA889" s="287"/>
      <c r="DB889" s="117"/>
      <c r="DC889" s="117"/>
      <c r="DD889" s="117"/>
      <c r="DE889" s="117"/>
      <c r="DF889" s="117"/>
      <c r="DG889" s="117"/>
      <c r="DH889" s="117"/>
      <c r="DI889" s="117"/>
      <c r="DJ889" s="117"/>
      <c r="DK889" s="116"/>
      <c r="DL889" s="286" t="s">
        <v>140</v>
      </c>
      <c r="DM889" s="287"/>
      <c r="DN889" s="287"/>
      <c r="DO889" s="287"/>
      <c r="DP889" s="117"/>
      <c r="DQ889" s="117"/>
      <c r="DR889" s="117"/>
      <c r="DS889" s="117"/>
      <c r="DT889" s="117"/>
      <c r="DU889" s="117"/>
      <c r="DV889" s="117"/>
      <c r="DW889" s="117"/>
    </row>
    <row r="890" spans="1:127" x14ac:dyDescent="0.2">
      <c r="A890" s="7" t="s">
        <v>1</v>
      </c>
      <c r="B890" s="4" t="s">
        <v>19</v>
      </c>
      <c r="C890" s="5" t="s">
        <v>2</v>
      </c>
      <c r="D890" s="5" t="s">
        <v>3</v>
      </c>
      <c r="E890" s="6" t="s">
        <v>4</v>
      </c>
      <c r="F890" s="5" t="s">
        <v>3</v>
      </c>
      <c r="G890" s="5" t="s">
        <v>5</v>
      </c>
      <c r="H890" s="5" t="s">
        <v>6</v>
      </c>
      <c r="I890" s="5" t="s">
        <v>7</v>
      </c>
      <c r="J890" s="55" t="s">
        <v>12</v>
      </c>
      <c r="K890" s="5" t="s">
        <v>8</v>
      </c>
      <c r="L890" s="5" t="s">
        <v>6</v>
      </c>
      <c r="M890" s="5" t="s">
        <v>13</v>
      </c>
      <c r="N890" s="5" t="s">
        <v>11</v>
      </c>
      <c r="O890" s="2"/>
      <c r="P890" s="7" t="s">
        <v>1</v>
      </c>
      <c r="Q890" s="5" t="s">
        <v>2</v>
      </c>
      <c r="R890" s="5" t="s">
        <v>3</v>
      </c>
      <c r="S890" s="6" t="s">
        <v>4</v>
      </c>
      <c r="T890" s="5" t="s">
        <v>3</v>
      </c>
      <c r="U890" s="5" t="s">
        <v>5</v>
      </c>
      <c r="V890" s="5" t="s">
        <v>6</v>
      </c>
      <c r="W890" s="5" t="s">
        <v>7</v>
      </c>
      <c r="X890" s="6" t="s">
        <v>12</v>
      </c>
      <c r="Y890" s="5" t="s">
        <v>8</v>
      </c>
      <c r="Z890" s="5" t="s">
        <v>6</v>
      </c>
      <c r="AA890" s="5" t="s">
        <v>13</v>
      </c>
      <c r="AB890" s="5" t="s">
        <v>11</v>
      </c>
      <c r="AC890" s="3"/>
      <c r="AD890" s="7" t="s">
        <v>1</v>
      </c>
      <c r="AE890" s="5" t="s">
        <v>2</v>
      </c>
      <c r="AF890" s="5" t="s">
        <v>3</v>
      </c>
      <c r="AG890" s="6" t="s">
        <v>4</v>
      </c>
      <c r="AH890" s="5" t="s">
        <v>3</v>
      </c>
      <c r="AI890" s="5" t="s">
        <v>5</v>
      </c>
      <c r="AJ890" s="5" t="s">
        <v>6</v>
      </c>
      <c r="AK890" s="5" t="s">
        <v>7</v>
      </c>
      <c r="AL890" s="55" t="s">
        <v>12</v>
      </c>
      <c r="AM890" s="5" t="s">
        <v>8</v>
      </c>
      <c r="AN890" s="5" t="s">
        <v>6</v>
      </c>
      <c r="AO890" s="5" t="s">
        <v>13</v>
      </c>
      <c r="AP890" s="5" t="s">
        <v>11</v>
      </c>
      <c r="AQ890" s="2"/>
      <c r="AR890" s="7" t="s">
        <v>1</v>
      </c>
      <c r="AS890" s="5" t="s">
        <v>2</v>
      </c>
      <c r="AT890" s="5" t="s">
        <v>3</v>
      </c>
      <c r="AU890" s="6" t="s">
        <v>4</v>
      </c>
      <c r="AV890" s="5" t="s">
        <v>3</v>
      </c>
      <c r="AW890" s="5" t="s">
        <v>5</v>
      </c>
      <c r="AX890" s="5" t="s">
        <v>6</v>
      </c>
      <c r="AY890" s="5" t="s">
        <v>7</v>
      </c>
      <c r="AZ890" s="55" t="s">
        <v>12</v>
      </c>
      <c r="BA890" s="5" t="s">
        <v>8</v>
      </c>
      <c r="BB890" s="5" t="s">
        <v>6</v>
      </c>
      <c r="BC890" s="5" t="s">
        <v>13</v>
      </c>
      <c r="BD890" s="5" t="s">
        <v>11</v>
      </c>
      <c r="BU890" s="8" t="s">
        <v>1</v>
      </c>
      <c r="BV890" s="5" t="s">
        <v>2</v>
      </c>
      <c r="BW890" s="5" t="s">
        <v>3</v>
      </c>
      <c r="BX890" s="6" t="s">
        <v>4</v>
      </c>
      <c r="BY890" s="5" t="s">
        <v>3</v>
      </c>
      <c r="BZ890" s="5" t="s">
        <v>5</v>
      </c>
      <c r="CA890" s="5" t="s">
        <v>6</v>
      </c>
      <c r="CB890" s="5" t="s">
        <v>7</v>
      </c>
      <c r="CC890" s="5"/>
      <c r="CD890" s="5" t="s">
        <v>8</v>
      </c>
      <c r="CE890" s="5" t="s">
        <v>9</v>
      </c>
      <c r="CF890" s="5" t="s">
        <v>10</v>
      </c>
      <c r="CG890" s="5" t="s">
        <v>11</v>
      </c>
      <c r="CH890" s="9"/>
      <c r="CI890" s="8" t="s">
        <v>1</v>
      </c>
      <c r="CJ890" s="5" t="s">
        <v>2</v>
      </c>
      <c r="CK890" s="5" t="s">
        <v>3</v>
      </c>
      <c r="CL890" s="6" t="s">
        <v>4</v>
      </c>
      <c r="CM890" s="5" t="s">
        <v>3</v>
      </c>
      <c r="CN890" s="5" t="s">
        <v>5</v>
      </c>
      <c r="CO890" s="5" t="s">
        <v>6</v>
      </c>
      <c r="CP890" s="5" t="s">
        <v>7</v>
      </c>
      <c r="CQ890" s="5"/>
      <c r="CR890" s="5" t="s">
        <v>8</v>
      </c>
      <c r="CS890" s="5" t="s">
        <v>9</v>
      </c>
      <c r="CT890" s="5" t="s">
        <v>10</v>
      </c>
      <c r="CU890" s="5" t="s">
        <v>11</v>
      </c>
      <c r="CV890" s="1"/>
      <c r="CW890" s="8" t="s">
        <v>1</v>
      </c>
      <c r="CX890" s="5" t="s">
        <v>2</v>
      </c>
      <c r="CY890" s="5" t="s">
        <v>3</v>
      </c>
      <c r="CZ890" s="6" t="s">
        <v>4</v>
      </c>
      <c r="DA890" s="5" t="s">
        <v>3</v>
      </c>
      <c r="DB890" s="5" t="s">
        <v>5</v>
      </c>
      <c r="DC890" s="5" t="s">
        <v>6</v>
      </c>
      <c r="DD890" s="5" t="s">
        <v>7</v>
      </c>
      <c r="DE890" s="5"/>
      <c r="DF890" s="5" t="s">
        <v>8</v>
      </c>
      <c r="DG890" s="5" t="s">
        <v>9</v>
      </c>
      <c r="DH890" s="5" t="s">
        <v>10</v>
      </c>
      <c r="DI890" s="5" t="s">
        <v>11</v>
      </c>
      <c r="DJ890" s="9"/>
      <c r="DK890" s="8" t="s">
        <v>1</v>
      </c>
      <c r="DL890" s="5" t="s">
        <v>2</v>
      </c>
      <c r="DM890" s="5" t="s">
        <v>3</v>
      </c>
      <c r="DN890" s="6" t="s">
        <v>4</v>
      </c>
      <c r="DO890" s="5" t="s">
        <v>3</v>
      </c>
      <c r="DP890" s="5" t="s">
        <v>5</v>
      </c>
      <c r="DQ890" s="5" t="s">
        <v>6</v>
      </c>
      <c r="DR890" s="5" t="s">
        <v>7</v>
      </c>
      <c r="DS890" s="5"/>
      <c r="DT890" s="5" t="s">
        <v>8</v>
      </c>
      <c r="DU890" s="5" t="s">
        <v>9</v>
      </c>
      <c r="DV890" s="5" t="s">
        <v>10</v>
      </c>
      <c r="DW890" s="5" t="s">
        <v>11</v>
      </c>
    </row>
    <row r="891" spans="1:127" x14ac:dyDescent="0.2">
      <c r="A891" s="16">
        <v>45793</v>
      </c>
      <c r="B891" s="74">
        <v>986</v>
      </c>
      <c r="C891" s="53">
        <v>20304</v>
      </c>
      <c r="D891" s="53">
        <v>67</v>
      </c>
      <c r="E891" s="53">
        <v>1103</v>
      </c>
      <c r="F891" s="53">
        <v>4</v>
      </c>
      <c r="G891" s="53">
        <v>11</v>
      </c>
      <c r="H891" s="53">
        <v>1</v>
      </c>
      <c r="I891" s="53">
        <v>0</v>
      </c>
      <c r="J891" s="75" t="s">
        <v>60</v>
      </c>
      <c r="K891" s="76">
        <v>748</v>
      </c>
      <c r="L891" s="53">
        <v>748</v>
      </c>
      <c r="M891" s="77">
        <v>0.11164179104477612</v>
      </c>
      <c r="N891" s="15"/>
      <c r="O891" s="2"/>
      <c r="P891" s="16">
        <v>45793</v>
      </c>
      <c r="Q891" s="53">
        <v>20491</v>
      </c>
      <c r="R891" s="53">
        <v>52</v>
      </c>
      <c r="S891" s="53">
        <v>1164</v>
      </c>
      <c r="T891" s="53">
        <v>2</v>
      </c>
      <c r="U891" s="53">
        <v>5</v>
      </c>
      <c r="V891" s="53">
        <v>2</v>
      </c>
      <c r="W891" s="53">
        <v>5</v>
      </c>
      <c r="X891" s="78" t="s">
        <v>68</v>
      </c>
      <c r="Y891" s="76">
        <v>1100</v>
      </c>
      <c r="Z891" s="53">
        <v>2200</v>
      </c>
      <c r="AA891" s="77">
        <v>0.42307692307692307</v>
      </c>
      <c r="AB891" s="15"/>
      <c r="AC891" s="1"/>
      <c r="AD891" s="16">
        <v>45793</v>
      </c>
      <c r="AE891" s="53">
        <v>4636</v>
      </c>
      <c r="AF891" s="53">
        <v>32</v>
      </c>
      <c r="AG891" s="53">
        <v>97</v>
      </c>
      <c r="AH891" s="53">
        <v>1</v>
      </c>
      <c r="AI891" s="53">
        <v>43</v>
      </c>
      <c r="AJ891" s="53">
        <v>1</v>
      </c>
      <c r="AK891" s="53">
        <v>6</v>
      </c>
      <c r="AL891" s="75" t="s">
        <v>15</v>
      </c>
      <c r="AM891" s="76">
        <v>1100</v>
      </c>
      <c r="AN891" s="53">
        <v>1100</v>
      </c>
      <c r="AO891" s="77">
        <v>0.34375</v>
      </c>
      <c r="AP891" s="15"/>
      <c r="AQ891" s="2"/>
      <c r="AR891" s="16">
        <v>45793</v>
      </c>
      <c r="AS891" s="53">
        <v>4568</v>
      </c>
      <c r="AT891" s="53">
        <v>69</v>
      </c>
      <c r="AU891" s="53">
        <v>139</v>
      </c>
      <c r="AV891" s="53">
        <v>4</v>
      </c>
      <c r="AW891" s="53">
        <v>50</v>
      </c>
      <c r="AX891" s="53">
        <v>6</v>
      </c>
      <c r="AY891" s="53">
        <v>17</v>
      </c>
      <c r="AZ891" s="75" t="s">
        <v>16</v>
      </c>
      <c r="BA891" s="76">
        <v>1001</v>
      </c>
      <c r="BB891" s="53">
        <v>6006</v>
      </c>
      <c r="BC891" s="77">
        <v>0.87043478260869567</v>
      </c>
      <c r="BD891" s="15"/>
      <c r="BU891" s="16">
        <v>45793</v>
      </c>
      <c r="BV891" s="20"/>
      <c r="BW891" s="12"/>
      <c r="BX891" s="12"/>
      <c r="BY891" s="12"/>
      <c r="BZ891" s="12"/>
      <c r="CA891" s="12"/>
      <c r="CB891" s="12"/>
      <c r="CC891" s="53"/>
      <c r="CD891" s="12"/>
      <c r="CE891" s="13"/>
      <c r="CF891" s="14"/>
      <c r="CG891" s="91"/>
      <c r="CH891" s="1"/>
      <c r="CI891" s="16">
        <v>45793</v>
      </c>
      <c r="CJ891" s="20"/>
      <c r="CK891" s="12"/>
      <c r="CL891" s="12"/>
      <c r="CM891" s="12"/>
      <c r="CN891" s="12"/>
      <c r="CO891" s="12"/>
      <c r="CP891" s="12"/>
      <c r="CQ891" s="53"/>
      <c r="CR891" s="13"/>
      <c r="CS891" s="13"/>
      <c r="CT891" s="14"/>
      <c r="CU891" s="22"/>
      <c r="CV891" s="1"/>
      <c r="CW891" s="16">
        <v>45793</v>
      </c>
      <c r="CX891" s="20"/>
      <c r="CY891" s="12"/>
      <c r="CZ891" s="12"/>
      <c r="DA891" s="12"/>
      <c r="DB891" s="12"/>
      <c r="DC891" s="12"/>
      <c r="DD891" s="12"/>
      <c r="DE891" s="53"/>
      <c r="DF891" s="12"/>
      <c r="DG891" s="13"/>
      <c r="DH891" s="14"/>
      <c r="DI891" s="15"/>
      <c r="DJ891" s="1"/>
      <c r="DK891" s="16">
        <v>45793</v>
      </c>
      <c r="DL891" s="20"/>
      <c r="DM891" s="12"/>
      <c r="DN891" s="12"/>
      <c r="DO891" s="12"/>
      <c r="DP891" s="12"/>
      <c r="DQ891" s="12"/>
      <c r="DR891" s="12"/>
      <c r="DS891" s="53"/>
      <c r="DT891" s="13"/>
      <c r="DU891" s="13"/>
      <c r="DV891" s="14"/>
      <c r="DW891" s="22"/>
    </row>
    <row r="892" spans="1:127" x14ac:dyDescent="0.2">
      <c r="A892" s="16"/>
      <c r="B892" s="11"/>
      <c r="C892" s="13">
        <v>24624</v>
      </c>
      <c r="D892" s="13">
        <v>59</v>
      </c>
      <c r="E892" s="13">
        <v>1291</v>
      </c>
      <c r="F892" s="13">
        <v>5</v>
      </c>
      <c r="G892" s="13">
        <v>20</v>
      </c>
      <c r="H892" s="13">
        <v>2</v>
      </c>
      <c r="I892" s="13">
        <v>0</v>
      </c>
      <c r="J892" s="56" t="s">
        <v>71</v>
      </c>
      <c r="K892" s="54">
        <v>770</v>
      </c>
      <c r="L892" s="13">
        <v>1540</v>
      </c>
      <c r="M892" s="14">
        <v>0.26101694915254237</v>
      </c>
      <c r="N892" s="15"/>
      <c r="O892" s="2"/>
      <c r="P892" s="16"/>
      <c r="Q892" s="13">
        <v>25000</v>
      </c>
      <c r="R892" s="13">
        <v>91</v>
      </c>
      <c r="S892" s="13">
        <v>1454</v>
      </c>
      <c r="T892" s="13">
        <v>6</v>
      </c>
      <c r="U892" s="13">
        <v>0</v>
      </c>
      <c r="V892" s="13">
        <v>8</v>
      </c>
      <c r="W892" s="13">
        <v>4</v>
      </c>
      <c r="X892" s="78" t="s">
        <v>102</v>
      </c>
      <c r="Y892" s="53">
        <v>1100</v>
      </c>
      <c r="Z892" s="13">
        <v>8800</v>
      </c>
      <c r="AA892" s="14">
        <v>0.96703296703296704</v>
      </c>
      <c r="AB892" s="15" t="s">
        <v>111</v>
      </c>
      <c r="AC892" s="1"/>
      <c r="AD892" s="16"/>
      <c r="AE892" s="13">
        <v>3606</v>
      </c>
      <c r="AF892" s="13">
        <v>88</v>
      </c>
      <c r="AG892" s="13">
        <v>88</v>
      </c>
      <c r="AH892" s="13">
        <v>1</v>
      </c>
      <c r="AI892" s="13">
        <v>14</v>
      </c>
      <c r="AJ892" s="13">
        <v>1</v>
      </c>
      <c r="AK892" s="13">
        <v>0</v>
      </c>
      <c r="AL892" s="56" t="s">
        <v>81</v>
      </c>
      <c r="AM892" s="54">
        <v>800</v>
      </c>
      <c r="AN892" s="13">
        <v>800</v>
      </c>
      <c r="AO892" s="14">
        <v>9.0909090909090912E-2</v>
      </c>
      <c r="AP892" s="15"/>
      <c r="AQ892" s="2"/>
      <c r="AR892" s="16"/>
      <c r="AS892" s="13">
        <v>2879</v>
      </c>
      <c r="AT892" s="87">
        <v>46</v>
      </c>
      <c r="AU892" s="13">
        <v>141</v>
      </c>
      <c r="AV892" s="13">
        <v>13</v>
      </c>
      <c r="AW892" s="13">
        <v>40</v>
      </c>
      <c r="AX892" s="13">
        <v>13</v>
      </c>
      <c r="AY892" s="13">
        <v>0</v>
      </c>
      <c r="AZ892" s="56" t="s">
        <v>61</v>
      </c>
      <c r="BA892" s="54">
        <v>400</v>
      </c>
      <c r="BB892" s="13">
        <v>5200</v>
      </c>
      <c r="BC892" s="14">
        <v>1.1304347826086956</v>
      </c>
      <c r="BD892" s="15" t="s">
        <v>33</v>
      </c>
      <c r="BU892" s="19">
        <f>IF($A895="","",$A895)</f>
        <v>45796</v>
      </c>
      <c r="BV892" s="13"/>
      <c r="BW892" s="13" t="str">
        <f>IF(BV892="","",BV892-BV891)</f>
        <v/>
      </c>
      <c r="BX892" s="13"/>
      <c r="BY892" s="13" t="str">
        <f>IF(BX892="","",BX892-BX891)</f>
        <v/>
      </c>
      <c r="BZ892" s="13"/>
      <c r="CA892" s="13" t="str">
        <f t="shared" ref="CA892:CA904" si="1265">IF(BZ892="","",BZ891+CB891-BZ892)</f>
        <v/>
      </c>
      <c r="CB892" s="13"/>
      <c r="CC892" s="53"/>
      <c r="CD892" s="12" t="str">
        <f t="shared" ref="CD892:CD904" si="1266">IF(BV892="","",CD891)</f>
        <v/>
      </c>
      <c r="CE892" s="13" t="str">
        <f t="shared" ref="CE892:CE904" si="1267">IF(CD892="","",CA892*CD892)</f>
        <v/>
      </c>
      <c r="CF892" s="14" t="str">
        <f t="shared" ref="CF892" si="1268">IF(CE892="","",CE892/(BW892*100))</f>
        <v/>
      </c>
      <c r="CG892" s="67"/>
      <c r="CH892" s="1"/>
      <c r="CI892" s="19">
        <f>IF($A895="","",$A895)</f>
        <v>45796</v>
      </c>
      <c r="CJ892" s="13"/>
      <c r="CK892" s="13" t="str">
        <f>IF(CJ892="","",CJ892-CJ891)</f>
        <v/>
      </c>
      <c r="CL892" s="13"/>
      <c r="CM892" s="13" t="str">
        <f>IF(CL892="","",CL892-CL891)</f>
        <v/>
      </c>
      <c r="CN892" s="13"/>
      <c r="CO892" s="13" t="str">
        <f t="shared" ref="CO892:CO904" si="1269">IF(CN892="","",CN891+CP891-CN892)</f>
        <v/>
      </c>
      <c r="CP892" s="13"/>
      <c r="CQ892" s="53"/>
      <c r="CR892" s="12" t="str">
        <f t="shared" ref="CR892:CR904" si="1270">IF(CJ892="","",CR891)</f>
        <v/>
      </c>
      <c r="CS892" s="13" t="str">
        <f t="shared" ref="CS892:CS904" si="1271">IF(CR892="","",CO892*CR892)</f>
        <v/>
      </c>
      <c r="CT892" s="14" t="str">
        <f t="shared" ref="CT892" si="1272">IF(CS892="","",CS892/(CK892*100))</f>
        <v/>
      </c>
      <c r="CU892" s="67"/>
      <c r="CV892" s="1"/>
      <c r="CW892" s="19">
        <f>IF($A895="","",$A895)</f>
        <v>45796</v>
      </c>
      <c r="CX892" s="13"/>
      <c r="CY892" s="13" t="str">
        <f>IF(CX892="","",CX892-CX891)</f>
        <v/>
      </c>
      <c r="CZ892" s="13"/>
      <c r="DA892" s="13" t="str">
        <f>IF(CZ892="","",CZ892-CZ891)</f>
        <v/>
      </c>
      <c r="DB892" s="13"/>
      <c r="DC892" s="13" t="str">
        <f t="shared" ref="DC892:DC904" si="1273">IF(DB892="","",DB891+DD891-DB892)</f>
        <v/>
      </c>
      <c r="DD892" s="13"/>
      <c r="DE892" s="53"/>
      <c r="DF892" s="12" t="str">
        <f t="shared" ref="DF892:DF904" si="1274">IF(CX892="","",DF891)</f>
        <v/>
      </c>
      <c r="DG892" s="13" t="str">
        <f t="shared" ref="DG892:DG904" si="1275">IF(DF892="","",DC892*DF892)</f>
        <v/>
      </c>
      <c r="DH892" s="14" t="str">
        <f t="shared" ref="DH892:DH904" si="1276">IF(DG892="","",DG892/(CY892*100))</f>
        <v/>
      </c>
      <c r="DI892" s="67"/>
      <c r="DJ892" s="1"/>
      <c r="DK892" s="19">
        <f>IF($A895="","",$A895)</f>
        <v>45796</v>
      </c>
      <c r="DL892" s="13"/>
      <c r="DM892" s="13" t="str">
        <f>IF(DL892="","",DL892-DL891)</f>
        <v/>
      </c>
      <c r="DN892" s="13"/>
      <c r="DO892" s="13" t="str">
        <f>IF(DN892="","",DN892-DN891)</f>
        <v/>
      </c>
      <c r="DP892" s="13"/>
      <c r="DQ892" s="13" t="str">
        <f t="shared" ref="DQ892:DQ904" si="1277">IF(DP892="","",DP891+DR891-DP892)</f>
        <v/>
      </c>
      <c r="DR892" s="13"/>
      <c r="DS892" s="53"/>
      <c r="DT892" s="12" t="str">
        <f t="shared" ref="DT892:DT904" si="1278">IF(DL892="","",DT891)</f>
        <v/>
      </c>
      <c r="DU892" s="13" t="str">
        <f t="shared" ref="DU892:DU904" si="1279">IF(DT892="","",DQ892*DT892)</f>
        <v/>
      </c>
      <c r="DV892" s="14" t="str">
        <f t="shared" ref="DV892:DV904" si="1280">IF(DU892="","",DU892/(DM892*100))</f>
        <v/>
      </c>
      <c r="DW892" s="22"/>
    </row>
    <row r="893" spans="1:127" x14ac:dyDescent="0.2">
      <c r="A893" s="16"/>
      <c r="B893" s="11"/>
      <c r="C893" s="13">
        <v>20523</v>
      </c>
      <c r="D893" s="13">
        <v>56</v>
      </c>
      <c r="E893" s="13">
        <v>1037</v>
      </c>
      <c r="F893" s="13">
        <v>3</v>
      </c>
      <c r="G893" s="13">
        <v>23</v>
      </c>
      <c r="H893" s="13">
        <v>0</v>
      </c>
      <c r="I893" s="13">
        <v>0</v>
      </c>
      <c r="J893" s="56" t="s">
        <v>17</v>
      </c>
      <c r="K893" s="54">
        <v>180</v>
      </c>
      <c r="L893" s="13">
        <v>0</v>
      </c>
      <c r="M893" s="14">
        <v>0</v>
      </c>
      <c r="N893" s="15"/>
      <c r="O893" s="2"/>
      <c r="P893" s="16"/>
      <c r="Q893" s="13">
        <v>19295</v>
      </c>
      <c r="R893" s="13">
        <v>44</v>
      </c>
      <c r="S893" s="13">
        <v>2654</v>
      </c>
      <c r="T893" s="13">
        <v>2</v>
      </c>
      <c r="U893" s="13">
        <v>17</v>
      </c>
      <c r="V893" s="13">
        <v>3</v>
      </c>
      <c r="W893" s="13">
        <v>0</v>
      </c>
      <c r="X893" s="21" t="s">
        <v>18</v>
      </c>
      <c r="Y893" s="54">
        <v>165</v>
      </c>
      <c r="Z893" s="13">
        <v>495</v>
      </c>
      <c r="AA893" s="14">
        <v>0.1125</v>
      </c>
      <c r="AB893" s="15"/>
      <c r="AC893" s="1"/>
      <c r="AD893" s="16"/>
      <c r="AE893" s="13">
        <v>4066</v>
      </c>
      <c r="AF893" s="13">
        <v>48</v>
      </c>
      <c r="AG893" s="13">
        <v>129</v>
      </c>
      <c r="AH893" s="13">
        <v>4</v>
      </c>
      <c r="AI893" s="13">
        <v>10</v>
      </c>
      <c r="AJ893" s="13">
        <v>4</v>
      </c>
      <c r="AK893" s="13">
        <v>0</v>
      </c>
      <c r="AL893" s="56" t="s">
        <v>58</v>
      </c>
      <c r="AM893" s="54">
        <v>650</v>
      </c>
      <c r="AN893" s="13">
        <v>2600</v>
      </c>
      <c r="AO893" s="14">
        <v>0.54166666666666663</v>
      </c>
      <c r="AP893" s="15"/>
      <c r="AQ893" s="2"/>
      <c r="AR893" s="16"/>
      <c r="AS893" s="13">
        <v>4661</v>
      </c>
      <c r="AT893" s="13">
        <v>79</v>
      </c>
      <c r="AU893" s="13">
        <v>173</v>
      </c>
      <c r="AV893" s="13">
        <v>7</v>
      </c>
      <c r="AW893" s="13">
        <v>110</v>
      </c>
      <c r="AX893" s="13">
        <v>10</v>
      </c>
      <c r="AY893" s="13">
        <v>0</v>
      </c>
      <c r="AZ893" s="56" t="s">
        <v>74</v>
      </c>
      <c r="BA893" s="54">
        <v>200</v>
      </c>
      <c r="BB893" s="13">
        <v>2000</v>
      </c>
      <c r="BC893" s="14">
        <v>0.25316455696202533</v>
      </c>
      <c r="BD893" s="15"/>
      <c r="BU893" s="19">
        <f>IF($A899="","",$A899)</f>
        <v>45799</v>
      </c>
      <c r="BV893" s="13">
        <v>999993</v>
      </c>
      <c r="BW893" s="13"/>
      <c r="BX893" s="13">
        <v>999991</v>
      </c>
      <c r="BY893" s="13"/>
      <c r="BZ893" s="13"/>
      <c r="CA893" s="13" t="str">
        <f t="shared" si="1265"/>
        <v/>
      </c>
      <c r="CB893" s="13">
        <v>42</v>
      </c>
      <c r="CC893" s="53"/>
      <c r="CD893" s="12">
        <v>385</v>
      </c>
      <c r="CE893" s="13"/>
      <c r="CF893" s="14"/>
      <c r="CG893" s="67" t="s">
        <v>117</v>
      </c>
      <c r="CH893" s="1"/>
      <c r="CI893" s="19">
        <f>IF($A899="","",$A899)</f>
        <v>45799</v>
      </c>
      <c r="CJ893" s="13">
        <v>999995</v>
      </c>
      <c r="CK893" s="13"/>
      <c r="CL893" s="13">
        <v>999992</v>
      </c>
      <c r="CM893" s="13"/>
      <c r="CN893" s="13"/>
      <c r="CO893" s="13" t="str">
        <f t="shared" si="1269"/>
        <v/>
      </c>
      <c r="CP893" s="13">
        <v>20</v>
      </c>
      <c r="CQ893" s="53"/>
      <c r="CR893" s="12">
        <v>1012</v>
      </c>
      <c r="CS893" s="13"/>
      <c r="CT893" s="14"/>
      <c r="CU893" s="67" t="s">
        <v>118</v>
      </c>
      <c r="CV893" s="1"/>
      <c r="CW893" s="19">
        <f>IF($A899="","",$A899)</f>
        <v>45799</v>
      </c>
      <c r="CX893" s="13">
        <v>999992</v>
      </c>
      <c r="CY893" s="13"/>
      <c r="CZ893" s="13">
        <v>999991</v>
      </c>
      <c r="DA893" s="13"/>
      <c r="DB893" s="13"/>
      <c r="DC893" s="13" t="str">
        <f t="shared" si="1273"/>
        <v/>
      </c>
      <c r="DD893" s="13">
        <v>20</v>
      </c>
      <c r="DE893" s="53"/>
      <c r="DF893" s="12">
        <v>880</v>
      </c>
      <c r="DG893" s="13"/>
      <c r="DH893" s="14"/>
      <c r="DI893" s="67" t="s">
        <v>120</v>
      </c>
      <c r="DJ893" s="1"/>
      <c r="DK893" s="19">
        <f>IF($A899="","",$A899)</f>
        <v>45799</v>
      </c>
      <c r="DL893" s="13">
        <v>999996</v>
      </c>
      <c r="DM893" s="13"/>
      <c r="DN893" s="13">
        <v>999993</v>
      </c>
      <c r="DO893" s="13"/>
      <c r="DP893" s="13"/>
      <c r="DQ893" s="13" t="str">
        <f t="shared" si="1277"/>
        <v/>
      </c>
      <c r="DR893" s="13">
        <v>40</v>
      </c>
      <c r="DS893" s="53"/>
      <c r="DT893" s="12">
        <v>300</v>
      </c>
      <c r="DU893" s="13"/>
      <c r="DV893" s="14"/>
      <c r="DW893" s="67" t="s">
        <v>116</v>
      </c>
    </row>
    <row r="894" spans="1:127" ht="15" customHeight="1" thickBot="1" x14ac:dyDescent="0.25">
      <c r="A894" s="26"/>
      <c r="B894" s="46"/>
      <c r="C894" s="27">
        <v>26382</v>
      </c>
      <c r="D894" s="27">
        <v>56</v>
      </c>
      <c r="E894" s="27">
        <v>1289</v>
      </c>
      <c r="F894" s="27">
        <v>2</v>
      </c>
      <c r="G894" s="27">
        <v>44</v>
      </c>
      <c r="H894" s="27">
        <v>2</v>
      </c>
      <c r="I894" s="27">
        <v>7</v>
      </c>
      <c r="J894" s="57" t="s">
        <v>44</v>
      </c>
      <c r="K894" s="27">
        <v>682</v>
      </c>
      <c r="L894" s="27">
        <v>1364</v>
      </c>
      <c r="M894" s="28">
        <v>0.24357142857142858</v>
      </c>
      <c r="N894" s="15"/>
      <c r="O894" s="2"/>
      <c r="P894" s="26"/>
      <c r="Q894" s="27">
        <v>18275</v>
      </c>
      <c r="R894" s="27">
        <v>69</v>
      </c>
      <c r="S894" s="27">
        <v>1616</v>
      </c>
      <c r="T894" s="27">
        <v>7</v>
      </c>
      <c r="U894" s="27">
        <v>310</v>
      </c>
      <c r="V894" s="27">
        <v>10</v>
      </c>
      <c r="W894" s="27">
        <v>30</v>
      </c>
      <c r="X894" s="30" t="s">
        <v>67</v>
      </c>
      <c r="Y894" s="27">
        <v>120</v>
      </c>
      <c r="Z894" s="27">
        <v>1200</v>
      </c>
      <c r="AA894" s="28">
        <v>0.17391304347826086</v>
      </c>
      <c r="AB894" s="15"/>
      <c r="AC894" s="1"/>
      <c r="AD894" s="26"/>
      <c r="AE894" s="27">
        <v>3661</v>
      </c>
      <c r="AF894" s="90">
        <v>89</v>
      </c>
      <c r="AG894" s="27">
        <v>140</v>
      </c>
      <c r="AH894" s="27">
        <v>4</v>
      </c>
      <c r="AI894" s="27">
        <v>15</v>
      </c>
      <c r="AJ894" s="27">
        <v>4</v>
      </c>
      <c r="AK894" s="27">
        <v>0</v>
      </c>
      <c r="AL894" s="108" t="s">
        <v>91</v>
      </c>
      <c r="AM894" s="27">
        <v>726</v>
      </c>
      <c r="AN894" s="27">
        <v>2904</v>
      </c>
      <c r="AO894" s="28">
        <v>0.32629213483146069</v>
      </c>
      <c r="AP894" s="15"/>
      <c r="AQ894" s="2"/>
      <c r="AR894" s="26"/>
      <c r="AS894" s="27">
        <v>4375</v>
      </c>
      <c r="AT894" s="27">
        <v>41</v>
      </c>
      <c r="AU894" s="27">
        <v>191</v>
      </c>
      <c r="AV894" s="27">
        <v>1</v>
      </c>
      <c r="AW894" s="27">
        <v>40</v>
      </c>
      <c r="AX894" s="27">
        <v>2</v>
      </c>
      <c r="AY894" s="27">
        <v>8</v>
      </c>
      <c r="AZ894" s="57" t="s">
        <v>82</v>
      </c>
      <c r="BA894" s="27">
        <v>180</v>
      </c>
      <c r="BB894" s="27">
        <v>360</v>
      </c>
      <c r="BC894" s="28">
        <v>8.7804878048780483E-2</v>
      </c>
      <c r="BD894" s="15"/>
      <c r="BU894" s="19">
        <f>IF($A903="","",$A903)</f>
        <v>45803</v>
      </c>
      <c r="BV894" s="13">
        <v>330</v>
      </c>
      <c r="BW894" s="13">
        <f>IF(BV894="","",BV894-BV893)+1000000</f>
        <v>337</v>
      </c>
      <c r="BX894" s="13">
        <v>16</v>
      </c>
      <c r="BY894" s="13">
        <f>IF(BX894="","",BX894-BX893)+1000000</f>
        <v>25</v>
      </c>
      <c r="BZ894" s="13">
        <v>26</v>
      </c>
      <c r="CA894" s="13">
        <f t="shared" si="1265"/>
        <v>16</v>
      </c>
      <c r="CB894" s="13">
        <v>17</v>
      </c>
      <c r="CC894" s="53"/>
      <c r="CD894" s="12">
        <f t="shared" si="1266"/>
        <v>385</v>
      </c>
      <c r="CE894" s="13">
        <f t="shared" si="1267"/>
        <v>6160</v>
      </c>
      <c r="CF894" s="14">
        <f>IF(CE894="","",CE894/(BW894*100))</f>
        <v>0.18278931750741839</v>
      </c>
      <c r="CG894" s="67" t="s">
        <v>121</v>
      </c>
      <c r="CH894" s="1"/>
      <c r="CI894" s="19">
        <f>IF($A903="","",$A903)</f>
        <v>45803</v>
      </c>
      <c r="CJ894" s="13">
        <v>220</v>
      </c>
      <c r="CK894" s="13">
        <f>IF(CJ894="","",CJ894-CJ893)+1000000</f>
        <v>225</v>
      </c>
      <c r="CL894" s="13">
        <v>999993</v>
      </c>
      <c r="CM894" s="13">
        <f t="shared" ref="CM894:CM898" si="1281">IF(CL894="","",CL894-CL893)</f>
        <v>1</v>
      </c>
      <c r="CN894" s="13">
        <v>19</v>
      </c>
      <c r="CO894" s="13">
        <f t="shared" si="1269"/>
        <v>1</v>
      </c>
      <c r="CP894" s="13">
        <v>0</v>
      </c>
      <c r="CQ894" s="53"/>
      <c r="CR894" s="12">
        <f t="shared" si="1270"/>
        <v>1012</v>
      </c>
      <c r="CS894" s="13">
        <f t="shared" si="1271"/>
        <v>1012</v>
      </c>
      <c r="CT894" s="14">
        <f t="shared" ref="CT894:CT909" si="1282">IF(CS894="","",CS894/(CK894*100))</f>
        <v>4.4977777777777776E-2</v>
      </c>
      <c r="CU894" s="67" t="s">
        <v>123</v>
      </c>
      <c r="CV894" s="1"/>
      <c r="CW894" s="19">
        <f>IF($A903="","",$A903)</f>
        <v>45803</v>
      </c>
      <c r="CX894" s="13">
        <v>99</v>
      </c>
      <c r="CY894" s="13">
        <f>IF(CX894="","",CX894-CX893)+1000000</f>
        <v>107</v>
      </c>
      <c r="CZ894" s="13">
        <v>999997</v>
      </c>
      <c r="DA894" s="13">
        <f t="shared" ref="DA894:DA899" si="1283">IF(CZ894="","",CZ894-CZ893)</f>
        <v>6</v>
      </c>
      <c r="DB894" s="13">
        <v>14</v>
      </c>
      <c r="DC894" s="13">
        <f t="shared" si="1273"/>
        <v>6</v>
      </c>
      <c r="DD894" s="13">
        <v>30</v>
      </c>
      <c r="DE894" s="53"/>
      <c r="DF894" s="12">
        <f t="shared" si="1274"/>
        <v>880</v>
      </c>
      <c r="DG894" s="13">
        <f t="shared" si="1275"/>
        <v>5280</v>
      </c>
      <c r="DH894" s="14">
        <f>IF(DG894="","",DG894/(CY894*100))</f>
        <v>0.49345794392523362</v>
      </c>
      <c r="DI894" s="67" t="s">
        <v>124</v>
      </c>
      <c r="DJ894" s="1"/>
      <c r="DK894" s="19">
        <f>IF($A903="","",$A903)</f>
        <v>45803</v>
      </c>
      <c r="DL894" s="13">
        <v>231</v>
      </c>
      <c r="DM894" s="13">
        <f>IF(DL894="","",DL894-DL893)+1000000</f>
        <v>235</v>
      </c>
      <c r="DN894" s="13">
        <v>3</v>
      </c>
      <c r="DO894" s="13">
        <f>IF(DN894="","",DN894-DN893)+1000000</f>
        <v>10</v>
      </c>
      <c r="DP894" s="13">
        <v>26</v>
      </c>
      <c r="DQ894" s="13">
        <f t="shared" si="1277"/>
        <v>14</v>
      </c>
      <c r="DR894" s="13">
        <v>10</v>
      </c>
      <c r="DS894" s="53"/>
      <c r="DT894" s="12">
        <f t="shared" si="1278"/>
        <v>300</v>
      </c>
      <c r="DU894" s="13">
        <f t="shared" si="1279"/>
        <v>4200</v>
      </c>
      <c r="DV894" s="14">
        <f>IF(DU894="","",DU894/(DM894*100))</f>
        <v>0.17872340425531916</v>
      </c>
      <c r="DW894" s="67" t="s">
        <v>122</v>
      </c>
    </row>
    <row r="895" spans="1:127" ht="15" customHeight="1" thickTop="1" x14ac:dyDescent="0.2">
      <c r="A895" s="79">
        <v>45796</v>
      </c>
      <c r="B895" s="74">
        <f>IF(A895="","",SUM(D895:D898)+SUM(R895:R898)+SUM(AF895:AF898)+SUM(AT895:AT898)+SUM(BW892,CK892,CY892,DM892))</f>
        <v>1610</v>
      </c>
      <c r="C895" s="53">
        <v>20440</v>
      </c>
      <c r="D895" s="53">
        <f t="shared" ref="D895:D898" si="1284">IF(C895="","",C895-C891)</f>
        <v>136</v>
      </c>
      <c r="E895" s="53">
        <v>1105</v>
      </c>
      <c r="F895" s="31">
        <f t="shared" ref="F895:F898" si="1285">IF(E895="","",E895-E891)</f>
        <v>2</v>
      </c>
      <c r="G895" s="53">
        <v>9</v>
      </c>
      <c r="H895" s="53">
        <f t="shared" ref="H895:H898" si="1286">IF(G895="","",G891+I891-G895)</f>
        <v>2</v>
      </c>
      <c r="I895" s="53">
        <v>0</v>
      </c>
      <c r="J895" s="75" t="str">
        <f t="shared" ref="J895:J898" si="1287">IF(C895="","",J891)</f>
        <v>ジャグラーサウンドボタン</v>
      </c>
      <c r="K895" s="76">
        <f t="shared" ref="K895:K898" si="1288">IF(D895="","",K891)</f>
        <v>748</v>
      </c>
      <c r="L895" s="31">
        <f t="shared" ref="L895:L898" si="1289">IF(G895="","",H895*K895)</f>
        <v>1496</v>
      </c>
      <c r="M895" s="32">
        <f t="shared" ref="M895:M898" si="1290">IF(H895="","",L895/(D895*100))</f>
        <v>0.11</v>
      </c>
      <c r="N895" s="15"/>
      <c r="O895" s="2"/>
      <c r="P895" s="79">
        <f>IF(A895="","",A895)</f>
        <v>45796</v>
      </c>
      <c r="Q895" s="53">
        <v>20568</v>
      </c>
      <c r="R895" s="53">
        <f t="shared" ref="R895" si="1291">IF(Q895="","",Q895-Q891)</f>
        <v>77</v>
      </c>
      <c r="S895" s="53">
        <v>1164</v>
      </c>
      <c r="T895" s="31">
        <f t="shared" ref="T895:T898" si="1292">IF(S895="","",S895-S891)</f>
        <v>0</v>
      </c>
      <c r="U895" s="53">
        <v>9</v>
      </c>
      <c r="V895" s="53">
        <f t="shared" ref="V895:V898" si="1293">IF(U895="","",U891+W891-U895)</f>
        <v>1</v>
      </c>
      <c r="W895" s="53">
        <v>0</v>
      </c>
      <c r="X895" s="21" t="str">
        <f t="shared" ref="X895:X898" si="1294">IF(Q895="","",X891)</f>
        <v>じゃがりこイヤホン</v>
      </c>
      <c r="Y895" s="54">
        <f t="shared" ref="Y895:Y898" si="1295">IF(R895="","",Y891)</f>
        <v>1100</v>
      </c>
      <c r="Z895" s="31">
        <f t="shared" ref="Z895:Z898" si="1296">IF(U895="","",V895*Y895)</f>
        <v>1100</v>
      </c>
      <c r="AA895" s="32">
        <f t="shared" ref="AA895:AA898" si="1297">IF(V895="","",Z895/(R895*100))</f>
        <v>0.14285714285714285</v>
      </c>
      <c r="AB895" s="15"/>
      <c r="AD895" s="79">
        <f>IF($A895="","",$A895)</f>
        <v>45796</v>
      </c>
      <c r="AE895" s="53">
        <v>4713</v>
      </c>
      <c r="AF895" s="53">
        <f t="shared" ref="AF895:AF898" si="1298">IF(AE895="","",AE895-AE891)</f>
        <v>77</v>
      </c>
      <c r="AG895" s="53">
        <v>99</v>
      </c>
      <c r="AH895" s="31">
        <f t="shared" ref="AH895:AH898" si="1299">IF(AG895="","",AG895-AG891)</f>
        <v>2</v>
      </c>
      <c r="AI895" s="53">
        <v>48</v>
      </c>
      <c r="AJ895" s="53">
        <f t="shared" ref="AJ895:AJ898" si="1300">IF(AI895="","",AI891+AK891-AI895)</f>
        <v>1</v>
      </c>
      <c r="AK895" s="53">
        <v>0</v>
      </c>
      <c r="AL895" s="75" t="str">
        <f t="shared" ref="AL895:AL898" si="1301">IF(AE895="","",AL891)</f>
        <v>ミニ香水</v>
      </c>
      <c r="AM895" s="76">
        <f t="shared" ref="AM895:AM898" si="1302">IF(AF895="","",AM891)</f>
        <v>1100</v>
      </c>
      <c r="AN895" s="31">
        <f t="shared" ref="AN895:AN898" si="1303">IF(AI895="","",AJ895*AM895)</f>
        <v>1100</v>
      </c>
      <c r="AO895" s="32">
        <f t="shared" ref="AO895:AO898" si="1304">IF(AJ895="","",AN895/(AF895*100))</f>
        <v>0.14285714285714285</v>
      </c>
      <c r="AP895" s="15"/>
      <c r="AQ895" s="2"/>
      <c r="AR895" s="79">
        <f>IF($A895="","",$A895)</f>
        <v>45796</v>
      </c>
      <c r="AS895" s="53">
        <v>4694</v>
      </c>
      <c r="AT895" s="53">
        <f t="shared" ref="AT895:AT898" si="1305">IF(AS895="","",AS895-AS891)</f>
        <v>126</v>
      </c>
      <c r="AU895" s="53">
        <v>145</v>
      </c>
      <c r="AV895" s="31">
        <f t="shared" ref="AV895:AV898" si="1306">IF(AU895="","",AU895-AU891)</f>
        <v>6</v>
      </c>
      <c r="AW895" s="53">
        <v>57</v>
      </c>
      <c r="AX895" s="53">
        <f t="shared" ref="AX895:AX898" si="1307">IF(AW895="","",AW891+AY891-AW895)</f>
        <v>10</v>
      </c>
      <c r="AY895" s="53">
        <v>0</v>
      </c>
      <c r="AZ895" s="56" t="str">
        <f t="shared" ref="AZ895:AZ898" si="1308">IF(AS895="","",AZ891)</f>
        <v>ロムアンド</v>
      </c>
      <c r="BA895" s="54">
        <f t="shared" ref="BA895:BA898" si="1309">IF(AT895="","",BA891)</f>
        <v>1001</v>
      </c>
      <c r="BB895" s="31">
        <f t="shared" ref="BB895:BB898" si="1310">IF(AW895="","",AX895*BA895)</f>
        <v>10010</v>
      </c>
      <c r="BC895" s="32">
        <f t="shared" ref="BC895:BC898" si="1311">IF(AX895="","",BB895/(AT895*100))</f>
        <v>0.7944444444444444</v>
      </c>
      <c r="BD895" s="15"/>
      <c r="BU895" s="19">
        <f>IF($A907="","",$A907)</f>
        <v>45807</v>
      </c>
      <c r="BV895" s="13">
        <v>503</v>
      </c>
      <c r="BW895" s="13">
        <f t="shared" ref="BW895:BW899" si="1312">IF(BV895="","",BV895-BV894)</f>
        <v>173</v>
      </c>
      <c r="BX895" s="13">
        <v>22</v>
      </c>
      <c r="BY895" s="13">
        <f t="shared" ref="BY895:BY899" si="1313">IF(BX895="","",BX895-BX894)</f>
        <v>6</v>
      </c>
      <c r="BZ895" s="13">
        <v>32</v>
      </c>
      <c r="CA895" s="13">
        <f t="shared" si="1265"/>
        <v>11</v>
      </c>
      <c r="CB895" s="13">
        <v>0</v>
      </c>
      <c r="CC895" s="53"/>
      <c r="CD895" s="12">
        <f t="shared" si="1266"/>
        <v>385</v>
      </c>
      <c r="CE895" s="13">
        <f t="shared" si="1267"/>
        <v>4235</v>
      </c>
      <c r="CF895" s="14">
        <f t="shared" ref="CF895:CF905" si="1314">IF(CE895="","",CE895/(BV895*100))</f>
        <v>8.4194831013916505E-2</v>
      </c>
      <c r="CG895" s="67"/>
      <c r="CH895" s="1"/>
      <c r="CI895" s="19">
        <f>IF($A907="","",$A907)</f>
        <v>45807</v>
      </c>
      <c r="CJ895" s="13">
        <v>318</v>
      </c>
      <c r="CK895" s="13">
        <f t="shared" ref="CK895:CK899" si="1315">IF(CJ895="","",CJ895-CJ894)</f>
        <v>98</v>
      </c>
      <c r="CL895" s="13">
        <v>999995</v>
      </c>
      <c r="CM895" s="13">
        <f t="shared" si="1281"/>
        <v>2</v>
      </c>
      <c r="CN895" s="13">
        <v>17</v>
      </c>
      <c r="CO895" s="13">
        <f t="shared" si="1269"/>
        <v>2</v>
      </c>
      <c r="CP895" s="13">
        <v>5</v>
      </c>
      <c r="CQ895" s="53"/>
      <c r="CR895" s="12">
        <f t="shared" si="1270"/>
        <v>1012</v>
      </c>
      <c r="CS895" s="13">
        <f t="shared" si="1271"/>
        <v>2024</v>
      </c>
      <c r="CT895" s="14">
        <f t="shared" si="1282"/>
        <v>0.20653061224489797</v>
      </c>
      <c r="CU895" s="67"/>
      <c r="CV895" s="1"/>
      <c r="CW895" s="19">
        <f>IF($A907="","",$A907)</f>
        <v>45807</v>
      </c>
      <c r="CX895" s="13">
        <v>380</v>
      </c>
      <c r="CY895" s="13">
        <f t="shared" ref="CY895:CY899" si="1316">IF(CX895="","",CX895-CX894)</f>
        <v>281</v>
      </c>
      <c r="CZ895" s="13">
        <v>7</v>
      </c>
      <c r="DA895" s="13">
        <f>IF(CZ895="","",CZ895-CZ894)+1000000</f>
        <v>10</v>
      </c>
      <c r="DB895" s="13">
        <v>34</v>
      </c>
      <c r="DC895" s="13">
        <f t="shared" si="1273"/>
        <v>10</v>
      </c>
      <c r="DD895" s="13">
        <v>10</v>
      </c>
      <c r="DE895" s="53"/>
      <c r="DF895" s="12">
        <f t="shared" si="1274"/>
        <v>880</v>
      </c>
      <c r="DG895" s="13">
        <f t="shared" si="1275"/>
        <v>8800</v>
      </c>
      <c r="DH895" s="14">
        <f t="shared" si="1276"/>
        <v>0.31316725978647686</v>
      </c>
      <c r="DI895" s="67"/>
      <c r="DJ895" s="1"/>
      <c r="DK895" s="19">
        <f>IF($A907="","",$A907)</f>
        <v>45807</v>
      </c>
      <c r="DL895" s="13">
        <v>376</v>
      </c>
      <c r="DM895" s="13">
        <f t="shared" ref="DM895:DM899" si="1317">IF(DL895="","",DL895-DL894)</f>
        <v>145</v>
      </c>
      <c r="DN895" s="13">
        <v>11</v>
      </c>
      <c r="DO895" s="13">
        <f t="shared" ref="DO895:DO899" si="1318">IF(DN895="","",DN895-DN894)</f>
        <v>8</v>
      </c>
      <c r="DP895" s="13">
        <v>29</v>
      </c>
      <c r="DQ895" s="13">
        <f t="shared" si="1277"/>
        <v>7</v>
      </c>
      <c r="DR895" s="13">
        <v>5</v>
      </c>
      <c r="DS895" s="53"/>
      <c r="DT895" s="12">
        <f t="shared" si="1278"/>
        <v>300</v>
      </c>
      <c r="DU895" s="13">
        <f t="shared" si="1279"/>
        <v>2100</v>
      </c>
      <c r="DV895" s="14">
        <f t="shared" si="1280"/>
        <v>0.14482758620689656</v>
      </c>
      <c r="DW895" s="67"/>
    </row>
    <row r="896" spans="1:127" x14ac:dyDescent="0.2">
      <c r="A896" s="16"/>
      <c r="B896" s="11"/>
      <c r="C896" s="13">
        <v>24676</v>
      </c>
      <c r="D896" s="13">
        <f t="shared" si="1284"/>
        <v>52</v>
      </c>
      <c r="E896" s="13">
        <v>1293</v>
      </c>
      <c r="F896" s="13">
        <f t="shared" si="1285"/>
        <v>2</v>
      </c>
      <c r="G896" s="13">
        <v>18</v>
      </c>
      <c r="H896" s="13">
        <f t="shared" si="1286"/>
        <v>2</v>
      </c>
      <c r="I896" s="13">
        <v>0</v>
      </c>
      <c r="J896" s="56" t="str">
        <f t="shared" si="1287"/>
        <v>ゴールドイヤホン</v>
      </c>
      <c r="K896" s="54">
        <f t="shared" si="1288"/>
        <v>770</v>
      </c>
      <c r="L896" s="13">
        <f t="shared" si="1289"/>
        <v>1540</v>
      </c>
      <c r="M896" s="14">
        <f t="shared" si="1290"/>
        <v>0.29615384615384616</v>
      </c>
      <c r="N896" s="15"/>
      <c r="O896" s="2"/>
      <c r="P896" s="16"/>
      <c r="Q896" s="13">
        <v>25120</v>
      </c>
      <c r="R896" s="53">
        <f t="shared" ref="R896:R934" si="1319">IF(Q896="","",Q896-Q892)</f>
        <v>120</v>
      </c>
      <c r="S896" s="13">
        <v>1457</v>
      </c>
      <c r="T896" s="13">
        <f t="shared" si="1292"/>
        <v>3</v>
      </c>
      <c r="U896" s="13">
        <v>0</v>
      </c>
      <c r="V896" s="13">
        <f t="shared" si="1293"/>
        <v>4</v>
      </c>
      <c r="W896" s="13">
        <v>4</v>
      </c>
      <c r="X896" s="21" t="str">
        <f t="shared" si="1294"/>
        <v>サンリオFAN</v>
      </c>
      <c r="Y896" s="54">
        <f t="shared" si="1295"/>
        <v>1100</v>
      </c>
      <c r="Z896" s="13">
        <f t="shared" si="1296"/>
        <v>4400</v>
      </c>
      <c r="AA896" s="14">
        <f t="shared" si="1297"/>
        <v>0.36666666666666664</v>
      </c>
      <c r="AB896" s="15" t="s">
        <v>113</v>
      </c>
      <c r="AD896" s="16"/>
      <c r="AE896" s="13">
        <v>3694</v>
      </c>
      <c r="AF896" s="13">
        <f t="shared" si="1298"/>
        <v>88</v>
      </c>
      <c r="AG896" s="13">
        <v>90</v>
      </c>
      <c r="AH896" s="13">
        <f t="shared" si="1299"/>
        <v>2</v>
      </c>
      <c r="AI896" s="13">
        <v>13</v>
      </c>
      <c r="AJ896" s="13">
        <f t="shared" si="1300"/>
        <v>1</v>
      </c>
      <c r="AK896" s="13">
        <v>0</v>
      </c>
      <c r="AL896" s="56" t="str">
        <f t="shared" si="1301"/>
        <v>デジタルミニカメラ</v>
      </c>
      <c r="AM896" s="54">
        <f t="shared" si="1302"/>
        <v>800</v>
      </c>
      <c r="AN896" s="13">
        <f t="shared" si="1303"/>
        <v>800</v>
      </c>
      <c r="AO896" s="14">
        <f t="shared" si="1304"/>
        <v>9.0909090909090912E-2</v>
      </c>
      <c r="AP896" s="15"/>
      <c r="AQ896" s="2"/>
      <c r="AR896" s="16"/>
      <c r="AS896" s="13">
        <v>2974</v>
      </c>
      <c r="AT896" s="13">
        <f t="shared" si="1305"/>
        <v>95</v>
      </c>
      <c r="AU896" s="13">
        <v>151</v>
      </c>
      <c r="AV896" s="13">
        <f t="shared" si="1306"/>
        <v>10</v>
      </c>
      <c r="AW896" s="13">
        <v>30</v>
      </c>
      <c r="AX896" s="13">
        <f t="shared" si="1307"/>
        <v>10</v>
      </c>
      <c r="AY896" s="13">
        <v>20</v>
      </c>
      <c r="AZ896" s="56" t="str">
        <f t="shared" si="1308"/>
        <v>サンリオシューズキーホルダー</v>
      </c>
      <c r="BA896" s="54">
        <f t="shared" si="1309"/>
        <v>400</v>
      </c>
      <c r="BB896" s="13">
        <f t="shared" si="1310"/>
        <v>4000</v>
      </c>
      <c r="BC896" s="14">
        <f t="shared" si="1311"/>
        <v>0.42105263157894735</v>
      </c>
      <c r="BD896" s="15"/>
      <c r="BU896" s="19">
        <f>IF($A911="","",$A911)</f>
        <v>45810</v>
      </c>
      <c r="BV896" s="13">
        <v>656</v>
      </c>
      <c r="BW896" s="13">
        <f t="shared" si="1312"/>
        <v>153</v>
      </c>
      <c r="BX896" s="13">
        <v>26</v>
      </c>
      <c r="BY896" s="13">
        <f t="shared" si="1313"/>
        <v>4</v>
      </c>
      <c r="BZ896" s="13">
        <v>28</v>
      </c>
      <c r="CA896" s="13">
        <f t="shared" si="1265"/>
        <v>4</v>
      </c>
      <c r="CB896" s="13">
        <v>6</v>
      </c>
      <c r="CC896" s="53"/>
      <c r="CD896" s="12">
        <f t="shared" si="1266"/>
        <v>385</v>
      </c>
      <c r="CE896" s="13">
        <f t="shared" si="1267"/>
        <v>1540</v>
      </c>
      <c r="CF896" s="14">
        <f t="shared" si="1314"/>
        <v>2.3475609756097561E-2</v>
      </c>
      <c r="CG896" s="67"/>
      <c r="CH896" s="1"/>
      <c r="CI896" s="19">
        <f>IF($A911="","",$A911)</f>
        <v>45810</v>
      </c>
      <c r="CJ896" s="13">
        <v>415</v>
      </c>
      <c r="CK896" s="13">
        <f t="shared" si="1315"/>
        <v>97</v>
      </c>
      <c r="CL896" s="13">
        <v>999995</v>
      </c>
      <c r="CM896" s="13">
        <f t="shared" si="1281"/>
        <v>0</v>
      </c>
      <c r="CN896" s="13">
        <v>20</v>
      </c>
      <c r="CO896" s="13">
        <f t="shared" si="1269"/>
        <v>2</v>
      </c>
      <c r="CP896" s="13">
        <v>0</v>
      </c>
      <c r="CQ896" s="53"/>
      <c r="CR896" s="12">
        <f t="shared" si="1270"/>
        <v>1012</v>
      </c>
      <c r="CS896" s="13">
        <f t="shared" si="1271"/>
        <v>2024</v>
      </c>
      <c r="CT896" s="14">
        <f t="shared" si="1282"/>
        <v>0.208659793814433</v>
      </c>
      <c r="CU896" s="67" t="s">
        <v>128</v>
      </c>
      <c r="CV896" s="1"/>
      <c r="CW896" s="19">
        <f>IF($A911="","",$A911)</f>
        <v>45810</v>
      </c>
      <c r="CX896" s="13">
        <v>711</v>
      </c>
      <c r="CY896" s="13">
        <f t="shared" si="1316"/>
        <v>331</v>
      </c>
      <c r="CZ896" s="13">
        <v>15</v>
      </c>
      <c r="DA896" s="13">
        <f t="shared" si="1283"/>
        <v>8</v>
      </c>
      <c r="DB896" s="13">
        <v>35</v>
      </c>
      <c r="DC896" s="13">
        <f t="shared" si="1273"/>
        <v>9</v>
      </c>
      <c r="DD896" s="13">
        <v>10</v>
      </c>
      <c r="DE896" s="53"/>
      <c r="DF896" s="12">
        <f t="shared" si="1274"/>
        <v>880</v>
      </c>
      <c r="DG896" s="13">
        <f t="shared" si="1275"/>
        <v>7920</v>
      </c>
      <c r="DH896" s="14">
        <f t="shared" si="1276"/>
        <v>0.23927492447129908</v>
      </c>
      <c r="DI896" s="67" t="s">
        <v>127</v>
      </c>
      <c r="DJ896" s="1"/>
      <c r="DK896" s="19">
        <f>IF($A911="","",$A911)</f>
        <v>45810</v>
      </c>
      <c r="DL896" s="13">
        <v>568</v>
      </c>
      <c r="DM896" s="13">
        <f t="shared" si="1317"/>
        <v>192</v>
      </c>
      <c r="DN896" s="13">
        <v>20</v>
      </c>
      <c r="DO896" s="13">
        <f t="shared" si="1318"/>
        <v>9</v>
      </c>
      <c r="DP896" s="13">
        <v>25</v>
      </c>
      <c r="DQ896" s="13">
        <f t="shared" si="1277"/>
        <v>9</v>
      </c>
      <c r="DR896" s="13">
        <v>12</v>
      </c>
      <c r="DS896" s="53"/>
      <c r="DT896" s="12">
        <f t="shared" si="1278"/>
        <v>300</v>
      </c>
      <c r="DU896" s="13">
        <f t="shared" si="1279"/>
        <v>2700</v>
      </c>
      <c r="DV896" s="14">
        <f t="shared" si="1280"/>
        <v>0.140625</v>
      </c>
      <c r="DW896" s="67"/>
    </row>
    <row r="897" spans="1:127" x14ac:dyDescent="0.2">
      <c r="A897" s="16"/>
      <c r="B897" s="11"/>
      <c r="C897" s="13">
        <v>20585</v>
      </c>
      <c r="D897" s="13">
        <f t="shared" si="1284"/>
        <v>62</v>
      </c>
      <c r="E897" s="13">
        <v>1039</v>
      </c>
      <c r="F897" s="13">
        <f t="shared" si="1285"/>
        <v>2</v>
      </c>
      <c r="G897" s="13">
        <v>19</v>
      </c>
      <c r="H897" s="13">
        <f t="shared" si="1286"/>
        <v>4</v>
      </c>
      <c r="I897" s="13">
        <v>0</v>
      </c>
      <c r="J897" s="56" t="str">
        <f t="shared" si="1287"/>
        <v>グミッツェルプチ</v>
      </c>
      <c r="K897" s="13">
        <f t="shared" si="1288"/>
        <v>180</v>
      </c>
      <c r="L897" s="13">
        <f t="shared" si="1289"/>
        <v>720</v>
      </c>
      <c r="M897" s="14">
        <f t="shared" si="1290"/>
        <v>0.11612903225806452</v>
      </c>
      <c r="N897" s="15"/>
      <c r="O897" s="2"/>
      <c r="P897" s="16"/>
      <c r="Q897" s="13">
        <v>19376</v>
      </c>
      <c r="R897" s="53">
        <f t="shared" si="1319"/>
        <v>81</v>
      </c>
      <c r="S897" s="13">
        <v>2666</v>
      </c>
      <c r="T897" s="13">
        <f t="shared" si="1292"/>
        <v>12</v>
      </c>
      <c r="U897" s="13">
        <v>3</v>
      </c>
      <c r="V897" s="13">
        <f t="shared" si="1293"/>
        <v>14</v>
      </c>
      <c r="W897" s="13">
        <v>24</v>
      </c>
      <c r="X897" s="21" t="str">
        <f t="shared" si="1294"/>
        <v>グミッツェル</v>
      </c>
      <c r="Y897" s="54">
        <f t="shared" si="1295"/>
        <v>165</v>
      </c>
      <c r="Z897" s="13">
        <f t="shared" si="1296"/>
        <v>2310</v>
      </c>
      <c r="AA897" s="14">
        <f t="shared" si="1297"/>
        <v>0.28518518518518521</v>
      </c>
      <c r="AB897" s="15"/>
      <c r="AD897" s="16"/>
      <c r="AE897" s="13">
        <v>4127</v>
      </c>
      <c r="AF897" s="13">
        <f t="shared" si="1298"/>
        <v>61</v>
      </c>
      <c r="AG897" s="13">
        <v>135</v>
      </c>
      <c r="AH897" s="13">
        <f t="shared" si="1299"/>
        <v>6</v>
      </c>
      <c r="AI897" s="13">
        <v>4</v>
      </c>
      <c r="AJ897" s="13">
        <f t="shared" si="1300"/>
        <v>6</v>
      </c>
      <c r="AK897" s="13">
        <v>6</v>
      </c>
      <c r="AL897" s="56" t="str">
        <f t="shared" si="1301"/>
        <v>ピクミン引っこ抜き</v>
      </c>
      <c r="AM897" s="13">
        <f t="shared" si="1302"/>
        <v>650</v>
      </c>
      <c r="AN897" s="13">
        <f t="shared" si="1303"/>
        <v>3900</v>
      </c>
      <c r="AO897" s="14">
        <f t="shared" si="1304"/>
        <v>0.63934426229508201</v>
      </c>
      <c r="AP897" s="15" t="s">
        <v>112</v>
      </c>
      <c r="AQ897" s="2"/>
      <c r="AR897" s="16"/>
      <c r="AS897" s="13">
        <v>4846</v>
      </c>
      <c r="AT897" s="13">
        <f t="shared" si="1305"/>
        <v>185</v>
      </c>
      <c r="AU897" s="13">
        <v>190</v>
      </c>
      <c r="AV897" s="13">
        <f t="shared" si="1306"/>
        <v>17</v>
      </c>
      <c r="AW897" s="13">
        <v>90</v>
      </c>
      <c r="AX897" s="13">
        <f t="shared" si="1307"/>
        <v>20</v>
      </c>
      <c r="AY897" s="13">
        <v>50</v>
      </c>
      <c r="AZ897" s="56" t="str">
        <f t="shared" si="1308"/>
        <v>スプランキーラバーキーホルダー</v>
      </c>
      <c r="BA897" s="54">
        <f t="shared" si="1309"/>
        <v>200</v>
      </c>
      <c r="BB897" s="13">
        <f t="shared" si="1310"/>
        <v>4000</v>
      </c>
      <c r="BC897" s="14">
        <f t="shared" si="1311"/>
        <v>0.21621621621621623</v>
      </c>
      <c r="BD897" s="15"/>
      <c r="BU897" s="19">
        <f>IF($A915="","",$A915)</f>
        <v>45814</v>
      </c>
      <c r="BV897" s="13">
        <v>758</v>
      </c>
      <c r="BW897" s="13">
        <f t="shared" si="1312"/>
        <v>102</v>
      </c>
      <c r="BX897" s="13">
        <v>28</v>
      </c>
      <c r="BY897" s="13">
        <f t="shared" si="1313"/>
        <v>2</v>
      </c>
      <c r="BZ897" s="13">
        <v>33</v>
      </c>
      <c r="CA897" s="13">
        <f t="shared" si="1265"/>
        <v>1</v>
      </c>
      <c r="CB897" s="13">
        <v>0</v>
      </c>
      <c r="CC897" s="53"/>
      <c r="CD897" s="12">
        <f t="shared" si="1266"/>
        <v>385</v>
      </c>
      <c r="CE897" s="13">
        <f t="shared" si="1267"/>
        <v>385</v>
      </c>
      <c r="CF897" s="14">
        <f t="shared" si="1314"/>
        <v>5.0791556728232191E-3</v>
      </c>
      <c r="CG897" s="67"/>
      <c r="CH897" s="1"/>
      <c r="CI897" s="19">
        <f>IF($A915="","",$A915)</f>
        <v>45814</v>
      </c>
      <c r="CJ897" s="13">
        <v>510</v>
      </c>
      <c r="CK897" s="13">
        <f t="shared" si="1315"/>
        <v>95</v>
      </c>
      <c r="CL897" s="13">
        <v>999997</v>
      </c>
      <c r="CM897" s="13">
        <f t="shared" si="1281"/>
        <v>2</v>
      </c>
      <c r="CN897" s="13">
        <v>18</v>
      </c>
      <c r="CO897" s="13">
        <f t="shared" si="1269"/>
        <v>2</v>
      </c>
      <c r="CP897" s="13">
        <v>0</v>
      </c>
      <c r="CQ897" s="53"/>
      <c r="CR897" s="12">
        <f t="shared" si="1270"/>
        <v>1012</v>
      </c>
      <c r="CS897" s="13">
        <f t="shared" si="1271"/>
        <v>2024</v>
      </c>
      <c r="CT897" s="14">
        <f t="shared" si="1282"/>
        <v>0.21305263157894735</v>
      </c>
      <c r="CU897" s="67"/>
      <c r="CV897" s="1"/>
      <c r="CW897" s="19">
        <f>IF($A915="","",$A915)</f>
        <v>45814</v>
      </c>
      <c r="CX897" s="13">
        <v>896</v>
      </c>
      <c r="CY897" s="13">
        <f t="shared" si="1316"/>
        <v>185</v>
      </c>
      <c r="CZ897" s="13">
        <v>22</v>
      </c>
      <c r="DA897" s="13">
        <f t="shared" si="1283"/>
        <v>7</v>
      </c>
      <c r="DB897" s="13">
        <v>38</v>
      </c>
      <c r="DC897" s="13">
        <f t="shared" si="1273"/>
        <v>7</v>
      </c>
      <c r="DD897" s="13">
        <v>5</v>
      </c>
      <c r="DE897" s="53"/>
      <c r="DF897" s="12">
        <f t="shared" si="1274"/>
        <v>880</v>
      </c>
      <c r="DG897" s="13">
        <f t="shared" si="1275"/>
        <v>6160</v>
      </c>
      <c r="DH897" s="14">
        <f t="shared" si="1276"/>
        <v>0.33297297297297296</v>
      </c>
      <c r="DI897" s="67"/>
      <c r="DJ897" s="1"/>
      <c r="DK897" s="19">
        <f>IF($A915="","",$A915)</f>
        <v>45814</v>
      </c>
      <c r="DL897" s="13">
        <v>731</v>
      </c>
      <c r="DM897" s="13">
        <f t="shared" si="1317"/>
        <v>163</v>
      </c>
      <c r="DN897" s="13">
        <v>26</v>
      </c>
      <c r="DO897" s="13">
        <f t="shared" si="1318"/>
        <v>6</v>
      </c>
      <c r="DP897" s="13">
        <v>31</v>
      </c>
      <c r="DQ897" s="13">
        <f t="shared" si="1277"/>
        <v>6</v>
      </c>
      <c r="DR897" s="13">
        <v>10</v>
      </c>
      <c r="DS897" s="53"/>
      <c r="DT897" s="12">
        <f t="shared" si="1278"/>
        <v>300</v>
      </c>
      <c r="DU897" s="13">
        <f t="shared" si="1279"/>
        <v>1800</v>
      </c>
      <c r="DV897" s="14">
        <f t="shared" si="1280"/>
        <v>0.11042944785276074</v>
      </c>
      <c r="DW897" s="67"/>
    </row>
    <row r="898" spans="1:127" ht="15" customHeight="1" thickBot="1" x14ac:dyDescent="0.25">
      <c r="A898" s="26"/>
      <c r="B898" s="46"/>
      <c r="C898" s="27">
        <v>26535</v>
      </c>
      <c r="D898" s="27">
        <f t="shared" si="1284"/>
        <v>153</v>
      </c>
      <c r="E898" s="27">
        <v>1294</v>
      </c>
      <c r="F898" s="27">
        <f t="shared" si="1285"/>
        <v>5</v>
      </c>
      <c r="G898" s="27">
        <v>50</v>
      </c>
      <c r="H898" s="27">
        <f t="shared" si="1286"/>
        <v>1</v>
      </c>
      <c r="I898" s="27">
        <v>4</v>
      </c>
      <c r="J898" s="57" t="str">
        <f t="shared" si="1287"/>
        <v>NICIマスコット</v>
      </c>
      <c r="K898" s="62">
        <f t="shared" si="1288"/>
        <v>682</v>
      </c>
      <c r="L898" s="27">
        <f t="shared" si="1289"/>
        <v>682</v>
      </c>
      <c r="M898" s="28">
        <f t="shared" si="1290"/>
        <v>4.4575163398692809E-2</v>
      </c>
      <c r="N898" s="15"/>
      <c r="O898" s="2"/>
      <c r="P898" s="26"/>
      <c r="Q898" s="27">
        <v>18372</v>
      </c>
      <c r="R898" s="61">
        <f t="shared" si="1319"/>
        <v>97</v>
      </c>
      <c r="S898" s="27">
        <v>1630</v>
      </c>
      <c r="T898" s="27">
        <f t="shared" si="1292"/>
        <v>14</v>
      </c>
      <c r="U898" s="27">
        <v>320</v>
      </c>
      <c r="V898" s="27">
        <f t="shared" si="1293"/>
        <v>20</v>
      </c>
      <c r="W898" s="27">
        <v>0</v>
      </c>
      <c r="X898" s="30" t="str">
        <f t="shared" si="1294"/>
        <v>サンリオブレスレット</v>
      </c>
      <c r="Y898" s="62">
        <f t="shared" si="1295"/>
        <v>120</v>
      </c>
      <c r="Z898" s="27">
        <f t="shared" si="1296"/>
        <v>2400</v>
      </c>
      <c r="AA898" s="28">
        <f t="shared" si="1297"/>
        <v>0.24742268041237114</v>
      </c>
      <c r="AB898" s="15"/>
      <c r="AD898" s="26"/>
      <c r="AE898" s="27">
        <v>3788</v>
      </c>
      <c r="AF898" s="27">
        <f t="shared" si="1298"/>
        <v>127</v>
      </c>
      <c r="AG898" s="27">
        <v>143</v>
      </c>
      <c r="AH898" s="27">
        <f t="shared" si="1299"/>
        <v>3</v>
      </c>
      <c r="AI898" s="27">
        <v>15</v>
      </c>
      <c r="AJ898" s="27">
        <f t="shared" si="1300"/>
        <v>0</v>
      </c>
      <c r="AK898" s="27">
        <v>2</v>
      </c>
      <c r="AL898" s="57" t="str">
        <f t="shared" si="1301"/>
        <v>ギャルキティキーケース</v>
      </c>
      <c r="AM898" s="62">
        <f t="shared" si="1302"/>
        <v>726</v>
      </c>
      <c r="AN898" s="27">
        <f t="shared" si="1303"/>
        <v>0</v>
      </c>
      <c r="AO898" s="28">
        <f t="shared" si="1304"/>
        <v>0</v>
      </c>
      <c r="AP898" s="15"/>
      <c r="AQ898" s="2"/>
      <c r="AR898" s="26"/>
      <c r="AS898" s="27">
        <v>4448</v>
      </c>
      <c r="AT898" s="27">
        <f t="shared" si="1305"/>
        <v>73</v>
      </c>
      <c r="AU898" s="27">
        <v>194</v>
      </c>
      <c r="AV898" s="27">
        <f t="shared" si="1306"/>
        <v>3</v>
      </c>
      <c r="AW898" s="27">
        <v>44</v>
      </c>
      <c r="AX898" s="27">
        <f t="shared" si="1307"/>
        <v>4</v>
      </c>
      <c r="AY898" s="27">
        <v>8</v>
      </c>
      <c r="AZ898" s="57" t="str">
        <f t="shared" si="1308"/>
        <v>スプランキーマスコット</v>
      </c>
      <c r="BA898" s="62">
        <f t="shared" si="1309"/>
        <v>180</v>
      </c>
      <c r="BB898" s="27">
        <f t="shared" si="1310"/>
        <v>720</v>
      </c>
      <c r="BC898" s="28">
        <f t="shared" si="1311"/>
        <v>9.8630136986301367E-2</v>
      </c>
      <c r="BD898" s="15"/>
      <c r="BU898" s="19">
        <f>IF($A919="","",$A919)</f>
        <v>45817</v>
      </c>
      <c r="BV898" s="13">
        <v>939</v>
      </c>
      <c r="BW898" s="13">
        <f t="shared" si="1312"/>
        <v>181</v>
      </c>
      <c r="BX898" s="13">
        <v>37</v>
      </c>
      <c r="BY898" s="13">
        <f t="shared" si="1313"/>
        <v>9</v>
      </c>
      <c r="BZ898" s="13">
        <v>24</v>
      </c>
      <c r="CA898" s="13">
        <f t="shared" si="1265"/>
        <v>9</v>
      </c>
      <c r="CB898" s="13">
        <v>16</v>
      </c>
      <c r="CC898" s="53"/>
      <c r="CD898" s="12">
        <f t="shared" si="1266"/>
        <v>385</v>
      </c>
      <c r="CE898" s="13">
        <f t="shared" si="1267"/>
        <v>3465</v>
      </c>
      <c r="CF898" s="14">
        <f t="shared" si="1314"/>
        <v>3.6900958466453672E-2</v>
      </c>
      <c r="CG898" s="67"/>
      <c r="CH898" s="1"/>
      <c r="CI898" s="19">
        <f>IF($A919="","",$A919)</f>
        <v>45817</v>
      </c>
      <c r="CJ898" s="13">
        <v>719</v>
      </c>
      <c r="CK898" s="13">
        <f t="shared" si="1315"/>
        <v>209</v>
      </c>
      <c r="CL898" s="13">
        <v>999999</v>
      </c>
      <c r="CM898" s="13">
        <f t="shared" si="1281"/>
        <v>2</v>
      </c>
      <c r="CN898" s="13">
        <v>16</v>
      </c>
      <c r="CO898" s="13">
        <f t="shared" si="1269"/>
        <v>2</v>
      </c>
      <c r="CP898" s="13">
        <v>6</v>
      </c>
      <c r="CQ898" s="53"/>
      <c r="CR898" s="12">
        <f t="shared" si="1270"/>
        <v>1012</v>
      </c>
      <c r="CS898" s="13">
        <f t="shared" si="1271"/>
        <v>2024</v>
      </c>
      <c r="CT898" s="14">
        <f t="shared" si="1282"/>
        <v>9.6842105263157896E-2</v>
      </c>
      <c r="CU898" s="67"/>
      <c r="CV898" s="1"/>
      <c r="CW898" s="19">
        <f>IF($A919="","",$A919)</f>
        <v>45817</v>
      </c>
      <c r="CX898" s="13">
        <v>1187</v>
      </c>
      <c r="CY898" s="13">
        <f t="shared" si="1316"/>
        <v>291</v>
      </c>
      <c r="CZ898" s="13">
        <v>31</v>
      </c>
      <c r="DA898" s="13">
        <f t="shared" si="1283"/>
        <v>9</v>
      </c>
      <c r="DB898" s="13">
        <v>34</v>
      </c>
      <c r="DC898" s="13">
        <f t="shared" si="1273"/>
        <v>9</v>
      </c>
      <c r="DD898" s="13">
        <v>10</v>
      </c>
      <c r="DE898" s="53"/>
      <c r="DF898" s="12">
        <f t="shared" si="1274"/>
        <v>880</v>
      </c>
      <c r="DG898" s="13">
        <f t="shared" si="1275"/>
        <v>7920</v>
      </c>
      <c r="DH898" s="14">
        <f t="shared" si="1276"/>
        <v>0.27216494845360822</v>
      </c>
      <c r="DI898" s="67"/>
      <c r="DJ898" s="1"/>
      <c r="DK898" s="19">
        <f>IF($A919="","",$A919)</f>
        <v>45817</v>
      </c>
      <c r="DL898" s="13">
        <v>909</v>
      </c>
      <c r="DM898" s="13">
        <f t="shared" si="1317"/>
        <v>178</v>
      </c>
      <c r="DN898" s="13">
        <v>37</v>
      </c>
      <c r="DO898" s="13">
        <f t="shared" si="1318"/>
        <v>11</v>
      </c>
      <c r="DP898" s="13">
        <v>28</v>
      </c>
      <c r="DQ898" s="13">
        <f t="shared" si="1277"/>
        <v>13</v>
      </c>
      <c r="DR898" s="13">
        <v>10</v>
      </c>
      <c r="DS898" s="53"/>
      <c r="DT898" s="12">
        <f t="shared" si="1278"/>
        <v>300</v>
      </c>
      <c r="DU898" s="13">
        <f t="shared" si="1279"/>
        <v>3900</v>
      </c>
      <c r="DV898" s="14">
        <f t="shared" si="1280"/>
        <v>0.21910112359550563</v>
      </c>
      <c r="DW898" s="67"/>
    </row>
    <row r="899" spans="1:127" ht="15.75" thickTop="1" x14ac:dyDescent="0.2">
      <c r="A899" s="79">
        <v>45799</v>
      </c>
      <c r="B899" s="74">
        <f>IF(A899="","",SUM(D899:D902)+SUM(R899:R902)+SUM(AF899:AF902)+SUM(AT899:AT902)+SUM(BW893,CK893,CY893,DM893))</f>
        <v>839</v>
      </c>
      <c r="C899" s="53">
        <v>20566</v>
      </c>
      <c r="D899" s="53">
        <f t="shared" ref="D899:D942" si="1320">IF(C899="","",C899-C895)</f>
        <v>126</v>
      </c>
      <c r="E899" s="53">
        <v>1107</v>
      </c>
      <c r="F899" s="31">
        <f t="shared" ref="F899:F942" si="1321">IF(E899="","",E899-E895)</f>
        <v>2</v>
      </c>
      <c r="G899" s="53">
        <v>7</v>
      </c>
      <c r="H899" s="53">
        <f t="shared" ref="H899:H942" si="1322">IF(G899="","",G895+I895-G899)</f>
        <v>2</v>
      </c>
      <c r="I899" s="80">
        <v>0</v>
      </c>
      <c r="J899" s="75" t="str">
        <f t="shared" ref="J899:J922" si="1323">IF(C899="","",J895)</f>
        <v>ジャグラーサウンドボタン</v>
      </c>
      <c r="K899" s="76">
        <f t="shared" ref="K899:K922" si="1324">IF(D899="","",K895)</f>
        <v>748</v>
      </c>
      <c r="L899" s="31">
        <f t="shared" ref="L899:L938" si="1325">IF(G899="","",H899*K899)</f>
        <v>1496</v>
      </c>
      <c r="M899" s="32">
        <f t="shared" ref="M899:M942" si="1326">IF(H899="","",L899/(D899*100))</f>
        <v>0.11873015873015873</v>
      </c>
      <c r="N899" s="15"/>
      <c r="O899" s="2"/>
      <c r="P899" s="79">
        <f>IF(A899="","",A899)</f>
        <v>45799</v>
      </c>
      <c r="Q899" s="53">
        <v>20630</v>
      </c>
      <c r="R899" s="53">
        <f t="shared" si="1319"/>
        <v>62</v>
      </c>
      <c r="S899" s="53">
        <v>1168</v>
      </c>
      <c r="T899" s="31">
        <f t="shared" ref="T899:T934" si="1327">IF(S899="","",S899-S895)</f>
        <v>4</v>
      </c>
      <c r="U899" s="53">
        <v>5</v>
      </c>
      <c r="V899" s="53">
        <f t="shared" ref="V899:V934" si="1328">IF(U899="","",U895+W895-U899)</f>
        <v>4</v>
      </c>
      <c r="W899" s="53">
        <v>0</v>
      </c>
      <c r="X899" s="21" t="str">
        <f t="shared" ref="X899:X942" si="1329">IF(Q899="","",X895)</f>
        <v>じゃがりこイヤホン</v>
      </c>
      <c r="Y899" s="54">
        <f t="shared" ref="Y899:Y942" si="1330">IF(R899="","",Y895)</f>
        <v>1100</v>
      </c>
      <c r="Z899" s="31">
        <f t="shared" ref="Z899:Z938" si="1331">IF(U899="","",V899*Y899)</f>
        <v>4400</v>
      </c>
      <c r="AA899" s="32">
        <f t="shared" ref="AA899:AA942" si="1332">IF(V899="","",Z899/(R899*100))</f>
        <v>0.70967741935483875</v>
      </c>
      <c r="AB899" s="15" t="s">
        <v>38</v>
      </c>
      <c r="AD899" s="79">
        <f>IF($A899="","",$A899)</f>
        <v>45799</v>
      </c>
      <c r="AE899" s="53">
        <v>4752</v>
      </c>
      <c r="AF899" s="53">
        <f t="shared" ref="AF899:AF902" si="1333">IF(AE899="","",AE899-AE895)</f>
        <v>39</v>
      </c>
      <c r="AG899" s="53">
        <v>99</v>
      </c>
      <c r="AH899" s="31">
        <f t="shared" ref="AH899:AH934" si="1334">IF(AG899="","",AG899-AG895)</f>
        <v>0</v>
      </c>
      <c r="AI899" s="53">
        <v>48</v>
      </c>
      <c r="AJ899" s="53">
        <f t="shared" ref="AJ899:AJ934" si="1335">IF(AI899="","",AI895+AK895-AI899)</f>
        <v>0</v>
      </c>
      <c r="AK899" s="53">
        <v>-10</v>
      </c>
      <c r="AL899" s="75" t="str">
        <f t="shared" ref="AL899:AL942" si="1336">IF(AE899="","",AL895)</f>
        <v>ミニ香水</v>
      </c>
      <c r="AM899" s="76">
        <f t="shared" ref="AM899:AM942" si="1337">IF(AF899="","",AM895)</f>
        <v>1100</v>
      </c>
      <c r="AN899" s="31">
        <f t="shared" ref="AN899:AN938" si="1338">IF(AI899="","",AJ899*AM899)</f>
        <v>0</v>
      </c>
      <c r="AO899" s="32">
        <f t="shared" ref="AO899:AO942" si="1339">IF(AJ899="","",AN899/(AF899*100))</f>
        <v>0</v>
      </c>
      <c r="AP899" s="15"/>
      <c r="AQ899" s="15"/>
      <c r="AR899" s="79">
        <f>IF($A899="","",$A899)</f>
        <v>45799</v>
      </c>
      <c r="AS899" s="53">
        <v>4796</v>
      </c>
      <c r="AT899" s="53">
        <f t="shared" ref="AT899:AT902" si="1340">IF(AS899="","",AS899-AS895)</f>
        <v>102</v>
      </c>
      <c r="AU899" s="53">
        <v>149</v>
      </c>
      <c r="AV899" s="31">
        <f t="shared" ref="AV899:AV934" si="1341">IF(AU899="","",AU899-AU895)</f>
        <v>4</v>
      </c>
      <c r="AW899" s="53">
        <v>52</v>
      </c>
      <c r="AX899" s="53">
        <f t="shared" ref="AX899:AX934" si="1342">IF(AW899="","",AW895+AY895-AW899)</f>
        <v>5</v>
      </c>
      <c r="AY899" s="53">
        <v>0</v>
      </c>
      <c r="AZ899" s="56" t="str">
        <f t="shared" ref="AZ899:AZ942" si="1343">IF(AS899="","",AZ895)</f>
        <v>ロムアンド</v>
      </c>
      <c r="BA899" s="54">
        <f t="shared" ref="BA899:BA942" si="1344">IF(AT899="","",BA895)</f>
        <v>1001</v>
      </c>
      <c r="BB899" s="31">
        <f t="shared" ref="BB899:BB938" si="1345">IF(AW899="","",AX899*BA899)</f>
        <v>5005</v>
      </c>
      <c r="BC899" s="32">
        <f t="shared" ref="BC899:BC942" si="1346">IF(AX899="","",BB899/(AT899*100))</f>
        <v>0.4906862745098039</v>
      </c>
      <c r="BD899" s="15"/>
      <c r="BT899" s="15"/>
      <c r="BU899" s="19">
        <f>IF($A923="","",$A923)</f>
        <v>45820</v>
      </c>
      <c r="BV899" s="13">
        <v>1046</v>
      </c>
      <c r="BW899" s="13">
        <f t="shared" si="1312"/>
        <v>107</v>
      </c>
      <c r="BX899" s="13">
        <v>42</v>
      </c>
      <c r="BY899" s="13">
        <f t="shared" si="1313"/>
        <v>5</v>
      </c>
      <c r="BZ899" s="13">
        <v>33</v>
      </c>
      <c r="CA899" s="13">
        <f t="shared" si="1265"/>
        <v>7</v>
      </c>
      <c r="CB899" s="13">
        <v>13</v>
      </c>
      <c r="CC899" s="53"/>
      <c r="CD899" s="12">
        <f t="shared" si="1266"/>
        <v>385</v>
      </c>
      <c r="CE899" s="13">
        <f t="shared" si="1267"/>
        <v>2695</v>
      </c>
      <c r="CF899" s="14">
        <f t="shared" si="1314"/>
        <v>2.5764818355640536E-2</v>
      </c>
      <c r="CG899" s="67"/>
      <c r="CH899" s="1"/>
      <c r="CI899" s="19">
        <f>IF($A923="","",$A923)</f>
        <v>45820</v>
      </c>
      <c r="CJ899" s="13">
        <v>788</v>
      </c>
      <c r="CK899" s="13">
        <f t="shared" si="1315"/>
        <v>69</v>
      </c>
      <c r="CL899" s="13">
        <v>1</v>
      </c>
      <c r="CM899" s="13">
        <f>IF(CL899="","",CL899-CL898)+1000000</f>
        <v>2</v>
      </c>
      <c r="CN899" s="13">
        <v>19</v>
      </c>
      <c r="CO899" s="13">
        <f t="shared" si="1269"/>
        <v>3</v>
      </c>
      <c r="CP899" s="13">
        <v>1</v>
      </c>
      <c r="CQ899" s="53"/>
      <c r="CR899" s="12">
        <f t="shared" si="1270"/>
        <v>1012</v>
      </c>
      <c r="CS899" s="13">
        <f t="shared" si="1271"/>
        <v>3036</v>
      </c>
      <c r="CT899" s="14">
        <f t="shared" si="1282"/>
        <v>0.44</v>
      </c>
      <c r="CU899" s="67"/>
      <c r="CV899" s="1"/>
      <c r="CW899" s="19">
        <f>IF($A923="","",$A923)</f>
        <v>45820</v>
      </c>
      <c r="CX899" s="13">
        <v>1326</v>
      </c>
      <c r="CY899" s="13">
        <f t="shared" si="1316"/>
        <v>139</v>
      </c>
      <c r="CZ899" s="13">
        <v>34</v>
      </c>
      <c r="DA899" s="13">
        <f t="shared" si="1283"/>
        <v>3</v>
      </c>
      <c r="DB899" s="13">
        <v>40</v>
      </c>
      <c r="DC899" s="13">
        <f t="shared" si="1273"/>
        <v>4</v>
      </c>
      <c r="DD899" s="13">
        <v>2</v>
      </c>
      <c r="DE899" s="53"/>
      <c r="DF899" s="12">
        <f t="shared" si="1274"/>
        <v>880</v>
      </c>
      <c r="DG899" s="13">
        <f t="shared" si="1275"/>
        <v>3520</v>
      </c>
      <c r="DH899" s="14">
        <f t="shared" si="1276"/>
        <v>0.25323741007194245</v>
      </c>
      <c r="DI899" s="67"/>
      <c r="DJ899" s="1"/>
      <c r="DK899" s="19">
        <f>IF($A923="","",$A923)</f>
        <v>45820</v>
      </c>
      <c r="DL899" s="13">
        <v>974</v>
      </c>
      <c r="DM899" s="13">
        <f t="shared" si="1317"/>
        <v>65</v>
      </c>
      <c r="DN899" s="13">
        <v>40</v>
      </c>
      <c r="DO899" s="13">
        <f t="shared" si="1318"/>
        <v>3</v>
      </c>
      <c r="DP899" s="13">
        <v>35</v>
      </c>
      <c r="DQ899" s="13">
        <f t="shared" si="1277"/>
        <v>3</v>
      </c>
      <c r="DR899" s="13">
        <v>10</v>
      </c>
      <c r="DS899" s="53"/>
      <c r="DT899" s="12">
        <f t="shared" si="1278"/>
        <v>300</v>
      </c>
      <c r="DU899" s="13">
        <f t="shared" si="1279"/>
        <v>900</v>
      </c>
      <c r="DV899" s="14">
        <f t="shared" si="1280"/>
        <v>0.13846153846153847</v>
      </c>
      <c r="DW899" s="67"/>
    </row>
    <row r="900" spans="1:127" x14ac:dyDescent="0.2">
      <c r="A900" s="16"/>
      <c r="B900" s="11"/>
      <c r="C900" s="53">
        <v>24704</v>
      </c>
      <c r="D900" s="13">
        <f t="shared" si="1320"/>
        <v>28</v>
      </c>
      <c r="E900" s="13">
        <v>1293</v>
      </c>
      <c r="F900" s="13">
        <f t="shared" si="1321"/>
        <v>0</v>
      </c>
      <c r="G900" s="13">
        <v>20</v>
      </c>
      <c r="H900" s="13">
        <f t="shared" si="1322"/>
        <v>-2</v>
      </c>
      <c r="I900" s="17">
        <v>-7</v>
      </c>
      <c r="J900" s="56" t="str">
        <f t="shared" si="1323"/>
        <v>ゴールドイヤホン</v>
      </c>
      <c r="K900" s="54">
        <f t="shared" si="1324"/>
        <v>770</v>
      </c>
      <c r="L900" s="13">
        <f t="shared" si="1325"/>
        <v>-1540</v>
      </c>
      <c r="M900" s="14">
        <f t="shared" si="1326"/>
        <v>-0.55000000000000004</v>
      </c>
      <c r="N900" s="15" t="s">
        <v>119</v>
      </c>
      <c r="O900" s="2"/>
      <c r="P900" s="16"/>
      <c r="Q900" s="13">
        <v>25148</v>
      </c>
      <c r="R900" s="53">
        <f>IF(Q900="","",Q900-Q896)</f>
        <v>28</v>
      </c>
      <c r="S900" s="13">
        <v>1460</v>
      </c>
      <c r="T900" s="13">
        <f t="shared" si="1327"/>
        <v>3</v>
      </c>
      <c r="U900" s="13">
        <v>0</v>
      </c>
      <c r="V900" s="13">
        <f t="shared" si="1328"/>
        <v>4</v>
      </c>
      <c r="W900" s="13">
        <v>4</v>
      </c>
      <c r="X900" s="21" t="str">
        <f t="shared" si="1329"/>
        <v>サンリオFAN</v>
      </c>
      <c r="Y900" s="54">
        <f t="shared" si="1330"/>
        <v>1100</v>
      </c>
      <c r="Z900" s="13">
        <f t="shared" si="1331"/>
        <v>4400</v>
      </c>
      <c r="AA900" s="14">
        <f t="shared" si="1332"/>
        <v>1.5714285714285714</v>
      </c>
      <c r="AB900" s="15" t="s">
        <v>115</v>
      </c>
      <c r="AD900" s="16"/>
      <c r="AE900" s="13">
        <v>3716</v>
      </c>
      <c r="AF900" s="13">
        <f t="shared" si="1333"/>
        <v>22</v>
      </c>
      <c r="AG900" s="13">
        <v>90</v>
      </c>
      <c r="AH900" s="13">
        <f t="shared" si="1334"/>
        <v>0</v>
      </c>
      <c r="AI900" s="13">
        <v>13</v>
      </c>
      <c r="AJ900" s="13">
        <f t="shared" si="1335"/>
        <v>0</v>
      </c>
      <c r="AK900" s="13">
        <v>0</v>
      </c>
      <c r="AL900" s="56" t="str">
        <f t="shared" si="1336"/>
        <v>デジタルミニカメラ</v>
      </c>
      <c r="AM900" s="54">
        <f t="shared" si="1337"/>
        <v>800</v>
      </c>
      <c r="AN900" s="13">
        <f t="shared" si="1338"/>
        <v>0</v>
      </c>
      <c r="AO900" s="14">
        <f t="shared" si="1339"/>
        <v>0</v>
      </c>
      <c r="AP900" s="15"/>
      <c r="AQ900" s="15"/>
      <c r="AR900" s="16"/>
      <c r="AS900" s="13">
        <v>3052</v>
      </c>
      <c r="AT900" s="13">
        <f t="shared" si="1340"/>
        <v>78</v>
      </c>
      <c r="AU900" s="13">
        <v>156</v>
      </c>
      <c r="AV900" s="13">
        <f t="shared" si="1341"/>
        <v>5</v>
      </c>
      <c r="AW900" s="13">
        <v>45</v>
      </c>
      <c r="AX900" s="13">
        <f t="shared" si="1342"/>
        <v>5</v>
      </c>
      <c r="AY900" s="13">
        <v>0</v>
      </c>
      <c r="AZ900" s="56" t="str">
        <f t="shared" si="1343"/>
        <v>サンリオシューズキーホルダー</v>
      </c>
      <c r="BA900" s="54">
        <f t="shared" si="1344"/>
        <v>400</v>
      </c>
      <c r="BB900" s="13">
        <f t="shared" si="1345"/>
        <v>2000</v>
      </c>
      <c r="BC900" s="14">
        <f t="shared" si="1346"/>
        <v>0.25641025641025639</v>
      </c>
      <c r="BD900" s="15"/>
      <c r="BT900" s="15"/>
      <c r="BU900" s="19" t="str">
        <f>IF($A927="","",$A927)</f>
        <v/>
      </c>
      <c r="BV900" s="13"/>
      <c r="BW900" s="13"/>
      <c r="BX900" s="13"/>
      <c r="BY900" s="13"/>
      <c r="BZ900" s="13"/>
      <c r="CA900" s="87"/>
      <c r="CB900" s="13"/>
      <c r="CC900" s="53"/>
      <c r="CD900" s="12"/>
      <c r="CE900" s="13"/>
      <c r="CF900" s="14"/>
      <c r="CG900" s="67"/>
      <c r="CH900" s="1"/>
      <c r="CI900" s="19"/>
      <c r="CJ900" s="13"/>
      <c r="CK900" s="13"/>
      <c r="CL900" s="13"/>
      <c r="CM900" s="13"/>
      <c r="CN900" s="13"/>
      <c r="CO900" s="13"/>
      <c r="CP900" s="13"/>
      <c r="CQ900" s="53"/>
      <c r="CR900" s="12"/>
      <c r="CS900" s="13"/>
      <c r="CT900" s="14"/>
      <c r="CU900" s="67"/>
      <c r="CV900" s="1"/>
      <c r="CW900" s="19"/>
      <c r="CX900" s="13"/>
      <c r="CY900" s="13"/>
      <c r="CZ900" s="13"/>
      <c r="DA900" s="87"/>
      <c r="DB900" s="13"/>
      <c r="DC900" s="13"/>
      <c r="DD900" s="13"/>
      <c r="DE900" s="53"/>
      <c r="DF900" s="12"/>
      <c r="DG900" s="13"/>
      <c r="DH900" s="123"/>
      <c r="DI900" s="67"/>
      <c r="DJ900" s="1"/>
      <c r="DK900" s="19"/>
      <c r="DL900" s="13"/>
      <c r="DM900" s="13"/>
      <c r="DN900" s="13"/>
      <c r="DO900" s="13"/>
      <c r="DP900" s="13"/>
      <c r="DQ900" s="13"/>
      <c r="DR900" s="13"/>
      <c r="DS900" s="53"/>
      <c r="DT900" s="12"/>
      <c r="DU900" s="13"/>
      <c r="DV900" s="14"/>
      <c r="DW900" s="67"/>
    </row>
    <row r="901" spans="1:127" x14ac:dyDescent="0.2">
      <c r="A901" s="16"/>
      <c r="B901" s="11"/>
      <c r="C901" s="63">
        <v>20604</v>
      </c>
      <c r="D901" s="13">
        <f t="shared" si="1320"/>
        <v>19</v>
      </c>
      <c r="E901" s="13">
        <v>1042</v>
      </c>
      <c r="F901" s="13">
        <f t="shared" si="1321"/>
        <v>3</v>
      </c>
      <c r="G901" s="13">
        <v>15</v>
      </c>
      <c r="H901" s="13">
        <f t="shared" si="1322"/>
        <v>4</v>
      </c>
      <c r="I901" s="17">
        <v>6</v>
      </c>
      <c r="J901" s="56" t="str">
        <f t="shared" si="1323"/>
        <v>グミッツェルプチ</v>
      </c>
      <c r="K901" s="13">
        <f t="shared" si="1324"/>
        <v>180</v>
      </c>
      <c r="L901" s="13">
        <f t="shared" si="1325"/>
        <v>720</v>
      </c>
      <c r="M901" s="14">
        <f t="shared" si="1326"/>
        <v>0.37894736842105264</v>
      </c>
      <c r="N901" s="15"/>
      <c r="O901" s="2"/>
      <c r="P901" s="16"/>
      <c r="Q901" s="13">
        <v>19403</v>
      </c>
      <c r="R901" s="53">
        <f t="shared" si="1319"/>
        <v>27</v>
      </c>
      <c r="S901" s="13">
        <v>2670</v>
      </c>
      <c r="T901" s="13">
        <f t="shared" si="1327"/>
        <v>4</v>
      </c>
      <c r="U901" s="13">
        <v>24</v>
      </c>
      <c r="V901" s="13">
        <f t="shared" si="1328"/>
        <v>3</v>
      </c>
      <c r="W901" s="13">
        <v>2</v>
      </c>
      <c r="X901" s="21" t="str">
        <f t="shared" si="1329"/>
        <v>グミッツェル</v>
      </c>
      <c r="Y901" s="54">
        <f t="shared" si="1330"/>
        <v>165</v>
      </c>
      <c r="Z901" s="13">
        <f t="shared" si="1331"/>
        <v>495</v>
      </c>
      <c r="AA901" s="14">
        <f t="shared" si="1332"/>
        <v>0.18333333333333332</v>
      </c>
      <c r="AB901" s="15"/>
      <c r="AD901" s="16"/>
      <c r="AE901" s="13">
        <v>4168</v>
      </c>
      <c r="AF901" s="13">
        <f t="shared" si="1333"/>
        <v>41</v>
      </c>
      <c r="AG901" s="13">
        <v>135</v>
      </c>
      <c r="AH901" s="13">
        <f t="shared" si="1334"/>
        <v>0</v>
      </c>
      <c r="AI901" s="13">
        <v>4</v>
      </c>
      <c r="AJ901" s="13">
        <f t="shared" si="1335"/>
        <v>6</v>
      </c>
      <c r="AK901" s="13">
        <v>0</v>
      </c>
      <c r="AL901" s="56" t="str">
        <f t="shared" si="1336"/>
        <v>ピクミン引っこ抜き</v>
      </c>
      <c r="AM901" s="13">
        <f t="shared" si="1337"/>
        <v>650</v>
      </c>
      <c r="AN901" s="13">
        <f t="shared" si="1338"/>
        <v>3900</v>
      </c>
      <c r="AO901" s="14">
        <f t="shared" si="1339"/>
        <v>0.95121951219512191</v>
      </c>
      <c r="AP901" s="15" t="s">
        <v>112</v>
      </c>
      <c r="AQ901" s="15"/>
      <c r="AR901" s="16"/>
      <c r="AS901" s="13">
        <v>4883</v>
      </c>
      <c r="AT901" s="13">
        <f t="shared" si="1340"/>
        <v>37</v>
      </c>
      <c r="AU901" s="13">
        <v>194</v>
      </c>
      <c r="AV901" s="13">
        <f t="shared" si="1341"/>
        <v>4</v>
      </c>
      <c r="AW901" s="13">
        <v>134</v>
      </c>
      <c r="AX901" s="13">
        <f t="shared" si="1342"/>
        <v>6</v>
      </c>
      <c r="AY901" s="13">
        <v>8</v>
      </c>
      <c r="AZ901" s="56" t="str">
        <f t="shared" si="1343"/>
        <v>スプランキーラバーキーホルダー</v>
      </c>
      <c r="BA901" s="54">
        <f t="shared" si="1344"/>
        <v>200</v>
      </c>
      <c r="BB901" s="13">
        <f t="shared" si="1345"/>
        <v>1200</v>
      </c>
      <c r="BC901" s="14">
        <f t="shared" si="1346"/>
        <v>0.32432432432432434</v>
      </c>
      <c r="BD901" s="15"/>
      <c r="BT901" s="15"/>
      <c r="BU901" s="19"/>
      <c r="BV901" s="13"/>
      <c r="BW901" s="13" t="str">
        <f t="shared" ref="BW901:BW904" si="1347">IF(BV901="","",BV901-BV900)</f>
        <v/>
      </c>
      <c r="BX901" s="13"/>
      <c r="BY901" s="13" t="str">
        <f t="shared" ref="BY901:BY904" si="1348">IF(BX901="","",BX901-BX900)</f>
        <v/>
      </c>
      <c r="BZ901" s="13"/>
      <c r="CA901" s="13" t="str">
        <f t="shared" si="1265"/>
        <v/>
      </c>
      <c r="CB901" s="13"/>
      <c r="CC901" s="53"/>
      <c r="CD901" s="12" t="str">
        <f t="shared" si="1266"/>
        <v/>
      </c>
      <c r="CE901" s="13" t="str">
        <f t="shared" si="1267"/>
        <v/>
      </c>
      <c r="CF901" s="14" t="str">
        <f t="shared" si="1314"/>
        <v/>
      </c>
      <c r="CG901" s="15"/>
      <c r="CH901" s="1"/>
      <c r="CI901" s="19"/>
      <c r="CJ901" s="13"/>
      <c r="CK901" s="13" t="str">
        <f t="shared" ref="CK901:CK904" si="1349">IF(CJ901="","",CJ901-CJ900)</f>
        <v/>
      </c>
      <c r="CL901" s="13"/>
      <c r="CM901" s="13" t="str">
        <f t="shared" ref="CM901:CM904" si="1350">IF(CL901="","",CL901-CL900)</f>
        <v/>
      </c>
      <c r="CN901" s="13"/>
      <c r="CO901" s="13" t="str">
        <f t="shared" si="1269"/>
        <v/>
      </c>
      <c r="CP901" s="13"/>
      <c r="CQ901" s="53"/>
      <c r="CR901" s="12" t="str">
        <f t="shared" si="1270"/>
        <v/>
      </c>
      <c r="CS901" s="13" t="str">
        <f t="shared" si="1271"/>
        <v/>
      </c>
      <c r="CT901" s="14" t="str">
        <f t="shared" si="1282"/>
        <v/>
      </c>
      <c r="CU901" s="15"/>
      <c r="CV901" s="1"/>
      <c r="CW901" s="19"/>
      <c r="CX901" s="13"/>
      <c r="CY901" s="13" t="str">
        <f t="shared" ref="CY901:CY904" si="1351">IF(CX901="","",CX901-CX900)</f>
        <v/>
      </c>
      <c r="CZ901" s="13"/>
      <c r="DA901" s="13" t="str">
        <f t="shared" ref="DA901:DA904" si="1352">IF(CZ901="","",CZ901-CZ900)</f>
        <v/>
      </c>
      <c r="DB901" s="13"/>
      <c r="DC901" s="13" t="str">
        <f t="shared" si="1273"/>
        <v/>
      </c>
      <c r="DD901" s="13"/>
      <c r="DE901" s="53"/>
      <c r="DF901" s="12" t="str">
        <f t="shared" si="1274"/>
        <v/>
      </c>
      <c r="DG901" s="13" t="str">
        <f t="shared" si="1275"/>
        <v/>
      </c>
      <c r="DH901" s="14" t="str">
        <f t="shared" si="1276"/>
        <v/>
      </c>
      <c r="DI901" s="15"/>
      <c r="DJ901" s="1"/>
      <c r="DK901" s="19"/>
      <c r="DL901" s="13"/>
      <c r="DM901" s="13" t="str">
        <f t="shared" ref="DM901:DM904" si="1353">IF(DL901="","",DL901-DL900)</f>
        <v/>
      </c>
      <c r="DN901" s="13"/>
      <c r="DO901" s="13" t="str">
        <f t="shared" ref="DO901:DO904" si="1354">IF(DN901="","",DN901-DN900)</f>
        <v/>
      </c>
      <c r="DP901" s="13"/>
      <c r="DQ901" s="13" t="str">
        <f t="shared" si="1277"/>
        <v/>
      </c>
      <c r="DR901" s="13"/>
      <c r="DS901" s="53"/>
      <c r="DT901" s="12" t="str">
        <f t="shared" si="1278"/>
        <v/>
      </c>
      <c r="DU901" s="13" t="str">
        <f t="shared" si="1279"/>
        <v/>
      </c>
      <c r="DV901" s="14" t="str">
        <f t="shared" si="1280"/>
        <v/>
      </c>
      <c r="DW901" s="15"/>
    </row>
    <row r="902" spans="1:127" ht="15" customHeight="1" thickBot="1" x14ac:dyDescent="0.25">
      <c r="A902" s="26"/>
      <c r="B902" s="46"/>
      <c r="C902" s="61">
        <v>26572</v>
      </c>
      <c r="D902" s="62">
        <f t="shared" si="1320"/>
        <v>37</v>
      </c>
      <c r="E902" s="27">
        <v>1296</v>
      </c>
      <c r="F902" s="27">
        <f t="shared" si="1321"/>
        <v>2</v>
      </c>
      <c r="G902" s="27">
        <v>52</v>
      </c>
      <c r="H902" s="27">
        <f t="shared" si="1322"/>
        <v>2</v>
      </c>
      <c r="I902" s="47">
        <v>0</v>
      </c>
      <c r="J902" s="57" t="str">
        <f t="shared" si="1323"/>
        <v>NICIマスコット</v>
      </c>
      <c r="K902" s="62">
        <f t="shared" si="1324"/>
        <v>682</v>
      </c>
      <c r="L902" s="27">
        <f t="shared" si="1325"/>
        <v>1364</v>
      </c>
      <c r="M902" s="28">
        <f t="shared" si="1326"/>
        <v>0.36864864864864866</v>
      </c>
      <c r="N902" s="15"/>
      <c r="O902" s="2"/>
      <c r="P902" s="26"/>
      <c r="Q902" s="27">
        <v>18400</v>
      </c>
      <c r="R902" s="61">
        <f t="shared" si="1319"/>
        <v>28</v>
      </c>
      <c r="S902" s="27">
        <v>1636</v>
      </c>
      <c r="T902" s="27">
        <f t="shared" si="1327"/>
        <v>6</v>
      </c>
      <c r="U902" s="27">
        <v>310</v>
      </c>
      <c r="V902" s="27">
        <f t="shared" si="1328"/>
        <v>10</v>
      </c>
      <c r="W902" s="27">
        <v>0</v>
      </c>
      <c r="X902" s="30" t="str">
        <f t="shared" si="1329"/>
        <v>サンリオブレスレット</v>
      </c>
      <c r="Y902" s="62">
        <f t="shared" si="1330"/>
        <v>120</v>
      </c>
      <c r="Z902" s="27">
        <f t="shared" si="1331"/>
        <v>1200</v>
      </c>
      <c r="AA902" s="28">
        <f t="shared" si="1332"/>
        <v>0.42857142857142855</v>
      </c>
      <c r="AB902" s="15"/>
      <c r="AD902" s="26"/>
      <c r="AE902" s="27">
        <v>3910</v>
      </c>
      <c r="AF902" s="27">
        <f t="shared" si="1333"/>
        <v>122</v>
      </c>
      <c r="AG902" s="27">
        <v>144</v>
      </c>
      <c r="AH902" s="27">
        <f t="shared" si="1334"/>
        <v>1</v>
      </c>
      <c r="AI902" s="27">
        <v>14</v>
      </c>
      <c r="AJ902" s="27">
        <f t="shared" si="1335"/>
        <v>3</v>
      </c>
      <c r="AK902" s="27">
        <v>0</v>
      </c>
      <c r="AL902" s="57" t="str">
        <f t="shared" si="1336"/>
        <v>ギャルキティキーケース</v>
      </c>
      <c r="AM902" s="62">
        <f t="shared" si="1337"/>
        <v>726</v>
      </c>
      <c r="AN902" s="27">
        <f t="shared" si="1338"/>
        <v>2178</v>
      </c>
      <c r="AO902" s="28">
        <f t="shared" si="1339"/>
        <v>0.17852459016393443</v>
      </c>
      <c r="AP902" s="15"/>
      <c r="AQ902" s="15"/>
      <c r="AR902" s="26"/>
      <c r="AS902" s="27">
        <v>4491</v>
      </c>
      <c r="AT902" s="27">
        <f t="shared" si="1340"/>
        <v>43</v>
      </c>
      <c r="AU902" s="27">
        <v>197</v>
      </c>
      <c r="AV902" s="27">
        <f t="shared" si="1341"/>
        <v>3</v>
      </c>
      <c r="AW902" s="27">
        <v>50</v>
      </c>
      <c r="AX902" s="27">
        <f t="shared" si="1342"/>
        <v>2</v>
      </c>
      <c r="AY902" s="27">
        <v>0</v>
      </c>
      <c r="AZ902" s="57" t="str">
        <f t="shared" si="1343"/>
        <v>スプランキーマスコット</v>
      </c>
      <c r="BA902" s="62">
        <f t="shared" si="1344"/>
        <v>180</v>
      </c>
      <c r="BB902" s="27">
        <f t="shared" si="1345"/>
        <v>360</v>
      </c>
      <c r="BC902" s="28">
        <f t="shared" si="1346"/>
        <v>8.3720930232558138E-2</v>
      </c>
      <c r="BD902" s="15"/>
      <c r="BT902" s="15"/>
      <c r="BU902" s="19"/>
      <c r="BV902" s="13"/>
      <c r="BW902" s="13" t="str">
        <f t="shared" si="1347"/>
        <v/>
      </c>
      <c r="BX902" s="13"/>
      <c r="BY902" s="13" t="str">
        <f t="shared" si="1348"/>
        <v/>
      </c>
      <c r="BZ902" s="13"/>
      <c r="CA902" s="13" t="str">
        <f t="shared" si="1265"/>
        <v/>
      </c>
      <c r="CB902" s="13"/>
      <c r="CC902" s="53"/>
      <c r="CD902" s="12" t="str">
        <f t="shared" si="1266"/>
        <v/>
      </c>
      <c r="CE902" s="13" t="str">
        <f t="shared" si="1267"/>
        <v/>
      </c>
      <c r="CF902" s="14" t="str">
        <f t="shared" si="1314"/>
        <v/>
      </c>
      <c r="CG902" s="15"/>
      <c r="CH902" s="1"/>
      <c r="CI902" s="19"/>
      <c r="CJ902" s="13"/>
      <c r="CK902" s="13" t="str">
        <f t="shared" si="1349"/>
        <v/>
      </c>
      <c r="CL902" s="13"/>
      <c r="CM902" s="13" t="str">
        <f t="shared" si="1350"/>
        <v/>
      </c>
      <c r="CN902" s="13"/>
      <c r="CO902" s="13" t="str">
        <f t="shared" si="1269"/>
        <v/>
      </c>
      <c r="CP902" s="13"/>
      <c r="CQ902" s="53"/>
      <c r="CR902" s="12" t="str">
        <f t="shared" si="1270"/>
        <v/>
      </c>
      <c r="CS902" s="13" t="str">
        <f t="shared" si="1271"/>
        <v/>
      </c>
      <c r="CT902" s="14" t="str">
        <f t="shared" si="1282"/>
        <v/>
      </c>
      <c r="CU902" s="15"/>
      <c r="CV902" s="1"/>
      <c r="CW902" s="19"/>
      <c r="CX902" s="13"/>
      <c r="CY902" s="13" t="str">
        <f t="shared" si="1351"/>
        <v/>
      </c>
      <c r="CZ902" s="13"/>
      <c r="DA902" s="13" t="str">
        <f t="shared" si="1352"/>
        <v/>
      </c>
      <c r="DB902" s="13"/>
      <c r="DC902" s="13" t="str">
        <f t="shared" si="1273"/>
        <v/>
      </c>
      <c r="DD902" s="13"/>
      <c r="DE902" s="53"/>
      <c r="DF902" s="12" t="str">
        <f t="shared" si="1274"/>
        <v/>
      </c>
      <c r="DG902" s="13" t="str">
        <f t="shared" si="1275"/>
        <v/>
      </c>
      <c r="DH902" s="14" t="str">
        <f t="shared" si="1276"/>
        <v/>
      </c>
      <c r="DI902" s="15"/>
      <c r="DJ902" s="1"/>
      <c r="DK902" s="19"/>
      <c r="DL902" s="13"/>
      <c r="DM902" s="13" t="str">
        <f t="shared" si="1353"/>
        <v/>
      </c>
      <c r="DN902" s="13"/>
      <c r="DO902" s="13" t="str">
        <f t="shared" si="1354"/>
        <v/>
      </c>
      <c r="DP902" s="13"/>
      <c r="DQ902" s="13" t="str">
        <f t="shared" si="1277"/>
        <v/>
      </c>
      <c r="DR902" s="13"/>
      <c r="DS902" s="53"/>
      <c r="DT902" s="12" t="str">
        <f t="shared" si="1278"/>
        <v/>
      </c>
      <c r="DU902" s="13" t="str">
        <f t="shared" si="1279"/>
        <v/>
      </c>
      <c r="DV902" s="14" t="str">
        <f t="shared" si="1280"/>
        <v/>
      </c>
      <c r="DW902" s="15"/>
    </row>
    <row r="903" spans="1:127" ht="15" customHeight="1" thickTop="1" x14ac:dyDescent="0.2">
      <c r="A903" s="79">
        <v>45803</v>
      </c>
      <c r="B903" s="74">
        <f>IF(A903="","",SUM(D903:D906)+SUM(R903:R906)+SUM(AF903:AF906)+SUM(AT903:AT906)+SUM(BW894,CK894,CY894,DM894))</f>
        <v>2729</v>
      </c>
      <c r="C903" s="53">
        <v>20695</v>
      </c>
      <c r="D903" s="53">
        <f>IF(C903="","",C903-C899)</f>
        <v>129</v>
      </c>
      <c r="E903" s="53">
        <v>1111</v>
      </c>
      <c r="F903" s="31">
        <f t="shared" si="1321"/>
        <v>4</v>
      </c>
      <c r="G903" s="53">
        <v>3</v>
      </c>
      <c r="H903" s="53">
        <f t="shared" si="1322"/>
        <v>4</v>
      </c>
      <c r="I903" s="80">
        <v>8</v>
      </c>
      <c r="J903" s="75" t="str">
        <f t="shared" si="1323"/>
        <v>ジャグラーサウンドボタン</v>
      </c>
      <c r="K903" s="76">
        <f t="shared" si="1324"/>
        <v>748</v>
      </c>
      <c r="L903" s="31">
        <f t="shared" si="1325"/>
        <v>2992</v>
      </c>
      <c r="M903" s="32">
        <f t="shared" si="1326"/>
        <v>0.23193798449612404</v>
      </c>
      <c r="N903" s="15"/>
      <c r="O903" s="2"/>
      <c r="P903" s="79">
        <f>IF(A903="","",A903)</f>
        <v>45803</v>
      </c>
      <c r="Q903" s="53">
        <v>20721</v>
      </c>
      <c r="R903" s="53">
        <f>IF(Q903="","",Q903-Q899)</f>
        <v>91</v>
      </c>
      <c r="S903" s="53">
        <v>1169</v>
      </c>
      <c r="T903" s="31">
        <f t="shared" si="1327"/>
        <v>1</v>
      </c>
      <c r="U903" s="53">
        <v>4</v>
      </c>
      <c r="V903" s="53">
        <f t="shared" si="1328"/>
        <v>1</v>
      </c>
      <c r="W903" s="80">
        <v>5</v>
      </c>
      <c r="X903" s="75" t="str">
        <f t="shared" si="1329"/>
        <v>じゃがりこイヤホン</v>
      </c>
      <c r="Y903" s="76">
        <f t="shared" si="1330"/>
        <v>1100</v>
      </c>
      <c r="Z903" s="31">
        <f t="shared" si="1331"/>
        <v>1100</v>
      </c>
      <c r="AA903" s="32">
        <f t="shared" si="1332"/>
        <v>0.12087912087912088</v>
      </c>
      <c r="AB903" s="15"/>
      <c r="AC903" s="15"/>
      <c r="AD903" s="79">
        <f>IF($A903="","",$A903)</f>
        <v>45803</v>
      </c>
      <c r="AE903" s="53">
        <v>4830</v>
      </c>
      <c r="AF903" s="53">
        <f>IF(AE903="","",AE903-AE899)</f>
        <v>78</v>
      </c>
      <c r="AG903" s="53">
        <v>101</v>
      </c>
      <c r="AH903" s="31">
        <f t="shared" si="1334"/>
        <v>2</v>
      </c>
      <c r="AI903" s="53">
        <v>36</v>
      </c>
      <c r="AJ903" s="53">
        <f t="shared" si="1335"/>
        <v>2</v>
      </c>
      <c r="AK903" s="80">
        <v>0</v>
      </c>
      <c r="AL903" s="75" t="str">
        <f t="shared" si="1336"/>
        <v>ミニ香水</v>
      </c>
      <c r="AM903" s="76">
        <f t="shared" si="1337"/>
        <v>1100</v>
      </c>
      <c r="AN903" s="31">
        <f t="shared" si="1338"/>
        <v>2200</v>
      </c>
      <c r="AO903" s="32">
        <f t="shared" si="1339"/>
        <v>0.28205128205128205</v>
      </c>
      <c r="AP903" s="15"/>
      <c r="AQ903" s="15"/>
      <c r="AR903" s="79">
        <f>IF($A903="","",$A903)</f>
        <v>45803</v>
      </c>
      <c r="AS903" s="53">
        <v>4905</v>
      </c>
      <c r="AT903" s="53">
        <f>IF(AS903="","",AS903-AS899)</f>
        <v>109</v>
      </c>
      <c r="AU903" s="53">
        <v>155</v>
      </c>
      <c r="AV903" s="31">
        <f t="shared" si="1341"/>
        <v>6</v>
      </c>
      <c r="AW903" s="53">
        <v>39</v>
      </c>
      <c r="AX903" s="53">
        <f t="shared" si="1342"/>
        <v>13</v>
      </c>
      <c r="AY903" s="80">
        <v>0</v>
      </c>
      <c r="AZ903" s="75" t="str">
        <f t="shared" si="1343"/>
        <v>ロムアンド</v>
      </c>
      <c r="BA903" s="76">
        <f t="shared" si="1344"/>
        <v>1001</v>
      </c>
      <c r="BB903" s="31">
        <f t="shared" si="1345"/>
        <v>13013</v>
      </c>
      <c r="BC903" s="32">
        <f t="shared" si="1346"/>
        <v>1.1938532110091744</v>
      </c>
      <c r="BD903" s="15"/>
      <c r="BT903" s="15"/>
      <c r="BU903" s="19" t="str">
        <f t="shared" ref="BU903:BU904" si="1355">IF($A909="","",$A909)</f>
        <v/>
      </c>
      <c r="BV903" s="13"/>
      <c r="BW903" s="13" t="str">
        <f t="shared" si="1347"/>
        <v/>
      </c>
      <c r="BX903" s="13"/>
      <c r="BY903" s="13" t="str">
        <f t="shared" si="1348"/>
        <v/>
      </c>
      <c r="BZ903" s="13"/>
      <c r="CA903" s="13" t="str">
        <f t="shared" si="1265"/>
        <v/>
      </c>
      <c r="CB903" s="13"/>
      <c r="CC903" s="53"/>
      <c r="CD903" s="12" t="str">
        <f t="shared" si="1266"/>
        <v/>
      </c>
      <c r="CE903" s="13" t="str">
        <f t="shared" si="1267"/>
        <v/>
      </c>
      <c r="CF903" s="14" t="str">
        <f t="shared" si="1314"/>
        <v/>
      </c>
      <c r="CG903" s="15"/>
      <c r="CH903" s="1"/>
      <c r="CI903" s="19" t="str">
        <f t="shared" ref="CI903:CI904" si="1356">IF($A909="","",$A909)</f>
        <v/>
      </c>
      <c r="CJ903" s="13"/>
      <c r="CK903" s="13" t="str">
        <f t="shared" si="1349"/>
        <v/>
      </c>
      <c r="CL903" s="13"/>
      <c r="CM903" s="13" t="str">
        <f t="shared" si="1350"/>
        <v/>
      </c>
      <c r="CN903" s="13"/>
      <c r="CO903" s="13" t="str">
        <f t="shared" si="1269"/>
        <v/>
      </c>
      <c r="CP903" s="13"/>
      <c r="CQ903" s="53"/>
      <c r="CR903" s="12" t="str">
        <f t="shared" si="1270"/>
        <v/>
      </c>
      <c r="CS903" s="13" t="str">
        <f t="shared" si="1271"/>
        <v/>
      </c>
      <c r="CT903" s="14" t="str">
        <f t="shared" si="1282"/>
        <v/>
      </c>
      <c r="CU903" s="15"/>
      <c r="CV903" s="1"/>
      <c r="CW903" s="19" t="str">
        <f t="shared" ref="CW903:CW904" si="1357">IF($A909="","",$A909)</f>
        <v/>
      </c>
      <c r="CX903" s="13"/>
      <c r="CY903" s="13" t="str">
        <f t="shared" si="1351"/>
        <v/>
      </c>
      <c r="CZ903" s="13"/>
      <c r="DA903" s="13" t="str">
        <f t="shared" si="1352"/>
        <v/>
      </c>
      <c r="DB903" s="13"/>
      <c r="DC903" s="13" t="str">
        <f t="shared" si="1273"/>
        <v/>
      </c>
      <c r="DD903" s="13"/>
      <c r="DE903" s="53"/>
      <c r="DF903" s="12" t="str">
        <f t="shared" si="1274"/>
        <v/>
      </c>
      <c r="DG903" s="13" t="str">
        <f t="shared" si="1275"/>
        <v/>
      </c>
      <c r="DH903" s="14" t="str">
        <f t="shared" si="1276"/>
        <v/>
      </c>
      <c r="DI903" s="15"/>
      <c r="DJ903" s="1"/>
      <c r="DK903" s="19" t="str">
        <f t="shared" ref="DK903:DK904" si="1358">IF($A909="","",$A909)</f>
        <v/>
      </c>
      <c r="DL903" s="13"/>
      <c r="DM903" s="13" t="str">
        <f t="shared" si="1353"/>
        <v/>
      </c>
      <c r="DN903" s="13"/>
      <c r="DO903" s="13" t="str">
        <f t="shared" si="1354"/>
        <v/>
      </c>
      <c r="DP903" s="13"/>
      <c r="DQ903" s="13" t="str">
        <f t="shared" si="1277"/>
        <v/>
      </c>
      <c r="DR903" s="13"/>
      <c r="DS903" s="53"/>
      <c r="DT903" s="12" t="str">
        <f t="shared" si="1278"/>
        <v/>
      </c>
      <c r="DU903" s="13" t="str">
        <f t="shared" si="1279"/>
        <v/>
      </c>
      <c r="DV903" s="14" t="str">
        <f t="shared" si="1280"/>
        <v/>
      </c>
      <c r="DW903" s="15"/>
    </row>
    <row r="904" spans="1:127" x14ac:dyDescent="0.2">
      <c r="A904" s="16"/>
      <c r="B904" s="11"/>
      <c r="C904" s="13">
        <v>24778</v>
      </c>
      <c r="D904" s="53">
        <f>IF(C904="","",C904-C900)</f>
        <v>74</v>
      </c>
      <c r="E904" s="13">
        <v>1295</v>
      </c>
      <c r="F904" s="13">
        <f t="shared" si="1321"/>
        <v>2</v>
      </c>
      <c r="G904" s="13">
        <v>11</v>
      </c>
      <c r="H904" s="13">
        <f t="shared" si="1322"/>
        <v>2</v>
      </c>
      <c r="I904" s="17">
        <v>4</v>
      </c>
      <c r="J904" s="56" t="s">
        <v>36</v>
      </c>
      <c r="K904" s="54">
        <v>1100</v>
      </c>
      <c r="L904" s="13">
        <f t="shared" si="1325"/>
        <v>2200</v>
      </c>
      <c r="M904" s="14">
        <f t="shared" si="1326"/>
        <v>0.29729729729729731</v>
      </c>
      <c r="N904" s="15"/>
      <c r="O904" s="2"/>
      <c r="P904" s="16"/>
      <c r="Q904" s="13">
        <v>25332</v>
      </c>
      <c r="R904" s="53">
        <f>IF(Q904="","",Q904-Q900)</f>
        <v>184</v>
      </c>
      <c r="S904" s="13">
        <v>1464</v>
      </c>
      <c r="T904" s="13">
        <f t="shared" si="1327"/>
        <v>4</v>
      </c>
      <c r="U904" s="13">
        <v>0</v>
      </c>
      <c r="V904" s="13">
        <f t="shared" si="1328"/>
        <v>4</v>
      </c>
      <c r="W904" s="17">
        <v>0</v>
      </c>
      <c r="X904" s="56" t="str">
        <f t="shared" si="1329"/>
        <v>サンリオFAN</v>
      </c>
      <c r="Y904" s="54">
        <f t="shared" si="1330"/>
        <v>1100</v>
      </c>
      <c r="Z904" s="13">
        <f t="shared" si="1331"/>
        <v>4400</v>
      </c>
      <c r="AA904" s="14">
        <f t="shared" si="1332"/>
        <v>0.2391304347826087</v>
      </c>
      <c r="AB904" s="15"/>
      <c r="AC904" s="15"/>
      <c r="AD904" s="16"/>
      <c r="AE904" s="13">
        <v>3864</v>
      </c>
      <c r="AF904" s="53">
        <f>IF(AE904="","",AE904-AE900)</f>
        <v>148</v>
      </c>
      <c r="AG904" s="13">
        <v>93</v>
      </c>
      <c r="AH904" s="13">
        <f t="shared" si="1334"/>
        <v>3</v>
      </c>
      <c r="AI904" s="13">
        <v>11</v>
      </c>
      <c r="AJ904" s="13">
        <f t="shared" si="1335"/>
        <v>2</v>
      </c>
      <c r="AK904" s="17">
        <v>0</v>
      </c>
      <c r="AL904" s="56" t="str">
        <f t="shared" si="1336"/>
        <v>デジタルミニカメラ</v>
      </c>
      <c r="AM904" s="54">
        <f t="shared" si="1337"/>
        <v>800</v>
      </c>
      <c r="AN904" s="13">
        <f t="shared" si="1338"/>
        <v>1600</v>
      </c>
      <c r="AO904" s="14">
        <f t="shared" si="1339"/>
        <v>0.10810810810810811</v>
      </c>
      <c r="AP904" s="15"/>
      <c r="AQ904" s="15"/>
      <c r="AR904" s="16"/>
      <c r="AS904" s="13">
        <v>3160</v>
      </c>
      <c r="AT904" s="53">
        <f>IF(AS904="","",AS904-AS900)</f>
        <v>108</v>
      </c>
      <c r="AU904" s="13">
        <v>162</v>
      </c>
      <c r="AV904" s="13">
        <f t="shared" si="1341"/>
        <v>6</v>
      </c>
      <c r="AW904" s="13">
        <v>35</v>
      </c>
      <c r="AX904" s="13">
        <f t="shared" si="1342"/>
        <v>10</v>
      </c>
      <c r="AY904" s="17">
        <v>17</v>
      </c>
      <c r="AZ904" s="56" t="str">
        <f t="shared" si="1343"/>
        <v>サンリオシューズキーホルダー</v>
      </c>
      <c r="BA904" s="54">
        <f t="shared" si="1344"/>
        <v>400</v>
      </c>
      <c r="BB904" s="13">
        <f t="shared" si="1345"/>
        <v>4000</v>
      </c>
      <c r="BC904" s="14">
        <f t="shared" si="1346"/>
        <v>0.37037037037037035</v>
      </c>
      <c r="BD904" s="15"/>
      <c r="BT904" s="15"/>
      <c r="BU904" s="19" t="str">
        <f t="shared" si="1355"/>
        <v/>
      </c>
      <c r="BV904" s="13"/>
      <c r="BW904" s="13" t="str">
        <f t="shared" si="1347"/>
        <v/>
      </c>
      <c r="BX904" s="13"/>
      <c r="BY904" s="13" t="str">
        <f t="shared" si="1348"/>
        <v/>
      </c>
      <c r="BZ904" s="13"/>
      <c r="CA904" s="13" t="str">
        <f t="shared" si="1265"/>
        <v/>
      </c>
      <c r="CB904" s="13"/>
      <c r="CC904" s="53"/>
      <c r="CD904" s="12" t="str">
        <f t="shared" si="1266"/>
        <v/>
      </c>
      <c r="CE904" s="13" t="str">
        <f t="shared" si="1267"/>
        <v/>
      </c>
      <c r="CF904" s="14" t="str">
        <f t="shared" si="1314"/>
        <v/>
      </c>
      <c r="CG904" s="15"/>
      <c r="CH904" s="1"/>
      <c r="CI904" s="19" t="str">
        <f t="shared" si="1356"/>
        <v/>
      </c>
      <c r="CJ904" s="13"/>
      <c r="CK904" s="13" t="str">
        <f t="shared" si="1349"/>
        <v/>
      </c>
      <c r="CL904" s="13"/>
      <c r="CM904" s="13" t="str">
        <f t="shared" si="1350"/>
        <v/>
      </c>
      <c r="CN904" s="13"/>
      <c r="CO904" s="13" t="str">
        <f t="shared" si="1269"/>
        <v/>
      </c>
      <c r="CP904" s="13"/>
      <c r="CQ904" s="53"/>
      <c r="CR904" s="12" t="str">
        <f t="shared" si="1270"/>
        <v/>
      </c>
      <c r="CS904" s="13" t="str">
        <f t="shared" si="1271"/>
        <v/>
      </c>
      <c r="CT904" s="14" t="str">
        <f t="shared" si="1282"/>
        <v/>
      </c>
      <c r="CU904" s="15"/>
      <c r="CV904" s="1"/>
      <c r="CW904" s="19" t="str">
        <f t="shared" si="1357"/>
        <v/>
      </c>
      <c r="CX904" s="13"/>
      <c r="CY904" s="13" t="str">
        <f t="shared" si="1351"/>
        <v/>
      </c>
      <c r="CZ904" s="13"/>
      <c r="DA904" s="13" t="str">
        <f t="shared" si="1352"/>
        <v/>
      </c>
      <c r="DB904" s="13"/>
      <c r="DC904" s="13" t="str">
        <f t="shared" si="1273"/>
        <v/>
      </c>
      <c r="DD904" s="13"/>
      <c r="DE904" s="53"/>
      <c r="DF904" s="12" t="str">
        <f t="shared" si="1274"/>
        <v/>
      </c>
      <c r="DG904" s="13" t="str">
        <f t="shared" si="1275"/>
        <v/>
      </c>
      <c r="DH904" s="14" t="str">
        <f t="shared" si="1276"/>
        <v/>
      </c>
      <c r="DI904" s="15"/>
      <c r="DJ904" s="1"/>
      <c r="DK904" s="19" t="str">
        <f t="shared" si="1358"/>
        <v/>
      </c>
      <c r="DL904" s="13"/>
      <c r="DM904" s="13" t="str">
        <f t="shared" si="1353"/>
        <v/>
      </c>
      <c r="DN904" s="13"/>
      <c r="DO904" s="13" t="str">
        <f t="shared" si="1354"/>
        <v/>
      </c>
      <c r="DP904" s="13"/>
      <c r="DQ904" s="13" t="str">
        <f t="shared" si="1277"/>
        <v/>
      </c>
      <c r="DR904" s="13"/>
      <c r="DS904" s="53"/>
      <c r="DT904" s="12" t="str">
        <f t="shared" si="1278"/>
        <v/>
      </c>
      <c r="DU904" s="13" t="str">
        <f t="shared" si="1279"/>
        <v/>
      </c>
      <c r="DV904" s="14" t="str">
        <f t="shared" si="1280"/>
        <v/>
      </c>
      <c r="DW904" s="15"/>
    </row>
    <row r="905" spans="1:127" x14ac:dyDescent="0.2">
      <c r="A905" s="33"/>
      <c r="B905" s="48"/>
      <c r="C905" s="34">
        <v>20729</v>
      </c>
      <c r="D905" s="53">
        <f t="shared" si="1320"/>
        <v>125</v>
      </c>
      <c r="E905" s="34">
        <v>1047</v>
      </c>
      <c r="F905" s="13">
        <f t="shared" si="1321"/>
        <v>5</v>
      </c>
      <c r="G905" s="34">
        <v>16</v>
      </c>
      <c r="H905" s="13">
        <f t="shared" si="1322"/>
        <v>5</v>
      </c>
      <c r="I905" s="49">
        <v>5</v>
      </c>
      <c r="J905" s="56" t="str">
        <f t="shared" si="1323"/>
        <v>グミッツェルプチ</v>
      </c>
      <c r="K905" s="13">
        <f t="shared" si="1324"/>
        <v>180</v>
      </c>
      <c r="L905" s="13">
        <f t="shared" si="1325"/>
        <v>900</v>
      </c>
      <c r="M905" s="14">
        <f t="shared" si="1326"/>
        <v>7.1999999999999995E-2</v>
      </c>
      <c r="N905" s="15"/>
      <c r="O905" s="2"/>
      <c r="P905" s="33"/>
      <c r="Q905" s="34">
        <v>19508</v>
      </c>
      <c r="R905" s="53">
        <f t="shared" ref="R905:R906" si="1359">IF(Q905="","",Q905-Q901)</f>
        <v>105</v>
      </c>
      <c r="S905" s="34">
        <v>2684</v>
      </c>
      <c r="T905" s="13">
        <f t="shared" si="1327"/>
        <v>14</v>
      </c>
      <c r="U905" s="34">
        <v>5</v>
      </c>
      <c r="V905" s="13">
        <f t="shared" si="1328"/>
        <v>21</v>
      </c>
      <c r="W905" s="49">
        <v>12</v>
      </c>
      <c r="X905" s="56" t="str">
        <f t="shared" si="1329"/>
        <v>グミッツェル</v>
      </c>
      <c r="Y905" s="13">
        <f t="shared" si="1330"/>
        <v>165</v>
      </c>
      <c r="Z905" s="13">
        <f t="shared" si="1331"/>
        <v>3465</v>
      </c>
      <c r="AA905" s="14">
        <f t="shared" si="1332"/>
        <v>0.33</v>
      </c>
      <c r="AB905" s="15"/>
      <c r="AC905" s="15"/>
      <c r="AD905" s="33"/>
      <c r="AE905" s="34">
        <v>4292</v>
      </c>
      <c r="AF905" s="53">
        <f t="shared" ref="AF905:AF906" si="1360">IF(AE905="","",AE905-AE901)</f>
        <v>124</v>
      </c>
      <c r="AG905" s="34">
        <v>141</v>
      </c>
      <c r="AH905" s="13">
        <f t="shared" si="1334"/>
        <v>6</v>
      </c>
      <c r="AI905" s="34">
        <v>4</v>
      </c>
      <c r="AJ905" s="13">
        <f t="shared" si="1335"/>
        <v>0</v>
      </c>
      <c r="AK905" s="49">
        <v>7</v>
      </c>
      <c r="AL905" s="56" t="str">
        <f t="shared" si="1336"/>
        <v>ピクミン引っこ抜き</v>
      </c>
      <c r="AM905" s="13">
        <f t="shared" si="1337"/>
        <v>650</v>
      </c>
      <c r="AN905" s="13">
        <f t="shared" si="1338"/>
        <v>0</v>
      </c>
      <c r="AO905" s="14">
        <f t="shared" si="1339"/>
        <v>0</v>
      </c>
      <c r="AP905" s="15"/>
      <c r="AQ905" s="15"/>
      <c r="AR905" s="33"/>
      <c r="AS905" s="34">
        <v>5015</v>
      </c>
      <c r="AT905" s="53">
        <f t="shared" ref="AT905:AT906" si="1361">IF(AS905="","",AS905-AS901)</f>
        <v>132</v>
      </c>
      <c r="AU905" s="34">
        <v>199</v>
      </c>
      <c r="AV905" s="13">
        <f t="shared" si="1341"/>
        <v>5</v>
      </c>
      <c r="AW905" s="34">
        <v>125</v>
      </c>
      <c r="AX905" s="13">
        <f t="shared" si="1342"/>
        <v>17</v>
      </c>
      <c r="AY905" s="49">
        <v>0</v>
      </c>
      <c r="AZ905" s="56" t="str">
        <f t="shared" si="1343"/>
        <v>スプランキーラバーキーホルダー</v>
      </c>
      <c r="BA905" s="13">
        <f t="shared" si="1344"/>
        <v>200</v>
      </c>
      <c r="BB905" s="13">
        <f t="shared" si="1345"/>
        <v>3400</v>
      </c>
      <c r="BC905" s="14">
        <f t="shared" si="1346"/>
        <v>0.25757575757575757</v>
      </c>
      <c r="BD905" s="15"/>
      <c r="BT905" s="15"/>
      <c r="BU905" s="19" t="e">
        <f>IF(#REF!="","",#REF!)</f>
        <v>#REF!</v>
      </c>
      <c r="BV905" s="13"/>
      <c r="BW905" s="13"/>
      <c r="BX905" s="13"/>
      <c r="BY905" s="13"/>
      <c r="BZ905" s="13"/>
      <c r="CA905" s="13"/>
      <c r="CB905" s="13"/>
      <c r="CC905" s="53"/>
      <c r="CD905" s="12"/>
      <c r="CE905" s="13"/>
      <c r="CF905" s="14" t="str">
        <f t="shared" si="1314"/>
        <v/>
      </c>
      <c r="CG905" s="15"/>
      <c r="CH905" s="1"/>
      <c r="CI905" s="19" t="e">
        <f>IF(#REF!="","",#REF!)</f>
        <v>#REF!</v>
      </c>
      <c r="CJ905" s="13"/>
      <c r="CK905" s="13"/>
      <c r="CL905" s="13"/>
      <c r="CM905" s="13"/>
      <c r="CN905" s="13"/>
      <c r="CO905" s="13"/>
      <c r="CP905" s="13"/>
      <c r="CQ905" s="53"/>
      <c r="CR905" s="12"/>
      <c r="CS905" s="13"/>
      <c r="CT905" s="14" t="str">
        <f t="shared" si="1282"/>
        <v/>
      </c>
      <c r="CU905" s="15"/>
      <c r="CV905" s="1"/>
      <c r="CW905" s="19" t="e">
        <f>IF(#REF!="","",#REF!)</f>
        <v>#REF!</v>
      </c>
      <c r="CX905" s="13"/>
      <c r="CY905" s="13"/>
      <c r="CZ905" s="13"/>
      <c r="DA905" s="13"/>
      <c r="DB905" s="13"/>
      <c r="DC905" s="13"/>
      <c r="DD905" s="13"/>
      <c r="DE905" s="53"/>
      <c r="DF905" s="12"/>
      <c r="DG905" s="13"/>
      <c r="DH905" s="14"/>
      <c r="DI905" s="15"/>
      <c r="DJ905" s="1"/>
      <c r="DK905" s="19" t="e">
        <f>IF(#REF!="","",#REF!)</f>
        <v>#REF!</v>
      </c>
      <c r="DL905" s="13"/>
      <c r="DM905" s="13"/>
      <c r="DN905" s="13"/>
      <c r="DO905" s="13"/>
      <c r="DP905" s="13"/>
      <c r="DQ905" s="13"/>
      <c r="DR905" s="13"/>
      <c r="DS905" s="53"/>
      <c r="DT905" s="12"/>
      <c r="DU905" s="13"/>
      <c r="DV905" s="14"/>
      <c r="DW905" s="15"/>
    </row>
    <row r="906" spans="1:127" ht="15" customHeight="1" thickBot="1" x14ac:dyDescent="0.25">
      <c r="A906" s="26"/>
      <c r="B906" s="46"/>
      <c r="C906" s="27">
        <v>26688</v>
      </c>
      <c r="D906" s="61">
        <f t="shared" si="1320"/>
        <v>116</v>
      </c>
      <c r="E906" s="27">
        <v>1301</v>
      </c>
      <c r="F906" s="27">
        <f t="shared" si="1321"/>
        <v>5</v>
      </c>
      <c r="G906" s="27">
        <v>46</v>
      </c>
      <c r="H906" s="27">
        <f t="shared" si="1322"/>
        <v>6</v>
      </c>
      <c r="I906" s="47">
        <v>10</v>
      </c>
      <c r="J906" s="57" t="str">
        <f t="shared" si="1323"/>
        <v>NICIマスコット</v>
      </c>
      <c r="K906" s="62">
        <f t="shared" si="1324"/>
        <v>682</v>
      </c>
      <c r="L906" s="27">
        <f t="shared" si="1325"/>
        <v>4092</v>
      </c>
      <c r="M906" s="28">
        <f t="shared" si="1326"/>
        <v>0.35275862068965519</v>
      </c>
      <c r="N906" s="15"/>
      <c r="O906" s="2"/>
      <c r="P906" s="26"/>
      <c r="Q906" s="27">
        <v>18495</v>
      </c>
      <c r="R906" s="61">
        <f t="shared" si="1359"/>
        <v>95</v>
      </c>
      <c r="S906" s="27">
        <v>1646</v>
      </c>
      <c r="T906" s="27">
        <f t="shared" si="1327"/>
        <v>10</v>
      </c>
      <c r="U906" s="27">
        <v>300</v>
      </c>
      <c r="V906" s="27">
        <f t="shared" si="1328"/>
        <v>10</v>
      </c>
      <c r="W906" s="47">
        <v>0</v>
      </c>
      <c r="X906" s="57" t="str">
        <f t="shared" si="1329"/>
        <v>サンリオブレスレット</v>
      </c>
      <c r="Y906" s="62">
        <f t="shared" si="1330"/>
        <v>120</v>
      </c>
      <c r="Z906" s="27">
        <f t="shared" si="1331"/>
        <v>1200</v>
      </c>
      <c r="AA906" s="28">
        <f t="shared" si="1332"/>
        <v>0.12631578947368421</v>
      </c>
      <c r="AB906" s="15"/>
      <c r="AC906" s="15"/>
      <c r="AD906" s="26"/>
      <c r="AE906" s="27">
        <v>4009</v>
      </c>
      <c r="AF906" s="61">
        <f t="shared" si="1360"/>
        <v>99</v>
      </c>
      <c r="AG906" s="27">
        <v>144</v>
      </c>
      <c r="AH906" s="27">
        <f t="shared" si="1334"/>
        <v>0</v>
      </c>
      <c r="AI906" s="27">
        <v>14</v>
      </c>
      <c r="AJ906" s="27">
        <f t="shared" si="1335"/>
        <v>0</v>
      </c>
      <c r="AK906" s="47">
        <v>0</v>
      </c>
      <c r="AL906" s="57" t="str">
        <f t="shared" si="1336"/>
        <v>ギャルキティキーケース</v>
      </c>
      <c r="AM906" s="62">
        <f t="shared" si="1337"/>
        <v>726</v>
      </c>
      <c r="AN906" s="27">
        <f t="shared" si="1338"/>
        <v>0</v>
      </c>
      <c r="AO906" s="28">
        <f t="shared" si="1339"/>
        <v>0</v>
      </c>
      <c r="AP906" s="15"/>
      <c r="AQ906" s="15"/>
      <c r="AR906" s="26"/>
      <c r="AS906" s="27">
        <v>4599</v>
      </c>
      <c r="AT906" s="61">
        <f t="shared" si="1361"/>
        <v>108</v>
      </c>
      <c r="AU906" s="27">
        <v>204</v>
      </c>
      <c r="AV906" s="27">
        <f t="shared" si="1341"/>
        <v>7</v>
      </c>
      <c r="AW906" s="27">
        <v>37</v>
      </c>
      <c r="AX906" s="27">
        <f t="shared" si="1342"/>
        <v>13</v>
      </c>
      <c r="AY906" s="47">
        <v>10</v>
      </c>
      <c r="AZ906" s="57" t="str">
        <f t="shared" si="1343"/>
        <v>スプランキーマスコット</v>
      </c>
      <c r="BA906" s="62">
        <f t="shared" si="1344"/>
        <v>180</v>
      </c>
      <c r="BB906" s="27">
        <f t="shared" si="1345"/>
        <v>2340</v>
      </c>
      <c r="BC906" s="28">
        <f t="shared" si="1346"/>
        <v>0.21666666666666667</v>
      </c>
      <c r="BD906" s="15"/>
      <c r="BT906" s="15"/>
      <c r="BU906" s="19" t="e">
        <f>IF(#REF!="","",#REF!)</f>
        <v>#REF!</v>
      </c>
      <c r="BV906" s="13"/>
      <c r="BW906" s="13" t="str">
        <f>IF(BV906="","",BV906-BV907)</f>
        <v/>
      </c>
      <c r="BX906" s="13"/>
      <c r="BY906" s="13" t="str">
        <f>IF(BX906="","",BX906-BX907)</f>
        <v/>
      </c>
      <c r="BZ906" s="13"/>
      <c r="CA906" s="13" t="str">
        <f>IF(BZ906="","",BZ907+CB907-BZ906)</f>
        <v/>
      </c>
      <c r="CB906" s="13"/>
      <c r="CC906" s="53"/>
      <c r="CD906" s="12" t="str">
        <f>IF(BV906="","",CD907)</f>
        <v/>
      </c>
      <c r="CE906" s="13" t="str">
        <f t="shared" ref="CE906:CE938" si="1362">IF(CD906="","",CA906*CD906)</f>
        <v/>
      </c>
      <c r="CF906" s="14" t="str">
        <f t="shared" ref="CF906:CF938" si="1363">IF(CE906="","",CE906/(BW906*100))</f>
        <v/>
      </c>
      <c r="CG906" s="15"/>
      <c r="CH906" s="1"/>
      <c r="CI906" s="19" t="e">
        <f>IF(#REF!="","",#REF!)</f>
        <v>#REF!</v>
      </c>
      <c r="CJ906" s="13"/>
      <c r="CK906" s="13" t="str">
        <f>IF(CJ906="","",CJ906-CJ907)</f>
        <v/>
      </c>
      <c r="CL906" s="13"/>
      <c r="CM906" s="13" t="str">
        <f>IF(CL906="","",CL906-CL907)</f>
        <v/>
      </c>
      <c r="CN906" s="13"/>
      <c r="CO906" s="13" t="str">
        <f>IF(CN906="","",CN907+CP907-CN906)</f>
        <v/>
      </c>
      <c r="CP906" s="13"/>
      <c r="CQ906" s="53"/>
      <c r="CR906" s="12" t="str">
        <f>IF(CJ906="","",CR907)</f>
        <v/>
      </c>
      <c r="CS906" s="13" t="str">
        <f t="shared" ref="CS906:CS938" si="1364">IF(CR906="","",CO906*CR906)</f>
        <v/>
      </c>
      <c r="CT906" s="14" t="str">
        <f t="shared" si="1282"/>
        <v/>
      </c>
      <c r="CU906" s="15"/>
      <c r="CV906" s="1"/>
      <c r="CW906" s="19" t="e">
        <f>IF(#REF!="","",#REF!)</f>
        <v>#REF!</v>
      </c>
      <c r="CX906" s="13"/>
      <c r="CY906" s="13" t="str">
        <f>IF(CX906="","",CX906-CX907)</f>
        <v/>
      </c>
      <c r="CZ906" s="13"/>
      <c r="DA906" s="13" t="str">
        <f>IF(CZ906="","",CZ906-CZ907)</f>
        <v/>
      </c>
      <c r="DB906" s="13"/>
      <c r="DC906" s="13" t="str">
        <f>IF(DB906="","",DB907+DD907-DB906)</f>
        <v/>
      </c>
      <c r="DD906" s="13"/>
      <c r="DE906" s="53"/>
      <c r="DF906" s="12" t="str">
        <f>IF(CX906="","",DF907)</f>
        <v/>
      </c>
      <c r="DG906" s="13" t="str">
        <f t="shared" ref="DG906:DG938" si="1365">IF(DF906="","",DC906*DF906)</f>
        <v/>
      </c>
      <c r="DH906" s="14" t="str">
        <f t="shared" ref="DH906:DH938" si="1366">IF(DG906="","",DG906/(CY906*100))</f>
        <v/>
      </c>
      <c r="DI906" s="15"/>
      <c r="DJ906" s="1"/>
      <c r="DK906" s="19" t="e">
        <f>IF(#REF!="","",#REF!)</f>
        <v>#REF!</v>
      </c>
      <c r="DL906" s="13"/>
      <c r="DM906" s="13" t="str">
        <f>IF(DL906="","",DL906-DL907)</f>
        <v/>
      </c>
      <c r="DN906" s="13"/>
      <c r="DO906" s="13" t="str">
        <f>IF(DN906="","",DN906-DN907)</f>
        <v/>
      </c>
      <c r="DP906" s="13"/>
      <c r="DQ906" s="13" t="str">
        <f>IF(DP906="","",DP907+DR907-DP906)</f>
        <v/>
      </c>
      <c r="DR906" s="13"/>
      <c r="DS906" s="53"/>
      <c r="DT906" s="12" t="str">
        <f>IF(DL906="","",DT907)</f>
        <v/>
      </c>
      <c r="DU906" s="13" t="str">
        <f t="shared" ref="DU906:DU938" si="1367">IF(DT906="","",DQ906*DT906)</f>
        <v/>
      </c>
      <c r="DV906" s="14" t="str">
        <f t="shared" ref="DV906:DV938" si="1368">IF(DU906="","",DU906/(DM906*100))</f>
        <v/>
      </c>
      <c r="DW906" s="15"/>
    </row>
    <row r="907" spans="1:127" ht="15" customHeight="1" thickTop="1" x14ac:dyDescent="0.2">
      <c r="A907" s="79">
        <v>45807</v>
      </c>
      <c r="B907" s="74">
        <f>IF(A907="","",SUM(D907:D910)+SUM(R907:R910)+SUM(AF907:AF910)+SUM(AT907:AT910)+SUM(BW895,CK895,CY895,DM895))</f>
        <v>1550</v>
      </c>
      <c r="C907" s="53">
        <v>20755</v>
      </c>
      <c r="D907" s="53">
        <f>IF(C907="","",C907-C903)</f>
        <v>60</v>
      </c>
      <c r="E907" s="53">
        <v>1111</v>
      </c>
      <c r="F907" s="31">
        <f t="shared" si="1321"/>
        <v>0</v>
      </c>
      <c r="G907" s="53">
        <v>10</v>
      </c>
      <c r="H907" s="53">
        <f t="shared" si="1322"/>
        <v>1</v>
      </c>
      <c r="I907" s="80">
        <v>0</v>
      </c>
      <c r="J907" s="75" t="str">
        <f t="shared" si="1323"/>
        <v>ジャグラーサウンドボタン</v>
      </c>
      <c r="K907" s="76">
        <f t="shared" si="1324"/>
        <v>748</v>
      </c>
      <c r="L907" s="31">
        <f t="shared" ref="L907:L922" si="1369">IF(G907="","",H907*K907)</f>
        <v>748</v>
      </c>
      <c r="M907" s="32">
        <f t="shared" ref="M907:M922" si="1370">IF(H907="","",L907/(D907*100))</f>
        <v>0.12466666666666666</v>
      </c>
      <c r="N907" s="15"/>
      <c r="O907" s="2"/>
      <c r="P907" s="79">
        <f>IF($A907="","",$A907)</f>
        <v>45807</v>
      </c>
      <c r="Q907" s="53">
        <v>20787</v>
      </c>
      <c r="R907" s="53">
        <f>IF(Q907="","",Q907-Q903)</f>
        <v>66</v>
      </c>
      <c r="S907" s="53">
        <v>1170</v>
      </c>
      <c r="T907" s="31">
        <f t="shared" si="1327"/>
        <v>1</v>
      </c>
      <c r="U907" s="53">
        <v>8</v>
      </c>
      <c r="V907" s="53">
        <f t="shared" si="1328"/>
        <v>1</v>
      </c>
      <c r="W907" s="80">
        <v>0</v>
      </c>
      <c r="X907" s="75" t="s">
        <v>125</v>
      </c>
      <c r="Y907" s="76">
        <f t="shared" si="1330"/>
        <v>1100</v>
      </c>
      <c r="Z907" s="31">
        <f t="shared" si="1331"/>
        <v>1100</v>
      </c>
      <c r="AA907" s="32">
        <f t="shared" si="1332"/>
        <v>0.16666666666666666</v>
      </c>
      <c r="AB907" s="15" t="s">
        <v>126</v>
      </c>
      <c r="AC907" s="15"/>
      <c r="AD907" s="79">
        <f>IF($A907="","",$A907)</f>
        <v>45807</v>
      </c>
      <c r="AE907" s="53">
        <v>4863</v>
      </c>
      <c r="AF907" s="53">
        <f>IF(AE907="","",AE907-AE903)</f>
        <v>33</v>
      </c>
      <c r="AG907" s="53">
        <v>101</v>
      </c>
      <c r="AH907" s="31">
        <f t="shared" si="1334"/>
        <v>0</v>
      </c>
      <c r="AI907" s="53">
        <v>36</v>
      </c>
      <c r="AJ907" s="53">
        <f t="shared" si="1335"/>
        <v>0</v>
      </c>
      <c r="AK907" s="80">
        <v>0</v>
      </c>
      <c r="AL907" s="75" t="str">
        <f t="shared" si="1336"/>
        <v>ミニ香水</v>
      </c>
      <c r="AM907" s="76">
        <f t="shared" si="1337"/>
        <v>1100</v>
      </c>
      <c r="AN907" s="31">
        <f t="shared" si="1338"/>
        <v>0</v>
      </c>
      <c r="AO907" s="32">
        <f t="shared" si="1339"/>
        <v>0</v>
      </c>
      <c r="AP907" s="15"/>
      <c r="AQ907" s="15"/>
      <c r="AR907" s="79">
        <f>IF($A907="","",$A907)</f>
        <v>45807</v>
      </c>
      <c r="AS907" s="53">
        <v>4973</v>
      </c>
      <c r="AT907" s="53">
        <f>IF(AS907="","",AS907-AS903)</f>
        <v>68</v>
      </c>
      <c r="AU907" s="53">
        <v>163</v>
      </c>
      <c r="AV907" s="31">
        <f t="shared" si="1341"/>
        <v>8</v>
      </c>
      <c r="AW907" s="53">
        <v>31</v>
      </c>
      <c r="AX907" s="53">
        <f t="shared" si="1342"/>
        <v>8</v>
      </c>
      <c r="AY907" s="80">
        <v>0</v>
      </c>
      <c r="AZ907" s="75" t="str">
        <f t="shared" si="1343"/>
        <v>ロムアンド</v>
      </c>
      <c r="BA907" s="76">
        <f t="shared" si="1344"/>
        <v>1001</v>
      </c>
      <c r="BB907" s="31">
        <f t="shared" si="1345"/>
        <v>8008</v>
      </c>
      <c r="BC907" s="32">
        <f t="shared" si="1346"/>
        <v>1.1776470588235295</v>
      </c>
      <c r="BD907" s="15"/>
      <c r="BT907" s="15"/>
      <c r="BU907" s="19" t="e">
        <f>IF(#REF!="","",#REF!)</f>
        <v>#REF!</v>
      </c>
      <c r="BV907" s="13"/>
      <c r="BW907" s="13" t="str">
        <f>IF(BV907="","",BV907-BV904)</f>
        <v/>
      </c>
      <c r="BX907" s="13"/>
      <c r="BY907" s="13" t="str">
        <f>IF(BX907="","",BX907-BX904)</f>
        <v/>
      </c>
      <c r="BZ907" s="13"/>
      <c r="CA907" s="13" t="str">
        <f>IF(BZ907="","",BZ904+CB904-BZ907)</f>
        <v/>
      </c>
      <c r="CB907" s="13"/>
      <c r="CC907" s="53"/>
      <c r="CD907" s="12" t="str">
        <f>IF(BV907="","",CD904)</f>
        <v/>
      </c>
      <c r="CE907" s="13" t="str">
        <f t="shared" si="1362"/>
        <v/>
      </c>
      <c r="CF907" s="14" t="str">
        <f t="shared" si="1363"/>
        <v/>
      </c>
      <c r="CG907" s="15"/>
      <c r="CH907" s="1"/>
      <c r="CI907" s="19" t="e">
        <f>IF(#REF!="","",#REF!)</f>
        <v>#REF!</v>
      </c>
      <c r="CJ907" s="13"/>
      <c r="CK907" s="13" t="str">
        <f>IF(CJ907="","",CJ907-CJ904)</f>
        <v/>
      </c>
      <c r="CL907" s="13"/>
      <c r="CM907" s="13" t="str">
        <f>IF(CL907="","",CL907-CL904)</f>
        <v/>
      </c>
      <c r="CN907" s="13"/>
      <c r="CO907" s="13" t="str">
        <f>IF(CN907="","",CN904+CP904-CN907)</f>
        <v/>
      </c>
      <c r="CP907" s="13"/>
      <c r="CQ907" s="53"/>
      <c r="CR907" s="12" t="str">
        <f>IF(CJ907="","",CR904)</f>
        <v/>
      </c>
      <c r="CS907" s="13" t="str">
        <f t="shared" si="1364"/>
        <v/>
      </c>
      <c r="CT907" s="14" t="str">
        <f t="shared" si="1282"/>
        <v/>
      </c>
      <c r="CU907" s="15"/>
      <c r="CV907" s="1"/>
      <c r="CW907" s="19" t="e">
        <f>IF(#REF!="","",#REF!)</f>
        <v>#REF!</v>
      </c>
      <c r="CX907" s="13"/>
      <c r="CY907" s="13" t="str">
        <f>IF(CX907="","",CX907-CX904)</f>
        <v/>
      </c>
      <c r="CZ907" s="13"/>
      <c r="DA907" s="13" t="str">
        <f>IF(CZ907="","",CZ907-CZ904)</f>
        <v/>
      </c>
      <c r="DB907" s="13"/>
      <c r="DC907" s="13" t="str">
        <f>IF(DB907="","",DB904+DD904-DB907)</f>
        <v/>
      </c>
      <c r="DD907" s="13"/>
      <c r="DE907" s="53"/>
      <c r="DF907" s="12" t="str">
        <f>IF(CX907="","",DF904)</f>
        <v/>
      </c>
      <c r="DG907" s="13" t="str">
        <f t="shared" si="1365"/>
        <v/>
      </c>
      <c r="DH907" s="14" t="str">
        <f t="shared" si="1366"/>
        <v/>
      </c>
      <c r="DI907" s="15"/>
      <c r="DJ907" s="1"/>
      <c r="DK907" s="19" t="e">
        <f>IF(#REF!="","",#REF!)</f>
        <v>#REF!</v>
      </c>
      <c r="DL907" s="13"/>
      <c r="DM907" s="13" t="str">
        <f>IF(DL907="","",DL907-DL904)</f>
        <v/>
      </c>
      <c r="DN907" s="13"/>
      <c r="DO907" s="13" t="str">
        <f>IF(DN907="","",DN907-DN904)</f>
        <v/>
      </c>
      <c r="DP907" s="13"/>
      <c r="DQ907" s="13" t="str">
        <f>IF(DP907="","",DP904+DR904-DP907)</f>
        <v/>
      </c>
      <c r="DR907" s="13"/>
      <c r="DS907" s="53"/>
      <c r="DT907" s="12" t="str">
        <f>IF(DL907="","",DT904)</f>
        <v/>
      </c>
      <c r="DU907" s="13" t="str">
        <f t="shared" si="1367"/>
        <v/>
      </c>
      <c r="DV907" s="14" t="str">
        <f t="shared" si="1368"/>
        <v/>
      </c>
      <c r="DW907" s="15"/>
    </row>
    <row r="908" spans="1:127" x14ac:dyDescent="0.2">
      <c r="A908" s="119"/>
      <c r="B908" s="11"/>
      <c r="C908" s="13">
        <v>24846</v>
      </c>
      <c r="D908" s="13">
        <f t="shared" si="1320"/>
        <v>68</v>
      </c>
      <c r="E908" s="13">
        <v>1297</v>
      </c>
      <c r="F908" s="13">
        <f t="shared" si="1321"/>
        <v>2</v>
      </c>
      <c r="G908" s="13">
        <v>13</v>
      </c>
      <c r="H908" s="13">
        <f t="shared" si="1322"/>
        <v>2</v>
      </c>
      <c r="I908" s="17">
        <v>0</v>
      </c>
      <c r="J908" s="56" t="str">
        <f t="shared" si="1323"/>
        <v>ジャグラーイヤホン</v>
      </c>
      <c r="K908" s="54">
        <f t="shared" si="1324"/>
        <v>1100</v>
      </c>
      <c r="L908" s="13">
        <f t="shared" si="1369"/>
        <v>2200</v>
      </c>
      <c r="M908" s="14">
        <f t="shared" si="1370"/>
        <v>0.3235294117647059</v>
      </c>
      <c r="N908" s="15"/>
      <c r="O908" s="2"/>
      <c r="P908" s="79"/>
      <c r="Q908" s="13">
        <v>25332</v>
      </c>
      <c r="R908" s="13">
        <f t="shared" ref="R908:R926" si="1371">IF(Q908="","",Q908-Q904)</f>
        <v>0</v>
      </c>
      <c r="S908" s="13">
        <v>1464</v>
      </c>
      <c r="T908" s="13">
        <f t="shared" si="1327"/>
        <v>0</v>
      </c>
      <c r="U908" s="13">
        <v>0</v>
      </c>
      <c r="V908" s="13">
        <f t="shared" si="1328"/>
        <v>0</v>
      </c>
      <c r="W908" s="17">
        <v>8</v>
      </c>
      <c r="X908" s="56" t="str">
        <f t="shared" si="1329"/>
        <v>サンリオFAN</v>
      </c>
      <c r="Y908" s="54">
        <f t="shared" si="1330"/>
        <v>1100</v>
      </c>
      <c r="Z908" s="13">
        <f t="shared" si="1331"/>
        <v>0</v>
      </c>
      <c r="AA908" s="14" t="e">
        <f t="shared" si="1332"/>
        <v>#DIV/0!</v>
      </c>
      <c r="AB908" s="15"/>
      <c r="AC908" s="15"/>
      <c r="AD908" s="79"/>
      <c r="AE908" s="13">
        <v>3933</v>
      </c>
      <c r="AF908" s="13">
        <f t="shared" ref="AF908:AF926" si="1372">IF(AE908="","",AE908-AE904)</f>
        <v>69</v>
      </c>
      <c r="AG908" s="13">
        <v>95</v>
      </c>
      <c r="AH908" s="13">
        <f t="shared" si="1334"/>
        <v>2</v>
      </c>
      <c r="AI908" s="13">
        <v>9</v>
      </c>
      <c r="AJ908" s="13">
        <f t="shared" si="1335"/>
        <v>2</v>
      </c>
      <c r="AK908" s="17">
        <v>0</v>
      </c>
      <c r="AL908" s="56" t="str">
        <f t="shared" si="1336"/>
        <v>デジタルミニカメラ</v>
      </c>
      <c r="AM908" s="54">
        <f t="shared" si="1337"/>
        <v>800</v>
      </c>
      <c r="AN908" s="13">
        <f t="shared" si="1338"/>
        <v>1600</v>
      </c>
      <c r="AO908" s="14">
        <f t="shared" si="1339"/>
        <v>0.2318840579710145</v>
      </c>
      <c r="AP908" s="15"/>
      <c r="AQ908" s="15"/>
      <c r="AR908" s="79"/>
      <c r="AS908" s="13">
        <v>3215</v>
      </c>
      <c r="AT908" s="13">
        <f t="shared" ref="AT908:AT926" si="1373">IF(AS908="","",AS908-AS904)</f>
        <v>55</v>
      </c>
      <c r="AU908" s="13">
        <v>166</v>
      </c>
      <c r="AV908" s="13">
        <f t="shared" si="1341"/>
        <v>4</v>
      </c>
      <c r="AW908" s="13">
        <v>47</v>
      </c>
      <c r="AX908" s="13">
        <f t="shared" si="1342"/>
        <v>5</v>
      </c>
      <c r="AY908" s="17">
        <v>0</v>
      </c>
      <c r="AZ908" s="56" t="str">
        <f t="shared" si="1343"/>
        <v>サンリオシューズキーホルダー</v>
      </c>
      <c r="BA908" s="54">
        <f t="shared" si="1344"/>
        <v>400</v>
      </c>
      <c r="BB908" s="13">
        <f t="shared" si="1345"/>
        <v>2000</v>
      </c>
      <c r="BC908" s="14">
        <f t="shared" si="1346"/>
        <v>0.36363636363636365</v>
      </c>
      <c r="BD908" s="15"/>
      <c r="BT908" s="15"/>
      <c r="BU908" s="19" t="e">
        <f>IF(#REF!="","",#REF!)</f>
        <v>#REF!</v>
      </c>
      <c r="BV908" s="13"/>
      <c r="BW908" s="13" t="str">
        <f>IF(BV908="","",BV908-BV906)</f>
        <v/>
      </c>
      <c r="BX908" s="13"/>
      <c r="BY908" s="13" t="str">
        <f>IF(BX908="","",BX908-BX906)</f>
        <v/>
      </c>
      <c r="BZ908" s="13"/>
      <c r="CA908" s="13" t="str">
        <f>IF(BZ908="","",BZ906+CB906-BZ908)</f>
        <v/>
      </c>
      <c r="CB908" s="13"/>
      <c r="CC908" s="53"/>
      <c r="CD908" s="12" t="str">
        <f>IF(BV908="","",CD906)</f>
        <v/>
      </c>
      <c r="CE908" s="13" t="str">
        <f t="shared" si="1362"/>
        <v/>
      </c>
      <c r="CF908" s="14" t="str">
        <f t="shared" si="1363"/>
        <v/>
      </c>
      <c r="CG908" s="15"/>
      <c r="CH908" s="1"/>
      <c r="CI908" s="19" t="e">
        <f>IF(#REF!="","",#REF!)</f>
        <v>#REF!</v>
      </c>
      <c r="CJ908" s="13"/>
      <c r="CK908" s="13" t="str">
        <f>IF(CJ908="","",CJ908-CJ906)</f>
        <v/>
      </c>
      <c r="CL908" s="13"/>
      <c r="CM908" s="13" t="str">
        <f>IF(CL908="","",CL908-CL906)</f>
        <v/>
      </c>
      <c r="CN908" s="13"/>
      <c r="CO908" s="13" t="str">
        <f>IF(CN908="","",CN906+CP906-CN908)</f>
        <v/>
      </c>
      <c r="CP908" s="13"/>
      <c r="CQ908" s="53"/>
      <c r="CR908" s="12" t="str">
        <f>IF(CJ908="","",CR906)</f>
        <v/>
      </c>
      <c r="CS908" s="13" t="str">
        <f t="shared" si="1364"/>
        <v/>
      </c>
      <c r="CT908" s="14" t="str">
        <f t="shared" si="1282"/>
        <v/>
      </c>
      <c r="CU908" s="15"/>
      <c r="CV908" s="1"/>
      <c r="CW908" s="19" t="e">
        <f>IF(#REF!="","",#REF!)</f>
        <v>#REF!</v>
      </c>
      <c r="CX908" s="13"/>
      <c r="CY908" s="13" t="str">
        <f>IF(CX908="","",CX908-CX906)</f>
        <v/>
      </c>
      <c r="CZ908" s="13"/>
      <c r="DA908" s="13" t="str">
        <f>IF(CZ908="","",CZ908-CZ906)</f>
        <v/>
      </c>
      <c r="DB908" s="13"/>
      <c r="DC908" s="13" t="str">
        <f>IF(DB908="","",DB906+DD906-DB908)</f>
        <v/>
      </c>
      <c r="DD908" s="13"/>
      <c r="DE908" s="53"/>
      <c r="DF908" s="12" t="str">
        <f>IF(CX908="","",DF906)</f>
        <v/>
      </c>
      <c r="DG908" s="13" t="str">
        <f t="shared" si="1365"/>
        <v/>
      </c>
      <c r="DH908" s="14" t="str">
        <f t="shared" si="1366"/>
        <v/>
      </c>
      <c r="DI908" s="15"/>
      <c r="DJ908" s="1"/>
      <c r="DK908" s="19" t="e">
        <f>IF(#REF!="","",#REF!)</f>
        <v>#REF!</v>
      </c>
      <c r="DL908" s="13"/>
      <c r="DM908" s="13" t="str">
        <f>IF(DL908="","",DL908-DL906)</f>
        <v/>
      </c>
      <c r="DN908" s="13"/>
      <c r="DO908" s="13" t="str">
        <f>IF(DN908="","",DN908-DN906)</f>
        <v/>
      </c>
      <c r="DP908" s="13"/>
      <c r="DQ908" s="13" t="str">
        <f>IF(DP908="","",DP906+DR906-DP908)</f>
        <v/>
      </c>
      <c r="DR908" s="13"/>
      <c r="DS908" s="53"/>
      <c r="DT908" s="12" t="str">
        <f>IF(DL908="","",DT906)</f>
        <v/>
      </c>
      <c r="DU908" s="13" t="str">
        <f t="shared" si="1367"/>
        <v/>
      </c>
      <c r="DV908" s="14" t="str">
        <f t="shared" si="1368"/>
        <v/>
      </c>
      <c r="DW908" s="15"/>
    </row>
    <row r="909" spans="1:127" ht="15" customHeight="1" x14ac:dyDescent="0.2">
      <c r="A909" s="79"/>
      <c r="B909" s="11"/>
      <c r="C909" s="34">
        <v>20795</v>
      </c>
      <c r="D909" s="13">
        <f t="shared" si="1320"/>
        <v>66</v>
      </c>
      <c r="E909" s="34">
        <v>1051</v>
      </c>
      <c r="F909" s="13">
        <f t="shared" si="1321"/>
        <v>4</v>
      </c>
      <c r="G909" s="34">
        <v>18</v>
      </c>
      <c r="H909" s="13">
        <f t="shared" si="1322"/>
        <v>3</v>
      </c>
      <c r="I909" s="49">
        <v>0</v>
      </c>
      <c r="J909" s="56" t="str">
        <f t="shared" si="1323"/>
        <v>グミッツェルプチ</v>
      </c>
      <c r="K909" s="13">
        <f t="shared" si="1324"/>
        <v>180</v>
      </c>
      <c r="L909" s="13">
        <f t="shared" si="1369"/>
        <v>540</v>
      </c>
      <c r="M909" s="14">
        <f t="shared" si="1370"/>
        <v>8.1818181818181818E-2</v>
      </c>
      <c r="N909" s="15"/>
      <c r="O909" s="2"/>
      <c r="P909" s="79"/>
      <c r="Q909" s="34">
        <v>19535</v>
      </c>
      <c r="R909" s="13">
        <f t="shared" si="1371"/>
        <v>27</v>
      </c>
      <c r="S909" s="34">
        <v>2685</v>
      </c>
      <c r="T909" s="13">
        <f t="shared" si="1327"/>
        <v>1</v>
      </c>
      <c r="U909" s="34">
        <v>16</v>
      </c>
      <c r="V909" s="13">
        <f t="shared" si="1328"/>
        <v>1</v>
      </c>
      <c r="W909" s="49">
        <v>0</v>
      </c>
      <c r="X909" s="56" t="str">
        <f t="shared" si="1329"/>
        <v>グミッツェル</v>
      </c>
      <c r="Y909" s="13">
        <f t="shared" si="1330"/>
        <v>165</v>
      </c>
      <c r="Z909" s="13">
        <f t="shared" si="1331"/>
        <v>165</v>
      </c>
      <c r="AA909" s="14">
        <f t="shared" si="1332"/>
        <v>6.1111111111111109E-2</v>
      </c>
      <c r="AB909" s="15"/>
      <c r="AC909" s="15"/>
      <c r="AD909" s="79"/>
      <c r="AE909" s="34">
        <v>4331</v>
      </c>
      <c r="AF909" s="13">
        <f t="shared" si="1372"/>
        <v>39</v>
      </c>
      <c r="AG909" s="34">
        <v>142</v>
      </c>
      <c r="AH909" s="13">
        <f t="shared" si="1334"/>
        <v>1</v>
      </c>
      <c r="AI909" s="34">
        <v>11</v>
      </c>
      <c r="AJ909" s="13">
        <f t="shared" si="1335"/>
        <v>0</v>
      </c>
      <c r="AK909" s="49">
        <v>0</v>
      </c>
      <c r="AL909" s="56" t="str">
        <f t="shared" si="1336"/>
        <v>ピクミン引っこ抜き</v>
      </c>
      <c r="AM909" s="13">
        <f t="shared" si="1337"/>
        <v>650</v>
      </c>
      <c r="AN909" s="13">
        <f t="shared" si="1338"/>
        <v>0</v>
      </c>
      <c r="AO909" s="14">
        <f t="shared" si="1339"/>
        <v>0</v>
      </c>
      <c r="AP909" s="15"/>
      <c r="AQ909" s="15"/>
      <c r="AR909" s="79"/>
      <c r="AS909" s="34">
        <v>5076</v>
      </c>
      <c r="AT909" s="13">
        <f t="shared" si="1373"/>
        <v>61</v>
      </c>
      <c r="AU909" s="34">
        <v>202</v>
      </c>
      <c r="AV909" s="13">
        <f t="shared" si="1341"/>
        <v>3</v>
      </c>
      <c r="AW909" s="34">
        <v>115</v>
      </c>
      <c r="AX909" s="13">
        <f t="shared" si="1342"/>
        <v>10</v>
      </c>
      <c r="AY909" s="49">
        <v>0</v>
      </c>
      <c r="AZ909" s="56" t="str">
        <f t="shared" si="1343"/>
        <v>スプランキーラバーキーホルダー</v>
      </c>
      <c r="BA909" s="13">
        <f t="shared" si="1344"/>
        <v>200</v>
      </c>
      <c r="BB909" s="13">
        <f t="shared" si="1345"/>
        <v>2000</v>
      </c>
      <c r="BC909" s="14">
        <f t="shared" si="1346"/>
        <v>0.32786885245901637</v>
      </c>
      <c r="BD909" s="15"/>
      <c r="BT909" s="15"/>
      <c r="BU909" s="19" t="e">
        <f>IF(#REF!="","",#REF!)</f>
        <v>#REF!</v>
      </c>
      <c r="BV909" s="13"/>
      <c r="BW909" s="13" t="str">
        <f>IF(BV909="","",BV909-#REF!)</f>
        <v/>
      </c>
      <c r="BX909" s="13"/>
      <c r="BY909" s="13" t="str">
        <f>IF(BX909="","",BX909-#REF!)</f>
        <v/>
      </c>
      <c r="BZ909" s="13"/>
      <c r="CA909" s="13" t="str">
        <f>IF(BZ909="","",#REF!+#REF!-BZ909)</f>
        <v/>
      </c>
      <c r="CB909" s="13"/>
      <c r="CC909" s="53"/>
      <c r="CD909" s="12" t="str">
        <f>IF(BV909="","",#REF!)</f>
        <v/>
      </c>
      <c r="CE909" s="13" t="str">
        <f t="shared" si="1362"/>
        <v/>
      </c>
      <c r="CF909" s="14" t="str">
        <f t="shared" si="1363"/>
        <v/>
      </c>
      <c r="CG909" s="15"/>
      <c r="CH909" s="1"/>
      <c r="CI909" s="19" t="e">
        <f>IF(#REF!="","",#REF!)</f>
        <v>#REF!</v>
      </c>
      <c r="CJ909" s="13"/>
      <c r="CK909" s="13" t="str">
        <f>IF(CJ909="","",CJ909-#REF!)</f>
        <v/>
      </c>
      <c r="CL909" s="13"/>
      <c r="CM909" s="13" t="str">
        <f>IF(CL909="","",CL909-#REF!)</f>
        <v/>
      </c>
      <c r="CN909" s="13"/>
      <c r="CO909" s="13" t="str">
        <f>IF(CN909="","",#REF!+#REF!-CN909)</f>
        <v/>
      </c>
      <c r="CP909" s="13"/>
      <c r="CQ909" s="53"/>
      <c r="CR909" s="12" t="str">
        <f>IF(CJ909="","",#REF!)</f>
        <v/>
      </c>
      <c r="CS909" s="13" t="str">
        <f t="shared" si="1364"/>
        <v/>
      </c>
      <c r="CT909" s="14" t="str">
        <f t="shared" si="1282"/>
        <v/>
      </c>
      <c r="CU909" s="15"/>
      <c r="CV909" s="1"/>
      <c r="CW909" s="19" t="e">
        <f>IF(#REF!="","",#REF!)</f>
        <v>#REF!</v>
      </c>
      <c r="CX909" s="13"/>
      <c r="CY909" s="13" t="str">
        <f>IF(CX909="","",CX909-#REF!)</f>
        <v/>
      </c>
      <c r="CZ909" s="13"/>
      <c r="DA909" s="13" t="str">
        <f>IF(CZ909="","",CZ909-#REF!)</f>
        <v/>
      </c>
      <c r="DB909" s="13"/>
      <c r="DC909" s="13" t="str">
        <f>IF(DB909="","",#REF!+#REF!-DB909)</f>
        <v/>
      </c>
      <c r="DD909" s="13"/>
      <c r="DE909" s="53"/>
      <c r="DF909" s="12" t="str">
        <f>IF(CX909="","",#REF!)</f>
        <v/>
      </c>
      <c r="DG909" s="13" t="str">
        <f t="shared" si="1365"/>
        <v/>
      </c>
      <c r="DH909" s="14" t="str">
        <f t="shared" si="1366"/>
        <v/>
      </c>
      <c r="DI909" s="15"/>
      <c r="DJ909" s="1"/>
      <c r="DK909" s="19" t="e">
        <f>IF(#REF!="","",#REF!)</f>
        <v>#REF!</v>
      </c>
      <c r="DL909" s="13"/>
      <c r="DM909" s="13" t="str">
        <f>IF(DL909="","",DL909-#REF!)</f>
        <v/>
      </c>
      <c r="DN909" s="13"/>
      <c r="DO909" s="13" t="str">
        <f>IF(DN909="","",DN909-#REF!)</f>
        <v/>
      </c>
      <c r="DP909" s="13"/>
      <c r="DQ909" s="13" t="str">
        <f>IF(DP909="","",#REF!+#REF!-DP909)</f>
        <v/>
      </c>
      <c r="DR909" s="13"/>
      <c r="DS909" s="53"/>
      <c r="DT909" s="12" t="str">
        <f>IF(DL909="","",#REF!)</f>
        <v/>
      </c>
      <c r="DU909" s="13" t="str">
        <f t="shared" si="1367"/>
        <v/>
      </c>
      <c r="DV909" s="14" t="str">
        <f t="shared" si="1368"/>
        <v/>
      </c>
      <c r="DW909" s="15"/>
    </row>
    <row r="910" spans="1:127" ht="15" customHeight="1" thickBot="1" x14ac:dyDescent="0.25">
      <c r="A910" s="26"/>
      <c r="B910" s="46"/>
      <c r="C910" s="27">
        <v>26776</v>
      </c>
      <c r="D910" s="27">
        <f t="shared" si="1320"/>
        <v>88</v>
      </c>
      <c r="E910" s="27">
        <v>1304</v>
      </c>
      <c r="F910" s="27">
        <f t="shared" si="1321"/>
        <v>3</v>
      </c>
      <c r="G910" s="27">
        <v>52</v>
      </c>
      <c r="H910" s="27">
        <f t="shared" si="1322"/>
        <v>4</v>
      </c>
      <c r="I910" s="47">
        <v>0</v>
      </c>
      <c r="J910" s="57" t="str">
        <f t="shared" si="1323"/>
        <v>NICIマスコット</v>
      </c>
      <c r="K910" s="62">
        <f t="shared" si="1324"/>
        <v>682</v>
      </c>
      <c r="L910" s="27">
        <f t="shared" si="1369"/>
        <v>2728</v>
      </c>
      <c r="M910" s="28">
        <f t="shared" si="1370"/>
        <v>0.31</v>
      </c>
      <c r="N910" s="15"/>
      <c r="O910" s="2"/>
      <c r="P910" s="26"/>
      <c r="Q910" s="27">
        <v>18523</v>
      </c>
      <c r="R910" s="27">
        <f t="shared" si="1371"/>
        <v>28</v>
      </c>
      <c r="S910" s="27">
        <v>1649</v>
      </c>
      <c r="T910" s="27">
        <f t="shared" si="1327"/>
        <v>3</v>
      </c>
      <c r="U910" s="27">
        <v>290</v>
      </c>
      <c r="V910" s="27">
        <f t="shared" si="1328"/>
        <v>10</v>
      </c>
      <c r="W910" s="47">
        <v>0</v>
      </c>
      <c r="X910" s="57" t="str">
        <f t="shared" si="1329"/>
        <v>サンリオブレスレット</v>
      </c>
      <c r="Y910" s="62">
        <f t="shared" si="1330"/>
        <v>120</v>
      </c>
      <c r="Z910" s="27">
        <f t="shared" si="1331"/>
        <v>1200</v>
      </c>
      <c r="AA910" s="28">
        <f t="shared" si="1332"/>
        <v>0.42857142857142855</v>
      </c>
      <c r="AB910" s="15"/>
      <c r="AC910" s="15"/>
      <c r="AD910" s="26"/>
      <c r="AE910" s="27">
        <v>4089</v>
      </c>
      <c r="AF910" s="27">
        <f t="shared" si="1372"/>
        <v>80</v>
      </c>
      <c r="AG910" s="27">
        <v>145</v>
      </c>
      <c r="AH910" s="27">
        <f t="shared" si="1334"/>
        <v>1</v>
      </c>
      <c r="AI910" s="27">
        <v>13</v>
      </c>
      <c r="AJ910" s="27">
        <f t="shared" si="1335"/>
        <v>1</v>
      </c>
      <c r="AK910" s="47">
        <v>1</v>
      </c>
      <c r="AL910" s="57" t="str">
        <f t="shared" si="1336"/>
        <v>ギャルキティキーケース</v>
      </c>
      <c r="AM910" s="62">
        <f t="shared" si="1337"/>
        <v>726</v>
      </c>
      <c r="AN910" s="27">
        <f t="shared" si="1338"/>
        <v>726</v>
      </c>
      <c r="AO910" s="28">
        <f t="shared" si="1339"/>
        <v>9.0749999999999997E-2</v>
      </c>
      <c r="AP910" s="15"/>
      <c r="AQ910" s="15"/>
      <c r="AR910" s="26"/>
      <c r="AS910" s="27">
        <v>4644</v>
      </c>
      <c r="AT910" s="27">
        <f t="shared" si="1373"/>
        <v>45</v>
      </c>
      <c r="AU910" s="27">
        <v>207</v>
      </c>
      <c r="AV910" s="27">
        <f t="shared" si="1341"/>
        <v>3</v>
      </c>
      <c r="AW910" s="27">
        <v>44</v>
      </c>
      <c r="AX910" s="27">
        <f t="shared" si="1342"/>
        <v>3</v>
      </c>
      <c r="AY910" s="47">
        <v>0</v>
      </c>
      <c r="AZ910" s="57" t="str">
        <f t="shared" si="1343"/>
        <v>スプランキーマスコット</v>
      </c>
      <c r="BA910" s="62">
        <f t="shared" si="1344"/>
        <v>180</v>
      </c>
      <c r="BB910" s="27">
        <f t="shared" si="1345"/>
        <v>540</v>
      </c>
      <c r="BC910" s="28">
        <f t="shared" si="1346"/>
        <v>0.12</v>
      </c>
      <c r="BD910" s="15"/>
      <c r="BT910" s="15"/>
      <c r="BU910" s="19" t="e">
        <f>IF(#REF!="","",#REF!)</f>
        <v>#REF!</v>
      </c>
      <c r="BV910" s="13"/>
      <c r="BW910" s="13" t="str">
        <f t="shared" ref="BW910:BW914" si="1374">IF(BV910="","",BV910-BV909)</f>
        <v/>
      </c>
      <c r="BX910" s="13"/>
      <c r="BY910" s="13" t="str">
        <f t="shared" ref="BY910:BY913" si="1375">IF(BX910="","",BX910-BX909)</f>
        <v/>
      </c>
      <c r="BZ910" s="13"/>
      <c r="CA910" s="13" t="str">
        <f t="shared" ref="CA910:CA914" si="1376">IF(BZ910="","",BZ909+CB909-BZ910)</f>
        <v/>
      </c>
      <c r="CB910" s="13"/>
      <c r="CC910" s="53"/>
      <c r="CD910" s="12" t="str">
        <f t="shared" ref="CD910:CD911" si="1377">IF(BV910="","",CD909)</f>
        <v/>
      </c>
      <c r="CE910" s="13" t="str">
        <f t="shared" si="1362"/>
        <v/>
      </c>
      <c r="CF910" s="14" t="str">
        <f t="shared" si="1363"/>
        <v/>
      </c>
      <c r="CG910" s="15"/>
      <c r="CH910" s="1"/>
      <c r="CI910" s="19" t="e">
        <f>IF(#REF!="","",#REF!)</f>
        <v>#REF!</v>
      </c>
      <c r="CJ910" s="13"/>
      <c r="CK910" s="13" t="str">
        <f t="shared" ref="CK910:CK914" si="1378">IF(CJ910="","",CJ910-CJ909)</f>
        <v/>
      </c>
      <c r="CL910" s="13"/>
      <c r="CM910" s="13" t="str">
        <f t="shared" ref="CM910:CM913" si="1379">IF(CL910="","",CL910-CL909)</f>
        <v/>
      </c>
      <c r="CN910" s="13"/>
      <c r="CO910" s="13" t="str">
        <f t="shared" ref="CO910:CO914" si="1380">IF(CN910="","",CN909+CP909-CN910)</f>
        <v/>
      </c>
      <c r="CP910" s="13"/>
      <c r="CQ910" s="53"/>
      <c r="CR910" s="12" t="str">
        <f t="shared" ref="CR910:CR911" si="1381">IF(CJ910="","",CR909)</f>
        <v/>
      </c>
      <c r="CS910" s="13" t="str">
        <f t="shared" si="1364"/>
        <v/>
      </c>
      <c r="CT910" s="14" t="str">
        <f t="shared" ref="CT910:CT911" si="1382">IF(CS910="","",CS910/(CJ910*100))</f>
        <v/>
      </c>
      <c r="CU910" s="15"/>
      <c r="CV910" s="1"/>
      <c r="CW910" s="19" t="e">
        <f>IF(#REF!="","",#REF!)</f>
        <v>#REF!</v>
      </c>
      <c r="CX910" s="13"/>
      <c r="CY910" s="13" t="str">
        <f t="shared" ref="CY910:CY914" si="1383">IF(CX910="","",CX910-CX909)</f>
        <v/>
      </c>
      <c r="CZ910" s="13"/>
      <c r="DA910" s="13" t="str">
        <f t="shared" ref="DA910:DA913" si="1384">IF(CZ910="","",CZ910-CZ909)</f>
        <v/>
      </c>
      <c r="DB910" s="13"/>
      <c r="DC910" s="13" t="str">
        <f t="shared" ref="DC910:DC914" si="1385">IF(DB910="","",DB909+DD909-DB910)</f>
        <v/>
      </c>
      <c r="DD910" s="13"/>
      <c r="DE910" s="53"/>
      <c r="DF910" s="12" t="str">
        <f t="shared" ref="DF910:DF911" si="1386">IF(CX910="","",DF909)</f>
        <v/>
      </c>
      <c r="DG910" s="13" t="str">
        <f t="shared" si="1365"/>
        <v/>
      </c>
      <c r="DH910" s="14" t="str">
        <f t="shared" si="1366"/>
        <v/>
      </c>
      <c r="DI910" s="15"/>
      <c r="DJ910" s="1"/>
      <c r="DK910" s="19" t="e">
        <f>IF(#REF!="","",#REF!)</f>
        <v>#REF!</v>
      </c>
      <c r="DL910" s="13"/>
      <c r="DM910" s="13" t="str">
        <f t="shared" ref="DM910:DM914" si="1387">IF(DL910="","",DL910-DL909)</f>
        <v/>
      </c>
      <c r="DN910" s="13"/>
      <c r="DO910" s="13" t="str">
        <f t="shared" ref="DO910:DO913" si="1388">IF(DN910="","",DN910-DN909)</f>
        <v/>
      </c>
      <c r="DP910" s="13"/>
      <c r="DQ910" s="13" t="str">
        <f t="shared" ref="DQ910:DQ914" si="1389">IF(DP910="","",DP909+DR909-DP910)</f>
        <v/>
      </c>
      <c r="DR910" s="13"/>
      <c r="DS910" s="53"/>
      <c r="DT910" s="12" t="str">
        <f t="shared" ref="DT910:DT911" si="1390">IF(DL910="","",DT909)</f>
        <v/>
      </c>
      <c r="DU910" s="13" t="str">
        <f t="shared" si="1367"/>
        <v/>
      </c>
      <c r="DV910" s="14" t="str">
        <f t="shared" si="1368"/>
        <v/>
      </c>
      <c r="DW910" s="15"/>
    </row>
    <row r="911" spans="1:127" ht="15" customHeight="1" thickTop="1" x14ac:dyDescent="0.2">
      <c r="A911" s="79">
        <v>45810</v>
      </c>
      <c r="B911" s="74">
        <f>IF(A911="","",SUM(D911:D914)+SUM(R911:R914)+SUM(AF911:AF914)+SUM(AT911:AT914)+SUM(BW896,CK896,CY896,DM896))</f>
        <v>2747</v>
      </c>
      <c r="C911" s="53">
        <v>20863</v>
      </c>
      <c r="D911" s="53">
        <f t="shared" si="1320"/>
        <v>108</v>
      </c>
      <c r="E911" s="53">
        <v>1115</v>
      </c>
      <c r="F911" s="31">
        <f t="shared" si="1321"/>
        <v>4</v>
      </c>
      <c r="G911" s="53">
        <v>6</v>
      </c>
      <c r="H911" s="53">
        <f t="shared" si="1322"/>
        <v>4</v>
      </c>
      <c r="I911" s="80">
        <v>4</v>
      </c>
      <c r="J911" s="21" t="str">
        <f t="shared" si="1323"/>
        <v>ジャグラーサウンドボタン</v>
      </c>
      <c r="K911" s="54">
        <f t="shared" si="1324"/>
        <v>748</v>
      </c>
      <c r="L911" s="31">
        <f t="shared" si="1369"/>
        <v>2992</v>
      </c>
      <c r="M911" s="32">
        <f t="shared" si="1370"/>
        <v>0.27703703703703703</v>
      </c>
      <c r="N911" s="15"/>
      <c r="O911" s="2"/>
      <c r="P911" s="79">
        <f>IF($A911="","",$A911)</f>
        <v>45810</v>
      </c>
      <c r="Q911" s="53">
        <v>20842</v>
      </c>
      <c r="R911" s="53">
        <f t="shared" si="1371"/>
        <v>55</v>
      </c>
      <c r="S911" s="53">
        <v>1170</v>
      </c>
      <c r="T911" s="31">
        <f t="shared" si="1327"/>
        <v>0</v>
      </c>
      <c r="U911" s="53">
        <v>8</v>
      </c>
      <c r="V911" s="53">
        <f t="shared" si="1328"/>
        <v>0</v>
      </c>
      <c r="W911" s="80">
        <v>0</v>
      </c>
      <c r="X911" s="21" t="str">
        <f t="shared" si="1329"/>
        <v>パイの実イヤホン</v>
      </c>
      <c r="Y911" s="54">
        <f t="shared" si="1330"/>
        <v>1100</v>
      </c>
      <c r="Z911" s="31">
        <f t="shared" si="1331"/>
        <v>0</v>
      </c>
      <c r="AA911" s="32">
        <f t="shared" si="1332"/>
        <v>0</v>
      </c>
      <c r="AB911" s="15" t="s">
        <v>129</v>
      </c>
      <c r="AC911" s="15"/>
      <c r="AD911" s="79">
        <f>IF($A911="","",$A911)</f>
        <v>45810</v>
      </c>
      <c r="AE911" s="53">
        <v>4980</v>
      </c>
      <c r="AF911" s="53">
        <f t="shared" si="1372"/>
        <v>117</v>
      </c>
      <c r="AG911" s="53">
        <v>102</v>
      </c>
      <c r="AH911" s="31">
        <f t="shared" si="1334"/>
        <v>1</v>
      </c>
      <c r="AI911" s="53">
        <v>35</v>
      </c>
      <c r="AJ911" s="53">
        <f t="shared" si="1335"/>
        <v>1</v>
      </c>
      <c r="AK911" s="80">
        <v>0</v>
      </c>
      <c r="AL911" s="21" t="str">
        <f t="shared" si="1336"/>
        <v>ミニ香水</v>
      </c>
      <c r="AM911" s="54">
        <f t="shared" si="1337"/>
        <v>1100</v>
      </c>
      <c r="AN911" s="31">
        <f t="shared" si="1338"/>
        <v>1100</v>
      </c>
      <c r="AO911" s="32">
        <f t="shared" si="1339"/>
        <v>9.4017094017094016E-2</v>
      </c>
      <c r="AP911" s="15"/>
      <c r="AQ911" s="15"/>
      <c r="AR911" s="79">
        <f>IF($A911="","",$A911)</f>
        <v>45810</v>
      </c>
      <c r="AS911" s="53">
        <v>5087</v>
      </c>
      <c r="AT911" s="53">
        <f t="shared" si="1373"/>
        <v>114</v>
      </c>
      <c r="AU911" s="53">
        <v>166</v>
      </c>
      <c r="AV911" s="31">
        <f t="shared" si="1341"/>
        <v>3</v>
      </c>
      <c r="AW911" s="53">
        <v>28</v>
      </c>
      <c r="AX911" s="53">
        <f t="shared" si="1342"/>
        <v>3</v>
      </c>
      <c r="AY911" s="80">
        <v>0</v>
      </c>
      <c r="AZ911" s="21" t="str">
        <f t="shared" si="1343"/>
        <v>ロムアンド</v>
      </c>
      <c r="BA911" s="54">
        <f t="shared" si="1344"/>
        <v>1001</v>
      </c>
      <c r="BB911" s="31">
        <f t="shared" si="1345"/>
        <v>3003</v>
      </c>
      <c r="BC911" s="32">
        <f t="shared" si="1346"/>
        <v>0.26342105263157894</v>
      </c>
      <c r="BD911" s="15"/>
      <c r="BT911" s="15"/>
      <c r="BU911" s="19" t="e">
        <f>IF(#REF!="","",#REF!)</f>
        <v>#REF!</v>
      </c>
      <c r="BV911" s="13"/>
      <c r="BW911" s="13" t="str">
        <f t="shared" si="1374"/>
        <v/>
      </c>
      <c r="BX911" s="13"/>
      <c r="BY911" s="13" t="str">
        <f t="shared" si="1375"/>
        <v/>
      </c>
      <c r="BZ911" s="13"/>
      <c r="CA911" s="13" t="str">
        <f t="shared" si="1376"/>
        <v/>
      </c>
      <c r="CB911" s="13"/>
      <c r="CC911" s="53"/>
      <c r="CD911" s="12" t="str">
        <f t="shared" si="1377"/>
        <v/>
      </c>
      <c r="CE911" s="13" t="str">
        <f t="shared" si="1362"/>
        <v/>
      </c>
      <c r="CF911" s="14" t="str">
        <f t="shared" si="1363"/>
        <v/>
      </c>
      <c r="CG911" s="15"/>
      <c r="CH911" s="1"/>
      <c r="CI911" s="19" t="e">
        <f>IF(#REF!="","",#REF!)</f>
        <v>#REF!</v>
      </c>
      <c r="CJ911" s="13"/>
      <c r="CK911" s="13" t="str">
        <f t="shared" si="1378"/>
        <v/>
      </c>
      <c r="CL911" s="13"/>
      <c r="CM911" s="13" t="str">
        <f t="shared" si="1379"/>
        <v/>
      </c>
      <c r="CN911" s="13"/>
      <c r="CO911" s="13" t="str">
        <f t="shared" si="1380"/>
        <v/>
      </c>
      <c r="CP911" s="13"/>
      <c r="CQ911" s="53"/>
      <c r="CR911" s="12" t="str">
        <f t="shared" si="1381"/>
        <v/>
      </c>
      <c r="CS911" s="13" t="str">
        <f t="shared" si="1364"/>
        <v/>
      </c>
      <c r="CT911" s="14" t="str">
        <f t="shared" si="1382"/>
        <v/>
      </c>
      <c r="CU911" s="15"/>
      <c r="CV911" s="1"/>
      <c r="CW911" s="19" t="e">
        <f>IF(#REF!="","",#REF!)</f>
        <v>#REF!</v>
      </c>
      <c r="CX911" s="13"/>
      <c r="CY911" s="13" t="str">
        <f t="shared" si="1383"/>
        <v/>
      </c>
      <c r="CZ911" s="13"/>
      <c r="DA911" s="13" t="str">
        <f t="shared" si="1384"/>
        <v/>
      </c>
      <c r="DB911" s="13"/>
      <c r="DC911" s="13" t="str">
        <f t="shared" si="1385"/>
        <v/>
      </c>
      <c r="DD911" s="13"/>
      <c r="DE911" s="53"/>
      <c r="DF911" s="12" t="str">
        <f t="shared" si="1386"/>
        <v/>
      </c>
      <c r="DG911" s="13" t="str">
        <f t="shared" si="1365"/>
        <v/>
      </c>
      <c r="DH911" s="14" t="str">
        <f t="shared" si="1366"/>
        <v/>
      </c>
      <c r="DI911" s="15"/>
      <c r="DJ911" s="1"/>
      <c r="DK911" s="19" t="e">
        <f>IF(#REF!="","",#REF!)</f>
        <v>#REF!</v>
      </c>
      <c r="DL911" s="13"/>
      <c r="DM911" s="13" t="str">
        <f t="shared" si="1387"/>
        <v/>
      </c>
      <c r="DN911" s="13"/>
      <c r="DO911" s="13" t="str">
        <f t="shared" si="1388"/>
        <v/>
      </c>
      <c r="DP911" s="13"/>
      <c r="DQ911" s="13" t="str">
        <f t="shared" si="1389"/>
        <v/>
      </c>
      <c r="DR911" s="13"/>
      <c r="DS911" s="53"/>
      <c r="DT911" s="12" t="str">
        <f t="shared" si="1390"/>
        <v/>
      </c>
      <c r="DU911" s="13" t="str">
        <f t="shared" si="1367"/>
        <v/>
      </c>
      <c r="DV911" s="14" t="str">
        <f t="shared" si="1368"/>
        <v/>
      </c>
      <c r="DW911" s="15"/>
    </row>
    <row r="912" spans="1:127" ht="15" customHeight="1" x14ac:dyDescent="0.2">
      <c r="A912" s="288" t="s">
        <v>150</v>
      </c>
      <c r="B912" s="289"/>
      <c r="C912" s="13">
        <v>25023</v>
      </c>
      <c r="D912" s="13">
        <f t="shared" si="1320"/>
        <v>177</v>
      </c>
      <c r="E912" s="13">
        <v>1298</v>
      </c>
      <c r="F912" s="13">
        <f t="shared" si="1321"/>
        <v>1</v>
      </c>
      <c r="G912" s="13">
        <v>12</v>
      </c>
      <c r="H912" s="13">
        <f t="shared" si="1322"/>
        <v>1</v>
      </c>
      <c r="I912" s="17">
        <v>2</v>
      </c>
      <c r="J912" s="21" t="str">
        <f t="shared" si="1323"/>
        <v>ジャグラーイヤホン</v>
      </c>
      <c r="K912" s="54">
        <f t="shared" si="1324"/>
        <v>1100</v>
      </c>
      <c r="L912" s="13">
        <f t="shared" si="1369"/>
        <v>1100</v>
      </c>
      <c r="M912" s="14">
        <f t="shared" si="1370"/>
        <v>6.2146892655367235E-2</v>
      </c>
      <c r="N912" s="15"/>
      <c r="O912" s="2"/>
      <c r="P912" s="16"/>
      <c r="Q912" s="13">
        <v>25571</v>
      </c>
      <c r="R912" s="13">
        <f t="shared" si="1371"/>
        <v>239</v>
      </c>
      <c r="S912" s="13">
        <v>1466</v>
      </c>
      <c r="T912" s="13">
        <f t="shared" si="1327"/>
        <v>2</v>
      </c>
      <c r="U912" s="13">
        <v>6</v>
      </c>
      <c r="V912" s="13">
        <f t="shared" si="1328"/>
        <v>2</v>
      </c>
      <c r="W912" s="17">
        <v>4</v>
      </c>
      <c r="X912" s="21" t="str">
        <f t="shared" si="1329"/>
        <v>サンリオFAN</v>
      </c>
      <c r="Y912" s="54">
        <f t="shared" si="1330"/>
        <v>1100</v>
      </c>
      <c r="Z912" s="13">
        <f t="shared" si="1331"/>
        <v>2200</v>
      </c>
      <c r="AA912" s="14">
        <f t="shared" si="1332"/>
        <v>9.2050209205020925E-2</v>
      </c>
      <c r="AB912" s="15"/>
      <c r="AC912" s="15"/>
      <c r="AD912" s="16"/>
      <c r="AE912" s="13">
        <v>4091</v>
      </c>
      <c r="AF912" s="13">
        <f t="shared" si="1372"/>
        <v>158</v>
      </c>
      <c r="AG912" s="13">
        <v>95</v>
      </c>
      <c r="AH912" s="13">
        <f t="shared" si="1334"/>
        <v>0</v>
      </c>
      <c r="AI912" s="13">
        <v>9</v>
      </c>
      <c r="AJ912" s="13">
        <f t="shared" si="1335"/>
        <v>0</v>
      </c>
      <c r="AK912" s="17">
        <v>2</v>
      </c>
      <c r="AL912" s="21" t="str">
        <f t="shared" si="1336"/>
        <v>デジタルミニカメラ</v>
      </c>
      <c r="AM912" s="54">
        <f t="shared" si="1337"/>
        <v>800</v>
      </c>
      <c r="AN912" s="13">
        <f t="shared" si="1338"/>
        <v>0</v>
      </c>
      <c r="AO912" s="14">
        <f t="shared" si="1339"/>
        <v>0</v>
      </c>
      <c r="AP912" s="15"/>
      <c r="AQ912" s="15"/>
      <c r="AR912" s="16"/>
      <c r="AS912" s="13">
        <v>3293</v>
      </c>
      <c r="AT912" s="13">
        <f t="shared" si="1373"/>
        <v>78</v>
      </c>
      <c r="AU912" s="13">
        <v>173</v>
      </c>
      <c r="AV912" s="13">
        <f t="shared" si="1341"/>
        <v>7</v>
      </c>
      <c r="AW912" s="13">
        <v>40</v>
      </c>
      <c r="AX912" s="13">
        <f t="shared" si="1342"/>
        <v>7</v>
      </c>
      <c r="AY912" s="17">
        <v>30</v>
      </c>
      <c r="AZ912" s="21" t="str">
        <f t="shared" si="1343"/>
        <v>サンリオシューズキーホルダー</v>
      </c>
      <c r="BA912" s="54">
        <f t="shared" si="1344"/>
        <v>400</v>
      </c>
      <c r="BB912" s="13">
        <f t="shared" si="1345"/>
        <v>2800</v>
      </c>
      <c r="BC912" s="14">
        <f t="shared" si="1346"/>
        <v>0.35897435897435898</v>
      </c>
      <c r="BD912" s="15"/>
      <c r="BT912" s="15"/>
      <c r="BU912" s="16"/>
      <c r="BV912" s="25"/>
      <c r="BW912" s="13" t="str">
        <f t="shared" si="1374"/>
        <v/>
      </c>
      <c r="BX912" s="13"/>
      <c r="BY912" s="13" t="str">
        <f t="shared" si="1375"/>
        <v/>
      </c>
      <c r="BZ912" s="13"/>
      <c r="CA912" s="13" t="str">
        <f t="shared" si="1376"/>
        <v/>
      </c>
      <c r="CB912" s="13"/>
      <c r="CC912" s="13"/>
      <c r="CD912" s="13"/>
      <c r="CE912" s="13" t="str">
        <f t="shared" si="1362"/>
        <v/>
      </c>
      <c r="CF912" s="14" t="str">
        <f t="shared" si="1363"/>
        <v/>
      </c>
      <c r="CG912" s="15"/>
      <c r="CH912" s="1"/>
      <c r="CI912" s="16"/>
      <c r="CJ912" s="25"/>
      <c r="CK912" s="13" t="str">
        <f t="shared" si="1378"/>
        <v/>
      </c>
      <c r="CL912" s="13"/>
      <c r="CM912" s="13" t="str">
        <f t="shared" si="1379"/>
        <v/>
      </c>
      <c r="CN912" s="13"/>
      <c r="CO912" s="13" t="str">
        <f t="shared" si="1380"/>
        <v/>
      </c>
      <c r="CP912" s="13"/>
      <c r="CQ912" s="13"/>
      <c r="CR912" s="13"/>
      <c r="CS912" s="13" t="str">
        <f t="shared" si="1364"/>
        <v/>
      </c>
      <c r="CT912" s="14" t="str">
        <f t="shared" ref="CT912:CT938" si="1391">IF(CS912="","",CS912/(CK912*100))</f>
        <v/>
      </c>
      <c r="CU912" s="15"/>
      <c r="CV912" s="1"/>
      <c r="CW912" s="16"/>
      <c r="CX912" s="25"/>
      <c r="CY912" s="13" t="str">
        <f t="shared" si="1383"/>
        <v/>
      </c>
      <c r="CZ912" s="13"/>
      <c r="DA912" s="13" t="str">
        <f t="shared" si="1384"/>
        <v/>
      </c>
      <c r="DB912" s="13"/>
      <c r="DC912" s="13" t="str">
        <f t="shared" si="1385"/>
        <v/>
      </c>
      <c r="DD912" s="13"/>
      <c r="DE912" s="13"/>
      <c r="DF912" s="13"/>
      <c r="DG912" s="13" t="str">
        <f t="shared" si="1365"/>
        <v/>
      </c>
      <c r="DH912" s="14" t="str">
        <f t="shared" si="1366"/>
        <v/>
      </c>
      <c r="DI912" s="15"/>
      <c r="DJ912" s="1"/>
      <c r="DK912" s="16"/>
      <c r="DL912" s="25"/>
      <c r="DM912" s="13" t="str">
        <f t="shared" si="1387"/>
        <v/>
      </c>
      <c r="DN912" s="13"/>
      <c r="DO912" s="13" t="str">
        <f t="shared" si="1388"/>
        <v/>
      </c>
      <c r="DP912" s="13"/>
      <c r="DQ912" s="13" t="str">
        <f t="shared" si="1389"/>
        <v/>
      </c>
      <c r="DR912" s="13"/>
      <c r="DS912" s="13"/>
      <c r="DT912" s="13"/>
      <c r="DU912" s="13" t="str">
        <f t="shared" si="1367"/>
        <v/>
      </c>
      <c r="DV912" s="14" t="str">
        <f t="shared" si="1368"/>
        <v/>
      </c>
      <c r="DW912" s="15"/>
    </row>
    <row r="913" spans="1:127" ht="15" customHeight="1" x14ac:dyDescent="0.2">
      <c r="A913" s="16"/>
      <c r="B913" s="11"/>
      <c r="C913" s="34">
        <v>20874</v>
      </c>
      <c r="D913" s="13">
        <f t="shared" si="1320"/>
        <v>79</v>
      </c>
      <c r="E913" s="34">
        <v>1052</v>
      </c>
      <c r="F913" s="13">
        <f t="shared" si="1321"/>
        <v>1</v>
      </c>
      <c r="G913" s="13">
        <v>17</v>
      </c>
      <c r="H913" s="13">
        <f t="shared" si="1322"/>
        <v>1</v>
      </c>
      <c r="I913" s="17">
        <v>0</v>
      </c>
      <c r="J913" s="21" t="str">
        <f t="shared" si="1323"/>
        <v>グミッツェルプチ</v>
      </c>
      <c r="K913" s="54">
        <f t="shared" si="1324"/>
        <v>180</v>
      </c>
      <c r="L913" s="13">
        <f t="shared" si="1369"/>
        <v>180</v>
      </c>
      <c r="M913" s="14">
        <f t="shared" si="1370"/>
        <v>2.2784810126582278E-2</v>
      </c>
      <c r="N913" s="15"/>
      <c r="O913" s="2"/>
      <c r="P913" s="16"/>
      <c r="Q913" s="34">
        <v>19623</v>
      </c>
      <c r="R913" s="13">
        <f t="shared" si="1371"/>
        <v>88</v>
      </c>
      <c r="S913" s="34">
        <v>2696</v>
      </c>
      <c r="T913" s="13">
        <f t="shared" si="1327"/>
        <v>11</v>
      </c>
      <c r="U913" s="13">
        <v>3</v>
      </c>
      <c r="V913" s="13">
        <f t="shared" si="1328"/>
        <v>13</v>
      </c>
      <c r="W913" s="17">
        <v>12</v>
      </c>
      <c r="X913" s="21" t="str">
        <f t="shared" si="1329"/>
        <v>グミッツェル</v>
      </c>
      <c r="Y913" s="54">
        <f t="shared" si="1330"/>
        <v>165</v>
      </c>
      <c r="Z913" s="13">
        <f t="shared" si="1331"/>
        <v>2145</v>
      </c>
      <c r="AA913" s="14">
        <f t="shared" si="1332"/>
        <v>0.24374999999999999</v>
      </c>
      <c r="AB913" s="15"/>
      <c r="AC913" s="15"/>
      <c r="AD913" s="16"/>
      <c r="AE913" s="34">
        <v>4402</v>
      </c>
      <c r="AF913" s="13">
        <f t="shared" si="1372"/>
        <v>71</v>
      </c>
      <c r="AG913" s="34">
        <v>143</v>
      </c>
      <c r="AH913" s="13">
        <f t="shared" si="1334"/>
        <v>1</v>
      </c>
      <c r="AI913" s="13">
        <v>10</v>
      </c>
      <c r="AJ913" s="13">
        <f t="shared" si="1335"/>
        <v>1</v>
      </c>
      <c r="AK913" s="17">
        <v>0</v>
      </c>
      <c r="AL913" s="21" t="str">
        <f t="shared" si="1336"/>
        <v>ピクミン引っこ抜き</v>
      </c>
      <c r="AM913" s="54">
        <f t="shared" si="1337"/>
        <v>650</v>
      </c>
      <c r="AN913" s="13">
        <f t="shared" si="1338"/>
        <v>650</v>
      </c>
      <c r="AO913" s="14">
        <f t="shared" si="1339"/>
        <v>9.154929577464789E-2</v>
      </c>
      <c r="AP913" s="15"/>
      <c r="AQ913" s="15"/>
      <c r="AR913" s="16"/>
      <c r="AS913" s="34">
        <v>5263</v>
      </c>
      <c r="AT913" s="13">
        <f t="shared" si="1373"/>
        <v>187</v>
      </c>
      <c r="AU913" s="34">
        <v>209</v>
      </c>
      <c r="AV913" s="13">
        <f t="shared" si="1341"/>
        <v>7</v>
      </c>
      <c r="AW913" s="13">
        <v>100</v>
      </c>
      <c r="AX913" s="13">
        <f t="shared" si="1342"/>
        <v>15</v>
      </c>
      <c r="AY913" s="17">
        <v>0</v>
      </c>
      <c r="AZ913" s="21" t="str">
        <f t="shared" si="1343"/>
        <v>スプランキーラバーキーホルダー</v>
      </c>
      <c r="BA913" s="54">
        <f t="shared" si="1344"/>
        <v>200</v>
      </c>
      <c r="BB913" s="13">
        <f t="shared" si="1345"/>
        <v>3000</v>
      </c>
      <c r="BC913" s="14">
        <f t="shared" si="1346"/>
        <v>0.16042780748663102</v>
      </c>
      <c r="BD913" s="15"/>
      <c r="BT913" s="15"/>
      <c r="BU913" s="16"/>
      <c r="BV913" s="25"/>
      <c r="BW913" s="13" t="str">
        <f t="shared" si="1374"/>
        <v/>
      </c>
      <c r="BX913" s="13"/>
      <c r="BY913" s="13" t="str">
        <f t="shared" si="1375"/>
        <v/>
      </c>
      <c r="BZ913" s="13"/>
      <c r="CA913" s="13" t="str">
        <f t="shared" si="1376"/>
        <v/>
      </c>
      <c r="CB913" s="13"/>
      <c r="CC913" s="13"/>
      <c r="CD913" s="13"/>
      <c r="CE913" s="13" t="str">
        <f t="shared" si="1362"/>
        <v/>
      </c>
      <c r="CF913" s="14" t="str">
        <f t="shared" si="1363"/>
        <v/>
      </c>
      <c r="CG913" s="15"/>
      <c r="CH913" s="1"/>
      <c r="CI913" s="16"/>
      <c r="CJ913" s="25"/>
      <c r="CK913" s="13" t="str">
        <f t="shared" si="1378"/>
        <v/>
      </c>
      <c r="CL913" s="13"/>
      <c r="CM913" s="13" t="str">
        <f t="shared" si="1379"/>
        <v/>
      </c>
      <c r="CN913" s="13"/>
      <c r="CO913" s="13" t="str">
        <f t="shared" si="1380"/>
        <v/>
      </c>
      <c r="CP913" s="13"/>
      <c r="CQ913" s="13"/>
      <c r="CR913" s="13"/>
      <c r="CS913" s="13" t="str">
        <f t="shared" si="1364"/>
        <v/>
      </c>
      <c r="CT913" s="14" t="str">
        <f t="shared" si="1391"/>
        <v/>
      </c>
      <c r="CU913" s="15"/>
      <c r="CV913" s="1"/>
      <c r="CW913" s="16"/>
      <c r="CX913" s="25"/>
      <c r="CY913" s="13" t="str">
        <f t="shared" si="1383"/>
        <v/>
      </c>
      <c r="CZ913" s="13"/>
      <c r="DA913" s="13" t="str">
        <f t="shared" si="1384"/>
        <v/>
      </c>
      <c r="DB913" s="13"/>
      <c r="DC913" s="13" t="str">
        <f t="shared" si="1385"/>
        <v/>
      </c>
      <c r="DD913" s="13"/>
      <c r="DE913" s="13"/>
      <c r="DF913" s="13"/>
      <c r="DG913" s="13" t="str">
        <f t="shared" si="1365"/>
        <v/>
      </c>
      <c r="DH913" s="14" t="str">
        <f t="shared" si="1366"/>
        <v/>
      </c>
      <c r="DI913" s="15"/>
      <c r="DJ913" s="1"/>
      <c r="DK913" s="16"/>
      <c r="DL913" s="25"/>
      <c r="DM913" s="13" t="str">
        <f t="shared" si="1387"/>
        <v/>
      </c>
      <c r="DN913" s="13"/>
      <c r="DO913" s="13" t="str">
        <f t="shared" si="1388"/>
        <v/>
      </c>
      <c r="DP913" s="13"/>
      <c r="DQ913" s="13" t="str">
        <f t="shared" si="1389"/>
        <v/>
      </c>
      <c r="DR913" s="13"/>
      <c r="DS913" s="13"/>
      <c r="DT913" s="13"/>
      <c r="DU913" s="13" t="str">
        <f t="shared" si="1367"/>
        <v/>
      </c>
      <c r="DV913" s="14" t="str">
        <f t="shared" si="1368"/>
        <v/>
      </c>
      <c r="DW913" s="15"/>
    </row>
    <row r="914" spans="1:127" ht="15" customHeight="1" thickBot="1" x14ac:dyDescent="0.25">
      <c r="A914" s="26"/>
      <c r="B914" s="46"/>
      <c r="C914" s="27">
        <v>26944</v>
      </c>
      <c r="D914" s="27">
        <f t="shared" si="1320"/>
        <v>168</v>
      </c>
      <c r="E914" s="27">
        <v>1310</v>
      </c>
      <c r="F914" s="27">
        <f t="shared" si="1321"/>
        <v>6</v>
      </c>
      <c r="G914" s="27">
        <v>46</v>
      </c>
      <c r="H914" s="27">
        <f t="shared" si="1322"/>
        <v>6</v>
      </c>
      <c r="I914" s="47">
        <v>0</v>
      </c>
      <c r="J914" s="30" t="str">
        <f t="shared" si="1323"/>
        <v>NICIマスコット</v>
      </c>
      <c r="K914" s="62">
        <f t="shared" si="1324"/>
        <v>682</v>
      </c>
      <c r="L914" s="27">
        <f t="shared" si="1369"/>
        <v>4092</v>
      </c>
      <c r="M914" s="28">
        <f t="shared" si="1370"/>
        <v>0.24357142857142858</v>
      </c>
      <c r="N914" s="15"/>
      <c r="O914" s="2"/>
      <c r="P914" s="26"/>
      <c r="Q914" s="27">
        <v>18615</v>
      </c>
      <c r="R914" s="27">
        <f t="shared" si="1371"/>
        <v>92</v>
      </c>
      <c r="S914" s="27">
        <v>1655</v>
      </c>
      <c r="T914" s="27">
        <f t="shared" si="1327"/>
        <v>6</v>
      </c>
      <c r="U914" s="27">
        <v>275</v>
      </c>
      <c r="V914" s="27">
        <f t="shared" si="1328"/>
        <v>15</v>
      </c>
      <c r="W914" s="47">
        <v>0</v>
      </c>
      <c r="X914" s="30" t="str">
        <f t="shared" si="1329"/>
        <v>サンリオブレスレット</v>
      </c>
      <c r="Y914" s="62">
        <f t="shared" si="1330"/>
        <v>120</v>
      </c>
      <c r="Z914" s="27">
        <f t="shared" si="1331"/>
        <v>1800</v>
      </c>
      <c r="AA914" s="28">
        <f t="shared" si="1332"/>
        <v>0.19565217391304349</v>
      </c>
      <c r="AB914" s="15"/>
      <c r="AC914" s="15"/>
      <c r="AD914" s="26"/>
      <c r="AE914" s="27">
        <v>4204</v>
      </c>
      <c r="AF914" s="27">
        <f t="shared" si="1372"/>
        <v>115</v>
      </c>
      <c r="AG914" s="27">
        <v>149</v>
      </c>
      <c r="AH914" s="27">
        <f t="shared" si="1334"/>
        <v>4</v>
      </c>
      <c r="AI914" s="27">
        <v>10</v>
      </c>
      <c r="AJ914" s="27">
        <f t="shared" si="1335"/>
        <v>4</v>
      </c>
      <c r="AK914" s="47">
        <v>8</v>
      </c>
      <c r="AL914" s="30" t="str">
        <f t="shared" si="1336"/>
        <v>ギャルキティキーケース</v>
      </c>
      <c r="AM914" s="62">
        <f t="shared" si="1337"/>
        <v>726</v>
      </c>
      <c r="AN914" s="27">
        <f t="shared" si="1338"/>
        <v>2904</v>
      </c>
      <c r="AO914" s="28">
        <f t="shared" si="1339"/>
        <v>0.2525217391304348</v>
      </c>
      <c r="AP914" s="15"/>
      <c r="AQ914" s="15"/>
      <c r="AR914" s="26"/>
      <c r="AS914" s="27">
        <v>4772</v>
      </c>
      <c r="AT914" s="27">
        <f t="shared" si="1373"/>
        <v>128</v>
      </c>
      <c r="AU914" s="27">
        <v>215</v>
      </c>
      <c r="AV914" s="27">
        <f t="shared" si="1341"/>
        <v>8</v>
      </c>
      <c r="AW914" s="27">
        <v>30</v>
      </c>
      <c r="AX914" s="27">
        <f t="shared" si="1342"/>
        <v>14</v>
      </c>
      <c r="AY914" s="47">
        <v>12</v>
      </c>
      <c r="AZ914" s="30" t="str">
        <f t="shared" si="1343"/>
        <v>スプランキーマスコット</v>
      </c>
      <c r="BA914" s="62">
        <f t="shared" si="1344"/>
        <v>180</v>
      </c>
      <c r="BB914" s="27">
        <f t="shared" si="1345"/>
        <v>2520</v>
      </c>
      <c r="BC914" s="28">
        <f t="shared" si="1346"/>
        <v>0.19687499999999999</v>
      </c>
      <c r="BD914" s="15"/>
      <c r="BT914" s="15"/>
      <c r="BU914" s="16"/>
      <c r="BV914" s="25"/>
      <c r="BW914" s="13" t="str">
        <f t="shared" si="1374"/>
        <v/>
      </c>
      <c r="BX914" s="13"/>
      <c r="BY914" s="13"/>
      <c r="BZ914" s="13"/>
      <c r="CA914" s="13" t="str">
        <f t="shared" si="1376"/>
        <v/>
      </c>
      <c r="CB914" s="13"/>
      <c r="CC914" s="13"/>
      <c r="CD914" s="13"/>
      <c r="CE914" s="13" t="str">
        <f t="shared" si="1362"/>
        <v/>
      </c>
      <c r="CF914" s="14" t="str">
        <f t="shared" si="1363"/>
        <v/>
      </c>
      <c r="CG914" s="15"/>
      <c r="CH914" s="1"/>
      <c r="CI914" s="16"/>
      <c r="CJ914" s="25"/>
      <c r="CK914" s="13" t="str">
        <f t="shared" si="1378"/>
        <v/>
      </c>
      <c r="CL914" s="13"/>
      <c r="CM914" s="13"/>
      <c r="CN914" s="13"/>
      <c r="CO914" s="13" t="str">
        <f t="shared" si="1380"/>
        <v/>
      </c>
      <c r="CP914" s="13"/>
      <c r="CQ914" s="13"/>
      <c r="CR914" s="13"/>
      <c r="CS914" s="13" t="str">
        <f t="shared" si="1364"/>
        <v/>
      </c>
      <c r="CT914" s="14" t="str">
        <f t="shared" si="1391"/>
        <v/>
      </c>
      <c r="CU914" s="15"/>
      <c r="CV914" s="1"/>
      <c r="CW914" s="16"/>
      <c r="CX914" s="25"/>
      <c r="CY914" s="13" t="str">
        <f t="shared" si="1383"/>
        <v/>
      </c>
      <c r="CZ914" s="13"/>
      <c r="DA914" s="13"/>
      <c r="DB914" s="13"/>
      <c r="DC914" s="13" t="str">
        <f t="shared" si="1385"/>
        <v/>
      </c>
      <c r="DD914" s="13"/>
      <c r="DE914" s="13"/>
      <c r="DF914" s="13"/>
      <c r="DG914" s="13" t="str">
        <f t="shared" si="1365"/>
        <v/>
      </c>
      <c r="DH914" s="14" t="str">
        <f t="shared" si="1366"/>
        <v/>
      </c>
      <c r="DI914" s="15"/>
      <c r="DJ914" s="1"/>
      <c r="DK914" s="16"/>
      <c r="DL914" s="25"/>
      <c r="DM914" s="13" t="str">
        <f t="shared" si="1387"/>
        <v/>
      </c>
      <c r="DN914" s="13"/>
      <c r="DO914" s="13"/>
      <c r="DP914" s="13"/>
      <c r="DQ914" s="13" t="str">
        <f t="shared" si="1389"/>
        <v/>
      </c>
      <c r="DR914" s="13"/>
      <c r="DS914" s="13"/>
      <c r="DT914" s="13"/>
      <c r="DU914" s="13" t="str">
        <f t="shared" si="1367"/>
        <v/>
      </c>
      <c r="DV914" s="14" t="str">
        <f t="shared" si="1368"/>
        <v/>
      </c>
      <c r="DW914" s="15"/>
    </row>
    <row r="915" spans="1:127" ht="15" customHeight="1" thickTop="1" x14ac:dyDescent="0.2">
      <c r="A915" s="16">
        <v>45814</v>
      </c>
      <c r="B915" s="74">
        <f>IF(A915="","",SUM(D915:D918)+SUM(R915:R918)+SUM(AF915:AF918)+SUM(AT915:AT918)+SUM(BW897,CK897,CY897,DM897))</f>
        <v>1826</v>
      </c>
      <c r="C915" s="13">
        <v>20928</v>
      </c>
      <c r="D915" s="53">
        <f t="shared" si="1320"/>
        <v>65</v>
      </c>
      <c r="E915" s="13">
        <v>1117</v>
      </c>
      <c r="F915" s="31">
        <f t="shared" si="1321"/>
        <v>2</v>
      </c>
      <c r="G915" s="13">
        <v>8</v>
      </c>
      <c r="H915" s="53">
        <f t="shared" si="1322"/>
        <v>2</v>
      </c>
      <c r="I915" s="17">
        <v>2</v>
      </c>
      <c r="J915" s="21" t="str">
        <f t="shared" si="1323"/>
        <v>ジャグラーサウンドボタン</v>
      </c>
      <c r="K915" s="54">
        <f t="shared" si="1324"/>
        <v>748</v>
      </c>
      <c r="L915" s="31">
        <f t="shared" si="1369"/>
        <v>1496</v>
      </c>
      <c r="M915" s="32">
        <f t="shared" si="1370"/>
        <v>0.23015384615384615</v>
      </c>
      <c r="N915" s="15"/>
      <c r="O915" s="2"/>
      <c r="P915" s="79">
        <f>IF($A915="","",$A915)</f>
        <v>45814</v>
      </c>
      <c r="Q915" s="13">
        <v>20911</v>
      </c>
      <c r="R915" s="53">
        <f t="shared" si="1371"/>
        <v>69</v>
      </c>
      <c r="S915" s="13">
        <v>1173</v>
      </c>
      <c r="T915" s="31">
        <f t="shared" si="1327"/>
        <v>3</v>
      </c>
      <c r="U915" s="13">
        <v>5</v>
      </c>
      <c r="V915" s="53">
        <f t="shared" si="1328"/>
        <v>3</v>
      </c>
      <c r="W915" s="17">
        <v>11</v>
      </c>
      <c r="X915" s="21" t="str">
        <f t="shared" si="1329"/>
        <v>パイの実イヤホン</v>
      </c>
      <c r="Y915" s="54">
        <f t="shared" si="1330"/>
        <v>1100</v>
      </c>
      <c r="Z915" s="31">
        <f t="shared" si="1331"/>
        <v>3300</v>
      </c>
      <c r="AA915" s="32">
        <f t="shared" si="1332"/>
        <v>0.47826086956521741</v>
      </c>
      <c r="AB915" s="15" t="s">
        <v>134</v>
      </c>
      <c r="AC915" s="15"/>
      <c r="AD915" s="79">
        <f>IF($A915="","",$A915)</f>
        <v>45814</v>
      </c>
      <c r="AE915" s="13">
        <v>5020</v>
      </c>
      <c r="AF915" s="53">
        <f t="shared" si="1372"/>
        <v>40</v>
      </c>
      <c r="AG915" s="13">
        <v>103</v>
      </c>
      <c r="AH915" s="31">
        <f t="shared" si="1334"/>
        <v>1</v>
      </c>
      <c r="AI915" s="13">
        <v>34</v>
      </c>
      <c r="AJ915" s="53">
        <f t="shared" si="1335"/>
        <v>1</v>
      </c>
      <c r="AK915" s="17">
        <v>0</v>
      </c>
      <c r="AL915" s="21" t="str">
        <f t="shared" si="1336"/>
        <v>ミニ香水</v>
      </c>
      <c r="AM915" s="54">
        <f t="shared" si="1337"/>
        <v>1100</v>
      </c>
      <c r="AN915" s="31">
        <f t="shared" si="1338"/>
        <v>1100</v>
      </c>
      <c r="AO915" s="32">
        <f t="shared" si="1339"/>
        <v>0.27500000000000002</v>
      </c>
      <c r="AP915" s="15"/>
      <c r="AQ915" s="15"/>
      <c r="AR915" s="79">
        <f>IF($A915="","",$A915)</f>
        <v>45814</v>
      </c>
      <c r="AS915" s="13">
        <v>5140</v>
      </c>
      <c r="AT915" s="53">
        <f t="shared" si="1373"/>
        <v>53</v>
      </c>
      <c r="AU915" s="13">
        <v>167</v>
      </c>
      <c r="AV915" s="31">
        <f t="shared" si="1341"/>
        <v>1</v>
      </c>
      <c r="AW915" s="13">
        <v>24</v>
      </c>
      <c r="AX915" s="53">
        <f t="shared" si="1342"/>
        <v>4</v>
      </c>
      <c r="AY915" s="17">
        <v>0</v>
      </c>
      <c r="AZ915" s="21" t="str">
        <f t="shared" si="1343"/>
        <v>ロムアンド</v>
      </c>
      <c r="BA915" s="54">
        <f t="shared" si="1344"/>
        <v>1001</v>
      </c>
      <c r="BB915" s="31">
        <f t="shared" si="1345"/>
        <v>4004</v>
      </c>
      <c r="BC915" s="32">
        <f t="shared" si="1346"/>
        <v>0.75547169811320758</v>
      </c>
      <c r="BD915" s="15"/>
      <c r="BT915" s="15"/>
      <c r="BU915" s="16"/>
      <c r="BV915" s="13"/>
      <c r="BW915" s="13" t="str">
        <f>IF(BV915="","",BV915-BV916)</f>
        <v/>
      </c>
      <c r="BX915" s="13"/>
      <c r="BY915" s="13" t="str">
        <f>IF(BX915="","",BX915-BX916)</f>
        <v/>
      </c>
      <c r="BZ915" s="13"/>
      <c r="CA915" s="13" t="str">
        <f>IF(BZ915="","",BZ916+CB916-BZ915)</f>
        <v/>
      </c>
      <c r="CB915" s="13"/>
      <c r="CC915" s="13"/>
      <c r="CD915" s="13"/>
      <c r="CE915" s="13" t="str">
        <f t="shared" si="1362"/>
        <v/>
      </c>
      <c r="CF915" s="14" t="str">
        <f t="shared" si="1363"/>
        <v/>
      </c>
      <c r="CG915" s="15"/>
      <c r="CH915" s="1"/>
      <c r="CI915" s="16"/>
      <c r="CJ915" s="13"/>
      <c r="CK915" s="13" t="str">
        <f>IF(CJ915="","",CJ915-CJ916)</f>
        <v/>
      </c>
      <c r="CL915" s="13"/>
      <c r="CM915" s="13" t="str">
        <f>IF(CL915="","",CL915-CL916)</f>
        <v/>
      </c>
      <c r="CN915" s="13"/>
      <c r="CO915" s="13" t="str">
        <f>IF(CN915="","",CN916+CP916-CN915)</f>
        <v/>
      </c>
      <c r="CP915" s="13"/>
      <c r="CQ915" s="13"/>
      <c r="CR915" s="13"/>
      <c r="CS915" s="13" t="str">
        <f t="shared" si="1364"/>
        <v/>
      </c>
      <c r="CT915" s="14" t="str">
        <f t="shared" si="1391"/>
        <v/>
      </c>
      <c r="CU915" s="15"/>
      <c r="CV915" s="1"/>
      <c r="CW915" s="16"/>
      <c r="CX915" s="13"/>
      <c r="CY915" s="13" t="str">
        <f>IF(CX915="","",CX915-CX916)</f>
        <v/>
      </c>
      <c r="CZ915" s="13"/>
      <c r="DA915" s="13" t="str">
        <f>IF(CZ915="","",CZ915-CZ916)</f>
        <v/>
      </c>
      <c r="DB915" s="13"/>
      <c r="DC915" s="13" t="str">
        <f>IF(DB915="","",DB916+DD916-DB915)</f>
        <v/>
      </c>
      <c r="DD915" s="13"/>
      <c r="DE915" s="13"/>
      <c r="DF915" s="13"/>
      <c r="DG915" s="13" t="str">
        <f t="shared" si="1365"/>
        <v/>
      </c>
      <c r="DH915" s="14" t="str">
        <f t="shared" si="1366"/>
        <v/>
      </c>
      <c r="DI915" s="15"/>
      <c r="DJ915" s="1"/>
      <c r="DK915" s="16"/>
      <c r="DL915" s="13"/>
      <c r="DM915" s="13" t="str">
        <f>IF(DL915="","",DL915-DL916)</f>
        <v/>
      </c>
      <c r="DN915" s="13"/>
      <c r="DO915" s="13" t="str">
        <f>IF(DN915="","",DN915-DN916)</f>
        <v/>
      </c>
      <c r="DP915" s="13"/>
      <c r="DQ915" s="13" t="str">
        <f>IF(DP915="","",DP916+DR916-DP915)</f>
        <v/>
      </c>
      <c r="DR915" s="13"/>
      <c r="DS915" s="13"/>
      <c r="DT915" s="13"/>
      <c r="DU915" s="13" t="str">
        <f t="shared" si="1367"/>
        <v/>
      </c>
      <c r="DV915" s="14" t="str">
        <f t="shared" si="1368"/>
        <v/>
      </c>
      <c r="DW915" s="15"/>
    </row>
    <row r="916" spans="1:127" ht="15" customHeight="1" x14ac:dyDescent="0.2">
      <c r="A916" s="79"/>
      <c r="B916" s="11"/>
      <c r="C916" s="53">
        <v>25085</v>
      </c>
      <c r="D916" s="13">
        <f t="shared" si="1320"/>
        <v>62</v>
      </c>
      <c r="E916" s="53">
        <v>1298</v>
      </c>
      <c r="F916" s="13">
        <f t="shared" si="1321"/>
        <v>0</v>
      </c>
      <c r="G916" s="13">
        <v>14</v>
      </c>
      <c r="H916" s="13">
        <f t="shared" si="1322"/>
        <v>0</v>
      </c>
      <c r="I916" s="17">
        <v>2</v>
      </c>
      <c r="J916" s="21" t="str">
        <f t="shared" si="1323"/>
        <v>ジャグラーイヤホン</v>
      </c>
      <c r="K916" s="54">
        <f t="shared" si="1324"/>
        <v>1100</v>
      </c>
      <c r="L916" s="13">
        <f t="shared" si="1369"/>
        <v>0</v>
      </c>
      <c r="M916" s="14">
        <f t="shared" si="1370"/>
        <v>0</v>
      </c>
      <c r="N916" s="15"/>
      <c r="O916" s="2"/>
      <c r="P916" s="79" t="str">
        <f>IF(A916="","",A916)</f>
        <v/>
      </c>
      <c r="Q916" s="53">
        <v>25838</v>
      </c>
      <c r="R916" s="13">
        <f t="shared" si="1371"/>
        <v>267</v>
      </c>
      <c r="S916" s="53">
        <v>1473</v>
      </c>
      <c r="T916" s="13">
        <f t="shared" si="1327"/>
        <v>7</v>
      </c>
      <c r="U916" s="13">
        <v>2</v>
      </c>
      <c r="V916" s="13">
        <f t="shared" si="1328"/>
        <v>8</v>
      </c>
      <c r="W916" s="17">
        <v>7</v>
      </c>
      <c r="X916" s="21" t="str">
        <f t="shared" si="1329"/>
        <v>サンリオFAN</v>
      </c>
      <c r="Y916" s="54">
        <f t="shared" si="1330"/>
        <v>1100</v>
      </c>
      <c r="Z916" s="13">
        <f t="shared" si="1331"/>
        <v>8800</v>
      </c>
      <c r="AA916" s="14">
        <f t="shared" si="1332"/>
        <v>0.32958801498127338</v>
      </c>
      <c r="AB916" s="15"/>
      <c r="AC916" s="15"/>
      <c r="AD916" s="79" t="str">
        <f>IF(O916="","",O916)</f>
        <v/>
      </c>
      <c r="AE916" s="53">
        <v>4126</v>
      </c>
      <c r="AF916" s="13">
        <f t="shared" si="1372"/>
        <v>35</v>
      </c>
      <c r="AG916" s="53">
        <v>95</v>
      </c>
      <c r="AH916" s="13">
        <f t="shared" si="1334"/>
        <v>0</v>
      </c>
      <c r="AI916" s="13">
        <v>11</v>
      </c>
      <c r="AJ916" s="13">
        <f t="shared" si="1335"/>
        <v>0</v>
      </c>
      <c r="AK916" s="17">
        <v>-5</v>
      </c>
      <c r="AL916" s="21" t="str">
        <f t="shared" si="1336"/>
        <v>デジタルミニカメラ</v>
      </c>
      <c r="AM916" s="54">
        <f t="shared" si="1337"/>
        <v>800</v>
      </c>
      <c r="AN916" s="13">
        <f t="shared" si="1338"/>
        <v>0</v>
      </c>
      <c r="AO916" s="14">
        <f t="shared" si="1339"/>
        <v>0</v>
      </c>
      <c r="AP916" s="15" t="s">
        <v>135</v>
      </c>
      <c r="AQ916" s="15"/>
      <c r="AR916" s="79" t="str">
        <f>IF(AC916="","",AC916)</f>
        <v/>
      </c>
      <c r="AS916" s="53">
        <v>3328</v>
      </c>
      <c r="AT916" s="13">
        <f t="shared" si="1373"/>
        <v>35</v>
      </c>
      <c r="AU916" s="53">
        <v>180</v>
      </c>
      <c r="AV916" s="13">
        <f t="shared" si="1341"/>
        <v>7</v>
      </c>
      <c r="AW916" s="13">
        <v>55</v>
      </c>
      <c r="AX916" s="13">
        <f t="shared" si="1342"/>
        <v>15</v>
      </c>
      <c r="AY916" s="17">
        <v>-39</v>
      </c>
      <c r="AZ916" s="21" t="str">
        <f t="shared" si="1343"/>
        <v>サンリオシューズキーホルダー</v>
      </c>
      <c r="BA916" s="54">
        <f t="shared" si="1344"/>
        <v>400</v>
      </c>
      <c r="BB916" s="13">
        <f t="shared" si="1345"/>
        <v>6000</v>
      </c>
      <c r="BC916" s="14">
        <f t="shared" si="1346"/>
        <v>1.7142857142857142</v>
      </c>
      <c r="BD916" s="15" t="s">
        <v>132</v>
      </c>
      <c r="BT916" s="15"/>
      <c r="BU916" s="16"/>
      <c r="BV916" s="13"/>
      <c r="BW916" s="13" t="str">
        <f t="shared" ref="BW916:BW917" si="1392">IF(BV916="","",BV916-BV914)</f>
        <v/>
      </c>
      <c r="BX916" s="13"/>
      <c r="BY916" s="13" t="str">
        <f t="shared" ref="BY916" si="1393">IF(BX916="","",BX916-BX914)</f>
        <v/>
      </c>
      <c r="BZ916" s="13"/>
      <c r="CA916" s="13" t="str">
        <f t="shared" ref="CA916:CA917" si="1394">IF(BZ916="","",BZ914+CB914-BZ916)</f>
        <v/>
      </c>
      <c r="CB916" s="13"/>
      <c r="CC916" s="13"/>
      <c r="CD916" s="13"/>
      <c r="CE916" s="13" t="str">
        <f t="shared" si="1362"/>
        <v/>
      </c>
      <c r="CF916" s="14" t="str">
        <f t="shared" si="1363"/>
        <v/>
      </c>
      <c r="CG916" s="15"/>
      <c r="CH916" s="1"/>
      <c r="CI916" s="16"/>
      <c r="CJ916" s="13"/>
      <c r="CK916" s="13" t="str">
        <f t="shared" ref="CK916:CK917" si="1395">IF(CJ916="","",CJ916-CJ914)</f>
        <v/>
      </c>
      <c r="CL916" s="13"/>
      <c r="CM916" s="13" t="str">
        <f t="shared" ref="CM916" si="1396">IF(CL916="","",CL916-CL914)</f>
        <v/>
      </c>
      <c r="CN916" s="13"/>
      <c r="CO916" s="13" t="str">
        <f t="shared" ref="CO916:CO917" si="1397">IF(CN916="","",CN914+CP914-CN916)</f>
        <v/>
      </c>
      <c r="CP916" s="13"/>
      <c r="CQ916" s="13"/>
      <c r="CR916" s="13"/>
      <c r="CS916" s="13" t="str">
        <f t="shared" si="1364"/>
        <v/>
      </c>
      <c r="CT916" s="14" t="str">
        <f t="shared" si="1391"/>
        <v/>
      </c>
      <c r="CU916" s="15"/>
      <c r="CV916" s="1"/>
      <c r="CW916" s="16"/>
      <c r="CX916" s="13"/>
      <c r="CY916" s="13" t="str">
        <f t="shared" ref="CY916:CY917" si="1398">IF(CX916="","",CX916-CX914)</f>
        <v/>
      </c>
      <c r="CZ916" s="13"/>
      <c r="DA916" s="13" t="str">
        <f t="shared" ref="DA916" si="1399">IF(CZ916="","",CZ916-CZ914)</f>
        <v/>
      </c>
      <c r="DB916" s="13"/>
      <c r="DC916" s="13" t="str">
        <f t="shared" ref="DC916:DC917" si="1400">IF(DB916="","",DB914+DD914-DB916)</f>
        <v/>
      </c>
      <c r="DD916" s="13"/>
      <c r="DE916" s="13"/>
      <c r="DF916" s="13"/>
      <c r="DG916" s="13" t="str">
        <f t="shared" si="1365"/>
        <v/>
      </c>
      <c r="DH916" s="14" t="str">
        <f t="shared" si="1366"/>
        <v/>
      </c>
      <c r="DI916" s="15"/>
      <c r="DJ916" s="1"/>
      <c r="DK916" s="16"/>
      <c r="DL916" s="13"/>
      <c r="DM916" s="13" t="str">
        <f t="shared" ref="DM916:DM917" si="1401">IF(DL916="","",DL916-DL914)</f>
        <v/>
      </c>
      <c r="DN916" s="13"/>
      <c r="DO916" s="13" t="str">
        <f t="shared" ref="DO916" si="1402">IF(DN916="","",DN916-DN914)</f>
        <v/>
      </c>
      <c r="DP916" s="13"/>
      <c r="DQ916" s="13" t="str">
        <f t="shared" ref="DQ916:DQ917" si="1403">IF(DP916="","",DP914+DR914-DP916)</f>
        <v/>
      </c>
      <c r="DR916" s="13"/>
      <c r="DS916" s="13"/>
      <c r="DT916" s="13"/>
      <c r="DU916" s="13" t="str">
        <f t="shared" si="1367"/>
        <v/>
      </c>
      <c r="DV916" s="14" t="str">
        <f t="shared" si="1368"/>
        <v/>
      </c>
      <c r="DW916" s="15"/>
    </row>
    <row r="917" spans="1:127" ht="15" customHeight="1" x14ac:dyDescent="0.2">
      <c r="A917" s="16"/>
      <c r="B917" s="11"/>
      <c r="C917" s="13">
        <v>20937</v>
      </c>
      <c r="D917" s="13">
        <f t="shared" si="1320"/>
        <v>63</v>
      </c>
      <c r="E917" s="13">
        <v>1056</v>
      </c>
      <c r="F917" s="13">
        <f t="shared" si="1321"/>
        <v>4</v>
      </c>
      <c r="G917" s="13">
        <v>12</v>
      </c>
      <c r="H917" s="13">
        <f t="shared" si="1322"/>
        <v>5</v>
      </c>
      <c r="I917" s="17">
        <v>0</v>
      </c>
      <c r="J917" s="21" t="str">
        <f t="shared" si="1323"/>
        <v>グミッツェルプチ</v>
      </c>
      <c r="K917" s="54">
        <f t="shared" si="1324"/>
        <v>180</v>
      </c>
      <c r="L917" s="13">
        <f t="shared" si="1369"/>
        <v>900</v>
      </c>
      <c r="M917" s="14">
        <f t="shared" si="1370"/>
        <v>0.14285714285714285</v>
      </c>
      <c r="N917" s="15"/>
      <c r="O917" s="2"/>
      <c r="P917" s="16"/>
      <c r="Q917" s="13">
        <v>19645</v>
      </c>
      <c r="R917" s="13">
        <f t="shared" si="1371"/>
        <v>22</v>
      </c>
      <c r="S917" s="13">
        <v>2700</v>
      </c>
      <c r="T917" s="13">
        <f t="shared" si="1327"/>
        <v>4</v>
      </c>
      <c r="U917" s="13">
        <v>10</v>
      </c>
      <c r="V917" s="13">
        <f t="shared" si="1328"/>
        <v>5</v>
      </c>
      <c r="W917" s="17">
        <v>8</v>
      </c>
      <c r="X917" s="21" t="str">
        <f t="shared" si="1329"/>
        <v>グミッツェル</v>
      </c>
      <c r="Y917" s="54">
        <f t="shared" si="1330"/>
        <v>165</v>
      </c>
      <c r="Z917" s="13">
        <f t="shared" si="1331"/>
        <v>825</v>
      </c>
      <c r="AA917" s="14">
        <f t="shared" si="1332"/>
        <v>0.375</v>
      </c>
      <c r="AB917" s="15" t="s">
        <v>133</v>
      </c>
      <c r="AC917" s="15"/>
      <c r="AD917" s="16"/>
      <c r="AE917" s="13">
        <v>4422</v>
      </c>
      <c r="AF917" s="13">
        <f t="shared" si="1372"/>
        <v>20</v>
      </c>
      <c r="AG917" s="13">
        <v>146</v>
      </c>
      <c r="AH917" s="13">
        <f t="shared" si="1334"/>
        <v>3</v>
      </c>
      <c r="AI917" s="13">
        <v>7</v>
      </c>
      <c r="AJ917" s="13">
        <f t="shared" si="1335"/>
        <v>3</v>
      </c>
      <c r="AK917" s="17">
        <v>73</v>
      </c>
      <c r="AL917" s="21" t="str">
        <f t="shared" si="1336"/>
        <v>ピクミン引っこ抜き</v>
      </c>
      <c r="AM917" s="54">
        <f t="shared" si="1337"/>
        <v>650</v>
      </c>
      <c r="AN917" s="13">
        <f t="shared" si="1338"/>
        <v>1950</v>
      </c>
      <c r="AO917" s="14">
        <f t="shared" si="1339"/>
        <v>0.97499999999999998</v>
      </c>
      <c r="AP917" s="15" t="s">
        <v>131</v>
      </c>
      <c r="AQ917" s="15"/>
      <c r="AR917" s="16"/>
      <c r="AS917" s="13">
        <v>5409</v>
      </c>
      <c r="AT917" s="13">
        <f t="shared" si="1373"/>
        <v>146</v>
      </c>
      <c r="AU917" s="13">
        <v>215</v>
      </c>
      <c r="AV917" s="13">
        <f t="shared" si="1341"/>
        <v>6</v>
      </c>
      <c r="AW917" s="13">
        <v>100</v>
      </c>
      <c r="AX917" s="13">
        <f t="shared" si="1342"/>
        <v>0</v>
      </c>
      <c r="AY917" s="17">
        <v>10</v>
      </c>
      <c r="AZ917" s="21" t="str">
        <f t="shared" si="1343"/>
        <v>スプランキーラバーキーホルダー</v>
      </c>
      <c r="BA917" s="54">
        <f t="shared" si="1344"/>
        <v>200</v>
      </c>
      <c r="BB917" s="13">
        <f t="shared" si="1345"/>
        <v>0</v>
      </c>
      <c r="BC917" s="14">
        <f t="shared" si="1346"/>
        <v>0</v>
      </c>
      <c r="BD917" s="15"/>
      <c r="BT917" s="15"/>
      <c r="BU917" s="16"/>
      <c r="BV917" s="25"/>
      <c r="BW917" s="13" t="str">
        <f t="shared" si="1392"/>
        <v/>
      </c>
      <c r="BX917" s="13"/>
      <c r="BY917" s="13"/>
      <c r="BZ917" s="13"/>
      <c r="CA917" s="13" t="str">
        <f t="shared" si="1394"/>
        <v/>
      </c>
      <c r="CB917" s="13"/>
      <c r="CC917" s="13"/>
      <c r="CD917" s="13"/>
      <c r="CE917" s="13" t="str">
        <f t="shared" si="1362"/>
        <v/>
      </c>
      <c r="CF917" s="14" t="str">
        <f t="shared" si="1363"/>
        <v/>
      </c>
      <c r="CG917" s="15"/>
      <c r="CH917" s="1"/>
      <c r="CI917" s="16"/>
      <c r="CJ917" s="25"/>
      <c r="CK917" s="13" t="str">
        <f t="shared" si="1395"/>
        <v/>
      </c>
      <c r="CL917" s="13"/>
      <c r="CM917" s="13"/>
      <c r="CN917" s="13"/>
      <c r="CO917" s="13" t="str">
        <f t="shared" si="1397"/>
        <v/>
      </c>
      <c r="CP917" s="13"/>
      <c r="CQ917" s="13"/>
      <c r="CR917" s="13"/>
      <c r="CS917" s="13" t="str">
        <f t="shared" si="1364"/>
        <v/>
      </c>
      <c r="CT917" s="14" t="str">
        <f t="shared" si="1391"/>
        <v/>
      </c>
      <c r="CU917" s="15"/>
      <c r="CV917" s="1"/>
      <c r="CW917" s="16"/>
      <c r="CX917" s="25"/>
      <c r="CY917" s="13" t="str">
        <f t="shared" si="1398"/>
        <v/>
      </c>
      <c r="CZ917" s="13"/>
      <c r="DA917" s="13"/>
      <c r="DB917" s="13"/>
      <c r="DC917" s="13" t="str">
        <f t="shared" si="1400"/>
        <v/>
      </c>
      <c r="DD917" s="13"/>
      <c r="DE917" s="13"/>
      <c r="DF917" s="13"/>
      <c r="DG917" s="13" t="str">
        <f t="shared" si="1365"/>
        <v/>
      </c>
      <c r="DH917" s="14" t="str">
        <f t="shared" si="1366"/>
        <v/>
      </c>
      <c r="DI917" s="15"/>
      <c r="DJ917" s="1"/>
      <c r="DK917" s="16"/>
      <c r="DL917" s="25"/>
      <c r="DM917" s="13" t="str">
        <f t="shared" si="1401"/>
        <v/>
      </c>
      <c r="DN917" s="13"/>
      <c r="DO917" s="13"/>
      <c r="DP917" s="13"/>
      <c r="DQ917" s="13" t="str">
        <f t="shared" si="1403"/>
        <v/>
      </c>
      <c r="DR917" s="13"/>
      <c r="DS917" s="13"/>
      <c r="DT917" s="13"/>
      <c r="DU917" s="13" t="str">
        <f t="shared" si="1367"/>
        <v/>
      </c>
      <c r="DV917" s="14" t="str">
        <f t="shared" si="1368"/>
        <v/>
      </c>
      <c r="DW917" s="15"/>
    </row>
    <row r="918" spans="1:127" ht="15" customHeight="1" thickBot="1" x14ac:dyDescent="0.25">
      <c r="A918" s="26"/>
      <c r="B918" s="46"/>
      <c r="C918" s="27">
        <v>27062</v>
      </c>
      <c r="D918" s="27">
        <f t="shared" si="1320"/>
        <v>118</v>
      </c>
      <c r="E918" s="27">
        <v>1313</v>
      </c>
      <c r="F918" s="27">
        <f t="shared" si="1321"/>
        <v>3</v>
      </c>
      <c r="G918" s="27">
        <v>41</v>
      </c>
      <c r="H918" s="27">
        <f t="shared" si="1322"/>
        <v>5</v>
      </c>
      <c r="I918" s="47">
        <v>13</v>
      </c>
      <c r="J918" s="30" t="str">
        <f t="shared" si="1323"/>
        <v>NICIマスコット</v>
      </c>
      <c r="K918" s="62">
        <f t="shared" si="1324"/>
        <v>682</v>
      </c>
      <c r="L918" s="27">
        <f t="shared" si="1369"/>
        <v>3410</v>
      </c>
      <c r="M918" s="28">
        <f t="shared" si="1370"/>
        <v>0.28898305084745762</v>
      </c>
      <c r="N918" s="15"/>
      <c r="O918" s="2"/>
      <c r="P918" s="26"/>
      <c r="Q918" s="27">
        <v>18645</v>
      </c>
      <c r="R918" s="27">
        <f t="shared" si="1371"/>
        <v>30</v>
      </c>
      <c r="S918" s="27">
        <v>1658</v>
      </c>
      <c r="T918" s="27">
        <f t="shared" si="1327"/>
        <v>3</v>
      </c>
      <c r="U918" s="27">
        <v>270</v>
      </c>
      <c r="V918" s="27">
        <f t="shared" si="1328"/>
        <v>5</v>
      </c>
      <c r="W918" s="47">
        <v>-261</v>
      </c>
      <c r="X918" s="30" t="str">
        <f t="shared" si="1329"/>
        <v>サンリオブレスレット</v>
      </c>
      <c r="Y918" s="62">
        <f t="shared" si="1330"/>
        <v>120</v>
      </c>
      <c r="Z918" s="27">
        <f t="shared" si="1331"/>
        <v>600</v>
      </c>
      <c r="AA918" s="28">
        <f t="shared" si="1332"/>
        <v>0.2</v>
      </c>
      <c r="AB918" s="15" t="s">
        <v>136</v>
      </c>
      <c r="AC918" s="15"/>
      <c r="AD918" s="26"/>
      <c r="AE918" s="27">
        <v>4285</v>
      </c>
      <c r="AF918" s="27">
        <f t="shared" si="1372"/>
        <v>81</v>
      </c>
      <c r="AG918" s="27">
        <v>151</v>
      </c>
      <c r="AH918" s="27">
        <f t="shared" si="1334"/>
        <v>2</v>
      </c>
      <c r="AI918" s="27">
        <v>16</v>
      </c>
      <c r="AJ918" s="27">
        <f t="shared" si="1335"/>
        <v>2</v>
      </c>
      <c r="AK918" s="47">
        <v>1</v>
      </c>
      <c r="AL918" s="30" t="str">
        <f t="shared" si="1336"/>
        <v>ギャルキティキーケース</v>
      </c>
      <c r="AM918" s="62">
        <f t="shared" si="1337"/>
        <v>726</v>
      </c>
      <c r="AN918" s="27">
        <f t="shared" si="1338"/>
        <v>1452</v>
      </c>
      <c r="AO918" s="28">
        <f t="shared" si="1339"/>
        <v>0.17925925925925926</v>
      </c>
      <c r="AP918" s="15"/>
      <c r="AQ918" s="15"/>
      <c r="AR918" s="26"/>
      <c r="AS918" s="27">
        <v>4947</v>
      </c>
      <c r="AT918" s="27">
        <f t="shared" si="1373"/>
        <v>175</v>
      </c>
      <c r="AU918" s="27">
        <v>226</v>
      </c>
      <c r="AV918" s="27">
        <f t="shared" si="1341"/>
        <v>11</v>
      </c>
      <c r="AW918" s="27">
        <v>28</v>
      </c>
      <c r="AX918" s="27">
        <f t="shared" si="1342"/>
        <v>14</v>
      </c>
      <c r="AY918" s="47">
        <v>0</v>
      </c>
      <c r="AZ918" s="30" t="str">
        <f t="shared" si="1343"/>
        <v>スプランキーマスコット</v>
      </c>
      <c r="BA918" s="62">
        <f t="shared" si="1344"/>
        <v>180</v>
      </c>
      <c r="BB918" s="27">
        <f t="shared" si="1345"/>
        <v>2520</v>
      </c>
      <c r="BC918" s="28">
        <f t="shared" si="1346"/>
        <v>0.14399999999999999</v>
      </c>
      <c r="BD918" s="15"/>
      <c r="BT918" s="15"/>
      <c r="BU918" s="16"/>
      <c r="BV918" s="25"/>
      <c r="BW918" s="13" t="str">
        <f t="shared" ref="BW918:BW938" si="1404">IF(BV918="","",BV918-BV917)</f>
        <v/>
      </c>
      <c r="BX918" s="13"/>
      <c r="BY918" s="13"/>
      <c r="BZ918" s="13"/>
      <c r="CA918" s="13" t="str">
        <f t="shared" ref="CA918:CA938" si="1405">IF(BZ918="","",BZ917+CB917-BZ918)</f>
        <v/>
      </c>
      <c r="CB918" s="13"/>
      <c r="CC918" s="13"/>
      <c r="CD918" s="13"/>
      <c r="CE918" s="13" t="str">
        <f t="shared" si="1362"/>
        <v/>
      </c>
      <c r="CF918" s="14" t="str">
        <f t="shared" si="1363"/>
        <v/>
      </c>
      <c r="CG918" s="15"/>
      <c r="CH918" s="1"/>
      <c r="CI918" s="16"/>
      <c r="CJ918" s="25"/>
      <c r="CK918" s="13" t="str">
        <f t="shared" ref="CK918:CK938" si="1406">IF(CJ918="","",CJ918-CJ917)</f>
        <v/>
      </c>
      <c r="CL918" s="13"/>
      <c r="CM918" s="13"/>
      <c r="CN918" s="13"/>
      <c r="CO918" s="13" t="str">
        <f t="shared" ref="CO918:CO938" si="1407">IF(CN918="","",CN917+CP917-CN918)</f>
        <v/>
      </c>
      <c r="CP918" s="13"/>
      <c r="CQ918" s="13"/>
      <c r="CR918" s="13"/>
      <c r="CS918" s="13" t="str">
        <f t="shared" si="1364"/>
        <v/>
      </c>
      <c r="CT918" s="14" t="str">
        <f t="shared" si="1391"/>
        <v/>
      </c>
      <c r="CU918" s="15"/>
      <c r="CV918" s="1"/>
      <c r="CW918" s="16"/>
      <c r="CX918" s="25"/>
      <c r="CY918" s="13" t="str">
        <f t="shared" ref="CY918:CY938" si="1408">IF(CX918="","",CX918-CX917)</f>
        <v/>
      </c>
      <c r="CZ918" s="13"/>
      <c r="DA918" s="13"/>
      <c r="DB918" s="13"/>
      <c r="DC918" s="13" t="str">
        <f t="shared" ref="DC918:DC938" si="1409">IF(DB918="","",DB917+DD917-DB918)</f>
        <v/>
      </c>
      <c r="DD918" s="13"/>
      <c r="DE918" s="13"/>
      <c r="DF918" s="13"/>
      <c r="DG918" s="13" t="str">
        <f t="shared" si="1365"/>
        <v/>
      </c>
      <c r="DH918" s="14" t="str">
        <f t="shared" si="1366"/>
        <v/>
      </c>
      <c r="DI918" s="15"/>
      <c r="DJ918" s="1"/>
      <c r="DK918" s="16"/>
      <c r="DL918" s="25"/>
      <c r="DM918" s="13" t="str">
        <f t="shared" ref="DM918:DM938" si="1410">IF(DL918="","",DL918-DL917)</f>
        <v/>
      </c>
      <c r="DN918" s="13"/>
      <c r="DO918" s="13"/>
      <c r="DP918" s="13"/>
      <c r="DQ918" s="13" t="str">
        <f t="shared" ref="DQ918:DQ938" si="1411">IF(DP918="","",DP917+DR917-DP918)</f>
        <v/>
      </c>
      <c r="DR918" s="13"/>
      <c r="DS918" s="13"/>
      <c r="DT918" s="13"/>
      <c r="DU918" s="13" t="str">
        <f t="shared" si="1367"/>
        <v/>
      </c>
      <c r="DV918" s="14" t="str">
        <f t="shared" si="1368"/>
        <v/>
      </c>
      <c r="DW918" s="15"/>
    </row>
    <row r="919" spans="1:127" ht="15" customHeight="1" thickTop="1" x14ac:dyDescent="0.2">
      <c r="A919" s="79">
        <v>45817</v>
      </c>
      <c r="B919" s="74">
        <f>IF(A919="","",SUM(D919:D922)+SUM(R919:R922)+SUM(AF919:AF922)+SUM(AT919:AT922)+SUM(BW898,CK898,CY898,DM898))</f>
        <v>2450</v>
      </c>
      <c r="C919" s="13">
        <v>21001</v>
      </c>
      <c r="D919" s="53">
        <f t="shared" si="1320"/>
        <v>73</v>
      </c>
      <c r="E919" s="13">
        <v>1120</v>
      </c>
      <c r="F919" s="31">
        <f t="shared" si="1321"/>
        <v>3</v>
      </c>
      <c r="G919" s="13">
        <v>7</v>
      </c>
      <c r="H919" s="53">
        <f t="shared" si="1322"/>
        <v>3</v>
      </c>
      <c r="I919" s="80">
        <v>8</v>
      </c>
      <c r="J919" s="75" t="str">
        <f t="shared" si="1323"/>
        <v>ジャグラーサウンドボタン</v>
      </c>
      <c r="K919" s="76">
        <f t="shared" si="1324"/>
        <v>748</v>
      </c>
      <c r="L919" s="31">
        <f t="shared" si="1369"/>
        <v>2244</v>
      </c>
      <c r="M919" s="32">
        <f t="shared" si="1370"/>
        <v>0.30739726027397263</v>
      </c>
      <c r="N919" s="15"/>
      <c r="O919" s="2"/>
      <c r="P919" s="79">
        <f>IF($A919="","",$A919)</f>
        <v>45817</v>
      </c>
      <c r="Q919" s="13">
        <v>20956</v>
      </c>
      <c r="R919" s="53">
        <f t="shared" si="1371"/>
        <v>45</v>
      </c>
      <c r="S919" s="13">
        <v>1176</v>
      </c>
      <c r="T919" s="31">
        <f t="shared" si="1327"/>
        <v>3</v>
      </c>
      <c r="U919" s="13">
        <v>13</v>
      </c>
      <c r="V919" s="53">
        <f t="shared" si="1328"/>
        <v>3</v>
      </c>
      <c r="W919" s="80">
        <v>0</v>
      </c>
      <c r="X919" s="75" t="s">
        <v>143</v>
      </c>
      <c r="Y919" s="76"/>
      <c r="Z919" s="31">
        <f t="shared" si="1331"/>
        <v>0</v>
      </c>
      <c r="AA919" s="32">
        <f t="shared" si="1332"/>
        <v>0</v>
      </c>
      <c r="AB919" s="15" t="s">
        <v>147</v>
      </c>
      <c r="AC919" s="15"/>
      <c r="AD919" s="79">
        <f>IF($A919="","",$A919)</f>
        <v>45817</v>
      </c>
      <c r="AE919" s="13">
        <v>5113</v>
      </c>
      <c r="AF919" s="53">
        <f t="shared" si="1372"/>
        <v>93</v>
      </c>
      <c r="AG919" s="13">
        <v>103</v>
      </c>
      <c r="AH919" s="31">
        <f t="shared" si="1334"/>
        <v>0</v>
      </c>
      <c r="AI919" s="13">
        <v>34</v>
      </c>
      <c r="AJ919" s="53">
        <f t="shared" si="1335"/>
        <v>0</v>
      </c>
      <c r="AK919" s="80">
        <v>5</v>
      </c>
      <c r="AL919" s="75" t="str">
        <f t="shared" si="1336"/>
        <v>ミニ香水</v>
      </c>
      <c r="AM919" s="76">
        <f t="shared" si="1337"/>
        <v>1100</v>
      </c>
      <c r="AN919" s="31">
        <f t="shared" si="1338"/>
        <v>0</v>
      </c>
      <c r="AO919" s="32">
        <f t="shared" si="1339"/>
        <v>0</v>
      </c>
      <c r="AP919" s="15" t="s">
        <v>64</v>
      </c>
      <c r="AQ919" s="15"/>
      <c r="AR919" s="79">
        <f>IF($A919="","",$A919)</f>
        <v>45817</v>
      </c>
      <c r="AS919" s="13">
        <v>5237</v>
      </c>
      <c r="AT919" s="53">
        <f t="shared" si="1373"/>
        <v>97</v>
      </c>
      <c r="AU919" s="13">
        <v>169</v>
      </c>
      <c r="AV919" s="31">
        <f t="shared" si="1341"/>
        <v>2</v>
      </c>
      <c r="AW919" s="13">
        <v>22</v>
      </c>
      <c r="AX919" s="53">
        <f t="shared" si="1342"/>
        <v>2</v>
      </c>
      <c r="AY919" s="80">
        <v>0</v>
      </c>
      <c r="AZ919" s="75" t="str">
        <f t="shared" si="1343"/>
        <v>ロムアンド</v>
      </c>
      <c r="BA919" s="76">
        <f t="shared" si="1344"/>
        <v>1001</v>
      </c>
      <c r="BB919" s="31">
        <f t="shared" si="1345"/>
        <v>2002</v>
      </c>
      <c r="BC919" s="32">
        <f t="shared" si="1346"/>
        <v>0.20639175257731959</v>
      </c>
      <c r="BD919" s="15"/>
      <c r="BT919" s="15"/>
      <c r="BU919" s="16"/>
      <c r="BV919" s="25"/>
      <c r="BW919" s="13" t="str">
        <f t="shared" si="1404"/>
        <v/>
      </c>
      <c r="BX919" s="13"/>
      <c r="BY919" s="13"/>
      <c r="BZ919" s="13"/>
      <c r="CA919" s="13" t="str">
        <f t="shared" si="1405"/>
        <v/>
      </c>
      <c r="CB919" s="13"/>
      <c r="CC919" s="13"/>
      <c r="CD919" s="13"/>
      <c r="CE919" s="13" t="str">
        <f t="shared" si="1362"/>
        <v/>
      </c>
      <c r="CF919" s="14" t="str">
        <f t="shared" si="1363"/>
        <v/>
      </c>
      <c r="CG919" s="15"/>
      <c r="CH919" s="1"/>
      <c r="CI919" s="16"/>
      <c r="CJ919" s="25"/>
      <c r="CK919" s="13" t="str">
        <f t="shared" si="1406"/>
        <v/>
      </c>
      <c r="CL919" s="13"/>
      <c r="CM919" s="13"/>
      <c r="CN919" s="13"/>
      <c r="CO919" s="13" t="str">
        <f t="shared" si="1407"/>
        <v/>
      </c>
      <c r="CP919" s="13"/>
      <c r="CQ919" s="13"/>
      <c r="CR919" s="13"/>
      <c r="CS919" s="13" t="str">
        <f t="shared" si="1364"/>
        <v/>
      </c>
      <c r="CT919" s="14" t="str">
        <f t="shared" si="1391"/>
        <v/>
      </c>
      <c r="CU919" s="15"/>
      <c r="CV919" s="1"/>
      <c r="CW919" s="16"/>
      <c r="CX919" s="25"/>
      <c r="CY919" s="13" t="str">
        <f t="shared" si="1408"/>
        <v/>
      </c>
      <c r="CZ919" s="13"/>
      <c r="DA919" s="13"/>
      <c r="DB919" s="13"/>
      <c r="DC919" s="13" t="str">
        <f t="shared" si="1409"/>
        <v/>
      </c>
      <c r="DD919" s="13"/>
      <c r="DE919" s="13"/>
      <c r="DF919" s="13"/>
      <c r="DG919" s="13" t="str">
        <f t="shared" si="1365"/>
        <v/>
      </c>
      <c r="DH919" s="14" t="str">
        <f t="shared" si="1366"/>
        <v/>
      </c>
      <c r="DI919" s="15"/>
      <c r="DJ919" s="1"/>
      <c r="DK919" s="16"/>
      <c r="DL919" s="25"/>
      <c r="DM919" s="13" t="str">
        <f t="shared" si="1410"/>
        <v/>
      </c>
      <c r="DN919" s="13"/>
      <c r="DO919" s="13"/>
      <c r="DP919" s="13"/>
      <c r="DQ919" s="13" t="str">
        <f t="shared" si="1411"/>
        <v/>
      </c>
      <c r="DR919" s="13"/>
      <c r="DS919" s="13"/>
      <c r="DT919" s="13"/>
      <c r="DU919" s="13" t="str">
        <f t="shared" si="1367"/>
        <v/>
      </c>
      <c r="DV919" s="14" t="str">
        <f t="shared" si="1368"/>
        <v/>
      </c>
      <c r="DW919" s="15"/>
    </row>
    <row r="920" spans="1:127" ht="15" customHeight="1" x14ac:dyDescent="0.2">
      <c r="A920" s="288" t="s">
        <v>148</v>
      </c>
      <c r="B920" s="289"/>
      <c r="C920" s="53">
        <v>25157</v>
      </c>
      <c r="D920" s="13">
        <f t="shared" si="1320"/>
        <v>72</v>
      </c>
      <c r="E920" s="53">
        <v>1299</v>
      </c>
      <c r="F920" s="13">
        <f t="shared" si="1321"/>
        <v>1</v>
      </c>
      <c r="G920" s="13">
        <v>13</v>
      </c>
      <c r="H920" s="13">
        <f t="shared" si="1322"/>
        <v>3</v>
      </c>
      <c r="I920" s="17">
        <v>6</v>
      </c>
      <c r="J920" s="56" t="str">
        <f t="shared" si="1323"/>
        <v>ジャグラーイヤホン</v>
      </c>
      <c r="K920" s="54">
        <f t="shared" si="1324"/>
        <v>1100</v>
      </c>
      <c r="L920" s="13">
        <f t="shared" si="1369"/>
        <v>3300</v>
      </c>
      <c r="M920" s="14">
        <f t="shared" si="1370"/>
        <v>0.45833333333333331</v>
      </c>
      <c r="N920" s="15"/>
      <c r="O920" s="2"/>
      <c r="P920" s="16"/>
      <c r="Q920" s="53">
        <v>26115</v>
      </c>
      <c r="R920" s="13">
        <f t="shared" si="1371"/>
        <v>277</v>
      </c>
      <c r="S920" s="53">
        <v>1478</v>
      </c>
      <c r="T920" s="13">
        <f t="shared" si="1327"/>
        <v>5</v>
      </c>
      <c r="U920" s="13">
        <v>4</v>
      </c>
      <c r="V920" s="13">
        <f t="shared" si="1328"/>
        <v>5</v>
      </c>
      <c r="W920" s="17">
        <v>8</v>
      </c>
      <c r="X920" s="56" t="str">
        <f t="shared" si="1329"/>
        <v>サンリオFAN</v>
      </c>
      <c r="Y920" s="54">
        <f t="shared" si="1330"/>
        <v>1100</v>
      </c>
      <c r="Z920" s="13">
        <f t="shared" si="1331"/>
        <v>5500</v>
      </c>
      <c r="AA920" s="14">
        <f t="shared" si="1332"/>
        <v>0.19855595667870035</v>
      </c>
      <c r="AB920" s="15"/>
      <c r="AC920" s="15"/>
      <c r="AD920" s="16"/>
      <c r="AE920" s="53">
        <v>4225</v>
      </c>
      <c r="AF920" s="13">
        <f t="shared" si="1372"/>
        <v>99</v>
      </c>
      <c r="AG920" s="53">
        <v>98</v>
      </c>
      <c r="AH920" s="13">
        <f t="shared" si="1334"/>
        <v>3</v>
      </c>
      <c r="AI920" s="13">
        <v>3</v>
      </c>
      <c r="AJ920" s="13">
        <f t="shared" si="1335"/>
        <v>3</v>
      </c>
      <c r="AK920" s="17">
        <v>1</v>
      </c>
      <c r="AL920" s="56" t="str">
        <f t="shared" si="1336"/>
        <v>デジタルミニカメラ</v>
      </c>
      <c r="AM920" s="54">
        <f t="shared" si="1337"/>
        <v>800</v>
      </c>
      <c r="AN920" s="13">
        <f t="shared" si="1338"/>
        <v>2400</v>
      </c>
      <c r="AO920" s="14">
        <f t="shared" si="1339"/>
        <v>0.24242424242424243</v>
      </c>
      <c r="AP920" s="15"/>
      <c r="AQ920" s="15"/>
      <c r="AR920" s="16"/>
      <c r="AS920" s="53">
        <v>3458</v>
      </c>
      <c r="AT920" s="13">
        <f t="shared" si="1373"/>
        <v>130</v>
      </c>
      <c r="AU920" s="53">
        <v>188</v>
      </c>
      <c r="AV920" s="13">
        <f t="shared" si="1341"/>
        <v>8</v>
      </c>
      <c r="AW920" s="13">
        <v>8</v>
      </c>
      <c r="AX920" s="13">
        <f t="shared" si="1342"/>
        <v>8</v>
      </c>
      <c r="AY920" s="17">
        <v>10</v>
      </c>
      <c r="AZ920" s="56" t="s">
        <v>130</v>
      </c>
      <c r="BA920" s="54">
        <v>400</v>
      </c>
      <c r="BB920" s="13">
        <f t="shared" si="1345"/>
        <v>3200</v>
      </c>
      <c r="BC920" s="14">
        <f t="shared" si="1346"/>
        <v>0.24615384615384617</v>
      </c>
      <c r="BD920" s="15" t="s">
        <v>146</v>
      </c>
      <c r="BT920" s="15"/>
      <c r="BU920" s="16"/>
      <c r="BV920" s="25"/>
      <c r="BW920" s="13" t="str">
        <f t="shared" si="1404"/>
        <v/>
      </c>
      <c r="BX920" s="13"/>
      <c r="BY920" s="13"/>
      <c r="BZ920" s="13"/>
      <c r="CA920" s="13" t="str">
        <f t="shared" si="1405"/>
        <v/>
      </c>
      <c r="CB920" s="13"/>
      <c r="CC920" s="13"/>
      <c r="CD920" s="13"/>
      <c r="CE920" s="13" t="str">
        <f t="shared" si="1362"/>
        <v/>
      </c>
      <c r="CF920" s="14" t="str">
        <f t="shared" si="1363"/>
        <v/>
      </c>
      <c r="CG920" s="15"/>
      <c r="CH920" s="1"/>
      <c r="CI920" s="16"/>
      <c r="CJ920" s="25"/>
      <c r="CK920" s="13" t="str">
        <f t="shared" si="1406"/>
        <v/>
      </c>
      <c r="CL920" s="13"/>
      <c r="CM920" s="13"/>
      <c r="CN920" s="13"/>
      <c r="CO920" s="13" t="str">
        <f t="shared" si="1407"/>
        <v/>
      </c>
      <c r="CP920" s="13"/>
      <c r="CQ920" s="13"/>
      <c r="CR920" s="13"/>
      <c r="CS920" s="13" t="str">
        <f t="shared" si="1364"/>
        <v/>
      </c>
      <c r="CT920" s="14" t="str">
        <f t="shared" si="1391"/>
        <v/>
      </c>
      <c r="CU920" s="15"/>
      <c r="CV920" s="1"/>
      <c r="CW920" s="16"/>
      <c r="CX920" s="25"/>
      <c r="CY920" s="13" t="str">
        <f t="shared" si="1408"/>
        <v/>
      </c>
      <c r="CZ920" s="13"/>
      <c r="DA920" s="13"/>
      <c r="DB920" s="13"/>
      <c r="DC920" s="13" t="str">
        <f t="shared" si="1409"/>
        <v/>
      </c>
      <c r="DD920" s="13"/>
      <c r="DE920" s="13"/>
      <c r="DF920" s="13"/>
      <c r="DG920" s="13" t="str">
        <f t="shared" si="1365"/>
        <v/>
      </c>
      <c r="DH920" s="14" t="str">
        <f t="shared" si="1366"/>
        <v/>
      </c>
      <c r="DI920" s="15"/>
      <c r="DJ920" s="1"/>
      <c r="DK920" s="16"/>
      <c r="DL920" s="25"/>
      <c r="DM920" s="13" t="str">
        <f t="shared" si="1410"/>
        <v/>
      </c>
      <c r="DN920" s="13"/>
      <c r="DO920" s="13"/>
      <c r="DP920" s="13"/>
      <c r="DQ920" s="13" t="str">
        <f t="shared" si="1411"/>
        <v/>
      </c>
      <c r="DR920" s="13"/>
      <c r="DS920" s="13"/>
      <c r="DT920" s="13"/>
      <c r="DU920" s="13" t="str">
        <f t="shared" si="1367"/>
        <v/>
      </c>
      <c r="DV920" s="14" t="str">
        <f t="shared" si="1368"/>
        <v/>
      </c>
      <c r="DW920" s="15"/>
    </row>
    <row r="921" spans="1:127" ht="15" customHeight="1" x14ac:dyDescent="0.2">
      <c r="A921" s="16"/>
      <c r="B921" s="11"/>
      <c r="C921" s="13">
        <v>21044</v>
      </c>
      <c r="D921" s="13">
        <f t="shared" si="1320"/>
        <v>107</v>
      </c>
      <c r="E921" s="13">
        <v>1060</v>
      </c>
      <c r="F921" s="13">
        <f t="shared" si="1321"/>
        <v>4</v>
      </c>
      <c r="G921" s="13">
        <v>8</v>
      </c>
      <c r="H921" s="13">
        <f t="shared" si="1322"/>
        <v>4</v>
      </c>
      <c r="I921" s="49">
        <v>8</v>
      </c>
      <c r="J921" s="56" t="str">
        <f t="shared" si="1323"/>
        <v>グミッツェルプチ</v>
      </c>
      <c r="K921" s="13">
        <f t="shared" si="1324"/>
        <v>180</v>
      </c>
      <c r="L921" s="13">
        <f t="shared" si="1369"/>
        <v>720</v>
      </c>
      <c r="M921" s="14">
        <f t="shared" si="1370"/>
        <v>6.7289719626168226E-2</v>
      </c>
      <c r="N921" s="92" t="s">
        <v>144</v>
      </c>
      <c r="O921" s="2"/>
      <c r="P921" s="16"/>
      <c r="Q921" s="13">
        <v>19652</v>
      </c>
      <c r="R921" s="13">
        <f t="shared" si="1371"/>
        <v>7</v>
      </c>
      <c r="S921" s="13">
        <v>2700</v>
      </c>
      <c r="T921" s="13">
        <f t="shared" si="1327"/>
        <v>0</v>
      </c>
      <c r="U921" s="13">
        <v>18</v>
      </c>
      <c r="V921" s="13">
        <f t="shared" si="1328"/>
        <v>0</v>
      </c>
      <c r="W921" s="49">
        <v>0</v>
      </c>
      <c r="X921" s="56" t="s">
        <v>142</v>
      </c>
      <c r="Y921" s="13"/>
      <c r="Z921" s="13">
        <f t="shared" si="1331"/>
        <v>0</v>
      </c>
      <c r="AA921" s="14">
        <f t="shared" si="1332"/>
        <v>0</v>
      </c>
      <c r="AB921" s="92" t="s">
        <v>39</v>
      </c>
      <c r="AC921" s="15"/>
      <c r="AD921" s="16"/>
      <c r="AE921" s="13">
        <v>4505</v>
      </c>
      <c r="AF921" s="13">
        <f t="shared" si="1372"/>
        <v>83</v>
      </c>
      <c r="AG921" s="13">
        <v>147</v>
      </c>
      <c r="AH921" s="13">
        <f t="shared" si="1334"/>
        <v>1</v>
      </c>
      <c r="AI921" s="13">
        <v>78</v>
      </c>
      <c r="AJ921" s="13">
        <f t="shared" si="1335"/>
        <v>2</v>
      </c>
      <c r="AK921" s="49">
        <v>0</v>
      </c>
      <c r="AL921" s="56" t="s">
        <v>141</v>
      </c>
      <c r="AM921" s="13"/>
      <c r="AN921" s="13">
        <f t="shared" si="1338"/>
        <v>0</v>
      </c>
      <c r="AO921" s="14">
        <f t="shared" si="1339"/>
        <v>0</v>
      </c>
      <c r="AP921" s="15"/>
      <c r="AQ921" s="15"/>
      <c r="AR921" s="16"/>
      <c r="AS921" s="13">
        <v>5557</v>
      </c>
      <c r="AT921" s="13">
        <f t="shared" si="1373"/>
        <v>148</v>
      </c>
      <c r="AU921" s="13">
        <v>223</v>
      </c>
      <c r="AV921" s="13">
        <f t="shared" si="1341"/>
        <v>8</v>
      </c>
      <c r="AW921" s="13">
        <v>100</v>
      </c>
      <c r="AX921" s="13">
        <f t="shared" si="1342"/>
        <v>10</v>
      </c>
      <c r="AY921" s="49">
        <v>35</v>
      </c>
      <c r="AZ921" s="56" t="str">
        <f t="shared" si="1343"/>
        <v>スプランキーラバーキーホルダー</v>
      </c>
      <c r="BA921" s="13">
        <f t="shared" si="1344"/>
        <v>200</v>
      </c>
      <c r="BB921" s="13">
        <f t="shared" si="1345"/>
        <v>2000</v>
      </c>
      <c r="BC921" s="14">
        <f t="shared" si="1346"/>
        <v>0.13513513513513514</v>
      </c>
      <c r="BD921" s="15"/>
      <c r="BT921" s="15"/>
      <c r="BU921" s="16"/>
      <c r="BV921" s="25"/>
      <c r="BW921" s="13" t="str">
        <f t="shared" si="1404"/>
        <v/>
      </c>
      <c r="BX921" s="13"/>
      <c r="BY921" s="13"/>
      <c r="BZ921" s="13"/>
      <c r="CA921" s="13" t="str">
        <f t="shared" si="1405"/>
        <v/>
      </c>
      <c r="CB921" s="13"/>
      <c r="CC921" s="13"/>
      <c r="CD921" s="13"/>
      <c r="CE921" s="13" t="str">
        <f t="shared" si="1362"/>
        <v/>
      </c>
      <c r="CF921" s="14" t="str">
        <f t="shared" si="1363"/>
        <v/>
      </c>
      <c r="CG921" s="15"/>
      <c r="CH921" s="1"/>
      <c r="CI921" s="16"/>
      <c r="CJ921" s="25"/>
      <c r="CK921" s="13" t="str">
        <f t="shared" si="1406"/>
        <v/>
      </c>
      <c r="CL921" s="13"/>
      <c r="CM921" s="13"/>
      <c r="CN921" s="13"/>
      <c r="CO921" s="13" t="str">
        <f t="shared" si="1407"/>
        <v/>
      </c>
      <c r="CP921" s="13"/>
      <c r="CQ921" s="13"/>
      <c r="CR921" s="13"/>
      <c r="CS921" s="13" t="str">
        <f t="shared" si="1364"/>
        <v/>
      </c>
      <c r="CT921" s="14" t="str">
        <f t="shared" si="1391"/>
        <v/>
      </c>
      <c r="CU921" s="15"/>
      <c r="CV921" s="1"/>
      <c r="CW921" s="16"/>
      <c r="CX921" s="25"/>
      <c r="CY921" s="13" t="str">
        <f t="shared" si="1408"/>
        <v/>
      </c>
      <c r="CZ921" s="13"/>
      <c r="DA921" s="13"/>
      <c r="DB921" s="13"/>
      <c r="DC921" s="13" t="str">
        <f t="shared" si="1409"/>
        <v/>
      </c>
      <c r="DD921" s="13"/>
      <c r="DE921" s="13"/>
      <c r="DF921" s="13"/>
      <c r="DG921" s="13" t="str">
        <f t="shared" si="1365"/>
        <v/>
      </c>
      <c r="DH921" s="14" t="str">
        <f t="shared" si="1366"/>
        <v/>
      </c>
      <c r="DI921" s="15"/>
      <c r="DJ921" s="1"/>
      <c r="DK921" s="16"/>
      <c r="DL921" s="25"/>
      <c r="DM921" s="13" t="str">
        <f t="shared" si="1410"/>
        <v/>
      </c>
      <c r="DN921" s="13"/>
      <c r="DO921" s="13"/>
      <c r="DP921" s="13"/>
      <c r="DQ921" s="13" t="str">
        <f t="shared" si="1411"/>
        <v/>
      </c>
      <c r="DR921" s="13"/>
      <c r="DS921" s="13"/>
      <c r="DT921" s="13"/>
      <c r="DU921" s="13" t="str">
        <f t="shared" si="1367"/>
        <v/>
      </c>
      <c r="DV921" s="14" t="str">
        <f t="shared" si="1368"/>
        <v/>
      </c>
      <c r="DW921" s="15"/>
    </row>
    <row r="922" spans="1:127" ht="15" customHeight="1" thickBot="1" x14ac:dyDescent="0.25">
      <c r="A922" s="26"/>
      <c r="B922" s="46"/>
      <c r="C922" s="27">
        <v>27167</v>
      </c>
      <c r="D922" s="27">
        <f t="shared" si="1320"/>
        <v>105</v>
      </c>
      <c r="E922" s="27">
        <v>1319</v>
      </c>
      <c r="F922" s="27">
        <f t="shared" si="1321"/>
        <v>6</v>
      </c>
      <c r="G922" s="27">
        <v>48</v>
      </c>
      <c r="H922" s="27">
        <f t="shared" si="1322"/>
        <v>6</v>
      </c>
      <c r="I922" s="47">
        <v>0</v>
      </c>
      <c r="J922" s="57" t="str">
        <f t="shared" si="1323"/>
        <v>NICIマスコット</v>
      </c>
      <c r="K922" s="62">
        <f t="shared" si="1324"/>
        <v>682</v>
      </c>
      <c r="L922" s="27">
        <f t="shared" si="1369"/>
        <v>4092</v>
      </c>
      <c r="M922" s="28">
        <f t="shared" si="1370"/>
        <v>0.38971428571428574</v>
      </c>
      <c r="N922" s="15"/>
      <c r="O922" s="2"/>
      <c r="P922" s="26"/>
      <c r="Q922" s="27">
        <v>18746</v>
      </c>
      <c r="R922" s="27">
        <f t="shared" si="1371"/>
        <v>101</v>
      </c>
      <c r="S922" s="27">
        <v>1666</v>
      </c>
      <c r="T922" s="27">
        <f t="shared" si="1327"/>
        <v>8</v>
      </c>
      <c r="U922" s="27">
        <v>1</v>
      </c>
      <c r="V922" s="27">
        <f t="shared" si="1328"/>
        <v>8</v>
      </c>
      <c r="W922" s="47">
        <v>10</v>
      </c>
      <c r="X922" s="57" t="s">
        <v>30</v>
      </c>
      <c r="Y922" s="62">
        <v>600</v>
      </c>
      <c r="Z922" s="27">
        <f t="shared" si="1331"/>
        <v>4800</v>
      </c>
      <c r="AA922" s="28">
        <f t="shared" si="1332"/>
        <v>0.47524752475247523</v>
      </c>
      <c r="AB922" s="120" t="s">
        <v>149</v>
      </c>
      <c r="AC922" s="15"/>
      <c r="AD922" s="26"/>
      <c r="AE922" s="27">
        <v>4390</v>
      </c>
      <c r="AF922" s="27">
        <f t="shared" si="1372"/>
        <v>105</v>
      </c>
      <c r="AG922" s="27">
        <v>154</v>
      </c>
      <c r="AH922" s="27">
        <f t="shared" si="1334"/>
        <v>3</v>
      </c>
      <c r="AI922" s="27">
        <v>14</v>
      </c>
      <c r="AJ922" s="27">
        <f t="shared" si="1335"/>
        <v>3</v>
      </c>
      <c r="AK922" s="47">
        <v>3</v>
      </c>
      <c r="AL922" s="57" t="str">
        <f t="shared" si="1336"/>
        <v>ギャルキティキーケース</v>
      </c>
      <c r="AM922" s="62">
        <f t="shared" si="1337"/>
        <v>726</v>
      </c>
      <c r="AN922" s="27">
        <f t="shared" si="1338"/>
        <v>2178</v>
      </c>
      <c r="AO922" s="28">
        <f t="shared" si="1339"/>
        <v>0.20742857142857143</v>
      </c>
      <c r="AP922" s="15"/>
      <c r="AQ922" s="15"/>
      <c r="AR922" s="26"/>
      <c r="AS922" s="27">
        <v>4996</v>
      </c>
      <c r="AT922" s="27">
        <f t="shared" si="1373"/>
        <v>49</v>
      </c>
      <c r="AU922" s="27">
        <v>227</v>
      </c>
      <c r="AV922" s="27">
        <f t="shared" si="1341"/>
        <v>1</v>
      </c>
      <c r="AW922" s="27">
        <v>25</v>
      </c>
      <c r="AX922" s="27">
        <f t="shared" si="1342"/>
        <v>3</v>
      </c>
      <c r="AY922" s="47">
        <v>-13</v>
      </c>
      <c r="AZ922" s="108" t="str">
        <f t="shared" si="1343"/>
        <v>スプランキーマスコット</v>
      </c>
      <c r="BA922" s="62">
        <f t="shared" si="1344"/>
        <v>180</v>
      </c>
      <c r="BB922" s="27">
        <f t="shared" si="1345"/>
        <v>540</v>
      </c>
      <c r="BC922" s="28">
        <f t="shared" si="1346"/>
        <v>0.11020408163265306</v>
      </c>
      <c r="BD922" s="15" t="s">
        <v>145</v>
      </c>
      <c r="BT922" s="15"/>
      <c r="BU922" s="16"/>
      <c r="BV922" s="25"/>
      <c r="BW922" s="13" t="str">
        <f t="shared" si="1404"/>
        <v/>
      </c>
      <c r="BX922" s="13"/>
      <c r="BY922" s="13"/>
      <c r="BZ922" s="13"/>
      <c r="CA922" s="13" t="str">
        <f t="shared" si="1405"/>
        <v/>
      </c>
      <c r="CB922" s="13"/>
      <c r="CC922" s="13"/>
      <c r="CD922" s="13"/>
      <c r="CE922" s="13" t="str">
        <f t="shared" si="1362"/>
        <v/>
      </c>
      <c r="CF922" s="14" t="str">
        <f t="shared" si="1363"/>
        <v/>
      </c>
      <c r="CG922" s="15"/>
      <c r="CH922" s="1"/>
      <c r="CI922" s="16"/>
      <c r="CJ922" s="25"/>
      <c r="CK922" s="13" t="str">
        <f t="shared" si="1406"/>
        <v/>
      </c>
      <c r="CL922" s="13"/>
      <c r="CM922" s="13"/>
      <c r="CN922" s="13"/>
      <c r="CO922" s="13" t="str">
        <f t="shared" si="1407"/>
        <v/>
      </c>
      <c r="CP922" s="13"/>
      <c r="CQ922" s="13"/>
      <c r="CR922" s="13"/>
      <c r="CS922" s="13" t="str">
        <f t="shared" si="1364"/>
        <v/>
      </c>
      <c r="CT922" s="14" t="str">
        <f t="shared" si="1391"/>
        <v/>
      </c>
      <c r="CU922" s="15"/>
      <c r="CV922" s="1"/>
      <c r="CW922" s="16"/>
      <c r="CX922" s="25"/>
      <c r="CY922" s="13" t="str">
        <f t="shared" si="1408"/>
        <v/>
      </c>
      <c r="CZ922" s="13"/>
      <c r="DA922" s="13"/>
      <c r="DB922" s="13"/>
      <c r="DC922" s="13" t="str">
        <f t="shared" si="1409"/>
        <v/>
      </c>
      <c r="DD922" s="13"/>
      <c r="DE922" s="13"/>
      <c r="DF922" s="13"/>
      <c r="DG922" s="13" t="str">
        <f t="shared" si="1365"/>
        <v/>
      </c>
      <c r="DH922" s="14" t="str">
        <f t="shared" si="1366"/>
        <v/>
      </c>
      <c r="DI922" s="15"/>
      <c r="DJ922" s="1"/>
      <c r="DK922" s="16"/>
      <c r="DL922" s="25"/>
      <c r="DM922" s="13" t="str">
        <f t="shared" si="1410"/>
        <v/>
      </c>
      <c r="DN922" s="13"/>
      <c r="DO922" s="13"/>
      <c r="DP922" s="13"/>
      <c r="DQ922" s="13" t="str">
        <f t="shared" si="1411"/>
        <v/>
      </c>
      <c r="DR922" s="13"/>
      <c r="DS922" s="13"/>
      <c r="DT922" s="13"/>
      <c r="DU922" s="13" t="str">
        <f t="shared" si="1367"/>
        <v/>
      </c>
      <c r="DV922" s="14" t="str">
        <f t="shared" si="1368"/>
        <v/>
      </c>
      <c r="DW922" s="15"/>
    </row>
    <row r="923" spans="1:127" ht="15" customHeight="1" thickTop="1" x14ac:dyDescent="0.2">
      <c r="A923" s="79">
        <v>45820</v>
      </c>
      <c r="B923" s="74">
        <f>IF(A923="","",SUM(D923:D926)+SUM(R923:R926)+SUM(AF923:AF926)+SUM(AT923:AT926)+SUM(BW899,CK899,CY899,DM899))</f>
        <v>1381</v>
      </c>
      <c r="C923" s="13">
        <v>21110</v>
      </c>
      <c r="D923" s="53">
        <f t="shared" si="1320"/>
        <v>109</v>
      </c>
      <c r="E923" s="13">
        <v>1124</v>
      </c>
      <c r="F923" s="31">
        <f t="shared" si="1321"/>
        <v>4</v>
      </c>
      <c r="G923" s="13">
        <v>9</v>
      </c>
      <c r="H923" s="53">
        <f t="shared" si="1322"/>
        <v>6</v>
      </c>
      <c r="I923" s="80">
        <v>0</v>
      </c>
      <c r="J923" s="75" t="str">
        <f t="shared" ref="J923:J942" si="1412">IF(C923="","",J919)</f>
        <v>ジャグラーサウンドボタン</v>
      </c>
      <c r="K923" s="76">
        <f t="shared" ref="K923:K942" si="1413">IF(D923="","",K919)</f>
        <v>748</v>
      </c>
      <c r="L923" s="31">
        <f t="shared" si="1325"/>
        <v>4488</v>
      </c>
      <c r="M923" s="32">
        <f t="shared" si="1326"/>
        <v>0.41174311926605506</v>
      </c>
      <c r="N923" s="15"/>
      <c r="O923" s="2"/>
      <c r="P923" s="79">
        <f>IF($A923="","",$A923)</f>
        <v>45820</v>
      </c>
      <c r="Q923" s="13">
        <v>20998</v>
      </c>
      <c r="R923" s="53">
        <f t="shared" si="1371"/>
        <v>42</v>
      </c>
      <c r="S923" s="13">
        <v>1177</v>
      </c>
      <c r="T923" s="31">
        <f t="shared" si="1327"/>
        <v>1</v>
      </c>
      <c r="U923" s="13">
        <v>12</v>
      </c>
      <c r="V923" s="53">
        <f t="shared" si="1328"/>
        <v>1</v>
      </c>
      <c r="W923" s="80">
        <v>0</v>
      </c>
      <c r="X923" s="75" t="str">
        <f t="shared" si="1329"/>
        <v>ジャグラータイマークロック</v>
      </c>
      <c r="Y923" s="76">
        <f t="shared" si="1330"/>
        <v>0</v>
      </c>
      <c r="Z923" s="31">
        <f t="shared" si="1331"/>
        <v>0</v>
      </c>
      <c r="AA923" s="32">
        <f t="shared" si="1332"/>
        <v>0</v>
      </c>
      <c r="AB923" s="15"/>
      <c r="AC923" s="15"/>
      <c r="AD923" s="79">
        <f>IF($A923="","",$A923)</f>
        <v>45820</v>
      </c>
      <c r="AE923" s="13">
        <v>5195</v>
      </c>
      <c r="AF923" s="53">
        <f t="shared" si="1372"/>
        <v>82</v>
      </c>
      <c r="AG923" s="13">
        <v>106</v>
      </c>
      <c r="AH923" s="31">
        <f t="shared" si="1334"/>
        <v>3</v>
      </c>
      <c r="AI923" s="13">
        <v>37</v>
      </c>
      <c r="AJ923" s="53">
        <f t="shared" si="1335"/>
        <v>2</v>
      </c>
      <c r="AK923" s="80">
        <v>0</v>
      </c>
      <c r="AL923" s="75" t="str">
        <f t="shared" si="1336"/>
        <v>ミニ香水</v>
      </c>
      <c r="AM923" s="76">
        <f t="shared" si="1337"/>
        <v>1100</v>
      </c>
      <c r="AN923" s="31">
        <f t="shared" si="1338"/>
        <v>2200</v>
      </c>
      <c r="AO923" s="32">
        <f t="shared" si="1339"/>
        <v>0.26829268292682928</v>
      </c>
      <c r="AP923" s="15"/>
      <c r="AQ923" s="15"/>
      <c r="AR923" s="79">
        <f>IF($A923="","",$A923)</f>
        <v>45820</v>
      </c>
      <c r="AS923" s="13">
        <v>5307</v>
      </c>
      <c r="AT923" s="53">
        <f t="shared" si="1373"/>
        <v>70</v>
      </c>
      <c r="AU923" s="13">
        <v>172</v>
      </c>
      <c r="AV923" s="31">
        <f t="shared" si="1341"/>
        <v>3</v>
      </c>
      <c r="AW923" s="13">
        <v>16</v>
      </c>
      <c r="AX923" s="53">
        <f t="shared" si="1342"/>
        <v>6</v>
      </c>
      <c r="AY923" s="80">
        <v>0</v>
      </c>
      <c r="AZ923" s="75" t="str">
        <f t="shared" si="1343"/>
        <v>ロムアンド</v>
      </c>
      <c r="BA923" s="76">
        <f t="shared" si="1344"/>
        <v>1001</v>
      </c>
      <c r="BB923" s="31">
        <f t="shared" si="1345"/>
        <v>6006</v>
      </c>
      <c r="BC923" s="32">
        <f t="shared" si="1346"/>
        <v>0.85799999999999998</v>
      </c>
      <c r="BD923" s="15"/>
      <c r="BT923" s="15"/>
      <c r="BU923" s="16"/>
      <c r="BV923" s="25"/>
      <c r="BW923" s="13" t="str">
        <f t="shared" si="1404"/>
        <v/>
      </c>
      <c r="BX923" s="13"/>
      <c r="BY923" s="13"/>
      <c r="BZ923" s="13"/>
      <c r="CA923" s="13" t="str">
        <f t="shared" si="1405"/>
        <v/>
      </c>
      <c r="CB923" s="13"/>
      <c r="CC923" s="13"/>
      <c r="CD923" s="13"/>
      <c r="CE923" s="13" t="str">
        <f t="shared" si="1362"/>
        <v/>
      </c>
      <c r="CF923" s="14" t="str">
        <f t="shared" si="1363"/>
        <v/>
      </c>
      <c r="CG923" s="15"/>
      <c r="CH923" s="1"/>
      <c r="CI923" s="16"/>
      <c r="CJ923" s="25"/>
      <c r="CK923" s="13" t="str">
        <f t="shared" si="1406"/>
        <v/>
      </c>
      <c r="CL923" s="13"/>
      <c r="CM923" s="13"/>
      <c r="CN923" s="13"/>
      <c r="CO923" s="13" t="str">
        <f t="shared" si="1407"/>
        <v/>
      </c>
      <c r="CP923" s="13"/>
      <c r="CQ923" s="13"/>
      <c r="CR923" s="13"/>
      <c r="CS923" s="13" t="str">
        <f t="shared" si="1364"/>
        <v/>
      </c>
      <c r="CT923" s="14" t="str">
        <f t="shared" si="1391"/>
        <v/>
      </c>
      <c r="CU923" s="15"/>
      <c r="CV923" s="1"/>
      <c r="CW923" s="16"/>
      <c r="CX923" s="25"/>
      <c r="CY923" s="13" t="str">
        <f t="shared" si="1408"/>
        <v/>
      </c>
      <c r="CZ923" s="13"/>
      <c r="DA923" s="13"/>
      <c r="DB923" s="13"/>
      <c r="DC923" s="13" t="str">
        <f t="shared" si="1409"/>
        <v/>
      </c>
      <c r="DD923" s="13"/>
      <c r="DE923" s="13"/>
      <c r="DF923" s="13"/>
      <c r="DG923" s="13" t="str">
        <f t="shared" si="1365"/>
        <v/>
      </c>
      <c r="DH923" s="14" t="str">
        <f t="shared" si="1366"/>
        <v/>
      </c>
      <c r="DI923" s="15"/>
      <c r="DJ923" s="1"/>
      <c r="DK923" s="16"/>
      <c r="DL923" s="25"/>
      <c r="DM923" s="13" t="str">
        <f t="shared" si="1410"/>
        <v/>
      </c>
      <c r="DN923" s="13"/>
      <c r="DO923" s="13"/>
      <c r="DP923" s="13"/>
      <c r="DQ923" s="13" t="str">
        <f t="shared" si="1411"/>
        <v/>
      </c>
      <c r="DR923" s="13"/>
      <c r="DS923" s="13"/>
      <c r="DT923" s="13"/>
      <c r="DU923" s="13" t="str">
        <f t="shared" si="1367"/>
        <v/>
      </c>
      <c r="DV923" s="14" t="str">
        <f t="shared" si="1368"/>
        <v/>
      </c>
      <c r="DW923" s="15"/>
    </row>
    <row r="924" spans="1:127" ht="15" customHeight="1" x14ac:dyDescent="0.2">
      <c r="A924" s="122" t="s">
        <v>154</v>
      </c>
      <c r="B924" s="11"/>
      <c r="C924" s="53">
        <v>25232</v>
      </c>
      <c r="D924" s="13">
        <f t="shared" si="1320"/>
        <v>75</v>
      </c>
      <c r="E924" s="53">
        <v>1300</v>
      </c>
      <c r="F924" s="13">
        <f t="shared" si="1321"/>
        <v>1</v>
      </c>
      <c r="G924" s="13">
        <v>18</v>
      </c>
      <c r="H924" s="13">
        <f t="shared" si="1322"/>
        <v>1</v>
      </c>
      <c r="I924" s="17">
        <v>2</v>
      </c>
      <c r="J924" s="56" t="str">
        <f t="shared" si="1412"/>
        <v>ジャグラーイヤホン</v>
      </c>
      <c r="K924" s="54">
        <f t="shared" si="1413"/>
        <v>1100</v>
      </c>
      <c r="L924" s="13">
        <f t="shared" si="1325"/>
        <v>1100</v>
      </c>
      <c r="M924" s="14">
        <f t="shared" si="1326"/>
        <v>0.14666666666666667</v>
      </c>
      <c r="N924" s="15"/>
      <c r="O924" s="2"/>
      <c r="P924" s="16"/>
      <c r="Q924" s="53">
        <v>26205</v>
      </c>
      <c r="R924" s="13">
        <f t="shared" si="1371"/>
        <v>90</v>
      </c>
      <c r="S924" s="53">
        <v>1479</v>
      </c>
      <c r="T924" s="13">
        <f t="shared" si="1327"/>
        <v>1</v>
      </c>
      <c r="U924" s="13">
        <v>9</v>
      </c>
      <c r="V924" s="13">
        <f t="shared" si="1328"/>
        <v>3</v>
      </c>
      <c r="W924" s="17">
        <v>4</v>
      </c>
      <c r="X924" s="56" t="str">
        <f t="shared" si="1329"/>
        <v>サンリオFAN</v>
      </c>
      <c r="Y924" s="54">
        <f t="shared" si="1330"/>
        <v>1100</v>
      </c>
      <c r="Z924" s="13">
        <f t="shared" si="1331"/>
        <v>3300</v>
      </c>
      <c r="AA924" s="14">
        <f t="shared" si="1332"/>
        <v>0.36666666666666664</v>
      </c>
      <c r="AB924" s="15"/>
      <c r="AC924" s="15"/>
      <c r="AD924" s="16"/>
      <c r="AE924" s="53">
        <v>4295</v>
      </c>
      <c r="AF924" s="13">
        <f t="shared" si="1372"/>
        <v>70</v>
      </c>
      <c r="AG924" s="53">
        <v>100</v>
      </c>
      <c r="AH924" s="13">
        <f t="shared" si="1334"/>
        <v>2</v>
      </c>
      <c r="AI924" s="13">
        <v>2</v>
      </c>
      <c r="AJ924" s="13">
        <f t="shared" si="1335"/>
        <v>2</v>
      </c>
      <c r="AK924" s="17">
        <v>0</v>
      </c>
      <c r="AL924" s="56" t="str">
        <f t="shared" si="1336"/>
        <v>デジタルミニカメラ</v>
      </c>
      <c r="AM924" s="54">
        <f t="shared" si="1337"/>
        <v>800</v>
      </c>
      <c r="AN924" s="13">
        <f t="shared" si="1338"/>
        <v>1600</v>
      </c>
      <c r="AO924" s="14">
        <f t="shared" si="1339"/>
        <v>0.22857142857142856</v>
      </c>
      <c r="AP924" s="15"/>
      <c r="AQ924" s="15"/>
      <c r="AR924" s="16"/>
      <c r="AS924" s="53">
        <v>3513</v>
      </c>
      <c r="AT924" s="13">
        <f t="shared" si="1373"/>
        <v>55</v>
      </c>
      <c r="AU924" s="53">
        <v>190</v>
      </c>
      <c r="AV924" s="13">
        <f t="shared" si="1341"/>
        <v>2</v>
      </c>
      <c r="AW924" s="13">
        <v>16</v>
      </c>
      <c r="AX924" s="13">
        <f t="shared" si="1342"/>
        <v>2</v>
      </c>
      <c r="AY924" s="17">
        <v>4</v>
      </c>
      <c r="AZ924" s="56" t="str">
        <f t="shared" si="1343"/>
        <v>モンチッチヘアゴム</v>
      </c>
      <c r="BA924" s="54">
        <f t="shared" si="1344"/>
        <v>400</v>
      </c>
      <c r="BB924" s="13">
        <f t="shared" si="1345"/>
        <v>800</v>
      </c>
      <c r="BC924" s="14">
        <f t="shared" si="1346"/>
        <v>0.14545454545454545</v>
      </c>
      <c r="BD924" s="15"/>
      <c r="BT924" s="15"/>
      <c r="BU924" s="16"/>
      <c r="BV924" s="25"/>
      <c r="BW924" s="13" t="str">
        <f t="shared" si="1404"/>
        <v/>
      </c>
      <c r="BX924" s="13"/>
      <c r="BY924" s="13"/>
      <c r="BZ924" s="13"/>
      <c r="CA924" s="13" t="str">
        <f t="shared" si="1405"/>
        <v/>
      </c>
      <c r="CB924" s="13"/>
      <c r="CC924" s="13"/>
      <c r="CD924" s="13"/>
      <c r="CE924" s="13" t="str">
        <f t="shared" si="1362"/>
        <v/>
      </c>
      <c r="CF924" s="14" t="str">
        <f t="shared" si="1363"/>
        <v/>
      </c>
      <c r="CG924" s="15"/>
      <c r="CH924" s="1"/>
      <c r="CI924" s="16"/>
      <c r="CJ924" s="25"/>
      <c r="CK924" s="13" t="str">
        <f t="shared" si="1406"/>
        <v/>
      </c>
      <c r="CL924" s="13"/>
      <c r="CM924" s="13"/>
      <c r="CN924" s="13"/>
      <c r="CO924" s="13" t="str">
        <f t="shared" si="1407"/>
        <v/>
      </c>
      <c r="CP924" s="13"/>
      <c r="CQ924" s="13"/>
      <c r="CR924" s="13"/>
      <c r="CS924" s="13" t="str">
        <f t="shared" si="1364"/>
        <v/>
      </c>
      <c r="CT924" s="14" t="str">
        <f t="shared" si="1391"/>
        <v/>
      </c>
      <c r="CU924" s="15"/>
      <c r="CV924" s="1"/>
      <c r="CW924" s="16"/>
      <c r="CX924" s="25"/>
      <c r="CY924" s="13" t="str">
        <f t="shared" si="1408"/>
        <v/>
      </c>
      <c r="CZ924" s="13"/>
      <c r="DA924" s="13"/>
      <c r="DB924" s="13"/>
      <c r="DC924" s="13" t="str">
        <f t="shared" si="1409"/>
        <v/>
      </c>
      <c r="DD924" s="13"/>
      <c r="DE924" s="13"/>
      <c r="DF924" s="13"/>
      <c r="DG924" s="13" t="str">
        <f t="shared" si="1365"/>
        <v/>
      </c>
      <c r="DH924" s="14" t="str">
        <f t="shared" si="1366"/>
        <v/>
      </c>
      <c r="DI924" s="15"/>
      <c r="DJ924" s="1"/>
      <c r="DK924" s="16"/>
      <c r="DL924" s="25"/>
      <c r="DM924" s="13" t="str">
        <f t="shared" si="1410"/>
        <v/>
      </c>
      <c r="DN924" s="13"/>
      <c r="DO924" s="13"/>
      <c r="DP924" s="13"/>
      <c r="DQ924" s="13" t="str">
        <f t="shared" si="1411"/>
        <v/>
      </c>
      <c r="DR924" s="13"/>
      <c r="DS924" s="13"/>
      <c r="DT924" s="13"/>
      <c r="DU924" s="13" t="str">
        <f t="shared" si="1367"/>
        <v/>
      </c>
      <c r="DV924" s="14" t="str">
        <f t="shared" si="1368"/>
        <v/>
      </c>
      <c r="DW924" s="15"/>
    </row>
    <row r="925" spans="1:127" ht="15" customHeight="1" x14ac:dyDescent="0.2">
      <c r="A925" s="16"/>
      <c r="B925" s="11"/>
      <c r="C925" s="13">
        <v>21092</v>
      </c>
      <c r="D925" s="13">
        <f t="shared" si="1320"/>
        <v>48</v>
      </c>
      <c r="E925" s="13">
        <v>1063</v>
      </c>
      <c r="F925" s="13">
        <f t="shared" si="1321"/>
        <v>3</v>
      </c>
      <c r="G925" s="13">
        <v>13</v>
      </c>
      <c r="H925" s="13">
        <f t="shared" si="1322"/>
        <v>3</v>
      </c>
      <c r="I925" s="17">
        <v>-3</v>
      </c>
      <c r="J925" s="56" t="str">
        <f t="shared" si="1412"/>
        <v>グミッツェルプチ</v>
      </c>
      <c r="K925" s="13">
        <f t="shared" si="1413"/>
        <v>180</v>
      </c>
      <c r="L925" s="13">
        <f t="shared" si="1325"/>
        <v>540</v>
      </c>
      <c r="M925" s="14">
        <f t="shared" si="1326"/>
        <v>0.1125</v>
      </c>
      <c r="N925" s="15"/>
      <c r="O925" s="2"/>
      <c r="P925" s="16"/>
      <c r="Q925" s="13">
        <v>19680</v>
      </c>
      <c r="R925" s="13">
        <f t="shared" si="1371"/>
        <v>28</v>
      </c>
      <c r="S925" s="13">
        <v>2703</v>
      </c>
      <c r="T925" s="13">
        <f t="shared" si="1327"/>
        <v>3</v>
      </c>
      <c r="U925" s="13">
        <v>12</v>
      </c>
      <c r="V925" s="13">
        <f t="shared" si="1328"/>
        <v>6</v>
      </c>
      <c r="W925" s="17">
        <v>0</v>
      </c>
      <c r="X925" s="111" t="str">
        <f t="shared" si="1329"/>
        <v>なんちゃって手榴弾</v>
      </c>
      <c r="Y925" s="13">
        <f t="shared" si="1330"/>
        <v>0</v>
      </c>
      <c r="Z925" s="13">
        <f t="shared" si="1331"/>
        <v>0</v>
      </c>
      <c r="AA925" s="14">
        <f t="shared" si="1332"/>
        <v>0</v>
      </c>
      <c r="AB925" s="15" t="s">
        <v>50</v>
      </c>
      <c r="AC925" s="15"/>
      <c r="AD925" s="16"/>
      <c r="AE925" s="13">
        <v>4517</v>
      </c>
      <c r="AF925" s="13">
        <f t="shared" si="1372"/>
        <v>12</v>
      </c>
      <c r="AG925" s="13">
        <v>148</v>
      </c>
      <c r="AH925" s="13">
        <f t="shared" si="1334"/>
        <v>1</v>
      </c>
      <c r="AI925" s="13">
        <v>76</v>
      </c>
      <c r="AJ925" s="13">
        <f t="shared" si="1335"/>
        <v>2</v>
      </c>
      <c r="AK925" s="17">
        <v>0</v>
      </c>
      <c r="AL925" s="56" t="str">
        <f t="shared" si="1336"/>
        <v>モンチッチボールペン</v>
      </c>
      <c r="AM925" s="13">
        <f t="shared" si="1337"/>
        <v>0</v>
      </c>
      <c r="AN925" s="13">
        <f t="shared" si="1338"/>
        <v>0</v>
      </c>
      <c r="AO925" s="14">
        <f t="shared" si="1339"/>
        <v>0</v>
      </c>
      <c r="AP925" s="15"/>
      <c r="AQ925" s="15"/>
      <c r="AR925" s="16"/>
      <c r="AS925" s="13">
        <v>5673</v>
      </c>
      <c r="AT925" s="13">
        <f t="shared" si="1373"/>
        <v>116</v>
      </c>
      <c r="AU925" s="13">
        <v>230</v>
      </c>
      <c r="AV925" s="13">
        <f t="shared" si="1341"/>
        <v>7</v>
      </c>
      <c r="AW925" s="13">
        <v>128</v>
      </c>
      <c r="AX925" s="13">
        <f t="shared" si="1342"/>
        <v>7</v>
      </c>
      <c r="AY925" s="17">
        <v>0</v>
      </c>
      <c r="AZ925" s="56" t="str">
        <f t="shared" si="1343"/>
        <v>スプランキーラバーキーホルダー</v>
      </c>
      <c r="BA925" s="13">
        <f t="shared" si="1344"/>
        <v>200</v>
      </c>
      <c r="BB925" s="13">
        <f t="shared" si="1345"/>
        <v>1400</v>
      </c>
      <c r="BC925" s="14">
        <f t="shared" si="1346"/>
        <v>0.1206896551724138</v>
      </c>
      <c r="BD925" s="15"/>
      <c r="BT925" s="15"/>
      <c r="BU925" s="16"/>
      <c r="BV925" s="25"/>
      <c r="BW925" s="13" t="str">
        <f t="shared" si="1404"/>
        <v/>
      </c>
      <c r="BX925" s="13"/>
      <c r="BY925" s="13"/>
      <c r="BZ925" s="13"/>
      <c r="CA925" s="13" t="str">
        <f t="shared" si="1405"/>
        <v/>
      </c>
      <c r="CB925" s="13"/>
      <c r="CC925" s="13"/>
      <c r="CD925" s="13"/>
      <c r="CE925" s="13" t="str">
        <f t="shared" si="1362"/>
        <v/>
      </c>
      <c r="CF925" s="14" t="str">
        <f t="shared" si="1363"/>
        <v/>
      </c>
      <c r="CG925" s="15"/>
      <c r="CH925" s="1"/>
      <c r="CI925" s="16"/>
      <c r="CJ925" s="25"/>
      <c r="CK925" s="13" t="str">
        <f t="shared" si="1406"/>
        <v/>
      </c>
      <c r="CL925" s="13"/>
      <c r="CM925" s="13"/>
      <c r="CN925" s="13"/>
      <c r="CO925" s="13" t="str">
        <f t="shared" si="1407"/>
        <v/>
      </c>
      <c r="CP925" s="13"/>
      <c r="CQ925" s="13"/>
      <c r="CR925" s="13"/>
      <c r="CS925" s="13" t="str">
        <f t="shared" si="1364"/>
        <v/>
      </c>
      <c r="CT925" s="14" t="str">
        <f t="shared" si="1391"/>
        <v/>
      </c>
      <c r="CU925" s="15"/>
      <c r="CV925" s="1"/>
      <c r="CW925" s="16"/>
      <c r="CX925" s="25"/>
      <c r="CY925" s="13" t="str">
        <f t="shared" si="1408"/>
        <v/>
      </c>
      <c r="CZ925" s="13"/>
      <c r="DA925" s="13"/>
      <c r="DB925" s="13"/>
      <c r="DC925" s="13" t="str">
        <f t="shared" si="1409"/>
        <v/>
      </c>
      <c r="DD925" s="13"/>
      <c r="DE925" s="13"/>
      <c r="DF925" s="13"/>
      <c r="DG925" s="13" t="str">
        <f t="shared" si="1365"/>
        <v/>
      </c>
      <c r="DH925" s="14" t="str">
        <f t="shared" si="1366"/>
        <v/>
      </c>
      <c r="DI925" s="15"/>
      <c r="DJ925" s="1"/>
      <c r="DK925" s="16"/>
      <c r="DL925" s="25"/>
      <c r="DM925" s="13" t="str">
        <f t="shared" si="1410"/>
        <v/>
      </c>
      <c r="DN925" s="13"/>
      <c r="DO925" s="13"/>
      <c r="DP925" s="13"/>
      <c r="DQ925" s="13" t="str">
        <f t="shared" si="1411"/>
        <v/>
      </c>
      <c r="DR925" s="13"/>
      <c r="DS925" s="13"/>
      <c r="DT925" s="13"/>
      <c r="DU925" s="13" t="str">
        <f t="shared" si="1367"/>
        <v/>
      </c>
      <c r="DV925" s="14" t="str">
        <f t="shared" si="1368"/>
        <v/>
      </c>
      <c r="DW925" s="15"/>
    </row>
    <row r="926" spans="1:127" ht="15" customHeight="1" thickBot="1" x14ac:dyDescent="0.25">
      <c r="A926" s="26"/>
      <c r="B926" s="46"/>
      <c r="C926" s="27">
        <v>27237</v>
      </c>
      <c r="D926" s="27">
        <f t="shared" si="1320"/>
        <v>70</v>
      </c>
      <c r="E926" s="27">
        <v>1321</v>
      </c>
      <c r="F926" s="27">
        <f t="shared" si="1321"/>
        <v>2</v>
      </c>
      <c r="G926" s="27">
        <v>46</v>
      </c>
      <c r="H926" s="27">
        <f t="shared" si="1322"/>
        <v>2</v>
      </c>
      <c r="I926" s="47">
        <v>3</v>
      </c>
      <c r="J926" s="57" t="str">
        <f t="shared" si="1412"/>
        <v>NICIマスコット</v>
      </c>
      <c r="K926" s="62">
        <f t="shared" si="1413"/>
        <v>682</v>
      </c>
      <c r="L926" s="27">
        <f t="shared" si="1325"/>
        <v>1364</v>
      </c>
      <c r="M926" s="28">
        <f t="shared" si="1326"/>
        <v>0.19485714285714287</v>
      </c>
      <c r="N926" s="15"/>
      <c r="O926" s="2"/>
      <c r="P926" s="26"/>
      <c r="Q926" s="27">
        <v>18819</v>
      </c>
      <c r="R926" s="27">
        <f t="shared" si="1371"/>
        <v>73</v>
      </c>
      <c r="S926" s="27">
        <v>1671</v>
      </c>
      <c r="T926" s="27">
        <f t="shared" si="1327"/>
        <v>5</v>
      </c>
      <c r="U926" s="27">
        <v>5</v>
      </c>
      <c r="V926" s="27">
        <f t="shared" si="1328"/>
        <v>6</v>
      </c>
      <c r="W926" s="47">
        <v>8</v>
      </c>
      <c r="X926" s="57" t="str">
        <f t="shared" si="1329"/>
        <v>ピクミンマスコット</v>
      </c>
      <c r="Y926" s="62">
        <f t="shared" si="1330"/>
        <v>600</v>
      </c>
      <c r="Z926" s="27">
        <f t="shared" si="1331"/>
        <v>3600</v>
      </c>
      <c r="AA926" s="28">
        <f t="shared" si="1332"/>
        <v>0.49315068493150682</v>
      </c>
      <c r="AB926" s="60" t="s">
        <v>151</v>
      </c>
      <c r="AC926" s="15"/>
      <c r="AD926" s="26"/>
      <c r="AE926" s="27">
        <v>4430</v>
      </c>
      <c r="AF926" s="27">
        <f t="shared" si="1372"/>
        <v>40</v>
      </c>
      <c r="AG926" s="27">
        <v>154</v>
      </c>
      <c r="AH926" s="27">
        <f t="shared" si="1334"/>
        <v>0</v>
      </c>
      <c r="AI926" s="27">
        <v>17</v>
      </c>
      <c r="AJ926" s="27">
        <f t="shared" si="1335"/>
        <v>0</v>
      </c>
      <c r="AK926" s="47">
        <v>1</v>
      </c>
      <c r="AL926" s="57" t="str">
        <f t="shared" si="1336"/>
        <v>ギャルキティキーケース</v>
      </c>
      <c r="AM926" s="62">
        <f t="shared" si="1337"/>
        <v>726</v>
      </c>
      <c r="AN926" s="27">
        <f t="shared" si="1338"/>
        <v>0</v>
      </c>
      <c r="AO926" s="28">
        <f t="shared" si="1339"/>
        <v>0</v>
      </c>
      <c r="AP926" s="15"/>
      <c r="AQ926" s="39"/>
      <c r="AR926" s="26"/>
      <c r="AS926" s="27">
        <v>5017</v>
      </c>
      <c r="AT926" s="27">
        <f t="shared" si="1373"/>
        <v>21</v>
      </c>
      <c r="AU926" s="27">
        <v>227</v>
      </c>
      <c r="AV926" s="27">
        <f t="shared" si="1341"/>
        <v>0</v>
      </c>
      <c r="AW926" s="27">
        <v>12</v>
      </c>
      <c r="AX926" s="27">
        <f t="shared" si="1342"/>
        <v>0</v>
      </c>
      <c r="AY926" s="47">
        <v>0</v>
      </c>
      <c r="AZ926" s="108" t="s">
        <v>69</v>
      </c>
      <c r="BA926" s="62"/>
      <c r="BB926" s="27">
        <f t="shared" si="1345"/>
        <v>0</v>
      </c>
      <c r="BC926" s="28">
        <f t="shared" si="1346"/>
        <v>0</v>
      </c>
      <c r="BD926" s="15"/>
      <c r="BT926" s="39"/>
      <c r="BU926" s="16"/>
      <c r="BV926" s="25"/>
      <c r="BW926" s="13" t="str">
        <f t="shared" si="1404"/>
        <v/>
      </c>
      <c r="BX926" s="13"/>
      <c r="BY926" s="13"/>
      <c r="BZ926" s="13"/>
      <c r="CA926" s="13" t="str">
        <f t="shared" si="1405"/>
        <v/>
      </c>
      <c r="CB926" s="13"/>
      <c r="CC926" s="13"/>
      <c r="CD926" s="13"/>
      <c r="CE926" s="13" t="str">
        <f t="shared" si="1362"/>
        <v/>
      </c>
      <c r="CF926" s="14" t="str">
        <f t="shared" si="1363"/>
        <v/>
      </c>
      <c r="CG926" s="15"/>
      <c r="CH926" s="1"/>
      <c r="CI926" s="16"/>
      <c r="CJ926" s="25"/>
      <c r="CK926" s="13" t="str">
        <f t="shared" si="1406"/>
        <v/>
      </c>
      <c r="CL926" s="13"/>
      <c r="CM926" s="13"/>
      <c r="CN926" s="13"/>
      <c r="CO926" s="13" t="str">
        <f t="shared" si="1407"/>
        <v/>
      </c>
      <c r="CP926" s="13"/>
      <c r="CQ926" s="13"/>
      <c r="CR926" s="13"/>
      <c r="CS926" s="13" t="str">
        <f t="shared" si="1364"/>
        <v/>
      </c>
      <c r="CT926" s="14" t="str">
        <f t="shared" si="1391"/>
        <v/>
      </c>
      <c r="CU926" s="15"/>
      <c r="CV926" s="1"/>
      <c r="CW926" s="16"/>
      <c r="CX926" s="25"/>
      <c r="CY926" s="13" t="str">
        <f t="shared" si="1408"/>
        <v/>
      </c>
      <c r="CZ926" s="13"/>
      <c r="DA926" s="13"/>
      <c r="DB926" s="13"/>
      <c r="DC926" s="13" t="str">
        <f t="shared" si="1409"/>
        <v/>
      </c>
      <c r="DD926" s="13"/>
      <c r="DE926" s="13"/>
      <c r="DF926" s="13"/>
      <c r="DG926" s="13" t="str">
        <f t="shared" si="1365"/>
        <v/>
      </c>
      <c r="DH926" s="14" t="str">
        <f t="shared" si="1366"/>
        <v/>
      </c>
      <c r="DI926" s="15"/>
      <c r="DJ926" s="1"/>
      <c r="DK926" s="16"/>
      <c r="DL926" s="25"/>
      <c r="DM926" s="13" t="str">
        <f t="shared" si="1410"/>
        <v/>
      </c>
      <c r="DN926" s="13"/>
      <c r="DO926" s="13"/>
      <c r="DP926" s="13"/>
      <c r="DQ926" s="13" t="str">
        <f t="shared" si="1411"/>
        <v/>
      </c>
      <c r="DR926" s="13"/>
      <c r="DS926" s="13"/>
      <c r="DT926" s="13"/>
      <c r="DU926" s="13" t="str">
        <f t="shared" si="1367"/>
        <v/>
      </c>
      <c r="DV926" s="14" t="str">
        <f t="shared" si="1368"/>
        <v/>
      </c>
      <c r="DW926" s="15"/>
    </row>
    <row r="927" spans="1:127" ht="15" customHeight="1" thickTop="1" thickBot="1" x14ac:dyDescent="0.25">
      <c r="A927" s="16"/>
      <c r="B927" s="74"/>
      <c r="C927" s="53"/>
      <c r="D927" s="53"/>
      <c r="E927" s="53"/>
      <c r="F927" s="31"/>
      <c r="G927" s="53"/>
      <c r="H927" s="53"/>
      <c r="I927" s="80"/>
      <c r="J927" s="21"/>
      <c r="K927" s="54"/>
      <c r="L927" s="31"/>
      <c r="M927" s="32"/>
      <c r="N927" s="15"/>
      <c r="O927" s="2"/>
      <c r="P927" s="79"/>
      <c r="Q927" s="74"/>
      <c r="R927" s="53"/>
      <c r="S927" s="13"/>
      <c r="T927" s="31"/>
      <c r="U927" s="13"/>
      <c r="V927" s="53"/>
      <c r="W927" s="80"/>
      <c r="X927" s="21"/>
      <c r="Y927" s="54"/>
      <c r="Z927" s="31"/>
      <c r="AA927" s="32"/>
      <c r="AB927" s="32"/>
      <c r="AC927" s="15"/>
      <c r="AD927" s="79"/>
      <c r="AE927" s="13"/>
      <c r="AF927" s="53"/>
      <c r="AG927" s="13"/>
      <c r="AH927" s="31"/>
      <c r="AI927" s="13"/>
      <c r="AJ927" s="53"/>
      <c r="AK927" s="80"/>
      <c r="AL927" s="75"/>
      <c r="AM927" s="76"/>
      <c r="AN927" s="31"/>
      <c r="AO927" s="32"/>
      <c r="AP927" s="32"/>
      <c r="AQ927" s="113"/>
      <c r="AR927" s="79"/>
      <c r="AS927" s="74"/>
      <c r="AT927" s="53"/>
      <c r="AU927" s="13"/>
      <c r="AV927" s="31"/>
      <c r="AW927" s="13"/>
      <c r="AX927" s="53"/>
      <c r="AY927" s="80"/>
      <c r="AZ927" s="56"/>
      <c r="BA927" s="54"/>
      <c r="BB927" s="31"/>
      <c r="BC927" s="32"/>
      <c r="BD927" s="32"/>
      <c r="BT927" s="113"/>
      <c r="BU927" s="16"/>
      <c r="BV927" s="25"/>
      <c r="BW927" s="13" t="str">
        <f t="shared" si="1404"/>
        <v/>
      </c>
      <c r="BX927" s="13"/>
      <c r="BY927" s="13"/>
      <c r="BZ927" s="13"/>
      <c r="CA927" s="13" t="str">
        <f t="shared" si="1405"/>
        <v/>
      </c>
      <c r="CB927" s="13"/>
      <c r="CC927" s="13"/>
      <c r="CD927" s="13"/>
      <c r="CE927" s="13" t="str">
        <f t="shared" si="1362"/>
        <v/>
      </c>
      <c r="CF927" s="14" t="str">
        <f t="shared" si="1363"/>
        <v/>
      </c>
      <c r="CG927" s="15"/>
      <c r="CH927" s="1"/>
      <c r="CI927" s="16"/>
      <c r="CJ927" s="25"/>
      <c r="CK927" s="13" t="str">
        <f t="shared" si="1406"/>
        <v/>
      </c>
      <c r="CL927" s="13"/>
      <c r="CM927" s="13"/>
      <c r="CN927" s="13"/>
      <c r="CO927" s="13" t="str">
        <f t="shared" si="1407"/>
        <v/>
      </c>
      <c r="CP927" s="13"/>
      <c r="CQ927" s="13"/>
      <c r="CR927" s="13"/>
      <c r="CS927" s="13" t="str">
        <f t="shared" si="1364"/>
        <v/>
      </c>
      <c r="CT927" s="14" t="str">
        <f t="shared" si="1391"/>
        <v/>
      </c>
      <c r="CU927" s="15"/>
      <c r="CV927" s="1"/>
      <c r="CW927" s="16"/>
      <c r="CX927" s="25"/>
      <c r="CY927" s="13" t="str">
        <f t="shared" si="1408"/>
        <v/>
      </c>
      <c r="CZ927" s="13"/>
      <c r="DA927" s="13"/>
      <c r="DB927" s="13"/>
      <c r="DC927" s="13" t="str">
        <f t="shared" si="1409"/>
        <v/>
      </c>
      <c r="DD927" s="13"/>
      <c r="DE927" s="13"/>
      <c r="DF927" s="13"/>
      <c r="DG927" s="13" t="str">
        <f t="shared" si="1365"/>
        <v/>
      </c>
      <c r="DH927" s="14" t="str">
        <f t="shared" si="1366"/>
        <v/>
      </c>
      <c r="DI927" s="15"/>
      <c r="DJ927" s="1"/>
      <c r="DK927" s="16"/>
      <c r="DL927" s="25"/>
      <c r="DM927" s="13" t="str">
        <f t="shared" si="1410"/>
        <v/>
      </c>
      <c r="DN927" s="13"/>
      <c r="DO927" s="13"/>
      <c r="DP927" s="13"/>
      <c r="DQ927" s="13" t="str">
        <f t="shared" si="1411"/>
        <v/>
      </c>
      <c r="DR927" s="13"/>
      <c r="DS927" s="13"/>
      <c r="DT927" s="13"/>
      <c r="DU927" s="13" t="str">
        <f t="shared" si="1367"/>
        <v/>
      </c>
      <c r="DV927" s="14" t="str">
        <f t="shared" si="1368"/>
        <v/>
      </c>
      <c r="DW927" s="15"/>
    </row>
    <row r="928" spans="1:127" ht="15" customHeight="1" thickTop="1" thickBot="1" x14ac:dyDescent="0.25">
      <c r="A928" s="16"/>
      <c r="B928" s="11"/>
      <c r="C928" s="13"/>
      <c r="D928" s="53"/>
      <c r="E928" s="13"/>
      <c r="F928" s="13"/>
      <c r="G928" s="13"/>
      <c r="H928" s="13"/>
      <c r="I928" s="17"/>
      <c r="J928" s="21"/>
      <c r="K928" s="54"/>
      <c r="L928" s="13"/>
      <c r="M928" s="14"/>
      <c r="N928" s="15"/>
      <c r="O928" s="2"/>
      <c r="P928" s="16"/>
      <c r="Q928" s="11"/>
      <c r="R928" s="53"/>
      <c r="S928" s="53"/>
      <c r="T928" s="13"/>
      <c r="U928" s="13"/>
      <c r="V928" s="13"/>
      <c r="W928" s="17"/>
      <c r="X928" s="21"/>
      <c r="Y928" s="54"/>
      <c r="Z928" s="13"/>
      <c r="AA928" s="14"/>
      <c r="AB928" s="32"/>
      <c r="AC928" s="15"/>
      <c r="AD928" s="16"/>
      <c r="AE928" s="53"/>
      <c r="AF928" s="13"/>
      <c r="AG928" s="53"/>
      <c r="AH928" s="13"/>
      <c r="AI928" s="13"/>
      <c r="AJ928" s="87"/>
      <c r="AK928" s="17"/>
      <c r="AL928" s="56"/>
      <c r="AM928" s="54"/>
      <c r="AN928" s="13"/>
      <c r="AO928" s="14"/>
      <c r="AP928" s="14"/>
      <c r="AQ928" s="113"/>
      <c r="AR928" s="16"/>
      <c r="AS928" s="11"/>
      <c r="AT928" s="13"/>
      <c r="AU928" s="53"/>
      <c r="AV928" s="13"/>
      <c r="AW928" s="13"/>
      <c r="AX928" s="13"/>
      <c r="AY928" s="17"/>
      <c r="AZ928" s="56"/>
      <c r="BA928" s="54"/>
      <c r="BB928" s="13"/>
      <c r="BC928" s="14"/>
      <c r="BD928" s="14"/>
      <c r="BT928" s="113"/>
      <c r="BU928" s="16"/>
      <c r="BV928" s="25"/>
      <c r="BW928" s="13" t="str">
        <f t="shared" si="1404"/>
        <v/>
      </c>
      <c r="BX928" s="13"/>
      <c r="BY928" s="13"/>
      <c r="BZ928" s="13"/>
      <c r="CA928" s="13" t="str">
        <f t="shared" si="1405"/>
        <v/>
      </c>
      <c r="CB928" s="13"/>
      <c r="CC928" s="13"/>
      <c r="CD928" s="13"/>
      <c r="CE928" s="13" t="str">
        <f t="shared" si="1362"/>
        <v/>
      </c>
      <c r="CF928" s="14" t="str">
        <f t="shared" si="1363"/>
        <v/>
      </c>
      <c r="CG928" s="15"/>
      <c r="CH928" s="1"/>
      <c r="CI928" s="16"/>
      <c r="CJ928" s="25"/>
      <c r="CK928" s="13" t="str">
        <f t="shared" si="1406"/>
        <v/>
      </c>
      <c r="CL928" s="13"/>
      <c r="CM928" s="13"/>
      <c r="CN928" s="13"/>
      <c r="CO928" s="13" t="str">
        <f t="shared" si="1407"/>
        <v/>
      </c>
      <c r="CP928" s="13"/>
      <c r="CQ928" s="13"/>
      <c r="CR928" s="13"/>
      <c r="CS928" s="13" t="str">
        <f t="shared" si="1364"/>
        <v/>
      </c>
      <c r="CT928" s="14" t="str">
        <f t="shared" si="1391"/>
        <v/>
      </c>
      <c r="CU928" s="15"/>
      <c r="CV928" s="1"/>
      <c r="CW928" s="16"/>
      <c r="CX928" s="25"/>
      <c r="CY928" s="13" t="str">
        <f t="shared" si="1408"/>
        <v/>
      </c>
      <c r="CZ928" s="13"/>
      <c r="DA928" s="13"/>
      <c r="DB928" s="13"/>
      <c r="DC928" s="13" t="str">
        <f t="shared" si="1409"/>
        <v/>
      </c>
      <c r="DD928" s="13"/>
      <c r="DE928" s="13"/>
      <c r="DF928" s="13"/>
      <c r="DG928" s="13" t="str">
        <f t="shared" si="1365"/>
        <v/>
      </c>
      <c r="DH928" s="14" t="str">
        <f t="shared" si="1366"/>
        <v/>
      </c>
      <c r="DI928" s="15"/>
      <c r="DJ928" s="1"/>
      <c r="DK928" s="16"/>
      <c r="DL928" s="25"/>
      <c r="DM928" s="13" t="str">
        <f t="shared" si="1410"/>
        <v/>
      </c>
      <c r="DN928" s="13"/>
      <c r="DO928" s="13"/>
      <c r="DP928" s="13"/>
      <c r="DQ928" s="13" t="str">
        <f t="shared" si="1411"/>
        <v/>
      </c>
      <c r="DR928" s="13"/>
      <c r="DS928" s="13"/>
      <c r="DT928" s="13"/>
      <c r="DU928" s="13" t="str">
        <f t="shared" si="1367"/>
        <v/>
      </c>
      <c r="DV928" s="14" t="str">
        <f t="shared" si="1368"/>
        <v/>
      </c>
      <c r="DW928" s="15"/>
    </row>
    <row r="929" spans="1:127" ht="15" customHeight="1" thickTop="1" thickBot="1" x14ac:dyDescent="0.25">
      <c r="A929" s="16"/>
      <c r="B929" s="11"/>
      <c r="C929" s="13"/>
      <c r="D929" s="63"/>
      <c r="E929" s="13"/>
      <c r="F929" s="13"/>
      <c r="G929" s="34"/>
      <c r="H929" s="34"/>
      <c r="I929" s="17"/>
      <c r="J929" s="21"/>
      <c r="K929" s="54"/>
      <c r="L929" s="13"/>
      <c r="M929" s="14"/>
      <c r="N929" s="15"/>
      <c r="O929" s="2"/>
      <c r="P929" s="16"/>
      <c r="Q929" s="11"/>
      <c r="R929" s="53"/>
      <c r="S929" s="13"/>
      <c r="T929" s="13"/>
      <c r="U929" s="13"/>
      <c r="V929" s="87"/>
      <c r="W929" s="17"/>
      <c r="X929" s="21"/>
      <c r="Y929" s="54"/>
      <c r="Z929" s="13"/>
      <c r="AA929" s="14"/>
      <c r="AB929" s="32"/>
      <c r="AC929" s="15"/>
      <c r="AD929" s="16"/>
      <c r="AE929" s="13"/>
      <c r="AF929" s="13"/>
      <c r="AG929" s="13"/>
      <c r="AH929" s="13"/>
      <c r="AI929" s="13"/>
      <c r="AJ929" s="13"/>
      <c r="AK929" s="17"/>
      <c r="AL929" s="56"/>
      <c r="AM929" s="13"/>
      <c r="AN929" s="13"/>
      <c r="AO929" s="14"/>
      <c r="AP929" s="14"/>
      <c r="AQ929" s="113"/>
      <c r="AR929" s="16"/>
      <c r="AS929" s="11"/>
      <c r="AT929" s="13"/>
      <c r="AU929" s="13"/>
      <c r="AV929" s="13"/>
      <c r="AW929" s="13"/>
      <c r="AX929" s="13"/>
      <c r="AY929" s="17"/>
      <c r="AZ929" s="56"/>
      <c r="BA929" s="54"/>
      <c r="BB929" s="13"/>
      <c r="BC929" s="14"/>
      <c r="BD929" s="14"/>
      <c r="BT929" s="113"/>
      <c r="BU929" s="16"/>
      <c r="BV929" s="25"/>
      <c r="BW929" s="13" t="str">
        <f t="shared" si="1404"/>
        <v/>
      </c>
      <c r="BX929" s="13"/>
      <c r="BY929" s="13"/>
      <c r="BZ929" s="13"/>
      <c r="CA929" s="13" t="str">
        <f t="shared" si="1405"/>
        <v/>
      </c>
      <c r="CB929" s="13"/>
      <c r="CC929" s="13"/>
      <c r="CD929" s="13"/>
      <c r="CE929" s="13" t="str">
        <f t="shared" si="1362"/>
        <v/>
      </c>
      <c r="CF929" s="14" t="str">
        <f t="shared" si="1363"/>
        <v/>
      </c>
      <c r="CG929" s="15"/>
      <c r="CH929" s="1"/>
      <c r="CI929" s="16"/>
      <c r="CJ929" s="25"/>
      <c r="CK929" s="13" t="str">
        <f t="shared" si="1406"/>
        <v/>
      </c>
      <c r="CL929" s="13"/>
      <c r="CM929" s="13"/>
      <c r="CN929" s="13"/>
      <c r="CO929" s="13" t="str">
        <f t="shared" si="1407"/>
        <v/>
      </c>
      <c r="CP929" s="13"/>
      <c r="CQ929" s="13"/>
      <c r="CR929" s="13"/>
      <c r="CS929" s="13" t="str">
        <f t="shared" si="1364"/>
        <v/>
      </c>
      <c r="CT929" s="14" t="str">
        <f t="shared" si="1391"/>
        <v/>
      </c>
      <c r="CU929" s="15"/>
      <c r="CV929" s="1"/>
      <c r="CW929" s="16"/>
      <c r="CX929" s="25"/>
      <c r="CY929" s="13" t="str">
        <f t="shared" si="1408"/>
        <v/>
      </c>
      <c r="CZ929" s="13"/>
      <c r="DA929" s="13"/>
      <c r="DB929" s="13"/>
      <c r="DC929" s="13" t="str">
        <f t="shared" si="1409"/>
        <v/>
      </c>
      <c r="DD929" s="13"/>
      <c r="DE929" s="13"/>
      <c r="DF929" s="13"/>
      <c r="DG929" s="13" t="str">
        <f t="shared" si="1365"/>
        <v/>
      </c>
      <c r="DH929" s="14" t="str">
        <f t="shared" si="1366"/>
        <v/>
      </c>
      <c r="DI929" s="15"/>
      <c r="DJ929" s="1"/>
      <c r="DK929" s="16"/>
      <c r="DL929" s="25"/>
      <c r="DM929" s="13" t="str">
        <f t="shared" si="1410"/>
        <v/>
      </c>
      <c r="DN929" s="13"/>
      <c r="DO929" s="13"/>
      <c r="DP929" s="13"/>
      <c r="DQ929" s="13" t="str">
        <f t="shared" si="1411"/>
        <v/>
      </c>
      <c r="DR929" s="13"/>
      <c r="DS929" s="13"/>
      <c r="DT929" s="13"/>
      <c r="DU929" s="13" t="str">
        <f t="shared" si="1367"/>
        <v/>
      </c>
      <c r="DV929" s="14" t="str">
        <f t="shared" si="1368"/>
        <v/>
      </c>
      <c r="DW929" s="15"/>
    </row>
    <row r="930" spans="1:127" ht="15" customHeight="1" thickTop="1" thickBot="1" x14ac:dyDescent="0.25">
      <c r="A930" s="26"/>
      <c r="B930" s="46"/>
      <c r="C930" s="29"/>
      <c r="D930" s="61"/>
      <c r="E930" s="62"/>
      <c r="F930" s="27"/>
      <c r="G930" s="64"/>
      <c r="H930" s="64"/>
      <c r="I930" s="47"/>
      <c r="J930" s="30"/>
      <c r="K930" s="62"/>
      <c r="L930" s="27"/>
      <c r="M930" s="28"/>
      <c r="N930" s="15"/>
      <c r="O930" s="2"/>
      <c r="P930" s="26"/>
      <c r="Q930" s="46"/>
      <c r="R930" s="61"/>
      <c r="S930" s="27"/>
      <c r="T930" s="27"/>
      <c r="U930" s="27"/>
      <c r="V930" s="27"/>
      <c r="W930" s="47"/>
      <c r="X930" s="30"/>
      <c r="Y930" s="62"/>
      <c r="Z930" s="27"/>
      <c r="AA930" s="28"/>
      <c r="AB930" s="32"/>
      <c r="AC930" s="15"/>
      <c r="AD930" s="26"/>
      <c r="AE930" s="27"/>
      <c r="AF930" s="27"/>
      <c r="AG930" s="27"/>
      <c r="AH930" s="27"/>
      <c r="AI930" s="27"/>
      <c r="AJ930" s="27"/>
      <c r="AK930" s="47"/>
      <c r="AL930" s="57"/>
      <c r="AM930" s="62"/>
      <c r="AN930" s="27"/>
      <c r="AO930" s="28"/>
      <c r="AP930" s="28"/>
      <c r="AQ930" s="113"/>
      <c r="AR930" s="26"/>
      <c r="AS930" s="46"/>
      <c r="AT930" s="27"/>
      <c r="AU930" s="27"/>
      <c r="AV930" s="27"/>
      <c r="AW930" s="27"/>
      <c r="AX930" s="27"/>
      <c r="AY930" s="47"/>
      <c r="AZ930" s="57"/>
      <c r="BA930" s="62"/>
      <c r="BB930" s="27"/>
      <c r="BC930" s="28"/>
      <c r="BD930" s="28"/>
      <c r="BT930" s="113"/>
      <c r="BU930" s="16"/>
      <c r="BV930" s="25"/>
      <c r="BW930" s="13" t="str">
        <f t="shared" si="1404"/>
        <v/>
      </c>
      <c r="BX930" s="13"/>
      <c r="BY930" s="13"/>
      <c r="BZ930" s="13"/>
      <c r="CA930" s="13" t="str">
        <f t="shared" si="1405"/>
        <v/>
      </c>
      <c r="CB930" s="13"/>
      <c r="CC930" s="13"/>
      <c r="CD930" s="13"/>
      <c r="CE930" s="13" t="str">
        <f t="shared" si="1362"/>
        <v/>
      </c>
      <c r="CF930" s="14" t="str">
        <f t="shared" si="1363"/>
        <v/>
      </c>
      <c r="CG930" s="15"/>
      <c r="CH930" s="1"/>
      <c r="CI930" s="16"/>
      <c r="CJ930" s="25"/>
      <c r="CK930" s="13" t="str">
        <f t="shared" si="1406"/>
        <v/>
      </c>
      <c r="CL930" s="13"/>
      <c r="CM930" s="13"/>
      <c r="CN930" s="13"/>
      <c r="CO930" s="13" t="str">
        <f t="shared" si="1407"/>
        <v/>
      </c>
      <c r="CP930" s="13"/>
      <c r="CQ930" s="13"/>
      <c r="CR930" s="13"/>
      <c r="CS930" s="13" t="str">
        <f t="shared" si="1364"/>
        <v/>
      </c>
      <c r="CT930" s="14" t="str">
        <f t="shared" si="1391"/>
        <v/>
      </c>
      <c r="CU930" s="15"/>
      <c r="CV930" s="1"/>
      <c r="CW930" s="16"/>
      <c r="CX930" s="25"/>
      <c r="CY930" s="13" t="str">
        <f t="shared" si="1408"/>
        <v/>
      </c>
      <c r="CZ930" s="13"/>
      <c r="DA930" s="13"/>
      <c r="DB930" s="13"/>
      <c r="DC930" s="13" t="str">
        <f t="shared" si="1409"/>
        <v/>
      </c>
      <c r="DD930" s="13"/>
      <c r="DE930" s="13"/>
      <c r="DF930" s="13"/>
      <c r="DG930" s="13" t="str">
        <f t="shared" si="1365"/>
        <v/>
      </c>
      <c r="DH930" s="14" t="str">
        <f t="shared" si="1366"/>
        <v/>
      </c>
      <c r="DI930" s="15"/>
      <c r="DJ930" s="1"/>
      <c r="DK930" s="16"/>
      <c r="DL930" s="25"/>
      <c r="DM930" s="13" t="str">
        <f t="shared" si="1410"/>
        <v/>
      </c>
      <c r="DN930" s="13"/>
      <c r="DO930" s="13"/>
      <c r="DP930" s="13"/>
      <c r="DQ930" s="13" t="str">
        <f t="shared" si="1411"/>
        <v/>
      </c>
      <c r="DR930" s="13"/>
      <c r="DS930" s="13"/>
      <c r="DT930" s="13"/>
      <c r="DU930" s="13" t="str">
        <f t="shared" si="1367"/>
        <v/>
      </c>
      <c r="DV930" s="14" t="str">
        <f t="shared" si="1368"/>
        <v/>
      </c>
      <c r="DW930" s="15"/>
    </row>
    <row r="931" spans="1:127" ht="15" customHeight="1" thickTop="1" x14ac:dyDescent="0.2">
      <c r="A931" s="79"/>
      <c r="B931" s="74" t="str">
        <f>IF(A931="","",SUM(D931:D934)+SUM(R931:R934)+SUM(AF931:AF934)+SUM(AT931:AT934))</f>
        <v/>
      </c>
      <c r="C931" s="53"/>
      <c r="D931" s="53" t="str">
        <f t="shared" si="1320"/>
        <v/>
      </c>
      <c r="E931" s="53"/>
      <c r="F931" s="31" t="str">
        <f t="shared" si="1321"/>
        <v/>
      </c>
      <c r="G931" s="53"/>
      <c r="H931" s="53" t="str">
        <f t="shared" si="1322"/>
        <v/>
      </c>
      <c r="I931" s="80"/>
      <c r="J931" s="21" t="str">
        <f t="shared" si="1412"/>
        <v/>
      </c>
      <c r="K931" s="54" t="str">
        <f t="shared" si="1413"/>
        <v/>
      </c>
      <c r="L931" s="31" t="str">
        <f t="shared" si="1325"/>
        <v/>
      </c>
      <c r="M931" s="32" t="str">
        <f t="shared" si="1326"/>
        <v/>
      </c>
      <c r="N931" s="15"/>
      <c r="O931" s="2"/>
      <c r="P931" s="79" t="str">
        <f>IF(A931="","",A931)</f>
        <v/>
      </c>
      <c r="Q931" s="74" t="str">
        <f>IF(P931="","",SUM(S931:S934)+SUM(AG931:AG934)+SUM(AU931:AU934)+SUM(BX931:BX934))</f>
        <v/>
      </c>
      <c r="R931" s="53" t="str">
        <f t="shared" si="1319"/>
        <v/>
      </c>
      <c r="S931" s="53" t="str">
        <f t="shared" ref="S931:S938" si="1414">IF(R931="","",R931-R927)</f>
        <v/>
      </c>
      <c r="T931" s="31" t="str">
        <f t="shared" si="1327"/>
        <v/>
      </c>
      <c r="U931" s="31" t="str">
        <f t="shared" ref="U931:U938" si="1415">IF(T931="","",T931-T927)</f>
        <v/>
      </c>
      <c r="V931" s="53" t="str">
        <f t="shared" si="1328"/>
        <v/>
      </c>
      <c r="W931" s="53" t="str">
        <f t="shared" ref="W931:W938" si="1416">IF(V931="","",V927+X927-V931)</f>
        <v/>
      </c>
      <c r="X931" s="21" t="str">
        <f t="shared" si="1329"/>
        <v/>
      </c>
      <c r="Y931" s="54" t="str">
        <f t="shared" si="1330"/>
        <v/>
      </c>
      <c r="Z931" s="31" t="str">
        <f t="shared" si="1331"/>
        <v/>
      </c>
      <c r="AA931" s="32" t="str">
        <f t="shared" si="1332"/>
        <v/>
      </c>
      <c r="AB931" s="32" t="str">
        <f t="shared" ref="AB931:AB938" si="1417">IF(W931="","",AA931/(S931*100))</f>
        <v/>
      </c>
      <c r="AC931" s="15"/>
      <c r="AD931" s="79" t="str">
        <f>IF($A931="","",$A931)</f>
        <v/>
      </c>
      <c r="AE931" s="74" t="str">
        <f>IF(AD931="","",SUM(AG931:AG934)+SUM(AU931:AU934)+SUM(BX931:BX934)+SUM(CM931:CM934))</f>
        <v/>
      </c>
      <c r="AF931" s="53" t="str">
        <f t="shared" ref="AF931" si="1418">IF(AE931="","",AE931-AE927)</f>
        <v/>
      </c>
      <c r="AG931" s="53" t="str">
        <f t="shared" ref="AG931:AG934" si="1419">IF(AF931="","",AF931-AF927)</f>
        <v/>
      </c>
      <c r="AH931" s="31" t="str">
        <f t="shared" si="1334"/>
        <v/>
      </c>
      <c r="AI931" s="31" t="str">
        <f t="shared" ref="AI931:AI934" si="1420">IF(AH931="","",AH931-AH927)</f>
        <v/>
      </c>
      <c r="AJ931" s="53" t="str">
        <f t="shared" si="1335"/>
        <v/>
      </c>
      <c r="AK931" s="53" t="str">
        <f t="shared" ref="AK931:AK934" si="1421">IF(AJ931="","",AJ927+AL927-AJ931)</f>
        <v/>
      </c>
      <c r="AL931" s="21" t="str">
        <f t="shared" si="1336"/>
        <v/>
      </c>
      <c r="AM931" s="54" t="str">
        <f t="shared" si="1337"/>
        <v/>
      </c>
      <c r="AN931" s="31" t="str">
        <f t="shared" si="1338"/>
        <v/>
      </c>
      <c r="AO931" s="32" t="str">
        <f t="shared" si="1339"/>
        <v/>
      </c>
      <c r="AP931" s="32" t="str">
        <f t="shared" ref="AP931:AP938" si="1422">IF(AK931="","",AO931/(AG931*100))</f>
        <v/>
      </c>
      <c r="AQ931" s="113"/>
      <c r="AR931" s="79" t="str">
        <f>IF($A931="","",$A931)</f>
        <v/>
      </c>
      <c r="AS931" s="74" t="str">
        <f>IF(AR931="","",SUM(AU931:AU934)+SUM(BX931:BX934)+SUM(CM931:CM934)+SUM(DB931:DB934))</f>
        <v/>
      </c>
      <c r="AT931" s="53" t="str">
        <f t="shared" ref="AT931" si="1423">IF(AS931="","",AS931-AS927)</f>
        <v/>
      </c>
      <c r="AU931" s="53" t="str">
        <f t="shared" ref="AU931:AU934" si="1424">IF(AT931="","",AT931-AT927)</f>
        <v/>
      </c>
      <c r="AV931" s="31" t="str">
        <f t="shared" si="1341"/>
        <v/>
      </c>
      <c r="AW931" s="31" t="str">
        <f t="shared" ref="AW931:AW934" si="1425">IF(AV931="","",AV931-AV927)</f>
        <v/>
      </c>
      <c r="AX931" s="53" t="str">
        <f t="shared" si="1342"/>
        <v/>
      </c>
      <c r="AY931" s="53" t="str">
        <f t="shared" ref="AY931:AY934" si="1426">IF(AX931="","",AX927+AZ927-AX931)</f>
        <v/>
      </c>
      <c r="AZ931" s="56" t="str">
        <f t="shared" si="1343"/>
        <v/>
      </c>
      <c r="BA931" s="54" t="str">
        <f t="shared" si="1344"/>
        <v/>
      </c>
      <c r="BB931" s="31" t="str">
        <f t="shared" si="1345"/>
        <v/>
      </c>
      <c r="BC931" s="32" t="str">
        <f t="shared" si="1346"/>
        <v/>
      </c>
      <c r="BD931" s="32" t="str">
        <f t="shared" ref="BD931:BD938" si="1427">IF(AY931="","",BC931/(AU931*100))</f>
        <v/>
      </c>
      <c r="BT931" s="113"/>
      <c r="BU931" s="16"/>
      <c r="BV931" s="25"/>
      <c r="BW931" s="13" t="str">
        <f t="shared" si="1404"/>
        <v/>
      </c>
      <c r="BX931" s="13"/>
      <c r="BY931" s="13"/>
      <c r="BZ931" s="13"/>
      <c r="CA931" s="13" t="str">
        <f t="shared" si="1405"/>
        <v/>
      </c>
      <c r="CB931" s="13"/>
      <c r="CC931" s="13"/>
      <c r="CD931" s="13"/>
      <c r="CE931" s="13" t="str">
        <f t="shared" si="1362"/>
        <v/>
      </c>
      <c r="CF931" s="14" t="str">
        <f t="shared" si="1363"/>
        <v/>
      </c>
      <c r="CG931" s="15"/>
      <c r="CH931" s="1"/>
      <c r="CI931" s="16"/>
      <c r="CJ931" s="25"/>
      <c r="CK931" s="13" t="str">
        <f t="shared" si="1406"/>
        <v/>
      </c>
      <c r="CL931" s="13"/>
      <c r="CM931" s="13"/>
      <c r="CN931" s="13"/>
      <c r="CO931" s="13" t="str">
        <f t="shared" si="1407"/>
        <v/>
      </c>
      <c r="CP931" s="13"/>
      <c r="CQ931" s="13"/>
      <c r="CR931" s="13"/>
      <c r="CS931" s="13" t="str">
        <f t="shared" si="1364"/>
        <v/>
      </c>
      <c r="CT931" s="14" t="str">
        <f t="shared" si="1391"/>
        <v/>
      </c>
      <c r="CU931" s="15"/>
      <c r="CV931" s="1"/>
      <c r="CW931" s="16"/>
      <c r="CX931" s="25"/>
      <c r="CY931" s="13" t="str">
        <f t="shared" si="1408"/>
        <v/>
      </c>
      <c r="CZ931" s="13"/>
      <c r="DA931" s="13"/>
      <c r="DB931" s="13"/>
      <c r="DC931" s="13" t="str">
        <f t="shared" si="1409"/>
        <v/>
      </c>
      <c r="DD931" s="13"/>
      <c r="DE931" s="13"/>
      <c r="DF931" s="13"/>
      <c r="DG931" s="13" t="str">
        <f t="shared" si="1365"/>
        <v/>
      </c>
      <c r="DH931" s="14" t="str">
        <f t="shared" si="1366"/>
        <v/>
      </c>
      <c r="DI931" s="15"/>
      <c r="DJ931" s="1"/>
      <c r="DK931" s="16"/>
      <c r="DL931" s="25"/>
      <c r="DM931" s="13" t="str">
        <f t="shared" si="1410"/>
        <v/>
      </c>
      <c r="DN931" s="13"/>
      <c r="DO931" s="13"/>
      <c r="DP931" s="13"/>
      <c r="DQ931" s="13" t="str">
        <f t="shared" si="1411"/>
        <v/>
      </c>
      <c r="DR931" s="13"/>
      <c r="DS931" s="13"/>
      <c r="DT931" s="13"/>
      <c r="DU931" s="13" t="str">
        <f t="shared" si="1367"/>
        <v/>
      </c>
      <c r="DV931" s="14" t="str">
        <f t="shared" si="1368"/>
        <v/>
      </c>
      <c r="DW931" s="15"/>
    </row>
    <row r="932" spans="1:127" ht="15" customHeight="1" x14ac:dyDescent="0.2">
      <c r="A932" s="16"/>
      <c r="B932" s="11"/>
      <c r="C932" s="13"/>
      <c r="D932" s="53" t="str">
        <f t="shared" si="1320"/>
        <v/>
      </c>
      <c r="E932" s="13"/>
      <c r="F932" s="13" t="str">
        <f t="shared" si="1321"/>
        <v/>
      </c>
      <c r="G932" s="13"/>
      <c r="H932" s="13" t="str">
        <f t="shared" si="1322"/>
        <v/>
      </c>
      <c r="I932" s="17"/>
      <c r="J932" s="21" t="str">
        <f t="shared" si="1412"/>
        <v/>
      </c>
      <c r="K932" s="54" t="str">
        <f t="shared" si="1413"/>
        <v/>
      </c>
      <c r="L932" s="13" t="str">
        <f t="shared" si="1325"/>
        <v/>
      </c>
      <c r="M932" s="14" t="str">
        <f t="shared" si="1326"/>
        <v/>
      </c>
      <c r="N932" s="15"/>
      <c r="O932" s="2"/>
      <c r="P932" s="16"/>
      <c r="Q932" s="11"/>
      <c r="R932" s="53" t="str">
        <f>IF(Q932="","",Q932-Q928)</f>
        <v/>
      </c>
      <c r="S932" s="53" t="str">
        <f t="shared" si="1414"/>
        <v/>
      </c>
      <c r="T932" s="13" t="str">
        <f t="shared" si="1327"/>
        <v/>
      </c>
      <c r="U932" s="13" t="str">
        <f t="shared" si="1415"/>
        <v/>
      </c>
      <c r="V932" s="13" t="str">
        <f t="shared" si="1328"/>
        <v/>
      </c>
      <c r="W932" s="13" t="str">
        <f t="shared" si="1416"/>
        <v/>
      </c>
      <c r="X932" s="21" t="str">
        <f t="shared" si="1329"/>
        <v/>
      </c>
      <c r="Y932" s="54" t="str">
        <f t="shared" si="1330"/>
        <v/>
      </c>
      <c r="Z932" s="13" t="str">
        <f t="shared" si="1331"/>
        <v/>
      </c>
      <c r="AA932" s="14" t="str">
        <f t="shared" si="1332"/>
        <v/>
      </c>
      <c r="AB932" s="14" t="str">
        <f t="shared" si="1417"/>
        <v/>
      </c>
      <c r="AC932" s="15"/>
      <c r="AD932" s="16"/>
      <c r="AE932" s="11"/>
      <c r="AF932" s="53" t="str">
        <f>IF(AE932="","",AE932-AE928)</f>
        <v/>
      </c>
      <c r="AG932" s="53" t="str">
        <f t="shared" si="1419"/>
        <v/>
      </c>
      <c r="AH932" s="13" t="str">
        <f t="shared" si="1334"/>
        <v/>
      </c>
      <c r="AI932" s="13" t="str">
        <f t="shared" si="1420"/>
        <v/>
      </c>
      <c r="AJ932" s="13" t="str">
        <f t="shared" si="1335"/>
        <v/>
      </c>
      <c r="AK932" s="13" t="str">
        <f t="shared" si="1421"/>
        <v/>
      </c>
      <c r="AL932" s="21" t="str">
        <f t="shared" si="1336"/>
        <v/>
      </c>
      <c r="AM932" s="54" t="str">
        <f t="shared" si="1337"/>
        <v/>
      </c>
      <c r="AN932" s="13" t="str">
        <f t="shared" si="1338"/>
        <v/>
      </c>
      <c r="AO932" s="14" t="str">
        <f t="shared" si="1339"/>
        <v/>
      </c>
      <c r="AP932" s="14" t="str">
        <f t="shared" si="1422"/>
        <v/>
      </c>
      <c r="AQ932" s="113"/>
      <c r="AR932" s="16"/>
      <c r="AS932" s="11"/>
      <c r="AT932" s="53" t="str">
        <f>IF(AS932="","",AS932-AS928)</f>
        <v/>
      </c>
      <c r="AU932" s="53" t="str">
        <f t="shared" si="1424"/>
        <v/>
      </c>
      <c r="AV932" s="13" t="str">
        <f t="shared" si="1341"/>
        <v/>
      </c>
      <c r="AW932" s="13" t="str">
        <f t="shared" si="1425"/>
        <v/>
      </c>
      <c r="AX932" s="13" t="str">
        <f t="shared" si="1342"/>
        <v/>
      </c>
      <c r="AY932" s="13" t="str">
        <f t="shared" si="1426"/>
        <v/>
      </c>
      <c r="AZ932" s="56" t="str">
        <f t="shared" si="1343"/>
        <v/>
      </c>
      <c r="BA932" s="54" t="str">
        <f t="shared" si="1344"/>
        <v/>
      </c>
      <c r="BB932" s="13" t="str">
        <f t="shared" si="1345"/>
        <v/>
      </c>
      <c r="BC932" s="14" t="str">
        <f t="shared" si="1346"/>
        <v/>
      </c>
      <c r="BD932" s="14" t="str">
        <f t="shared" si="1427"/>
        <v/>
      </c>
      <c r="BT932" s="113"/>
      <c r="BU932" s="16"/>
      <c r="BV932" s="25"/>
      <c r="BW932" s="13" t="str">
        <f t="shared" si="1404"/>
        <v/>
      </c>
      <c r="BX932" s="13"/>
      <c r="BY932" s="13"/>
      <c r="BZ932" s="13"/>
      <c r="CA932" s="13" t="str">
        <f t="shared" si="1405"/>
        <v/>
      </c>
      <c r="CB932" s="13"/>
      <c r="CC932" s="13"/>
      <c r="CD932" s="13"/>
      <c r="CE932" s="13" t="str">
        <f t="shared" si="1362"/>
        <v/>
      </c>
      <c r="CF932" s="14" t="str">
        <f t="shared" si="1363"/>
        <v/>
      </c>
      <c r="CG932" s="15"/>
      <c r="CH932" s="1"/>
      <c r="CI932" s="16"/>
      <c r="CJ932" s="25"/>
      <c r="CK932" s="13" t="str">
        <f t="shared" si="1406"/>
        <v/>
      </c>
      <c r="CL932" s="13"/>
      <c r="CM932" s="13"/>
      <c r="CN932" s="13"/>
      <c r="CO932" s="13" t="str">
        <f t="shared" si="1407"/>
        <v/>
      </c>
      <c r="CP932" s="13"/>
      <c r="CQ932" s="13"/>
      <c r="CR932" s="13"/>
      <c r="CS932" s="13" t="str">
        <f t="shared" si="1364"/>
        <v/>
      </c>
      <c r="CT932" s="14" t="str">
        <f t="shared" si="1391"/>
        <v/>
      </c>
      <c r="CU932" s="15"/>
      <c r="CV932" s="1"/>
      <c r="CW932" s="16"/>
      <c r="CX932" s="25"/>
      <c r="CY932" s="13" t="str">
        <f t="shared" si="1408"/>
        <v/>
      </c>
      <c r="CZ932" s="13"/>
      <c r="DA932" s="13"/>
      <c r="DB932" s="13"/>
      <c r="DC932" s="13" t="str">
        <f t="shared" si="1409"/>
        <v/>
      </c>
      <c r="DD932" s="13"/>
      <c r="DE932" s="13"/>
      <c r="DF932" s="13"/>
      <c r="DG932" s="13" t="str">
        <f t="shared" si="1365"/>
        <v/>
      </c>
      <c r="DH932" s="14" t="str">
        <f t="shared" si="1366"/>
        <v/>
      </c>
      <c r="DI932" s="15"/>
      <c r="DJ932" s="1"/>
      <c r="DK932" s="16"/>
      <c r="DL932" s="25"/>
      <c r="DM932" s="13" t="str">
        <f t="shared" si="1410"/>
        <v/>
      </c>
      <c r="DN932" s="13"/>
      <c r="DO932" s="13"/>
      <c r="DP932" s="13"/>
      <c r="DQ932" s="13" t="str">
        <f t="shared" si="1411"/>
        <v/>
      </c>
      <c r="DR932" s="13"/>
      <c r="DS932" s="13"/>
      <c r="DT932" s="13"/>
      <c r="DU932" s="13" t="str">
        <f t="shared" si="1367"/>
        <v/>
      </c>
      <c r="DV932" s="14" t="str">
        <f t="shared" si="1368"/>
        <v/>
      </c>
      <c r="DW932" s="15"/>
    </row>
    <row r="933" spans="1:127" ht="15" customHeight="1" x14ac:dyDescent="0.2">
      <c r="A933" s="16"/>
      <c r="B933" s="11"/>
      <c r="C933" s="13"/>
      <c r="D933" s="63" t="str">
        <f t="shared" si="1320"/>
        <v/>
      </c>
      <c r="E933" s="13"/>
      <c r="F933" s="13" t="str">
        <f t="shared" si="1321"/>
        <v/>
      </c>
      <c r="G933" s="13"/>
      <c r="H933" s="13" t="str">
        <f t="shared" si="1322"/>
        <v/>
      </c>
      <c r="I933" s="17"/>
      <c r="J933" s="21" t="str">
        <f t="shared" si="1412"/>
        <v/>
      </c>
      <c r="K933" s="54" t="str">
        <f t="shared" si="1413"/>
        <v/>
      </c>
      <c r="L933" s="13" t="str">
        <f t="shared" si="1325"/>
        <v/>
      </c>
      <c r="M933" s="14" t="str">
        <f t="shared" si="1326"/>
        <v/>
      </c>
      <c r="N933" s="15"/>
      <c r="O933" s="2"/>
      <c r="P933" s="16"/>
      <c r="Q933" s="11"/>
      <c r="R933" s="53" t="str">
        <f t="shared" si="1319"/>
        <v/>
      </c>
      <c r="S933" s="63" t="str">
        <f t="shared" si="1414"/>
        <v/>
      </c>
      <c r="T933" s="13" t="str">
        <f t="shared" si="1327"/>
        <v/>
      </c>
      <c r="U933" s="13" t="str">
        <f t="shared" si="1415"/>
        <v/>
      </c>
      <c r="V933" s="13" t="str">
        <f t="shared" si="1328"/>
        <v/>
      </c>
      <c r="W933" s="13" t="str">
        <f t="shared" si="1416"/>
        <v/>
      </c>
      <c r="X933" s="21" t="str">
        <f t="shared" si="1329"/>
        <v/>
      </c>
      <c r="Y933" s="54" t="str">
        <f t="shared" si="1330"/>
        <v/>
      </c>
      <c r="Z933" s="13" t="str">
        <f t="shared" si="1331"/>
        <v/>
      </c>
      <c r="AA933" s="14" t="str">
        <f t="shared" si="1332"/>
        <v/>
      </c>
      <c r="AB933" s="14" t="str">
        <f t="shared" si="1417"/>
        <v/>
      </c>
      <c r="AC933" s="15"/>
      <c r="AD933" s="16"/>
      <c r="AE933" s="11"/>
      <c r="AF933" s="53" t="str">
        <f t="shared" ref="AF933" si="1428">IF(AE933="","",AE933-AE929)</f>
        <v/>
      </c>
      <c r="AG933" s="63" t="str">
        <f t="shared" si="1419"/>
        <v/>
      </c>
      <c r="AH933" s="13" t="str">
        <f t="shared" si="1334"/>
        <v/>
      </c>
      <c r="AI933" s="13" t="str">
        <f t="shared" si="1420"/>
        <v/>
      </c>
      <c r="AJ933" s="13" t="str">
        <f t="shared" si="1335"/>
        <v/>
      </c>
      <c r="AK933" s="13" t="str">
        <f t="shared" si="1421"/>
        <v/>
      </c>
      <c r="AL933" s="21" t="str">
        <f t="shared" si="1336"/>
        <v/>
      </c>
      <c r="AM933" s="54" t="str">
        <f t="shared" si="1337"/>
        <v/>
      </c>
      <c r="AN933" s="13" t="str">
        <f t="shared" si="1338"/>
        <v/>
      </c>
      <c r="AO933" s="14" t="str">
        <f t="shared" si="1339"/>
        <v/>
      </c>
      <c r="AP933" s="14" t="str">
        <f t="shared" si="1422"/>
        <v/>
      </c>
      <c r="AQ933" s="113"/>
      <c r="AR933" s="16"/>
      <c r="AS933" s="11"/>
      <c r="AT933" s="53" t="str">
        <f t="shared" ref="AT933" si="1429">IF(AS933="","",AS933-AS929)</f>
        <v/>
      </c>
      <c r="AU933" s="63" t="str">
        <f t="shared" si="1424"/>
        <v/>
      </c>
      <c r="AV933" s="13" t="str">
        <f t="shared" si="1341"/>
        <v/>
      </c>
      <c r="AW933" s="13" t="str">
        <f t="shared" si="1425"/>
        <v/>
      </c>
      <c r="AX933" s="13" t="str">
        <f t="shared" si="1342"/>
        <v/>
      </c>
      <c r="AY933" s="13" t="str">
        <f t="shared" si="1426"/>
        <v/>
      </c>
      <c r="AZ933" s="56" t="str">
        <f t="shared" si="1343"/>
        <v/>
      </c>
      <c r="BA933" s="54" t="str">
        <f t="shared" si="1344"/>
        <v/>
      </c>
      <c r="BB933" s="13" t="str">
        <f t="shared" si="1345"/>
        <v/>
      </c>
      <c r="BC933" s="14" t="str">
        <f t="shared" si="1346"/>
        <v/>
      </c>
      <c r="BD933" s="14" t="str">
        <f t="shared" si="1427"/>
        <v/>
      </c>
      <c r="BT933" s="113"/>
      <c r="BU933" s="16"/>
      <c r="BV933" s="25"/>
      <c r="BW933" s="13" t="str">
        <f t="shared" si="1404"/>
        <v/>
      </c>
      <c r="BX933" s="13"/>
      <c r="BY933" s="13"/>
      <c r="BZ933" s="13"/>
      <c r="CA933" s="13" t="str">
        <f t="shared" si="1405"/>
        <v/>
      </c>
      <c r="CB933" s="13"/>
      <c r="CC933" s="13"/>
      <c r="CD933" s="13"/>
      <c r="CE933" s="13" t="str">
        <f t="shared" si="1362"/>
        <v/>
      </c>
      <c r="CF933" s="14" t="str">
        <f t="shared" si="1363"/>
        <v/>
      </c>
      <c r="CG933" s="15"/>
      <c r="CH933" s="1"/>
      <c r="CI933" s="16"/>
      <c r="CJ933" s="25"/>
      <c r="CK933" s="13" t="str">
        <f t="shared" si="1406"/>
        <v/>
      </c>
      <c r="CL933" s="13"/>
      <c r="CM933" s="13"/>
      <c r="CN933" s="13"/>
      <c r="CO933" s="13" t="str">
        <f t="shared" si="1407"/>
        <v/>
      </c>
      <c r="CP933" s="13"/>
      <c r="CQ933" s="13"/>
      <c r="CR933" s="13"/>
      <c r="CS933" s="13" t="str">
        <f t="shared" si="1364"/>
        <v/>
      </c>
      <c r="CT933" s="14" t="str">
        <f t="shared" si="1391"/>
        <v/>
      </c>
      <c r="CU933" s="15"/>
      <c r="CV933" s="1"/>
      <c r="CW933" s="16"/>
      <c r="CX933" s="25"/>
      <c r="CY933" s="13" t="str">
        <f t="shared" si="1408"/>
        <v/>
      </c>
      <c r="CZ933" s="13"/>
      <c r="DA933" s="13"/>
      <c r="DB933" s="13"/>
      <c r="DC933" s="13" t="str">
        <f t="shared" si="1409"/>
        <v/>
      </c>
      <c r="DD933" s="13"/>
      <c r="DE933" s="13"/>
      <c r="DF933" s="13"/>
      <c r="DG933" s="13" t="str">
        <f t="shared" si="1365"/>
        <v/>
      </c>
      <c r="DH933" s="14" t="str">
        <f t="shared" si="1366"/>
        <v/>
      </c>
      <c r="DI933" s="15"/>
      <c r="DJ933" s="1"/>
      <c r="DK933" s="16"/>
      <c r="DL933" s="25"/>
      <c r="DM933" s="13" t="str">
        <f t="shared" si="1410"/>
        <v/>
      </c>
      <c r="DN933" s="13"/>
      <c r="DO933" s="13"/>
      <c r="DP933" s="13"/>
      <c r="DQ933" s="13" t="str">
        <f t="shared" si="1411"/>
        <v/>
      </c>
      <c r="DR933" s="13"/>
      <c r="DS933" s="13"/>
      <c r="DT933" s="13"/>
      <c r="DU933" s="13" t="str">
        <f t="shared" si="1367"/>
        <v/>
      </c>
      <c r="DV933" s="14" t="str">
        <f t="shared" si="1368"/>
        <v/>
      </c>
      <c r="DW933" s="15"/>
    </row>
    <row r="934" spans="1:127" ht="15" customHeight="1" thickBot="1" x14ac:dyDescent="0.25">
      <c r="A934" s="26"/>
      <c r="B934" s="46"/>
      <c r="C934" s="29"/>
      <c r="D934" s="61" t="str">
        <f t="shared" si="1320"/>
        <v/>
      </c>
      <c r="E934" s="62"/>
      <c r="F934" s="27" t="str">
        <f t="shared" si="1321"/>
        <v/>
      </c>
      <c r="G934" s="27"/>
      <c r="H934" s="27" t="str">
        <f t="shared" si="1322"/>
        <v/>
      </c>
      <c r="I934" s="47"/>
      <c r="J934" s="30" t="str">
        <f t="shared" si="1412"/>
        <v/>
      </c>
      <c r="K934" s="62" t="str">
        <f t="shared" si="1413"/>
        <v/>
      </c>
      <c r="L934" s="27" t="str">
        <f t="shared" si="1325"/>
        <v/>
      </c>
      <c r="M934" s="28" t="str">
        <f t="shared" si="1326"/>
        <v/>
      </c>
      <c r="N934" s="15"/>
      <c r="O934" s="2"/>
      <c r="P934" s="26"/>
      <c r="Q934" s="46"/>
      <c r="R934" s="61" t="str">
        <f t="shared" si="1319"/>
        <v/>
      </c>
      <c r="S934" s="61" t="str">
        <f t="shared" si="1414"/>
        <v/>
      </c>
      <c r="T934" s="27" t="str">
        <f t="shared" si="1327"/>
        <v/>
      </c>
      <c r="U934" s="27" t="str">
        <f t="shared" si="1415"/>
        <v/>
      </c>
      <c r="V934" s="27" t="str">
        <f t="shared" si="1328"/>
        <v/>
      </c>
      <c r="W934" s="27" t="str">
        <f t="shared" si="1416"/>
        <v/>
      </c>
      <c r="X934" s="30" t="str">
        <f t="shared" si="1329"/>
        <v/>
      </c>
      <c r="Y934" s="62" t="str">
        <f t="shared" si="1330"/>
        <v/>
      </c>
      <c r="Z934" s="27" t="str">
        <f t="shared" si="1331"/>
        <v/>
      </c>
      <c r="AA934" s="28" t="str">
        <f t="shared" si="1332"/>
        <v/>
      </c>
      <c r="AB934" s="28" t="str">
        <f t="shared" si="1417"/>
        <v/>
      </c>
      <c r="AC934" s="15"/>
      <c r="AD934" s="26"/>
      <c r="AE934" s="46"/>
      <c r="AF934" s="61" t="str">
        <f t="shared" ref="AF934" si="1430">IF(AE934="","",AE934-AE930)</f>
        <v/>
      </c>
      <c r="AG934" s="61" t="str">
        <f t="shared" si="1419"/>
        <v/>
      </c>
      <c r="AH934" s="27" t="str">
        <f t="shared" si="1334"/>
        <v/>
      </c>
      <c r="AI934" s="27" t="str">
        <f t="shared" si="1420"/>
        <v/>
      </c>
      <c r="AJ934" s="27" t="str">
        <f t="shared" si="1335"/>
        <v/>
      </c>
      <c r="AK934" s="27" t="str">
        <f t="shared" si="1421"/>
        <v/>
      </c>
      <c r="AL934" s="30" t="str">
        <f t="shared" si="1336"/>
        <v/>
      </c>
      <c r="AM934" s="62" t="str">
        <f t="shared" si="1337"/>
        <v/>
      </c>
      <c r="AN934" s="27" t="str">
        <f t="shared" si="1338"/>
        <v/>
      </c>
      <c r="AO934" s="28" t="str">
        <f t="shared" si="1339"/>
        <v/>
      </c>
      <c r="AP934" s="28" t="str">
        <f t="shared" si="1422"/>
        <v/>
      </c>
      <c r="AQ934" s="113"/>
      <c r="AR934" s="26"/>
      <c r="AS934" s="46"/>
      <c r="AT934" s="61" t="str">
        <f t="shared" ref="AT934" si="1431">IF(AS934="","",AS934-AS930)</f>
        <v/>
      </c>
      <c r="AU934" s="61" t="str">
        <f t="shared" si="1424"/>
        <v/>
      </c>
      <c r="AV934" s="27" t="str">
        <f t="shared" si="1341"/>
        <v/>
      </c>
      <c r="AW934" s="27" t="str">
        <f t="shared" si="1425"/>
        <v/>
      </c>
      <c r="AX934" s="27" t="str">
        <f t="shared" si="1342"/>
        <v/>
      </c>
      <c r="AY934" s="27" t="str">
        <f t="shared" si="1426"/>
        <v/>
      </c>
      <c r="AZ934" s="57" t="str">
        <f t="shared" si="1343"/>
        <v/>
      </c>
      <c r="BA934" s="62" t="str">
        <f t="shared" si="1344"/>
        <v/>
      </c>
      <c r="BB934" s="27" t="str">
        <f t="shared" si="1345"/>
        <v/>
      </c>
      <c r="BC934" s="28" t="str">
        <f t="shared" si="1346"/>
        <v/>
      </c>
      <c r="BD934" s="28" t="str">
        <f t="shared" si="1427"/>
        <v/>
      </c>
      <c r="BT934" s="113"/>
      <c r="BU934" s="16"/>
      <c r="BV934" s="25"/>
      <c r="BW934" s="13" t="str">
        <f t="shared" si="1404"/>
        <v/>
      </c>
      <c r="BX934" s="13"/>
      <c r="BY934" s="13"/>
      <c r="BZ934" s="13"/>
      <c r="CA934" s="13" t="str">
        <f t="shared" si="1405"/>
        <v/>
      </c>
      <c r="CB934" s="13"/>
      <c r="CC934" s="13"/>
      <c r="CD934" s="13"/>
      <c r="CE934" s="13" t="str">
        <f t="shared" si="1362"/>
        <v/>
      </c>
      <c r="CF934" s="14" t="str">
        <f t="shared" si="1363"/>
        <v/>
      </c>
      <c r="CG934" s="15"/>
      <c r="CH934" s="1"/>
      <c r="CI934" s="16"/>
      <c r="CJ934" s="25"/>
      <c r="CK934" s="13" t="str">
        <f t="shared" si="1406"/>
        <v/>
      </c>
      <c r="CL934" s="13"/>
      <c r="CM934" s="13"/>
      <c r="CN934" s="13"/>
      <c r="CO934" s="13" t="str">
        <f t="shared" si="1407"/>
        <v/>
      </c>
      <c r="CP934" s="13"/>
      <c r="CQ934" s="13"/>
      <c r="CR934" s="13"/>
      <c r="CS934" s="13" t="str">
        <f t="shared" si="1364"/>
        <v/>
      </c>
      <c r="CT934" s="14" t="str">
        <f t="shared" si="1391"/>
        <v/>
      </c>
      <c r="CU934" s="15"/>
      <c r="CV934" s="1"/>
      <c r="CW934" s="16"/>
      <c r="CX934" s="25"/>
      <c r="CY934" s="13" t="str">
        <f t="shared" si="1408"/>
        <v/>
      </c>
      <c r="CZ934" s="13"/>
      <c r="DA934" s="13"/>
      <c r="DB934" s="13"/>
      <c r="DC934" s="13" t="str">
        <f t="shared" si="1409"/>
        <v/>
      </c>
      <c r="DD934" s="13"/>
      <c r="DE934" s="13"/>
      <c r="DF934" s="13"/>
      <c r="DG934" s="13" t="str">
        <f t="shared" si="1365"/>
        <v/>
      </c>
      <c r="DH934" s="14" t="str">
        <f t="shared" si="1366"/>
        <v/>
      </c>
      <c r="DI934" s="15"/>
      <c r="DJ934" s="1"/>
      <c r="DK934" s="16"/>
      <c r="DL934" s="25"/>
      <c r="DM934" s="13" t="str">
        <f t="shared" si="1410"/>
        <v/>
      </c>
      <c r="DN934" s="13"/>
      <c r="DO934" s="13"/>
      <c r="DP934" s="13"/>
      <c r="DQ934" s="13" t="str">
        <f t="shared" si="1411"/>
        <v/>
      </c>
      <c r="DR934" s="13"/>
      <c r="DS934" s="13"/>
      <c r="DT934" s="13"/>
      <c r="DU934" s="13" t="str">
        <f t="shared" si="1367"/>
        <v/>
      </c>
      <c r="DV934" s="14" t="str">
        <f t="shared" si="1368"/>
        <v/>
      </c>
      <c r="DW934" s="15"/>
    </row>
    <row r="935" spans="1:127" ht="15" customHeight="1" thickTop="1" x14ac:dyDescent="0.2">
      <c r="A935" s="79"/>
      <c r="B935" s="74" t="str">
        <f>IF(A935="","",SUM(D935:D938)+SUM(R935:R938)+SUM(AF935:AF938)+SUM(AT935:AT938))</f>
        <v/>
      </c>
      <c r="C935" s="53"/>
      <c r="D935" s="53" t="str">
        <f t="shared" si="1320"/>
        <v/>
      </c>
      <c r="E935" s="53"/>
      <c r="F935" s="31" t="str">
        <f t="shared" si="1321"/>
        <v/>
      </c>
      <c r="G935" s="53"/>
      <c r="H935" s="53" t="str">
        <f t="shared" si="1322"/>
        <v/>
      </c>
      <c r="I935" s="53"/>
      <c r="J935" s="75" t="str">
        <f t="shared" si="1412"/>
        <v/>
      </c>
      <c r="K935" s="76" t="str">
        <f t="shared" si="1413"/>
        <v/>
      </c>
      <c r="L935" s="31" t="str">
        <f t="shared" si="1325"/>
        <v/>
      </c>
      <c r="M935" s="32" t="str">
        <f t="shared" si="1326"/>
        <v/>
      </c>
      <c r="N935" s="15"/>
      <c r="O935" s="2"/>
      <c r="P935" s="79" t="str">
        <f>IF(A935="","",A935)</f>
        <v/>
      </c>
      <c r="Q935" s="74" t="str">
        <f>IF(P935="","",SUM(S935:S938)+SUM(AG935:AG938)+SUM(AU935:AU938)+SUM(BX935:BX938))</f>
        <v/>
      </c>
      <c r="R935" s="53"/>
      <c r="S935" s="53" t="str">
        <f t="shared" si="1414"/>
        <v/>
      </c>
      <c r="T935" s="53"/>
      <c r="U935" s="31" t="str">
        <f t="shared" si="1415"/>
        <v/>
      </c>
      <c r="V935" s="53"/>
      <c r="W935" s="53" t="str">
        <f t="shared" si="1416"/>
        <v/>
      </c>
      <c r="X935" s="75" t="str">
        <f t="shared" si="1329"/>
        <v/>
      </c>
      <c r="Y935" s="76" t="str">
        <f t="shared" si="1330"/>
        <v/>
      </c>
      <c r="Z935" s="31" t="str">
        <f t="shared" si="1331"/>
        <v/>
      </c>
      <c r="AA935" s="32" t="str">
        <f t="shared" si="1332"/>
        <v/>
      </c>
      <c r="AB935" s="32" t="str">
        <f t="shared" si="1417"/>
        <v/>
      </c>
      <c r="AC935" s="15"/>
      <c r="AD935" s="79" t="str">
        <f>IF($A935="","",$A935)</f>
        <v/>
      </c>
      <c r="AE935" s="74" t="str">
        <f>IF(AD935="","",SUM(AG935:AG938)+SUM(AU935:AU938)+SUM(BX935:BX938)+SUM(CM935:CM938))</f>
        <v/>
      </c>
      <c r="AF935" s="53"/>
      <c r="AG935" s="53" t="str">
        <f t="shared" ref="AG935:AG938" si="1432">IF(AF935="","",AF935-AF931)</f>
        <v/>
      </c>
      <c r="AH935" s="53"/>
      <c r="AI935" s="31" t="str">
        <f t="shared" ref="AI935:AI938" si="1433">IF(AH935="","",AH935-AH931)</f>
        <v/>
      </c>
      <c r="AJ935" s="53"/>
      <c r="AK935" s="53" t="str">
        <f t="shared" ref="AK935:AK938" si="1434">IF(AJ935="","",AJ931+AL931-AJ935)</f>
        <v/>
      </c>
      <c r="AL935" s="75" t="str">
        <f t="shared" si="1336"/>
        <v/>
      </c>
      <c r="AM935" s="76" t="str">
        <f t="shared" si="1337"/>
        <v/>
      </c>
      <c r="AN935" s="31" t="str">
        <f t="shared" si="1338"/>
        <v/>
      </c>
      <c r="AO935" s="32" t="str">
        <f t="shared" si="1339"/>
        <v/>
      </c>
      <c r="AP935" s="32" t="str">
        <f t="shared" si="1422"/>
        <v/>
      </c>
      <c r="AQ935" s="113"/>
      <c r="AR935" s="79" t="str">
        <f>IF($A935="","",$A935)</f>
        <v/>
      </c>
      <c r="AS935" s="74" t="str">
        <f>IF(AR935="","",SUM(AU935:AU938)+SUM(BX935:BX938)+SUM(CM935:CM938)+SUM(DB935:DB938))</f>
        <v/>
      </c>
      <c r="AT935" s="53"/>
      <c r="AU935" s="53" t="str">
        <f t="shared" ref="AU935:AU938" si="1435">IF(AT935="","",AT935-AT931)</f>
        <v/>
      </c>
      <c r="AV935" s="53"/>
      <c r="AW935" s="31" t="str">
        <f t="shared" ref="AW935:AW938" si="1436">IF(AV935="","",AV935-AV931)</f>
        <v/>
      </c>
      <c r="AX935" s="53"/>
      <c r="AY935" s="53" t="str">
        <f t="shared" ref="AY935:AY938" si="1437">IF(AX935="","",AX931+AZ931-AX935)</f>
        <v/>
      </c>
      <c r="AZ935" s="75" t="str">
        <f t="shared" si="1343"/>
        <v/>
      </c>
      <c r="BA935" s="76" t="str">
        <f t="shared" si="1344"/>
        <v/>
      </c>
      <c r="BB935" s="31" t="str">
        <f t="shared" si="1345"/>
        <v/>
      </c>
      <c r="BC935" s="32" t="str">
        <f t="shared" si="1346"/>
        <v/>
      </c>
      <c r="BD935" s="32" t="str">
        <f t="shared" si="1427"/>
        <v/>
      </c>
      <c r="BT935" s="113"/>
      <c r="BU935" s="16"/>
      <c r="BV935" s="25"/>
      <c r="BW935" s="13" t="str">
        <f t="shared" si="1404"/>
        <v/>
      </c>
      <c r="BX935" s="13"/>
      <c r="BY935" s="13"/>
      <c r="BZ935" s="13"/>
      <c r="CA935" s="13" t="str">
        <f t="shared" si="1405"/>
        <v/>
      </c>
      <c r="CB935" s="13"/>
      <c r="CC935" s="13"/>
      <c r="CD935" s="13"/>
      <c r="CE935" s="13" t="str">
        <f t="shared" si="1362"/>
        <v/>
      </c>
      <c r="CF935" s="14" t="str">
        <f t="shared" si="1363"/>
        <v/>
      </c>
      <c r="CG935" s="15"/>
      <c r="CH935" s="1"/>
      <c r="CI935" s="16"/>
      <c r="CJ935" s="25"/>
      <c r="CK935" s="13" t="str">
        <f t="shared" si="1406"/>
        <v/>
      </c>
      <c r="CL935" s="13"/>
      <c r="CM935" s="13"/>
      <c r="CN935" s="13"/>
      <c r="CO935" s="13" t="str">
        <f t="shared" si="1407"/>
        <v/>
      </c>
      <c r="CP935" s="13"/>
      <c r="CQ935" s="13"/>
      <c r="CR935" s="13"/>
      <c r="CS935" s="13" t="str">
        <f t="shared" si="1364"/>
        <v/>
      </c>
      <c r="CT935" s="14" t="str">
        <f t="shared" si="1391"/>
        <v/>
      </c>
      <c r="CU935" s="15"/>
      <c r="CV935" s="1"/>
      <c r="CW935" s="16"/>
      <c r="CX935" s="25"/>
      <c r="CY935" s="13" t="str">
        <f t="shared" si="1408"/>
        <v/>
      </c>
      <c r="CZ935" s="13"/>
      <c r="DA935" s="13"/>
      <c r="DB935" s="13"/>
      <c r="DC935" s="13" t="str">
        <f t="shared" si="1409"/>
        <v/>
      </c>
      <c r="DD935" s="13"/>
      <c r="DE935" s="13"/>
      <c r="DF935" s="13"/>
      <c r="DG935" s="13" t="str">
        <f t="shared" si="1365"/>
        <v/>
      </c>
      <c r="DH935" s="14" t="str">
        <f t="shared" si="1366"/>
        <v/>
      </c>
      <c r="DI935" s="15"/>
      <c r="DJ935" s="1"/>
      <c r="DK935" s="16"/>
      <c r="DL935" s="25"/>
      <c r="DM935" s="13" t="str">
        <f t="shared" si="1410"/>
        <v/>
      </c>
      <c r="DN935" s="13"/>
      <c r="DO935" s="13"/>
      <c r="DP935" s="13"/>
      <c r="DQ935" s="13" t="str">
        <f t="shared" si="1411"/>
        <v/>
      </c>
      <c r="DR935" s="13"/>
      <c r="DS935" s="13"/>
      <c r="DT935" s="13"/>
      <c r="DU935" s="13" t="str">
        <f t="shared" si="1367"/>
        <v/>
      </c>
      <c r="DV935" s="14" t="str">
        <f t="shared" si="1368"/>
        <v/>
      </c>
      <c r="DW935" s="15"/>
    </row>
    <row r="936" spans="1:127" ht="15" customHeight="1" x14ac:dyDescent="0.2">
      <c r="A936" s="16"/>
      <c r="B936" s="11"/>
      <c r="C936" s="13"/>
      <c r="D936" s="13" t="str">
        <f t="shared" si="1320"/>
        <v/>
      </c>
      <c r="E936" s="13"/>
      <c r="F936" s="13" t="str">
        <f t="shared" si="1321"/>
        <v/>
      </c>
      <c r="G936" s="13"/>
      <c r="H936" s="13" t="str">
        <f t="shared" si="1322"/>
        <v/>
      </c>
      <c r="I936" s="13"/>
      <c r="J936" s="56" t="str">
        <f t="shared" si="1412"/>
        <v/>
      </c>
      <c r="K936" s="54" t="str">
        <f t="shared" si="1413"/>
        <v/>
      </c>
      <c r="L936" s="13" t="str">
        <f t="shared" si="1325"/>
        <v/>
      </c>
      <c r="M936" s="14" t="str">
        <f t="shared" si="1326"/>
        <v/>
      </c>
      <c r="N936" s="15"/>
      <c r="O936" s="2"/>
      <c r="P936" s="16"/>
      <c r="Q936" s="11"/>
      <c r="R936" s="13"/>
      <c r="S936" s="13" t="str">
        <f t="shared" si="1414"/>
        <v/>
      </c>
      <c r="T936" s="13"/>
      <c r="U936" s="13" t="str">
        <f t="shared" si="1415"/>
        <v/>
      </c>
      <c r="V936" s="13"/>
      <c r="W936" s="13" t="str">
        <f t="shared" si="1416"/>
        <v/>
      </c>
      <c r="X936" s="56" t="str">
        <f t="shared" si="1329"/>
        <v/>
      </c>
      <c r="Y936" s="54" t="str">
        <f t="shared" si="1330"/>
        <v/>
      </c>
      <c r="Z936" s="13" t="str">
        <f t="shared" si="1331"/>
        <v/>
      </c>
      <c r="AA936" s="14" t="str">
        <f t="shared" si="1332"/>
        <v/>
      </c>
      <c r="AB936" s="14" t="str">
        <f t="shared" si="1417"/>
        <v/>
      </c>
      <c r="AC936" s="15"/>
      <c r="AD936" s="16"/>
      <c r="AE936" s="11"/>
      <c r="AF936" s="13"/>
      <c r="AG936" s="13" t="str">
        <f t="shared" si="1432"/>
        <v/>
      </c>
      <c r="AH936" s="13"/>
      <c r="AI936" s="13" t="str">
        <f t="shared" si="1433"/>
        <v/>
      </c>
      <c r="AJ936" s="13"/>
      <c r="AK936" s="13" t="str">
        <f t="shared" si="1434"/>
        <v/>
      </c>
      <c r="AL936" s="56" t="str">
        <f t="shared" si="1336"/>
        <v/>
      </c>
      <c r="AM936" s="54" t="str">
        <f t="shared" si="1337"/>
        <v/>
      </c>
      <c r="AN936" s="13" t="str">
        <f t="shared" si="1338"/>
        <v/>
      </c>
      <c r="AO936" s="14" t="str">
        <f t="shared" si="1339"/>
        <v/>
      </c>
      <c r="AP936" s="14" t="str">
        <f t="shared" si="1422"/>
        <v/>
      </c>
      <c r="AQ936" s="113"/>
      <c r="AR936" s="16"/>
      <c r="AS936" s="11"/>
      <c r="AT936" s="13"/>
      <c r="AU936" s="13" t="str">
        <f t="shared" si="1435"/>
        <v/>
      </c>
      <c r="AV936" s="13"/>
      <c r="AW936" s="13" t="str">
        <f t="shared" si="1436"/>
        <v/>
      </c>
      <c r="AX936" s="13"/>
      <c r="AY936" s="13" t="str">
        <f t="shared" si="1437"/>
        <v/>
      </c>
      <c r="AZ936" s="56" t="str">
        <f t="shared" si="1343"/>
        <v/>
      </c>
      <c r="BA936" s="54" t="str">
        <f t="shared" si="1344"/>
        <v/>
      </c>
      <c r="BB936" s="13" t="str">
        <f t="shared" si="1345"/>
        <v/>
      </c>
      <c r="BC936" s="14" t="str">
        <f t="shared" si="1346"/>
        <v/>
      </c>
      <c r="BD936" s="14" t="str">
        <f t="shared" si="1427"/>
        <v/>
      </c>
      <c r="BT936" s="113"/>
      <c r="BU936" s="16"/>
      <c r="BV936" s="25"/>
      <c r="BW936" s="13" t="str">
        <f t="shared" si="1404"/>
        <v/>
      </c>
      <c r="BX936" s="13"/>
      <c r="BY936" s="13"/>
      <c r="BZ936" s="13"/>
      <c r="CA936" s="13" t="str">
        <f t="shared" si="1405"/>
        <v/>
      </c>
      <c r="CB936" s="13"/>
      <c r="CC936" s="13"/>
      <c r="CD936" s="13"/>
      <c r="CE936" s="13" t="str">
        <f t="shared" si="1362"/>
        <v/>
      </c>
      <c r="CF936" s="14" t="str">
        <f t="shared" si="1363"/>
        <v/>
      </c>
      <c r="CG936" s="15"/>
      <c r="CH936" s="1"/>
      <c r="CI936" s="16"/>
      <c r="CJ936" s="25"/>
      <c r="CK936" s="13" t="str">
        <f t="shared" si="1406"/>
        <v/>
      </c>
      <c r="CL936" s="13"/>
      <c r="CM936" s="13"/>
      <c r="CN936" s="13"/>
      <c r="CO936" s="13" t="str">
        <f t="shared" si="1407"/>
        <v/>
      </c>
      <c r="CP936" s="13"/>
      <c r="CQ936" s="13"/>
      <c r="CR936" s="13"/>
      <c r="CS936" s="13" t="str">
        <f t="shared" si="1364"/>
        <v/>
      </c>
      <c r="CT936" s="14" t="str">
        <f t="shared" si="1391"/>
        <v/>
      </c>
      <c r="CU936" s="15"/>
      <c r="CV936" s="1"/>
      <c r="CW936" s="16"/>
      <c r="CX936" s="25"/>
      <c r="CY936" s="13" t="str">
        <f t="shared" si="1408"/>
        <v/>
      </c>
      <c r="CZ936" s="13"/>
      <c r="DA936" s="13"/>
      <c r="DB936" s="13"/>
      <c r="DC936" s="13" t="str">
        <f t="shared" si="1409"/>
        <v/>
      </c>
      <c r="DD936" s="13"/>
      <c r="DE936" s="13"/>
      <c r="DF936" s="13"/>
      <c r="DG936" s="13" t="str">
        <f t="shared" si="1365"/>
        <v/>
      </c>
      <c r="DH936" s="14" t="str">
        <f t="shared" si="1366"/>
        <v/>
      </c>
      <c r="DI936" s="15"/>
      <c r="DJ936" s="1"/>
      <c r="DK936" s="16"/>
      <c r="DL936" s="25"/>
      <c r="DM936" s="13" t="str">
        <f t="shared" si="1410"/>
        <v/>
      </c>
      <c r="DN936" s="13"/>
      <c r="DO936" s="13"/>
      <c r="DP936" s="13"/>
      <c r="DQ936" s="13" t="str">
        <f t="shared" si="1411"/>
        <v/>
      </c>
      <c r="DR936" s="13"/>
      <c r="DS936" s="13"/>
      <c r="DT936" s="13"/>
      <c r="DU936" s="13" t="str">
        <f t="shared" si="1367"/>
        <v/>
      </c>
      <c r="DV936" s="14" t="str">
        <f t="shared" si="1368"/>
        <v/>
      </c>
      <c r="DW936" s="15"/>
    </row>
    <row r="937" spans="1:127" ht="15" customHeight="1" x14ac:dyDescent="0.2">
      <c r="A937" s="16"/>
      <c r="B937" s="11"/>
      <c r="C937" s="13"/>
      <c r="D937" s="13" t="str">
        <f t="shared" si="1320"/>
        <v/>
      </c>
      <c r="E937" s="13"/>
      <c r="F937" s="13" t="str">
        <f t="shared" si="1321"/>
        <v/>
      </c>
      <c r="G937" s="13"/>
      <c r="H937" s="13" t="str">
        <f t="shared" si="1322"/>
        <v/>
      </c>
      <c r="I937" s="13"/>
      <c r="J937" s="56" t="str">
        <f t="shared" si="1412"/>
        <v/>
      </c>
      <c r="K937" s="13" t="str">
        <f t="shared" si="1413"/>
        <v/>
      </c>
      <c r="L937" s="13" t="str">
        <f t="shared" si="1325"/>
        <v/>
      </c>
      <c r="M937" s="14" t="str">
        <f t="shared" si="1326"/>
        <v/>
      </c>
      <c r="N937" s="15"/>
      <c r="O937" s="2"/>
      <c r="P937" s="16"/>
      <c r="Q937" s="11"/>
      <c r="R937" s="13"/>
      <c r="S937" s="13" t="str">
        <f t="shared" si="1414"/>
        <v/>
      </c>
      <c r="T937" s="13"/>
      <c r="U937" s="13" t="str">
        <f t="shared" si="1415"/>
        <v/>
      </c>
      <c r="V937" s="13"/>
      <c r="W937" s="13" t="str">
        <f t="shared" si="1416"/>
        <v/>
      </c>
      <c r="X937" s="56" t="str">
        <f t="shared" si="1329"/>
        <v/>
      </c>
      <c r="Y937" s="13" t="str">
        <f t="shared" si="1330"/>
        <v/>
      </c>
      <c r="Z937" s="13" t="str">
        <f t="shared" si="1331"/>
        <v/>
      </c>
      <c r="AA937" s="14" t="str">
        <f t="shared" si="1332"/>
        <v/>
      </c>
      <c r="AB937" s="14" t="str">
        <f t="shared" si="1417"/>
        <v/>
      </c>
      <c r="AC937" s="15"/>
      <c r="AD937" s="16"/>
      <c r="AE937" s="11"/>
      <c r="AF937" s="13"/>
      <c r="AG937" s="13" t="str">
        <f t="shared" si="1432"/>
        <v/>
      </c>
      <c r="AH937" s="13"/>
      <c r="AI937" s="13" t="str">
        <f t="shared" si="1433"/>
        <v/>
      </c>
      <c r="AJ937" s="13"/>
      <c r="AK937" s="13" t="str">
        <f t="shared" si="1434"/>
        <v/>
      </c>
      <c r="AL937" s="56" t="str">
        <f t="shared" si="1336"/>
        <v/>
      </c>
      <c r="AM937" s="13" t="str">
        <f t="shared" si="1337"/>
        <v/>
      </c>
      <c r="AN937" s="13" t="str">
        <f t="shared" si="1338"/>
        <v/>
      </c>
      <c r="AO937" s="14" t="str">
        <f t="shared" si="1339"/>
        <v/>
      </c>
      <c r="AP937" s="14" t="str">
        <f t="shared" si="1422"/>
        <v/>
      </c>
      <c r="AQ937" s="113"/>
      <c r="AR937" s="16"/>
      <c r="AS937" s="11"/>
      <c r="AT937" s="13"/>
      <c r="AU937" s="13" t="str">
        <f t="shared" si="1435"/>
        <v/>
      </c>
      <c r="AV937" s="13"/>
      <c r="AW937" s="13" t="str">
        <f t="shared" si="1436"/>
        <v/>
      </c>
      <c r="AX937" s="13"/>
      <c r="AY937" s="13" t="str">
        <f t="shared" si="1437"/>
        <v/>
      </c>
      <c r="AZ937" s="56" t="str">
        <f t="shared" si="1343"/>
        <v/>
      </c>
      <c r="BA937" s="13" t="str">
        <f t="shared" si="1344"/>
        <v/>
      </c>
      <c r="BB937" s="13" t="str">
        <f t="shared" si="1345"/>
        <v/>
      </c>
      <c r="BC937" s="14" t="str">
        <f t="shared" si="1346"/>
        <v/>
      </c>
      <c r="BD937" s="14" t="str">
        <f t="shared" si="1427"/>
        <v/>
      </c>
      <c r="BT937" s="113"/>
      <c r="BU937" s="16"/>
      <c r="BV937" s="25"/>
      <c r="BW937" s="13" t="str">
        <f t="shared" si="1404"/>
        <v/>
      </c>
      <c r="BX937" s="13"/>
      <c r="BY937" s="13"/>
      <c r="BZ937" s="13"/>
      <c r="CA937" s="13" t="str">
        <f t="shared" si="1405"/>
        <v/>
      </c>
      <c r="CB937" s="13"/>
      <c r="CC937" s="13"/>
      <c r="CD937" s="13"/>
      <c r="CE937" s="13" t="str">
        <f t="shared" si="1362"/>
        <v/>
      </c>
      <c r="CF937" s="14" t="str">
        <f t="shared" si="1363"/>
        <v/>
      </c>
      <c r="CG937" s="15"/>
      <c r="CH937" s="1"/>
      <c r="CI937" s="16"/>
      <c r="CJ937" s="25"/>
      <c r="CK937" s="13" t="str">
        <f t="shared" si="1406"/>
        <v/>
      </c>
      <c r="CL937" s="13"/>
      <c r="CM937" s="13"/>
      <c r="CN937" s="13"/>
      <c r="CO937" s="13" t="str">
        <f t="shared" si="1407"/>
        <v/>
      </c>
      <c r="CP937" s="13"/>
      <c r="CQ937" s="13"/>
      <c r="CR937" s="13"/>
      <c r="CS937" s="13" t="str">
        <f t="shared" si="1364"/>
        <v/>
      </c>
      <c r="CT937" s="14" t="str">
        <f t="shared" si="1391"/>
        <v/>
      </c>
      <c r="CU937" s="15"/>
      <c r="CV937" s="1"/>
      <c r="CW937" s="16"/>
      <c r="CX937" s="25"/>
      <c r="CY937" s="13" t="str">
        <f t="shared" si="1408"/>
        <v/>
      </c>
      <c r="CZ937" s="13"/>
      <c r="DA937" s="13"/>
      <c r="DB937" s="13"/>
      <c r="DC937" s="13" t="str">
        <f t="shared" si="1409"/>
        <v/>
      </c>
      <c r="DD937" s="13"/>
      <c r="DE937" s="13"/>
      <c r="DF937" s="13"/>
      <c r="DG937" s="13" t="str">
        <f t="shared" si="1365"/>
        <v/>
      </c>
      <c r="DH937" s="14" t="str">
        <f t="shared" si="1366"/>
        <v/>
      </c>
      <c r="DI937" s="15"/>
      <c r="DJ937" s="1"/>
      <c r="DK937" s="16"/>
      <c r="DL937" s="25"/>
      <c r="DM937" s="13" t="str">
        <f t="shared" si="1410"/>
        <v/>
      </c>
      <c r="DN937" s="13"/>
      <c r="DO937" s="13"/>
      <c r="DP937" s="13"/>
      <c r="DQ937" s="13" t="str">
        <f t="shared" si="1411"/>
        <v/>
      </c>
      <c r="DR937" s="13"/>
      <c r="DS937" s="13"/>
      <c r="DT937" s="13"/>
      <c r="DU937" s="13" t="str">
        <f t="shared" si="1367"/>
        <v/>
      </c>
      <c r="DV937" s="14" t="str">
        <f t="shared" si="1368"/>
        <v/>
      </c>
      <c r="DW937" s="15"/>
    </row>
    <row r="938" spans="1:127" ht="15" customHeight="1" thickBot="1" x14ac:dyDescent="0.25">
      <c r="A938" s="26"/>
      <c r="B938" s="46"/>
      <c r="C938" s="27"/>
      <c r="D938" s="27" t="str">
        <f t="shared" si="1320"/>
        <v/>
      </c>
      <c r="E938" s="27"/>
      <c r="F938" s="27" t="str">
        <f t="shared" si="1321"/>
        <v/>
      </c>
      <c r="G938" s="27"/>
      <c r="H938" s="27" t="str">
        <f t="shared" si="1322"/>
        <v/>
      </c>
      <c r="I938" s="27"/>
      <c r="J938" s="57" t="str">
        <f t="shared" si="1412"/>
        <v/>
      </c>
      <c r="K938" s="62" t="str">
        <f t="shared" si="1413"/>
        <v/>
      </c>
      <c r="L938" s="27" t="str">
        <f t="shared" si="1325"/>
        <v/>
      </c>
      <c r="M938" s="28" t="str">
        <f t="shared" si="1326"/>
        <v/>
      </c>
      <c r="N938" s="15"/>
      <c r="O938" s="2"/>
      <c r="P938" s="26"/>
      <c r="Q938" s="46"/>
      <c r="R938" s="27"/>
      <c r="S938" s="27" t="str">
        <f t="shared" si="1414"/>
        <v/>
      </c>
      <c r="T938" s="27"/>
      <c r="U938" s="27" t="str">
        <f t="shared" si="1415"/>
        <v/>
      </c>
      <c r="V938" s="27"/>
      <c r="W938" s="27" t="str">
        <f t="shared" si="1416"/>
        <v/>
      </c>
      <c r="X938" s="57" t="str">
        <f t="shared" si="1329"/>
        <v/>
      </c>
      <c r="Y938" s="62" t="str">
        <f t="shared" si="1330"/>
        <v/>
      </c>
      <c r="Z938" s="27" t="str">
        <f t="shared" si="1331"/>
        <v/>
      </c>
      <c r="AA938" s="28" t="str">
        <f t="shared" si="1332"/>
        <v/>
      </c>
      <c r="AB938" s="28" t="str">
        <f t="shared" si="1417"/>
        <v/>
      </c>
      <c r="AC938" s="15"/>
      <c r="AD938" s="26"/>
      <c r="AE938" s="46"/>
      <c r="AF938" s="27"/>
      <c r="AG938" s="27" t="str">
        <f t="shared" si="1432"/>
        <v/>
      </c>
      <c r="AH938" s="27"/>
      <c r="AI938" s="27" t="str">
        <f t="shared" si="1433"/>
        <v/>
      </c>
      <c r="AJ938" s="27"/>
      <c r="AK938" s="27" t="str">
        <f t="shared" si="1434"/>
        <v/>
      </c>
      <c r="AL938" s="57" t="str">
        <f t="shared" si="1336"/>
        <v/>
      </c>
      <c r="AM938" s="62" t="str">
        <f t="shared" si="1337"/>
        <v/>
      </c>
      <c r="AN938" s="27" t="str">
        <f t="shared" si="1338"/>
        <v/>
      </c>
      <c r="AO938" s="28" t="str">
        <f t="shared" si="1339"/>
        <v/>
      </c>
      <c r="AP938" s="28" t="str">
        <f t="shared" si="1422"/>
        <v/>
      </c>
      <c r="AQ938" s="113"/>
      <c r="AR938" s="26"/>
      <c r="AS938" s="46"/>
      <c r="AT938" s="27"/>
      <c r="AU938" s="27" t="str">
        <f t="shared" si="1435"/>
        <v/>
      </c>
      <c r="AV938" s="27"/>
      <c r="AW938" s="27" t="str">
        <f t="shared" si="1436"/>
        <v/>
      </c>
      <c r="AX938" s="27"/>
      <c r="AY938" s="27" t="str">
        <f t="shared" si="1437"/>
        <v/>
      </c>
      <c r="AZ938" s="57" t="str">
        <f t="shared" si="1343"/>
        <v/>
      </c>
      <c r="BA938" s="62" t="str">
        <f t="shared" si="1344"/>
        <v/>
      </c>
      <c r="BB938" s="27" t="str">
        <f t="shared" si="1345"/>
        <v/>
      </c>
      <c r="BC938" s="28" t="str">
        <f t="shared" si="1346"/>
        <v/>
      </c>
      <c r="BD938" s="28" t="str">
        <f t="shared" si="1427"/>
        <v/>
      </c>
      <c r="BT938" s="113"/>
      <c r="BU938" s="16"/>
      <c r="BV938" s="25"/>
      <c r="BW938" s="13" t="str">
        <f t="shared" si="1404"/>
        <v/>
      </c>
      <c r="BX938" s="13"/>
      <c r="BY938" s="13"/>
      <c r="BZ938" s="13"/>
      <c r="CA938" s="13" t="str">
        <f t="shared" si="1405"/>
        <v/>
      </c>
      <c r="CB938" s="13"/>
      <c r="CC938" s="13"/>
      <c r="CD938" s="13"/>
      <c r="CE938" s="13" t="str">
        <f t="shared" si="1362"/>
        <v/>
      </c>
      <c r="CF938" s="14" t="str">
        <f t="shared" si="1363"/>
        <v/>
      </c>
      <c r="CG938" s="15"/>
      <c r="CH938" s="1"/>
      <c r="CI938" s="16"/>
      <c r="CJ938" s="25"/>
      <c r="CK938" s="13" t="str">
        <f t="shared" si="1406"/>
        <v/>
      </c>
      <c r="CL938" s="13"/>
      <c r="CM938" s="13"/>
      <c r="CN938" s="13"/>
      <c r="CO938" s="13" t="str">
        <f t="shared" si="1407"/>
        <v/>
      </c>
      <c r="CP938" s="13"/>
      <c r="CQ938" s="13"/>
      <c r="CR938" s="13"/>
      <c r="CS938" s="13" t="str">
        <f t="shared" si="1364"/>
        <v/>
      </c>
      <c r="CT938" s="14" t="str">
        <f t="shared" si="1391"/>
        <v/>
      </c>
      <c r="CU938" s="15"/>
      <c r="CV938" s="1"/>
      <c r="CW938" s="16"/>
      <c r="CX938" s="25"/>
      <c r="CY938" s="13" t="str">
        <f t="shared" si="1408"/>
        <v/>
      </c>
      <c r="CZ938" s="13"/>
      <c r="DA938" s="13"/>
      <c r="DB938" s="13"/>
      <c r="DC938" s="13" t="str">
        <f t="shared" si="1409"/>
        <v/>
      </c>
      <c r="DD938" s="13"/>
      <c r="DE938" s="13"/>
      <c r="DF938" s="13"/>
      <c r="DG938" s="13" t="str">
        <f t="shared" si="1365"/>
        <v/>
      </c>
      <c r="DH938" s="14" t="str">
        <f t="shared" si="1366"/>
        <v/>
      </c>
      <c r="DI938" s="15"/>
      <c r="DJ938" s="1"/>
      <c r="DK938" s="16"/>
      <c r="DL938" s="25"/>
      <c r="DM938" s="13" t="str">
        <f t="shared" si="1410"/>
        <v/>
      </c>
      <c r="DN938" s="13"/>
      <c r="DO938" s="13"/>
      <c r="DP938" s="13"/>
      <c r="DQ938" s="13" t="str">
        <f t="shared" si="1411"/>
        <v/>
      </c>
      <c r="DR938" s="13"/>
      <c r="DS938" s="13"/>
      <c r="DT938" s="13"/>
      <c r="DU938" s="13" t="str">
        <f t="shared" si="1367"/>
        <v/>
      </c>
      <c r="DV938" s="14" t="str">
        <f t="shared" si="1368"/>
        <v/>
      </c>
      <c r="DW938" s="15"/>
    </row>
    <row r="939" spans="1:127" ht="15" customHeight="1" thickTop="1" x14ac:dyDescent="0.2">
      <c r="A939" s="79"/>
      <c r="B939" s="74"/>
      <c r="C939" s="53"/>
      <c r="D939" s="53" t="str">
        <f t="shared" si="1320"/>
        <v/>
      </c>
      <c r="E939" s="53"/>
      <c r="F939" s="31" t="str">
        <f t="shared" si="1321"/>
        <v/>
      </c>
      <c r="G939" s="53"/>
      <c r="H939" s="53" t="str">
        <f t="shared" si="1322"/>
        <v/>
      </c>
      <c r="I939" s="53"/>
      <c r="J939" s="75" t="str">
        <f t="shared" si="1412"/>
        <v/>
      </c>
      <c r="K939" s="76" t="str">
        <f t="shared" si="1413"/>
        <v/>
      </c>
      <c r="L939" s="53"/>
      <c r="M939" s="32" t="str">
        <f t="shared" si="1326"/>
        <v/>
      </c>
      <c r="N939" s="15"/>
      <c r="O939" s="2"/>
      <c r="P939" s="79"/>
      <c r="Q939" s="53"/>
      <c r="R939" s="53" t="str">
        <f t="shared" ref="R939:R942" si="1438">IF(Q939="","",Q939-Q935)</f>
        <v/>
      </c>
      <c r="S939" s="53"/>
      <c r="T939" s="31" t="str">
        <f t="shared" ref="T939:T942" si="1439">IF(S939="","",S939-S935)</f>
        <v/>
      </c>
      <c r="U939" s="53"/>
      <c r="V939" s="53" t="str">
        <f t="shared" ref="V939:V942" si="1440">IF(U939="","",U935+W935-U939)</f>
        <v/>
      </c>
      <c r="W939" s="53"/>
      <c r="X939" s="75" t="str">
        <f t="shared" si="1329"/>
        <v/>
      </c>
      <c r="Y939" s="76" t="str">
        <f t="shared" si="1330"/>
        <v/>
      </c>
      <c r="Z939" s="53"/>
      <c r="AA939" s="32" t="str">
        <f t="shared" si="1332"/>
        <v/>
      </c>
      <c r="AB939" s="15"/>
      <c r="AD939" s="79"/>
      <c r="AE939" s="53"/>
      <c r="AF939" s="53" t="str">
        <f t="shared" ref="AF939:AF942" si="1441">IF(AE939="","",AE939-AE935)</f>
        <v/>
      </c>
      <c r="AG939" s="53"/>
      <c r="AH939" s="31" t="str">
        <f t="shared" ref="AH939:AH942" si="1442">IF(AG939="","",AG939-AG935)</f>
        <v/>
      </c>
      <c r="AI939" s="53"/>
      <c r="AJ939" s="53" t="str">
        <f t="shared" ref="AJ939:AJ942" si="1443">IF(AI939="","",AI935+AK935-AI939)</f>
        <v/>
      </c>
      <c r="AK939" s="53"/>
      <c r="AL939" s="75" t="str">
        <f t="shared" si="1336"/>
        <v/>
      </c>
      <c r="AM939" s="76" t="str">
        <f t="shared" si="1337"/>
        <v/>
      </c>
      <c r="AN939" s="53"/>
      <c r="AO939" s="32" t="str">
        <f t="shared" si="1339"/>
        <v/>
      </c>
      <c r="AP939" s="15"/>
      <c r="AQ939" s="115"/>
      <c r="AR939" s="79"/>
      <c r="AS939" s="53"/>
      <c r="AT939" s="53" t="str">
        <f t="shared" ref="AT939:AT942" si="1444">IF(AS939="","",AS939-AS935)</f>
        <v/>
      </c>
      <c r="AU939" s="53"/>
      <c r="AV939" s="31" t="str">
        <f t="shared" ref="AV939:AV942" si="1445">IF(AU939="","",AU939-AU935)</f>
        <v/>
      </c>
      <c r="AW939" s="53"/>
      <c r="AX939" s="53" t="str">
        <f t="shared" ref="AX939:AX942" si="1446">IF(AW939="","",AW935+AY935-AW939)</f>
        <v/>
      </c>
      <c r="AY939" s="53"/>
      <c r="AZ939" s="75" t="str">
        <f t="shared" si="1343"/>
        <v/>
      </c>
      <c r="BA939" s="76" t="str">
        <f t="shared" si="1344"/>
        <v/>
      </c>
      <c r="BB939" s="53"/>
      <c r="BC939" s="32" t="str">
        <f t="shared" si="1346"/>
        <v/>
      </c>
      <c r="BD939" s="15"/>
      <c r="BT939" s="114"/>
      <c r="BU939" s="16"/>
      <c r="BV939" s="25"/>
      <c r="BW939" s="13"/>
      <c r="BX939" s="13"/>
      <c r="BY939" s="13"/>
      <c r="BZ939" s="13"/>
      <c r="CA939" s="13"/>
      <c r="CB939" s="13"/>
      <c r="CC939" s="13"/>
      <c r="CD939" s="13"/>
      <c r="CE939" s="13"/>
      <c r="CF939" s="14"/>
      <c r="CG939" s="15"/>
      <c r="CH939" s="1"/>
      <c r="CI939" s="16"/>
      <c r="CJ939" s="25"/>
      <c r="CK939" s="13"/>
      <c r="CL939" s="13"/>
      <c r="CM939" s="13"/>
      <c r="CN939" s="13"/>
      <c r="CO939" s="13"/>
      <c r="CP939" s="13"/>
      <c r="CQ939" s="13"/>
      <c r="CR939" s="13"/>
      <c r="CS939" s="13"/>
      <c r="CT939" s="14"/>
      <c r="CU939" s="15"/>
      <c r="CV939" s="1"/>
      <c r="CW939" s="16"/>
      <c r="CX939" s="25"/>
      <c r="CY939" s="13"/>
      <c r="CZ939" s="13"/>
      <c r="DA939" s="13"/>
      <c r="DB939" s="13"/>
      <c r="DC939" s="13"/>
      <c r="DD939" s="13"/>
      <c r="DE939" s="13"/>
      <c r="DF939" s="13"/>
      <c r="DG939" s="13"/>
      <c r="DH939" s="14"/>
      <c r="DI939" s="15"/>
      <c r="DJ939" s="1"/>
      <c r="DK939" s="16"/>
      <c r="DL939" s="25"/>
      <c r="DM939" s="13"/>
      <c r="DN939" s="13"/>
      <c r="DO939" s="13"/>
      <c r="DP939" s="13"/>
      <c r="DQ939" s="13"/>
      <c r="DR939" s="13"/>
      <c r="DS939" s="13"/>
      <c r="DT939" s="13"/>
      <c r="DU939" s="13"/>
      <c r="DV939" s="14"/>
      <c r="DW939" s="15"/>
    </row>
    <row r="940" spans="1:127" ht="15" customHeight="1" x14ac:dyDescent="0.2">
      <c r="A940" s="16"/>
      <c r="B940" s="11"/>
      <c r="C940" s="13"/>
      <c r="D940" s="13" t="str">
        <f t="shared" si="1320"/>
        <v/>
      </c>
      <c r="E940" s="13"/>
      <c r="F940" s="13" t="str">
        <f t="shared" si="1321"/>
        <v/>
      </c>
      <c r="G940" s="13"/>
      <c r="H940" s="50" t="str">
        <f t="shared" si="1322"/>
        <v/>
      </c>
      <c r="I940" s="13"/>
      <c r="J940" s="56" t="str">
        <f t="shared" si="1412"/>
        <v/>
      </c>
      <c r="K940" s="54" t="str">
        <f t="shared" si="1413"/>
        <v/>
      </c>
      <c r="L940" s="13"/>
      <c r="M940" s="14" t="str">
        <f t="shared" si="1326"/>
        <v/>
      </c>
      <c r="N940" s="15"/>
      <c r="O940" s="2"/>
      <c r="P940" s="16"/>
      <c r="Q940" s="13"/>
      <c r="R940" s="13" t="str">
        <f t="shared" si="1438"/>
        <v/>
      </c>
      <c r="S940" s="13"/>
      <c r="T940" s="13" t="str">
        <f t="shared" si="1439"/>
        <v/>
      </c>
      <c r="U940" s="13"/>
      <c r="V940" s="13" t="str">
        <f t="shared" si="1440"/>
        <v/>
      </c>
      <c r="W940" s="13"/>
      <c r="X940" s="56" t="str">
        <f t="shared" si="1329"/>
        <v/>
      </c>
      <c r="Y940" s="54" t="str">
        <f t="shared" si="1330"/>
        <v/>
      </c>
      <c r="Z940" s="13"/>
      <c r="AA940" s="14" t="str">
        <f t="shared" si="1332"/>
        <v/>
      </c>
      <c r="AB940" s="15"/>
      <c r="AD940" s="16"/>
      <c r="AE940" s="13"/>
      <c r="AF940" s="13" t="str">
        <f t="shared" si="1441"/>
        <v/>
      </c>
      <c r="AG940" s="13"/>
      <c r="AH940" s="13" t="str">
        <f t="shared" si="1442"/>
        <v/>
      </c>
      <c r="AI940" s="13"/>
      <c r="AJ940" s="50" t="str">
        <f t="shared" si="1443"/>
        <v/>
      </c>
      <c r="AK940" s="13"/>
      <c r="AL940" s="56" t="str">
        <f t="shared" si="1336"/>
        <v/>
      </c>
      <c r="AM940" s="54" t="str">
        <f t="shared" si="1337"/>
        <v/>
      </c>
      <c r="AN940" s="13"/>
      <c r="AO940" s="14" t="str">
        <f t="shared" si="1339"/>
        <v/>
      </c>
      <c r="AP940" s="15"/>
      <c r="AQ940" s="115"/>
      <c r="AR940" s="16"/>
      <c r="AS940" s="13"/>
      <c r="AT940" s="13" t="str">
        <f t="shared" si="1444"/>
        <v/>
      </c>
      <c r="AU940" s="13"/>
      <c r="AV940" s="13" t="str">
        <f t="shared" si="1445"/>
        <v/>
      </c>
      <c r="AW940" s="13"/>
      <c r="AX940" s="13" t="str">
        <f t="shared" si="1446"/>
        <v/>
      </c>
      <c r="AY940" s="13"/>
      <c r="AZ940" s="56" t="str">
        <f t="shared" si="1343"/>
        <v/>
      </c>
      <c r="BA940" s="54" t="str">
        <f t="shared" si="1344"/>
        <v/>
      </c>
      <c r="BB940" s="13"/>
      <c r="BC940" s="14" t="str">
        <f t="shared" si="1346"/>
        <v/>
      </c>
      <c r="BD940" s="15"/>
      <c r="BT940" s="114"/>
      <c r="BU940" s="16"/>
      <c r="BV940" s="25"/>
      <c r="BW940" s="13" t="str">
        <f>IF(BV940="","",BV940-#REF!)</f>
        <v/>
      </c>
      <c r="BX940" s="13"/>
      <c r="BY940" s="13"/>
      <c r="BZ940" s="13"/>
      <c r="CA940" s="13" t="str">
        <f>IF(BZ940="","",#REF!+#REF!-BZ940)</f>
        <v/>
      </c>
      <c r="CB940" s="13"/>
      <c r="CC940" s="13"/>
      <c r="CD940" s="13"/>
      <c r="CE940" s="13" t="str">
        <f t="shared" ref="CE940:CE943" si="1447">IF(CD940="","",CA940*CD940)</f>
        <v/>
      </c>
      <c r="CF940" s="14" t="str">
        <f t="shared" ref="CF940:CF943" si="1448">IF(CE940="","",CE940/(BW940*100))</f>
        <v/>
      </c>
      <c r="CG940" s="15"/>
      <c r="CH940" s="1"/>
      <c r="CI940" s="16"/>
      <c r="CJ940" s="25"/>
      <c r="CK940" s="13" t="str">
        <f>IF(CJ940="","",CJ940-#REF!)</f>
        <v/>
      </c>
      <c r="CL940" s="13"/>
      <c r="CM940" s="13"/>
      <c r="CN940" s="13"/>
      <c r="CO940" s="13" t="str">
        <f>IF(CN940="","",#REF!+#REF!-CN940)</f>
        <v/>
      </c>
      <c r="CP940" s="13"/>
      <c r="CQ940" s="13"/>
      <c r="CR940" s="13"/>
      <c r="CS940" s="13" t="str">
        <f t="shared" ref="CS940:CS943" si="1449">IF(CR940="","",CO940*CR940)</f>
        <v/>
      </c>
      <c r="CT940" s="14" t="str">
        <f t="shared" ref="CT940:CT943" si="1450">IF(CS940="","",CS940/(CK940*100))</f>
        <v/>
      </c>
      <c r="CU940" s="15"/>
      <c r="CV940" s="1"/>
      <c r="CW940" s="16"/>
      <c r="CX940" s="25"/>
      <c r="CY940" s="13" t="str">
        <f>IF(CX940="","",CX940-#REF!)</f>
        <v/>
      </c>
      <c r="CZ940" s="13"/>
      <c r="DA940" s="13"/>
      <c r="DB940" s="13"/>
      <c r="DC940" s="13" t="str">
        <f>IF(DB940="","",#REF!+#REF!-DB940)</f>
        <v/>
      </c>
      <c r="DD940" s="13"/>
      <c r="DE940" s="13"/>
      <c r="DF940" s="13"/>
      <c r="DG940" s="13" t="str">
        <f t="shared" ref="DG940:DG943" si="1451">IF(DF940="","",DC940*DF940)</f>
        <v/>
      </c>
      <c r="DH940" s="14" t="str">
        <f t="shared" ref="DH940:DH943" si="1452">IF(DG940="","",DG940/(CY940*100))</f>
        <v/>
      </c>
      <c r="DI940" s="15"/>
      <c r="DJ940" s="1"/>
      <c r="DK940" s="16"/>
      <c r="DL940" s="25"/>
      <c r="DM940" s="13" t="str">
        <f>IF(DL940="","",DL940-#REF!)</f>
        <v/>
      </c>
      <c r="DN940" s="13"/>
      <c r="DO940" s="13"/>
      <c r="DP940" s="13"/>
      <c r="DQ940" s="13" t="str">
        <f>IF(DP940="","",#REF!+#REF!-DP940)</f>
        <v/>
      </c>
      <c r="DR940" s="13"/>
      <c r="DS940" s="13"/>
      <c r="DT940" s="13"/>
      <c r="DU940" s="13" t="str">
        <f t="shared" ref="DU940:DU943" si="1453">IF(DT940="","",DQ940*DT940)</f>
        <v/>
      </c>
      <c r="DV940" s="14" t="str">
        <f t="shared" ref="DV940:DV943" si="1454">IF(DU940="","",DU940/(DM940*100))</f>
        <v/>
      </c>
      <c r="DW940" s="15"/>
    </row>
    <row r="941" spans="1:127" ht="15" customHeight="1" x14ac:dyDescent="0.2">
      <c r="A941" s="16"/>
      <c r="B941" s="11"/>
      <c r="C941" s="13"/>
      <c r="D941" s="13" t="str">
        <f t="shared" si="1320"/>
        <v/>
      </c>
      <c r="E941" s="13"/>
      <c r="F941" s="13" t="str">
        <f t="shared" si="1321"/>
        <v/>
      </c>
      <c r="G941" s="13"/>
      <c r="H941" s="13" t="str">
        <f t="shared" si="1322"/>
        <v/>
      </c>
      <c r="I941" s="13"/>
      <c r="J941" s="56" t="str">
        <f t="shared" si="1412"/>
        <v/>
      </c>
      <c r="K941" s="13" t="str">
        <f t="shared" si="1413"/>
        <v/>
      </c>
      <c r="L941" s="13"/>
      <c r="M941" s="14" t="str">
        <f t="shared" si="1326"/>
        <v/>
      </c>
      <c r="N941" s="15"/>
      <c r="O941" s="2"/>
      <c r="P941" s="16"/>
      <c r="Q941" s="13"/>
      <c r="R941" s="13" t="str">
        <f t="shared" si="1438"/>
        <v/>
      </c>
      <c r="S941" s="13"/>
      <c r="T941" s="13" t="str">
        <f t="shared" si="1439"/>
        <v/>
      </c>
      <c r="U941" s="13"/>
      <c r="V941" s="13" t="str">
        <f t="shared" si="1440"/>
        <v/>
      </c>
      <c r="W941" s="13"/>
      <c r="X941" s="56" t="str">
        <f t="shared" si="1329"/>
        <v/>
      </c>
      <c r="Y941" s="13" t="str">
        <f t="shared" si="1330"/>
        <v/>
      </c>
      <c r="Z941" s="13"/>
      <c r="AA941" s="14" t="str">
        <f t="shared" si="1332"/>
        <v/>
      </c>
      <c r="AB941" s="15"/>
      <c r="AD941" s="16"/>
      <c r="AE941" s="13"/>
      <c r="AF941" s="13" t="str">
        <f t="shared" si="1441"/>
        <v/>
      </c>
      <c r="AG941" s="13"/>
      <c r="AH941" s="13" t="str">
        <f t="shared" si="1442"/>
        <v/>
      </c>
      <c r="AI941" s="13"/>
      <c r="AJ941" s="13" t="str">
        <f t="shared" si="1443"/>
        <v/>
      </c>
      <c r="AK941" s="13"/>
      <c r="AL941" s="56" t="str">
        <f t="shared" si="1336"/>
        <v/>
      </c>
      <c r="AM941" s="13" t="str">
        <f t="shared" si="1337"/>
        <v/>
      </c>
      <c r="AN941" s="13"/>
      <c r="AO941" s="14" t="str">
        <f t="shared" si="1339"/>
        <v/>
      </c>
      <c r="AP941" s="15"/>
      <c r="AQ941" s="115"/>
      <c r="AR941" s="16"/>
      <c r="AS941" s="13"/>
      <c r="AT941" s="13" t="str">
        <f t="shared" si="1444"/>
        <v/>
      </c>
      <c r="AU941" s="13"/>
      <c r="AV941" s="13" t="str">
        <f t="shared" si="1445"/>
        <v/>
      </c>
      <c r="AW941" s="13"/>
      <c r="AX941" s="13" t="str">
        <f t="shared" si="1446"/>
        <v/>
      </c>
      <c r="AY941" s="13"/>
      <c r="AZ941" s="56" t="str">
        <f t="shared" si="1343"/>
        <v/>
      </c>
      <c r="BA941" s="13" t="str">
        <f t="shared" si="1344"/>
        <v/>
      </c>
      <c r="BB941" s="13"/>
      <c r="BC941" s="14" t="str">
        <f t="shared" si="1346"/>
        <v/>
      </c>
      <c r="BD941" s="15"/>
      <c r="BU941" s="16"/>
      <c r="BV941" s="25"/>
      <c r="BW941" s="13" t="str">
        <f t="shared" ref="BW941:BW942" si="1455">IF(BV941="","",BV941-BV940)</f>
        <v/>
      </c>
      <c r="BX941" s="13"/>
      <c r="BY941" s="13"/>
      <c r="BZ941" s="13"/>
      <c r="CA941" s="13" t="str">
        <f t="shared" ref="CA941:CA943" si="1456">IF(BZ941="","",BZ940+CB940-BZ941)</f>
        <v/>
      </c>
      <c r="CB941" s="13"/>
      <c r="CC941" s="13"/>
      <c r="CD941" s="13"/>
      <c r="CE941" s="13" t="str">
        <f t="shared" si="1447"/>
        <v/>
      </c>
      <c r="CF941" s="14" t="str">
        <f t="shared" si="1448"/>
        <v/>
      </c>
      <c r="CG941" s="15"/>
      <c r="CH941" s="1"/>
      <c r="CI941" s="16"/>
      <c r="CJ941" s="25"/>
      <c r="CK941" s="13" t="str">
        <f t="shared" ref="CK941:CK942" si="1457">IF(CJ941="","",CJ941-CJ940)</f>
        <v/>
      </c>
      <c r="CL941" s="13"/>
      <c r="CM941" s="13"/>
      <c r="CN941" s="13"/>
      <c r="CO941" s="13" t="str">
        <f t="shared" ref="CO941:CO943" si="1458">IF(CN941="","",CN940+CP940-CN941)</f>
        <v/>
      </c>
      <c r="CP941" s="13"/>
      <c r="CQ941" s="13"/>
      <c r="CR941" s="13"/>
      <c r="CS941" s="13" t="str">
        <f t="shared" si="1449"/>
        <v/>
      </c>
      <c r="CT941" s="14" t="str">
        <f t="shared" si="1450"/>
        <v/>
      </c>
      <c r="CU941" s="15"/>
      <c r="CV941" s="1"/>
      <c r="CW941" s="16"/>
      <c r="CX941" s="25"/>
      <c r="CY941" s="13" t="str">
        <f t="shared" ref="CY941:CY942" si="1459">IF(CX941="","",CX941-CX940)</f>
        <v/>
      </c>
      <c r="CZ941" s="13"/>
      <c r="DA941" s="13"/>
      <c r="DB941" s="13"/>
      <c r="DC941" s="13" t="str">
        <f t="shared" ref="DC941:DC943" si="1460">IF(DB941="","",DB940+DD940-DB941)</f>
        <v/>
      </c>
      <c r="DD941" s="13"/>
      <c r="DE941" s="13"/>
      <c r="DF941" s="13"/>
      <c r="DG941" s="13" t="str">
        <f t="shared" si="1451"/>
        <v/>
      </c>
      <c r="DH941" s="14" t="str">
        <f t="shared" si="1452"/>
        <v/>
      </c>
      <c r="DI941" s="15"/>
      <c r="DJ941" s="1"/>
      <c r="DK941" s="16"/>
      <c r="DL941" s="25"/>
      <c r="DM941" s="13" t="str">
        <f t="shared" ref="DM941:DM942" si="1461">IF(DL941="","",DL941-DL940)</f>
        <v/>
      </c>
      <c r="DN941" s="13"/>
      <c r="DO941" s="13"/>
      <c r="DP941" s="13"/>
      <c r="DQ941" s="13" t="str">
        <f t="shared" ref="DQ941:DQ943" si="1462">IF(DP941="","",DP940+DR940-DP941)</f>
        <v/>
      </c>
      <c r="DR941" s="13"/>
      <c r="DS941" s="13"/>
      <c r="DT941" s="13"/>
      <c r="DU941" s="13" t="str">
        <f t="shared" si="1453"/>
        <v/>
      </c>
      <c r="DV941" s="14" t="str">
        <f t="shared" si="1454"/>
        <v/>
      </c>
      <c r="DW941" s="15"/>
    </row>
    <row r="942" spans="1:127" ht="15" customHeight="1" thickBot="1" x14ac:dyDescent="0.25">
      <c r="A942" s="26"/>
      <c r="B942" s="46"/>
      <c r="C942" s="27"/>
      <c r="D942" s="27" t="str">
        <f t="shared" si="1320"/>
        <v/>
      </c>
      <c r="E942" s="27"/>
      <c r="F942" s="27" t="str">
        <f t="shared" si="1321"/>
        <v/>
      </c>
      <c r="G942" s="27"/>
      <c r="H942" s="27" t="str">
        <f t="shared" si="1322"/>
        <v/>
      </c>
      <c r="I942" s="27"/>
      <c r="J942" s="57" t="str">
        <f t="shared" si="1412"/>
        <v/>
      </c>
      <c r="K942" s="62" t="str">
        <f t="shared" si="1413"/>
        <v/>
      </c>
      <c r="L942" s="27"/>
      <c r="M942" s="28" t="str">
        <f t="shared" si="1326"/>
        <v/>
      </c>
      <c r="N942" s="15"/>
      <c r="O942" s="2"/>
      <c r="P942" s="26"/>
      <c r="Q942" s="27"/>
      <c r="R942" s="27" t="str">
        <f t="shared" si="1438"/>
        <v/>
      </c>
      <c r="S942" s="27"/>
      <c r="T942" s="27" t="str">
        <f t="shared" si="1439"/>
        <v/>
      </c>
      <c r="U942" s="27"/>
      <c r="V942" s="27" t="str">
        <f t="shared" si="1440"/>
        <v/>
      </c>
      <c r="W942" s="27"/>
      <c r="X942" s="57" t="str">
        <f t="shared" si="1329"/>
        <v/>
      </c>
      <c r="Y942" s="62" t="str">
        <f t="shared" si="1330"/>
        <v/>
      </c>
      <c r="Z942" s="27"/>
      <c r="AA942" s="28" t="str">
        <f t="shared" si="1332"/>
        <v/>
      </c>
      <c r="AB942" s="15"/>
      <c r="AD942" s="26"/>
      <c r="AE942" s="27"/>
      <c r="AF942" s="27" t="str">
        <f t="shared" si="1441"/>
        <v/>
      </c>
      <c r="AG942" s="27"/>
      <c r="AH942" s="27" t="str">
        <f t="shared" si="1442"/>
        <v/>
      </c>
      <c r="AI942" s="27"/>
      <c r="AJ942" s="27" t="str">
        <f t="shared" si="1443"/>
        <v/>
      </c>
      <c r="AK942" s="27"/>
      <c r="AL942" s="57" t="str">
        <f t="shared" si="1336"/>
        <v/>
      </c>
      <c r="AM942" s="62" t="str">
        <f t="shared" si="1337"/>
        <v/>
      </c>
      <c r="AN942" s="27"/>
      <c r="AO942" s="28" t="str">
        <f t="shared" si="1339"/>
        <v/>
      </c>
      <c r="AP942" s="15"/>
      <c r="AQ942" s="115"/>
      <c r="AR942" s="26"/>
      <c r="AS942" s="27"/>
      <c r="AT942" s="27" t="str">
        <f t="shared" si="1444"/>
        <v/>
      </c>
      <c r="AU942" s="27"/>
      <c r="AV942" s="27" t="str">
        <f t="shared" si="1445"/>
        <v/>
      </c>
      <c r="AW942" s="27"/>
      <c r="AX942" s="27" t="str">
        <f t="shared" si="1446"/>
        <v/>
      </c>
      <c r="AY942" s="27"/>
      <c r="AZ942" s="57" t="str">
        <f t="shared" si="1343"/>
        <v/>
      </c>
      <c r="BA942" s="62" t="str">
        <f t="shared" si="1344"/>
        <v/>
      </c>
      <c r="BB942" s="27"/>
      <c r="BC942" s="28" t="str">
        <f t="shared" si="1346"/>
        <v/>
      </c>
      <c r="BD942" s="15"/>
      <c r="BU942" s="16"/>
      <c r="BV942" s="25"/>
      <c r="BW942" s="13" t="str">
        <f t="shared" si="1455"/>
        <v/>
      </c>
      <c r="BX942" s="13"/>
      <c r="BY942" s="13"/>
      <c r="BZ942" s="13"/>
      <c r="CA942" s="13" t="str">
        <f t="shared" si="1456"/>
        <v/>
      </c>
      <c r="CB942" s="13"/>
      <c r="CC942" s="13"/>
      <c r="CD942" s="13"/>
      <c r="CE942" s="13" t="str">
        <f t="shared" si="1447"/>
        <v/>
      </c>
      <c r="CF942" s="14" t="str">
        <f t="shared" si="1448"/>
        <v/>
      </c>
      <c r="CG942" s="15"/>
      <c r="CH942" s="1"/>
      <c r="CI942" s="16"/>
      <c r="CJ942" s="25"/>
      <c r="CK942" s="13" t="str">
        <f t="shared" si="1457"/>
        <v/>
      </c>
      <c r="CL942" s="13"/>
      <c r="CM942" s="13"/>
      <c r="CN942" s="13"/>
      <c r="CO942" s="13" t="str">
        <f t="shared" si="1458"/>
        <v/>
      </c>
      <c r="CP942" s="13"/>
      <c r="CQ942" s="13"/>
      <c r="CR942" s="13"/>
      <c r="CS942" s="13" t="str">
        <f t="shared" si="1449"/>
        <v/>
      </c>
      <c r="CT942" s="14" t="str">
        <f t="shared" si="1450"/>
        <v/>
      </c>
      <c r="CU942" s="15"/>
      <c r="CV942" s="1"/>
      <c r="CW942" s="16"/>
      <c r="CX942" s="25"/>
      <c r="CY942" s="13" t="str">
        <f t="shared" si="1459"/>
        <v/>
      </c>
      <c r="CZ942" s="13"/>
      <c r="DA942" s="13"/>
      <c r="DB942" s="13"/>
      <c r="DC942" s="13" t="str">
        <f t="shared" si="1460"/>
        <v/>
      </c>
      <c r="DD942" s="13"/>
      <c r="DE942" s="13"/>
      <c r="DF942" s="13"/>
      <c r="DG942" s="13" t="str">
        <f t="shared" si="1451"/>
        <v/>
      </c>
      <c r="DH942" s="14" t="str">
        <f t="shared" si="1452"/>
        <v/>
      </c>
      <c r="DI942" s="15"/>
      <c r="DJ942" s="1"/>
      <c r="DK942" s="16"/>
      <c r="DL942" s="25"/>
      <c r="DM942" s="13" t="str">
        <f t="shared" si="1461"/>
        <v/>
      </c>
      <c r="DN942" s="13"/>
      <c r="DO942" s="13"/>
      <c r="DP942" s="13"/>
      <c r="DQ942" s="13" t="str">
        <f t="shared" si="1462"/>
        <v/>
      </c>
      <c r="DR942" s="13"/>
      <c r="DS942" s="13"/>
      <c r="DT942" s="13"/>
      <c r="DU942" s="13" t="str">
        <f t="shared" si="1453"/>
        <v/>
      </c>
      <c r="DV942" s="14" t="str">
        <f t="shared" si="1454"/>
        <v/>
      </c>
      <c r="DW942" s="15"/>
    </row>
    <row r="943" spans="1:127" ht="15" customHeight="1" thickTop="1" x14ac:dyDescent="0.2">
      <c r="A943" s="79"/>
      <c r="B943" s="74"/>
      <c r="C943" s="53"/>
      <c r="D943" s="53"/>
      <c r="E943" s="53"/>
      <c r="F943" s="53"/>
      <c r="G943" s="53"/>
      <c r="H943" s="53"/>
      <c r="I943" s="53"/>
      <c r="J943" s="75"/>
      <c r="K943" s="53"/>
      <c r="L943" s="53"/>
      <c r="M943" s="53"/>
      <c r="N943" s="15"/>
      <c r="O943" s="2"/>
      <c r="P943" s="79"/>
      <c r="Q943" s="53"/>
      <c r="R943" s="53"/>
      <c r="S943" s="53"/>
      <c r="T943" s="53"/>
      <c r="U943" s="53"/>
      <c r="V943" s="53"/>
      <c r="W943" s="53"/>
      <c r="X943" s="78"/>
      <c r="Y943" s="53"/>
      <c r="Z943" s="53"/>
      <c r="AA943" s="53"/>
      <c r="AB943" s="15"/>
      <c r="AD943" s="79"/>
      <c r="AE943" s="53"/>
      <c r="AF943" s="53"/>
      <c r="AG943" s="53"/>
      <c r="AH943" s="53"/>
      <c r="AI943" s="53"/>
      <c r="AJ943" s="53"/>
      <c r="AK943" s="53"/>
      <c r="AL943" s="75"/>
      <c r="AM943" s="53"/>
      <c r="AN943" s="53"/>
      <c r="AO943" s="53"/>
      <c r="AP943" s="15"/>
      <c r="AQ943" s="2"/>
      <c r="AR943" s="79"/>
      <c r="AS943" s="53"/>
      <c r="AT943" s="53"/>
      <c r="AU943" s="53"/>
      <c r="AV943" s="53"/>
      <c r="AW943" s="53"/>
      <c r="AX943" s="53"/>
      <c r="AY943" s="53"/>
      <c r="AZ943" s="75"/>
      <c r="BA943" s="53"/>
      <c r="BB943" s="53"/>
      <c r="BC943" s="53"/>
      <c r="BD943" s="15"/>
      <c r="BU943" s="16"/>
      <c r="BV943" s="25"/>
      <c r="BW943" s="13"/>
      <c r="BX943" s="13"/>
      <c r="BY943" s="13"/>
      <c r="BZ943" s="13"/>
      <c r="CA943" s="13" t="str">
        <f t="shared" si="1456"/>
        <v/>
      </c>
      <c r="CB943" s="13"/>
      <c r="CC943" s="13"/>
      <c r="CD943" s="13"/>
      <c r="CE943" s="13" t="str">
        <f t="shared" si="1447"/>
        <v/>
      </c>
      <c r="CF943" s="14" t="str">
        <f t="shared" si="1448"/>
        <v/>
      </c>
      <c r="CG943" s="15"/>
      <c r="CH943" s="1"/>
      <c r="CI943" s="16"/>
      <c r="CJ943" s="25"/>
      <c r="CK943" s="13"/>
      <c r="CL943" s="13"/>
      <c r="CM943" s="13"/>
      <c r="CN943" s="13"/>
      <c r="CO943" s="13" t="str">
        <f t="shared" si="1458"/>
        <v/>
      </c>
      <c r="CP943" s="13"/>
      <c r="CQ943" s="13"/>
      <c r="CR943" s="13"/>
      <c r="CS943" s="13" t="str">
        <f t="shared" si="1449"/>
        <v/>
      </c>
      <c r="CT943" s="14" t="str">
        <f t="shared" si="1450"/>
        <v/>
      </c>
      <c r="CU943" s="15"/>
      <c r="CV943" s="1"/>
      <c r="CW943" s="16"/>
      <c r="CX943" s="25"/>
      <c r="CY943" s="13"/>
      <c r="CZ943" s="13"/>
      <c r="DA943" s="13"/>
      <c r="DB943" s="13"/>
      <c r="DC943" s="13" t="str">
        <f t="shared" si="1460"/>
        <v/>
      </c>
      <c r="DD943" s="13"/>
      <c r="DE943" s="13"/>
      <c r="DF943" s="13"/>
      <c r="DG943" s="13" t="str">
        <f t="shared" si="1451"/>
        <v/>
      </c>
      <c r="DH943" s="14" t="str">
        <f t="shared" si="1452"/>
        <v/>
      </c>
      <c r="DI943" s="15"/>
      <c r="DJ943" s="1"/>
      <c r="DK943" s="16"/>
      <c r="DL943" s="25"/>
      <c r="DM943" s="13"/>
      <c r="DN943" s="13"/>
      <c r="DO943" s="13"/>
      <c r="DP943" s="13"/>
      <c r="DQ943" s="13" t="str">
        <f t="shared" si="1462"/>
        <v/>
      </c>
      <c r="DR943" s="13"/>
      <c r="DS943" s="13"/>
      <c r="DT943" s="13"/>
      <c r="DU943" s="13" t="str">
        <f t="shared" si="1453"/>
        <v/>
      </c>
      <c r="DV943" s="14" t="str">
        <f t="shared" si="1454"/>
        <v/>
      </c>
      <c r="DW943" s="15"/>
    </row>
    <row r="944" spans="1:127" ht="15" customHeight="1" x14ac:dyDescent="0.2">
      <c r="A944" s="79"/>
      <c r="B944" s="74"/>
      <c r="C944" s="53"/>
      <c r="D944" s="53"/>
      <c r="E944" s="53"/>
      <c r="F944" s="53"/>
      <c r="G944" s="53"/>
      <c r="H944" s="53"/>
      <c r="I944" s="53"/>
      <c r="J944" s="75"/>
      <c r="K944" s="53"/>
      <c r="L944" s="53"/>
      <c r="M944" s="53"/>
      <c r="N944" s="15"/>
      <c r="O944" s="2"/>
      <c r="P944" s="79"/>
      <c r="Q944" s="53"/>
      <c r="R944" s="53"/>
      <c r="S944" s="53"/>
      <c r="T944" s="53"/>
      <c r="U944" s="53"/>
      <c r="V944" s="53"/>
      <c r="W944" s="53"/>
      <c r="X944" s="78"/>
      <c r="Y944" s="53"/>
      <c r="Z944" s="53"/>
      <c r="AA944" s="53"/>
      <c r="AB944" s="15"/>
      <c r="AD944" s="79"/>
      <c r="AE944" s="53"/>
      <c r="AF944" s="53"/>
      <c r="AG944" s="53"/>
      <c r="AH944" s="53"/>
      <c r="AI944" s="53"/>
      <c r="AJ944" s="53"/>
      <c r="AK944" s="53"/>
      <c r="AL944" s="75"/>
      <c r="AM944" s="53"/>
      <c r="AN944" s="53"/>
      <c r="AO944" s="53"/>
      <c r="AP944" s="15"/>
      <c r="AQ944" s="2"/>
      <c r="AR944" s="79"/>
      <c r="AS944" s="53"/>
      <c r="AT944" s="53"/>
      <c r="AU944" s="53"/>
      <c r="AV944" s="53"/>
      <c r="AW944" s="53"/>
      <c r="AX944" s="53"/>
      <c r="AY944" s="53"/>
      <c r="AZ944" s="75"/>
      <c r="BA944" s="53"/>
      <c r="BB944" s="53"/>
      <c r="BC944" s="53"/>
      <c r="BD944" s="15"/>
      <c r="BU944" s="16"/>
      <c r="BV944" s="25"/>
      <c r="BW944" s="13"/>
      <c r="BX944" s="13"/>
      <c r="BY944" s="13"/>
      <c r="BZ944" s="13"/>
      <c r="CA944" s="13"/>
      <c r="CB944" s="13"/>
      <c r="CC944" s="13"/>
      <c r="CD944" s="13"/>
      <c r="CE944" s="13"/>
      <c r="CF944" s="14"/>
      <c r="CG944" s="15"/>
      <c r="CH944" s="1"/>
      <c r="CI944" s="16"/>
      <c r="CJ944" s="25"/>
      <c r="CK944" s="13"/>
      <c r="CL944" s="13"/>
      <c r="CM944" s="13"/>
      <c r="CN944" s="13"/>
      <c r="CO944" s="13"/>
      <c r="CP944" s="13"/>
      <c r="CQ944" s="13"/>
      <c r="CR944" s="13"/>
      <c r="CS944" s="13"/>
      <c r="CT944" s="14"/>
      <c r="CU944" s="15"/>
      <c r="CV944" s="1"/>
      <c r="CW944" s="16"/>
      <c r="CX944" s="25"/>
      <c r="CY944" s="13"/>
      <c r="CZ944" s="13"/>
      <c r="DA944" s="13"/>
      <c r="DB944" s="13"/>
      <c r="DC944" s="13"/>
      <c r="DD944" s="13"/>
      <c r="DE944" s="13"/>
      <c r="DF944" s="13"/>
      <c r="DG944" s="13"/>
      <c r="DH944" s="14"/>
      <c r="DI944" s="15"/>
      <c r="DJ944" s="1"/>
      <c r="DK944" s="16"/>
      <c r="DL944" s="25"/>
      <c r="DM944" s="13"/>
      <c r="DN944" s="13"/>
      <c r="DO944" s="13"/>
      <c r="DP944" s="13"/>
      <c r="DQ944" s="13"/>
      <c r="DR944" s="13"/>
      <c r="DS944" s="13"/>
      <c r="DT944" s="13"/>
      <c r="DU944" s="13"/>
      <c r="DV944" s="14"/>
      <c r="DW944" s="15"/>
    </row>
    <row r="945" spans="1:127" ht="15" customHeight="1" x14ac:dyDescent="0.2">
      <c r="A945" s="79"/>
      <c r="B945" s="74"/>
      <c r="C945" s="53"/>
      <c r="D945" s="53"/>
      <c r="E945" s="53"/>
      <c r="F945" s="53"/>
      <c r="G945" s="53"/>
      <c r="H945" s="53"/>
      <c r="I945" s="53"/>
      <c r="J945" s="75"/>
      <c r="K945" s="53"/>
      <c r="L945" s="53"/>
      <c r="M945" s="53"/>
      <c r="N945" s="15"/>
      <c r="O945" s="2"/>
      <c r="P945" s="79"/>
      <c r="Q945" s="53"/>
      <c r="R945" s="53"/>
      <c r="S945" s="53"/>
      <c r="T945" s="53"/>
      <c r="U945" s="53"/>
      <c r="V945" s="53"/>
      <c r="W945" s="53"/>
      <c r="X945" s="78"/>
      <c r="Y945" s="53"/>
      <c r="Z945" s="53"/>
      <c r="AA945" s="53"/>
      <c r="AB945" s="15"/>
      <c r="AD945" s="79"/>
      <c r="AE945" s="53"/>
      <c r="AF945" s="53"/>
      <c r="AG945" s="53"/>
      <c r="AH945" s="53"/>
      <c r="AI945" s="53"/>
      <c r="AJ945" s="53"/>
      <c r="AK945" s="53"/>
      <c r="AL945" s="75"/>
      <c r="AM945" s="53"/>
      <c r="AN945" s="53"/>
      <c r="AO945" s="53"/>
      <c r="AP945" s="15"/>
      <c r="AQ945" s="2"/>
      <c r="AR945" s="79"/>
      <c r="AS945" s="53"/>
      <c r="AT945" s="53"/>
      <c r="AU945" s="53"/>
      <c r="AV945" s="53"/>
      <c r="AW945" s="53"/>
      <c r="AX945" s="53"/>
      <c r="AY945" s="53"/>
      <c r="AZ945" s="75"/>
      <c r="BA945" s="53"/>
      <c r="BB945" s="53"/>
      <c r="BC945" s="53"/>
      <c r="BD945" s="15"/>
      <c r="BU945" s="16"/>
      <c r="BV945" s="25"/>
      <c r="BW945" s="13"/>
      <c r="BX945" s="13"/>
      <c r="BY945" s="13"/>
      <c r="BZ945" s="13"/>
      <c r="CA945" s="13"/>
      <c r="CB945" s="13"/>
      <c r="CC945" s="13"/>
      <c r="CD945" s="13"/>
      <c r="CE945" s="13"/>
      <c r="CF945" s="14"/>
      <c r="CG945" s="15"/>
      <c r="CH945" s="1"/>
      <c r="CI945" s="16"/>
      <c r="CJ945" s="25"/>
      <c r="CK945" s="13"/>
      <c r="CL945" s="13"/>
      <c r="CM945" s="13"/>
      <c r="CN945" s="13"/>
      <c r="CO945" s="13"/>
      <c r="CP945" s="13"/>
      <c r="CQ945" s="13"/>
      <c r="CR945" s="13"/>
      <c r="CS945" s="13"/>
      <c r="CT945" s="14"/>
      <c r="CU945" s="15"/>
      <c r="CV945" s="1"/>
      <c r="CW945" s="16"/>
      <c r="CX945" s="25"/>
      <c r="CY945" s="13"/>
      <c r="CZ945" s="13"/>
      <c r="DA945" s="13"/>
      <c r="DB945" s="13"/>
      <c r="DC945" s="13"/>
      <c r="DD945" s="13"/>
      <c r="DE945" s="13"/>
      <c r="DF945" s="13"/>
      <c r="DG945" s="13"/>
      <c r="DH945" s="14"/>
      <c r="DI945" s="15"/>
      <c r="DJ945" s="1"/>
      <c r="DK945" s="16"/>
      <c r="DL945" s="25"/>
      <c r="DM945" s="13"/>
      <c r="DN945" s="13"/>
      <c r="DO945" s="13"/>
      <c r="DP945" s="13"/>
      <c r="DQ945" s="13"/>
      <c r="DR945" s="13"/>
      <c r="DS945" s="13"/>
      <c r="DT945" s="13"/>
      <c r="DU945" s="13"/>
      <c r="DV945" s="14"/>
      <c r="DW945" s="15"/>
    </row>
    <row r="946" spans="1:127" ht="15" customHeight="1" x14ac:dyDescent="0.2">
      <c r="A946" s="79"/>
      <c r="B946" s="74"/>
      <c r="C946" s="53"/>
      <c r="D946" s="53"/>
      <c r="E946" s="53"/>
      <c r="F946" s="53"/>
      <c r="G946" s="53"/>
      <c r="H946" s="53"/>
      <c r="I946" s="53"/>
      <c r="J946" s="75"/>
      <c r="K946" s="53"/>
      <c r="L946" s="53"/>
      <c r="M946" s="53"/>
      <c r="N946" s="15"/>
      <c r="O946" s="2"/>
      <c r="P946" s="79"/>
      <c r="Q946" s="53"/>
      <c r="R946" s="53"/>
      <c r="S946" s="53"/>
      <c r="T946" s="53"/>
      <c r="U946" s="53"/>
      <c r="V946" s="53"/>
      <c r="W946" s="53"/>
      <c r="X946" s="78"/>
      <c r="Y946" s="53"/>
      <c r="Z946" s="53"/>
      <c r="AA946" s="53"/>
      <c r="AB946" s="15"/>
      <c r="AD946" s="79"/>
      <c r="AE946" s="53"/>
      <c r="AF946" s="53"/>
      <c r="AG946" s="53"/>
      <c r="AH946" s="53"/>
      <c r="AI946" s="53"/>
      <c r="AJ946" s="53"/>
      <c r="AK946" s="53"/>
      <c r="AL946" s="75"/>
      <c r="AM946" s="53"/>
      <c r="AN946" s="53"/>
      <c r="AO946" s="53"/>
      <c r="AP946" s="15"/>
      <c r="AQ946" s="2"/>
      <c r="AR946" s="79"/>
      <c r="AS946" s="53"/>
      <c r="AT946" s="53"/>
      <c r="AU946" s="53"/>
      <c r="AV946" s="53"/>
      <c r="AW946" s="53"/>
      <c r="AX946" s="53"/>
      <c r="AY946" s="53"/>
      <c r="AZ946" s="75"/>
      <c r="BA946" s="53"/>
      <c r="BB946" s="53"/>
      <c r="BC946" s="53"/>
      <c r="BD946" s="15"/>
      <c r="BU946" s="16"/>
      <c r="BV946" s="25"/>
      <c r="BW946" s="13"/>
      <c r="BX946" s="13"/>
      <c r="BY946" s="13"/>
      <c r="BZ946" s="13"/>
      <c r="CA946" s="13"/>
      <c r="CB946" s="13"/>
      <c r="CC946" s="13"/>
      <c r="CD946" s="13"/>
      <c r="CE946" s="13"/>
      <c r="CF946" s="14"/>
      <c r="CG946" s="15"/>
      <c r="CH946" s="1"/>
      <c r="CI946" s="16"/>
      <c r="CJ946" s="25"/>
      <c r="CK946" s="13"/>
      <c r="CL946" s="13"/>
      <c r="CM946" s="13"/>
      <c r="CN946" s="13"/>
      <c r="CO946" s="13"/>
      <c r="CP946" s="13"/>
      <c r="CQ946" s="13"/>
      <c r="CR946" s="13"/>
      <c r="CS946" s="13"/>
      <c r="CT946" s="14"/>
      <c r="CU946" s="15"/>
      <c r="CV946" s="1"/>
      <c r="CW946" s="16"/>
      <c r="CX946" s="25"/>
      <c r="CY946" s="13"/>
      <c r="CZ946" s="13"/>
      <c r="DA946" s="13"/>
      <c r="DB946" s="13"/>
      <c r="DC946" s="13"/>
      <c r="DD946" s="13"/>
      <c r="DE946" s="13"/>
      <c r="DF946" s="13"/>
      <c r="DG946" s="13"/>
      <c r="DH946" s="14"/>
      <c r="DI946" s="15"/>
      <c r="DJ946" s="1"/>
      <c r="DK946" s="16"/>
      <c r="DL946" s="25"/>
      <c r="DM946" s="13"/>
      <c r="DN946" s="13"/>
      <c r="DO946" s="13"/>
      <c r="DP946" s="13"/>
      <c r="DQ946" s="13"/>
      <c r="DR946" s="13"/>
      <c r="DS946" s="13"/>
      <c r="DT946" s="13"/>
      <c r="DU946" s="13"/>
      <c r="DV946" s="14"/>
      <c r="DW946" s="15"/>
    </row>
    <row r="947" spans="1:127" ht="15" customHeight="1" x14ac:dyDescent="0.2">
      <c r="A947" s="59">
        <v>31</v>
      </c>
      <c r="B947" s="74"/>
      <c r="C947" s="5" t="s">
        <v>19</v>
      </c>
      <c r="D947" s="13">
        <f>SUM(D891:D943)*100</f>
        <v>307600</v>
      </c>
      <c r="E947" s="13"/>
      <c r="F947" s="13"/>
      <c r="G947" s="5"/>
      <c r="H947" s="13"/>
      <c r="I947" s="13"/>
      <c r="J947" s="271" t="s">
        <v>21</v>
      </c>
      <c r="K947" s="271"/>
      <c r="L947" s="13">
        <f>SUM(L891:L943)</f>
        <v>58548</v>
      </c>
      <c r="M947" s="13"/>
      <c r="N947" s="15"/>
      <c r="O947" s="2"/>
      <c r="P947" s="16"/>
      <c r="Q947" s="5" t="s">
        <v>19</v>
      </c>
      <c r="R947" s="13">
        <f>SUM(R891:R943)*100</f>
        <v>289700</v>
      </c>
      <c r="S947" s="13"/>
      <c r="T947" s="13"/>
      <c r="U947" s="5"/>
      <c r="V947" s="13"/>
      <c r="W947" s="13"/>
      <c r="X947" s="271" t="s">
        <v>21</v>
      </c>
      <c r="Y947" s="271"/>
      <c r="Z947" s="13">
        <f>SUM(Z891:Z943)</f>
        <v>82900</v>
      </c>
      <c r="AA947" s="13"/>
      <c r="AB947" s="15"/>
      <c r="AD947" s="16"/>
      <c r="AE947" s="5" t="s">
        <v>19</v>
      </c>
      <c r="AF947" s="13">
        <f>SUM(AF891:AF943)*100</f>
        <v>272500</v>
      </c>
      <c r="AG947" s="13"/>
      <c r="AH947" s="13"/>
      <c r="AI947" s="5"/>
      <c r="AJ947" s="13"/>
      <c r="AK947" s="13"/>
      <c r="AL947" s="271" t="s">
        <v>21</v>
      </c>
      <c r="AM947" s="271"/>
      <c r="AN947" s="13">
        <f>SUM(AN891:AN943)</f>
        <v>42942</v>
      </c>
      <c r="AO947" s="13"/>
      <c r="AP947" s="15"/>
      <c r="AQ947" s="2"/>
      <c r="AR947" s="16"/>
      <c r="AS947" s="5" t="s">
        <v>19</v>
      </c>
      <c r="AT947" s="13">
        <f>SUM(AT891:AT943)*100</f>
        <v>326200</v>
      </c>
      <c r="AU947" s="13"/>
      <c r="AV947" s="13"/>
      <c r="AW947" s="5"/>
      <c r="AX947" s="13"/>
      <c r="AY947" s="13"/>
      <c r="AZ947" s="271" t="s">
        <v>21</v>
      </c>
      <c r="BA947" s="271"/>
      <c r="BB947" s="13">
        <f>SUM(BB891:BB943)</f>
        <v>115957</v>
      </c>
      <c r="BC947" s="13"/>
      <c r="BD947" s="15"/>
      <c r="BU947" s="16"/>
      <c r="BV947" s="37" t="s">
        <v>19</v>
      </c>
      <c r="BW947" s="13">
        <f>SUM(BW891:BW943)*100</f>
        <v>105300</v>
      </c>
      <c r="BX947" s="13"/>
      <c r="BY947" s="13"/>
      <c r="BZ947" s="5"/>
      <c r="CA947" s="13"/>
      <c r="CB947" s="13"/>
      <c r="CC947" s="13"/>
      <c r="CD947" s="13"/>
      <c r="CE947" s="13"/>
      <c r="CF947" s="13"/>
      <c r="CG947" s="15"/>
      <c r="CH947" s="1"/>
      <c r="CI947" s="16"/>
      <c r="CJ947" s="37" t="s">
        <v>19</v>
      </c>
      <c r="CK947" s="13">
        <f>SUM(CK891:CK943)*100</f>
        <v>79300</v>
      </c>
      <c r="CL947" s="13"/>
      <c r="CM947" s="13"/>
      <c r="CN947" s="5"/>
      <c r="CO947" s="13"/>
      <c r="CP947" s="13"/>
      <c r="CQ947" s="13"/>
      <c r="CR947" s="13"/>
      <c r="CS947" s="13"/>
      <c r="CT947" s="13"/>
      <c r="CU947" s="15"/>
      <c r="CV947" s="1"/>
      <c r="CW947" s="16"/>
      <c r="CX947" s="37" t="s">
        <v>19</v>
      </c>
      <c r="CY947" s="13">
        <f>SUM(CY891:CY943)*100</f>
        <v>133400</v>
      </c>
      <c r="CZ947" s="13"/>
      <c r="DA947" s="13"/>
      <c r="DB947" s="5"/>
      <c r="DC947" s="13"/>
      <c r="DD947" s="13"/>
      <c r="DE947" s="13"/>
      <c r="DF947" s="13"/>
      <c r="DG947" s="13"/>
      <c r="DH947" s="13"/>
      <c r="DI947" s="15"/>
      <c r="DJ947" s="1"/>
      <c r="DK947" s="16"/>
      <c r="DL947" s="37" t="s">
        <v>19</v>
      </c>
      <c r="DM947" s="13">
        <f>SUM(DM891:DM943)*100</f>
        <v>97800</v>
      </c>
      <c r="DN947" s="13"/>
      <c r="DO947" s="13"/>
      <c r="DP947" s="5"/>
      <c r="DQ947" s="13"/>
      <c r="DR947" s="13"/>
      <c r="DS947" s="13"/>
      <c r="DT947" s="13"/>
      <c r="DU947" s="13"/>
      <c r="DV947" s="13"/>
      <c r="DW947" s="15"/>
    </row>
    <row r="948" spans="1:127" ht="15" customHeight="1" x14ac:dyDescent="0.2">
      <c r="A948" s="94">
        <f>DATEDIF(A$1001,A$923,"d")</f>
        <v>31</v>
      </c>
      <c r="B948">
        <f>SUMIF(B890:B943,"&gt;=0")</f>
        <v>16118</v>
      </c>
      <c r="C948" s="5" t="s">
        <v>22</v>
      </c>
      <c r="D948" s="13">
        <f>D947/A948</f>
        <v>9922.5806451612898</v>
      </c>
      <c r="E948" s="13">
        <f>D948*A947</f>
        <v>307600</v>
      </c>
      <c r="F948" s="13"/>
      <c r="G948" s="5"/>
      <c r="H948" s="13"/>
      <c r="I948" s="13"/>
      <c r="J948" s="271" t="s">
        <v>23</v>
      </c>
      <c r="K948" s="271"/>
      <c r="L948" s="13"/>
      <c r="M948" s="36">
        <f>L947/D947</f>
        <v>0.19033810143042912</v>
      </c>
      <c r="N948" s="15"/>
      <c r="O948" s="2"/>
      <c r="P948" s="33"/>
      <c r="Q948" s="5" t="s">
        <v>22</v>
      </c>
      <c r="R948" s="13">
        <f>R947/A948</f>
        <v>9345.1612903225814</v>
      </c>
      <c r="S948" s="13">
        <f>R948*A947</f>
        <v>289700</v>
      </c>
      <c r="T948" s="13"/>
      <c r="U948" s="5"/>
      <c r="V948" s="13"/>
      <c r="W948" s="13"/>
      <c r="X948" s="271" t="s">
        <v>23</v>
      </c>
      <c r="Y948" s="271"/>
      <c r="Z948" s="13"/>
      <c r="AA948" s="36">
        <f>Z947/R947</f>
        <v>0.2861580945806006</v>
      </c>
      <c r="AB948" s="15"/>
      <c r="AD948" s="51"/>
      <c r="AE948" s="5" t="s">
        <v>22</v>
      </c>
      <c r="AF948" s="13">
        <f>AF947/A948</f>
        <v>8790.322580645161</v>
      </c>
      <c r="AG948" s="13">
        <f>AF948*A947</f>
        <v>272500</v>
      </c>
      <c r="AH948" s="13"/>
      <c r="AI948" s="5"/>
      <c r="AJ948" s="13"/>
      <c r="AK948" s="13"/>
      <c r="AL948" s="271" t="s">
        <v>23</v>
      </c>
      <c r="AM948" s="271"/>
      <c r="AN948" s="13"/>
      <c r="AO948" s="36">
        <f>AN947/AF947</f>
        <v>0.15758532110091744</v>
      </c>
      <c r="AP948" s="15"/>
      <c r="AQ948" s="2"/>
      <c r="AR948" s="33"/>
      <c r="AS948" s="5" t="s">
        <v>22</v>
      </c>
      <c r="AT948" s="13">
        <f>AT947/A948</f>
        <v>10522.58064516129</v>
      </c>
      <c r="AU948" s="13">
        <f>AT948*A947</f>
        <v>326200</v>
      </c>
      <c r="AV948" s="13"/>
      <c r="AW948" s="5"/>
      <c r="AX948" s="13"/>
      <c r="AY948" s="13"/>
      <c r="AZ948" s="271" t="s">
        <v>23</v>
      </c>
      <c r="BA948" s="271"/>
      <c r="BB948" s="13"/>
      <c r="BC948" s="36">
        <f>BB947/AT947</f>
        <v>0.35547823421213981</v>
      </c>
      <c r="BD948" s="15"/>
      <c r="BU948" s="16"/>
      <c r="BV948" s="37" t="s">
        <v>22</v>
      </c>
      <c r="BW948" s="13">
        <f>BW947/A948</f>
        <v>3396.7741935483873</v>
      </c>
      <c r="BX948" s="13">
        <f>BW948*A947</f>
        <v>105300</v>
      </c>
      <c r="BY948" s="13"/>
      <c r="BZ948" s="5"/>
      <c r="CA948" s="13"/>
      <c r="CB948" s="13"/>
      <c r="CC948" s="13"/>
      <c r="CD948" s="13"/>
      <c r="CE948" s="13"/>
      <c r="CF948" s="13"/>
      <c r="CG948" s="15"/>
      <c r="CH948" s="1"/>
      <c r="CI948" s="16"/>
      <c r="CJ948" s="37" t="s">
        <v>22</v>
      </c>
      <c r="CK948" s="13">
        <f>CK947/A948</f>
        <v>2558.0645161290322</v>
      </c>
      <c r="CL948" s="13">
        <f>CK948*A947</f>
        <v>79300</v>
      </c>
      <c r="CM948" s="13"/>
      <c r="CN948" s="5"/>
      <c r="CO948" s="13"/>
      <c r="CP948" s="13"/>
      <c r="CQ948" s="13"/>
      <c r="CR948" s="13"/>
      <c r="CS948" s="13"/>
      <c r="CT948" s="13"/>
      <c r="CU948" s="15"/>
      <c r="CV948" s="1"/>
      <c r="CW948" s="16"/>
      <c r="CX948" s="37" t="s">
        <v>22</v>
      </c>
      <c r="CY948" s="13">
        <f>CY947/A948</f>
        <v>4303.2258064516127</v>
      </c>
      <c r="CZ948" s="13">
        <f>CY948*A947</f>
        <v>133400</v>
      </c>
      <c r="DA948" s="13"/>
      <c r="DB948" s="5"/>
      <c r="DC948" s="13"/>
      <c r="DD948" s="13"/>
      <c r="DE948" s="13"/>
      <c r="DF948" s="13"/>
      <c r="DG948" s="13"/>
      <c r="DH948" s="13"/>
      <c r="DI948" s="15"/>
      <c r="DJ948" s="1"/>
      <c r="DK948" s="16"/>
      <c r="DL948" s="37" t="s">
        <v>22</v>
      </c>
      <c r="DM948" s="13">
        <f>DM947/A948</f>
        <v>3154.8387096774195</v>
      </c>
      <c r="DN948" s="13">
        <f>DM948*A947</f>
        <v>97800</v>
      </c>
      <c r="DO948" s="13"/>
      <c r="DP948" s="5"/>
      <c r="DQ948" s="13"/>
      <c r="DR948" s="13"/>
      <c r="DS948" s="13"/>
      <c r="DT948" s="13"/>
      <c r="DU948" s="13"/>
      <c r="DV948" s="13"/>
      <c r="DW948" s="15"/>
    </row>
    <row r="949" spans="1:127" ht="15" customHeight="1" x14ac:dyDescent="0.2">
      <c r="A949" s="44" t="s">
        <v>22</v>
      </c>
      <c r="B949" s="81">
        <f>B948/A948</f>
        <v>519.93548387096769</v>
      </c>
      <c r="C949" s="69" t="s">
        <v>25</v>
      </c>
      <c r="D949" s="13">
        <f>D947*0.6</f>
        <v>184560</v>
      </c>
      <c r="E949" s="13"/>
      <c r="F949" s="13"/>
      <c r="G949" s="5"/>
      <c r="H949" s="13"/>
      <c r="I949" s="13"/>
      <c r="J949" s="271" t="s">
        <v>26</v>
      </c>
      <c r="K949" s="271"/>
      <c r="L949" s="13">
        <f>D949-L947</f>
        <v>126012</v>
      </c>
      <c r="M949" s="36">
        <f>L949/D947</f>
        <v>0.40966189856957086</v>
      </c>
      <c r="N949" s="15"/>
      <c r="O949" s="2"/>
      <c r="P949" s="16"/>
      <c r="Q949" s="69" t="s">
        <v>25</v>
      </c>
      <c r="R949" s="13">
        <f>R947*0.6</f>
        <v>173820</v>
      </c>
      <c r="S949" s="13"/>
      <c r="T949" s="13"/>
      <c r="U949" s="5"/>
      <c r="V949" s="13"/>
      <c r="W949" s="13"/>
      <c r="X949" s="271" t="s">
        <v>26</v>
      </c>
      <c r="Y949" s="271"/>
      <c r="Z949" s="13">
        <f>R949-Z947</f>
        <v>90920</v>
      </c>
      <c r="AA949" s="36">
        <f>Z949/R947</f>
        <v>0.31384190541939938</v>
      </c>
      <c r="AB949" s="15"/>
      <c r="AD949" s="16"/>
      <c r="AE949" s="69" t="s">
        <v>25</v>
      </c>
      <c r="AF949" s="13">
        <f>AF947*0.6</f>
        <v>163500</v>
      </c>
      <c r="AG949" s="13"/>
      <c r="AH949" s="13"/>
      <c r="AI949" s="5"/>
      <c r="AJ949" s="13"/>
      <c r="AK949" s="13"/>
      <c r="AL949" s="271" t="s">
        <v>26</v>
      </c>
      <c r="AM949" s="271"/>
      <c r="AN949" s="13">
        <f>AF949-AN947</f>
        <v>120558</v>
      </c>
      <c r="AO949" s="36">
        <f>AN949/AF947</f>
        <v>0.44241467889908259</v>
      </c>
      <c r="AP949" s="15"/>
      <c r="AQ949" s="2"/>
      <c r="AR949" s="16"/>
      <c r="AS949" s="69" t="s">
        <v>25</v>
      </c>
      <c r="AT949" s="13">
        <f>AT947*0.6</f>
        <v>195720</v>
      </c>
      <c r="AU949" s="13"/>
      <c r="AV949" s="13"/>
      <c r="AW949" s="5"/>
      <c r="AX949" s="13"/>
      <c r="AY949" s="13"/>
      <c r="AZ949" s="271" t="s">
        <v>26</v>
      </c>
      <c r="BA949" s="271"/>
      <c r="BB949" s="13">
        <f>AT949-BB947</f>
        <v>79763</v>
      </c>
      <c r="BC949" s="36">
        <f>BB949/AT947</f>
        <v>0.2445217657878602</v>
      </c>
      <c r="BD949" s="15"/>
      <c r="BU949" s="16"/>
      <c r="BV949" s="37" t="s">
        <v>25</v>
      </c>
      <c r="BW949" s="13">
        <f>BW947*0.6</f>
        <v>63180</v>
      </c>
      <c r="BX949" s="13"/>
      <c r="BY949" s="13"/>
      <c r="BZ949" s="5" t="s">
        <v>24</v>
      </c>
      <c r="CA949" s="13">
        <f>SUM(CE891:CE943)</f>
        <v>18480</v>
      </c>
      <c r="CB949" s="36">
        <f>CA949/BW947</f>
        <v>0.1754985754985755</v>
      </c>
      <c r="CC949" s="36"/>
      <c r="CD949" s="13"/>
      <c r="CE949" s="13"/>
      <c r="CF949" s="13"/>
      <c r="CG949" s="15"/>
      <c r="CH949" s="1"/>
      <c r="CI949" s="16"/>
      <c r="CJ949" s="37" t="s">
        <v>25</v>
      </c>
      <c r="CK949" s="13">
        <f>CK947*0.6</f>
        <v>47580</v>
      </c>
      <c r="CL949" s="13"/>
      <c r="CM949" s="13"/>
      <c r="CN949" s="5" t="s">
        <v>24</v>
      </c>
      <c r="CO949" s="13">
        <f>SUM(CS891:CS943)</f>
        <v>12144</v>
      </c>
      <c r="CP949" s="36">
        <f>CO949/CK947</f>
        <v>0.15313997477931904</v>
      </c>
      <c r="CQ949" s="36"/>
      <c r="CR949" s="13"/>
      <c r="CS949" s="13"/>
      <c r="CT949" s="13"/>
      <c r="CU949" s="15"/>
      <c r="CV949" s="1"/>
      <c r="CW949" s="16"/>
      <c r="CX949" s="37" t="s">
        <v>25</v>
      </c>
      <c r="CY949" s="13">
        <f>CY947*0.6</f>
        <v>80040</v>
      </c>
      <c r="CZ949" s="13"/>
      <c r="DA949" s="13"/>
      <c r="DB949" s="5" t="s">
        <v>24</v>
      </c>
      <c r="DC949" s="13">
        <f>SUM(DG891:DG943)</f>
        <v>39600</v>
      </c>
      <c r="DD949" s="36">
        <f>DC949/CY947</f>
        <v>0.29685157421289354</v>
      </c>
      <c r="DE949" s="36"/>
      <c r="DF949" s="13"/>
      <c r="DG949" s="13"/>
      <c r="DH949" s="13"/>
      <c r="DI949" s="15"/>
      <c r="DJ949" s="1"/>
      <c r="DK949" s="16"/>
      <c r="DL949" s="37" t="s">
        <v>25</v>
      </c>
      <c r="DM949" s="13">
        <f>DM947*0.6</f>
        <v>58680</v>
      </c>
      <c r="DN949" s="13"/>
      <c r="DO949" s="13"/>
      <c r="DP949" s="5" t="s">
        <v>24</v>
      </c>
      <c r="DQ949" s="13">
        <f>SUM(DU891:DU943)</f>
        <v>15600</v>
      </c>
      <c r="DR949" s="36">
        <f>DQ949/DM947</f>
        <v>0.15950920245398773</v>
      </c>
      <c r="DS949" s="36"/>
      <c r="DT949" s="13"/>
      <c r="DU949" s="13"/>
      <c r="DV949" s="13"/>
      <c r="DW949" s="15"/>
    </row>
    <row r="950" spans="1:127" ht="15" customHeight="1" x14ac:dyDescent="0.2">
      <c r="A950" s="79"/>
      <c r="B950" s="74">
        <f>B949*A947</f>
        <v>16117.999999999998</v>
      </c>
      <c r="C950" s="5" t="s">
        <v>27</v>
      </c>
      <c r="D950" s="13">
        <f>D1021</f>
        <v>385800</v>
      </c>
      <c r="E950" s="13"/>
      <c r="F950" s="13"/>
      <c r="G950" s="5"/>
      <c r="H950" s="13"/>
      <c r="I950" s="24"/>
      <c r="J950" s="272" t="s">
        <v>29</v>
      </c>
      <c r="K950" s="272"/>
      <c r="L950" s="53">
        <f>(G915+I915)*K915+(G916+I916)*K916+(G917+I917)*K917+(G918+I918)*K918</f>
        <v>64068</v>
      </c>
      <c r="M950" s="14"/>
      <c r="N950" s="15"/>
      <c r="O950" s="2"/>
      <c r="P950" s="79"/>
      <c r="Q950" s="5" t="s">
        <v>27</v>
      </c>
      <c r="R950" s="13">
        <f>R1021</f>
        <v>367100</v>
      </c>
      <c r="S950" s="13"/>
      <c r="T950" s="13"/>
      <c r="U950" s="5"/>
      <c r="V950" s="13"/>
      <c r="W950" s="24"/>
      <c r="X950" s="272" t="s">
        <v>29</v>
      </c>
      <c r="Y950" s="272"/>
      <c r="Z950" s="53">
        <f>(U915+W915)*Y915+(U916+W916)*Y916+(U917+W917)*Y917+(U918+W918)*Y918</f>
        <v>31550</v>
      </c>
      <c r="AA950" s="14"/>
      <c r="AB950" s="15"/>
      <c r="AD950" s="79"/>
      <c r="AE950" s="5" t="s">
        <v>27</v>
      </c>
      <c r="AF950" s="13">
        <f>AF1021</f>
        <v>317900</v>
      </c>
      <c r="AG950" s="13"/>
      <c r="AH950" s="13"/>
      <c r="AI950" s="5"/>
      <c r="AJ950" s="13"/>
      <c r="AK950" s="24"/>
      <c r="AL950" s="272" t="s">
        <v>29</v>
      </c>
      <c r="AM950" s="272"/>
      <c r="AN950" s="53">
        <f>(AI915+AK915)*AM915+(AI916+AK916)*AM916+(AI917+AK917)*AM917+(AI918+AK918)*AM918</f>
        <v>106542</v>
      </c>
      <c r="AO950" s="14"/>
      <c r="AP950" s="15"/>
      <c r="AQ950" s="2"/>
      <c r="AR950" s="79"/>
      <c r="AS950" s="5" t="s">
        <v>27</v>
      </c>
      <c r="AT950" s="13">
        <f>AT1021</f>
        <v>377900</v>
      </c>
      <c r="AU950" s="13"/>
      <c r="AV950" s="13"/>
      <c r="AW950" s="5"/>
      <c r="AX950" s="13"/>
      <c r="AY950" s="24"/>
      <c r="AZ950" s="272" t="s">
        <v>29</v>
      </c>
      <c r="BA950" s="272"/>
      <c r="BB950" s="53">
        <f>(AW915+AY915)*BA915+(AW916+AY916)*BA916+(AW917+AY917)*BA917+(AW918+AY918)*BA918</f>
        <v>57464</v>
      </c>
      <c r="BC950" s="14"/>
      <c r="BD950" s="15"/>
      <c r="BU950" s="16"/>
      <c r="BV950" s="37" t="s">
        <v>27</v>
      </c>
      <c r="BW950" s="13">
        <f>BW1021</f>
        <v>105600</v>
      </c>
      <c r="BX950" s="13"/>
      <c r="BY950" s="13"/>
      <c r="BZ950" s="5" t="s">
        <v>26</v>
      </c>
      <c r="CA950" s="13">
        <f>BW949-CA949</f>
        <v>44700</v>
      </c>
      <c r="CB950" s="36">
        <f>CA950/BW947</f>
        <v>0.42450142450142453</v>
      </c>
      <c r="CC950" s="36"/>
      <c r="CD950" s="14"/>
      <c r="CE950" s="14"/>
      <c r="CF950" s="14"/>
      <c r="CG950" s="15"/>
      <c r="CH950" s="1"/>
      <c r="CI950" s="16"/>
      <c r="CJ950" s="37" t="s">
        <v>27</v>
      </c>
      <c r="CK950" s="13">
        <f>CK1021</f>
        <v>87300</v>
      </c>
      <c r="CL950" s="13"/>
      <c r="CM950" s="13"/>
      <c r="CN950" s="5" t="s">
        <v>26</v>
      </c>
      <c r="CO950" s="13">
        <f>CK949-CO949</f>
        <v>35436</v>
      </c>
      <c r="CP950" s="36">
        <f>CO950/CK947</f>
        <v>0.44686002522068097</v>
      </c>
      <c r="CQ950" s="36"/>
      <c r="CR950" s="14"/>
      <c r="CS950" s="14"/>
      <c r="CT950" s="14"/>
      <c r="CU950" s="15"/>
      <c r="CV950" s="1"/>
      <c r="CW950" s="16"/>
      <c r="CX950" s="37" t="s">
        <v>27</v>
      </c>
      <c r="CY950" s="13">
        <f>CY1021</f>
        <v>52800</v>
      </c>
      <c r="CZ950" s="13"/>
      <c r="DA950" s="13"/>
      <c r="DB950" s="5" t="s">
        <v>26</v>
      </c>
      <c r="DC950" s="13">
        <f>CY949-DC949</f>
        <v>40440</v>
      </c>
      <c r="DD950" s="36">
        <f>DC950/CY947</f>
        <v>0.30314842578710643</v>
      </c>
      <c r="DE950" s="36"/>
      <c r="DF950" s="14"/>
      <c r="DG950" s="14"/>
      <c r="DH950" s="14"/>
      <c r="DI950" s="15"/>
      <c r="DJ950" s="1"/>
      <c r="DK950" s="16"/>
      <c r="DL950" s="37" t="s">
        <v>27</v>
      </c>
      <c r="DM950" s="13">
        <f>DM1021</f>
        <v>86800</v>
      </c>
      <c r="DN950" s="13"/>
      <c r="DO950" s="13"/>
      <c r="DP950" s="5" t="s">
        <v>26</v>
      </c>
      <c r="DQ950" s="13">
        <f>DM949-DQ949</f>
        <v>43080</v>
      </c>
      <c r="DR950" s="36">
        <f>DQ950/DM947</f>
        <v>0.44049079754601228</v>
      </c>
      <c r="DS950" s="36"/>
      <c r="DT950" s="14"/>
      <c r="DU950" s="14"/>
      <c r="DV950" s="14"/>
      <c r="DW950" s="15"/>
    </row>
    <row r="951" spans="1:127" ht="15" customHeight="1" x14ac:dyDescent="0.2">
      <c r="A951" s="273" t="s">
        <v>57</v>
      </c>
      <c r="B951" s="274"/>
      <c r="C951" s="273" t="s">
        <v>62</v>
      </c>
      <c r="D951" s="274"/>
      <c r="E951" s="273" t="s">
        <v>63</v>
      </c>
      <c r="F951" s="275"/>
      <c r="G951" s="5"/>
      <c r="H951" s="13"/>
      <c r="I951" s="24"/>
      <c r="J951" s="99"/>
      <c r="K951" s="102"/>
      <c r="L951" s="53"/>
      <c r="M951" s="14"/>
      <c r="N951" s="15"/>
      <c r="O951" s="2"/>
      <c r="P951" s="85"/>
      <c r="Q951" s="69"/>
      <c r="R951" s="13"/>
      <c r="S951" s="13"/>
      <c r="T951" s="13"/>
      <c r="U951" s="5"/>
      <c r="V951" s="13"/>
      <c r="W951" s="24"/>
      <c r="X951" s="99"/>
      <c r="Y951" s="102"/>
      <c r="Z951" s="53"/>
      <c r="AA951" s="14"/>
      <c r="AB951" s="15"/>
      <c r="AD951" s="85"/>
      <c r="AE951" s="69"/>
      <c r="AF951" s="13"/>
      <c r="AG951" s="13"/>
      <c r="AH951" s="13"/>
      <c r="AI951" s="5"/>
      <c r="AJ951" s="13"/>
      <c r="AK951" s="24"/>
      <c r="AL951" s="99"/>
      <c r="AM951" s="102"/>
      <c r="AN951" s="53"/>
      <c r="AO951" s="14"/>
      <c r="AP951" s="15"/>
      <c r="AQ951" s="2"/>
      <c r="AR951" s="85"/>
      <c r="AS951" s="69"/>
      <c r="AT951" s="13"/>
      <c r="AU951" s="13"/>
      <c r="AV951" s="13"/>
      <c r="AW951" s="5"/>
      <c r="AX951" s="13"/>
      <c r="AY951" s="24"/>
      <c r="AZ951" s="118"/>
      <c r="BA951" s="102"/>
      <c r="BB951" s="53"/>
      <c r="BC951" s="14"/>
      <c r="BD951" s="15"/>
      <c r="BU951" s="16"/>
      <c r="BV951" s="25"/>
      <c r="BW951" s="13"/>
      <c r="BX951" s="13"/>
      <c r="BY951" s="13"/>
      <c r="BZ951" s="263" t="s">
        <v>29</v>
      </c>
      <c r="CA951" s="264"/>
      <c r="CB951" s="13">
        <f>(BZ900+CB900)*CD900</f>
        <v>0</v>
      </c>
      <c r="CC951" s="13"/>
      <c r="CD951" s="14"/>
      <c r="CE951" s="14"/>
      <c r="CF951" s="14"/>
      <c r="CG951" s="15"/>
      <c r="CH951" s="1"/>
      <c r="CI951" s="16"/>
      <c r="CJ951" s="25"/>
      <c r="CK951" s="13"/>
      <c r="CL951" s="13"/>
      <c r="CM951" s="13"/>
      <c r="CN951" s="263" t="s">
        <v>29</v>
      </c>
      <c r="CO951" s="264"/>
      <c r="CP951" s="13">
        <f>(CN900+CP900)*CR900</f>
        <v>0</v>
      </c>
      <c r="CQ951" s="13"/>
      <c r="CR951" s="14"/>
      <c r="CS951" s="14"/>
      <c r="CT951" s="14"/>
      <c r="CU951" s="15"/>
      <c r="CV951" s="1"/>
      <c r="CW951" s="16"/>
      <c r="CX951" s="25"/>
      <c r="CY951" s="13"/>
      <c r="CZ951" s="13"/>
      <c r="DA951" s="13"/>
      <c r="DB951" s="263" t="s">
        <v>29</v>
      </c>
      <c r="DC951" s="264"/>
      <c r="DD951" s="13">
        <f>(DB900+DD900)*DF900</f>
        <v>0</v>
      </c>
      <c r="DE951" s="13"/>
      <c r="DF951" s="14"/>
      <c r="DG951" s="14"/>
      <c r="DH951" s="14"/>
      <c r="DI951" s="15"/>
      <c r="DJ951" s="1"/>
      <c r="DK951" s="16"/>
      <c r="DL951" s="25"/>
      <c r="DM951" s="13"/>
      <c r="DN951" s="13"/>
      <c r="DO951" s="13"/>
      <c r="DP951" s="263" t="s">
        <v>29</v>
      </c>
      <c r="DQ951" s="264"/>
      <c r="DR951" s="13">
        <f>(DP900+DR900)*DT900</f>
        <v>0</v>
      </c>
      <c r="DS951" s="13"/>
      <c r="DT951" s="14"/>
      <c r="DU951" s="14"/>
      <c r="DV951" s="14"/>
      <c r="DW951" s="15"/>
    </row>
    <row r="952" spans="1:127" ht="15" customHeight="1" x14ac:dyDescent="0.2">
      <c r="A952" s="283">
        <f>E948+S948+AG948+AU948+BX948+CL948+CZ948+DN948</f>
        <v>1611800</v>
      </c>
      <c r="B952" s="284"/>
      <c r="C952" s="267">
        <f>L947+Z947+AN947+BB947</f>
        <v>300347</v>
      </c>
      <c r="D952" s="268"/>
      <c r="E952" s="267">
        <f>L950+Z950+AN950+BB950</f>
        <v>259624</v>
      </c>
      <c r="F952" s="268"/>
      <c r="G952" s="5"/>
      <c r="H952" s="13"/>
      <c r="I952" s="24"/>
      <c r="J952" s="99"/>
      <c r="K952" s="102"/>
      <c r="L952" s="53"/>
      <c r="M952" s="14"/>
      <c r="N952" s="15"/>
      <c r="O952" s="2"/>
      <c r="P952" s="85"/>
      <c r="Q952" s="69"/>
      <c r="R952" s="13"/>
      <c r="S952" s="13"/>
      <c r="T952" s="13"/>
      <c r="U952" s="5"/>
      <c r="V952" s="13"/>
      <c r="W952" s="24"/>
      <c r="X952" s="99"/>
      <c r="Y952" s="102"/>
      <c r="Z952" s="53"/>
      <c r="AA952" s="14"/>
      <c r="AB952" s="15"/>
      <c r="AD952" s="85"/>
      <c r="AE952" s="69"/>
      <c r="AF952" s="13"/>
      <c r="AG952" s="13"/>
      <c r="AH952" s="13"/>
      <c r="AI952" s="5"/>
      <c r="AJ952" s="13"/>
      <c r="AK952" s="24"/>
      <c r="AL952" s="99"/>
      <c r="AM952" s="102"/>
      <c r="AN952" s="53"/>
      <c r="AO952" s="14"/>
      <c r="AP952" s="15"/>
      <c r="AQ952" s="2"/>
      <c r="AR952" s="85"/>
      <c r="AS952" s="69"/>
      <c r="AT952" s="13"/>
      <c r="AU952" s="13"/>
      <c r="AV952" s="13"/>
      <c r="AW952" s="5"/>
      <c r="AX952" s="13"/>
      <c r="AY952" s="24"/>
      <c r="AZ952" s="118"/>
      <c r="BA952" s="102"/>
      <c r="BB952" s="53"/>
      <c r="BC952" s="14"/>
      <c r="BD952" s="15"/>
      <c r="BU952" s="16"/>
      <c r="BV952" s="25"/>
      <c r="BW952" s="13"/>
      <c r="BX952" s="13"/>
      <c r="BY952" s="13"/>
      <c r="BZ952" s="5"/>
      <c r="CA952" s="13"/>
      <c r="CB952" s="13"/>
      <c r="CC952" s="13"/>
      <c r="CD952" s="14"/>
      <c r="CE952" s="14"/>
      <c r="CF952" s="14"/>
      <c r="CG952" s="15"/>
      <c r="CH952" s="1"/>
      <c r="CI952" s="16"/>
      <c r="CJ952" s="25"/>
      <c r="CK952" s="13"/>
      <c r="CL952" s="13"/>
      <c r="CM952" s="13"/>
      <c r="CN952" s="5"/>
      <c r="CO952" s="13"/>
      <c r="CP952" s="13"/>
      <c r="CQ952" s="13"/>
      <c r="CR952" s="14"/>
      <c r="CS952" s="14"/>
      <c r="CT952" s="14"/>
      <c r="CU952" s="15"/>
      <c r="CV952" s="1"/>
      <c r="CW952" s="16"/>
      <c r="CX952" s="25"/>
      <c r="CY952" s="13"/>
      <c r="CZ952" s="13"/>
      <c r="DA952" s="13"/>
      <c r="DB952" s="5"/>
      <c r="DC952" s="13"/>
      <c r="DD952" s="13"/>
      <c r="DE952" s="13"/>
      <c r="DF952" s="14"/>
      <c r="DG952" s="14"/>
      <c r="DH952" s="14"/>
      <c r="DI952" s="15"/>
      <c r="DJ952" s="1"/>
      <c r="DK952" s="16"/>
      <c r="DL952" s="25"/>
      <c r="DM952" s="13"/>
      <c r="DN952" s="13"/>
      <c r="DO952" s="13"/>
      <c r="DP952" s="5"/>
      <c r="DQ952" s="13"/>
      <c r="DR952" s="13"/>
      <c r="DS952" s="13"/>
      <c r="DT952" s="14"/>
      <c r="DU952" s="14"/>
      <c r="DV952" s="14"/>
      <c r="DW952" s="15"/>
    </row>
    <row r="953" spans="1:127" ht="15" customHeight="1" x14ac:dyDescent="0.2">
      <c r="A953" s="95"/>
      <c r="B953" s="97"/>
      <c r="C953" s="98"/>
      <c r="D953" s="106">
        <f>C952/A952</f>
        <v>0.18634259833726269</v>
      </c>
      <c r="E953" s="104"/>
      <c r="F953" s="96"/>
      <c r="G953" s="5"/>
      <c r="H953" s="13"/>
      <c r="I953" s="24"/>
      <c r="J953" s="99"/>
      <c r="K953" s="102"/>
      <c r="L953" s="53"/>
      <c r="M953" s="14"/>
      <c r="N953" s="15"/>
      <c r="O953" s="2"/>
      <c r="P953" s="85"/>
      <c r="Q953" s="69"/>
      <c r="R953" s="13"/>
      <c r="S953" s="13"/>
      <c r="T953" s="13"/>
      <c r="U953" s="5"/>
      <c r="V953" s="13"/>
      <c r="W953" s="24"/>
      <c r="X953" s="99"/>
      <c r="Y953" s="102"/>
      <c r="Z953" s="53"/>
      <c r="AA953" s="14"/>
      <c r="AB953" s="15"/>
      <c r="AD953" s="85"/>
      <c r="AE953" s="69"/>
      <c r="AF953" s="13"/>
      <c r="AG953" s="13"/>
      <c r="AH953" s="13"/>
      <c r="AI953" s="5"/>
      <c r="AJ953" s="13"/>
      <c r="AK953" s="24"/>
      <c r="AL953" s="99"/>
      <c r="AM953" s="102"/>
      <c r="AN953" s="53"/>
      <c r="AO953" s="14"/>
      <c r="AP953" s="15"/>
      <c r="AQ953" s="2"/>
      <c r="AR953" s="85"/>
      <c r="AS953" s="69"/>
      <c r="AT953" s="13"/>
      <c r="AU953" s="13"/>
      <c r="AV953" s="13"/>
      <c r="AW953" s="5"/>
      <c r="AX953" s="13"/>
      <c r="AY953" s="24"/>
      <c r="AZ953" s="118"/>
      <c r="BA953" s="102"/>
      <c r="BB953" s="53"/>
      <c r="BC953" s="14"/>
      <c r="BD953" s="15"/>
      <c r="BU953" s="16"/>
      <c r="BV953" s="25"/>
      <c r="BW953" s="13"/>
      <c r="BX953" s="13"/>
      <c r="BY953" s="13"/>
      <c r="BZ953" s="5"/>
      <c r="CA953" s="13"/>
      <c r="CB953" s="36"/>
      <c r="CC953" s="36"/>
      <c r="CD953" s="13"/>
      <c r="CE953" s="13"/>
      <c r="CF953" s="13"/>
      <c r="CG953" s="15"/>
      <c r="CH953" s="1"/>
      <c r="CI953" s="16"/>
      <c r="CJ953" s="25"/>
      <c r="CK953" s="13"/>
      <c r="CL953" s="13"/>
      <c r="CM953" s="13"/>
      <c r="CN953" s="5"/>
      <c r="CO953" s="13"/>
      <c r="CP953" s="36"/>
      <c r="CQ953" s="36"/>
      <c r="CR953" s="13"/>
      <c r="CS953" s="13"/>
      <c r="CT953" s="13"/>
      <c r="CU953" s="15"/>
      <c r="CV953" s="1"/>
      <c r="CW953" s="16"/>
      <c r="CX953" s="25"/>
      <c r="CY953" s="13"/>
      <c r="CZ953" s="13"/>
      <c r="DA953" s="13"/>
      <c r="DB953" s="5"/>
      <c r="DC953" s="13"/>
      <c r="DD953" s="36"/>
      <c r="DE953" s="36"/>
      <c r="DF953" s="13"/>
      <c r="DG953" s="13"/>
      <c r="DH953" s="13"/>
      <c r="DI953" s="15"/>
      <c r="DJ953" s="1"/>
      <c r="DK953" s="16"/>
      <c r="DL953" s="25"/>
      <c r="DM953" s="13"/>
      <c r="DN953" s="13"/>
      <c r="DO953" s="13"/>
      <c r="DP953" s="5"/>
      <c r="DQ953" s="13"/>
      <c r="DR953" s="36"/>
      <c r="DS953" s="36"/>
      <c r="DT953" s="13"/>
      <c r="DU953" s="13"/>
      <c r="DV953" s="13"/>
      <c r="DW953" s="15"/>
    </row>
    <row r="954" spans="1:127" ht="15" customHeight="1" x14ac:dyDescent="0.2">
      <c r="A954" s="95"/>
      <c r="B954" s="97"/>
      <c r="C954" s="98"/>
      <c r="D954" s="96"/>
      <c r="E954" s="5"/>
      <c r="F954" s="13"/>
      <c r="G954" s="5"/>
      <c r="H954" s="13"/>
      <c r="I954" s="13"/>
      <c r="J954" s="68"/>
      <c r="K954" s="82"/>
      <c r="L954" s="14"/>
      <c r="M954" s="14"/>
      <c r="N954" s="15"/>
      <c r="O954" s="2"/>
      <c r="P954" s="86"/>
      <c r="Q954" s="54"/>
      <c r="R954" s="13"/>
      <c r="S954" s="5"/>
      <c r="T954" s="13"/>
      <c r="U954" s="5"/>
      <c r="V954" s="13"/>
      <c r="W954" s="13"/>
      <c r="X954" s="52"/>
      <c r="Y954" s="82"/>
      <c r="Z954" s="14"/>
      <c r="AA954" s="14"/>
      <c r="AB954" s="15"/>
      <c r="AD954" s="86"/>
      <c r="AE954" s="54"/>
      <c r="AF954" s="13"/>
      <c r="AG954" s="5"/>
      <c r="AH954" s="13"/>
      <c r="AI954" s="5"/>
      <c r="AJ954" s="13"/>
      <c r="AK954" s="13"/>
      <c r="AL954" s="68"/>
      <c r="AM954" s="82"/>
      <c r="AN954" s="14"/>
      <c r="AO954" s="14"/>
      <c r="AP954" s="15"/>
      <c r="AQ954" s="2"/>
      <c r="AR954" s="86"/>
      <c r="AS954" s="54"/>
      <c r="AT954" s="13"/>
      <c r="AU954" s="5"/>
      <c r="AV954" s="13"/>
      <c r="AW954" s="5"/>
      <c r="AX954" s="13"/>
      <c r="AY954" s="13"/>
      <c r="AZ954" s="68"/>
      <c r="BA954" s="82"/>
      <c r="BB954" s="14"/>
      <c r="BC954" s="14"/>
      <c r="BD954" s="15"/>
      <c r="BU954" s="16"/>
      <c r="BV954" s="13"/>
      <c r="BW954" s="13"/>
      <c r="BX954" s="13"/>
      <c r="BY954" s="13"/>
      <c r="BZ954" s="5"/>
      <c r="CA954" s="13"/>
      <c r="CB954" s="36"/>
      <c r="CC954" s="36"/>
      <c r="CD954" s="13"/>
      <c r="CE954" s="13"/>
      <c r="CF954" s="13"/>
      <c r="CG954" s="15"/>
      <c r="CH954" s="1"/>
      <c r="CI954" s="16"/>
      <c r="CJ954" s="13"/>
      <c r="CK954" s="13"/>
      <c r="CL954" s="13"/>
      <c r="CM954" s="13"/>
      <c r="CN954" s="5"/>
      <c r="CO954" s="13"/>
      <c r="CP954" s="36"/>
      <c r="CQ954" s="36"/>
      <c r="CR954" s="13"/>
      <c r="CS954" s="13"/>
      <c r="CT954" s="13"/>
      <c r="CU954" s="15"/>
      <c r="CV954" s="1"/>
      <c r="CW954" s="16"/>
      <c r="CX954" s="13"/>
      <c r="CY954" s="13"/>
      <c r="CZ954" s="13"/>
      <c r="DA954" s="13"/>
      <c r="DB954" s="5"/>
      <c r="DC954" s="13"/>
      <c r="DD954" s="36"/>
      <c r="DE954" s="36"/>
      <c r="DF954" s="13"/>
      <c r="DG954" s="13"/>
      <c r="DH954" s="13"/>
      <c r="DI954" s="15"/>
      <c r="DJ954" s="1"/>
      <c r="DK954" s="16"/>
      <c r="DL954" s="13"/>
      <c r="DM954" s="13"/>
      <c r="DN954" s="13"/>
      <c r="DO954" s="13"/>
      <c r="DP954" s="5"/>
      <c r="DQ954" s="13"/>
      <c r="DR954" s="36"/>
      <c r="DS954" s="36"/>
      <c r="DT954" s="13"/>
      <c r="DU954" s="13"/>
      <c r="DV954" s="13"/>
      <c r="DW954" s="15"/>
    </row>
    <row r="955" spans="1:127" ht="15" customHeight="1" x14ac:dyDescent="0.2">
      <c r="A955" s="258" t="s">
        <v>28</v>
      </c>
      <c r="B955" s="260"/>
      <c r="C955" s="259"/>
      <c r="D955" s="38">
        <f>SUM(D891,D895,D899,D903,D907,D911,D915,D919,D923,D927,D931,D935,D939)*100</f>
        <v>87300</v>
      </c>
      <c r="E955" s="54"/>
      <c r="F955" s="13"/>
      <c r="G955" s="5">
        <f>D955/H955</f>
        <v>3795.6521739130435</v>
      </c>
      <c r="H955" s="38">
        <f>SUM(H891,H895,H899,H903,H907,H911,H916,H919,H923,H927,H931,H935,H939)</f>
        <v>23</v>
      </c>
      <c r="I955" s="13"/>
      <c r="J955" s="75" t="str">
        <f t="shared" ref="J955:K955" si="1463">J891</f>
        <v>ジャグラーサウンドボタン</v>
      </c>
      <c r="K955" s="76">
        <f t="shared" si="1463"/>
        <v>748</v>
      </c>
      <c r="L955" s="38">
        <f>SUM(L891,L895,L899,L903,L907,L911,L916,L919,L923,L927,L931,L935,L939)</f>
        <v>17204</v>
      </c>
      <c r="M955" s="36">
        <f>L955/D955</f>
        <v>0.19706758304696448</v>
      </c>
      <c r="N955" s="15"/>
      <c r="O955" s="2"/>
      <c r="P955" s="258" t="s">
        <v>28</v>
      </c>
      <c r="Q955" s="259"/>
      <c r="R955" s="38">
        <f>SUM(R891,R895,R899,R903,R907,R911,R916,R919,R923,R927,R931,R935,R939)*100</f>
        <v>75700</v>
      </c>
      <c r="S955" s="54"/>
      <c r="T955" s="13"/>
      <c r="U955" s="5">
        <f>R955/V955</f>
        <v>3604.7619047619046</v>
      </c>
      <c r="V955" s="38">
        <f>SUM(V891,V895,V899,V903,V907,V911,V916,V919,V923,V927,V931,V935,V939)</f>
        <v>21</v>
      </c>
      <c r="W955" s="13"/>
      <c r="X955" s="78" t="str">
        <f t="shared" ref="X955:Y955" si="1464">X891</f>
        <v>じゃがりこイヤホン</v>
      </c>
      <c r="Y955" s="76">
        <f t="shared" si="1464"/>
        <v>1100</v>
      </c>
      <c r="Z955" s="38">
        <f>SUM(Z891,Z895,Z899,Z903,Z907,Z911,Z916,Z919,Z923,Z927,Z931,Z935,Z939)</f>
        <v>18700</v>
      </c>
      <c r="AA955" s="36">
        <f>Z955/R955</f>
        <v>0.24702774108322326</v>
      </c>
      <c r="AB955" s="15"/>
      <c r="AC955" s="23"/>
      <c r="AD955" s="258" t="s">
        <v>28</v>
      </c>
      <c r="AE955" s="259"/>
      <c r="AF955" s="38">
        <f>SUM(AF891,AF895,AF899,AF903,AF907,AF911,AF915,AF919,AF923,AF927,AF931,AF935,AF939)*100</f>
        <v>59100</v>
      </c>
      <c r="AG955" s="54"/>
      <c r="AH955" s="13"/>
      <c r="AI955" s="5">
        <f>AF955/AJ955</f>
        <v>8442.8571428571431</v>
      </c>
      <c r="AJ955" s="38">
        <f>SUM(AJ891,AJ895,AJ899,AJ903,AJ907,AJ911,AJ916,AJ919,AJ923,AJ927,AJ931,AJ935,AJ939)</f>
        <v>7</v>
      </c>
      <c r="AK955" s="13"/>
      <c r="AL955" s="75" t="str">
        <f t="shared" ref="AL955:AM955" si="1465">AL891</f>
        <v>ミニ香水</v>
      </c>
      <c r="AM955" s="76">
        <f t="shared" si="1465"/>
        <v>1100</v>
      </c>
      <c r="AN955" s="38">
        <f>SUM(AN891,AN895,AN899,AN903,AN907,AN911,AN916,AN919,AN923,AN927,AN931,AN935,AN939)</f>
        <v>7700</v>
      </c>
      <c r="AO955" s="36">
        <f>AN955/AF955</f>
        <v>0.13028764805414553</v>
      </c>
      <c r="AP955" s="15"/>
      <c r="AQ955" s="2"/>
      <c r="AR955" s="258" t="s">
        <v>28</v>
      </c>
      <c r="AS955" s="259"/>
      <c r="AT955" s="38">
        <f>SUM(AT891,AT895,AT899,AT903,AT907,AT911,AT916,AT919,AT923,AT927,AT931,AT935,AT939)*100</f>
        <v>79000</v>
      </c>
      <c r="AU955" s="54"/>
      <c r="AV955" s="13"/>
      <c r="AW955" s="5">
        <f>AT955/AX955</f>
        <v>1161.7647058823529</v>
      </c>
      <c r="AX955" s="38">
        <f>SUM(AX891,AX895,AX899,AX903,AX907,AX911,AX916,AX919,AX923,AX927,AX931,AX935,AX939)</f>
        <v>68</v>
      </c>
      <c r="AY955" s="13"/>
      <c r="AZ955" s="75" t="str">
        <f t="shared" ref="AZ955:BA955" si="1466">AZ891</f>
        <v>ロムアンド</v>
      </c>
      <c r="BA955" s="76">
        <f t="shared" si="1466"/>
        <v>1001</v>
      </c>
      <c r="BB955" s="38">
        <f>SUM(BB891,BB895,BB899,BB903,BB907,BB911,BB916,BB919,BB923,BB927,BB931,BB935,BB939)</f>
        <v>59053</v>
      </c>
      <c r="BC955" s="36">
        <f>BB955/AT955</f>
        <v>0.74750632911392401</v>
      </c>
      <c r="BD955" s="15"/>
      <c r="BU955" s="16"/>
      <c r="BV955" s="270"/>
      <c r="BW955" s="270"/>
      <c r="BX955" s="10"/>
      <c r="BY955" s="13"/>
      <c r="BZ955" s="5"/>
      <c r="CA955" s="13"/>
      <c r="CB955" s="36"/>
      <c r="CC955" s="36"/>
      <c r="CD955" s="13"/>
      <c r="CE955" s="13"/>
      <c r="CF955" s="13"/>
      <c r="CG955" s="15"/>
      <c r="CH955" s="1"/>
      <c r="CI955" s="16"/>
      <c r="CJ955" s="270"/>
      <c r="CK955" s="270"/>
      <c r="CL955" s="10"/>
      <c r="CM955" s="13"/>
      <c r="CN955" s="5"/>
      <c r="CO955" s="13"/>
      <c r="CP955" s="36"/>
      <c r="CQ955" s="36"/>
      <c r="CR955" s="13"/>
      <c r="CS955" s="13"/>
      <c r="CT955" s="13"/>
      <c r="CU955" s="15"/>
      <c r="CV955" s="1"/>
      <c r="CW955" s="16"/>
      <c r="CX955" s="270"/>
      <c r="CY955" s="270"/>
      <c r="CZ955" s="10"/>
      <c r="DA955" s="13"/>
      <c r="DB955" s="5"/>
      <c r="DC955" s="13"/>
      <c r="DD955" s="36"/>
      <c r="DE955" s="36"/>
      <c r="DF955" s="13"/>
      <c r="DG955" s="13"/>
      <c r="DH955" s="13"/>
      <c r="DI955" s="15"/>
      <c r="DJ955" s="1"/>
      <c r="DK955" s="16"/>
      <c r="DL955" s="270"/>
      <c r="DM955" s="270"/>
      <c r="DN955" s="10"/>
      <c r="DO955" s="13"/>
      <c r="DP955" s="5"/>
      <c r="DQ955" s="13"/>
      <c r="DR955" s="36"/>
      <c r="DS955" s="36"/>
      <c r="DT955" s="13"/>
      <c r="DU955" s="13"/>
      <c r="DV955" s="13"/>
      <c r="DW955" s="15"/>
    </row>
    <row r="956" spans="1:127" x14ac:dyDescent="0.2">
      <c r="A956" s="258" t="s">
        <v>28</v>
      </c>
      <c r="B956" s="260"/>
      <c r="C956" s="259"/>
      <c r="D956" s="38">
        <f>SUM(D892,D896,D900,D904,D908,D912,D916,D920,D924,D928,D932,D936,D940)*100</f>
        <v>66700</v>
      </c>
      <c r="E956" s="54"/>
      <c r="F956" s="13"/>
      <c r="G956" s="5">
        <f>D956/H956</f>
        <v>5130.7692307692305</v>
      </c>
      <c r="H956" s="38">
        <f>SUM(H892,H896,H900,H904,H908,H912,H915,H920,H924,H928,H932,H936,H940)</f>
        <v>13</v>
      </c>
      <c r="I956" s="13"/>
      <c r="J956" s="75" t="str">
        <f t="shared" ref="J956:K956" si="1467">J892</f>
        <v>ゴールドイヤホン</v>
      </c>
      <c r="K956" s="76">
        <f t="shared" si="1467"/>
        <v>770</v>
      </c>
      <c r="L956" s="38">
        <f>SUM(L892,L896,L900,L904,L908,L912,L915,L920,L924,L928,L932,L936,L940)</f>
        <v>12936</v>
      </c>
      <c r="M956" s="36">
        <f>L956/D956</f>
        <v>0.19394302848575712</v>
      </c>
      <c r="N956" s="15"/>
      <c r="O956" s="2"/>
      <c r="P956" s="258" t="s">
        <v>28</v>
      </c>
      <c r="Q956" s="259"/>
      <c r="R956" s="38">
        <f>SUM(R892,R896,R900,R904,R908,R912,R915,R920,R924,R928,R932,R936,R940)*100</f>
        <v>109800</v>
      </c>
      <c r="S956" s="54"/>
      <c r="T956" s="13"/>
      <c r="U956" s="5">
        <f>R956/V956</f>
        <v>3327.2727272727275</v>
      </c>
      <c r="V956" s="38">
        <f>SUM(V892,V896,V900,V904,V908,V912,V915,V920,V924,V928,V932,V936,V940)</f>
        <v>33</v>
      </c>
      <c r="W956" s="13"/>
      <c r="X956" s="78" t="str">
        <f t="shared" ref="X956:Y956" si="1468">X892</f>
        <v>サンリオFAN</v>
      </c>
      <c r="Y956" s="76">
        <f t="shared" si="1468"/>
        <v>1100</v>
      </c>
      <c r="Z956" s="38">
        <f>SUM(Z892,Z896,Z900,Z904,Z908,Z912,Z915,Z920,Z924,Z928,Z932,Z936,Z940)</f>
        <v>36300</v>
      </c>
      <c r="AA956" s="36">
        <f>Z956/R956</f>
        <v>0.33060109289617484</v>
      </c>
      <c r="AB956" s="15"/>
      <c r="AC956" s="1"/>
      <c r="AD956" s="258" t="s">
        <v>28</v>
      </c>
      <c r="AE956" s="259"/>
      <c r="AF956" s="38">
        <f>SUM(AF892,AF896,AF900,AF904,AF908,AF912,AF916,AF920,AF924,AF928,AF932,AF936,AF940)*100</f>
        <v>77700</v>
      </c>
      <c r="AG956" s="54"/>
      <c r="AH956" s="13"/>
      <c r="AI956" s="5">
        <f>AF956/AJ956</f>
        <v>6475</v>
      </c>
      <c r="AJ956" s="38">
        <f>SUM(AJ892,AJ896,AJ900,AJ904,AJ908,AJ912,AJ915,AJ920,AJ924,AJ928,AJ932,AJ936,AJ940)</f>
        <v>12</v>
      </c>
      <c r="AK956" s="13"/>
      <c r="AL956" s="75" t="str">
        <f t="shared" ref="AL956:AM956" si="1469">AL892</f>
        <v>デジタルミニカメラ</v>
      </c>
      <c r="AM956" s="76">
        <f t="shared" si="1469"/>
        <v>800</v>
      </c>
      <c r="AN956" s="38">
        <f>SUM(AN892,AN896,AN900,AN904,AN908,AN912,AN915,AN920,AN924,AN928,AN932,AN936,AN940)</f>
        <v>9900</v>
      </c>
      <c r="AO956" s="36">
        <f>AN956/AF956</f>
        <v>0.12741312741312741</v>
      </c>
      <c r="AP956" s="15"/>
      <c r="AQ956" s="2"/>
      <c r="AR956" s="258" t="s">
        <v>28</v>
      </c>
      <c r="AS956" s="259"/>
      <c r="AT956" s="38">
        <f>SUM(AT892,AT896,AT900,AT904,AT908,AT912,AT915,AT920,AT924,AT928,AT932,AT936,AT940)*100</f>
        <v>69800</v>
      </c>
      <c r="AU956" s="54"/>
      <c r="AV956" s="13"/>
      <c r="AW956" s="5">
        <f>AT956/AX956</f>
        <v>1090.625</v>
      </c>
      <c r="AX956" s="38">
        <f>SUM(AX892,AX896,AX900,AX904,AX908,AX912,AX915,AX920,AX924,AX928,AX932,AX936,AX940)</f>
        <v>64</v>
      </c>
      <c r="AY956" s="13"/>
      <c r="AZ956" s="75" t="str">
        <f t="shared" ref="AZ956:BA956" si="1470">AZ892</f>
        <v>サンリオシューズキーホルダー</v>
      </c>
      <c r="BA956" s="76">
        <f t="shared" si="1470"/>
        <v>400</v>
      </c>
      <c r="BB956" s="38">
        <f>SUM(BB892,BB896,BB900,BB904,BB908,BB912,BB915,BB920,BB924,BB928,BB932,BB936,BB940)</f>
        <v>28004</v>
      </c>
      <c r="BC956" s="36">
        <f>BB956/AT956</f>
        <v>0.40120343839541545</v>
      </c>
      <c r="BD956" s="15"/>
      <c r="BU956" s="16"/>
      <c r="BV956" s="270"/>
      <c r="BW956" s="270"/>
      <c r="BX956" s="13"/>
      <c r="BY956" s="13"/>
      <c r="BZ956" s="5"/>
      <c r="CA956" s="13"/>
      <c r="CB956" s="36"/>
      <c r="CC956" s="36"/>
      <c r="CD956" s="14"/>
      <c r="CE956" s="14"/>
      <c r="CF956" s="14"/>
      <c r="CG956" s="15"/>
      <c r="CH956" s="1"/>
      <c r="CI956" s="16"/>
      <c r="CJ956" s="270"/>
      <c r="CK956" s="270"/>
      <c r="CL956" s="13"/>
      <c r="CM956" s="13"/>
      <c r="CN956" s="5"/>
      <c r="CO956" s="13"/>
      <c r="CP956" s="36"/>
      <c r="CQ956" s="36"/>
      <c r="CR956" s="14"/>
      <c r="CS956" s="14"/>
      <c r="CT956" s="14"/>
      <c r="CU956" s="15"/>
      <c r="CV956" s="1"/>
      <c r="CW956" s="16"/>
      <c r="CX956" s="270"/>
      <c r="CY956" s="270"/>
      <c r="CZ956" s="13"/>
      <c r="DA956" s="13"/>
      <c r="DB956" s="5"/>
      <c r="DC956" s="13"/>
      <c r="DD956" s="36"/>
      <c r="DE956" s="36"/>
      <c r="DF956" s="14"/>
      <c r="DG956" s="14"/>
      <c r="DH956" s="14"/>
      <c r="DI956" s="15"/>
      <c r="DJ956" s="1"/>
      <c r="DK956" s="16"/>
      <c r="DL956" s="270"/>
      <c r="DM956" s="270"/>
      <c r="DN956" s="13"/>
      <c r="DO956" s="13"/>
      <c r="DP956" s="5"/>
      <c r="DQ956" s="13"/>
      <c r="DR956" s="36"/>
      <c r="DS956" s="36"/>
      <c r="DT956" s="14"/>
      <c r="DU956" s="14"/>
      <c r="DV956" s="14"/>
      <c r="DW956" s="15"/>
    </row>
    <row r="957" spans="1:127" x14ac:dyDescent="0.2">
      <c r="A957" s="258" t="s">
        <v>28</v>
      </c>
      <c r="B957" s="260"/>
      <c r="C957" s="259"/>
      <c r="D957" s="38">
        <f>SUM(D893,D897,D901,D905,D909,D913,D917,D921,D925,D929,D933,D937,D941)*100</f>
        <v>62500</v>
      </c>
      <c r="E957" s="54"/>
      <c r="F957" s="13"/>
      <c r="G957" s="5">
        <f>D957/H957</f>
        <v>2083.3333333333335</v>
      </c>
      <c r="H957" s="38">
        <f>SUM(H893,H897,H901,H906,H909,H913,H917,H921,H925,H929,H933,H937,H941)</f>
        <v>30</v>
      </c>
      <c r="I957" s="13"/>
      <c r="J957" s="75" t="str">
        <f t="shared" ref="J957:K957" si="1471">J893</f>
        <v>グミッツェルプチ</v>
      </c>
      <c r="K957" s="76">
        <f t="shared" si="1471"/>
        <v>180</v>
      </c>
      <c r="L957" s="38">
        <f>SUM(L893,L897,L901,L906,L909,L913,L917,L921,L925,L929,L933,L937,L941)</f>
        <v>8412</v>
      </c>
      <c r="M957" s="36">
        <f>L957/D957</f>
        <v>0.13459199999999999</v>
      </c>
      <c r="N957" s="15"/>
      <c r="O957" s="2"/>
      <c r="P957" s="258" t="s">
        <v>28</v>
      </c>
      <c r="Q957" s="259"/>
      <c r="R957" s="38">
        <f>SUM(R893,R897,R901,R905,R909,R913,R917,R921,R925,R929,R933,R937,R941)*100</f>
        <v>42900</v>
      </c>
      <c r="S957" s="54"/>
      <c r="T957" s="13"/>
      <c r="U957" s="5">
        <f>R957/V957</f>
        <v>780</v>
      </c>
      <c r="V957" s="38">
        <f>SUM(V893,V897,V901,V906,V909,V913,V917,V921,V925,V929,V933,V937,V941)</f>
        <v>55</v>
      </c>
      <c r="W957" s="13"/>
      <c r="X957" s="78" t="str">
        <f t="shared" ref="X957:Y957" si="1472">X893</f>
        <v>グミッツェル</v>
      </c>
      <c r="Y957" s="76">
        <f t="shared" si="1472"/>
        <v>165</v>
      </c>
      <c r="Z957" s="38">
        <f>SUM(Z893,Z897,Z901,Z906,Z909,Z913,Z917,Z921,Z925,Z929,Z933,Z937,Z941)</f>
        <v>7635</v>
      </c>
      <c r="AA957" s="36">
        <f>Z957/R957</f>
        <v>0.17797202797202796</v>
      </c>
      <c r="AB957" s="15"/>
      <c r="AC957" s="1"/>
      <c r="AD957" s="258" t="s">
        <v>28</v>
      </c>
      <c r="AE957" s="259"/>
      <c r="AF957" s="38">
        <f>SUM(AF893,AF897,AF901,AF905,AF909,AF913,AF917,AF921,AF925,AF929,AF933,AF937,AF941)*100</f>
        <v>49900</v>
      </c>
      <c r="AG957" s="54"/>
      <c r="AH957" s="13"/>
      <c r="AI957" s="5">
        <f>AF957/AJ957</f>
        <v>2079.1666666666665</v>
      </c>
      <c r="AJ957" s="38">
        <f>SUM(AJ893,AJ897,AJ901,AJ906,AJ909,AJ913,AJ917,AJ921,AJ925,AJ929,AJ933,AJ937,AJ941)</f>
        <v>24</v>
      </c>
      <c r="AK957" s="13"/>
      <c r="AL957" s="75" t="str">
        <f t="shared" ref="AL957:AM957" si="1473">AL893</f>
        <v>ピクミン引っこ抜き</v>
      </c>
      <c r="AM957" s="76">
        <f t="shared" si="1473"/>
        <v>650</v>
      </c>
      <c r="AN957" s="38">
        <f>SUM(AN893,AN897,AN901,AN906,AN909,AN913,AN917,AN921,AN925,AN929,AN933,AN937,AN941)</f>
        <v>13000</v>
      </c>
      <c r="AO957" s="36">
        <f>AN957/AF957</f>
        <v>0.26052104208416832</v>
      </c>
      <c r="AP957" s="15"/>
      <c r="AQ957" s="2"/>
      <c r="AR957" s="258" t="s">
        <v>28</v>
      </c>
      <c r="AS957" s="259"/>
      <c r="AT957" s="38">
        <f>SUM(AT893,AT897,AT901,AT905,AT909,AT913,AT917,AT921,AT925,AT929,AT933,AT937,AT941)*100</f>
        <v>109100</v>
      </c>
      <c r="AU957" s="54"/>
      <c r="AV957" s="13"/>
      <c r="AW957" s="5">
        <f>AT957/AX957</f>
        <v>1198.901098901099</v>
      </c>
      <c r="AX957" s="38">
        <f>SUM(AX893,AX897,AX901,AX906,AX909,AX913,AX917,AX921,AX925,AX929,AX933,AX937,AX941)</f>
        <v>91</v>
      </c>
      <c r="AY957" s="13"/>
      <c r="AZ957" s="75" t="str">
        <f t="shared" ref="AZ957:BA957" si="1474">AZ893</f>
        <v>スプランキーラバーキーホルダー</v>
      </c>
      <c r="BA957" s="76">
        <f t="shared" si="1474"/>
        <v>200</v>
      </c>
      <c r="BB957" s="38">
        <f>SUM(BB893,BB897,BB901,BB906,BB909,BB913,BB917,BB921,BB925,BB929,BB933,BB937,BB941)</f>
        <v>17940</v>
      </c>
      <c r="BC957" s="36">
        <f>BB957/AT957</f>
        <v>0.16443629697525206</v>
      </c>
      <c r="BD957" s="15"/>
      <c r="BU957" s="16"/>
      <c r="BV957" s="270"/>
      <c r="BW957" s="270"/>
      <c r="BX957" s="36"/>
      <c r="BY957" s="13"/>
      <c r="BZ957" s="5"/>
      <c r="CA957" s="13"/>
      <c r="CB957" s="36"/>
      <c r="CC957" s="36"/>
      <c r="CD957" s="14"/>
      <c r="CE957" s="14"/>
      <c r="CF957" s="14"/>
      <c r="CG957" s="15"/>
      <c r="CH957" s="1"/>
      <c r="CI957" s="16"/>
      <c r="CJ957" s="270"/>
      <c r="CK957" s="270"/>
      <c r="CL957" s="36"/>
      <c r="CM957" s="13"/>
      <c r="CN957" s="5"/>
      <c r="CO957" s="13"/>
      <c r="CP957" s="36"/>
      <c r="CQ957" s="36"/>
      <c r="CR957" s="14"/>
      <c r="CS957" s="14"/>
      <c r="CT957" s="14"/>
      <c r="CU957" s="15"/>
      <c r="CV957" s="1"/>
      <c r="CW957" s="16"/>
      <c r="CX957" s="270"/>
      <c r="CY957" s="270"/>
      <c r="CZ957" s="36"/>
      <c r="DA957" s="13"/>
      <c r="DB957" s="5"/>
      <c r="DC957" s="13"/>
      <c r="DD957" s="36"/>
      <c r="DE957" s="36"/>
      <c r="DF957" s="14"/>
      <c r="DG957" s="14"/>
      <c r="DH957" s="14"/>
      <c r="DI957" s="15"/>
      <c r="DJ957" s="1"/>
      <c r="DK957" s="16"/>
      <c r="DL957" s="270"/>
      <c r="DM957" s="270"/>
      <c r="DN957" s="36"/>
      <c r="DO957" s="13"/>
      <c r="DP957" s="5"/>
      <c r="DQ957" s="13"/>
      <c r="DR957" s="36"/>
      <c r="DS957" s="36"/>
      <c r="DT957" s="14"/>
      <c r="DU957" s="14"/>
      <c r="DV957" s="14"/>
      <c r="DW957" s="15"/>
    </row>
    <row r="958" spans="1:127" x14ac:dyDescent="0.2">
      <c r="A958" s="258" t="s">
        <v>28</v>
      </c>
      <c r="B958" s="260"/>
      <c r="C958" s="259"/>
      <c r="D958" s="38">
        <f>SUM(D894,D898,D902,D906,D910,D914,D918,D922,D926,D930,D934,D938,D942)*100</f>
        <v>91100</v>
      </c>
      <c r="E958" s="54"/>
      <c r="F958" s="13"/>
      <c r="G958" s="5">
        <f>D958/H958</f>
        <v>2760.6060606060605</v>
      </c>
      <c r="H958" s="38">
        <f>SUM(H894,H898,H902,H905,H910,H914,H918,H922,H926,H930,H934,H938,H942)</f>
        <v>33</v>
      </c>
      <c r="I958" s="13"/>
      <c r="J958" s="75" t="str">
        <f t="shared" ref="J958:K958" si="1475">J894</f>
        <v>NICIマスコット</v>
      </c>
      <c r="K958" s="76">
        <f t="shared" si="1475"/>
        <v>682</v>
      </c>
      <c r="L958" s="38">
        <f>SUM(L894,L898,L902,L905,L910,L914,L918,L922,L926,L930,L934,L938,L942)</f>
        <v>19996</v>
      </c>
      <c r="M958" s="36">
        <f>L958/D958</f>
        <v>0.21949506037321626</v>
      </c>
      <c r="N958" s="15"/>
      <c r="O958" s="2"/>
      <c r="P958" s="258" t="s">
        <v>28</v>
      </c>
      <c r="Q958" s="259"/>
      <c r="R958" s="38">
        <f>SUM(R894,R898,R902,R906,R910,R914,R918,R922,R926,R930,R934,R938,R942)*100</f>
        <v>61300</v>
      </c>
      <c r="S958" s="54"/>
      <c r="T958" s="13"/>
      <c r="U958" s="5">
        <f>R958/V958</f>
        <v>583.80952380952385</v>
      </c>
      <c r="V958" s="38">
        <f>SUM(V894,V898,V902,V905,V910,V914,V918,V922,V926,V930,V934,V938,V942)</f>
        <v>105</v>
      </c>
      <c r="W958" s="13"/>
      <c r="X958" s="78" t="str">
        <f t="shared" ref="X958:Y958" si="1476">X894</f>
        <v>サンリオブレスレット</v>
      </c>
      <c r="Y958" s="76">
        <f t="shared" si="1476"/>
        <v>120</v>
      </c>
      <c r="Z958" s="38">
        <f>SUM(Z894,Z898,Z902,Z905,Z910,Z914,Z918,Z922,Z926,Z930,Z934,Z938,Z942)</f>
        <v>20265</v>
      </c>
      <c r="AA958" s="36">
        <f>Z958/R958</f>
        <v>0.33058727569331159</v>
      </c>
      <c r="AB958" s="15"/>
      <c r="AC958" s="1"/>
      <c r="AD958" s="258" t="s">
        <v>28</v>
      </c>
      <c r="AE958" s="259"/>
      <c r="AF958" s="38">
        <f>SUM(AF894,AF898,AF902,AF906,AF910,AF914,AF918,AF922,AF926,AF930,AF934,AF938,AF942)*100</f>
        <v>85800</v>
      </c>
      <c r="AG958" s="54"/>
      <c r="AH958" s="13"/>
      <c r="AI958" s="5">
        <f>AF958/AJ958</f>
        <v>5047.0588235294117</v>
      </c>
      <c r="AJ958" s="38">
        <f>SUM(AJ894,AJ898,AJ902,AJ905,AJ910,AJ914,AJ918,AJ922,AJ926,AJ930,AJ934,AJ938,AJ942)</f>
        <v>17</v>
      </c>
      <c r="AK958" s="13"/>
      <c r="AL958" s="75" t="str">
        <f t="shared" ref="AL958:AM958" si="1477">AL894</f>
        <v>ギャルキティキーケース</v>
      </c>
      <c r="AM958" s="76">
        <f t="shared" si="1477"/>
        <v>726</v>
      </c>
      <c r="AN958" s="38">
        <f>SUM(AN894,AN898,AN902,AN905,AN910,AN914,AN918,AN922,AN926,AN930,AN934,AN938,AN942)</f>
        <v>12342</v>
      </c>
      <c r="AO958" s="36">
        <f>AN958/AF958</f>
        <v>0.14384615384615385</v>
      </c>
      <c r="AP958" s="15"/>
      <c r="AQ958" s="2"/>
      <c r="AR958" s="258" t="s">
        <v>28</v>
      </c>
      <c r="AS958" s="259"/>
      <c r="AT958" s="38">
        <f>SUM(AT894,AT898,AT902,AT906,AT910,AT914,AT918,AT922,AT926,AT930,AT934,AT938,AT942)*100</f>
        <v>68300</v>
      </c>
      <c r="AU958" s="54"/>
      <c r="AV958" s="13"/>
      <c r="AW958" s="5">
        <f>AT958/AX958</f>
        <v>1157.6271186440679</v>
      </c>
      <c r="AX958" s="38">
        <f>SUM(AX894,AX898,AX902,AX905,AX910,AX914,AX918,AX922,AX926,AX930,AX934,AX938,AX942)</f>
        <v>59</v>
      </c>
      <c r="AY958" s="13"/>
      <c r="AZ958" s="75" t="str">
        <f t="shared" ref="AZ958:BA958" si="1478">AZ894</f>
        <v>スプランキーマスコット</v>
      </c>
      <c r="BA958" s="76">
        <f t="shared" si="1478"/>
        <v>180</v>
      </c>
      <c r="BB958" s="38">
        <f>SUM(BB894,BB898,BB902,BB905,BB910,BB914,BB918,BB922,BB926,BB930,BB934,BB938,BB942)</f>
        <v>10960</v>
      </c>
      <c r="BC958" s="36">
        <f>BB958/AT958</f>
        <v>0.16046852122986824</v>
      </c>
      <c r="BD958" s="15"/>
      <c r="BU958" s="40"/>
      <c r="BV958" s="3"/>
      <c r="BW958" s="2"/>
      <c r="BX958" s="41"/>
      <c r="BY958" s="1"/>
      <c r="BZ958" s="3"/>
      <c r="CA958" s="1"/>
      <c r="CB958" s="23"/>
      <c r="CC958" s="23"/>
      <c r="CD958" s="23"/>
      <c r="CE958" s="23"/>
      <c r="CF958" s="23"/>
      <c r="CG958" s="18"/>
      <c r="CH958" s="1"/>
      <c r="CI958" s="40"/>
      <c r="CJ958" s="3"/>
      <c r="CK958" s="2"/>
      <c r="CL958" s="41"/>
      <c r="CM958" s="1"/>
      <c r="CN958" s="3"/>
      <c r="CO958" s="1"/>
      <c r="CP958" s="23"/>
      <c r="CQ958" s="23"/>
      <c r="CR958" s="23"/>
      <c r="CS958" s="23"/>
      <c r="CT958" s="23"/>
      <c r="CU958" s="18"/>
      <c r="CV958" s="1"/>
      <c r="CW958" s="40"/>
      <c r="CX958" s="3"/>
      <c r="CY958" s="2"/>
      <c r="CZ958" s="41"/>
      <c r="DA958" s="1"/>
      <c r="DB958" s="3"/>
      <c r="DC958" s="1"/>
      <c r="DD958" s="23"/>
      <c r="DE958" s="23"/>
      <c r="DF958" s="23"/>
      <c r="DG958" s="23"/>
      <c r="DH958" s="23"/>
      <c r="DI958" s="18"/>
      <c r="DJ958" s="1"/>
      <c r="DK958" s="40"/>
      <c r="DL958" s="3"/>
      <c r="DM958" s="2"/>
      <c r="DN958" s="41"/>
      <c r="DO958" s="1"/>
      <c r="DP958" s="3"/>
      <c r="DQ958" s="1"/>
      <c r="DR958" s="23"/>
      <c r="DS958" s="23"/>
      <c r="DT958" s="23"/>
      <c r="DU958" s="23"/>
      <c r="DV958" s="23"/>
      <c r="DW958" s="18"/>
    </row>
    <row r="959" spans="1:127" x14ac:dyDescent="0.2">
      <c r="A959" s="16"/>
      <c r="B959" s="11"/>
      <c r="C959" s="5" t="s">
        <v>19</v>
      </c>
      <c r="D959" s="13">
        <f>SUM(D955:D958)</f>
        <v>307600</v>
      </c>
      <c r="E959" s="13"/>
      <c r="F959" s="13"/>
      <c r="G959" s="13"/>
      <c r="H959" s="13">
        <f>SUM(H955:H958)</f>
        <v>99</v>
      </c>
      <c r="I959" s="13"/>
      <c r="J959" s="262" t="s">
        <v>31</v>
      </c>
      <c r="K959" s="259"/>
      <c r="L959" s="53">
        <f>SUM(L955:L958)</f>
        <v>58548</v>
      </c>
      <c r="M959" s="83">
        <f>L959/D959</f>
        <v>0.19033810143042912</v>
      </c>
      <c r="N959" s="84"/>
      <c r="O959" s="2"/>
      <c r="P959" s="16"/>
      <c r="Q959" s="5" t="s">
        <v>19</v>
      </c>
      <c r="R959" s="13">
        <f>SUM(R955:R958)</f>
        <v>289700</v>
      </c>
      <c r="S959" s="54"/>
      <c r="T959" s="13"/>
      <c r="U959" s="13"/>
      <c r="V959" s="13">
        <f>SUM(V955:V958)</f>
        <v>214</v>
      </c>
      <c r="W959" s="13"/>
      <c r="X959" s="262" t="s">
        <v>31</v>
      </c>
      <c r="Y959" s="259"/>
      <c r="Z959" s="53">
        <f>SUM(Z955:Z958)</f>
        <v>82900</v>
      </c>
      <c r="AA959" s="83">
        <f>Z959/R959</f>
        <v>0.2861580945806006</v>
      </c>
      <c r="AB959" s="84"/>
      <c r="AC959" s="1"/>
      <c r="AD959" s="16"/>
      <c r="AE959" s="5" t="s">
        <v>19</v>
      </c>
      <c r="AF959" s="13">
        <f>SUM(AF955:AF958)</f>
        <v>272500</v>
      </c>
      <c r="AG959" s="54"/>
      <c r="AH959" s="13"/>
      <c r="AI959" s="13"/>
      <c r="AJ959" s="13">
        <f>SUM(AJ955:AJ958)</f>
        <v>60</v>
      </c>
      <c r="AK959" s="13"/>
      <c r="AL959" s="262" t="s">
        <v>31</v>
      </c>
      <c r="AM959" s="259"/>
      <c r="AN959" s="53">
        <f>SUM(AN955:AN958)</f>
        <v>42942</v>
      </c>
      <c r="AO959" s="83">
        <f>AN959/AF959</f>
        <v>0.15758532110091744</v>
      </c>
      <c r="AP959" s="84"/>
      <c r="AQ959" s="2"/>
      <c r="AR959" s="16"/>
      <c r="AS959" s="5" t="s">
        <v>19</v>
      </c>
      <c r="AT959" s="13">
        <f>SUM(AT955:AT958)</f>
        <v>326200</v>
      </c>
      <c r="AU959" s="54"/>
      <c r="AV959" s="13"/>
      <c r="AW959" s="13"/>
      <c r="AX959" s="13">
        <f>SUM(AX955:AX958)</f>
        <v>282</v>
      </c>
      <c r="AY959" s="13"/>
      <c r="AZ959" s="262" t="s">
        <v>31</v>
      </c>
      <c r="BA959" s="259"/>
      <c r="BB959" s="53">
        <f>SUM(BB955:BB958)</f>
        <v>115957</v>
      </c>
      <c r="BC959" s="83">
        <f>BB959/AT959</f>
        <v>0.35547823421213981</v>
      </c>
      <c r="BD959" s="84"/>
      <c r="BU959" s="42"/>
      <c r="BV959" s="256"/>
      <c r="BW959" s="256"/>
      <c r="BX959" s="41"/>
      <c r="BY959" s="1"/>
      <c r="BZ959" s="3"/>
      <c r="CA959" s="1"/>
      <c r="CB959" s="23"/>
      <c r="CC959" s="23"/>
      <c r="CD959" s="23"/>
      <c r="CE959" s="23"/>
      <c r="CF959" s="23"/>
      <c r="CG959" s="18"/>
      <c r="CH959" s="1"/>
      <c r="CI959" s="42"/>
      <c r="CJ959" s="256"/>
      <c r="CK959" s="256"/>
      <c r="CL959" s="41"/>
      <c r="CM959" s="1"/>
      <c r="CN959" s="3"/>
      <c r="CO959" s="1"/>
      <c r="CP959" s="23"/>
      <c r="CQ959" s="23"/>
      <c r="CR959" s="23"/>
      <c r="CS959" s="23"/>
      <c r="CT959" s="23"/>
      <c r="CU959" s="18"/>
      <c r="CV959" s="1"/>
      <c r="CW959" s="42"/>
      <c r="CX959" s="256"/>
      <c r="CY959" s="256"/>
      <c r="CZ959" s="41"/>
      <c r="DA959" s="1"/>
      <c r="DB959" s="3"/>
      <c r="DC959" s="1"/>
      <c r="DD959" s="23"/>
      <c r="DE959" s="23"/>
      <c r="DF959" s="23"/>
      <c r="DG959" s="23"/>
      <c r="DH959" s="23"/>
      <c r="DI959" s="18"/>
      <c r="DJ959" s="1"/>
      <c r="DK959" s="42"/>
      <c r="DL959" s="256"/>
      <c r="DM959" s="256"/>
      <c r="DN959" s="41"/>
      <c r="DO959" s="1"/>
      <c r="DP959" s="3"/>
      <c r="DQ959" s="1"/>
      <c r="DR959" s="23"/>
      <c r="DS959" s="23"/>
      <c r="DT959" s="23"/>
      <c r="DU959" s="23"/>
      <c r="DV959" s="23"/>
      <c r="DW959" s="18"/>
    </row>
    <row r="960" spans="1:127" x14ac:dyDescent="0.2">
      <c r="A960" s="85"/>
      <c r="B960" s="101"/>
      <c r="C960" s="35"/>
      <c r="D960" s="54"/>
      <c r="E960" s="24"/>
      <c r="F960" s="54"/>
      <c r="G960" s="5"/>
      <c r="H960" s="13"/>
      <c r="I960" s="24"/>
      <c r="J960" s="99"/>
      <c r="K960" s="100"/>
      <c r="L960" s="76"/>
      <c r="M960" s="14"/>
      <c r="N960" s="15"/>
      <c r="O960" s="2"/>
      <c r="P960" s="79"/>
      <c r="Q960" s="5"/>
      <c r="R960" s="13"/>
      <c r="S960" s="13"/>
      <c r="T960" s="13"/>
      <c r="U960" s="5"/>
      <c r="V960" s="13"/>
      <c r="W960" s="24"/>
      <c r="X960" s="99"/>
      <c r="Y960" s="100"/>
      <c r="Z960" s="76"/>
      <c r="AA960" s="14"/>
      <c r="AB960" s="15"/>
      <c r="AD960" s="79"/>
      <c r="AE960" s="5"/>
      <c r="AF960" s="13"/>
      <c r="AG960" s="13"/>
      <c r="AH960" s="13"/>
      <c r="AI960" s="5"/>
      <c r="AJ960" s="13"/>
      <c r="AK960" s="24"/>
      <c r="AL960" s="99"/>
      <c r="AM960" s="100"/>
      <c r="AN960" s="76"/>
      <c r="AO960" s="14"/>
      <c r="AP960" s="15"/>
      <c r="AQ960" s="2"/>
      <c r="AR960" s="79"/>
      <c r="AS960" s="5"/>
      <c r="AT960" s="13"/>
      <c r="AU960" s="13"/>
      <c r="AV960" s="13"/>
      <c r="AW960" s="5"/>
      <c r="AX960" s="13"/>
      <c r="AY960" s="24"/>
      <c r="AZ960" s="118"/>
      <c r="BA960" s="100"/>
      <c r="BB960" s="76"/>
      <c r="BC960" s="14"/>
      <c r="BD960" s="15"/>
      <c r="BU960" s="42"/>
      <c r="BV960" s="3"/>
      <c r="BX960" s="41"/>
      <c r="BY960" s="1"/>
      <c r="BZ960" s="3"/>
      <c r="CA960" s="1"/>
      <c r="CB960" s="23"/>
      <c r="CC960" s="23"/>
      <c r="CD960" s="23"/>
      <c r="CE960" s="23"/>
      <c r="CF960" s="23"/>
      <c r="CG960" s="18"/>
      <c r="CH960" s="1"/>
      <c r="CI960" s="42"/>
      <c r="CJ960" s="3"/>
      <c r="CL960" s="41"/>
      <c r="CM960" s="1"/>
      <c r="CN960" s="3"/>
      <c r="CO960" s="1"/>
      <c r="CP960" s="23"/>
      <c r="CQ960" s="23"/>
      <c r="CR960" s="23"/>
      <c r="CS960" s="23"/>
      <c r="CT960" s="23"/>
      <c r="CU960" s="18"/>
      <c r="CV960" s="1"/>
      <c r="CW960" s="42"/>
      <c r="CX960" s="3"/>
      <c r="CZ960" s="41"/>
      <c r="DA960" s="1"/>
      <c r="DB960" s="3"/>
      <c r="DC960" s="1"/>
      <c r="DD960" s="23"/>
      <c r="DE960" s="23"/>
      <c r="DF960" s="23"/>
      <c r="DG960" s="23"/>
      <c r="DH960" s="23"/>
      <c r="DI960" s="18"/>
      <c r="DJ960" s="1"/>
      <c r="DK960" s="42"/>
      <c r="DL960" s="3"/>
      <c r="DN960" s="41"/>
      <c r="DO960" s="1"/>
      <c r="DP960" s="3"/>
      <c r="DQ960" s="1"/>
      <c r="DR960" s="23"/>
      <c r="DS960" s="23"/>
      <c r="DT960" s="23"/>
      <c r="DU960" s="23"/>
      <c r="DV960" s="23"/>
      <c r="DW960" s="18"/>
    </row>
    <row r="961" spans="1:127" x14ac:dyDescent="0.2">
      <c r="A961" s="257"/>
      <c r="B961" s="257"/>
      <c r="C961" s="257"/>
      <c r="D961" s="257"/>
      <c r="E961" s="257"/>
      <c r="F961" s="257"/>
      <c r="BU961" s="40"/>
      <c r="BV961" s="256"/>
      <c r="BW961" s="256"/>
      <c r="BX961" s="41"/>
      <c r="BY961" s="1"/>
      <c r="BZ961" s="3"/>
      <c r="CA961" s="1"/>
      <c r="CB961" s="23"/>
      <c r="CC961" s="23"/>
      <c r="CD961" s="23"/>
      <c r="CE961" s="23"/>
      <c r="CF961" s="23"/>
      <c r="CG961" s="18"/>
      <c r="CH961" s="1"/>
      <c r="CI961" s="40"/>
      <c r="CJ961" s="256"/>
      <c r="CK961" s="256"/>
      <c r="CL961" s="41"/>
      <c r="CM961" s="1"/>
      <c r="CN961" s="3"/>
      <c r="CO961" s="1"/>
      <c r="CP961" s="23"/>
      <c r="CQ961" s="23"/>
      <c r="CR961" s="23"/>
      <c r="CS961" s="23"/>
      <c r="CT961" s="23"/>
      <c r="CU961" s="18"/>
      <c r="CV961" s="1"/>
      <c r="CW961" s="40"/>
      <c r="CX961" s="256"/>
      <c r="CY961" s="256"/>
      <c r="CZ961" s="41"/>
      <c r="DA961" s="1"/>
      <c r="DB961" s="3"/>
      <c r="DC961" s="1"/>
      <c r="DD961" s="23"/>
      <c r="DE961" s="23"/>
      <c r="DF961" s="23"/>
      <c r="DG961" s="23"/>
      <c r="DH961" s="23"/>
      <c r="DI961" s="18"/>
      <c r="DJ961" s="1"/>
      <c r="DK961" s="40"/>
      <c r="DL961" s="256"/>
      <c r="DM961" s="256"/>
      <c r="DN961" s="41"/>
      <c r="DO961" s="1"/>
      <c r="DP961" s="3"/>
      <c r="DQ961" s="1"/>
      <c r="DR961" s="23"/>
      <c r="DS961" s="23"/>
      <c r="DT961" s="23"/>
      <c r="DU961" s="23"/>
      <c r="DV961" s="23"/>
      <c r="DW961" s="18"/>
    </row>
    <row r="962" spans="1:127" ht="15" customHeight="1" x14ac:dyDescent="0.2">
      <c r="A962" s="257"/>
      <c r="B962" s="257"/>
      <c r="J962"/>
      <c r="BU962" s="40"/>
      <c r="BV962" s="3"/>
      <c r="BX962" s="41"/>
      <c r="BY962" s="1"/>
      <c r="BZ962" s="3"/>
      <c r="CA962" s="1"/>
      <c r="CB962" s="23"/>
      <c r="CC962" s="23"/>
      <c r="CD962" s="23"/>
      <c r="CE962" s="23"/>
      <c r="CF962" s="23"/>
      <c r="CG962" s="18"/>
      <c r="CH962" s="1"/>
      <c r="CI962" s="40"/>
      <c r="CJ962" s="3"/>
      <c r="CL962" s="41"/>
      <c r="CM962" s="1"/>
      <c r="CN962" s="3"/>
      <c r="CO962" s="1"/>
      <c r="CP962" s="23"/>
      <c r="CQ962" s="23"/>
      <c r="CR962" s="23"/>
      <c r="CS962" s="23"/>
      <c r="CT962" s="23"/>
      <c r="CU962" s="18"/>
      <c r="CV962" s="1"/>
      <c r="CW962" s="40"/>
      <c r="CX962" s="3"/>
      <c r="CZ962" s="41"/>
      <c r="DA962" s="1"/>
      <c r="DB962" s="3"/>
      <c r="DC962" s="1"/>
      <c r="DD962" s="23"/>
      <c r="DE962" s="23"/>
      <c r="DF962" s="23"/>
      <c r="DG962" s="23"/>
      <c r="DH962" s="23"/>
      <c r="DI962" s="18"/>
      <c r="DJ962" s="1"/>
      <c r="DK962" s="40"/>
      <c r="DL962" s="3"/>
      <c r="DN962" s="41"/>
      <c r="DO962" s="1"/>
      <c r="DP962" s="3"/>
      <c r="DQ962" s="1"/>
      <c r="DR962" s="23"/>
      <c r="DS962" s="23"/>
      <c r="DT962" s="23"/>
      <c r="DU962" s="23"/>
      <c r="DV962" s="23"/>
      <c r="DW962" s="18"/>
    </row>
    <row r="963" spans="1:127" ht="17.25" x14ac:dyDescent="0.2">
      <c r="A963" s="276" t="s">
        <v>42</v>
      </c>
      <c r="B963" s="276"/>
      <c r="C963" s="276"/>
      <c r="D963" s="276"/>
      <c r="E963" s="70" t="s">
        <v>56</v>
      </c>
      <c r="F963" s="70"/>
      <c r="G963" s="70"/>
      <c r="H963" s="70"/>
      <c r="I963" s="70"/>
      <c r="J963" s="71"/>
      <c r="K963" s="70"/>
      <c r="L963" s="70"/>
      <c r="M963" s="70"/>
      <c r="N963" s="72"/>
      <c r="O963" s="2"/>
      <c r="P963" s="276" t="s">
        <v>43</v>
      </c>
      <c r="Q963" s="276"/>
      <c r="R963" s="276"/>
      <c r="S963" s="70" t="s">
        <v>55</v>
      </c>
      <c r="T963" s="70"/>
      <c r="U963" s="70"/>
      <c r="V963" s="70"/>
      <c r="W963" s="70"/>
      <c r="X963" s="73"/>
      <c r="Y963" s="70"/>
      <c r="Z963" s="70"/>
      <c r="AA963" s="70"/>
      <c r="AB963" s="72"/>
      <c r="AC963" s="1"/>
      <c r="AD963" s="276" t="s">
        <v>54</v>
      </c>
      <c r="AE963" s="276"/>
      <c r="AF963" s="276"/>
      <c r="AG963" s="70" t="s">
        <v>52</v>
      </c>
      <c r="AH963" s="70"/>
      <c r="AI963" s="70"/>
      <c r="AJ963" s="70"/>
      <c r="AK963" s="70"/>
      <c r="AL963" s="71"/>
      <c r="AM963" s="70"/>
      <c r="AN963" s="70"/>
      <c r="AO963" s="70"/>
      <c r="AP963" s="72"/>
      <c r="AQ963" s="2"/>
      <c r="AR963" s="276" t="s">
        <v>54</v>
      </c>
      <c r="AS963" s="276"/>
      <c r="AT963" s="276"/>
      <c r="AU963" s="70" t="s">
        <v>53</v>
      </c>
      <c r="AV963" s="70"/>
      <c r="AW963" s="70"/>
      <c r="AX963" s="70"/>
      <c r="AY963" s="70"/>
      <c r="AZ963" s="71"/>
      <c r="BA963" s="70"/>
      <c r="BB963" s="70"/>
      <c r="BC963" s="70"/>
      <c r="BD963" s="72"/>
      <c r="BU963" s="65"/>
      <c r="BV963" s="285" t="s">
        <v>46</v>
      </c>
      <c r="BW963" s="285"/>
      <c r="BX963" s="285"/>
      <c r="BY963" s="285"/>
      <c r="BZ963" s="66" t="s">
        <v>0</v>
      </c>
      <c r="CA963" s="66"/>
      <c r="CB963" s="66"/>
      <c r="CC963" s="66"/>
      <c r="CD963" s="66"/>
      <c r="CE963" s="66"/>
      <c r="CF963" s="66"/>
      <c r="CG963" s="66"/>
      <c r="CH963" s="66"/>
      <c r="CI963" s="65"/>
      <c r="CJ963" s="285" t="s">
        <v>47</v>
      </c>
      <c r="CK963" s="285"/>
      <c r="CL963" s="285"/>
      <c r="CM963" s="285"/>
      <c r="CN963" s="66" t="s">
        <v>0</v>
      </c>
      <c r="CO963" s="66"/>
      <c r="CP963" s="66"/>
      <c r="CQ963" s="66"/>
      <c r="CR963" s="66"/>
      <c r="CS963" s="66"/>
      <c r="CT963" s="66"/>
      <c r="CU963" s="66"/>
      <c r="CV963" s="66"/>
      <c r="CW963" s="65"/>
      <c r="CX963" s="285" t="s">
        <v>48</v>
      </c>
      <c r="CY963" s="285"/>
      <c r="CZ963" s="285"/>
      <c r="DA963" s="285"/>
      <c r="DB963" s="66" t="s">
        <v>0</v>
      </c>
      <c r="DC963" s="66"/>
      <c r="DD963" s="66"/>
      <c r="DE963" s="66"/>
      <c r="DF963" s="66"/>
      <c r="DG963" s="66"/>
      <c r="DH963" s="66"/>
      <c r="DI963" s="66"/>
      <c r="DJ963" s="66"/>
      <c r="DK963" s="65"/>
      <c r="DL963" s="285" t="s">
        <v>45</v>
      </c>
      <c r="DM963" s="285"/>
      <c r="DN963" s="285"/>
      <c r="DO963" s="285"/>
      <c r="DP963" s="66" t="s">
        <v>0</v>
      </c>
      <c r="DQ963" s="66"/>
      <c r="DR963" s="66"/>
      <c r="DS963" s="66"/>
      <c r="DT963" s="66"/>
      <c r="DU963" s="66"/>
      <c r="DV963" s="66"/>
      <c r="DW963" s="66"/>
    </row>
    <row r="964" spans="1:127" x14ac:dyDescent="0.2">
      <c r="A964" s="7" t="s">
        <v>1</v>
      </c>
      <c r="B964" s="4" t="s">
        <v>19</v>
      </c>
      <c r="C964" s="5" t="s">
        <v>2</v>
      </c>
      <c r="D964" s="5" t="s">
        <v>3</v>
      </c>
      <c r="E964" s="6" t="s">
        <v>4</v>
      </c>
      <c r="F964" s="5" t="s">
        <v>3</v>
      </c>
      <c r="G964" s="5" t="s">
        <v>5</v>
      </c>
      <c r="H964" s="5" t="s">
        <v>6</v>
      </c>
      <c r="I964" s="5" t="s">
        <v>7</v>
      </c>
      <c r="J964" s="55" t="s">
        <v>12</v>
      </c>
      <c r="K964" s="5" t="s">
        <v>8</v>
      </c>
      <c r="L964" s="5" t="s">
        <v>6</v>
      </c>
      <c r="M964" s="5" t="s">
        <v>13</v>
      </c>
      <c r="N964" s="5" t="s">
        <v>11</v>
      </c>
      <c r="O964" s="2"/>
      <c r="P964" s="7" t="s">
        <v>1</v>
      </c>
      <c r="Q964" s="5" t="s">
        <v>2</v>
      </c>
      <c r="R964" s="5" t="s">
        <v>3</v>
      </c>
      <c r="S964" s="6" t="s">
        <v>4</v>
      </c>
      <c r="T964" s="5" t="s">
        <v>3</v>
      </c>
      <c r="U964" s="5" t="s">
        <v>5</v>
      </c>
      <c r="V964" s="5" t="s">
        <v>6</v>
      </c>
      <c r="W964" s="5" t="s">
        <v>7</v>
      </c>
      <c r="X964" s="6" t="s">
        <v>12</v>
      </c>
      <c r="Y964" s="5" t="s">
        <v>8</v>
      </c>
      <c r="Z964" s="5" t="s">
        <v>6</v>
      </c>
      <c r="AA964" s="5" t="s">
        <v>13</v>
      </c>
      <c r="AB964" s="5" t="s">
        <v>11</v>
      </c>
      <c r="AC964" s="3"/>
      <c r="AD964" s="7" t="s">
        <v>1</v>
      </c>
      <c r="AE964" s="5" t="s">
        <v>2</v>
      </c>
      <c r="AF964" s="5" t="s">
        <v>3</v>
      </c>
      <c r="AG964" s="6" t="s">
        <v>4</v>
      </c>
      <c r="AH964" s="5" t="s">
        <v>3</v>
      </c>
      <c r="AI964" s="5" t="s">
        <v>5</v>
      </c>
      <c r="AJ964" s="5" t="s">
        <v>6</v>
      </c>
      <c r="AK964" s="5" t="s">
        <v>7</v>
      </c>
      <c r="AL964" s="55" t="s">
        <v>12</v>
      </c>
      <c r="AM964" s="5" t="s">
        <v>8</v>
      </c>
      <c r="AN964" s="5" t="s">
        <v>6</v>
      </c>
      <c r="AO964" s="5" t="s">
        <v>13</v>
      </c>
      <c r="AP964" s="5" t="s">
        <v>11</v>
      </c>
      <c r="AQ964" s="2"/>
      <c r="AR964" s="7" t="s">
        <v>1</v>
      </c>
      <c r="AS964" s="5" t="s">
        <v>2</v>
      </c>
      <c r="AT964" s="5" t="s">
        <v>3</v>
      </c>
      <c r="AU964" s="6" t="s">
        <v>4</v>
      </c>
      <c r="AV964" s="5" t="s">
        <v>3</v>
      </c>
      <c r="AW964" s="5" t="s">
        <v>5</v>
      </c>
      <c r="AX964" s="5" t="s">
        <v>6</v>
      </c>
      <c r="AY964" s="5" t="s">
        <v>7</v>
      </c>
      <c r="AZ964" s="55" t="s">
        <v>12</v>
      </c>
      <c r="BA964" s="5" t="s">
        <v>8</v>
      </c>
      <c r="BB964" s="5" t="s">
        <v>6</v>
      </c>
      <c r="BC964" s="5" t="s">
        <v>13</v>
      </c>
      <c r="BD964" s="5" t="s">
        <v>11</v>
      </c>
      <c r="BU964" s="8" t="s">
        <v>1</v>
      </c>
      <c r="BV964" s="5" t="s">
        <v>2</v>
      </c>
      <c r="BW964" s="5" t="s">
        <v>3</v>
      </c>
      <c r="BX964" s="6" t="s">
        <v>4</v>
      </c>
      <c r="BY964" s="5" t="s">
        <v>3</v>
      </c>
      <c r="BZ964" s="5" t="s">
        <v>5</v>
      </c>
      <c r="CA964" s="5" t="s">
        <v>6</v>
      </c>
      <c r="CB964" s="5" t="s">
        <v>7</v>
      </c>
      <c r="CC964" s="5"/>
      <c r="CD964" s="5" t="s">
        <v>8</v>
      </c>
      <c r="CE964" s="5" t="s">
        <v>9</v>
      </c>
      <c r="CF964" s="5" t="s">
        <v>10</v>
      </c>
      <c r="CG964" s="5" t="s">
        <v>11</v>
      </c>
      <c r="CH964" s="9"/>
      <c r="CI964" s="8" t="s">
        <v>1</v>
      </c>
      <c r="CJ964" s="5" t="s">
        <v>2</v>
      </c>
      <c r="CK964" s="5" t="s">
        <v>3</v>
      </c>
      <c r="CL964" s="6" t="s">
        <v>4</v>
      </c>
      <c r="CM964" s="5" t="s">
        <v>3</v>
      </c>
      <c r="CN964" s="5" t="s">
        <v>5</v>
      </c>
      <c r="CO964" s="5" t="s">
        <v>6</v>
      </c>
      <c r="CP964" s="5" t="s">
        <v>7</v>
      </c>
      <c r="CQ964" s="5"/>
      <c r="CR964" s="5" t="s">
        <v>8</v>
      </c>
      <c r="CS964" s="5" t="s">
        <v>9</v>
      </c>
      <c r="CT964" s="5" t="s">
        <v>10</v>
      </c>
      <c r="CU964" s="5" t="s">
        <v>11</v>
      </c>
      <c r="CV964" s="1"/>
      <c r="CW964" s="8" t="s">
        <v>1</v>
      </c>
      <c r="CX964" s="5" t="s">
        <v>2</v>
      </c>
      <c r="CY964" s="5" t="s">
        <v>3</v>
      </c>
      <c r="CZ964" s="6" t="s">
        <v>4</v>
      </c>
      <c r="DA964" s="5" t="s">
        <v>3</v>
      </c>
      <c r="DB964" s="5" t="s">
        <v>5</v>
      </c>
      <c r="DC964" s="5" t="s">
        <v>6</v>
      </c>
      <c r="DD964" s="5" t="s">
        <v>7</v>
      </c>
      <c r="DE964" s="5"/>
      <c r="DF964" s="5" t="s">
        <v>8</v>
      </c>
      <c r="DG964" s="5" t="s">
        <v>9</v>
      </c>
      <c r="DH964" s="5" t="s">
        <v>10</v>
      </c>
      <c r="DI964" s="5" t="s">
        <v>11</v>
      </c>
      <c r="DJ964" s="9"/>
      <c r="DK964" s="8" t="s">
        <v>1</v>
      </c>
      <c r="DL964" s="5" t="s">
        <v>2</v>
      </c>
      <c r="DM964" s="5" t="s">
        <v>3</v>
      </c>
      <c r="DN964" s="6" t="s">
        <v>4</v>
      </c>
      <c r="DO964" s="5" t="s">
        <v>3</v>
      </c>
      <c r="DP964" s="5" t="s">
        <v>5</v>
      </c>
      <c r="DQ964" s="5" t="s">
        <v>6</v>
      </c>
      <c r="DR964" s="5" t="s">
        <v>7</v>
      </c>
      <c r="DS964" s="5"/>
      <c r="DT964" s="5" t="s">
        <v>8</v>
      </c>
      <c r="DU964" s="5" t="s">
        <v>9</v>
      </c>
      <c r="DV964" s="5" t="s">
        <v>10</v>
      </c>
      <c r="DW964" s="5" t="s">
        <v>11</v>
      </c>
    </row>
    <row r="965" spans="1:127" x14ac:dyDescent="0.2">
      <c r="A965" s="16">
        <v>45761</v>
      </c>
      <c r="B965" s="74">
        <v>1622</v>
      </c>
      <c r="C965" s="53">
        <v>19194</v>
      </c>
      <c r="D965" s="53">
        <v>120</v>
      </c>
      <c r="E965" s="53">
        <v>1061</v>
      </c>
      <c r="F965" s="53">
        <v>1</v>
      </c>
      <c r="G965" s="53">
        <v>4</v>
      </c>
      <c r="H965" s="53">
        <v>1</v>
      </c>
      <c r="I965" s="53">
        <v>0</v>
      </c>
      <c r="J965" s="75" t="s">
        <v>60</v>
      </c>
      <c r="K965" s="76">
        <v>748</v>
      </c>
      <c r="L965" s="53">
        <v>748</v>
      </c>
      <c r="M965" s="77">
        <v>6.2333333333333331E-2</v>
      </c>
      <c r="N965" s="15"/>
      <c r="O965" s="2"/>
      <c r="P965" s="16">
        <v>45761</v>
      </c>
      <c r="Q965" s="53">
        <v>19700</v>
      </c>
      <c r="R965" s="53">
        <v>87</v>
      </c>
      <c r="S965" s="53">
        <v>1140</v>
      </c>
      <c r="T965" s="53">
        <v>11</v>
      </c>
      <c r="U965" s="53">
        <v>3</v>
      </c>
      <c r="V965" s="53">
        <v>10</v>
      </c>
      <c r="W965" s="53">
        <v>7</v>
      </c>
      <c r="X965" s="78" t="s">
        <v>68</v>
      </c>
      <c r="Y965" s="76">
        <v>1100</v>
      </c>
      <c r="Z965" s="53">
        <v>11000</v>
      </c>
      <c r="AA965" s="77">
        <v>1.264367816091954</v>
      </c>
      <c r="AB965" s="15" t="s">
        <v>77</v>
      </c>
      <c r="AC965" s="1"/>
      <c r="AD965" s="16">
        <v>45761</v>
      </c>
      <c r="AE965" s="53">
        <v>4016</v>
      </c>
      <c r="AF965" s="53">
        <v>59</v>
      </c>
      <c r="AG965" s="53">
        <v>86</v>
      </c>
      <c r="AH965" s="53">
        <v>1</v>
      </c>
      <c r="AI965" s="53">
        <v>39</v>
      </c>
      <c r="AJ965" s="53">
        <v>1</v>
      </c>
      <c r="AK965" s="53">
        <v>0</v>
      </c>
      <c r="AL965" s="75" t="s">
        <v>15</v>
      </c>
      <c r="AM965" s="76">
        <v>1100</v>
      </c>
      <c r="AN965" s="53">
        <v>1100</v>
      </c>
      <c r="AO965" s="77">
        <v>0.1864406779661017</v>
      </c>
      <c r="AP965" s="15"/>
      <c r="AQ965" s="2"/>
      <c r="AR965" s="16">
        <v>45761</v>
      </c>
      <c r="AS965" s="53">
        <v>3843</v>
      </c>
      <c r="AT965" s="53">
        <v>119</v>
      </c>
      <c r="AU965" s="53">
        <v>118</v>
      </c>
      <c r="AV965" s="53">
        <v>4</v>
      </c>
      <c r="AW965" s="53">
        <v>38</v>
      </c>
      <c r="AX965" s="53">
        <v>5</v>
      </c>
      <c r="AY965" s="53">
        <v>0</v>
      </c>
      <c r="AZ965" s="75" t="s">
        <v>16</v>
      </c>
      <c r="BA965" s="76">
        <v>1001</v>
      </c>
      <c r="BB965" s="53">
        <v>5005</v>
      </c>
      <c r="BC965" s="77">
        <v>0.42058823529411765</v>
      </c>
      <c r="BD965" s="15"/>
      <c r="BU965" s="16">
        <v>45768</v>
      </c>
      <c r="BV965" s="20">
        <v>4011</v>
      </c>
      <c r="BW965" s="12">
        <v>129</v>
      </c>
      <c r="BX965" s="12">
        <v>151</v>
      </c>
      <c r="BY965" s="12">
        <v>2</v>
      </c>
      <c r="BZ965" s="12">
        <v>36</v>
      </c>
      <c r="CA965" s="12">
        <v>2</v>
      </c>
      <c r="CB965" s="12">
        <v>0</v>
      </c>
      <c r="CC965" s="53"/>
      <c r="CD965" s="12">
        <v>1100</v>
      </c>
      <c r="CE965" s="13">
        <v>2200</v>
      </c>
      <c r="CF965" s="14">
        <v>0.17054263565891473</v>
      </c>
      <c r="CG965" s="91" t="s">
        <v>66</v>
      </c>
      <c r="CH965" s="1"/>
      <c r="CI965" s="16">
        <v>45768</v>
      </c>
      <c r="CJ965" s="20">
        <v>5192</v>
      </c>
      <c r="CK965" s="12">
        <v>140</v>
      </c>
      <c r="CL965" s="12">
        <v>210</v>
      </c>
      <c r="CM965" s="12">
        <v>12</v>
      </c>
      <c r="CN965" s="12">
        <v>26</v>
      </c>
      <c r="CO965" s="12">
        <v>15</v>
      </c>
      <c r="CP965" s="12">
        <v>6</v>
      </c>
      <c r="CQ965" s="53"/>
      <c r="CR965" s="13">
        <v>300</v>
      </c>
      <c r="CS965" s="13">
        <v>7500</v>
      </c>
      <c r="CT965" s="14">
        <v>0.5357142857142857</v>
      </c>
      <c r="CU965" s="22" t="s">
        <v>34</v>
      </c>
      <c r="CV965" s="1"/>
      <c r="CW965" s="16">
        <v>45768</v>
      </c>
      <c r="CX965" s="20">
        <v>3610</v>
      </c>
      <c r="CY965" s="12">
        <v>103</v>
      </c>
      <c r="CZ965" s="12">
        <v>233</v>
      </c>
      <c r="DA965" s="12">
        <v>7</v>
      </c>
      <c r="DB965" s="12">
        <v>13</v>
      </c>
      <c r="DC965" s="12">
        <v>3</v>
      </c>
      <c r="DD965" s="12">
        <v>0</v>
      </c>
      <c r="DE965" s="53"/>
      <c r="DF965" s="12">
        <v>405</v>
      </c>
      <c r="DG965" s="13">
        <v>1215</v>
      </c>
      <c r="DH965" s="14">
        <v>0.11796116504854369</v>
      </c>
      <c r="DI965" s="15" t="s">
        <v>14</v>
      </c>
      <c r="DJ965" s="1"/>
      <c r="DK965" s="16">
        <v>45768</v>
      </c>
      <c r="DL965" s="20">
        <v>14387</v>
      </c>
      <c r="DM965" s="12">
        <v>104</v>
      </c>
      <c r="DN965" s="12">
        <v>756</v>
      </c>
      <c r="DO965" s="12">
        <v>7</v>
      </c>
      <c r="DP965" s="12">
        <v>17</v>
      </c>
      <c r="DQ965" s="12">
        <v>7</v>
      </c>
      <c r="DR965" s="12">
        <v>6</v>
      </c>
      <c r="DS965" s="53"/>
      <c r="DT965" s="13">
        <v>385</v>
      </c>
      <c r="DU965" s="13">
        <v>2695</v>
      </c>
      <c r="DV965" s="14">
        <v>0.25913461538461541</v>
      </c>
      <c r="DW965" s="22" t="s">
        <v>89</v>
      </c>
    </row>
    <row r="966" spans="1:127" x14ac:dyDescent="0.2">
      <c r="A966" s="16"/>
      <c r="B966" s="11"/>
      <c r="C966" s="13">
        <v>23781</v>
      </c>
      <c r="D966" s="13">
        <v>91</v>
      </c>
      <c r="E966" s="13">
        <v>1219</v>
      </c>
      <c r="F966" s="13">
        <v>1</v>
      </c>
      <c r="G966" s="13">
        <v>17</v>
      </c>
      <c r="H966" s="13">
        <v>1</v>
      </c>
      <c r="I966" s="13">
        <v>2</v>
      </c>
      <c r="J966" s="56" t="s">
        <v>71</v>
      </c>
      <c r="K966" s="54">
        <v>770</v>
      </c>
      <c r="L966" s="13">
        <v>770</v>
      </c>
      <c r="M966" s="14">
        <v>8.461538461538462E-2</v>
      </c>
      <c r="N966" s="15"/>
      <c r="O966" s="2"/>
      <c r="P966" s="16"/>
      <c r="Q966" s="13">
        <v>23859</v>
      </c>
      <c r="R966" s="13">
        <v>47</v>
      </c>
      <c r="S966" s="13">
        <v>1408</v>
      </c>
      <c r="T966" s="13">
        <v>1</v>
      </c>
      <c r="U966" s="13">
        <v>40</v>
      </c>
      <c r="V966" s="13">
        <v>1</v>
      </c>
      <c r="W966" s="13">
        <v>0</v>
      </c>
      <c r="X966" s="78" t="s">
        <v>65</v>
      </c>
      <c r="Y966" s="53">
        <v>595</v>
      </c>
      <c r="Z966" s="13">
        <v>595</v>
      </c>
      <c r="AA966" s="14">
        <v>0.12659574468085105</v>
      </c>
      <c r="AB966" s="15" t="s">
        <v>80</v>
      </c>
      <c r="AC966" s="1"/>
      <c r="AD966" s="16"/>
      <c r="AE966" s="13">
        <v>2660</v>
      </c>
      <c r="AF966" s="13">
        <v>37</v>
      </c>
      <c r="AG966" s="13">
        <v>70</v>
      </c>
      <c r="AH966" s="13">
        <v>1</v>
      </c>
      <c r="AI966" s="13">
        <v>9</v>
      </c>
      <c r="AJ966" s="13">
        <v>1</v>
      </c>
      <c r="AK966" s="13">
        <v>7</v>
      </c>
      <c r="AL966" s="56" t="s">
        <v>59</v>
      </c>
      <c r="AM966" s="54">
        <v>800</v>
      </c>
      <c r="AN966" s="13">
        <v>800</v>
      </c>
      <c r="AO966" s="14">
        <v>0.21621621621621623</v>
      </c>
      <c r="AP966" s="15" t="s">
        <v>78</v>
      </c>
      <c r="AQ966" s="2"/>
      <c r="AR966" s="16"/>
      <c r="AS966" s="13">
        <v>2434</v>
      </c>
      <c r="AT966" s="87">
        <v>47</v>
      </c>
      <c r="AU966" s="13">
        <v>67</v>
      </c>
      <c r="AV966" s="13">
        <v>0</v>
      </c>
      <c r="AW966" s="13">
        <v>25</v>
      </c>
      <c r="AX966" s="13">
        <v>0</v>
      </c>
      <c r="AY966" s="13">
        <v>0</v>
      </c>
      <c r="AZ966" s="56" t="s">
        <v>51</v>
      </c>
      <c r="BA966" s="54">
        <v>1034</v>
      </c>
      <c r="BB966" s="13">
        <v>0</v>
      </c>
      <c r="BC966" s="14">
        <v>0</v>
      </c>
      <c r="BD966" s="15" t="s">
        <v>75</v>
      </c>
      <c r="BU966" s="19" t="e">
        <f>IF(#REF!="","",#REF!)</f>
        <v>#REF!</v>
      </c>
      <c r="BV966" s="13">
        <v>4065</v>
      </c>
      <c r="BW966" s="13">
        <f>IF(BV966="","",BV966-BV965)</f>
        <v>54</v>
      </c>
      <c r="BX966" s="13">
        <v>151</v>
      </c>
      <c r="BY966" s="13">
        <f>IF(BX966="","",BX966-BX965)</f>
        <v>0</v>
      </c>
      <c r="BZ966" s="13">
        <v>36</v>
      </c>
      <c r="CA966" s="13">
        <f t="shared" ref="CA966:CA978" si="1479">IF(BZ966="","",BZ965+CB965-BZ966)</f>
        <v>0</v>
      </c>
      <c r="CB966" s="13">
        <v>0</v>
      </c>
      <c r="CC966" s="53"/>
      <c r="CD966" s="12">
        <f t="shared" ref="CD966:CD978" si="1480">IF(BV966="","",CD965)</f>
        <v>1100</v>
      </c>
      <c r="CE966" s="13">
        <f t="shared" ref="CE966:CE978" si="1481">IF(CD966="","",CA966*CD966)</f>
        <v>0</v>
      </c>
      <c r="CF966" s="14">
        <f t="shared" ref="CF966:CF978" si="1482">IF(CE966="","",CE966/(BW966*100))</f>
        <v>0</v>
      </c>
      <c r="CG966" s="67"/>
      <c r="CH966" s="1"/>
      <c r="CI966" s="19" t="e">
        <f>IF(#REF!="","",#REF!)</f>
        <v>#REF!</v>
      </c>
      <c r="CJ966" s="13">
        <v>5263</v>
      </c>
      <c r="CK966" s="13">
        <f>IF(CJ966="","",CJ966-CJ965)</f>
        <v>71</v>
      </c>
      <c r="CL966" s="13">
        <v>213</v>
      </c>
      <c r="CM966" s="13">
        <f>IF(CL966="","",CL966-CL965)</f>
        <v>3</v>
      </c>
      <c r="CN966" s="13">
        <v>29</v>
      </c>
      <c r="CO966" s="13">
        <f t="shared" ref="CO966:CO978" si="1483">IF(CN966="","",CN965+CP965-CN966)</f>
        <v>3</v>
      </c>
      <c r="CP966" s="13">
        <v>9</v>
      </c>
      <c r="CQ966" s="53"/>
      <c r="CR966" s="12">
        <f t="shared" ref="CR966:CR978" si="1484">IF(CJ966="","",CR965)</f>
        <v>300</v>
      </c>
      <c r="CS966" s="13">
        <f t="shared" ref="CS966:CS978" si="1485">IF(CR966="","",CO966*CR966)</f>
        <v>900</v>
      </c>
      <c r="CT966" s="14">
        <f t="shared" ref="CT966:CT978" si="1486">IF(CS966="","",CS966/(CK966*100))</f>
        <v>0.12676056338028169</v>
      </c>
      <c r="CU966" s="67"/>
      <c r="CV966" s="1"/>
      <c r="CW966" s="19" t="e">
        <f>IF(#REF!="","",#REF!)</f>
        <v>#REF!</v>
      </c>
      <c r="CX966" s="13">
        <v>3626</v>
      </c>
      <c r="CY966" s="13">
        <f>IF(CX966="","",CX966-CX965)</f>
        <v>16</v>
      </c>
      <c r="CZ966" s="13">
        <v>233</v>
      </c>
      <c r="DA966" s="13">
        <f>IF(CZ966="","",CZ966-CZ965)</f>
        <v>0</v>
      </c>
      <c r="DB966" s="13">
        <v>12</v>
      </c>
      <c r="DC966" s="13">
        <f t="shared" ref="DC966:DC978" si="1487">IF(DB966="","",DB965+DD965-DB966)</f>
        <v>1</v>
      </c>
      <c r="DD966" s="13"/>
      <c r="DE966" s="53"/>
      <c r="DF966" s="12">
        <f t="shared" ref="DF966:DF978" si="1488">IF(CX966="","",DF965)</f>
        <v>405</v>
      </c>
      <c r="DG966" s="13">
        <f t="shared" ref="DG966:DG978" si="1489">IF(DF966="","",DC966*DF966)</f>
        <v>405</v>
      </c>
      <c r="DH966" s="14">
        <f t="shared" ref="DH966:DH978" si="1490">IF(DG966="","",DG966/(CY966*100))</f>
        <v>0.25312499999999999</v>
      </c>
      <c r="DI966" s="67"/>
      <c r="DJ966" s="1"/>
      <c r="DK966" s="19" t="e">
        <f>IF(#REF!="","",#REF!)</f>
        <v>#REF!</v>
      </c>
      <c r="DL966" s="13">
        <v>14459</v>
      </c>
      <c r="DM966" s="13">
        <f>IF(DL966="","",DL966-DL965)</f>
        <v>72</v>
      </c>
      <c r="DN966" s="13">
        <v>767</v>
      </c>
      <c r="DO966" s="13">
        <f>IF(DN966="","",DN966-DN965)</f>
        <v>11</v>
      </c>
      <c r="DP966" s="13">
        <v>12</v>
      </c>
      <c r="DQ966" s="13">
        <f t="shared" ref="DQ966:DQ978" si="1491">IF(DP966="","",DP965+DR965-DP966)</f>
        <v>11</v>
      </c>
      <c r="DR966" s="13">
        <v>13</v>
      </c>
      <c r="DS966" s="53"/>
      <c r="DT966" s="12">
        <f t="shared" ref="DT966:DT978" si="1492">IF(DL966="","",DT965)</f>
        <v>385</v>
      </c>
      <c r="DU966" s="13">
        <f t="shared" ref="DU966:DU978" si="1493">IF(DT966="","",DQ966*DT966)</f>
        <v>4235</v>
      </c>
      <c r="DV966" s="14">
        <f t="shared" ref="DV966:DV978" si="1494">IF(DU966="","",DU966/(DM966*100))</f>
        <v>0.58819444444444446</v>
      </c>
      <c r="DW966" s="67" t="s">
        <v>90</v>
      </c>
    </row>
    <row r="967" spans="1:127" x14ac:dyDescent="0.2">
      <c r="A967" s="16"/>
      <c r="B967" s="11"/>
      <c r="C967" s="13">
        <v>19989</v>
      </c>
      <c r="D967" s="13">
        <v>60</v>
      </c>
      <c r="E967" s="13">
        <v>994</v>
      </c>
      <c r="F967" s="13">
        <v>6</v>
      </c>
      <c r="G967" s="13">
        <v>70</v>
      </c>
      <c r="H967" s="13">
        <v>6</v>
      </c>
      <c r="I967" s="13">
        <v>0</v>
      </c>
      <c r="J967" s="56" t="s">
        <v>73</v>
      </c>
      <c r="K967" s="54">
        <v>600</v>
      </c>
      <c r="L967" s="13">
        <v>3600</v>
      </c>
      <c r="M967" s="14">
        <v>0.6</v>
      </c>
      <c r="N967" s="15"/>
      <c r="O967" s="2"/>
      <c r="P967" s="16"/>
      <c r="Q967" s="13">
        <v>18393</v>
      </c>
      <c r="R967" s="13">
        <v>84</v>
      </c>
      <c r="S967" s="13">
        <v>2567</v>
      </c>
      <c r="T967" s="13">
        <v>8</v>
      </c>
      <c r="U967" s="13">
        <v>1</v>
      </c>
      <c r="V967" s="13">
        <v>9</v>
      </c>
      <c r="W967" s="13">
        <v>12</v>
      </c>
      <c r="X967" s="21" t="s">
        <v>18</v>
      </c>
      <c r="Y967" s="54">
        <v>165</v>
      </c>
      <c r="Z967" s="13">
        <v>1485</v>
      </c>
      <c r="AA967" s="14">
        <v>0.1767857142857143</v>
      </c>
      <c r="AB967" s="15"/>
      <c r="AC967" s="1"/>
      <c r="AD967" s="16"/>
      <c r="AE967" s="13">
        <v>3450</v>
      </c>
      <c r="AF967" s="13">
        <v>198</v>
      </c>
      <c r="AG967" s="13">
        <v>112</v>
      </c>
      <c r="AH967" s="13">
        <v>5</v>
      </c>
      <c r="AI967" s="13">
        <v>5</v>
      </c>
      <c r="AJ967" s="13">
        <v>5</v>
      </c>
      <c r="AK967" s="13">
        <v>5</v>
      </c>
      <c r="AL967" s="56" t="s">
        <v>58</v>
      </c>
      <c r="AM967" s="54">
        <v>650</v>
      </c>
      <c r="AN967" s="13">
        <v>3250</v>
      </c>
      <c r="AO967" s="14">
        <v>0.16414141414141414</v>
      </c>
      <c r="AP967" s="15"/>
      <c r="AQ967" s="2"/>
      <c r="AR967" s="16"/>
      <c r="AS967" s="13">
        <v>3436</v>
      </c>
      <c r="AT967" s="13">
        <v>329</v>
      </c>
      <c r="AU967" s="13">
        <v>107</v>
      </c>
      <c r="AV967" s="13">
        <v>9</v>
      </c>
      <c r="AW967" s="13">
        <v>95</v>
      </c>
      <c r="AX967" s="13">
        <v>15</v>
      </c>
      <c r="AY967" s="13">
        <v>0</v>
      </c>
      <c r="AZ967" s="56" t="s">
        <v>74</v>
      </c>
      <c r="BA967" s="54">
        <v>200</v>
      </c>
      <c r="BB967" s="13">
        <v>3000</v>
      </c>
      <c r="BC967" s="14">
        <v>9.1185410334346503E-2</v>
      </c>
      <c r="BD967" s="15"/>
      <c r="BU967" s="19" t="e">
        <f>IF(#REF!="","",#REF!)</f>
        <v>#REF!</v>
      </c>
      <c r="BV967" s="13">
        <v>4270</v>
      </c>
      <c r="BW967" s="13">
        <f>IF(BV967="","",BV967-BV966)</f>
        <v>205</v>
      </c>
      <c r="BX967" s="13">
        <v>152</v>
      </c>
      <c r="BY967" s="13">
        <f t="shared" ref="BY967:BY972" si="1495">IF(BX967="","",BX967-BX966)</f>
        <v>1</v>
      </c>
      <c r="BZ967" s="13">
        <v>35</v>
      </c>
      <c r="CA967" s="13">
        <f t="shared" si="1479"/>
        <v>1</v>
      </c>
      <c r="CB967" s="13">
        <v>0</v>
      </c>
      <c r="CC967" s="53"/>
      <c r="CD967" s="12">
        <f t="shared" si="1480"/>
        <v>1100</v>
      </c>
      <c r="CE967" s="13">
        <f t="shared" si="1481"/>
        <v>1100</v>
      </c>
      <c r="CF967" s="14">
        <f t="shared" si="1482"/>
        <v>5.3658536585365853E-2</v>
      </c>
      <c r="CG967" s="67"/>
      <c r="CH967" s="1"/>
      <c r="CI967" s="19" t="e">
        <f>IF(#REF!="","",#REF!)</f>
        <v>#REF!</v>
      </c>
      <c r="CJ967" s="13">
        <v>5388</v>
      </c>
      <c r="CK967" s="13">
        <f>IF(CJ967="","",CJ967-CJ966)</f>
        <v>125</v>
      </c>
      <c r="CL967" s="13">
        <v>222</v>
      </c>
      <c r="CM967" s="13">
        <f t="shared" ref="CM967:CM972" si="1496">IF(CL967="","",CL967-CL966)</f>
        <v>9</v>
      </c>
      <c r="CN967" s="13">
        <v>31</v>
      </c>
      <c r="CO967" s="13">
        <f t="shared" si="1483"/>
        <v>7</v>
      </c>
      <c r="CP967" s="13">
        <v>0</v>
      </c>
      <c r="CQ967" s="53"/>
      <c r="CR967" s="12">
        <f t="shared" si="1484"/>
        <v>300</v>
      </c>
      <c r="CS967" s="13">
        <f t="shared" si="1485"/>
        <v>2100</v>
      </c>
      <c r="CT967" s="14">
        <f t="shared" si="1486"/>
        <v>0.16800000000000001</v>
      </c>
      <c r="CU967" s="67"/>
      <c r="CV967" s="1"/>
      <c r="CW967" s="19" t="e">
        <f>IF(#REF!="","",#REF!)</f>
        <v>#REF!</v>
      </c>
      <c r="CX967" s="13">
        <v>3675</v>
      </c>
      <c r="CY967" s="13">
        <f>IF(CX967="","",CX967-CX966)</f>
        <v>49</v>
      </c>
      <c r="CZ967" s="13">
        <v>238</v>
      </c>
      <c r="DA967" s="13">
        <f t="shared" ref="DA967:DA972" si="1497">IF(CZ967="","",CZ967-CZ966)</f>
        <v>5</v>
      </c>
      <c r="DB967" s="13">
        <v>10</v>
      </c>
      <c r="DC967" s="13">
        <f t="shared" si="1487"/>
        <v>2</v>
      </c>
      <c r="DD967" s="13">
        <v>24</v>
      </c>
      <c r="DE967" s="53"/>
      <c r="DF967" s="12">
        <f t="shared" si="1488"/>
        <v>405</v>
      </c>
      <c r="DG967" s="13">
        <f t="shared" si="1489"/>
        <v>810</v>
      </c>
      <c r="DH967" s="14">
        <f t="shared" si="1490"/>
        <v>0.1653061224489796</v>
      </c>
      <c r="DI967" s="67"/>
      <c r="DJ967" s="1"/>
      <c r="DK967" s="19" t="e">
        <f>IF(#REF!="","",#REF!)</f>
        <v>#REF!</v>
      </c>
      <c r="DL967" s="13">
        <v>14608</v>
      </c>
      <c r="DM967" s="13">
        <f>IF(DL967="","",DL967-DL966)</f>
        <v>149</v>
      </c>
      <c r="DN967" s="13">
        <v>777</v>
      </c>
      <c r="DO967" s="13">
        <f t="shared" ref="DO967:DO972" si="1498">IF(DN967="","",DN967-DN966)</f>
        <v>10</v>
      </c>
      <c r="DP967" s="13">
        <v>13</v>
      </c>
      <c r="DQ967" s="13">
        <f t="shared" si="1491"/>
        <v>12</v>
      </c>
      <c r="DR967" s="13">
        <v>8</v>
      </c>
      <c r="DS967" s="53"/>
      <c r="DT967" s="12">
        <f t="shared" si="1492"/>
        <v>385</v>
      </c>
      <c r="DU967" s="13">
        <f t="shared" si="1493"/>
        <v>4620</v>
      </c>
      <c r="DV967" s="14">
        <f t="shared" si="1494"/>
        <v>0.31006711409395971</v>
      </c>
      <c r="DW967" s="67"/>
    </row>
    <row r="968" spans="1:127" ht="15" customHeight="1" thickBot="1" x14ac:dyDescent="0.25">
      <c r="A968" s="26"/>
      <c r="B968" s="46"/>
      <c r="C968" s="27">
        <v>25154</v>
      </c>
      <c r="D968" s="27">
        <v>110</v>
      </c>
      <c r="E968" s="27">
        <v>1242</v>
      </c>
      <c r="F968" s="27">
        <v>7</v>
      </c>
      <c r="G968" s="27">
        <v>28</v>
      </c>
      <c r="H968" s="27">
        <v>6</v>
      </c>
      <c r="I968" s="27">
        <v>21</v>
      </c>
      <c r="J968" s="57" t="s">
        <v>44</v>
      </c>
      <c r="K968" s="27">
        <v>682</v>
      </c>
      <c r="L968" s="27">
        <v>4092</v>
      </c>
      <c r="M968" s="28">
        <v>0.372</v>
      </c>
      <c r="N968" s="15" t="s">
        <v>70</v>
      </c>
      <c r="O968" s="2"/>
      <c r="P968" s="26"/>
      <c r="Q968" s="27">
        <v>17465</v>
      </c>
      <c r="R968" s="27">
        <v>65</v>
      </c>
      <c r="S968" s="27">
        <v>1489</v>
      </c>
      <c r="T968" s="27">
        <v>22</v>
      </c>
      <c r="U968" s="27">
        <v>285</v>
      </c>
      <c r="V968" s="27">
        <v>25</v>
      </c>
      <c r="W968" s="27">
        <v>70</v>
      </c>
      <c r="X968" s="30" t="s">
        <v>67</v>
      </c>
      <c r="Y968" s="27">
        <v>120</v>
      </c>
      <c r="Z968" s="27">
        <v>5000</v>
      </c>
      <c r="AA968" s="28">
        <v>0.76923076923076927</v>
      </c>
      <c r="AB968" s="15" t="s">
        <v>76</v>
      </c>
      <c r="AC968" s="1"/>
      <c r="AD968" s="26"/>
      <c r="AE968" s="27">
        <v>2738</v>
      </c>
      <c r="AF968" s="90">
        <v>37</v>
      </c>
      <c r="AG968" s="27">
        <v>121</v>
      </c>
      <c r="AH968" s="27">
        <v>1</v>
      </c>
      <c r="AI968" s="27">
        <v>3</v>
      </c>
      <c r="AJ968" s="27">
        <v>1</v>
      </c>
      <c r="AK968" s="27">
        <v>5</v>
      </c>
      <c r="AL968" s="108" t="s">
        <v>72</v>
      </c>
      <c r="AM968" s="27">
        <v>660</v>
      </c>
      <c r="AN968" s="27">
        <v>660</v>
      </c>
      <c r="AO968" s="28">
        <v>0.17837837837837839</v>
      </c>
      <c r="AP968" s="15" t="s">
        <v>83</v>
      </c>
      <c r="AQ968" s="2"/>
      <c r="AR968" s="26"/>
      <c r="AS968" s="27">
        <v>3383</v>
      </c>
      <c r="AT968" s="27">
        <v>132</v>
      </c>
      <c r="AU968" s="27">
        <v>147</v>
      </c>
      <c r="AV968" s="27">
        <v>4</v>
      </c>
      <c r="AW968" s="27">
        <v>18</v>
      </c>
      <c r="AX968" s="27">
        <v>2</v>
      </c>
      <c r="AY968" s="27">
        <v>22</v>
      </c>
      <c r="AZ968" s="57" t="s">
        <v>17</v>
      </c>
      <c r="BA968" s="27">
        <v>165</v>
      </c>
      <c r="BB968" s="27">
        <v>330</v>
      </c>
      <c r="BC968" s="28">
        <v>2.5000000000000001E-2</v>
      </c>
      <c r="BD968" s="15" t="s">
        <v>79</v>
      </c>
      <c r="BU968" s="19" t="e">
        <f>IF(#REF!="","",#REF!)</f>
        <v>#REF!</v>
      </c>
      <c r="BV968" s="13">
        <v>4433</v>
      </c>
      <c r="BW968" s="13">
        <f t="shared" ref="BW968:BW972" si="1499">IF(BV968="","",BV968-BV967)</f>
        <v>163</v>
      </c>
      <c r="BX968" s="13">
        <v>154</v>
      </c>
      <c r="BY968" s="13">
        <f t="shared" si="1495"/>
        <v>2</v>
      </c>
      <c r="BZ968" s="13">
        <v>33</v>
      </c>
      <c r="CA968" s="13">
        <f t="shared" si="1479"/>
        <v>2</v>
      </c>
      <c r="CB968" s="13">
        <v>0</v>
      </c>
      <c r="CC968" s="53"/>
      <c r="CD968" s="12">
        <f t="shared" si="1480"/>
        <v>1100</v>
      </c>
      <c r="CE968" s="13">
        <f t="shared" si="1481"/>
        <v>2200</v>
      </c>
      <c r="CF968" s="14">
        <f t="shared" si="1482"/>
        <v>0.13496932515337423</v>
      </c>
      <c r="CG968" s="67"/>
      <c r="CH968" s="1"/>
      <c r="CI968" s="19" t="e">
        <f>IF(#REF!="","",#REF!)</f>
        <v>#REF!</v>
      </c>
      <c r="CJ968" s="13">
        <v>5425</v>
      </c>
      <c r="CK968" s="87">
        <f t="shared" ref="CK968:CK972" si="1500">IF(CJ968="","",CJ968-CJ967)</f>
        <v>37</v>
      </c>
      <c r="CL968" s="13">
        <v>225</v>
      </c>
      <c r="CM968" s="13">
        <f t="shared" si="1496"/>
        <v>3</v>
      </c>
      <c r="CN968" s="13">
        <v>28</v>
      </c>
      <c r="CO968" s="13">
        <f t="shared" si="1483"/>
        <v>3</v>
      </c>
      <c r="CP968" s="13">
        <v>11</v>
      </c>
      <c r="CQ968" s="53"/>
      <c r="CR968" s="12">
        <f t="shared" si="1484"/>
        <v>300</v>
      </c>
      <c r="CS968" s="13">
        <f t="shared" si="1485"/>
        <v>900</v>
      </c>
      <c r="CT968" s="14">
        <f t="shared" si="1486"/>
        <v>0.24324324324324326</v>
      </c>
      <c r="CU968" s="67"/>
      <c r="CV968" s="1"/>
      <c r="CW968" s="19" t="e">
        <f>IF(#REF!="","",#REF!)</f>
        <v>#REF!</v>
      </c>
      <c r="CX968" s="13">
        <v>3727</v>
      </c>
      <c r="CY968" s="87">
        <f t="shared" ref="CY968:CY972" si="1501">IF(CX968="","",CX968-CX967)</f>
        <v>52</v>
      </c>
      <c r="CZ968" s="13">
        <v>244</v>
      </c>
      <c r="DA968" s="13">
        <f t="shared" si="1497"/>
        <v>6</v>
      </c>
      <c r="DB968" s="13">
        <v>28</v>
      </c>
      <c r="DC968" s="13">
        <f t="shared" si="1487"/>
        <v>6</v>
      </c>
      <c r="DD968" s="13">
        <v>12</v>
      </c>
      <c r="DE968" s="53"/>
      <c r="DF968" s="12">
        <f t="shared" si="1488"/>
        <v>405</v>
      </c>
      <c r="DG968" s="13">
        <f t="shared" si="1489"/>
        <v>2430</v>
      </c>
      <c r="DH968" s="14">
        <f t="shared" si="1490"/>
        <v>0.46730769230769231</v>
      </c>
      <c r="DI968" s="67"/>
      <c r="DJ968" s="1"/>
      <c r="DK968" s="19" t="e">
        <f>IF(#REF!="","",#REF!)</f>
        <v>#REF!</v>
      </c>
      <c r="DL968" s="13">
        <v>14671</v>
      </c>
      <c r="DM968" s="87">
        <f t="shared" ref="DM968:DM972" si="1502">IF(DL968="","",DL968-DL967)</f>
        <v>63</v>
      </c>
      <c r="DN968" s="13">
        <v>783</v>
      </c>
      <c r="DO968" s="13">
        <f t="shared" si="1498"/>
        <v>6</v>
      </c>
      <c r="DP968" s="13">
        <v>15</v>
      </c>
      <c r="DQ968" s="13">
        <f t="shared" si="1491"/>
        <v>6</v>
      </c>
      <c r="DR968" s="13">
        <v>16</v>
      </c>
      <c r="DS968" s="53"/>
      <c r="DT968" s="12">
        <f t="shared" si="1492"/>
        <v>385</v>
      </c>
      <c r="DU968" s="13">
        <f t="shared" si="1493"/>
        <v>2310</v>
      </c>
      <c r="DV968" s="14">
        <f t="shared" si="1494"/>
        <v>0.36666666666666664</v>
      </c>
      <c r="DW968" s="67" t="s">
        <v>95</v>
      </c>
    </row>
    <row r="969" spans="1:127" ht="15" customHeight="1" thickTop="1" x14ac:dyDescent="0.2">
      <c r="A969" s="79">
        <v>45765</v>
      </c>
      <c r="B969" s="74">
        <f>IF(A969="","",SUM(D969:D972)+SUM(R969:R972)+SUM(AF969:AF972)+SUM(AT969:AT972))</f>
        <v>1272</v>
      </c>
      <c r="C969" s="31">
        <v>19278</v>
      </c>
      <c r="D969" s="76">
        <f t="shared" ref="D969:D1016" si="1503">IF(C969="","",C969-C965)</f>
        <v>84</v>
      </c>
      <c r="E969" s="53">
        <v>1061</v>
      </c>
      <c r="F969" s="31">
        <f t="shared" ref="F969:F1016" si="1504">IF(E969="","",E969-E965)</f>
        <v>0</v>
      </c>
      <c r="G969" s="53">
        <v>4</v>
      </c>
      <c r="H969" s="53">
        <f t="shared" ref="H969:H1016" si="1505">IF(G969="","",G965+I965-G969)</f>
        <v>0</v>
      </c>
      <c r="I969" s="80">
        <v>3</v>
      </c>
      <c r="J969" s="75" t="str">
        <f t="shared" ref="J969:J1016" si="1506">IF(C969="","",J965)</f>
        <v>ジャグラーサウンドボタン</v>
      </c>
      <c r="K969" s="76">
        <f t="shared" ref="K969:K1016" si="1507">IF(D969="","",K965)</f>
        <v>748</v>
      </c>
      <c r="L969" s="31">
        <f t="shared" ref="L969:L1004" si="1508">IF(G969="","",H969*K969)</f>
        <v>0</v>
      </c>
      <c r="M969" s="32">
        <f t="shared" ref="M969:M1016" si="1509">IF(H969="","",L969/(D969*100))</f>
        <v>0</v>
      </c>
      <c r="N969" s="15"/>
      <c r="O969" s="2"/>
      <c r="P969" s="79">
        <f>IF(A969="","",A969)</f>
        <v>45765</v>
      </c>
      <c r="Q969" s="31">
        <v>19861</v>
      </c>
      <c r="R969" s="76">
        <f t="shared" ref="R969:R1016" si="1510">IF(Q969="","",Q969-Q965)</f>
        <v>161</v>
      </c>
      <c r="S969" s="53">
        <v>1146</v>
      </c>
      <c r="T969" s="31">
        <f t="shared" ref="T969:T1016" si="1511">IF(S969="","",S969-S965)</f>
        <v>6</v>
      </c>
      <c r="U969" s="53">
        <v>5</v>
      </c>
      <c r="V969" s="53">
        <f t="shared" ref="V969:V1016" si="1512">IF(U969="","",U965+W965-U969)</f>
        <v>5</v>
      </c>
      <c r="W969" s="80">
        <v>5</v>
      </c>
      <c r="X969" s="75" t="str">
        <f t="shared" ref="X969:X1016" si="1513">IF(Q969="","",X965)</f>
        <v>じゃがりこイヤホン</v>
      </c>
      <c r="Y969" s="76">
        <f t="shared" ref="Y969:Y1016" si="1514">IF(R969="","",Y965)</f>
        <v>1100</v>
      </c>
      <c r="Z969" s="31">
        <f t="shared" ref="Z969:Z1016" si="1515">IF(U969="","",V969*Y969)</f>
        <v>5500</v>
      </c>
      <c r="AA969" s="32">
        <f t="shared" ref="AA969:AA1016" si="1516">IF(V969="","",Z969/(R969*100))</f>
        <v>0.34161490683229812</v>
      </c>
      <c r="AB969" s="15"/>
      <c r="AC969" s="1"/>
      <c r="AD969" s="79">
        <f>IF($A969="","",$A969)</f>
        <v>45765</v>
      </c>
      <c r="AE969" s="31">
        <v>4123</v>
      </c>
      <c r="AF969" s="76">
        <f t="shared" ref="AF969:AF1016" si="1517">IF(AE969="","",AE969-AE965)</f>
        <v>107</v>
      </c>
      <c r="AG969" s="53">
        <v>87</v>
      </c>
      <c r="AH969" s="31">
        <f t="shared" ref="AH969:AH1016" si="1518">IF(AG969="","",AG969-AG965)</f>
        <v>1</v>
      </c>
      <c r="AI969" s="53">
        <v>38</v>
      </c>
      <c r="AJ969" s="53">
        <f t="shared" ref="AJ969:AJ1016" si="1519">IF(AI969="","",AI965+AK965-AI969)</f>
        <v>1</v>
      </c>
      <c r="AK969" s="80">
        <v>0</v>
      </c>
      <c r="AL969" s="75" t="str">
        <f>IF(AE969="","",AL965)</f>
        <v>ミニ香水</v>
      </c>
      <c r="AM969" s="76">
        <f>IF(AF969="","",AM965)</f>
        <v>1100</v>
      </c>
      <c r="AN969" s="31">
        <f t="shared" ref="AN969:AN1004" si="1520">IF(AI969="","",AJ969*AM969)</f>
        <v>1100</v>
      </c>
      <c r="AO969" s="32">
        <f t="shared" ref="AO969:AO1016" si="1521">IF(AJ969="","",AN969/(AF969*100))</f>
        <v>0.10280373831775701</v>
      </c>
      <c r="AP969" s="15"/>
      <c r="AQ969" s="2"/>
      <c r="AR969" s="79">
        <f>IF($A969="","",$A969)</f>
        <v>45765</v>
      </c>
      <c r="AS969" s="31">
        <v>3904</v>
      </c>
      <c r="AT969" s="76">
        <f t="shared" ref="AT969:AT1016" si="1522">IF(AS969="","",AS969-AS965)</f>
        <v>61</v>
      </c>
      <c r="AU969" s="53">
        <v>121</v>
      </c>
      <c r="AV969" s="31">
        <f t="shared" ref="AV969:AV1016" si="1523">IF(AU969="","",AU969-AU965)</f>
        <v>3</v>
      </c>
      <c r="AW969" s="53">
        <v>29</v>
      </c>
      <c r="AX969" s="53">
        <f t="shared" ref="AX969:AX1016" si="1524">IF(AW969="","",AW965+AY965-AW969)</f>
        <v>9</v>
      </c>
      <c r="AY969" s="80">
        <v>5</v>
      </c>
      <c r="AZ969" s="75" t="str">
        <f t="shared" ref="AZ969:BA971" si="1525">IF(AS969="","",AZ965)</f>
        <v>ロムアンド</v>
      </c>
      <c r="BA969" s="76">
        <f t="shared" si="1525"/>
        <v>1001</v>
      </c>
      <c r="BB969" s="31">
        <f t="shared" ref="BB969:BB1016" si="1526">IF(AW969="","",AX969*BA969)</f>
        <v>9009</v>
      </c>
      <c r="BC969" s="32">
        <f t="shared" ref="BC969:BC1016" si="1527">IF(AX969="","",BB969/(AT969*100))</f>
        <v>1.4768852459016393</v>
      </c>
      <c r="BD969" s="15"/>
      <c r="BU969" s="19" t="e">
        <f>IF(#REF!="","",#REF!)</f>
        <v>#REF!</v>
      </c>
      <c r="BV969" s="13">
        <v>4630</v>
      </c>
      <c r="BW969" s="13">
        <f t="shared" si="1499"/>
        <v>197</v>
      </c>
      <c r="BX969" s="13">
        <v>157</v>
      </c>
      <c r="BY969" s="13">
        <f t="shared" si="1495"/>
        <v>3</v>
      </c>
      <c r="BZ969" s="13">
        <v>30</v>
      </c>
      <c r="CA969" s="13">
        <f t="shared" si="1479"/>
        <v>3</v>
      </c>
      <c r="CB969" s="13">
        <v>6</v>
      </c>
      <c r="CC969" s="53"/>
      <c r="CD969" s="12">
        <f t="shared" si="1480"/>
        <v>1100</v>
      </c>
      <c r="CE969" s="13">
        <f t="shared" si="1481"/>
        <v>3300</v>
      </c>
      <c r="CF969" s="14">
        <f t="shared" si="1482"/>
        <v>0.16751269035532995</v>
      </c>
      <c r="CG969" s="67"/>
      <c r="CH969" s="1"/>
      <c r="CI969" s="19" t="e">
        <f>IF(#REF!="","",#REF!)</f>
        <v>#REF!</v>
      </c>
      <c r="CJ969" s="13">
        <v>5610</v>
      </c>
      <c r="CK969" s="13">
        <f t="shared" si="1500"/>
        <v>185</v>
      </c>
      <c r="CL969" s="13">
        <v>239</v>
      </c>
      <c r="CM969" s="13">
        <f t="shared" si="1496"/>
        <v>14</v>
      </c>
      <c r="CN969" s="13">
        <v>23</v>
      </c>
      <c r="CO969" s="13">
        <f t="shared" si="1483"/>
        <v>16</v>
      </c>
      <c r="CP969" s="13">
        <v>14</v>
      </c>
      <c r="CQ969" s="53"/>
      <c r="CR969" s="12">
        <f t="shared" si="1484"/>
        <v>300</v>
      </c>
      <c r="CS969" s="13">
        <f t="shared" si="1485"/>
        <v>4800</v>
      </c>
      <c r="CT969" s="14">
        <f t="shared" si="1486"/>
        <v>0.25945945945945947</v>
      </c>
      <c r="CU969" s="67"/>
      <c r="CV969" s="1"/>
      <c r="CW969" s="19" t="e">
        <f>IF(#REF!="","",#REF!)</f>
        <v>#REF!</v>
      </c>
      <c r="CX969" s="13">
        <v>3801</v>
      </c>
      <c r="CY969" s="13">
        <f t="shared" si="1501"/>
        <v>74</v>
      </c>
      <c r="CZ969" s="13">
        <v>252</v>
      </c>
      <c r="DA969" s="13">
        <f t="shared" si="1497"/>
        <v>8</v>
      </c>
      <c r="DB969" s="13">
        <v>32</v>
      </c>
      <c r="DC969" s="13">
        <f t="shared" si="1487"/>
        <v>8</v>
      </c>
      <c r="DD969" s="13">
        <v>6</v>
      </c>
      <c r="DE969" s="53"/>
      <c r="DF969" s="12">
        <f t="shared" si="1488"/>
        <v>405</v>
      </c>
      <c r="DG969" s="13">
        <f t="shared" si="1489"/>
        <v>3240</v>
      </c>
      <c r="DH969" s="14">
        <f t="shared" si="1490"/>
        <v>0.43783783783783786</v>
      </c>
      <c r="DI969" s="67" t="s">
        <v>101</v>
      </c>
      <c r="DJ969" s="1"/>
      <c r="DK969" s="19" t="e">
        <f>IF(#REF!="","",#REF!)</f>
        <v>#REF!</v>
      </c>
      <c r="DL969" s="13">
        <v>14799</v>
      </c>
      <c r="DM969" s="13">
        <f t="shared" si="1502"/>
        <v>128</v>
      </c>
      <c r="DN969" s="13">
        <v>793</v>
      </c>
      <c r="DO969" s="13">
        <f t="shared" si="1498"/>
        <v>10</v>
      </c>
      <c r="DP969" s="13">
        <v>17</v>
      </c>
      <c r="DQ969" s="13">
        <f t="shared" si="1491"/>
        <v>14</v>
      </c>
      <c r="DR969" s="13">
        <v>15</v>
      </c>
      <c r="DS969" s="53"/>
      <c r="DT969" s="12">
        <f t="shared" si="1492"/>
        <v>385</v>
      </c>
      <c r="DU969" s="13">
        <f t="shared" si="1493"/>
        <v>5390</v>
      </c>
      <c r="DV969" s="14">
        <f t="shared" si="1494"/>
        <v>0.42109374999999999</v>
      </c>
      <c r="DW969" s="67"/>
    </row>
    <row r="970" spans="1:127" x14ac:dyDescent="0.2">
      <c r="A970" s="103"/>
      <c r="B970" s="11"/>
      <c r="C970" s="53">
        <v>23828</v>
      </c>
      <c r="D970" s="54">
        <f t="shared" si="1503"/>
        <v>47</v>
      </c>
      <c r="E970" s="13">
        <v>1221</v>
      </c>
      <c r="F970" s="13">
        <f t="shared" si="1504"/>
        <v>2</v>
      </c>
      <c r="G970" s="13">
        <v>18</v>
      </c>
      <c r="H970" s="13">
        <f t="shared" si="1505"/>
        <v>1</v>
      </c>
      <c r="I970" s="17">
        <v>4</v>
      </c>
      <c r="J970" s="56" t="str">
        <f t="shared" si="1506"/>
        <v>ゴールドイヤホン</v>
      </c>
      <c r="K970" s="54">
        <f t="shared" si="1507"/>
        <v>770</v>
      </c>
      <c r="L970" s="13">
        <f t="shared" si="1508"/>
        <v>770</v>
      </c>
      <c r="M970" s="14">
        <f t="shared" si="1509"/>
        <v>0.16382978723404254</v>
      </c>
      <c r="N970" s="15"/>
      <c r="O970" s="2"/>
      <c r="P970" s="16"/>
      <c r="Q970" s="53">
        <v>23930</v>
      </c>
      <c r="R970" s="54">
        <f t="shared" si="1510"/>
        <v>71</v>
      </c>
      <c r="S970" s="13">
        <v>1411</v>
      </c>
      <c r="T970" s="13">
        <f t="shared" si="1511"/>
        <v>3</v>
      </c>
      <c r="U970" s="13">
        <v>36</v>
      </c>
      <c r="V970" s="13">
        <f t="shared" si="1512"/>
        <v>4</v>
      </c>
      <c r="W970" s="17">
        <v>0</v>
      </c>
      <c r="X970" s="56" t="str">
        <f t="shared" si="1513"/>
        <v>サンリオアイスドームKH</v>
      </c>
      <c r="Y970" s="54">
        <f t="shared" si="1514"/>
        <v>595</v>
      </c>
      <c r="Z970" s="13">
        <f t="shared" si="1515"/>
        <v>2380</v>
      </c>
      <c r="AA970" s="14">
        <f t="shared" si="1516"/>
        <v>0.3352112676056338</v>
      </c>
      <c r="AB970" s="15"/>
      <c r="AC970" s="1"/>
      <c r="AD970" s="16"/>
      <c r="AE970" s="53">
        <v>2731</v>
      </c>
      <c r="AF970" s="54">
        <f t="shared" si="1517"/>
        <v>71</v>
      </c>
      <c r="AG970" s="13">
        <v>71</v>
      </c>
      <c r="AH970" s="13">
        <f t="shared" si="1518"/>
        <v>1</v>
      </c>
      <c r="AI970" s="13">
        <v>15</v>
      </c>
      <c r="AJ970" s="13">
        <f t="shared" si="1519"/>
        <v>1</v>
      </c>
      <c r="AK970" s="17">
        <v>4</v>
      </c>
      <c r="AL970" s="56" t="s">
        <v>81</v>
      </c>
      <c r="AM970" s="54">
        <f t="shared" ref="AM970:AM1016" si="1528">IF(AF970="","",AM966)</f>
        <v>800</v>
      </c>
      <c r="AN970" s="13">
        <f t="shared" si="1520"/>
        <v>800</v>
      </c>
      <c r="AO970" s="14">
        <f t="shared" si="1521"/>
        <v>0.11267605633802817</v>
      </c>
      <c r="AP970" s="15"/>
      <c r="AQ970" s="2"/>
      <c r="AR970" s="16"/>
      <c r="AS970" s="53">
        <v>2481</v>
      </c>
      <c r="AT970" s="54">
        <f t="shared" si="1522"/>
        <v>47</v>
      </c>
      <c r="AU970" s="13">
        <v>71</v>
      </c>
      <c r="AV970" s="13">
        <f t="shared" si="1523"/>
        <v>4</v>
      </c>
      <c r="AW970" s="13">
        <v>21</v>
      </c>
      <c r="AX970" s="13">
        <f t="shared" si="1524"/>
        <v>4</v>
      </c>
      <c r="AY970" s="17">
        <v>0</v>
      </c>
      <c r="AZ970" s="56" t="str">
        <f t="shared" si="1525"/>
        <v>猫アイシャドウ</v>
      </c>
      <c r="BA970" s="54">
        <f t="shared" si="1525"/>
        <v>1034</v>
      </c>
      <c r="BB970" s="13">
        <f t="shared" si="1526"/>
        <v>4136</v>
      </c>
      <c r="BC970" s="14">
        <f t="shared" si="1527"/>
        <v>0.88</v>
      </c>
      <c r="BD970" s="15"/>
      <c r="BU970" s="19" t="e">
        <f>IF(#REF!="","",#REF!)</f>
        <v>#REF!</v>
      </c>
      <c r="BV970" s="13">
        <v>4757</v>
      </c>
      <c r="BW970" s="13">
        <f t="shared" si="1499"/>
        <v>127</v>
      </c>
      <c r="BX970" s="13">
        <v>158</v>
      </c>
      <c r="BY970" s="13">
        <f t="shared" si="1495"/>
        <v>1</v>
      </c>
      <c r="BZ970" s="13">
        <v>35</v>
      </c>
      <c r="CA970" s="13">
        <f t="shared" si="1479"/>
        <v>1</v>
      </c>
      <c r="CB970" s="13">
        <v>0</v>
      </c>
      <c r="CC970" s="53"/>
      <c r="CD970" s="12">
        <f t="shared" si="1480"/>
        <v>1100</v>
      </c>
      <c r="CE970" s="13">
        <f t="shared" si="1481"/>
        <v>1100</v>
      </c>
      <c r="CF970" s="14">
        <f t="shared" si="1482"/>
        <v>8.6614173228346455E-2</v>
      </c>
      <c r="CG970" s="67"/>
      <c r="CH970" s="1"/>
      <c r="CI970" s="19" t="e">
        <f>IF(#REF!="","",#REF!)</f>
        <v>#REF!</v>
      </c>
      <c r="CJ970" s="13">
        <v>5747</v>
      </c>
      <c r="CK970" s="13">
        <f t="shared" si="1500"/>
        <v>137</v>
      </c>
      <c r="CL970" s="13">
        <v>246</v>
      </c>
      <c r="CM970" s="13">
        <f t="shared" si="1496"/>
        <v>7</v>
      </c>
      <c r="CN970" s="13">
        <v>30</v>
      </c>
      <c r="CO970" s="13">
        <f t="shared" si="1483"/>
        <v>7</v>
      </c>
      <c r="CP970" s="13">
        <v>9</v>
      </c>
      <c r="CQ970" s="53"/>
      <c r="CR970" s="12">
        <f t="shared" si="1484"/>
        <v>300</v>
      </c>
      <c r="CS970" s="13">
        <f t="shared" si="1485"/>
        <v>2100</v>
      </c>
      <c r="CT970" s="14">
        <f t="shared" si="1486"/>
        <v>0.15328467153284672</v>
      </c>
      <c r="CU970" s="67"/>
      <c r="CV970" s="1"/>
      <c r="CW970" s="19" t="e">
        <f>IF(#REF!="","",#REF!)</f>
        <v>#REF!</v>
      </c>
      <c r="CX970" s="13">
        <v>3937</v>
      </c>
      <c r="CY970" s="13">
        <f t="shared" si="1501"/>
        <v>136</v>
      </c>
      <c r="CZ970" s="13">
        <v>259</v>
      </c>
      <c r="DA970" s="13">
        <f t="shared" si="1497"/>
        <v>7</v>
      </c>
      <c r="DB970" s="13">
        <v>30</v>
      </c>
      <c r="DC970" s="13">
        <f t="shared" si="1487"/>
        <v>8</v>
      </c>
      <c r="DD970" s="13">
        <v>30</v>
      </c>
      <c r="DE970" s="53"/>
      <c r="DF970" s="12">
        <f t="shared" si="1488"/>
        <v>405</v>
      </c>
      <c r="DG970" s="13">
        <f t="shared" si="1489"/>
        <v>3240</v>
      </c>
      <c r="DH970" s="14">
        <f t="shared" si="1490"/>
        <v>0.23823529411764705</v>
      </c>
      <c r="DI970" s="67"/>
      <c r="DJ970" s="1"/>
      <c r="DK970" s="19" t="e">
        <f>IF(#REF!="","",#REF!)</f>
        <v>#REF!</v>
      </c>
      <c r="DL970" s="13">
        <v>15007</v>
      </c>
      <c r="DM970" s="13">
        <f t="shared" si="1502"/>
        <v>208</v>
      </c>
      <c r="DN970" s="13">
        <v>814</v>
      </c>
      <c r="DO970" s="13">
        <f t="shared" si="1498"/>
        <v>21</v>
      </c>
      <c r="DP970" s="13">
        <v>10</v>
      </c>
      <c r="DQ970" s="13">
        <f t="shared" si="1491"/>
        <v>22</v>
      </c>
      <c r="DR970" s="13">
        <v>20</v>
      </c>
      <c r="DS970" s="53"/>
      <c r="DT970" s="12">
        <f t="shared" si="1492"/>
        <v>385</v>
      </c>
      <c r="DU970" s="13">
        <f t="shared" si="1493"/>
        <v>8470</v>
      </c>
      <c r="DV970" s="14">
        <f t="shared" si="1494"/>
        <v>0.40721153846153846</v>
      </c>
      <c r="DW970" s="67" t="s">
        <v>106</v>
      </c>
    </row>
    <row r="971" spans="1:127" x14ac:dyDescent="0.2">
      <c r="A971" s="16"/>
      <c r="B971" s="11"/>
      <c r="C971" s="53">
        <v>20038</v>
      </c>
      <c r="D971" s="54">
        <f t="shared" si="1503"/>
        <v>49</v>
      </c>
      <c r="E971" s="13">
        <v>998</v>
      </c>
      <c r="F971" s="13">
        <f t="shared" si="1504"/>
        <v>4</v>
      </c>
      <c r="G971" s="13">
        <v>65</v>
      </c>
      <c r="H971" s="13">
        <f t="shared" si="1505"/>
        <v>5</v>
      </c>
      <c r="I971" s="17">
        <v>18</v>
      </c>
      <c r="J971" s="56" t="str">
        <f t="shared" si="1506"/>
        <v>ジョージラバーキーホルダー</v>
      </c>
      <c r="K971" s="13">
        <f t="shared" si="1507"/>
        <v>600</v>
      </c>
      <c r="L971" s="13">
        <f t="shared" si="1508"/>
        <v>3000</v>
      </c>
      <c r="M971" s="14">
        <f t="shared" si="1509"/>
        <v>0.61224489795918369</v>
      </c>
      <c r="N971" s="15"/>
      <c r="O971" s="2"/>
      <c r="P971" s="16"/>
      <c r="Q971" s="53">
        <v>18462</v>
      </c>
      <c r="R971" s="54">
        <f t="shared" si="1510"/>
        <v>69</v>
      </c>
      <c r="S971" s="13">
        <v>2574</v>
      </c>
      <c r="T971" s="13">
        <f t="shared" si="1511"/>
        <v>7</v>
      </c>
      <c r="U971" s="13">
        <v>6</v>
      </c>
      <c r="V971" s="13">
        <f t="shared" si="1512"/>
        <v>7</v>
      </c>
      <c r="W971" s="17">
        <v>12</v>
      </c>
      <c r="X971" s="56" t="str">
        <f t="shared" si="1513"/>
        <v>グミッツェル</v>
      </c>
      <c r="Y971" s="13">
        <f t="shared" si="1514"/>
        <v>165</v>
      </c>
      <c r="Z971" s="13">
        <f t="shared" si="1515"/>
        <v>1155</v>
      </c>
      <c r="AA971" s="14">
        <f t="shared" si="1516"/>
        <v>0.16739130434782609</v>
      </c>
      <c r="AB971" s="15"/>
      <c r="AC971" s="1"/>
      <c r="AD971" s="16"/>
      <c r="AE971" s="53">
        <v>3500</v>
      </c>
      <c r="AF971" s="54">
        <f t="shared" si="1517"/>
        <v>50</v>
      </c>
      <c r="AG971" s="13">
        <v>113</v>
      </c>
      <c r="AH971" s="13">
        <f t="shared" si="1518"/>
        <v>1</v>
      </c>
      <c r="AI971" s="13">
        <v>9</v>
      </c>
      <c r="AJ971" s="13">
        <f t="shared" si="1519"/>
        <v>1</v>
      </c>
      <c r="AK971" s="17">
        <v>5</v>
      </c>
      <c r="AL971" s="56" t="str">
        <f t="shared" ref="AL971:AL1016" si="1529">IF(AE971="","",AL967)</f>
        <v>ピクミン引っこ抜き</v>
      </c>
      <c r="AM971" s="13">
        <f t="shared" si="1528"/>
        <v>650</v>
      </c>
      <c r="AN971" s="13">
        <f t="shared" si="1520"/>
        <v>650</v>
      </c>
      <c r="AO971" s="14">
        <f t="shared" si="1521"/>
        <v>0.13</v>
      </c>
      <c r="AP971" s="15"/>
      <c r="AQ971" s="2"/>
      <c r="AR971" s="16"/>
      <c r="AS971" s="53">
        <v>3610</v>
      </c>
      <c r="AT971" s="54">
        <f t="shared" si="1522"/>
        <v>174</v>
      </c>
      <c r="AU971" s="13">
        <v>111</v>
      </c>
      <c r="AV971" s="13">
        <f t="shared" si="1523"/>
        <v>4</v>
      </c>
      <c r="AW971" s="13">
        <v>90</v>
      </c>
      <c r="AX971" s="13">
        <f t="shared" si="1524"/>
        <v>5</v>
      </c>
      <c r="AY971" s="17">
        <v>35</v>
      </c>
      <c r="AZ971" s="56" t="str">
        <f t="shared" si="1525"/>
        <v>スプランキーラバーキーホルダー</v>
      </c>
      <c r="BA971" s="13">
        <f t="shared" si="1525"/>
        <v>200</v>
      </c>
      <c r="BB971" s="13">
        <f t="shared" si="1526"/>
        <v>1000</v>
      </c>
      <c r="BC971" s="14">
        <f t="shared" si="1527"/>
        <v>5.7471264367816091E-2</v>
      </c>
      <c r="BD971" s="15"/>
      <c r="BU971" s="19" t="e">
        <f>IF(#REF!="","",#REF!)</f>
        <v>#REF!</v>
      </c>
      <c r="BV971" s="13">
        <v>4866</v>
      </c>
      <c r="BW971" s="13">
        <f t="shared" si="1499"/>
        <v>109</v>
      </c>
      <c r="BX971" s="13">
        <v>160</v>
      </c>
      <c r="BY971" s="13">
        <f t="shared" si="1495"/>
        <v>2</v>
      </c>
      <c r="BZ971" s="13">
        <v>33</v>
      </c>
      <c r="CA971" s="13">
        <f t="shared" si="1479"/>
        <v>2</v>
      </c>
      <c r="CB971" s="13">
        <v>0</v>
      </c>
      <c r="CC971" s="53"/>
      <c r="CD971" s="12">
        <f t="shared" si="1480"/>
        <v>1100</v>
      </c>
      <c r="CE971" s="13">
        <f t="shared" si="1481"/>
        <v>2200</v>
      </c>
      <c r="CF971" s="14">
        <f t="shared" si="1482"/>
        <v>0.20183486238532111</v>
      </c>
      <c r="CG971" s="67"/>
      <c r="CH971" s="1"/>
      <c r="CI971" s="19" t="e">
        <f>IF(#REF!="","",#REF!)</f>
        <v>#REF!</v>
      </c>
      <c r="CJ971" s="13">
        <v>5886</v>
      </c>
      <c r="CK971" s="13">
        <f t="shared" si="1500"/>
        <v>139</v>
      </c>
      <c r="CL971" s="13">
        <v>255</v>
      </c>
      <c r="CM971" s="13">
        <f t="shared" si="1496"/>
        <v>9</v>
      </c>
      <c r="CN971" s="13">
        <v>30</v>
      </c>
      <c r="CO971" s="13">
        <f t="shared" si="1483"/>
        <v>9</v>
      </c>
      <c r="CP971" s="13">
        <v>0</v>
      </c>
      <c r="CQ971" s="53"/>
      <c r="CR971" s="12">
        <f t="shared" si="1484"/>
        <v>300</v>
      </c>
      <c r="CS971" s="13">
        <f t="shared" si="1485"/>
        <v>2700</v>
      </c>
      <c r="CT971" s="14">
        <f t="shared" si="1486"/>
        <v>0.19424460431654678</v>
      </c>
      <c r="CU971" s="67"/>
      <c r="CV971" s="1"/>
      <c r="CW971" s="19" t="e">
        <f>IF(#REF!="","",#REF!)</f>
        <v>#REF!</v>
      </c>
      <c r="CX971" s="13">
        <v>4003</v>
      </c>
      <c r="CY971" s="13">
        <f t="shared" si="1501"/>
        <v>66</v>
      </c>
      <c r="CZ971" s="13">
        <v>268</v>
      </c>
      <c r="DA971" s="13">
        <f t="shared" si="1497"/>
        <v>9</v>
      </c>
      <c r="DB971" s="13">
        <v>50</v>
      </c>
      <c r="DC971" s="13">
        <f t="shared" si="1487"/>
        <v>10</v>
      </c>
      <c r="DD971" s="13">
        <v>0</v>
      </c>
      <c r="DE971" s="53"/>
      <c r="DF971" s="12">
        <f t="shared" si="1488"/>
        <v>405</v>
      </c>
      <c r="DG971" s="13">
        <f t="shared" si="1489"/>
        <v>4050</v>
      </c>
      <c r="DH971" s="14">
        <f t="shared" si="1490"/>
        <v>0.61363636363636365</v>
      </c>
      <c r="DI971" s="67"/>
      <c r="DJ971" s="1"/>
      <c r="DK971" s="19" t="e">
        <f>IF(#REF!="","",#REF!)</f>
        <v>#REF!</v>
      </c>
      <c r="DL971" s="13">
        <v>15084</v>
      </c>
      <c r="DM971" s="13">
        <f t="shared" si="1502"/>
        <v>77</v>
      </c>
      <c r="DN971" s="13">
        <v>822</v>
      </c>
      <c r="DO971" s="13">
        <f t="shared" si="1498"/>
        <v>8</v>
      </c>
      <c r="DP971" s="13">
        <v>22</v>
      </c>
      <c r="DQ971" s="13">
        <f t="shared" si="1491"/>
        <v>8</v>
      </c>
      <c r="DR971" s="13">
        <v>11</v>
      </c>
      <c r="DS971" s="53"/>
      <c r="DT971" s="12">
        <f t="shared" si="1492"/>
        <v>385</v>
      </c>
      <c r="DU971" s="13">
        <f t="shared" si="1493"/>
        <v>3080</v>
      </c>
      <c r="DV971" s="14">
        <f t="shared" si="1494"/>
        <v>0.4</v>
      </c>
      <c r="DW971" s="67"/>
    </row>
    <row r="972" spans="1:127" ht="15" customHeight="1" thickBot="1" x14ac:dyDescent="0.25">
      <c r="A972" s="26"/>
      <c r="B972" s="46"/>
      <c r="C972" s="45">
        <v>25242</v>
      </c>
      <c r="D972" s="62">
        <f t="shared" si="1503"/>
        <v>88</v>
      </c>
      <c r="E972" s="27">
        <v>1245</v>
      </c>
      <c r="F972" s="27">
        <f t="shared" si="1504"/>
        <v>3</v>
      </c>
      <c r="G972" s="27">
        <v>46</v>
      </c>
      <c r="H972" s="27">
        <f t="shared" si="1505"/>
        <v>3</v>
      </c>
      <c r="I972" s="47">
        <v>10</v>
      </c>
      <c r="J972" s="57" t="str">
        <f t="shared" si="1506"/>
        <v>NICIマスコット</v>
      </c>
      <c r="K972" s="62">
        <f t="shared" si="1507"/>
        <v>682</v>
      </c>
      <c r="L972" s="27">
        <f t="shared" si="1508"/>
        <v>2046</v>
      </c>
      <c r="M972" s="28">
        <f t="shared" si="1509"/>
        <v>0.23250000000000001</v>
      </c>
      <c r="N972" s="15"/>
      <c r="O972" s="2"/>
      <c r="P972" s="26"/>
      <c r="Q972" s="45">
        <v>17543</v>
      </c>
      <c r="R972" s="62">
        <f t="shared" si="1510"/>
        <v>78</v>
      </c>
      <c r="S972" s="27">
        <v>1502</v>
      </c>
      <c r="T972" s="27">
        <f t="shared" si="1511"/>
        <v>13</v>
      </c>
      <c r="U972" s="27">
        <v>335</v>
      </c>
      <c r="V972" s="27">
        <f t="shared" si="1512"/>
        <v>20</v>
      </c>
      <c r="W972" s="47">
        <v>0</v>
      </c>
      <c r="X972" s="57" t="str">
        <f t="shared" si="1513"/>
        <v>サンリオブレスレット</v>
      </c>
      <c r="Y972" s="62">
        <f t="shared" si="1514"/>
        <v>120</v>
      </c>
      <c r="Z972" s="27">
        <f t="shared" si="1515"/>
        <v>2400</v>
      </c>
      <c r="AA972" s="28">
        <f t="shared" si="1516"/>
        <v>0.30769230769230771</v>
      </c>
      <c r="AB972" s="15"/>
      <c r="AC972" s="1"/>
      <c r="AD972" s="26"/>
      <c r="AE972" s="45">
        <v>2768</v>
      </c>
      <c r="AF972" s="62">
        <f t="shared" si="1517"/>
        <v>30</v>
      </c>
      <c r="AG972" s="27">
        <v>122</v>
      </c>
      <c r="AH972" s="27">
        <f t="shared" si="1518"/>
        <v>1</v>
      </c>
      <c r="AI972" s="27">
        <v>7</v>
      </c>
      <c r="AJ972" s="27">
        <f t="shared" si="1519"/>
        <v>1</v>
      </c>
      <c r="AK972" s="47">
        <v>0</v>
      </c>
      <c r="AL972" s="57" t="str">
        <f t="shared" si="1529"/>
        <v>サンリオ巻き寿司ポーチ</v>
      </c>
      <c r="AM972" s="62">
        <f t="shared" si="1528"/>
        <v>660</v>
      </c>
      <c r="AN972" s="27">
        <f t="shared" si="1520"/>
        <v>660</v>
      </c>
      <c r="AO972" s="28">
        <f t="shared" si="1521"/>
        <v>0.22</v>
      </c>
      <c r="AP972" s="15"/>
      <c r="AQ972" s="2"/>
      <c r="AR972" s="26"/>
      <c r="AS972" s="45">
        <v>3468</v>
      </c>
      <c r="AT972" s="62">
        <f t="shared" si="1522"/>
        <v>85</v>
      </c>
      <c r="AU972" s="27">
        <v>150</v>
      </c>
      <c r="AV972" s="27">
        <f t="shared" si="1523"/>
        <v>3</v>
      </c>
      <c r="AW972" s="27">
        <v>35</v>
      </c>
      <c r="AX972" s="27">
        <f t="shared" si="1524"/>
        <v>5</v>
      </c>
      <c r="AY972" s="47">
        <v>0</v>
      </c>
      <c r="AZ972" s="57" t="s">
        <v>82</v>
      </c>
      <c r="BA972" s="62">
        <v>180</v>
      </c>
      <c r="BB972" s="27">
        <f t="shared" si="1526"/>
        <v>900</v>
      </c>
      <c r="BC972" s="28">
        <f t="shared" si="1527"/>
        <v>0.10588235294117647</v>
      </c>
      <c r="BD972" s="15"/>
      <c r="BU972" s="19" t="e">
        <f>IF(#REF!="","",#REF!)</f>
        <v>#REF!</v>
      </c>
      <c r="BV972" s="13">
        <v>4938</v>
      </c>
      <c r="BW972" s="13">
        <f t="shared" si="1499"/>
        <v>72</v>
      </c>
      <c r="BX972" s="13">
        <v>162</v>
      </c>
      <c r="BY972" s="13">
        <f t="shared" si="1495"/>
        <v>2</v>
      </c>
      <c r="BZ972" s="13">
        <v>30</v>
      </c>
      <c r="CA972" s="13">
        <f t="shared" si="1479"/>
        <v>3</v>
      </c>
      <c r="CB972" s="13">
        <v>4</v>
      </c>
      <c r="CC972" s="53"/>
      <c r="CD972" s="12">
        <f t="shared" si="1480"/>
        <v>1100</v>
      </c>
      <c r="CE972" s="13">
        <f t="shared" si="1481"/>
        <v>3300</v>
      </c>
      <c r="CF972" s="14">
        <f t="shared" si="1482"/>
        <v>0.45833333333333331</v>
      </c>
      <c r="CG972" s="67"/>
      <c r="CH972" s="1"/>
      <c r="CI972" s="19" t="e">
        <f>IF(#REF!="","",#REF!)</f>
        <v>#REF!</v>
      </c>
      <c r="CJ972" s="13">
        <v>5925</v>
      </c>
      <c r="CK972" s="13">
        <f t="shared" si="1500"/>
        <v>39</v>
      </c>
      <c r="CL972" s="13">
        <v>258</v>
      </c>
      <c r="CM972" s="13">
        <f t="shared" si="1496"/>
        <v>3</v>
      </c>
      <c r="CN972" s="13">
        <v>27</v>
      </c>
      <c r="CO972" s="13">
        <f t="shared" si="1483"/>
        <v>3</v>
      </c>
      <c r="CP972" s="13">
        <v>14</v>
      </c>
      <c r="CQ972" s="53"/>
      <c r="CR972" s="12">
        <f t="shared" si="1484"/>
        <v>300</v>
      </c>
      <c r="CS972" s="13">
        <f t="shared" si="1485"/>
        <v>900</v>
      </c>
      <c r="CT972" s="14">
        <f t="shared" si="1486"/>
        <v>0.23076923076923078</v>
      </c>
      <c r="CU972" s="67"/>
      <c r="CV972" s="1"/>
      <c r="CW972" s="19" t="e">
        <f>IF(#REF!="","",#REF!)</f>
        <v>#REF!</v>
      </c>
      <c r="CX972" s="13">
        <v>4035</v>
      </c>
      <c r="CY972" s="13">
        <f t="shared" si="1501"/>
        <v>32</v>
      </c>
      <c r="CZ972" s="13">
        <v>271</v>
      </c>
      <c r="DA972" s="13">
        <f t="shared" si="1497"/>
        <v>3</v>
      </c>
      <c r="DB972" s="13">
        <v>46</v>
      </c>
      <c r="DC972" s="13">
        <f t="shared" si="1487"/>
        <v>4</v>
      </c>
      <c r="DD972" s="13">
        <v>0</v>
      </c>
      <c r="DE972" s="53"/>
      <c r="DF972" s="12">
        <f t="shared" si="1488"/>
        <v>405</v>
      </c>
      <c r="DG972" s="13">
        <f t="shared" si="1489"/>
        <v>1620</v>
      </c>
      <c r="DH972" s="14">
        <f t="shared" si="1490"/>
        <v>0.50624999999999998</v>
      </c>
      <c r="DI972" s="67"/>
      <c r="DJ972" s="1"/>
      <c r="DK972" s="19" t="e">
        <f>IF(#REF!="","",#REF!)</f>
        <v>#REF!</v>
      </c>
      <c r="DL972" s="13">
        <v>15151</v>
      </c>
      <c r="DM972" s="13">
        <f t="shared" si="1502"/>
        <v>67</v>
      </c>
      <c r="DN972" s="13">
        <v>829</v>
      </c>
      <c r="DO972" s="13">
        <f t="shared" si="1498"/>
        <v>7</v>
      </c>
      <c r="DP972" s="13">
        <v>25</v>
      </c>
      <c r="DQ972" s="13">
        <f t="shared" si="1491"/>
        <v>8</v>
      </c>
      <c r="DR972" s="13">
        <v>10</v>
      </c>
      <c r="DS972" s="53"/>
      <c r="DT972" s="12">
        <f t="shared" si="1492"/>
        <v>385</v>
      </c>
      <c r="DU972" s="13">
        <f t="shared" si="1493"/>
        <v>3080</v>
      </c>
      <c r="DV972" s="14">
        <f t="shared" si="1494"/>
        <v>0.45970149253731341</v>
      </c>
      <c r="DW972" s="109" t="s">
        <v>110</v>
      </c>
    </row>
    <row r="973" spans="1:127" ht="15.75" thickTop="1" x14ac:dyDescent="0.2">
      <c r="A973" s="79">
        <v>45768</v>
      </c>
      <c r="B973" s="74">
        <f>IF(A973="","",SUM(D973:D976)+SUM(R973:R976)+SUM(AF973:AF976)+SUM(AT973:AT976))</f>
        <v>1886</v>
      </c>
      <c r="C973" s="53">
        <v>19454</v>
      </c>
      <c r="D973" s="53">
        <f t="shared" si="1503"/>
        <v>176</v>
      </c>
      <c r="E973" s="53">
        <v>1064</v>
      </c>
      <c r="F973" s="31">
        <f t="shared" si="1504"/>
        <v>3</v>
      </c>
      <c r="G973" s="53">
        <v>4</v>
      </c>
      <c r="H973" s="53">
        <f t="shared" si="1505"/>
        <v>3</v>
      </c>
      <c r="I973" s="80">
        <v>0</v>
      </c>
      <c r="J973" s="75" t="str">
        <f t="shared" si="1506"/>
        <v>ジャグラーサウンドボタン</v>
      </c>
      <c r="K973" s="76">
        <f t="shared" si="1507"/>
        <v>748</v>
      </c>
      <c r="L973" s="31">
        <f t="shared" si="1508"/>
        <v>2244</v>
      </c>
      <c r="M973" s="32">
        <f t="shared" si="1509"/>
        <v>0.1275</v>
      </c>
      <c r="N973" s="15"/>
      <c r="O973" s="2"/>
      <c r="P973" s="79">
        <f>IF(A973="","",A973)</f>
        <v>45768</v>
      </c>
      <c r="Q973" s="53">
        <v>19929</v>
      </c>
      <c r="R973" s="53">
        <f t="shared" si="1510"/>
        <v>68</v>
      </c>
      <c r="S973" s="53">
        <v>1149</v>
      </c>
      <c r="T973" s="31">
        <f t="shared" si="1511"/>
        <v>3</v>
      </c>
      <c r="U973" s="53">
        <v>7</v>
      </c>
      <c r="V973" s="53">
        <f t="shared" si="1512"/>
        <v>3</v>
      </c>
      <c r="W973" s="80">
        <v>3</v>
      </c>
      <c r="X973" s="75" t="str">
        <f t="shared" si="1513"/>
        <v>じゃがりこイヤホン</v>
      </c>
      <c r="Y973" s="76">
        <f t="shared" si="1514"/>
        <v>1100</v>
      </c>
      <c r="Z973" s="31">
        <f t="shared" si="1515"/>
        <v>3300</v>
      </c>
      <c r="AA973" s="32">
        <f t="shared" si="1516"/>
        <v>0.48529411764705882</v>
      </c>
      <c r="AB973" s="15"/>
      <c r="AC973" s="1"/>
      <c r="AD973" s="79">
        <f>IF($A973="","",$A973)</f>
        <v>45768</v>
      </c>
      <c r="AE973" s="53">
        <v>4197</v>
      </c>
      <c r="AF973" s="53">
        <f t="shared" si="1517"/>
        <v>74</v>
      </c>
      <c r="AG973" s="53">
        <v>89</v>
      </c>
      <c r="AH973" s="31">
        <f t="shared" si="1518"/>
        <v>2</v>
      </c>
      <c r="AI973" s="53">
        <v>36</v>
      </c>
      <c r="AJ973" s="53">
        <f t="shared" si="1519"/>
        <v>2</v>
      </c>
      <c r="AK973" s="80">
        <v>4</v>
      </c>
      <c r="AL973" s="75" t="str">
        <f t="shared" si="1529"/>
        <v>ミニ香水</v>
      </c>
      <c r="AM973" s="76">
        <f t="shared" si="1528"/>
        <v>1100</v>
      </c>
      <c r="AN973" s="31">
        <f t="shared" si="1520"/>
        <v>2200</v>
      </c>
      <c r="AO973" s="32">
        <f t="shared" si="1521"/>
        <v>0.29729729729729731</v>
      </c>
      <c r="AP973" s="15"/>
      <c r="AQ973" s="2"/>
      <c r="AR973" s="79">
        <f>IF($A973="","",$A973)</f>
        <v>45768</v>
      </c>
      <c r="AS973" s="53">
        <v>4016</v>
      </c>
      <c r="AT973" s="53">
        <f t="shared" si="1522"/>
        <v>112</v>
      </c>
      <c r="AU973" s="53">
        <v>123</v>
      </c>
      <c r="AV973" s="31">
        <f t="shared" si="1523"/>
        <v>2</v>
      </c>
      <c r="AW973" s="53">
        <v>32</v>
      </c>
      <c r="AX973" s="53">
        <f t="shared" si="1524"/>
        <v>2</v>
      </c>
      <c r="AY973" s="80">
        <v>0</v>
      </c>
      <c r="AZ973" s="75" t="str">
        <f t="shared" ref="AZ973:AZ1016" si="1530">IF(AS973="","",AZ969)</f>
        <v>ロムアンド</v>
      </c>
      <c r="BA973" s="76">
        <f t="shared" ref="BA973:BA1016" si="1531">IF(AT973="","",BA969)</f>
        <v>1001</v>
      </c>
      <c r="BB973" s="31">
        <f t="shared" si="1526"/>
        <v>2002</v>
      </c>
      <c r="BC973" s="32">
        <f t="shared" si="1527"/>
        <v>0.17874999999999999</v>
      </c>
      <c r="BD973" s="15"/>
      <c r="BU973" s="19" t="e">
        <f>IF(#REF!="","",#REF!)</f>
        <v>#REF!</v>
      </c>
      <c r="BV973" s="13"/>
      <c r="BW973" s="13"/>
      <c r="BX973" s="13"/>
      <c r="BY973" s="13"/>
      <c r="BZ973" s="13"/>
      <c r="CA973" s="13"/>
      <c r="CB973" s="13"/>
      <c r="CC973" s="53"/>
      <c r="CD973" s="12"/>
      <c r="CE973" s="13"/>
      <c r="CF973" s="14"/>
      <c r="CG973" s="67"/>
      <c r="CH973" s="1"/>
      <c r="CI973" s="19"/>
      <c r="CJ973" s="13"/>
      <c r="CK973" s="13"/>
      <c r="CL973" s="13"/>
      <c r="CM973" s="13"/>
      <c r="CN973" s="13"/>
      <c r="CO973" s="13"/>
      <c r="CP973" s="13"/>
      <c r="CQ973" s="53"/>
      <c r="CR973" s="12"/>
      <c r="CS973" s="13"/>
      <c r="CT973" s="14"/>
      <c r="CU973" s="67"/>
      <c r="CV973" s="1"/>
      <c r="CW973" s="19"/>
      <c r="CX973" s="13"/>
      <c r="CY973" s="13"/>
      <c r="CZ973" s="13"/>
      <c r="DA973" s="13"/>
      <c r="DB973" s="13"/>
      <c r="DC973" s="13"/>
      <c r="DD973" s="13"/>
      <c r="DE973" s="53"/>
      <c r="DF973" s="12"/>
      <c r="DG973" s="13"/>
      <c r="DH973" s="14"/>
      <c r="DI973" s="67"/>
      <c r="DJ973" s="1"/>
      <c r="DK973" s="19"/>
      <c r="DL973" s="13"/>
      <c r="DM973" s="13"/>
      <c r="DN973" s="13"/>
      <c r="DO973" s="13"/>
      <c r="DP973" s="13"/>
      <c r="DQ973" s="13"/>
      <c r="DR973" s="13"/>
      <c r="DS973" s="53"/>
      <c r="DT973" s="12"/>
      <c r="DU973" s="13"/>
      <c r="DV973" s="14"/>
      <c r="DW973" s="67"/>
    </row>
    <row r="974" spans="1:127" x14ac:dyDescent="0.2">
      <c r="A974" s="16"/>
      <c r="B974" s="11"/>
      <c r="C974" s="53">
        <v>23934</v>
      </c>
      <c r="D974" s="13">
        <f t="shared" si="1503"/>
        <v>106</v>
      </c>
      <c r="E974" s="13">
        <v>1225</v>
      </c>
      <c r="F974" s="13">
        <f t="shared" si="1504"/>
        <v>4</v>
      </c>
      <c r="G974" s="13">
        <v>18</v>
      </c>
      <c r="H974" s="13">
        <f t="shared" si="1505"/>
        <v>4</v>
      </c>
      <c r="I974" s="17">
        <v>3</v>
      </c>
      <c r="J974" s="56" t="str">
        <f t="shared" si="1506"/>
        <v>ゴールドイヤホン</v>
      </c>
      <c r="K974" s="54">
        <f t="shared" si="1507"/>
        <v>770</v>
      </c>
      <c r="L974" s="13">
        <f t="shared" si="1508"/>
        <v>3080</v>
      </c>
      <c r="M974" s="14">
        <f t="shared" si="1509"/>
        <v>0.29056603773584905</v>
      </c>
      <c r="N974" s="15"/>
      <c r="O974" s="2"/>
      <c r="P974" s="16"/>
      <c r="Q974" s="53">
        <v>24006</v>
      </c>
      <c r="R974" s="13">
        <f t="shared" si="1510"/>
        <v>76</v>
      </c>
      <c r="S974" s="13">
        <v>1413</v>
      </c>
      <c r="T974" s="13">
        <f t="shared" si="1511"/>
        <v>2</v>
      </c>
      <c r="U974" s="13">
        <v>34</v>
      </c>
      <c r="V974" s="13">
        <f t="shared" si="1512"/>
        <v>2</v>
      </c>
      <c r="W974" s="17">
        <v>-10</v>
      </c>
      <c r="X974" s="56" t="str">
        <f t="shared" si="1513"/>
        <v>サンリオアイスドームKH</v>
      </c>
      <c r="Y974" s="54">
        <f t="shared" si="1514"/>
        <v>595</v>
      </c>
      <c r="Z974" s="13">
        <f t="shared" si="1515"/>
        <v>1190</v>
      </c>
      <c r="AA974" s="14">
        <f t="shared" si="1516"/>
        <v>0.15657894736842104</v>
      </c>
      <c r="AB974" s="15"/>
      <c r="AC974" s="1"/>
      <c r="AD974" s="16"/>
      <c r="AE974" s="53">
        <v>2946</v>
      </c>
      <c r="AF974" s="13">
        <f t="shared" si="1517"/>
        <v>215</v>
      </c>
      <c r="AG974" s="13">
        <v>76</v>
      </c>
      <c r="AH974" s="13">
        <f t="shared" si="1518"/>
        <v>5</v>
      </c>
      <c r="AI974" s="13">
        <v>16</v>
      </c>
      <c r="AJ974" s="13">
        <f t="shared" si="1519"/>
        <v>3</v>
      </c>
      <c r="AK974" s="17">
        <v>4</v>
      </c>
      <c r="AL974" s="56" t="str">
        <f t="shared" si="1529"/>
        <v>デジタルミニカメラ</v>
      </c>
      <c r="AM974" s="54">
        <f t="shared" si="1528"/>
        <v>800</v>
      </c>
      <c r="AN974" s="13">
        <f t="shared" si="1520"/>
        <v>2400</v>
      </c>
      <c r="AO974" s="14">
        <f t="shared" si="1521"/>
        <v>0.11162790697674418</v>
      </c>
      <c r="AP974" s="15"/>
      <c r="AQ974" s="2"/>
      <c r="AR974" s="16"/>
      <c r="AS974" s="53">
        <v>2540</v>
      </c>
      <c r="AT974" s="13">
        <f t="shared" si="1522"/>
        <v>59</v>
      </c>
      <c r="AU974" s="13">
        <v>77</v>
      </c>
      <c r="AV974" s="13">
        <f t="shared" si="1523"/>
        <v>6</v>
      </c>
      <c r="AW974" s="13">
        <v>16</v>
      </c>
      <c r="AX974" s="13">
        <f t="shared" si="1524"/>
        <v>5</v>
      </c>
      <c r="AY974" s="17">
        <v>0</v>
      </c>
      <c r="AZ974" s="56" t="str">
        <f t="shared" si="1530"/>
        <v>猫アイシャドウ</v>
      </c>
      <c r="BA974" s="54">
        <f t="shared" si="1531"/>
        <v>1034</v>
      </c>
      <c r="BB974" s="13">
        <f t="shared" si="1526"/>
        <v>5170</v>
      </c>
      <c r="BC974" s="14">
        <f t="shared" si="1527"/>
        <v>0.87627118644067792</v>
      </c>
      <c r="BD974" s="15" t="s">
        <v>84</v>
      </c>
      <c r="BU974" s="19" t="e">
        <f>IF(#REF!="","",#REF!)</f>
        <v>#REF!</v>
      </c>
      <c r="BV974" s="13"/>
      <c r="BW974" s="13" t="str">
        <f>IF(BV974="","",BV974-BV973)</f>
        <v/>
      </c>
      <c r="BX974" s="13"/>
      <c r="BY974" s="13" t="str">
        <f>IF(BX974="","",BX974-BX973)</f>
        <v/>
      </c>
      <c r="BZ974" s="13"/>
      <c r="CA974" s="13" t="str">
        <f t="shared" si="1479"/>
        <v/>
      </c>
      <c r="CB974" s="13"/>
      <c r="CC974" s="53"/>
      <c r="CD974" s="12" t="str">
        <f t="shared" si="1480"/>
        <v/>
      </c>
      <c r="CE974" s="13" t="str">
        <f t="shared" si="1481"/>
        <v/>
      </c>
      <c r="CF974" s="14" t="str">
        <f t="shared" si="1482"/>
        <v/>
      </c>
      <c r="CG974" s="67"/>
      <c r="CH974" s="1"/>
      <c r="CI974" s="19" t="e">
        <f>IF(#REF!="","",#REF!)</f>
        <v>#REF!</v>
      </c>
      <c r="CJ974" s="13"/>
      <c r="CK974" s="13" t="str">
        <f>IF(CJ974="","",CJ974-CJ973)</f>
        <v/>
      </c>
      <c r="CL974" s="13"/>
      <c r="CM974" s="13" t="str">
        <f>IF(CL974="","",CL974-CL973)</f>
        <v/>
      </c>
      <c r="CN974" s="13"/>
      <c r="CO974" s="13" t="str">
        <f t="shared" si="1483"/>
        <v/>
      </c>
      <c r="CP974" s="13"/>
      <c r="CQ974" s="53"/>
      <c r="CR974" s="12" t="str">
        <f t="shared" si="1484"/>
        <v/>
      </c>
      <c r="CS974" s="13" t="str">
        <f t="shared" si="1485"/>
        <v/>
      </c>
      <c r="CT974" s="14" t="str">
        <f t="shared" si="1486"/>
        <v/>
      </c>
      <c r="CU974" s="67"/>
      <c r="CV974" s="1"/>
      <c r="CW974" s="19" t="e">
        <f>IF(#REF!="","",#REF!)</f>
        <v>#REF!</v>
      </c>
      <c r="CX974" s="13"/>
      <c r="CY974" s="13" t="str">
        <f>IF(CX974="","",CX974-CX973)</f>
        <v/>
      </c>
      <c r="CZ974" s="13"/>
      <c r="DA974" s="13" t="str">
        <f>IF(CZ974="","",CZ974-CZ973)</f>
        <v/>
      </c>
      <c r="DB974" s="13"/>
      <c r="DC974" s="13" t="str">
        <f t="shared" si="1487"/>
        <v/>
      </c>
      <c r="DD974" s="13"/>
      <c r="DE974" s="53"/>
      <c r="DF974" s="12" t="str">
        <f t="shared" si="1488"/>
        <v/>
      </c>
      <c r="DG974" s="13" t="str">
        <f t="shared" si="1489"/>
        <v/>
      </c>
      <c r="DH974" s="14" t="str">
        <f t="shared" si="1490"/>
        <v/>
      </c>
      <c r="DI974" s="67"/>
      <c r="DJ974" s="1"/>
      <c r="DK974" s="19" t="e">
        <f>IF(#REF!="","",#REF!)</f>
        <v>#REF!</v>
      </c>
      <c r="DL974" s="13"/>
      <c r="DM974" s="13" t="str">
        <f>IF(DL974="","",DL974-DL973)</f>
        <v/>
      </c>
      <c r="DN974" s="13"/>
      <c r="DO974" s="13" t="str">
        <f>IF(DN974="","",DN974-DN973)</f>
        <v/>
      </c>
      <c r="DP974" s="13"/>
      <c r="DQ974" s="13" t="str">
        <f t="shared" si="1491"/>
        <v/>
      </c>
      <c r="DR974" s="13"/>
      <c r="DS974" s="53"/>
      <c r="DT974" s="12" t="str">
        <f t="shared" si="1492"/>
        <v/>
      </c>
      <c r="DU974" s="13" t="str">
        <f t="shared" si="1493"/>
        <v/>
      </c>
      <c r="DV974" s="14" t="str">
        <f t="shared" si="1494"/>
        <v/>
      </c>
      <c r="DW974" s="67"/>
    </row>
    <row r="975" spans="1:127" x14ac:dyDescent="0.2">
      <c r="A975" s="16"/>
      <c r="B975" s="11"/>
      <c r="C975" s="63">
        <v>20105</v>
      </c>
      <c r="D975" s="13">
        <f t="shared" si="1503"/>
        <v>67</v>
      </c>
      <c r="E975" s="13">
        <v>1002</v>
      </c>
      <c r="F975" s="13">
        <f t="shared" si="1504"/>
        <v>4</v>
      </c>
      <c r="G975" s="13">
        <v>68</v>
      </c>
      <c r="H975" s="13">
        <f t="shared" si="1505"/>
        <v>15</v>
      </c>
      <c r="I975" s="17">
        <v>0</v>
      </c>
      <c r="J975" s="56" t="str">
        <f t="shared" si="1506"/>
        <v>ジョージラバーキーホルダー</v>
      </c>
      <c r="K975" s="13">
        <f t="shared" si="1507"/>
        <v>600</v>
      </c>
      <c r="L975" s="13">
        <f t="shared" si="1508"/>
        <v>9000</v>
      </c>
      <c r="M975" s="14">
        <f t="shared" si="1509"/>
        <v>1.3432835820895523</v>
      </c>
      <c r="N975" s="15"/>
      <c r="O975" s="2"/>
      <c r="P975" s="16"/>
      <c r="Q975" s="63">
        <v>18575</v>
      </c>
      <c r="R975" s="13">
        <f t="shared" si="1510"/>
        <v>113</v>
      </c>
      <c r="S975" s="13">
        <v>2584</v>
      </c>
      <c r="T975" s="13">
        <f t="shared" si="1511"/>
        <v>10</v>
      </c>
      <c r="U975" s="13">
        <v>5</v>
      </c>
      <c r="V975" s="13">
        <f t="shared" si="1512"/>
        <v>13</v>
      </c>
      <c r="W975" s="17">
        <v>12</v>
      </c>
      <c r="X975" s="56" t="str">
        <f t="shared" si="1513"/>
        <v>グミッツェル</v>
      </c>
      <c r="Y975" s="13">
        <f t="shared" si="1514"/>
        <v>165</v>
      </c>
      <c r="Z975" s="13">
        <f t="shared" si="1515"/>
        <v>2145</v>
      </c>
      <c r="AA975" s="14">
        <f t="shared" si="1516"/>
        <v>0.18982300884955752</v>
      </c>
      <c r="AB975" s="15"/>
      <c r="AC975" s="1"/>
      <c r="AD975" s="16"/>
      <c r="AE975" s="63">
        <v>3599</v>
      </c>
      <c r="AF975" s="13">
        <f t="shared" si="1517"/>
        <v>99</v>
      </c>
      <c r="AG975" s="13">
        <v>116</v>
      </c>
      <c r="AH975" s="13">
        <f t="shared" si="1518"/>
        <v>3</v>
      </c>
      <c r="AI975" s="13">
        <v>11</v>
      </c>
      <c r="AJ975" s="13">
        <f t="shared" si="1519"/>
        <v>3</v>
      </c>
      <c r="AK975" s="17">
        <v>4</v>
      </c>
      <c r="AL975" s="56" t="str">
        <f t="shared" si="1529"/>
        <v>ピクミン引っこ抜き</v>
      </c>
      <c r="AM975" s="13">
        <f t="shared" si="1528"/>
        <v>650</v>
      </c>
      <c r="AN975" s="13">
        <f t="shared" si="1520"/>
        <v>1950</v>
      </c>
      <c r="AO975" s="14">
        <f t="shared" si="1521"/>
        <v>0.19696969696969696</v>
      </c>
      <c r="AP975" s="15"/>
      <c r="AQ975" s="2"/>
      <c r="AR975" s="16"/>
      <c r="AS975" s="63">
        <v>3786</v>
      </c>
      <c r="AT975" s="13">
        <f t="shared" si="1522"/>
        <v>176</v>
      </c>
      <c r="AU975" s="13">
        <v>121</v>
      </c>
      <c r="AV975" s="13">
        <f t="shared" si="1523"/>
        <v>10</v>
      </c>
      <c r="AW975" s="13">
        <v>115</v>
      </c>
      <c r="AX975" s="13">
        <f t="shared" si="1524"/>
        <v>10</v>
      </c>
      <c r="AY975" s="17">
        <v>0</v>
      </c>
      <c r="AZ975" s="56" t="str">
        <f t="shared" si="1530"/>
        <v>スプランキーラバーキーホルダー</v>
      </c>
      <c r="BA975" s="13">
        <f t="shared" si="1531"/>
        <v>200</v>
      </c>
      <c r="BB975" s="13">
        <f t="shared" si="1526"/>
        <v>2000</v>
      </c>
      <c r="BC975" s="14">
        <f t="shared" si="1527"/>
        <v>0.11363636363636363</v>
      </c>
      <c r="BD975" s="15"/>
      <c r="BU975" s="19" t="e">
        <f>IF(#REF!="","",#REF!)</f>
        <v>#REF!</v>
      </c>
      <c r="BV975" s="13"/>
      <c r="BW975" s="13" t="str">
        <f t="shared" ref="BW975:BW978" si="1532">IF(BV975="","",BV975-BV974)</f>
        <v/>
      </c>
      <c r="BX975" s="13"/>
      <c r="BY975" s="13" t="str">
        <f t="shared" ref="BY975:BY978" si="1533">IF(BX975="","",BX975-BX974)</f>
        <v/>
      </c>
      <c r="BZ975" s="13"/>
      <c r="CA975" s="13" t="str">
        <f t="shared" si="1479"/>
        <v/>
      </c>
      <c r="CB975" s="13"/>
      <c r="CC975" s="53"/>
      <c r="CD975" s="12" t="str">
        <f t="shared" si="1480"/>
        <v/>
      </c>
      <c r="CE975" s="13" t="str">
        <f t="shared" si="1481"/>
        <v/>
      </c>
      <c r="CF975" s="14" t="str">
        <f t="shared" si="1482"/>
        <v/>
      </c>
      <c r="CG975" s="15"/>
      <c r="CH975" s="1"/>
      <c r="CI975" s="19" t="e">
        <f>IF(#REF!="","",#REF!)</f>
        <v>#REF!</v>
      </c>
      <c r="CJ975" s="13"/>
      <c r="CK975" s="13" t="str">
        <f t="shared" ref="CK975:CK978" si="1534">IF(CJ975="","",CJ975-CJ974)</f>
        <v/>
      </c>
      <c r="CL975" s="13"/>
      <c r="CM975" s="13" t="str">
        <f t="shared" ref="CM975:CM978" si="1535">IF(CL975="","",CL975-CL974)</f>
        <v/>
      </c>
      <c r="CN975" s="13"/>
      <c r="CO975" s="13" t="str">
        <f t="shared" si="1483"/>
        <v/>
      </c>
      <c r="CP975" s="13"/>
      <c r="CQ975" s="53"/>
      <c r="CR975" s="12" t="str">
        <f t="shared" si="1484"/>
        <v/>
      </c>
      <c r="CS975" s="13" t="str">
        <f t="shared" si="1485"/>
        <v/>
      </c>
      <c r="CT975" s="14" t="str">
        <f t="shared" si="1486"/>
        <v/>
      </c>
      <c r="CU975" s="15"/>
      <c r="CV975" s="1"/>
      <c r="CW975" s="19" t="e">
        <f>IF(#REF!="","",#REF!)</f>
        <v>#REF!</v>
      </c>
      <c r="CX975" s="13"/>
      <c r="CY975" s="13" t="str">
        <f t="shared" ref="CY975:CY978" si="1536">IF(CX975="","",CX975-CX974)</f>
        <v/>
      </c>
      <c r="CZ975" s="13"/>
      <c r="DA975" s="13" t="str">
        <f t="shared" ref="DA975:DA978" si="1537">IF(CZ975="","",CZ975-CZ974)</f>
        <v/>
      </c>
      <c r="DB975" s="13"/>
      <c r="DC975" s="13" t="str">
        <f t="shared" si="1487"/>
        <v/>
      </c>
      <c r="DD975" s="13"/>
      <c r="DE975" s="53"/>
      <c r="DF975" s="12" t="str">
        <f t="shared" si="1488"/>
        <v/>
      </c>
      <c r="DG975" s="13" t="str">
        <f t="shared" si="1489"/>
        <v/>
      </c>
      <c r="DH975" s="14" t="str">
        <f t="shared" si="1490"/>
        <v/>
      </c>
      <c r="DI975" s="15"/>
      <c r="DJ975" s="1"/>
      <c r="DK975" s="19" t="e">
        <f>IF(#REF!="","",#REF!)</f>
        <v>#REF!</v>
      </c>
      <c r="DL975" s="13"/>
      <c r="DM975" s="13" t="str">
        <f t="shared" ref="DM975:DM978" si="1538">IF(DL975="","",DL975-DL974)</f>
        <v/>
      </c>
      <c r="DN975" s="13"/>
      <c r="DO975" s="13" t="str">
        <f t="shared" ref="DO975:DO978" si="1539">IF(DN975="","",DN975-DN974)</f>
        <v/>
      </c>
      <c r="DP975" s="13"/>
      <c r="DQ975" s="13" t="str">
        <f t="shared" si="1491"/>
        <v/>
      </c>
      <c r="DR975" s="13"/>
      <c r="DS975" s="53"/>
      <c r="DT975" s="12" t="str">
        <f t="shared" si="1492"/>
        <v/>
      </c>
      <c r="DU975" s="13" t="str">
        <f t="shared" si="1493"/>
        <v/>
      </c>
      <c r="DV975" s="14" t="str">
        <f t="shared" si="1494"/>
        <v/>
      </c>
      <c r="DW975" s="15"/>
    </row>
    <row r="976" spans="1:127" ht="15" customHeight="1" thickBot="1" x14ac:dyDescent="0.25">
      <c r="A976" s="26"/>
      <c r="B976" s="46"/>
      <c r="C976" s="61">
        <v>25421</v>
      </c>
      <c r="D976" s="62">
        <f t="shared" si="1503"/>
        <v>179</v>
      </c>
      <c r="E976" s="27">
        <v>1251</v>
      </c>
      <c r="F976" s="27">
        <f t="shared" si="1504"/>
        <v>6</v>
      </c>
      <c r="G976" s="27">
        <v>50</v>
      </c>
      <c r="H976" s="27">
        <f t="shared" si="1505"/>
        <v>6</v>
      </c>
      <c r="I976" s="47">
        <v>6</v>
      </c>
      <c r="J976" s="57" t="str">
        <f t="shared" si="1506"/>
        <v>NICIマスコット</v>
      </c>
      <c r="K976" s="62">
        <f t="shared" si="1507"/>
        <v>682</v>
      </c>
      <c r="L976" s="27">
        <f t="shared" si="1508"/>
        <v>4092</v>
      </c>
      <c r="M976" s="28">
        <f t="shared" si="1509"/>
        <v>0.22860335195530726</v>
      </c>
      <c r="N976" s="15"/>
      <c r="O976" s="2"/>
      <c r="P976" s="26"/>
      <c r="Q976" s="61">
        <v>17689</v>
      </c>
      <c r="R976" s="62">
        <f t="shared" si="1510"/>
        <v>146</v>
      </c>
      <c r="S976" s="27">
        <v>1529</v>
      </c>
      <c r="T976" s="27">
        <f t="shared" si="1511"/>
        <v>27</v>
      </c>
      <c r="U976" s="27">
        <v>290</v>
      </c>
      <c r="V976" s="27">
        <f t="shared" si="1512"/>
        <v>45</v>
      </c>
      <c r="W976" s="47">
        <v>30</v>
      </c>
      <c r="X976" s="57" t="str">
        <f t="shared" si="1513"/>
        <v>サンリオブレスレット</v>
      </c>
      <c r="Y976" s="62">
        <f t="shared" si="1514"/>
        <v>120</v>
      </c>
      <c r="Z976" s="27">
        <f t="shared" si="1515"/>
        <v>5400</v>
      </c>
      <c r="AA976" s="28">
        <f t="shared" si="1516"/>
        <v>0.36986301369863012</v>
      </c>
      <c r="AB976" s="15"/>
      <c r="AC976" s="1"/>
      <c r="AD976" s="26"/>
      <c r="AE976" s="61">
        <v>2823</v>
      </c>
      <c r="AF976" s="62">
        <f t="shared" si="1517"/>
        <v>55</v>
      </c>
      <c r="AG976" s="27">
        <v>123</v>
      </c>
      <c r="AH976" s="27">
        <f t="shared" si="1518"/>
        <v>1</v>
      </c>
      <c r="AI976" s="27">
        <v>6</v>
      </c>
      <c r="AJ976" s="27">
        <f t="shared" si="1519"/>
        <v>1</v>
      </c>
      <c r="AK976" s="47">
        <v>4</v>
      </c>
      <c r="AL976" s="57" t="str">
        <f t="shared" si="1529"/>
        <v>サンリオ巻き寿司ポーチ</v>
      </c>
      <c r="AM976" s="62">
        <f t="shared" si="1528"/>
        <v>660</v>
      </c>
      <c r="AN976" s="27">
        <f t="shared" si="1520"/>
        <v>660</v>
      </c>
      <c r="AO976" s="28">
        <f t="shared" si="1521"/>
        <v>0.12</v>
      </c>
      <c r="AP976" s="15"/>
      <c r="AQ976" s="2"/>
      <c r="AR976" s="26"/>
      <c r="AS976" s="61">
        <v>3633</v>
      </c>
      <c r="AT976" s="62">
        <f t="shared" si="1522"/>
        <v>165</v>
      </c>
      <c r="AU976" s="27">
        <v>158</v>
      </c>
      <c r="AV976" s="27">
        <f t="shared" si="1523"/>
        <v>8</v>
      </c>
      <c r="AW976" s="27">
        <v>25</v>
      </c>
      <c r="AX976" s="27">
        <f t="shared" si="1524"/>
        <v>10</v>
      </c>
      <c r="AY976" s="47">
        <v>0</v>
      </c>
      <c r="AZ976" s="57" t="str">
        <f t="shared" si="1530"/>
        <v>スプランキーマスコット</v>
      </c>
      <c r="BA976" s="62">
        <f t="shared" si="1531"/>
        <v>180</v>
      </c>
      <c r="BB976" s="27">
        <f t="shared" si="1526"/>
        <v>1800</v>
      </c>
      <c r="BC976" s="28">
        <f t="shared" si="1527"/>
        <v>0.10909090909090909</v>
      </c>
      <c r="BD976" s="15"/>
      <c r="BU976" s="19" t="e">
        <f>IF(#REF!="","",#REF!)</f>
        <v>#REF!</v>
      </c>
      <c r="BV976" s="13"/>
      <c r="BW976" s="13" t="str">
        <f t="shared" si="1532"/>
        <v/>
      </c>
      <c r="BX976" s="13"/>
      <c r="BY976" s="13" t="str">
        <f t="shared" si="1533"/>
        <v/>
      </c>
      <c r="BZ976" s="13"/>
      <c r="CA976" s="13" t="str">
        <f t="shared" si="1479"/>
        <v/>
      </c>
      <c r="CB976" s="13"/>
      <c r="CC976" s="53"/>
      <c r="CD976" s="12" t="str">
        <f t="shared" si="1480"/>
        <v/>
      </c>
      <c r="CE976" s="13" t="str">
        <f t="shared" si="1481"/>
        <v/>
      </c>
      <c r="CF976" s="14" t="str">
        <f t="shared" si="1482"/>
        <v/>
      </c>
      <c r="CG976" s="15"/>
      <c r="CH976" s="1"/>
      <c r="CI976" s="19" t="e">
        <f>IF(#REF!="","",#REF!)</f>
        <v>#REF!</v>
      </c>
      <c r="CJ976" s="13"/>
      <c r="CK976" s="13" t="str">
        <f t="shared" si="1534"/>
        <v/>
      </c>
      <c r="CL976" s="13"/>
      <c r="CM976" s="13" t="str">
        <f t="shared" si="1535"/>
        <v/>
      </c>
      <c r="CN976" s="13"/>
      <c r="CO976" s="13" t="str">
        <f t="shared" si="1483"/>
        <v/>
      </c>
      <c r="CP976" s="13"/>
      <c r="CQ976" s="53"/>
      <c r="CR976" s="12" t="str">
        <f t="shared" si="1484"/>
        <v/>
      </c>
      <c r="CS976" s="13" t="str">
        <f t="shared" si="1485"/>
        <v/>
      </c>
      <c r="CT976" s="14" t="str">
        <f t="shared" si="1486"/>
        <v/>
      </c>
      <c r="CU976" s="15"/>
      <c r="CV976" s="1"/>
      <c r="CW976" s="19" t="e">
        <f>IF(#REF!="","",#REF!)</f>
        <v>#REF!</v>
      </c>
      <c r="CX976" s="13"/>
      <c r="CY976" s="13" t="str">
        <f t="shared" si="1536"/>
        <v/>
      </c>
      <c r="CZ976" s="13"/>
      <c r="DA976" s="13" t="str">
        <f t="shared" si="1537"/>
        <v/>
      </c>
      <c r="DB976" s="13"/>
      <c r="DC976" s="13" t="str">
        <f t="shared" si="1487"/>
        <v/>
      </c>
      <c r="DD976" s="13"/>
      <c r="DE976" s="53"/>
      <c r="DF976" s="12" t="str">
        <f t="shared" si="1488"/>
        <v/>
      </c>
      <c r="DG976" s="13" t="str">
        <f t="shared" si="1489"/>
        <v/>
      </c>
      <c r="DH976" s="14" t="str">
        <f t="shared" si="1490"/>
        <v/>
      </c>
      <c r="DI976" s="15"/>
      <c r="DJ976" s="1"/>
      <c r="DK976" s="19" t="e">
        <f>IF(#REF!="","",#REF!)</f>
        <v>#REF!</v>
      </c>
      <c r="DL976" s="13"/>
      <c r="DM976" s="13" t="str">
        <f t="shared" si="1538"/>
        <v/>
      </c>
      <c r="DN976" s="13"/>
      <c r="DO976" s="13" t="str">
        <f t="shared" si="1539"/>
        <v/>
      </c>
      <c r="DP976" s="13"/>
      <c r="DQ976" s="13" t="str">
        <f t="shared" si="1491"/>
        <v/>
      </c>
      <c r="DR976" s="13"/>
      <c r="DS976" s="53"/>
      <c r="DT976" s="12" t="str">
        <f t="shared" si="1492"/>
        <v/>
      </c>
      <c r="DU976" s="13" t="str">
        <f t="shared" si="1493"/>
        <v/>
      </c>
      <c r="DV976" s="14" t="str">
        <f t="shared" si="1494"/>
        <v/>
      </c>
      <c r="DW976" s="15"/>
    </row>
    <row r="977" spans="1:127" ht="15" customHeight="1" thickTop="1" x14ac:dyDescent="0.2">
      <c r="A977" s="79">
        <v>45772</v>
      </c>
      <c r="B977" s="74">
        <f>IF(A977="","",SUM(D977:D980)+SUM(R977:R980)+SUM(AF977:AF980)+SUM(AT977:AT980))</f>
        <v>909</v>
      </c>
      <c r="C977" s="53">
        <v>19496</v>
      </c>
      <c r="D977" s="53">
        <f t="shared" si="1503"/>
        <v>42</v>
      </c>
      <c r="E977" s="53">
        <v>1068</v>
      </c>
      <c r="F977" s="31">
        <f t="shared" si="1504"/>
        <v>4</v>
      </c>
      <c r="G977" s="53">
        <v>2</v>
      </c>
      <c r="H977" s="53">
        <f t="shared" si="1505"/>
        <v>2</v>
      </c>
      <c r="I977" s="80">
        <v>0</v>
      </c>
      <c r="J977" s="75" t="str">
        <f t="shared" si="1506"/>
        <v>ジャグラーサウンドボタン</v>
      </c>
      <c r="K977" s="76">
        <f t="shared" si="1507"/>
        <v>748</v>
      </c>
      <c r="L977" s="31">
        <f t="shared" si="1508"/>
        <v>1496</v>
      </c>
      <c r="M977" s="32">
        <f t="shared" si="1509"/>
        <v>0.35619047619047617</v>
      </c>
      <c r="N977" s="15"/>
      <c r="O977" s="2"/>
      <c r="P977" s="79">
        <f>IF(A977="","",A977)</f>
        <v>45772</v>
      </c>
      <c r="Q977" s="53">
        <v>20010</v>
      </c>
      <c r="R977" s="53">
        <f t="shared" si="1510"/>
        <v>81</v>
      </c>
      <c r="S977" s="53">
        <v>1150</v>
      </c>
      <c r="T977" s="31">
        <f t="shared" si="1511"/>
        <v>1</v>
      </c>
      <c r="U977" s="53">
        <v>9</v>
      </c>
      <c r="V977" s="53">
        <f t="shared" si="1512"/>
        <v>1</v>
      </c>
      <c r="W977" s="80">
        <v>4</v>
      </c>
      <c r="X977" s="75" t="str">
        <f t="shared" si="1513"/>
        <v>じゃがりこイヤホン</v>
      </c>
      <c r="Y977" s="76">
        <f t="shared" si="1514"/>
        <v>1100</v>
      </c>
      <c r="Z977" s="31">
        <f t="shared" si="1515"/>
        <v>1100</v>
      </c>
      <c r="AA977" s="32">
        <f t="shared" si="1516"/>
        <v>0.13580246913580246</v>
      </c>
      <c r="AB977" s="15"/>
      <c r="AC977" s="1"/>
      <c r="AD977" s="79">
        <f>IF($A977="","",$A977)</f>
        <v>45772</v>
      </c>
      <c r="AE977" s="53">
        <v>4234</v>
      </c>
      <c r="AF977" s="53">
        <f t="shared" si="1517"/>
        <v>37</v>
      </c>
      <c r="AG977" s="53">
        <v>90</v>
      </c>
      <c r="AH977" s="31">
        <f t="shared" si="1518"/>
        <v>1</v>
      </c>
      <c r="AI977" s="53">
        <v>40</v>
      </c>
      <c r="AJ977" s="53">
        <f t="shared" si="1519"/>
        <v>0</v>
      </c>
      <c r="AK977" s="80">
        <v>0</v>
      </c>
      <c r="AL977" s="75" t="str">
        <f t="shared" si="1529"/>
        <v>ミニ香水</v>
      </c>
      <c r="AM977" s="76">
        <f t="shared" si="1528"/>
        <v>1100</v>
      </c>
      <c r="AN977" s="31">
        <f t="shared" si="1520"/>
        <v>0</v>
      </c>
      <c r="AO977" s="32">
        <f t="shared" si="1521"/>
        <v>0</v>
      </c>
      <c r="AP977" s="15"/>
      <c r="AQ977" s="2"/>
      <c r="AR977" s="79">
        <f>IF($A977="","",$A977)</f>
        <v>45772</v>
      </c>
      <c r="AS977" s="53">
        <v>4072</v>
      </c>
      <c r="AT977" s="53">
        <f t="shared" si="1522"/>
        <v>56</v>
      </c>
      <c r="AU977" s="53">
        <v>124</v>
      </c>
      <c r="AV977" s="31">
        <f t="shared" si="1523"/>
        <v>1</v>
      </c>
      <c r="AW977" s="53">
        <v>31</v>
      </c>
      <c r="AX977" s="53">
        <f t="shared" si="1524"/>
        <v>1</v>
      </c>
      <c r="AY977" s="80">
        <v>0</v>
      </c>
      <c r="AZ977" s="75" t="str">
        <f t="shared" si="1530"/>
        <v>ロムアンド</v>
      </c>
      <c r="BA977" s="76">
        <f t="shared" si="1531"/>
        <v>1001</v>
      </c>
      <c r="BB977" s="31">
        <f t="shared" si="1526"/>
        <v>1001</v>
      </c>
      <c r="BC977" s="32">
        <f t="shared" si="1527"/>
        <v>0.17874999999999999</v>
      </c>
      <c r="BD977" s="15"/>
      <c r="BU977" s="19" t="e">
        <f>IF(#REF!="","",#REF!)</f>
        <v>#REF!</v>
      </c>
      <c r="BV977" s="13"/>
      <c r="BW977" s="13" t="str">
        <f t="shared" si="1532"/>
        <v/>
      </c>
      <c r="BX977" s="13"/>
      <c r="BY977" s="13" t="str">
        <f t="shared" si="1533"/>
        <v/>
      </c>
      <c r="BZ977" s="13"/>
      <c r="CA977" s="13" t="str">
        <f t="shared" si="1479"/>
        <v/>
      </c>
      <c r="CB977" s="13"/>
      <c r="CC977" s="53"/>
      <c r="CD977" s="12" t="str">
        <f t="shared" si="1480"/>
        <v/>
      </c>
      <c r="CE977" s="13" t="str">
        <f t="shared" si="1481"/>
        <v/>
      </c>
      <c r="CF977" s="14" t="str">
        <f t="shared" si="1482"/>
        <v/>
      </c>
      <c r="CG977" s="15"/>
      <c r="CH977" s="1"/>
      <c r="CI977" s="19" t="e">
        <f>IF(#REF!="","",#REF!)</f>
        <v>#REF!</v>
      </c>
      <c r="CJ977" s="13"/>
      <c r="CK977" s="13" t="str">
        <f t="shared" si="1534"/>
        <v/>
      </c>
      <c r="CL977" s="13"/>
      <c r="CM977" s="13" t="str">
        <f t="shared" si="1535"/>
        <v/>
      </c>
      <c r="CN977" s="13"/>
      <c r="CO977" s="13" t="str">
        <f t="shared" si="1483"/>
        <v/>
      </c>
      <c r="CP977" s="13"/>
      <c r="CQ977" s="53"/>
      <c r="CR977" s="12" t="str">
        <f t="shared" si="1484"/>
        <v/>
      </c>
      <c r="CS977" s="13" t="str">
        <f t="shared" si="1485"/>
        <v/>
      </c>
      <c r="CT977" s="14" t="str">
        <f t="shared" si="1486"/>
        <v/>
      </c>
      <c r="CU977" s="15"/>
      <c r="CV977" s="1"/>
      <c r="CW977" s="19" t="e">
        <f>IF(#REF!="","",#REF!)</f>
        <v>#REF!</v>
      </c>
      <c r="CX977" s="13"/>
      <c r="CY977" s="13" t="str">
        <f t="shared" si="1536"/>
        <v/>
      </c>
      <c r="CZ977" s="13"/>
      <c r="DA977" s="13" t="str">
        <f t="shared" si="1537"/>
        <v/>
      </c>
      <c r="DB977" s="13"/>
      <c r="DC977" s="13" t="str">
        <f t="shared" si="1487"/>
        <v/>
      </c>
      <c r="DD977" s="13"/>
      <c r="DE977" s="53"/>
      <c r="DF977" s="12" t="str">
        <f t="shared" si="1488"/>
        <v/>
      </c>
      <c r="DG977" s="13" t="str">
        <f t="shared" si="1489"/>
        <v/>
      </c>
      <c r="DH977" s="14" t="str">
        <f t="shared" si="1490"/>
        <v/>
      </c>
      <c r="DI977" s="15"/>
      <c r="DJ977" s="1"/>
      <c r="DK977" s="19" t="e">
        <f>IF(#REF!="","",#REF!)</f>
        <v>#REF!</v>
      </c>
      <c r="DL977" s="13"/>
      <c r="DM977" s="13" t="str">
        <f t="shared" si="1538"/>
        <v/>
      </c>
      <c r="DN977" s="13"/>
      <c r="DO977" s="13" t="str">
        <f t="shared" si="1539"/>
        <v/>
      </c>
      <c r="DP977" s="13"/>
      <c r="DQ977" s="13" t="str">
        <f t="shared" si="1491"/>
        <v/>
      </c>
      <c r="DR977" s="13"/>
      <c r="DS977" s="53"/>
      <c r="DT977" s="12" t="str">
        <f t="shared" si="1492"/>
        <v/>
      </c>
      <c r="DU977" s="13" t="str">
        <f t="shared" si="1493"/>
        <v/>
      </c>
      <c r="DV977" s="14" t="str">
        <f t="shared" si="1494"/>
        <v/>
      </c>
      <c r="DW977" s="15"/>
    </row>
    <row r="978" spans="1:127" x14ac:dyDescent="0.2">
      <c r="A978" s="16"/>
      <c r="B978" s="11"/>
      <c r="C978" s="13">
        <v>23983</v>
      </c>
      <c r="D978" s="53">
        <f t="shared" si="1503"/>
        <v>49</v>
      </c>
      <c r="E978" s="13">
        <v>1233</v>
      </c>
      <c r="F978" s="13">
        <f t="shared" si="1504"/>
        <v>8</v>
      </c>
      <c r="G978" s="13">
        <v>21</v>
      </c>
      <c r="H978" s="13">
        <f t="shared" si="1505"/>
        <v>0</v>
      </c>
      <c r="I978" s="17">
        <v>0</v>
      </c>
      <c r="J978" s="56" t="str">
        <f t="shared" si="1506"/>
        <v>ゴールドイヤホン</v>
      </c>
      <c r="K978" s="54">
        <f t="shared" si="1507"/>
        <v>770</v>
      </c>
      <c r="L978" s="13">
        <f t="shared" si="1508"/>
        <v>0</v>
      </c>
      <c r="M978" s="14">
        <f t="shared" si="1509"/>
        <v>0</v>
      </c>
      <c r="N978" s="15"/>
      <c r="O978" s="2"/>
      <c r="P978" s="16"/>
      <c r="Q978" s="13">
        <v>24040</v>
      </c>
      <c r="R978" s="53">
        <f t="shared" si="1510"/>
        <v>34</v>
      </c>
      <c r="S978" s="13">
        <v>1414</v>
      </c>
      <c r="T978" s="13">
        <f t="shared" si="1511"/>
        <v>1</v>
      </c>
      <c r="U978" s="13">
        <v>23</v>
      </c>
      <c r="V978" s="13">
        <f t="shared" si="1512"/>
        <v>1</v>
      </c>
      <c r="W978" s="17">
        <v>-14</v>
      </c>
      <c r="X978" s="56" t="str">
        <f t="shared" si="1513"/>
        <v>サンリオアイスドームKH</v>
      </c>
      <c r="Y978" s="54">
        <f t="shared" si="1514"/>
        <v>595</v>
      </c>
      <c r="Z978" s="13">
        <f t="shared" si="1515"/>
        <v>595</v>
      </c>
      <c r="AA978" s="14">
        <f t="shared" si="1516"/>
        <v>0.17499999999999999</v>
      </c>
      <c r="AB978" s="15" t="s">
        <v>86</v>
      </c>
      <c r="AC978" s="1"/>
      <c r="AD978" s="16"/>
      <c r="AE978" s="13">
        <v>3061</v>
      </c>
      <c r="AF978" s="53">
        <f t="shared" si="1517"/>
        <v>115</v>
      </c>
      <c r="AG978" s="13">
        <v>77</v>
      </c>
      <c r="AH978" s="13">
        <f t="shared" si="1518"/>
        <v>1</v>
      </c>
      <c r="AI978" s="13">
        <v>20</v>
      </c>
      <c r="AJ978" s="13">
        <f t="shared" si="1519"/>
        <v>0</v>
      </c>
      <c r="AK978" s="17">
        <v>0</v>
      </c>
      <c r="AL978" s="56" t="str">
        <f t="shared" si="1529"/>
        <v>デジタルミニカメラ</v>
      </c>
      <c r="AM978" s="54">
        <f t="shared" si="1528"/>
        <v>800</v>
      </c>
      <c r="AN978" s="13">
        <f t="shared" si="1520"/>
        <v>0</v>
      </c>
      <c r="AO978" s="14">
        <f t="shared" si="1521"/>
        <v>0</v>
      </c>
      <c r="AP978" s="15"/>
      <c r="AQ978" s="2"/>
      <c r="AR978" s="16"/>
      <c r="AS978" s="13">
        <v>2570</v>
      </c>
      <c r="AT978" s="53">
        <f t="shared" si="1522"/>
        <v>30</v>
      </c>
      <c r="AU978" s="13">
        <v>78</v>
      </c>
      <c r="AV978" s="13">
        <f t="shared" si="1523"/>
        <v>1</v>
      </c>
      <c r="AW978" s="13">
        <v>15</v>
      </c>
      <c r="AX978" s="13">
        <f t="shared" si="1524"/>
        <v>1</v>
      </c>
      <c r="AY978" s="17">
        <v>0</v>
      </c>
      <c r="AZ978" s="56" t="str">
        <f t="shared" si="1530"/>
        <v>猫アイシャドウ</v>
      </c>
      <c r="BA978" s="54">
        <f t="shared" si="1531"/>
        <v>1034</v>
      </c>
      <c r="BB978" s="13">
        <f t="shared" si="1526"/>
        <v>1034</v>
      </c>
      <c r="BC978" s="14">
        <f t="shared" si="1527"/>
        <v>0.34466666666666668</v>
      </c>
      <c r="BD978" s="15"/>
      <c r="BU978" s="19" t="e">
        <f>IF(#REF!="","",#REF!)</f>
        <v>#REF!</v>
      </c>
      <c r="BV978" s="13"/>
      <c r="BW978" s="13" t="str">
        <f t="shared" si="1532"/>
        <v/>
      </c>
      <c r="BX978" s="13"/>
      <c r="BY978" s="13" t="str">
        <f t="shared" si="1533"/>
        <v/>
      </c>
      <c r="BZ978" s="13"/>
      <c r="CA978" s="13" t="str">
        <f t="shared" si="1479"/>
        <v/>
      </c>
      <c r="CB978" s="13"/>
      <c r="CC978" s="53"/>
      <c r="CD978" s="12" t="str">
        <f t="shared" si="1480"/>
        <v/>
      </c>
      <c r="CE978" s="13" t="str">
        <f t="shared" si="1481"/>
        <v/>
      </c>
      <c r="CF978" s="14" t="str">
        <f t="shared" si="1482"/>
        <v/>
      </c>
      <c r="CG978" s="15"/>
      <c r="CH978" s="1"/>
      <c r="CI978" s="19" t="e">
        <f>IF(#REF!="","",#REF!)</f>
        <v>#REF!</v>
      </c>
      <c r="CJ978" s="13"/>
      <c r="CK978" s="13" t="str">
        <f t="shared" si="1534"/>
        <v/>
      </c>
      <c r="CL978" s="13"/>
      <c r="CM978" s="13" t="str">
        <f t="shared" si="1535"/>
        <v/>
      </c>
      <c r="CN978" s="13"/>
      <c r="CO978" s="13" t="str">
        <f t="shared" si="1483"/>
        <v/>
      </c>
      <c r="CP978" s="13"/>
      <c r="CQ978" s="53"/>
      <c r="CR978" s="12" t="str">
        <f t="shared" si="1484"/>
        <v/>
      </c>
      <c r="CS978" s="13" t="str">
        <f t="shared" si="1485"/>
        <v/>
      </c>
      <c r="CT978" s="14" t="str">
        <f t="shared" si="1486"/>
        <v/>
      </c>
      <c r="CU978" s="15"/>
      <c r="CV978" s="1"/>
      <c r="CW978" s="19" t="e">
        <f>IF(#REF!="","",#REF!)</f>
        <v>#REF!</v>
      </c>
      <c r="CX978" s="13"/>
      <c r="CY978" s="13" t="str">
        <f t="shared" si="1536"/>
        <v/>
      </c>
      <c r="CZ978" s="13"/>
      <c r="DA978" s="13" t="str">
        <f t="shared" si="1537"/>
        <v/>
      </c>
      <c r="DB978" s="13"/>
      <c r="DC978" s="13" t="str">
        <f t="shared" si="1487"/>
        <v/>
      </c>
      <c r="DD978" s="13"/>
      <c r="DE978" s="53"/>
      <c r="DF978" s="12" t="str">
        <f t="shared" si="1488"/>
        <v/>
      </c>
      <c r="DG978" s="13" t="str">
        <f t="shared" si="1489"/>
        <v/>
      </c>
      <c r="DH978" s="14" t="str">
        <f t="shared" si="1490"/>
        <v/>
      </c>
      <c r="DI978" s="15"/>
      <c r="DJ978" s="1"/>
      <c r="DK978" s="19" t="e">
        <f>IF(#REF!="","",#REF!)</f>
        <v>#REF!</v>
      </c>
      <c r="DL978" s="13"/>
      <c r="DM978" s="13" t="str">
        <f t="shared" si="1538"/>
        <v/>
      </c>
      <c r="DN978" s="13"/>
      <c r="DO978" s="13" t="str">
        <f t="shared" si="1539"/>
        <v/>
      </c>
      <c r="DP978" s="13"/>
      <c r="DQ978" s="13" t="str">
        <f t="shared" si="1491"/>
        <v/>
      </c>
      <c r="DR978" s="13"/>
      <c r="DS978" s="53"/>
      <c r="DT978" s="12" t="str">
        <f t="shared" si="1492"/>
        <v/>
      </c>
      <c r="DU978" s="13" t="str">
        <f t="shared" si="1493"/>
        <v/>
      </c>
      <c r="DV978" s="14" t="str">
        <f t="shared" si="1494"/>
        <v/>
      </c>
      <c r="DW978" s="15"/>
    </row>
    <row r="979" spans="1:127" x14ac:dyDescent="0.2">
      <c r="A979" s="33"/>
      <c r="B979" s="48"/>
      <c r="C979" s="34">
        <v>20141</v>
      </c>
      <c r="D979" s="53">
        <f t="shared" si="1503"/>
        <v>36</v>
      </c>
      <c r="E979" s="34">
        <v>1006</v>
      </c>
      <c r="F979" s="13">
        <f t="shared" si="1504"/>
        <v>4</v>
      </c>
      <c r="G979" s="34">
        <v>64</v>
      </c>
      <c r="H979" s="13">
        <f t="shared" si="1505"/>
        <v>4</v>
      </c>
      <c r="I979" s="49">
        <v>0</v>
      </c>
      <c r="J979" s="56" t="str">
        <f t="shared" si="1506"/>
        <v>ジョージラバーキーホルダー</v>
      </c>
      <c r="K979" s="13">
        <f t="shared" si="1507"/>
        <v>600</v>
      </c>
      <c r="L979" s="13">
        <f t="shared" si="1508"/>
        <v>2400</v>
      </c>
      <c r="M979" s="14">
        <f t="shared" si="1509"/>
        <v>0.66666666666666663</v>
      </c>
      <c r="N979" s="15"/>
      <c r="O979" s="2"/>
      <c r="P979" s="33"/>
      <c r="Q979" s="34">
        <v>18630</v>
      </c>
      <c r="R979" s="53">
        <f t="shared" si="1510"/>
        <v>55</v>
      </c>
      <c r="S979" s="34">
        <v>2590</v>
      </c>
      <c r="T979" s="13">
        <f t="shared" si="1511"/>
        <v>6</v>
      </c>
      <c r="U979" s="34">
        <v>10</v>
      </c>
      <c r="V979" s="13">
        <f t="shared" si="1512"/>
        <v>7</v>
      </c>
      <c r="W979" s="49">
        <v>12</v>
      </c>
      <c r="X979" s="56" t="str">
        <f t="shared" si="1513"/>
        <v>グミッツェル</v>
      </c>
      <c r="Y979" s="13">
        <f t="shared" si="1514"/>
        <v>165</v>
      </c>
      <c r="Z979" s="13">
        <f t="shared" si="1515"/>
        <v>1155</v>
      </c>
      <c r="AA979" s="14">
        <f t="shared" si="1516"/>
        <v>0.21</v>
      </c>
      <c r="AB979" s="15"/>
      <c r="AD979" s="33"/>
      <c r="AE979" s="34">
        <v>3667</v>
      </c>
      <c r="AF979" s="53">
        <f t="shared" si="1517"/>
        <v>68</v>
      </c>
      <c r="AG979" s="34">
        <v>118</v>
      </c>
      <c r="AH979" s="13">
        <f t="shared" si="1518"/>
        <v>2</v>
      </c>
      <c r="AI979" s="34">
        <v>13</v>
      </c>
      <c r="AJ979" s="13">
        <f t="shared" si="1519"/>
        <v>2</v>
      </c>
      <c r="AK979" s="49">
        <v>0</v>
      </c>
      <c r="AL979" s="56" t="str">
        <f t="shared" si="1529"/>
        <v>ピクミン引っこ抜き</v>
      </c>
      <c r="AM979" s="13">
        <f t="shared" si="1528"/>
        <v>650</v>
      </c>
      <c r="AN979" s="13">
        <f t="shared" si="1520"/>
        <v>1300</v>
      </c>
      <c r="AO979" s="14">
        <f t="shared" si="1521"/>
        <v>0.19117647058823528</v>
      </c>
      <c r="AP979" s="15"/>
      <c r="AQ979" s="2"/>
      <c r="AR979" s="33"/>
      <c r="AS979" s="34">
        <v>3881</v>
      </c>
      <c r="AT979" s="53">
        <f t="shared" si="1522"/>
        <v>95</v>
      </c>
      <c r="AU979" s="34">
        <v>127</v>
      </c>
      <c r="AV979" s="13">
        <f t="shared" si="1523"/>
        <v>6</v>
      </c>
      <c r="AW979" s="34">
        <v>110</v>
      </c>
      <c r="AX979" s="13">
        <f t="shared" si="1524"/>
        <v>5</v>
      </c>
      <c r="AY979" s="17">
        <v>0</v>
      </c>
      <c r="AZ979" s="56" t="str">
        <f t="shared" si="1530"/>
        <v>スプランキーラバーキーホルダー</v>
      </c>
      <c r="BA979" s="13">
        <f t="shared" si="1531"/>
        <v>200</v>
      </c>
      <c r="BB979" s="13">
        <f t="shared" si="1526"/>
        <v>1000</v>
      </c>
      <c r="BC979" s="14">
        <f t="shared" si="1527"/>
        <v>0.10526315789473684</v>
      </c>
      <c r="BD979" s="15"/>
      <c r="BU979" s="19" t="e">
        <f>IF(#REF!="","",#REF!)</f>
        <v>#REF!</v>
      </c>
      <c r="BV979" s="25"/>
      <c r="BW979" s="13"/>
      <c r="BX979" s="13"/>
      <c r="BY979" s="13"/>
      <c r="BZ979" s="13"/>
      <c r="CA979" s="13"/>
      <c r="CB979" s="13"/>
      <c r="CC979" s="53"/>
      <c r="CD979" s="12"/>
      <c r="CE979" s="13"/>
      <c r="CF979" s="14"/>
      <c r="CG979" s="15"/>
      <c r="CH979" s="1"/>
      <c r="CI979" s="19" t="e">
        <f>IF(#REF!="","",#REF!)</f>
        <v>#REF!</v>
      </c>
      <c r="CJ979" s="25"/>
      <c r="CK979" s="13"/>
      <c r="CL979" s="13"/>
      <c r="CM979" s="13"/>
      <c r="CN979" s="13"/>
      <c r="CO979" s="13"/>
      <c r="CP979" s="13"/>
      <c r="CQ979" s="53"/>
      <c r="CR979" s="12"/>
      <c r="CS979" s="13"/>
      <c r="CT979" s="14"/>
      <c r="CU979" s="15"/>
      <c r="CV979" s="1"/>
      <c r="CW979" s="19" t="e">
        <f>IF(#REF!="","",#REF!)</f>
        <v>#REF!</v>
      </c>
      <c r="CX979" s="25"/>
      <c r="CY979" s="13"/>
      <c r="CZ979" s="13"/>
      <c r="DA979" s="13"/>
      <c r="DB979" s="13"/>
      <c r="DC979" s="13"/>
      <c r="DD979" s="13"/>
      <c r="DE979" s="53"/>
      <c r="DF979" s="12"/>
      <c r="DG979" s="13"/>
      <c r="DH979" s="14"/>
      <c r="DI979" s="15"/>
      <c r="DJ979" s="1"/>
      <c r="DK979" s="19" t="e">
        <f>IF(#REF!="","",#REF!)</f>
        <v>#REF!</v>
      </c>
      <c r="DL979" s="25"/>
      <c r="DM979" s="13"/>
      <c r="DN979" s="13"/>
      <c r="DO979" s="13"/>
      <c r="DP979" s="13"/>
      <c r="DQ979" s="13"/>
      <c r="DR979" s="13"/>
      <c r="DS979" s="53"/>
      <c r="DT979" s="12"/>
      <c r="DU979" s="13"/>
      <c r="DV979" s="14"/>
      <c r="DW979" s="15"/>
    </row>
    <row r="980" spans="1:127" ht="15" customHeight="1" thickBot="1" x14ac:dyDescent="0.25">
      <c r="A980" s="26"/>
      <c r="B980" s="46"/>
      <c r="C980" s="27">
        <v>25528</v>
      </c>
      <c r="D980" s="61">
        <f t="shared" si="1503"/>
        <v>107</v>
      </c>
      <c r="E980" s="27">
        <v>1257</v>
      </c>
      <c r="F980" s="27">
        <f t="shared" si="1504"/>
        <v>6</v>
      </c>
      <c r="G980" s="27">
        <v>50</v>
      </c>
      <c r="H980" s="27">
        <f t="shared" si="1505"/>
        <v>6</v>
      </c>
      <c r="I980" s="47">
        <v>0</v>
      </c>
      <c r="J980" s="57" t="str">
        <f t="shared" si="1506"/>
        <v>NICIマスコット</v>
      </c>
      <c r="K980" s="62">
        <f t="shared" si="1507"/>
        <v>682</v>
      </c>
      <c r="L980" s="27">
        <f t="shared" si="1508"/>
        <v>4092</v>
      </c>
      <c r="M980" s="28">
        <f t="shared" si="1509"/>
        <v>0.38242990654205605</v>
      </c>
      <c r="N980" s="15"/>
      <c r="O980" s="2"/>
      <c r="P980" s="26"/>
      <c r="Q980" s="27">
        <v>17722</v>
      </c>
      <c r="R980" s="61">
        <f t="shared" si="1510"/>
        <v>33</v>
      </c>
      <c r="S980" s="27">
        <v>1541</v>
      </c>
      <c r="T980" s="27">
        <f t="shared" si="1511"/>
        <v>12</v>
      </c>
      <c r="U980" s="27">
        <v>300</v>
      </c>
      <c r="V980" s="27">
        <f t="shared" si="1512"/>
        <v>20</v>
      </c>
      <c r="W980" s="47">
        <v>23</v>
      </c>
      <c r="X980" s="57" t="str">
        <f t="shared" si="1513"/>
        <v>サンリオブレスレット</v>
      </c>
      <c r="Y980" s="62">
        <f t="shared" si="1514"/>
        <v>120</v>
      </c>
      <c r="Z980" s="27">
        <f t="shared" si="1515"/>
        <v>2400</v>
      </c>
      <c r="AA980" s="28">
        <f t="shared" si="1516"/>
        <v>0.72727272727272729</v>
      </c>
      <c r="AB980" s="15" t="s">
        <v>87</v>
      </c>
      <c r="AD980" s="26"/>
      <c r="AE980" s="27">
        <v>2845</v>
      </c>
      <c r="AF980" s="61">
        <f t="shared" si="1517"/>
        <v>22</v>
      </c>
      <c r="AG980" s="27">
        <v>124</v>
      </c>
      <c r="AH980" s="27">
        <f t="shared" si="1518"/>
        <v>1</v>
      </c>
      <c r="AI980" s="27">
        <v>9</v>
      </c>
      <c r="AJ980" s="27">
        <f t="shared" si="1519"/>
        <v>1</v>
      </c>
      <c r="AK980" s="47">
        <v>3</v>
      </c>
      <c r="AL980" s="57" t="str">
        <f t="shared" si="1529"/>
        <v>サンリオ巻き寿司ポーチ</v>
      </c>
      <c r="AM980" s="62">
        <f t="shared" si="1528"/>
        <v>660</v>
      </c>
      <c r="AN980" s="27">
        <f t="shared" si="1520"/>
        <v>660</v>
      </c>
      <c r="AO980" s="28">
        <f t="shared" si="1521"/>
        <v>0.3</v>
      </c>
      <c r="AP980" s="15" t="s">
        <v>88</v>
      </c>
      <c r="AQ980" s="2"/>
      <c r="AR980" s="26"/>
      <c r="AS980" s="27">
        <v>3682</v>
      </c>
      <c r="AT980" s="61">
        <f t="shared" si="1522"/>
        <v>49</v>
      </c>
      <c r="AU980" s="27">
        <v>159</v>
      </c>
      <c r="AV980" s="27">
        <f t="shared" si="1523"/>
        <v>1</v>
      </c>
      <c r="AW980" s="27">
        <v>24</v>
      </c>
      <c r="AX980" s="27">
        <f t="shared" si="1524"/>
        <v>1</v>
      </c>
      <c r="AY980" s="47">
        <v>0</v>
      </c>
      <c r="AZ980" s="57" t="str">
        <f t="shared" si="1530"/>
        <v>スプランキーマスコット</v>
      </c>
      <c r="BA980" s="62">
        <f t="shared" si="1531"/>
        <v>180</v>
      </c>
      <c r="BB980" s="27">
        <f t="shared" si="1526"/>
        <v>180</v>
      </c>
      <c r="BC980" s="28">
        <f t="shared" si="1527"/>
        <v>3.6734693877551024E-2</v>
      </c>
      <c r="BD980" s="15" t="s">
        <v>85</v>
      </c>
      <c r="BU980" s="19" t="e">
        <f>IF(#REF!="","",#REF!)</f>
        <v>#REF!</v>
      </c>
      <c r="BV980" s="25"/>
      <c r="BW980" s="13" t="str">
        <f>IF(BV980="","",BV980-BV981)</f>
        <v/>
      </c>
      <c r="BX980" s="13"/>
      <c r="BY980" s="13" t="str">
        <f>IF(BX980="","",BX980-BX981)</f>
        <v/>
      </c>
      <c r="BZ980" s="13"/>
      <c r="CA980" s="13" t="str">
        <f>IF(BZ980="","",BZ981+CB981-BZ980)</f>
        <v/>
      </c>
      <c r="CB980" s="13"/>
      <c r="CC980" s="53"/>
      <c r="CD980" s="12" t="str">
        <f>IF(BV980="","",CD981)</f>
        <v/>
      </c>
      <c r="CE980" s="13" t="str">
        <f t="shared" ref="CE980:CE1012" si="1540">IF(CD980="","",CA980*CD980)</f>
        <v/>
      </c>
      <c r="CF980" s="14" t="str">
        <f t="shared" ref="CF980:CF1012" si="1541">IF(CE980="","",CE980/(BW980*100))</f>
        <v/>
      </c>
      <c r="CG980" s="15"/>
      <c r="CH980" s="1"/>
      <c r="CI980" s="19" t="e">
        <f>IF(#REF!="","",#REF!)</f>
        <v>#REF!</v>
      </c>
      <c r="CJ980" s="25"/>
      <c r="CK980" s="13" t="str">
        <f>IF(CJ980="","",CJ980-CJ981)</f>
        <v/>
      </c>
      <c r="CL980" s="13"/>
      <c r="CM980" s="13" t="str">
        <f>IF(CL980="","",CL980-CL981)</f>
        <v/>
      </c>
      <c r="CN980" s="13"/>
      <c r="CO980" s="13" t="str">
        <f>IF(CN980="","",CN981+CP981-CN980)</f>
        <v/>
      </c>
      <c r="CP980" s="13"/>
      <c r="CQ980" s="53"/>
      <c r="CR980" s="12" t="str">
        <f>IF(CJ980="","",CR981)</f>
        <v/>
      </c>
      <c r="CS980" s="13" t="str">
        <f t="shared" ref="CS980:CS1012" si="1542">IF(CR980="","",CO980*CR980)</f>
        <v/>
      </c>
      <c r="CT980" s="14" t="str">
        <f t="shared" ref="CT980:CT1012" si="1543">IF(CS980="","",CS980/(CK980*100))</f>
        <v/>
      </c>
      <c r="CU980" s="15"/>
      <c r="CV980" s="1"/>
      <c r="CW980" s="19" t="e">
        <f>IF(#REF!="","",#REF!)</f>
        <v>#REF!</v>
      </c>
      <c r="CX980" s="25"/>
      <c r="CY980" s="13" t="str">
        <f>IF(CX980="","",CX980-CX981)</f>
        <v/>
      </c>
      <c r="CZ980" s="13"/>
      <c r="DA980" s="13" t="str">
        <f>IF(CZ980="","",CZ980-CZ981)</f>
        <v/>
      </c>
      <c r="DB980" s="13"/>
      <c r="DC980" s="13" t="str">
        <f>IF(DB980="","",DB981+DD981-DB980)</f>
        <v/>
      </c>
      <c r="DD980" s="13"/>
      <c r="DE980" s="53"/>
      <c r="DF980" s="12" t="str">
        <f>IF(CX980="","",DF981)</f>
        <v/>
      </c>
      <c r="DG980" s="13" t="str">
        <f t="shared" ref="DG980:DG1012" si="1544">IF(DF980="","",DC980*DF980)</f>
        <v/>
      </c>
      <c r="DH980" s="14" t="str">
        <f t="shared" ref="DH980:DH1012" si="1545">IF(DG980="","",DG980/(CY980*100))</f>
        <v/>
      </c>
      <c r="DI980" s="15"/>
      <c r="DJ980" s="1"/>
      <c r="DK980" s="19" t="e">
        <f>IF(#REF!="","",#REF!)</f>
        <v>#REF!</v>
      </c>
      <c r="DL980" s="25"/>
      <c r="DM980" s="13" t="str">
        <f>IF(DL980="","",DL980-DL981)</f>
        <v/>
      </c>
      <c r="DN980" s="13"/>
      <c r="DO980" s="13" t="str">
        <f>IF(DN980="","",DN980-DN981)</f>
        <v/>
      </c>
      <c r="DP980" s="13"/>
      <c r="DQ980" s="13" t="str">
        <f>IF(DP980="","",DP981+DR981-DP980)</f>
        <v/>
      </c>
      <c r="DR980" s="13"/>
      <c r="DS980" s="53"/>
      <c r="DT980" s="12" t="str">
        <f>IF(DL980="","",DT981)</f>
        <v/>
      </c>
      <c r="DU980" s="13" t="str">
        <f t="shared" ref="DU980:DU1012" si="1546">IF(DT980="","",DQ980*DT980)</f>
        <v/>
      </c>
      <c r="DV980" s="14" t="str">
        <f t="shared" ref="DV980:DV1012" si="1547">IF(DU980="","",DU980/(DM980*100))</f>
        <v/>
      </c>
      <c r="DW980" s="15"/>
    </row>
    <row r="981" spans="1:127" ht="15" customHeight="1" thickTop="1" x14ac:dyDescent="0.2">
      <c r="A981" s="79">
        <v>45775</v>
      </c>
      <c r="B981" s="74">
        <f>IF(A981="","",SUM(D981:D984)+SUM(R981:R984)+SUM(AF981:AF984)+SUM(AT981:AT984))</f>
        <v>1826</v>
      </c>
      <c r="C981" s="53">
        <v>19562</v>
      </c>
      <c r="D981" s="53">
        <f t="shared" si="1503"/>
        <v>66</v>
      </c>
      <c r="E981" s="53">
        <v>1069</v>
      </c>
      <c r="F981" s="31">
        <f t="shared" si="1504"/>
        <v>1</v>
      </c>
      <c r="G981" s="53">
        <v>1</v>
      </c>
      <c r="H981" s="53">
        <f t="shared" si="1505"/>
        <v>1</v>
      </c>
      <c r="I981" s="80">
        <v>8</v>
      </c>
      <c r="J981" s="75" t="str">
        <f t="shared" si="1506"/>
        <v>ジャグラーサウンドボタン</v>
      </c>
      <c r="K981" s="76">
        <f t="shared" si="1507"/>
        <v>748</v>
      </c>
      <c r="L981" s="31">
        <f t="shared" si="1508"/>
        <v>748</v>
      </c>
      <c r="M981" s="32">
        <f t="shared" si="1509"/>
        <v>0.11333333333333333</v>
      </c>
      <c r="N981" s="15" t="s">
        <v>92</v>
      </c>
      <c r="O981" s="2"/>
      <c r="P981" s="79">
        <f>IF($A981="","",$A981)</f>
        <v>45775</v>
      </c>
      <c r="Q981" s="53">
        <v>20163</v>
      </c>
      <c r="R981" s="53">
        <f t="shared" si="1510"/>
        <v>153</v>
      </c>
      <c r="S981" s="53">
        <v>1156</v>
      </c>
      <c r="T981" s="31">
        <f t="shared" si="1511"/>
        <v>6</v>
      </c>
      <c r="U981" s="53">
        <v>7</v>
      </c>
      <c r="V981" s="53">
        <f t="shared" si="1512"/>
        <v>6</v>
      </c>
      <c r="W981" s="80">
        <v>0</v>
      </c>
      <c r="X981" s="75" t="str">
        <f t="shared" si="1513"/>
        <v>じゃがりこイヤホン</v>
      </c>
      <c r="Y981" s="76">
        <f t="shared" si="1514"/>
        <v>1100</v>
      </c>
      <c r="Z981" s="31">
        <f t="shared" si="1515"/>
        <v>6600</v>
      </c>
      <c r="AA981" s="32">
        <f t="shared" si="1516"/>
        <v>0.43137254901960786</v>
      </c>
      <c r="AB981" s="15"/>
      <c r="AD981" s="79">
        <f>IF($A981="","",$A981)</f>
        <v>45775</v>
      </c>
      <c r="AE981" s="53">
        <v>4363</v>
      </c>
      <c r="AF981" s="53">
        <f t="shared" si="1517"/>
        <v>129</v>
      </c>
      <c r="AG981" s="53">
        <v>92</v>
      </c>
      <c r="AH981" s="31">
        <f t="shared" si="1518"/>
        <v>2</v>
      </c>
      <c r="AI981" s="53">
        <v>38</v>
      </c>
      <c r="AJ981" s="53">
        <f t="shared" si="1519"/>
        <v>2</v>
      </c>
      <c r="AK981" s="80">
        <v>10</v>
      </c>
      <c r="AL981" s="75" t="str">
        <f t="shared" si="1529"/>
        <v>ミニ香水</v>
      </c>
      <c r="AM981" s="76">
        <f t="shared" si="1528"/>
        <v>1100</v>
      </c>
      <c r="AN981" s="31">
        <f t="shared" si="1520"/>
        <v>2200</v>
      </c>
      <c r="AO981" s="32">
        <f t="shared" si="1521"/>
        <v>0.17054263565891473</v>
      </c>
      <c r="AP981" s="15"/>
      <c r="AQ981" s="2"/>
      <c r="AR981" s="79">
        <f>IF($A981="","",$A981)</f>
        <v>45775</v>
      </c>
      <c r="AS981" s="53">
        <v>4197</v>
      </c>
      <c r="AT981" s="53">
        <f t="shared" si="1522"/>
        <v>125</v>
      </c>
      <c r="AU981" s="53">
        <v>128</v>
      </c>
      <c r="AV981" s="31">
        <f t="shared" si="1523"/>
        <v>4</v>
      </c>
      <c r="AW981" s="53">
        <v>28</v>
      </c>
      <c r="AX981" s="53">
        <f t="shared" si="1524"/>
        <v>3</v>
      </c>
      <c r="AY981" s="80">
        <v>0</v>
      </c>
      <c r="AZ981" s="75" t="str">
        <f t="shared" si="1530"/>
        <v>ロムアンド</v>
      </c>
      <c r="BA981" s="76">
        <f t="shared" si="1531"/>
        <v>1001</v>
      </c>
      <c r="BB981" s="31">
        <f t="shared" si="1526"/>
        <v>3003</v>
      </c>
      <c r="BC981" s="32">
        <f t="shared" si="1527"/>
        <v>0.24024000000000001</v>
      </c>
      <c r="BD981" s="15"/>
      <c r="BU981" s="19" t="e">
        <f>IF(#REF!="","",#REF!)</f>
        <v>#REF!</v>
      </c>
      <c r="BV981" s="25"/>
      <c r="BW981" s="13" t="str">
        <f>IF(BV981="","",BV981-BV978)</f>
        <v/>
      </c>
      <c r="BX981" s="13"/>
      <c r="BY981" s="13" t="str">
        <f>IF(BX981="","",BX981-BX978)</f>
        <v/>
      </c>
      <c r="BZ981" s="13"/>
      <c r="CA981" s="13" t="str">
        <f>IF(BZ981="","",BZ978+CB978-BZ981)</f>
        <v/>
      </c>
      <c r="CB981" s="13"/>
      <c r="CC981" s="53"/>
      <c r="CD981" s="12" t="str">
        <f>IF(BV981="","",CD978)</f>
        <v/>
      </c>
      <c r="CE981" s="13" t="str">
        <f t="shared" si="1540"/>
        <v/>
      </c>
      <c r="CF981" s="14" t="str">
        <f t="shared" si="1541"/>
        <v/>
      </c>
      <c r="CG981" s="15"/>
      <c r="CH981" s="1"/>
      <c r="CI981" s="19" t="e">
        <f>IF(#REF!="","",#REF!)</f>
        <v>#REF!</v>
      </c>
      <c r="CJ981" s="25"/>
      <c r="CK981" s="13" t="str">
        <f>IF(CJ981="","",CJ981-CJ978)</f>
        <v/>
      </c>
      <c r="CL981" s="13"/>
      <c r="CM981" s="13" t="str">
        <f>IF(CL981="","",CL981-CL978)</f>
        <v/>
      </c>
      <c r="CN981" s="13"/>
      <c r="CO981" s="13" t="str">
        <f>IF(CN981="","",CN978+CP978-CN981)</f>
        <v/>
      </c>
      <c r="CP981" s="13"/>
      <c r="CQ981" s="53"/>
      <c r="CR981" s="12" t="str">
        <f>IF(CJ981="","",CR978)</f>
        <v/>
      </c>
      <c r="CS981" s="13" t="str">
        <f t="shared" si="1542"/>
        <v/>
      </c>
      <c r="CT981" s="14" t="str">
        <f t="shared" si="1543"/>
        <v/>
      </c>
      <c r="CU981" s="15"/>
      <c r="CV981" s="1"/>
      <c r="CW981" s="19" t="e">
        <f>IF(#REF!="","",#REF!)</f>
        <v>#REF!</v>
      </c>
      <c r="CX981" s="25"/>
      <c r="CY981" s="13" t="str">
        <f>IF(CX981="","",CX981-CX978)</f>
        <v/>
      </c>
      <c r="CZ981" s="13"/>
      <c r="DA981" s="13" t="str">
        <f>IF(CZ981="","",CZ981-CZ978)</f>
        <v/>
      </c>
      <c r="DB981" s="13"/>
      <c r="DC981" s="13" t="str">
        <f>IF(DB981="","",DB978+DD978-DB981)</f>
        <v/>
      </c>
      <c r="DD981" s="13"/>
      <c r="DE981" s="53"/>
      <c r="DF981" s="12" t="str">
        <f>IF(CX981="","",DF978)</f>
        <v/>
      </c>
      <c r="DG981" s="13" t="str">
        <f t="shared" si="1544"/>
        <v/>
      </c>
      <c r="DH981" s="14" t="str">
        <f t="shared" si="1545"/>
        <v/>
      </c>
      <c r="DI981" s="15"/>
      <c r="DJ981" s="1"/>
      <c r="DK981" s="19" t="e">
        <f>IF(#REF!="","",#REF!)</f>
        <v>#REF!</v>
      </c>
      <c r="DL981" s="25"/>
      <c r="DM981" s="13" t="str">
        <f>IF(DL981="","",DL981-DL978)</f>
        <v/>
      </c>
      <c r="DN981" s="13"/>
      <c r="DO981" s="13" t="str">
        <f>IF(DN981="","",DN981-DN978)</f>
        <v/>
      </c>
      <c r="DP981" s="13"/>
      <c r="DQ981" s="13" t="str">
        <f>IF(DP981="","",DP978+DR978-DP981)</f>
        <v/>
      </c>
      <c r="DR981" s="13"/>
      <c r="DS981" s="53"/>
      <c r="DT981" s="12" t="str">
        <f>IF(DL981="","",DT978)</f>
        <v/>
      </c>
      <c r="DU981" s="13" t="str">
        <f t="shared" si="1546"/>
        <v/>
      </c>
      <c r="DV981" s="14" t="str">
        <f t="shared" si="1547"/>
        <v/>
      </c>
      <c r="DW981" s="15"/>
    </row>
    <row r="982" spans="1:127" x14ac:dyDescent="0.2">
      <c r="A982" s="79"/>
      <c r="B982" s="11"/>
      <c r="C982" s="13">
        <v>24047</v>
      </c>
      <c r="D982" s="13">
        <f t="shared" si="1503"/>
        <v>64</v>
      </c>
      <c r="E982" s="13">
        <v>1234</v>
      </c>
      <c r="F982" s="13">
        <f t="shared" si="1504"/>
        <v>1</v>
      </c>
      <c r="G982" s="13">
        <v>21</v>
      </c>
      <c r="H982" s="13">
        <f t="shared" si="1505"/>
        <v>0</v>
      </c>
      <c r="I982" s="17">
        <v>0</v>
      </c>
      <c r="J982" s="56" t="str">
        <f t="shared" si="1506"/>
        <v>ゴールドイヤホン</v>
      </c>
      <c r="K982" s="54">
        <f t="shared" si="1507"/>
        <v>770</v>
      </c>
      <c r="L982" s="13">
        <f t="shared" si="1508"/>
        <v>0</v>
      </c>
      <c r="M982" s="14">
        <f t="shared" si="1509"/>
        <v>0</v>
      </c>
      <c r="N982" s="15" t="s">
        <v>37</v>
      </c>
      <c r="O982" s="2"/>
      <c r="P982" s="79"/>
      <c r="Q982" s="13">
        <v>24195</v>
      </c>
      <c r="R982" s="13">
        <f t="shared" si="1510"/>
        <v>155</v>
      </c>
      <c r="S982" s="13">
        <v>1423</v>
      </c>
      <c r="T982" s="13">
        <f t="shared" si="1511"/>
        <v>9</v>
      </c>
      <c r="U982" s="13">
        <v>0</v>
      </c>
      <c r="V982" s="13">
        <f t="shared" si="1512"/>
        <v>9</v>
      </c>
      <c r="W982" s="17">
        <v>6</v>
      </c>
      <c r="X982" s="56" t="s">
        <v>40</v>
      </c>
      <c r="Y982" s="54">
        <v>748</v>
      </c>
      <c r="Z982" s="13">
        <f t="shared" si="1515"/>
        <v>6732</v>
      </c>
      <c r="AA982" s="14">
        <f t="shared" si="1516"/>
        <v>0.43432258064516127</v>
      </c>
      <c r="AB982" s="15" t="s">
        <v>32</v>
      </c>
      <c r="AD982" s="79"/>
      <c r="AE982" s="13">
        <v>3121</v>
      </c>
      <c r="AF982" s="13">
        <f t="shared" si="1517"/>
        <v>60</v>
      </c>
      <c r="AG982" s="13">
        <v>78</v>
      </c>
      <c r="AH982" s="13">
        <f t="shared" si="1518"/>
        <v>1</v>
      </c>
      <c r="AI982" s="13">
        <v>19</v>
      </c>
      <c r="AJ982" s="13">
        <f t="shared" si="1519"/>
        <v>1</v>
      </c>
      <c r="AK982" s="17">
        <v>0</v>
      </c>
      <c r="AL982" s="56" t="str">
        <f t="shared" si="1529"/>
        <v>デジタルミニカメラ</v>
      </c>
      <c r="AM982" s="54">
        <f t="shared" si="1528"/>
        <v>800</v>
      </c>
      <c r="AN982" s="13">
        <f t="shared" si="1520"/>
        <v>800</v>
      </c>
      <c r="AO982" s="14">
        <f t="shared" si="1521"/>
        <v>0.13333333333333333</v>
      </c>
      <c r="AP982" s="15"/>
      <c r="AQ982" s="2"/>
      <c r="AR982" s="79"/>
      <c r="AS982" s="13">
        <v>2656</v>
      </c>
      <c r="AT982" s="13">
        <f t="shared" si="1522"/>
        <v>86</v>
      </c>
      <c r="AU982" s="13">
        <v>80</v>
      </c>
      <c r="AV982" s="13">
        <f t="shared" si="1523"/>
        <v>2</v>
      </c>
      <c r="AW982" s="13">
        <v>14</v>
      </c>
      <c r="AX982" s="13">
        <f t="shared" si="1524"/>
        <v>1</v>
      </c>
      <c r="AY982" s="17">
        <v>6</v>
      </c>
      <c r="AZ982" s="56" t="str">
        <f t="shared" si="1530"/>
        <v>猫アイシャドウ</v>
      </c>
      <c r="BA982" s="54">
        <f t="shared" si="1531"/>
        <v>1034</v>
      </c>
      <c r="BB982" s="13">
        <f t="shared" si="1526"/>
        <v>1034</v>
      </c>
      <c r="BC982" s="14">
        <f t="shared" si="1527"/>
        <v>0.12023255813953489</v>
      </c>
      <c r="BD982" s="15"/>
      <c r="BU982" s="19" t="e">
        <f>IF(#REF!="","",#REF!)</f>
        <v>#REF!</v>
      </c>
      <c r="BV982" s="25"/>
      <c r="BW982" s="13" t="str">
        <f>IF(BV982="","",BV982-BV980)</f>
        <v/>
      </c>
      <c r="BX982" s="13"/>
      <c r="BY982" s="13" t="str">
        <f>IF(BX982="","",BX982-BX980)</f>
        <v/>
      </c>
      <c r="BZ982" s="13"/>
      <c r="CA982" s="13" t="str">
        <f>IF(BZ982="","",BZ980+CB980-BZ982)</f>
        <v/>
      </c>
      <c r="CB982" s="13"/>
      <c r="CC982" s="53"/>
      <c r="CD982" s="12" t="str">
        <f>IF(BV982="","",CD980)</f>
        <v/>
      </c>
      <c r="CE982" s="13" t="str">
        <f t="shared" si="1540"/>
        <v/>
      </c>
      <c r="CF982" s="14" t="str">
        <f t="shared" si="1541"/>
        <v/>
      </c>
      <c r="CG982" s="15"/>
      <c r="CH982" s="1"/>
      <c r="CI982" s="19" t="e">
        <f>IF(#REF!="","",#REF!)</f>
        <v>#REF!</v>
      </c>
      <c r="CJ982" s="25"/>
      <c r="CK982" s="13" t="str">
        <f>IF(CJ982="","",CJ982-CJ980)</f>
        <v/>
      </c>
      <c r="CL982" s="13"/>
      <c r="CM982" s="13" t="str">
        <f>IF(CL982="","",CL982-CL980)</f>
        <v/>
      </c>
      <c r="CN982" s="13"/>
      <c r="CO982" s="13" t="str">
        <f>IF(CN982="","",CN980+CP980-CN982)</f>
        <v/>
      </c>
      <c r="CP982" s="13"/>
      <c r="CQ982" s="53"/>
      <c r="CR982" s="12" t="str">
        <f>IF(CJ982="","",CR980)</f>
        <v/>
      </c>
      <c r="CS982" s="13" t="str">
        <f t="shared" si="1542"/>
        <v/>
      </c>
      <c r="CT982" s="14" t="str">
        <f t="shared" si="1543"/>
        <v/>
      </c>
      <c r="CU982" s="15"/>
      <c r="CV982" s="1"/>
      <c r="CW982" s="19" t="e">
        <f>IF(#REF!="","",#REF!)</f>
        <v>#REF!</v>
      </c>
      <c r="CX982" s="25"/>
      <c r="CY982" s="13" t="str">
        <f>IF(CX982="","",CX982-CX980)</f>
        <v/>
      </c>
      <c r="CZ982" s="13"/>
      <c r="DA982" s="13" t="str">
        <f>IF(CZ982="","",CZ982-CZ980)</f>
        <v/>
      </c>
      <c r="DB982" s="13"/>
      <c r="DC982" s="13" t="str">
        <f>IF(DB982="","",DB980+DD980-DB982)</f>
        <v/>
      </c>
      <c r="DD982" s="13"/>
      <c r="DE982" s="53"/>
      <c r="DF982" s="12" t="str">
        <f>IF(CX982="","",DF980)</f>
        <v/>
      </c>
      <c r="DG982" s="13" t="str">
        <f t="shared" si="1544"/>
        <v/>
      </c>
      <c r="DH982" s="14" t="str">
        <f t="shared" si="1545"/>
        <v/>
      </c>
      <c r="DI982" s="15"/>
      <c r="DJ982" s="1"/>
      <c r="DK982" s="19" t="e">
        <f>IF(#REF!="","",#REF!)</f>
        <v>#REF!</v>
      </c>
      <c r="DL982" s="25"/>
      <c r="DM982" s="13" t="str">
        <f>IF(DL982="","",DL982-DL980)</f>
        <v/>
      </c>
      <c r="DN982" s="13"/>
      <c r="DO982" s="13" t="str">
        <f>IF(DN982="","",DN982-DN980)</f>
        <v/>
      </c>
      <c r="DP982" s="13"/>
      <c r="DQ982" s="13" t="str">
        <f>IF(DP982="","",DP980+DR980-DP982)</f>
        <v/>
      </c>
      <c r="DR982" s="13"/>
      <c r="DS982" s="53"/>
      <c r="DT982" s="12" t="str">
        <f>IF(DL982="","",DT980)</f>
        <v/>
      </c>
      <c r="DU982" s="13" t="str">
        <f t="shared" si="1546"/>
        <v/>
      </c>
      <c r="DV982" s="14" t="str">
        <f t="shared" si="1547"/>
        <v/>
      </c>
      <c r="DW982" s="15"/>
    </row>
    <row r="983" spans="1:127" ht="15" customHeight="1" x14ac:dyDescent="0.2">
      <c r="A983" s="79"/>
      <c r="B983" s="11"/>
      <c r="C983" s="34">
        <v>20193</v>
      </c>
      <c r="D983" s="13">
        <f t="shared" si="1503"/>
        <v>52</v>
      </c>
      <c r="E983" s="34">
        <v>1014</v>
      </c>
      <c r="F983" s="13">
        <f t="shared" si="1504"/>
        <v>8</v>
      </c>
      <c r="G983" s="34">
        <v>55</v>
      </c>
      <c r="H983" s="13">
        <f t="shared" si="1505"/>
        <v>9</v>
      </c>
      <c r="I983" s="49">
        <v>0</v>
      </c>
      <c r="J983" s="56" t="str">
        <f t="shared" si="1506"/>
        <v>ジョージラバーキーホルダー</v>
      </c>
      <c r="K983" s="13">
        <v>335</v>
      </c>
      <c r="L983" s="13">
        <f t="shared" si="1508"/>
        <v>3015</v>
      </c>
      <c r="M983" s="14">
        <f t="shared" si="1509"/>
        <v>0.57980769230769236</v>
      </c>
      <c r="N983" s="15"/>
      <c r="O983" s="2"/>
      <c r="P983" s="79"/>
      <c r="Q983" s="34">
        <v>18762</v>
      </c>
      <c r="R983" s="13">
        <f t="shared" si="1510"/>
        <v>132</v>
      </c>
      <c r="S983" s="34">
        <v>2606</v>
      </c>
      <c r="T983" s="13">
        <f t="shared" si="1511"/>
        <v>16</v>
      </c>
      <c r="U983" s="34">
        <v>5</v>
      </c>
      <c r="V983" s="13">
        <f t="shared" si="1512"/>
        <v>17</v>
      </c>
      <c r="W983" s="49">
        <v>11</v>
      </c>
      <c r="X983" s="56" t="str">
        <f t="shared" si="1513"/>
        <v>グミッツェル</v>
      </c>
      <c r="Y983" s="13">
        <f t="shared" si="1514"/>
        <v>165</v>
      </c>
      <c r="Z983" s="13">
        <f t="shared" si="1515"/>
        <v>2805</v>
      </c>
      <c r="AA983" s="14">
        <f t="shared" si="1516"/>
        <v>0.21249999999999999</v>
      </c>
      <c r="AB983" s="15"/>
      <c r="AD983" s="79"/>
      <c r="AE983" s="34">
        <v>3767</v>
      </c>
      <c r="AF983" s="13">
        <f t="shared" si="1517"/>
        <v>100</v>
      </c>
      <c r="AG983" s="34">
        <v>120</v>
      </c>
      <c r="AH983" s="13">
        <f t="shared" si="1518"/>
        <v>2</v>
      </c>
      <c r="AI983" s="34">
        <v>9</v>
      </c>
      <c r="AJ983" s="13">
        <f t="shared" si="1519"/>
        <v>4</v>
      </c>
      <c r="AK983" s="49">
        <v>0</v>
      </c>
      <c r="AL983" s="56" t="str">
        <f t="shared" si="1529"/>
        <v>ピクミン引っこ抜き</v>
      </c>
      <c r="AM983" s="13">
        <f t="shared" si="1528"/>
        <v>650</v>
      </c>
      <c r="AN983" s="13">
        <f t="shared" si="1520"/>
        <v>2600</v>
      </c>
      <c r="AO983" s="14">
        <f t="shared" si="1521"/>
        <v>0.26</v>
      </c>
      <c r="AP983" s="15"/>
      <c r="AQ983" s="2"/>
      <c r="AR983" s="79"/>
      <c r="AS983" s="34">
        <v>4012</v>
      </c>
      <c r="AT983" s="13">
        <f t="shared" si="1522"/>
        <v>131</v>
      </c>
      <c r="AU983" s="34">
        <v>130</v>
      </c>
      <c r="AV983" s="13">
        <f t="shared" si="1523"/>
        <v>3</v>
      </c>
      <c r="AW983" s="34">
        <v>105</v>
      </c>
      <c r="AX983" s="13">
        <f t="shared" si="1524"/>
        <v>5</v>
      </c>
      <c r="AY983" s="17">
        <v>20</v>
      </c>
      <c r="AZ983" s="56" t="str">
        <f t="shared" si="1530"/>
        <v>スプランキーラバーキーホルダー</v>
      </c>
      <c r="BA983" s="13">
        <f t="shared" si="1531"/>
        <v>200</v>
      </c>
      <c r="BB983" s="13">
        <f t="shared" si="1526"/>
        <v>1000</v>
      </c>
      <c r="BC983" s="14">
        <f t="shared" si="1527"/>
        <v>7.6335877862595422E-2</v>
      </c>
      <c r="BD983" s="15"/>
      <c r="BU983" s="19" t="e">
        <f>IF(#REF!="","",#REF!)</f>
        <v>#REF!</v>
      </c>
      <c r="BV983" s="25"/>
      <c r="BW983" s="13" t="str">
        <f>IF(BV983="","",BV983-#REF!)</f>
        <v/>
      </c>
      <c r="BX983" s="13"/>
      <c r="BY983" s="13" t="str">
        <f>IF(BX983="","",BX983-#REF!)</f>
        <v/>
      </c>
      <c r="BZ983" s="13"/>
      <c r="CA983" s="13" t="str">
        <f>IF(BZ983="","",#REF!+#REF!-BZ983)</f>
        <v/>
      </c>
      <c r="CB983" s="13"/>
      <c r="CC983" s="53"/>
      <c r="CD983" s="12" t="str">
        <f>IF(BV983="","",#REF!)</f>
        <v/>
      </c>
      <c r="CE983" s="13" t="str">
        <f t="shared" si="1540"/>
        <v/>
      </c>
      <c r="CF983" s="14" t="str">
        <f t="shared" si="1541"/>
        <v/>
      </c>
      <c r="CG983" s="15"/>
      <c r="CH983" s="1"/>
      <c r="CI983" s="19" t="e">
        <f>IF(#REF!="","",#REF!)</f>
        <v>#REF!</v>
      </c>
      <c r="CJ983" s="25"/>
      <c r="CK983" s="13" t="str">
        <f>IF(CJ983="","",CJ983-#REF!)</f>
        <v/>
      </c>
      <c r="CL983" s="13"/>
      <c r="CM983" s="13" t="str">
        <f>IF(CL983="","",CL983-#REF!)</f>
        <v/>
      </c>
      <c r="CN983" s="13"/>
      <c r="CO983" s="13" t="str">
        <f>IF(CN983="","",#REF!+#REF!-CN983)</f>
        <v/>
      </c>
      <c r="CP983" s="13"/>
      <c r="CQ983" s="53"/>
      <c r="CR983" s="12" t="str">
        <f>IF(CJ983="","",#REF!)</f>
        <v/>
      </c>
      <c r="CS983" s="13" t="str">
        <f t="shared" si="1542"/>
        <v/>
      </c>
      <c r="CT983" s="14" t="str">
        <f t="shared" si="1543"/>
        <v/>
      </c>
      <c r="CU983" s="15"/>
      <c r="CV983" s="1"/>
      <c r="CW983" s="19" t="e">
        <f>IF(#REF!="","",#REF!)</f>
        <v>#REF!</v>
      </c>
      <c r="CX983" s="25"/>
      <c r="CY983" s="13" t="str">
        <f>IF(CX983="","",CX983-#REF!)</f>
        <v/>
      </c>
      <c r="CZ983" s="13"/>
      <c r="DA983" s="13" t="str">
        <f>IF(CZ983="","",CZ983-#REF!)</f>
        <v/>
      </c>
      <c r="DB983" s="13"/>
      <c r="DC983" s="13" t="str">
        <f>IF(DB983="","",#REF!+#REF!-DB983)</f>
        <v/>
      </c>
      <c r="DD983" s="13"/>
      <c r="DE983" s="53"/>
      <c r="DF983" s="12" t="str">
        <f>IF(CX983="","",#REF!)</f>
        <v/>
      </c>
      <c r="DG983" s="13" t="str">
        <f t="shared" si="1544"/>
        <v/>
      </c>
      <c r="DH983" s="14" t="str">
        <f t="shared" si="1545"/>
        <v/>
      </c>
      <c r="DI983" s="15"/>
      <c r="DJ983" s="1"/>
      <c r="DK983" s="19" t="e">
        <f>IF(#REF!="","",#REF!)</f>
        <v>#REF!</v>
      </c>
      <c r="DL983" s="25"/>
      <c r="DM983" s="13" t="str">
        <f>IF(DL983="","",DL983-#REF!)</f>
        <v/>
      </c>
      <c r="DN983" s="13"/>
      <c r="DO983" s="13" t="str">
        <f>IF(DN983="","",DN983-#REF!)</f>
        <v/>
      </c>
      <c r="DP983" s="13"/>
      <c r="DQ983" s="13" t="str">
        <f>IF(DP983="","",#REF!+#REF!-DP983)</f>
        <v/>
      </c>
      <c r="DR983" s="13"/>
      <c r="DS983" s="53"/>
      <c r="DT983" s="12" t="str">
        <f>IF(DL983="","",#REF!)</f>
        <v/>
      </c>
      <c r="DU983" s="13" t="str">
        <f t="shared" si="1546"/>
        <v/>
      </c>
      <c r="DV983" s="14" t="str">
        <f t="shared" si="1547"/>
        <v/>
      </c>
      <c r="DW983" s="15"/>
    </row>
    <row r="984" spans="1:127" ht="15" customHeight="1" thickBot="1" x14ac:dyDescent="0.25">
      <c r="A984" s="26"/>
      <c r="B984" s="46"/>
      <c r="C984" s="27">
        <v>25716</v>
      </c>
      <c r="D984" s="27">
        <f t="shared" si="1503"/>
        <v>188</v>
      </c>
      <c r="E984" s="27">
        <v>1262</v>
      </c>
      <c r="F984" s="27">
        <f t="shared" si="1504"/>
        <v>5</v>
      </c>
      <c r="G984" s="27">
        <v>45</v>
      </c>
      <c r="H984" s="27">
        <f t="shared" si="1505"/>
        <v>5</v>
      </c>
      <c r="I984" s="47">
        <v>0</v>
      </c>
      <c r="J984" s="57" t="str">
        <f t="shared" si="1506"/>
        <v>NICIマスコット</v>
      </c>
      <c r="K984" s="62">
        <f t="shared" si="1507"/>
        <v>682</v>
      </c>
      <c r="L984" s="27">
        <f t="shared" si="1508"/>
        <v>3410</v>
      </c>
      <c r="M984" s="28">
        <f t="shared" si="1509"/>
        <v>0.18138297872340425</v>
      </c>
      <c r="N984" s="15"/>
      <c r="O984" s="2"/>
      <c r="P984" s="26"/>
      <c r="Q984" s="27">
        <v>17805</v>
      </c>
      <c r="R984" s="27">
        <f t="shared" si="1510"/>
        <v>83</v>
      </c>
      <c r="S984" s="27">
        <v>1549</v>
      </c>
      <c r="T984" s="27">
        <f t="shared" si="1511"/>
        <v>8</v>
      </c>
      <c r="U984" s="27">
        <v>300</v>
      </c>
      <c r="V984" s="27">
        <f t="shared" si="1512"/>
        <v>23</v>
      </c>
      <c r="W984" s="47">
        <v>0</v>
      </c>
      <c r="X984" s="57" t="str">
        <f t="shared" si="1513"/>
        <v>サンリオブレスレット</v>
      </c>
      <c r="Y984" s="62">
        <f t="shared" si="1514"/>
        <v>120</v>
      </c>
      <c r="Z984" s="27">
        <f t="shared" si="1515"/>
        <v>2760</v>
      </c>
      <c r="AA984" s="28">
        <f t="shared" si="1516"/>
        <v>0.3325301204819277</v>
      </c>
      <c r="AB984" s="15"/>
      <c r="AD984" s="26"/>
      <c r="AE984" s="27">
        <v>2981</v>
      </c>
      <c r="AF984" s="27">
        <f t="shared" si="1517"/>
        <v>136</v>
      </c>
      <c r="AG984" s="27">
        <v>128</v>
      </c>
      <c r="AH984" s="27">
        <f t="shared" si="1518"/>
        <v>4</v>
      </c>
      <c r="AI984" s="27">
        <v>8</v>
      </c>
      <c r="AJ984" s="27">
        <f t="shared" si="1519"/>
        <v>4</v>
      </c>
      <c r="AK984" s="47">
        <v>4</v>
      </c>
      <c r="AL984" s="57" t="s">
        <v>91</v>
      </c>
      <c r="AM984" s="62">
        <v>726</v>
      </c>
      <c r="AN984" s="27">
        <f t="shared" si="1520"/>
        <v>2904</v>
      </c>
      <c r="AO984" s="28">
        <f t="shared" si="1521"/>
        <v>0.21352941176470588</v>
      </c>
      <c r="AP984" s="15"/>
      <c r="AQ984" s="2"/>
      <c r="AR984" s="26"/>
      <c r="AS984" s="27">
        <v>3848</v>
      </c>
      <c r="AT984" s="27">
        <f t="shared" si="1522"/>
        <v>166</v>
      </c>
      <c r="AU984" s="27">
        <v>165</v>
      </c>
      <c r="AV984" s="27">
        <f t="shared" si="1523"/>
        <v>6</v>
      </c>
      <c r="AW984" s="27">
        <v>17</v>
      </c>
      <c r="AX984" s="27">
        <f t="shared" si="1524"/>
        <v>7</v>
      </c>
      <c r="AY984" s="47">
        <v>10</v>
      </c>
      <c r="AZ984" s="57" t="str">
        <f t="shared" si="1530"/>
        <v>スプランキーマスコット</v>
      </c>
      <c r="BA984" s="62">
        <f t="shared" si="1531"/>
        <v>180</v>
      </c>
      <c r="BB984" s="27">
        <f t="shared" si="1526"/>
        <v>1260</v>
      </c>
      <c r="BC984" s="28">
        <f t="shared" si="1527"/>
        <v>7.5903614457831323E-2</v>
      </c>
      <c r="BD984" s="15"/>
      <c r="BU984" s="19" t="e">
        <f>IF(#REF!="","",#REF!)</f>
        <v>#REF!</v>
      </c>
      <c r="BV984" s="25"/>
      <c r="BW984" s="13" t="str">
        <f t="shared" ref="BW984:BW988" si="1548">IF(BV984="","",BV984-BV983)</f>
        <v/>
      </c>
      <c r="BX984" s="13"/>
      <c r="BY984" s="13" t="str">
        <f t="shared" ref="BY984:BY987" si="1549">IF(BX984="","",BX984-BX983)</f>
        <v/>
      </c>
      <c r="BZ984" s="13"/>
      <c r="CA984" s="13" t="str">
        <f t="shared" ref="CA984:CA988" si="1550">IF(BZ984="","",BZ983+CB983-BZ984)</f>
        <v/>
      </c>
      <c r="CB984" s="13"/>
      <c r="CC984" s="53"/>
      <c r="CD984" s="12" t="str">
        <f t="shared" ref="CD984:CD985" si="1551">IF(BV984="","",CD983)</f>
        <v/>
      </c>
      <c r="CE984" s="13" t="str">
        <f t="shared" si="1540"/>
        <v/>
      </c>
      <c r="CF984" s="14" t="str">
        <f t="shared" si="1541"/>
        <v/>
      </c>
      <c r="CG984" s="15"/>
      <c r="CH984" s="1"/>
      <c r="CI984" s="19" t="e">
        <f>IF(#REF!="","",#REF!)</f>
        <v>#REF!</v>
      </c>
      <c r="CJ984" s="25"/>
      <c r="CK984" s="13" t="str">
        <f t="shared" ref="CK984:CK988" si="1552">IF(CJ984="","",CJ984-CJ983)</f>
        <v/>
      </c>
      <c r="CL984" s="13"/>
      <c r="CM984" s="13" t="str">
        <f t="shared" ref="CM984:CM987" si="1553">IF(CL984="","",CL984-CL983)</f>
        <v/>
      </c>
      <c r="CN984" s="13"/>
      <c r="CO984" s="13" t="str">
        <f t="shared" ref="CO984:CO988" si="1554">IF(CN984="","",CN983+CP983-CN984)</f>
        <v/>
      </c>
      <c r="CP984" s="13"/>
      <c r="CQ984" s="53"/>
      <c r="CR984" s="12" t="str">
        <f t="shared" ref="CR984:CR985" si="1555">IF(CJ984="","",CR983)</f>
        <v/>
      </c>
      <c r="CS984" s="13" t="str">
        <f t="shared" si="1542"/>
        <v/>
      </c>
      <c r="CT984" s="14" t="str">
        <f t="shared" si="1543"/>
        <v/>
      </c>
      <c r="CU984" s="15"/>
      <c r="CV984" s="1"/>
      <c r="CW984" s="19" t="e">
        <f>IF(#REF!="","",#REF!)</f>
        <v>#REF!</v>
      </c>
      <c r="CX984" s="25"/>
      <c r="CY984" s="13" t="str">
        <f t="shared" ref="CY984:CY988" si="1556">IF(CX984="","",CX984-CX983)</f>
        <v/>
      </c>
      <c r="CZ984" s="13"/>
      <c r="DA984" s="13" t="str">
        <f t="shared" ref="DA984:DA987" si="1557">IF(CZ984="","",CZ984-CZ983)</f>
        <v/>
      </c>
      <c r="DB984" s="13"/>
      <c r="DC984" s="13" t="str">
        <f t="shared" ref="DC984:DC988" si="1558">IF(DB984="","",DB983+DD983-DB984)</f>
        <v/>
      </c>
      <c r="DD984" s="13"/>
      <c r="DE984" s="53"/>
      <c r="DF984" s="12" t="str">
        <f t="shared" ref="DF984:DF985" si="1559">IF(CX984="","",DF983)</f>
        <v/>
      </c>
      <c r="DG984" s="13" t="str">
        <f t="shared" si="1544"/>
        <v/>
      </c>
      <c r="DH984" s="14" t="str">
        <f t="shared" si="1545"/>
        <v/>
      </c>
      <c r="DI984" s="15"/>
      <c r="DJ984" s="1"/>
      <c r="DK984" s="19" t="e">
        <f>IF(#REF!="","",#REF!)</f>
        <v>#REF!</v>
      </c>
      <c r="DL984" s="25"/>
      <c r="DM984" s="13" t="str">
        <f t="shared" ref="DM984:DM988" si="1560">IF(DL984="","",DL984-DL983)</f>
        <v/>
      </c>
      <c r="DN984" s="13"/>
      <c r="DO984" s="13" t="str">
        <f t="shared" ref="DO984:DO987" si="1561">IF(DN984="","",DN984-DN983)</f>
        <v/>
      </c>
      <c r="DP984" s="13"/>
      <c r="DQ984" s="13" t="str">
        <f t="shared" ref="DQ984:DQ988" si="1562">IF(DP984="","",DP983+DR983-DP984)</f>
        <v/>
      </c>
      <c r="DR984" s="13"/>
      <c r="DS984" s="53"/>
      <c r="DT984" s="12" t="str">
        <f t="shared" ref="DT984:DT985" si="1563">IF(DL984="","",DT983)</f>
        <v/>
      </c>
      <c r="DU984" s="13" t="str">
        <f t="shared" si="1546"/>
        <v/>
      </c>
      <c r="DV984" s="14" t="str">
        <f t="shared" si="1547"/>
        <v/>
      </c>
      <c r="DW984" s="15"/>
    </row>
    <row r="985" spans="1:127" ht="15" customHeight="1" thickTop="1" x14ac:dyDescent="0.2">
      <c r="A985" s="79">
        <v>45779</v>
      </c>
      <c r="B985" s="74">
        <f>IF(A985="","",SUM(D985:D988)+SUM(R985:R988)+SUM(AF985:AF988)+SUM(AT985:AT988))</f>
        <v>1434</v>
      </c>
      <c r="C985" s="53">
        <v>19701</v>
      </c>
      <c r="D985" s="53">
        <f t="shared" si="1503"/>
        <v>139</v>
      </c>
      <c r="E985" s="53">
        <v>1079</v>
      </c>
      <c r="F985" s="31">
        <f t="shared" si="1504"/>
        <v>10</v>
      </c>
      <c r="G985" s="53">
        <v>4</v>
      </c>
      <c r="H985" s="53">
        <f t="shared" si="1505"/>
        <v>5</v>
      </c>
      <c r="I985" s="80">
        <v>9</v>
      </c>
      <c r="J985" s="75" t="str">
        <f t="shared" si="1506"/>
        <v>ジャグラーサウンドボタン</v>
      </c>
      <c r="K985" s="76">
        <f t="shared" si="1507"/>
        <v>748</v>
      </c>
      <c r="L985" s="31">
        <f t="shared" si="1508"/>
        <v>3740</v>
      </c>
      <c r="M985" s="32">
        <f t="shared" si="1509"/>
        <v>0.26906474820143883</v>
      </c>
      <c r="N985" s="15"/>
      <c r="O985" s="2"/>
      <c r="P985" s="79">
        <f>IF($A985="","",$A985)</f>
        <v>45779</v>
      </c>
      <c r="Q985" s="53">
        <v>20216</v>
      </c>
      <c r="R985" s="53">
        <f t="shared" si="1510"/>
        <v>53</v>
      </c>
      <c r="S985" s="53">
        <v>1157</v>
      </c>
      <c r="T985" s="31">
        <f t="shared" si="1511"/>
        <v>1</v>
      </c>
      <c r="U985" s="53">
        <v>6</v>
      </c>
      <c r="V985" s="53">
        <f t="shared" si="1512"/>
        <v>1</v>
      </c>
      <c r="W985" s="80">
        <v>0</v>
      </c>
      <c r="X985" s="75" t="str">
        <f t="shared" si="1513"/>
        <v>じゃがりこイヤホン</v>
      </c>
      <c r="Y985" s="76">
        <f t="shared" si="1514"/>
        <v>1100</v>
      </c>
      <c r="Z985" s="31">
        <f t="shared" si="1515"/>
        <v>1100</v>
      </c>
      <c r="AA985" s="32">
        <f t="shared" si="1516"/>
        <v>0.20754716981132076</v>
      </c>
      <c r="AB985" s="15"/>
      <c r="AD985" s="79">
        <f>IF($A985="","",$A985)</f>
        <v>45779</v>
      </c>
      <c r="AE985" s="53">
        <v>4412</v>
      </c>
      <c r="AF985" s="53">
        <f t="shared" si="1517"/>
        <v>49</v>
      </c>
      <c r="AG985" s="53">
        <v>93</v>
      </c>
      <c r="AH985" s="31">
        <f t="shared" si="1518"/>
        <v>1</v>
      </c>
      <c r="AI985" s="53">
        <v>47</v>
      </c>
      <c r="AJ985" s="53">
        <f t="shared" si="1519"/>
        <v>1</v>
      </c>
      <c r="AK985" s="80">
        <v>0</v>
      </c>
      <c r="AL985" s="75" t="str">
        <f t="shared" si="1529"/>
        <v>ミニ香水</v>
      </c>
      <c r="AM985" s="76">
        <f t="shared" si="1528"/>
        <v>1100</v>
      </c>
      <c r="AN985" s="31">
        <f t="shared" si="1520"/>
        <v>1100</v>
      </c>
      <c r="AO985" s="32">
        <f t="shared" si="1521"/>
        <v>0.22448979591836735</v>
      </c>
      <c r="AP985" s="15"/>
      <c r="AQ985" s="2"/>
      <c r="AR985" s="79">
        <f>IF($A985="","",$A985)</f>
        <v>45779</v>
      </c>
      <c r="AS985" s="53">
        <v>4253</v>
      </c>
      <c r="AT985" s="53">
        <f t="shared" si="1522"/>
        <v>56</v>
      </c>
      <c r="AU985" s="53">
        <v>129</v>
      </c>
      <c r="AV985" s="31">
        <f t="shared" si="1523"/>
        <v>1</v>
      </c>
      <c r="AW985" s="53">
        <v>27</v>
      </c>
      <c r="AX985" s="53">
        <f t="shared" si="1524"/>
        <v>1</v>
      </c>
      <c r="AY985" s="80">
        <v>10</v>
      </c>
      <c r="AZ985" s="75" t="str">
        <f t="shared" si="1530"/>
        <v>ロムアンド</v>
      </c>
      <c r="BA985" s="76">
        <f t="shared" si="1531"/>
        <v>1001</v>
      </c>
      <c r="BB985" s="31">
        <f t="shared" si="1526"/>
        <v>1001</v>
      </c>
      <c r="BC985" s="32">
        <f t="shared" si="1527"/>
        <v>0.17874999999999999</v>
      </c>
      <c r="BD985" s="15"/>
      <c r="BU985" s="19" t="e">
        <f>IF(#REF!="","",#REF!)</f>
        <v>#REF!</v>
      </c>
      <c r="BV985" s="25"/>
      <c r="BW985" s="13" t="str">
        <f t="shared" si="1548"/>
        <v/>
      </c>
      <c r="BX985" s="13"/>
      <c r="BY985" s="13" t="str">
        <f t="shared" si="1549"/>
        <v/>
      </c>
      <c r="BZ985" s="13"/>
      <c r="CA985" s="13" t="str">
        <f t="shared" si="1550"/>
        <v/>
      </c>
      <c r="CB985" s="13"/>
      <c r="CC985" s="53"/>
      <c r="CD985" s="12" t="str">
        <f t="shared" si="1551"/>
        <v/>
      </c>
      <c r="CE985" s="13" t="str">
        <f t="shared" si="1540"/>
        <v/>
      </c>
      <c r="CF985" s="14" t="str">
        <f t="shared" si="1541"/>
        <v/>
      </c>
      <c r="CG985" s="15"/>
      <c r="CH985" s="1"/>
      <c r="CI985" s="19" t="e">
        <f>IF(#REF!="","",#REF!)</f>
        <v>#REF!</v>
      </c>
      <c r="CJ985" s="25"/>
      <c r="CK985" s="13" t="str">
        <f t="shared" si="1552"/>
        <v/>
      </c>
      <c r="CL985" s="13"/>
      <c r="CM985" s="13" t="str">
        <f t="shared" si="1553"/>
        <v/>
      </c>
      <c r="CN985" s="13"/>
      <c r="CO985" s="13" t="str">
        <f t="shared" si="1554"/>
        <v/>
      </c>
      <c r="CP985" s="13"/>
      <c r="CQ985" s="53"/>
      <c r="CR985" s="12" t="str">
        <f t="shared" si="1555"/>
        <v/>
      </c>
      <c r="CS985" s="13" t="str">
        <f t="shared" si="1542"/>
        <v/>
      </c>
      <c r="CT985" s="14" t="str">
        <f t="shared" si="1543"/>
        <v/>
      </c>
      <c r="CU985" s="15"/>
      <c r="CV985" s="1"/>
      <c r="CW985" s="19" t="e">
        <f>IF(#REF!="","",#REF!)</f>
        <v>#REF!</v>
      </c>
      <c r="CX985" s="25"/>
      <c r="CY985" s="13" t="str">
        <f t="shared" si="1556"/>
        <v/>
      </c>
      <c r="CZ985" s="13"/>
      <c r="DA985" s="13" t="str">
        <f t="shared" si="1557"/>
        <v/>
      </c>
      <c r="DB985" s="13"/>
      <c r="DC985" s="13" t="str">
        <f t="shared" si="1558"/>
        <v/>
      </c>
      <c r="DD985" s="13"/>
      <c r="DE985" s="53"/>
      <c r="DF985" s="12" t="str">
        <f t="shared" si="1559"/>
        <v/>
      </c>
      <c r="DG985" s="13" t="str">
        <f t="shared" si="1544"/>
        <v/>
      </c>
      <c r="DH985" s="14" t="str">
        <f t="shared" si="1545"/>
        <v/>
      </c>
      <c r="DI985" s="15"/>
      <c r="DJ985" s="1"/>
      <c r="DK985" s="19" t="e">
        <f>IF(#REF!="","",#REF!)</f>
        <v>#REF!</v>
      </c>
      <c r="DL985" s="25"/>
      <c r="DM985" s="13" t="str">
        <f t="shared" si="1560"/>
        <v/>
      </c>
      <c r="DN985" s="13"/>
      <c r="DO985" s="13" t="str">
        <f t="shared" si="1561"/>
        <v/>
      </c>
      <c r="DP985" s="13"/>
      <c r="DQ985" s="13" t="str">
        <f t="shared" si="1562"/>
        <v/>
      </c>
      <c r="DR985" s="13"/>
      <c r="DS985" s="53"/>
      <c r="DT985" s="12" t="str">
        <f t="shared" si="1563"/>
        <v/>
      </c>
      <c r="DU985" s="13" t="str">
        <f t="shared" si="1546"/>
        <v/>
      </c>
      <c r="DV985" s="14" t="str">
        <f t="shared" si="1547"/>
        <v/>
      </c>
      <c r="DW985" s="15"/>
    </row>
    <row r="986" spans="1:127" ht="15" customHeight="1" x14ac:dyDescent="0.2">
      <c r="A986" s="16"/>
      <c r="B986" s="11"/>
      <c r="C986" s="13">
        <v>24190</v>
      </c>
      <c r="D986" s="13">
        <f t="shared" si="1503"/>
        <v>143</v>
      </c>
      <c r="E986" s="13">
        <v>1265</v>
      </c>
      <c r="F986" s="13">
        <f t="shared" si="1504"/>
        <v>31</v>
      </c>
      <c r="G986" s="13">
        <v>9</v>
      </c>
      <c r="H986" s="13">
        <f t="shared" si="1505"/>
        <v>12</v>
      </c>
      <c r="I986" s="17">
        <v>17</v>
      </c>
      <c r="J986" s="56" t="str">
        <f t="shared" si="1506"/>
        <v>ゴールドイヤホン</v>
      </c>
      <c r="K986" s="54">
        <f t="shared" si="1507"/>
        <v>770</v>
      </c>
      <c r="L986" s="13">
        <f t="shared" si="1508"/>
        <v>9240</v>
      </c>
      <c r="M986" s="14">
        <f t="shared" si="1509"/>
        <v>0.64615384615384619</v>
      </c>
      <c r="N986" s="15" t="s">
        <v>93</v>
      </c>
      <c r="O986" s="2"/>
      <c r="P986" s="16"/>
      <c r="Q986" s="13">
        <v>24239</v>
      </c>
      <c r="R986" s="13">
        <f t="shared" si="1510"/>
        <v>44</v>
      </c>
      <c r="S986" s="13">
        <v>1429</v>
      </c>
      <c r="T986" s="13">
        <f t="shared" si="1511"/>
        <v>6</v>
      </c>
      <c r="U986" s="13">
        <v>0</v>
      </c>
      <c r="V986" s="13">
        <f t="shared" si="1512"/>
        <v>6</v>
      </c>
      <c r="W986" s="17">
        <v>16</v>
      </c>
      <c r="X986" s="56" t="str">
        <f t="shared" si="1513"/>
        <v>ベティ ウォレット</v>
      </c>
      <c r="Y986" s="54">
        <f t="shared" si="1514"/>
        <v>748</v>
      </c>
      <c r="Z986" s="13">
        <f t="shared" si="1515"/>
        <v>4488</v>
      </c>
      <c r="AA986" s="14">
        <f t="shared" si="1516"/>
        <v>1.02</v>
      </c>
      <c r="AB986" s="15" t="s">
        <v>94</v>
      </c>
      <c r="AD986" s="16"/>
      <c r="AE986" s="13">
        <v>3238</v>
      </c>
      <c r="AF986" s="13">
        <f t="shared" si="1517"/>
        <v>117</v>
      </c>
      <c r="AG986" s="13">
        <v>80</v>
      </c>
      <c r="AH986" s="13">
        <f t="shared" si="1518"/>
        <v>2</v>
      </c>
      <c r="AI986" s="13">
        <v>17</v>
      </c>
      <c r="AJ986" s="13">
        <f t="shared" si="1519"/>
        <v>2</v>
      </c>
      <c r="AK986" s="17">
        <v>4</v>
      </c>
      <c r="AL986" s="56" t="str">
        <f t="shared" si="1529"/>
        <v>デジタルミニカメラ</v>
      </c>
      <c r="AM986" s="54">
        <f t="shared" si="1528"/>
        <v>800</v>
      </c>
      <c r="AN986" s="13">
        <f t="shared" si="1520"/>
        <v>1600</v>
      </c>
      <c r="AO986" s="14">
        <f t="shared" si="1521"/>
        <v>0.13675213675213677</v>
      </c>
      <c r="AP986" s="15"/>
      <c r="AQ986" s="2"/>
      <c r="AR986" s="16"/>
      <c r="AS986" s="13">
        <v>2684</v>
      </c>
      <c r="AT986" s="13">
        <f t="shared" si="1522"/>
        <v>28</v>
      </c>
      <c r="AU986" s="13">
        <v>83</v>
      </c>
      <c r="AV986" s="13">
        <f t="shared" si="1523"/>
        <v>3</v>
      </c>
      <c r="AW986" s="13">
        <v>18</v>
      </c>
      <c r="AX986" s="13">
        <f t="shared" si="1524"/>
        <v>2</v>
      </c>
      <c r="AY986" s="17">
        <v>282</v>
      </c>
      <c r="AZ986" s="56" t="str">
        <f t="shared" si="1530"/>
        <v>猫アイシャドウ</v>
      </c>
      <c r="BA986" s="54">
        <f t="shared" si="1531"/>
        <v>1034</v>
      </c>
      <c r="BB986" s="13">
        <f t="shared" si="1526"/>
        <v>2068</v>
      </c>
      <c r="BC986" s="14">
        <f t="shared" si="1527"/>
        <v>0.73857142857142855</v>
      </c>
      <c r="BD986" s="15" t="s">
        <v>97</v>
      </c>
      <c r="BU986" s="16"/>
      <c r="BV986" s="25"/>
      <c r="BW986" s="13" t="str">
        <f t="shared" si="1548"/>
        <v/>
      </c>
      <c r="BX986" s="13"/>
      <c r="BY986" s="13" t="str">
        <f t="shared" si="1549"/>
        <v/>
      </c>
      <c r="BZ986" s="13"/>
      <c r="CA986" s="13" t="str">
        <f t="shared" si="1550"/>
        <v/>
      </c>
      <c r="CB986" s="13"/>
      <c r="CC986" s="13"/>
      <c r="CD986" s="13"/>
      <c r="CE986" s="13" t="str">
        <f t="shared" si="1540"/>
        <v/>
      </c>
      <c r="CF986" s="14" t="str">
        <f t="shared" si="1541"/>
        <v/>
      </c>
      <c r="CG986" s="15"/>
      <c r="CH986" s="1"/>
      <c r="CI986" s="16"/>
      <c r="CJ986" s="25"/>
      <c r="CK986" s="13" t="str">
        <f t="shared" si="1552"/>
        <v/>
      </c>
      <c r="CL986" s="13"/>
      <c r="CM986" s="13" t="str">
        <f t="shared" si="1553"/>
        <v/>
      </c>
      <c r="CN986" s="13"/>
      <c r="CO986" s="13" t="str">
        <f t="shared" si="1554"/>
        <v/>
      </c>
      <c r="CP986" s="13"/>
      <c r="CQ986" s="13"/>
      <c r="CR986" s="13"/>
      <c r="CS986" s="13" t="str">
        <f t="shared" si="1542"/>
        <v/>
      </c>
      <c r="CT986" s="14" t="str">
        <f t="shared" si="1543"/>
        <v/>
      </c>
      <c r="CU986" s="15"/>
      <c r="CV986" s="1"/>
      <c r="CW986" s="16"/>
      <c r="CX986" s="25"/>
      <c r="CY986" s="13" t="str">
        <f t="shared" si="1556"/>
        <v/>
      </c>
      <c r="CZ986" s="13"/>
      <c r="DA986" s="13" t="str">
        <f t="shared" si="1557"/>
        <v/>
      </c>
      <c r="DB986" s="13"/>
      <c r="DC986" s="13" t="str">
        <f t="shared" si="1558"/>
        <v/>
      </c>
      <c r="DD986" s="13"/>
      <c r="DE986" s="13"/>
      <c r="DF986" s="13"/>
      <c r="DG986" s="13" t="str">
        <f t="shared" si="1544"/>
        <v/>
      </c>
      <c r="DH986" s="14" t="str">
        <f t="shared" si="1545"/>
        <v/>
      </c>
      <c r="DI986" s="15"/>
      <c r="DJ986" s="1"/>
      <c r="DK986" s="16"/>
      <c r="DL986" s="25"/>
      <c r="DM986" s="13" t="str">
        <f t="shared" si="1560"/>
        <v/>
      </c>
      <c r="DN986" s="13"/>
      <c r="DO986" s="13" t="str">
        <f t="shared" si="1561"/>
        <v/>
      </c>
      <c r="DP986" s="13"/>
      <c r="DQ986" s="13" t="str">
        <f t="shared" si="1562"/>
        <v/>
      </c>
      <c r="DR986" s="13"/>
      <c r="DS986" s="13"/>
      <c r="DT986" s="13"/>
      <c r="DU986" s="13" t="str">
        <f t="shared" si="1546"/>
        <v/>
      </c>
      <c r="DV986" s="14" t="str">
        <f t="shared" si="1547"/>
        <v/>
      </c>
      <c r="DW986" s="15"/>
    </row>
    <row r="987" spans="1:127" ht="15" customHeight="1" x14ac:dyDescent="0.2">
      <c r="A987" s="16"/>
      <c r="B987" s="11"/>
      <c r="C987" s="34">
        <v>20240</v>
      </c>
      <c r="D987" s="87">
        <f t="shared" si="1503"/>
        <v>47</v>
      </c>
      <c r="E987" s="34">
        <v>1019</v>
      </c>
      <c r="F987" s="13">
        <f t="shared" si="1504"/>
        <v>5</v>
      </c>
      <c r="G987" s="13">
        <v>50</v>
      </c>
      <c r="H987" s="13">
        <f t="shared" si="1505"/>
        <v>5</v>
      </c>
      <c r="I987" s="17">
        <v>60</v>
      </c>
      <c r="J987" s="56" t="str">
        <f t="shared" si="1506"/>
        <v>ジョージラバーキーホルダー</v>
      </c>
      <c r="K987" s="13">
        <f t="shared" si="1507"/>
        <v>335</v>
      </c>
      <c r="L987" s="13">
        <f t="shared" si="1508"/>
        <v>1675</v>
      </c>
      <c r="M987" s="14">
        <f t="shared" si="1509"/>
        <v>0.35638297872340424</v>
      </c>
      <c r="N987" s="15"/>
      <c r="O987" s="2"/>
      <c r="P987" s="16"/>
      <c r="Q987" s="34">
        <v>18856</v>
      </c>
      <c r="R987" s="13">
        <f t="shared" si="1510"/>
        <v>94</v>
      </c>
      <c r="S987" s="34">
        <v>2612</v>
      </c>
      <c r="T987" s="13">
        <f t="shared" si="1511"/>
        <v>6</v>
      </c>
      <c r="U987" s="13">
        <v>9</v>
      </c>
      <c r="V987" s="13">
        <f t="shared" si="1512"/>
        <v>7</v>
      </c>
      <c r="W987" s="17">
        <v>12</v>
      </c>
      <c r="X987" s="56" t="str">
        <f t="shared" si="1513"/>
        <v>グミッツェル</v>
      </c>
      <c r="Y987" s="13">
        <f t="shared" si="1514"/>
        <v>165</v>
      </c>
      <c r="Z987" s="13">
        <f t="shared" si="1515"/>
        <v>1155</v>
      </c>
      <c r="AA987" s="14">
        <f t="shared" si="1516"/>
        <v>0.12287234042553191</v>
      </c>
      <c r="AB987" s="15"/>
      <c r="AD987" s="16"/>
      <c r="AE987" s="34">
        <v>3864</v>
      </c>
      <c r="AF987" s="13">
        <f t="shared" si="1517"/>
        <v>97</v>
      </c>
      <c r="AG987" s="34">
        <v>121</v>
      </c>
      <c r="AH987" s="13">
        <f t="shared" si="1518"/>
        <v>1</v>
      </c>
      <c r="AI987" s="13">
        <v>8</v>
      </c>
      <c r="AJ987" s="13">
        <f t="shared" si="1519"/>
        <v>1</v>
      </c>
      <c r="AK987" s="17">
        <v>6</v>
      </c>
      <c r="AL987" s="56" t="str">
        <f t="shared" si="1529"/>
        <v>ピクミン引っこ抜き</v>
      </c>
      <c r="AM987" s="13">
        <f t="shared" si="1528"/>
        <v>650</v>
      </c>
      <c r="AN987" s="13">
        <f t="shared" si="1520"/>
        <v>650</v>
      </c>
      <c r="AO987" s="14">
        <f t="shared" si="1521"/>
        <v>6.7010309278350513E-2</v>
      </c>
      <c r="AP987" s="15"/>
      <c r="AQ987" s="2"/>
      <c r="AR987" s="16"/>
      <c r="AS987" s="34">
        <v>4164</v>
      </c>
      <c r="AT987" s="13">
        <f t="shared" si="1522"/>
        <v>152</v>
      </c>
      <c r="AU987" s="34">
        <v>140</v>
      </c>
      <c r="AV987" s="13">
        <f t="shared" si="1523"/>
        <v>10</v>
      </c>
      <c r="AW987" s="13">
        <v>110</v>
      </c>
      <c r="AX987" s="13">
        <f t="shared" si="1524"/>
        <v>15</v>
      </c>
      <c r="AY987" s="17">
        <v>40</v>
      </c>
      <c r="AZ987" s="56" t="str">
        <f t="shared" si="1530"/>
        <v>スプランキーラバーキーホルダー</v>
      </c>
      <c r="BA987" s="13">
        <f t="shared" si="1531"/>
        <v>200</v>
      </c>
      <c r="BB987" s="13">
        <f t="shared" si="1526"/>
        <v>3000</v>
      </c>
      <c r="BC987" s="14">
        <f t="shared" si="1527"/>
        <v>0.19736842105263158</v>
      </c>
      <c r="BD987" s="15"/>
      <c r="BU987" s="16"/>
      <c r="BV987" s="25"/>
      <c r="BW987" s="13" t="str">
        <f t="shared" si="1548"/>
        <v/>
      </c>
      <c r="BX987" s="13"/>
      <c r="BY987" s="13" t="str">
        <f t="shared" si="1549"/>
        <v/>
      </c>
      <c r="BZ987" s="13"/>
      <c r="CA987" s="13" t="str">
        <f t="shared" si="1550"/>
        <v/>
      </c>
      <c r="CB987" s="13"/>
      <c r="CC987" s="13"/>
      <c r="CD987" s="13"/>
      <c r="CE987" s="13" t="str">
        <f t="shared" si="1540"/>
        <v/>
      </c>
      <c r="CF987" s="14" t="str">
        <f t="shared" si="1541"/>
        <v/>
      </c>
      <c r="CG987" s="15"/>
      <c r="CH987" s="1"/>
      <c r="CI987" s="16"/>
      <c r="CJ987" s="25"/>
      <c r="CK987" s="13" t="str">
        <f t="shared" si="1552"/>
        <v/>
      </c>
      <c r="CL987" s="13"/>
      <c r="CM987" s="13" t="str">
        <f t="shared" si="1553"/>
        <v/>
      </c>
      <c r="CN987" s="13"/>
      <c r="CO987" s="13" t="str">
        <f t="shared" si="1554"/>
        <v/>
      </c>
      <c r="CP987" s="13"/>
      <c r="CQ987" s="13"/>
      <c r="CR987" s="13"/>
      <c r="CS987" s="13" t="str">
        <f t="shared" si="1542"/>
        <v/>
      </c>
      <c r="CT987" s="14" t="str">
        <f t="shared" si="1543"/>
        <v/>
      </c>
      <c r="CU987" s="15"/>
      <c r="CV987" s="1"/>
      <c r="CW987" s="16"/>
      <c r="CX987" s="25"/>
      <c r="CY987" s="13" t="str">
        <f t="shared" si="1556"/>
        <v/>
      </c>
      <c r="CZ987" s="13"/>
      <c r="DA987" s="13" t="str">
        <f t="shared" si="1557"/>
        <v/>
      </c>
      <c r="DB987" s="13"/>
      <c r="DC987" s="13" t="str">
        <f t="shared" si="1558"/>
        <v/>
      </c>
      <c r="DD987" s="13"/>
      <c r="DE987" s="13"/>
      <c r="DF987" s="13"/>
      <c r="DG987" s="13" t="str">
        <f t="shared" si="1544"/>
        <v/>
      </c>
      <c r="DH987" s="14" t="str">
        <f t="shared" si="1545"/>
        <v/>
      </c>
      <c r="DI987" s="15"/>
      <c r="DJ987" s="1"/>
      <c r="DK987" s="16"/>
      <c r="DL987" s="25"/>
      <c r="DM987" s="13" t="str">
        <f t="shared" si="1560"/>
        <v/>
      </c>
      <c r="DN987" s="13"/>
      <c r="DO987" s="13" t="str">
        <f t="shared" si="1561"/>
        <v/>
      </c>
      <c r="DP987" s="13"/>
      <c r="DQ987" s="13" t="str">
        <f t="shared" si="1562"/>
        <v/>
      </c>
      <c r="DR987" s="13"/>
      <c r="DS987" s="13"/>
      <c r="DT987" s="13"/>
      <c r="DU987" s="13" t="str">
        <f t="shared" si="1546"/>
        <v/>
      </c>
      <c r="DV987" s="14" t="str">
        <f t="shared" si="1547"/>
        <v/>
      </c>
      <c r="DW987" s="15"/>
    </row>
    <row r="988" spans="1:127" ht="15" customHeight="1" thickBot="1" x14ac:dyDescent="0.25">
      <c r="A988" s="26"/>
      <c r="B988" s="46"/>
      <c r="C988" s="27">
        <v>25810</v>
      </c>
      <c r="D988" s="27">
        <f t="shared" si="1503"/>
        <v>94</v>
      </c>
      <c r="E988" s="27">
        <v>1266</v>
      </c>
      <c r="F988" s="27">
        <f t="shared" si="1504"/>
        <v>4</v>
      </c>
      <c r="G988" s="27">
        <v>41</v>
      </c>
      <c r="H988" s="27">
        <f t="shared" si="1505"/>
        <v>4</v>
      </c>
      <c r="I988" s="47">
        <v>10</v>
      </c>
      <c r="J988" s="57" t="str">
        <f t="shared" si="1506"/>
        <v>NICIマスコット</v>
      </c>
      <c r="K988" s="62">
        <f t="shared" si="1507"/>
        <v>682</v>
      </c>
      <c r="L988" s="27">
        <f t="shared" si="1508"/>
        <v>2728</v>
      </c>
      <c r="M988" s="28">
        <f t="shared" si="1509"/>
        <v>0.29021276595744683</v>
      </c>
      <c r="N988" s="15"/>
      <c r="O988" s="2"/>
      <c r="P988" s="26"/>
      <c r="Q988" s="27">
        <v>17883</v>
      </c>
      <c r="R988" s="27">
        <f t="shared" si="1510"/>
        <v>78</v>
      </c>
      <c r="S988" s="27">
        <v>1562</v>
      </c>
      <c r="T988" s="27">
        <f t="shared" si="1511"/>
        <v>13</v>
      </c>
      <c r="U988" s="27">
        <v>270</v>
      </c>
      <c r="V988" s="27">
        <f t="shared" si="1512"/>
        <v>30</v>
      </c>
      <c r="W988" s="47">
        <v>40</v>
      </c>
      <c r="X988" s="57" t="str">
        <f t="shared" si="1513"/>
        <v>サンリオブレスレット</v>
      </c>
      <c r="Y988" s="62">
        <f t="shared" si="1514"/>
        <v>120</v>
      </c>
      <c r="Z988" s="27">
        <f t="shared" si="1515"/>
        <v>3600</v>
      </c>
      <c r="AA988" s="28">
        <f t="shared" si="1516"/>
        <v>0.46153846153846156</v>
      </c>
      <c r="AB988" s="15"/>
      <c r="AD988" s="26"/>
      <c r="AE988" s="27">
        <v>3114</v>
      </c>
      <c r="AF988" s="27">
        <f t="shared" si="1517"/>
        <v>133</v>
      </c>
      <c r="AG988" s="27">
        <v>129</v>
      </c>
      <c r="AH988" s="27">
        <f t="shared" si="1518"/>
        <v>1</v>
      </c>
      <c r="AI988" s="27">
        <v>11</v>
      </c>
      <c r="AJ988" s="27">
        <f t="shared" si="1519"/>
        <v>1</v>
      </c>
      <c r="AK988" s="47">
        <v>7</v>
      </c>
      <c r="AL988" s="57" t="str">
        <f t="shared" si="1529"/>
        <v>ギャルキティキーケース</v>
      </c>
      <c r="AM988" s="62">
        <f t="shared" si="1528"/>
        <v>726</v>
      </c>
      <c r="AN988" s="27">
        <f t="shared" si="1520"/>
        <v>726</v>
      </c>
      <c r="AO988" s="28">
        <f t="shared" si="1521"/>
        <v>5.4586466165413537E-2</v>
      </c>
      <c r="AP988" s="15"/>
      <c r="AQ988" s="2"/>
      <c r="AR988" s="26"/>
      <c r="AS988" s="27">
        <v>3958</v>
      </c>
      <c r="AT988" s="27">
        <f t="shared" si="1522"/>
        <v>110</v>
      </c>
      <c r="AU988" s="27">
        <v>169</v>
      </c>
      <c r="AV988" s="27">
        <f t="shared" si="1523"/>
        <v>4</v>
      </c>
      <c r="AW988" s="27">
        <v>21</v>
      </c>
      <c r="AX988" s="27">
        <f t="shared" si="1524"/>
        <v>6</v>
      </c>
      <c r="AY988" s="47">
        <v>30</v>
      </c>
      <c r="AZ988" s="57" t="str">
        <f t="shared" si="1530"/>
        <v>スプランキーマスコット</v>
      </c>
      <c r="BA988" s="62">
        <f t="shared" si="1531"/>
        <v>180</v>
      </c>
      <c r="BB988" s="27">
        <f t="shared" si="1526"/>
        <v>1080</v>
      </c>
      <c r="BC988" s="28">
        <f t="shared" si="1527"/>
        <v>9.8181818181818176E-2</v>
      </c>
      <c r="BD988" s="15"/>
      <c r="BU988" s="16"/>
      <c r="BV988" s="25"/>
      <c r="BW988" s="13" t="str">
        <f t="shared" si="1548"/>
        <v/>
      </c>
      <c r="BX988" s="13"/>
      <c r="BY988" s="13"/>
      <c r="BZ988" s="13"/>
      <c r="CA988" s="13" t="str">
        <f t="shared" si="1550"/>
        <v/>
      </c>
      <c r="CB988" s="13"/>
      <c r="CC988" s="13"/>
      <c r="CD988" s="13"/>
      <c r="CE988" s="13" t="str">
        <f t="shared" si="1540"/>
        <v/>
      </c>
      <c r="CF988" s="14" t="str">
        <f t="shared" si="1541"/>
        <v/>
      </c>
      <c r="CG988" s="15"/>
      <c r="CH988" s="1"/>
      <c r="CI988" s="16"/>
      <c r="CJ988" s="25"/>
      <c r="CK988" s="13" t="str">
        <f t="shared" si="1552"/>
        <v/>
      </c>
      <c r="CL988" s="13"/>
      <c r="CM988" s="13"/>
      <c r="CN988" s="13"/>
      <c r="CO988" s="13" t="str">
        <f t="shared" si="1554"/>
        <v/>
      </c>
      <c r="CP988" s="13"/>
      <c r="CQ988" s="13"/>
      <c r="CR988" s="13"/>
      <c r="CS988" s="13" t="str">
        <f t="shared" si="1542"/>
        <v/>
      </c>
      <c r="CT988" s="14" t="str">
        <f t="shared" si="1543"/>
        <v/>
      </c>
      <c r="CU988" s="15"/>
      <c r="CV988" s="1"/>
      <c r="CW988" s="16"/>
      <c r="CX988" s="25"/>
      <c r="CY988" s="13" t="str">
        <f t="shared" si="1556"/>
        <v/>
      </c>
      <c r="CZ988" s="13"/>
      <c r="DA988" s="13"/>
      <c r="DB988" s="13"/>
      <c r="DC988" s="13" t="str">
        <f t="shared" si="1558"/>
        <v/>
      </c>
      <c r="DD988" s="13"/>
      <c r="DE988" s="13"/>
      <c r="DF988" s="13"/>
      <c r="DG988" s="13" t="str">
        <f t="shared" si="1544"/>
        <v/>
      </c>
      <c r="DH988" s="14" t="str">
        <f t="shared" si="1545"/>
        <v/>
      </c>
      <c r="DI988" s="15"/>
      <c r="DJ988" s="1"/>
      <c r="DK988" s="16"/>
      <c r="DL988" s="25"/>
      <c r="DM988" s="13" t="str">
        <f t="shared" si="1560"/>
        <v/>
      </c>
      <c r="DN988" s="13"/>
      <c r="DO988" s="13"/>
      <c r="DP988" s="13"/>
      <c r="DQ988" s="13" t="str">
        <f t="shared" si="1562"/>
        <v/>
      </c>
      <c r="DR988" s="13"/>
      <c r="DS988" s="13"/>
      <c r="DT988" s="13"/>
      <c r="DU988" s="13" t="str">
        <f t="shared" si="1546"/>
        <v/>
      </c>
      <c r="DV988" s="14" t="str">
        <f t="shared" si="1547"/>
        <v/>
      </c>
      <c r="DW988" s="15"/>
    </row>
    <row r="989" spans="1:127" ht="15" customHeight="1" thickTop="1" x14ac:dyDescent="0.2">
      <c r="A989" s="16">
        <v>45782</v>
      </c>
      <c r="B989" s="74">
        <f>IF(A989="","",SUM(D989:D992)+SUM(R989:R992)+SUM(AF989:AF992)+SUM(AT989:AT992))</f>
        <v>1829</v>
      </c>
      <c r="C989" s="13">
        <v>19935</v>
      </c>
      <c r="D989" s="53">
        <f t="shared" si="1503"/>
        <v>234</v>
      </c>
      <c r="E989" s="13">
        <v>1093</v>
      </c>
      <c r="F989" s="31">
        <f t="shared" si="1504"/>
        <v>14</v>
      </c>
      <c r="G989" s="13">
        <v>6</v>
      </c>
      <c r="H989" s="53">
        <f t="shared" si="1505"/>
        <v>7</v>
      </c>
      <c r="I989" s="17">
        <v>7</v>
      </c>
      <c r="J989" s="75" t="str">
        <f t="shared" si="1506"/>
        <v>ジャグラーサウンドボタン</v>
      </c>
      <c r="K989" s="76">
        <f t="shared" si="1507"/>
        <v>748</v>
      </c>
      <c r="L989" s="31">
        <f t="shared" si="1508"/>
        <v>5236</v>
      </c>
      <c r="M989" s="32">
        <f t="shared" si="1509"/>
        <v>0.22376068376068375</v>
      </c>
      <c r="N989" s="15"/>
      <c r="O989" s="2"/>
      <c r="P989" s="79">
        <f>IF($A989="","",$A989)</f>
        <v>45782</v>
      </c>
      <c r="Q989" s="13">
        <v>20290</v>
      </c>
      <c r="R989" s="53">
        <f t="shared" si="1510"/>
        <v>74</v>
      </c>
      <c r="S989" s="13">
        <v>1159</v>
      </c>
      <c r="T989" s="31">
        <f t="shared" si="1511"/>
        <v>2</v>
      </c>
      <c r="U989" s="13">
        <v>4</v>
      </c>
      <c r="V989" s="53">
        <f t="shared" si="1512"/>
        <v>2</v>
      </c>
      <c r="W989" s="17">
        <v>2</v>
      </c>
      <c r="X989" s="75" t="str">
        <f t="shared" si="1513"/>
        <v>じゃがりこイヤホン</v>
      </c>
      <c r="Y989" s="76">
        <f t="shared" si="1514"/>
        <v>1100</v>
      </c>
      <c r="Z989" s="31">
        <f t="shared" si="1515"/>
        <v>2200</v>
      </c>
      <c r="AA989" s="32">
        <f t="shared" si="1516"/>
        <v>0.29729729729729731</v>
      </c>
      <c r="AB989" s="15"/>
      <c r="AD989" s="79">
        <f>IF($A989="","",$A989)</f>
        <v>45782</v>
      </c>
      <c r="AE989" s="13">
        <v>4453</v>
      </c>
      <c r="AF989" s="53">
        <f t="shared" si="1517"/>
        <v>41</v>
      </c>
      <c r="AG989" s="13">
        <v>94</v>
      </c>
      <c r="AH989" s="31">
        <f t="shared" si="1518"/>
        <v>1</v>
      </c>
      <c r="AI989" s="13">
        <v>46</v>
      </c>
      <c r="AJ989" s="53">
        <f t="shared" si="1519"/>
        <v>1</v>
      </c>
      <c r="AK989" s="17">
        <v>0</v>
      </c>
      <c r="AL989" s="75" t="str">
        <f t="shared" si="1529"/>
        <v>ミニ香水</v>
      </c>
      <c r="AM989" s="76">
        <f t="shared" si="1528"/>
        <v>1100</v>
      </c>
      <c r="AN989" s="31">
        <f t="shared" si="1520"/>
        <v>1100</v>
      </c>
      <c r="AO989" s="32">
        <f t="shared" si="1521"/>
        <v>0.26829268292682928</v>
      </c>
      <c r="AP989" s="15"/>
      <c r="AQ989" s="2"/>
      <c r="AR989" s="79">
        <f>IF($A989="","",$A989)</f>
        <v>45782</v>
      </c>
      <c r="AS989" s="13">
        <v>4310</v>
      </c>
      <c r="AT989" s="53">
        <f t="shared" si="1522"/>
        <v>57</v>
      </c>
      <c r="AU989" s="13">
        <v>130</v>
      </c>
      <c r="AV989" s="31">
        <f t="shared" si="1523"/>
        <v>1</v>
      </c>
      <c r="AW989" s="13">
        <v>36</v>
      </c>
      <c r="AX989" s="53">
        <f t="shared" si="1524"/>
        <v>1</v>
      </c>
      <c r="AY989" s="17">
        <v>0</v>
      </c>
      <c r="AZ989" s="75" t="str">
        <f t="shared" si="1530"/>
        <v>ロムアンド</v>
      </c>
      <c r="BA989" s="76">
        <f t="shared" si="1531"/>
        <v>1001</v>
      </c>
      <c r="BB989" s="31">
        <f t="shared" si="1526"/>
        <v>1001</v>
      </c>
      <c r="BC989" s="32">
        <f t="shared" si="1527"/>
        <v>0.17561403508771931</v>
      </c>
      <c r="BD989" s="15"/>
      <c r="BU989" s="16"/>
      <c r="BV989" s="13"/>
      <c r="BW989" s="13" t="str">
        <f>IF(BV989="","",BV989-BV990)</f>
        <v/>
      </c>
      <c r="BX989" s="13"/>
      <c r="BY989" s="13" t="str">
        <f>IF(BX989="","",BX989-BX990)</f>
        <v/>
      </c>
      <c r="BZ989" s="13"/>
      <c r="CA989" s="13" t="str">
        <f>IF(BZ989="","",BZ990+CB990-BZ989)</f>
        <v/>
      </c>
      <c r="CB989" s="13"/>
      <c r="CC989" s="13"/>
      <c r="CD989" s="13"/>
      <c r="CE989" s="13" t="str">
        <f t="shared" si="1540"/>
        <v/>
      </c>
      <c r="CF989" s="14" t="str">
        <f t="shared" si="1541"/>
        <v/>
      </c>
      <c r="CG989" s="15"/>
      <c r="CH989" s="1"/>
      <c r="CI989" s="16"/>
      <c r="CJ989" s="13"/>
      <c r="CK989" s="13" t="str">
        <f>IF(CJ989="","",CJ989-CJ990)</f>
        <v/>
      </c>
      <c r="CL989" s="13"/>
      <c r="CM989" s="13" t="str">
        <f>IF(CL989="","",CL989-CL990)</f>
        <v/>
      </c>
      <c r="CN989" s="13"/>
      <c r="CO989" s="13" t="str">
        <f>IF(CN989="","",CN990+CP990-CN989)</f>
        <v/>
      </c>
      <c r="CP989" s="13"/>
      <c r="CQ989" s="13"/>
      <c r="CR989" s="13"/>
      <c r="CS989" s="13" t="str">
        <f t="shared" si="1542"/>
        <v/>
      </c>
      <c r="CT989" s="14" t="str">
        <f t="shared" si="1543"/>
        <v/>
      </c>
      <c r="CU989" s="15"/>
      <c r="CV989" s="1"/>
      <c r="CW989" s="16"/>
      <c r="CX989" s="13"/>
      <c r="CY989" s="13" t="str">
        <f>IF(CX989="","",CX989-CX990)</f>
        <v/>
      </c>
      <c r="CZ989" s="13"/>
      <c r="DA989" s="13" t="str">
        <f>IF(CZ989="","",CZ989-CZ990)</f>
        <v/>
      </c>
      <c r="DB989" s="13"/>
      <c r="DC989" s="13" t="str">
        <f>IF(DB989="","",DB990+DD990-DB989)</f>
        <v/>
      </c>
      <c r="DD989" s="13"/>
      <c r="DE989" s="13"/>
      <c r="DF989" s="13"/>
      <c r="DG989" s="13" t="str">
        <f t="shared" si="1544"/>
        <v/>
      </c>
      <c r="DH989" s="14" t="str">
        <f t="shared" si="1545"/>
        <v/>
      </c>
      <c r="DI989" s="15"/>
      <c r="DJ989" s="1"/>
      <c r="DK989" s="16"/>
      <c r="DL989" s="13"/>
      <c r="DM989" s="13" t="str">
        <f>IF(DL989="","",DL989-DL990)</f>
        <v/>
      </c>
      <c r="DN989" s="13"/>
      <c r="DO989" s="13" t="str">
        <f>IF(DN989="","",DN989-DN990)</f>
        <v/>
      </c>
      <c r="DP989" s="13"/>
      <c r="DQ989" s="13" t="str">
        <f>IF(DP989="","",DP990+DR990-DP989)</f>
        <v/>
      </c>
      <c r="DR989" s="13"/>
      <c r="DS989" s="13"/>
      <c r="DT989" s="13"/>
      <c r="DU989" s="13" t="str">
        <f t="shared" si="1546"/>
        <v/>
      </c>
      <c r="DV989" s="14" t="str">
        <f t="shared" si="1547"/>
        <v/>
      </c>
      <c r="DW989" s="15"/>
    </row>
    <row r="990" spans="1:127" ht="15" customHeight="1" x14ac:dyDescent="0.2">
      <c r="A990" s="79"/>
      <c r="B990" s="11"/>
      <c r="C990" s="53">
        <v>24350</v>
      </c>
      <c r="D990" s="13">
        <f t="shared" si="1503"/>
        <v>160</v>
      </c>
      <c r="E990" s="53">
        <v>1281</v>
      </c>
      <c r="F990" s="13">
        <f t="shared" si="1504"/>
        <v>16</v>
      </c>
      <c r="G990" s="13">
        <v>20</v>
      </c>
      <c r="H990" s="13">
        <f t="shared" si="1505"/>
        <v>6</v>
      </c>
      <c r="I990" s="17">
        <v>5</v>
      </c>
      <c r="J990" s="56" t="str">
        <f t="shared" si="1506"/>
        <v>ゴールドイヤホン</v>
      </c>
      <c r="K990" s="54">
        <f t="shared" si="1507"/>
        <v>770</v>
      </c>
      <c r="L990" s="13">
        <f t="shared" si="1508"/>
        <v>4620</v>
      </c>
      <c r="M990" s="14">
        <f t="shared" si="1509"/>
        <v>0.28875000000000001</v>
      </c>
      <c r="N990" s="15"/>
      <c r="O990" s="2"/>
      <c r="P990" s="79" t="str">
        <f>IF(A990="","",A990)</f>
        <v/>
      </c>
      <c r="Q990" s="53">
        <v>24425</v>
      </c>
      <c r="R990" s="13">
        <f t="shared" si="1510"/>
        <v>186</v>
      </c>
      <c r="S990" s="53">
        <v>1436</v>
      </c>
      <c r="T990" s="13">
        <f t="shared" si="1511"/>
        <v>7</v>
      </c>
      <c r="U990" s="13">
        <v>9</v>
      </c>
      <c r="V990" s="13">
        <f t="shared" si="1512"/>
        <v>7</v>
      </c>
      <c r="W990" s="17">
        <v>0</v>
      </c>
      <c r="X990" s="110" t="s">
        <v>96</v>
      </c>
      <c r="Y990" s="54">
        <v>1100</v>
      </c>
      <c r="Z990" s="13">
        <f t="shared" si="1515"/>
        <v>7700</v>
      </c>
      <c r="AA990" s="14">
        <f t="shared" si="1516"/>
        <v>0.41397849462365593</v>
      </c>
      <c r="AB990" s="15" t="s">
        <v>99</v>
      </c>
      <c r="AD990" s="79" t="str">
        <f>IF(O990="","",O990)</f>
        <v/>
      </c>
      <c r="AE990" s="53">
        <v>3341</v>
      </c>
      <c r="AF990" s="13">
        <f t="shared" si="1517"/>
        <v>103</v>
      </c>
      <c r="AG990" s="53">
        <v>85</v>
      </c>
      <c r="AH990" s="13">
        <f t="shared" si="1518"/>
        <v>5</v>
      </c>
      <c r="AI990" s="13">
        <v>15</v>
      </c>
      <c r="AJ990" s="13">
        <f t="shared" si="1519"/>
        <v>6</v>
      </c>
      <c r="AK990" s="17">
        <v>0</v>
      </c>
      <c r="AL990" s="56" t="str">
        <f t="shared" si="1529"/>
        <v>デジタルミニカメラ</v>
      </c>
      <c r="AM990" s="54">
        <f t="shared" si="1528"/>
        <v>800</v>
      </c>
      <c r="AN990" s="13">
        <f t="shared" si="1520"/>
        <v>4800</v>
      </c>
      <c r="AO990" s="14">
        <f t="shared" si="1521"/>
        <v>0.46601941747572817</v>
      </c>
      <c r="AP990" s="15"/>
      <c r="AQ990" s="2"/>
      <c r="AR990" s="79" t="str">
        <f>IF(AC990="","",AC990)</f>
        <v/>
      </c>
      <c r="AS990" s="53">
        <v>2719</v>
      </c>
      <c r="AT990" s="13">
        <f t="shared" si="1522"/>
        <v>35</v>
      </c>
      <c r="AU990" s="53">
        <v>99</v>
      </c>
      <c r="AV990" s="13">
        <f t="shared" si="1523"/>
        <v>16</v>
      </c>
      <c r="AW990" s="13">
        <v>280</v>
      </c>
      <c r="AX990" s="13">
        <f t="shared" si="1524"/>
        <v>20</v>
      </c>
      <c r="AY990" s="17">
        <v>0</v>
      </c>
      <c r="AZ990" s="56" t="s">
        <v>98</v>
      </c>
      <c r="BA990" s="54">
        <v>31</v>
      </c>
      <c r="BB990" s="13">
        <f t="shared" si="1526"/>
        <v>620</v>
      </c>
      <c r="BC990" s="14">
        <f t="shared" si="1527"/>
        <v>0.17714285714285713</v>
      </c>
      <c r="BD990" s="15"/>
      <c r="BU990" s="16"/>
      <c r="BV990" s="13"/>
      <c r="BW990" s="13" t="str">
        <f t="shared" ref="BW990:BW991" si="1564">IF(BV990="","",BV990-BV988)</f>
        <v/>
      </c>
      <c r="BX990" s="13"/>
      <c r="BY990" s="13" t="str">
        <f t="shared" ref="BY990" si="1565">IF(BX990="","",BX990-BX988)</f>
        <v/>
      </c>
      <c r="BZ990" s="13"/>
      <c r="CA990" s="13" t="str">
        <f t="shared" ref="CA990:CA991" si="1566">IF(BZ990="","",BZ988+CB988-BZ990)</f>
        <v/>
      </c>
      <c r="CB990" s="13"/>
      <c r="CC990" s="13"/>
      <c r="CD990" s="13"/>
      <c r="CE990" s="13" t="str">
        <f t="shared" si="1540"/>
        <v/>
      </c>
      <c r="CF990" s="14" t="str">
        <f t="shared" si="1541"/>
        <v/>
      </c>
      <c r="CG990" s="15"/>
      <c r="CH990" s="1"/>
      <c r="CI990" s="16"/>
      <c r="CJ990" s="13"/>
      <c r="CK990" s="13" t="str">
        <f t="shared" ref="CK990:CK991" si="1567">IF(CJ990="","",CJ990-CJ988)</f>
        <v/>
      </c>
      <c r="CL990" s="13"/>
      <c r="CM990" s="13" t="str">
        <f t="shared" ref="CM990" si="1568">IF(CL990="","",CL990-CL988)</f>
        <v/>
      </c>
      <c r="CN990" s="13"/>
      <c r="CO990" s="13" t="str">
        <f t="shared" ref="CO990:CO991" si="1569">IF(CN990="","",CN988+CP988-CN990)</f>
        <v/>
      </c>
      <c r="CP990" s="13"/>
      <c r="CQ990" s="13"/>
      <c r="CR990" s="13"/>
      <c r="CS990" s="13" t="str">
        <f t="shared" si="1542"/>
        <v/>
      </c>
      <c r="CT990" s="14" t="str">
        <f t="shared" si="1543"/>
        <v/>
      </c>
      <c r="CU990" s="15"/>
      <c r="CV990" s="1"/>
      <c r="CW990" s="16"/>
      <c r="CX990" s="13"/>
      <c r="CY990" s="13" t="str">
        <f t="shared" ref="CY990:CY991" si="1570">IF(CX990="","",CX990-CX988)</f>
        <v/>
      </c>
      <c r="CZ990" s="13"/>
      <c r="DA990" s="13" t="str">
        <f t="shared" ref="DA990" si="1571">IF(CZ990="","",CZ990-CZ988)</f>
        <v/>
      </c>
      <c r="DB990" s="13"/>
      <c r="DC990" s="13" t="str">
        <f t="shared" ref="DC990:DC991" si="1572">IF(DB990="","",DB988+DD988-DB990)</f>
        <v/>
      </c>
      <c r="DD990" s="13"/>
      <c r="DE990" s="13"/>
      <c r="DF990" s="13"/>
      <c r="DG990" s="13" t="str">
        <f t="shared" si="1544"/>
        <v/>
      </c>
      <c r="DH990" s="14" t="str">
        <f t="shared" si="1545"/>
        <v/>
      </c>
      <c r="DI990" s="15"/>
      <c r="DJ990" s="1"/>
      <c r="DK990" s="16"/>
      <c r="DL990" s="13"/>
      <c r="DM990" s="13" t="str">
        <f t="shared" ref="DM990:DM991" si="1573">IF(DL990="","",DL990-DL988)</f>
        <v/>
      </c>
      <c r="DN990" s="13"/>
      <c r="DO990" s="13" t="str">
        <f t="shared" ref="DO990" si="1574">IF(DN990="","",DN990-DN988)</f>
        <v/>
      </c>
      <c r="DP990" s="13"/>
      <c r="DQ990" s="13" t="str">
        <f t="shared" ref="DQ990:DQ991" si="1575">IF(DP990="","",DP988+DR988-DP990)</f>
        <v/>
      </c>
      <c r="DR990" s="13"/>
      <c r="DS990" s="13"/>
      <c r="DT990" s="13"/>
      <c r="DU990" s="13" t="str">
        <f t="shared" si="1546"/>
        <v/>
      </c>
      <c r="DV990" s="14" t="str">
        <f t="shared" si="1547"/>
        <v/>
      </c>
      <c r="DW990" s="15"/>
    </row>
    <row r="991" spans="1:127" ht="15" customHeight="1" x14ac:dyDescent="0.2">
      <c r="A991" s="16"/>
      <c r="B991" s="11"/>
      <c r="C991" s="13">
        <v>20283</v>
      </c>
      <c r="D991" s="13">
        <f t="shared" si="1503"/>
        <v>43</v>
      </c>
      <c r="E991" s="13">
        <v>1027</v>
      </c>
      <c r="F991" s="13">
        <f t="shared" si="1504"/>
        <v>8</v>
      </c>
      <c r="G991" s="13">
        <v>102</v>
      </c>
      <c r="H991" s="13">
        <f t="shared" si="1505"/>
        <v>8</v>
      </c>
      <c r="I991" s="17">
        <v>-80</v>
      </c>
      <c r="J991" s="56" t="str">
        <f t="shared" si="1506"/>
        <v>ジョージラバーキーホルダー</v>
      </c>
      <c r="K991" s="13">
        <f t="shared" si="1507"/>
        <v>335</v>
      </c>
      <c r="L991" s="13">
        <f t="shared" si="1508"/>
        <v>2680</v>
      </c>
      <c r="M991" s="14">
        <f t="shared" si="1509"/>
        <v>0.62325581395348839</v>
      </c>
      <c r="N991" s="15" t="s">
        <v>100</v>
      </c>
      <c r="O991" s="2"/>
      <c r="P991" s="16"/>
      <c r="Q991" s="13">
        <v>18987</v>
      </c>
      <c r="R991" s="13">
        <f t="shared" si="1510"/>
        <v>131</v>
      </c>
      <c r="S991" s="13">
        <v>2632</v>
      </c>
      <c r="T991" s="13">
        <f t="shared" si="1511"/>
        <v>20</v>
      </c>
      <c r="U991" s="13">
        <v>0</v>
      </c>
      <c r="V991" s="13">
        <f t="shared" si="1512"/>
        <v>21</v>
      </c>
      <c r="W991" s="17">
        <v>18</v>
      </c>
      <c r="X991" s="56" t="str">
        <f t="shared" si="1513"/>
        <v>グミッツェル</v>
      </c>
      <c r="Y991" s="13">
        <f t="shared" si="1514"/>
        <v>165</v>
      </c>
      <c r="Z991" s="13">
        <f t="shared" si="1515"/>
        <v>3465</v>
      </c>
      <c r="AA991" s="14">
        <f t="shared" si="1516"/>
        <v>0.26450381679389312</v>
      </c>
      <c r="AB991" s="15"/>
      <c r="AD991" s="16"/>
      <c r="AE991" s="13">
        <v>3931</v>
      </c>
      <c r="AF991" s="13">
        <f t="shared" si="1517"/>
        <v>67</v>
      </c>
      <c r="AG991" s="13">
        <v>123</v>
      </c>
      <c r="AH991" s="13">
        <f t="shared" si="1518"/>
        <v>2</v>
      </c>
      <c r="AI991" s="13">
        <v>12</v>
      </c>
      <c r="AJ991" s="13">
        <f t="shared" si="1519"/>
        <v>2</v>
      </c>
      <c r="AK991" s="17">
        <v>0</v>
      </c>
      <c r="AL991" s="56" t="str">
        <f t="shared" si="1529"/>
        <v>ピクミン引っこ抜き</v>
      </c>
      <c r="AM991" s="13">
        <f t="shared" si="1528"/>
        <v>650</v>
      </c>
      <c r="AN991" s="13">
        <f t="shared" si="1520"/>
        <v>1300</v>
      </c>
      <c r="AO991" s="14">
        <f t="shared" si="1521"/>
        <v>0.19402985074626866</v>
      </c>
      <c r="AP991" s="15"/>
      <c r="AQ991" s="2"/>
      <c r="AR991" s="16"/>
      <c r="AS991" s="13">
        <v>4330</v>
      </c>
      <c r="AT991" s="13">
        <f t="shared" si="1522"/>
        <v>166</v>
      </c>
      <c r="AU991" s="13">
        <v>149</v>
      </c>
      <c r="AV991" s="13">
        <f t="shared" si="1523"/>
        <v>9</v>
      </c>
      <c r="AW991" s="13">
        <v>140</v>
      </c>
      <c r="AX991" s="13">
        <f t="shared" si="1524"/>
        <v>10</v>
      </c>
      <c r="AY991" s="17">
        <v>0</v>
      </c>
      <c r="AZ991" s="56" t="str">
        <f t="shared" si="1530"/>
        <v>スプランキーラバーキーホルダー</v>
      </c>
      <c r="BA991" s="13">
        <f t="shared" si="1531"/>
        <v>200</v>
      </c>
      <c r="BB991" s="13">
        <f t="shared" si="1526"/>
        <v>2000</v>
      </c>
      <c r="BC991" s="14">
        <f t="shared" si="1527"/>
        <v>0.12048192771084337</v>
      </c>
      <c r="BD991" s="15"/>
      <c r="BU991" s="16"/>
      <c r="BV991" s="25"/>
      <c r="BW991" s="13" t="str">
        <f t="shared" si="1564"/>
        <v/>
      </c>
      <c r="BX991" s="13"/>
      <c r="BY991" s="13"/>
      <c r="BZ991" s="13"/>
      <c r="CA991" s="13" t="str">
        <f t="shared" si="1566"/>
        <v/>
      </c>
      <c r="CB991" s="13"/>
      <c r="CC991" s="13"/>
      <c r="CD991" s="13"/>
      <c r="CE991" s="13" t="str">
        <f t="shared" si="1540"/>
        <v/>
      </c>
      <c r="CF991" s="14" t="str">
        <f t="shared" si="1541"/>
        <v/>
      </c>
      <c r="CG991" s="15"/>
      <c r="CH991" s="1"/>
      <c r="CI991" s="16"/>
      <c r="CJ991" s="25"/>
      <c r="CK991" s="13" t="str">
        <f t="shared" si="1567"/>
        <v/>
      </c>
      <c r="CL991" s="13"/>
      <c r="CM991" s="13"/>
      <c r="CN991" s="13"/>
      <c r="CO991" s="13" t="str">
        <f t="shared" si="1569"/>
        <v/>
      </c>
      <c r="CP991" s="13"/>
      <c r="CQ991" s="13"/>
      <c r="CR991" s="13"/>
      <c r="CS991" s="13" t="str">
        <f t="shared" si="1542"/>
        <v/>
      </c>
      <c r="CT991" s="14" t="str">
        <f t="shared" si="1543"/>
        <v/>
      </c>
      <c r="CU991" s="15"/>
      <c r="CV991" s="1"/>
      <c r="CW991" s="16"/>
      <c r="CX991" s="25"/>
      <c r="CY991" s="13" t="str">
        <f t="shared" si="1570"/>
        <v/>
      </c>
      <c r="CZ991" s="13"/>
      <c r="DA991" s="13"/>
      <c r="DB991" s="13"/>
      <c r="DC991" s="13" t="str">
        <f t="shared" si="1572"/>
        <v/>
      </c>
      <c r="DD991" s="13"/>
      <c r="DE991" s="13"/>
      <c r="DF991" s="13"/>
      <c r="DG991" s="13" t="str">
        <f t="shared" si="1544"/>
        <v/>
      </c>
      <c r="DH991" s="14" t="str">
        <f t="shared" si="1545"/>
        <v/>
      </c>
      <c r="DI991" s="15"/>
      <c r="DJ991" s="1"/>
      <c r="DK991" s="16"/>
      <c r="DL991" s="25"/>
      <c r="DM991" s="13" t="str">
        <f t="shared" si="1573"/>
        <v/>
      </c>
      <c r="DN991" s="13"/>
      <c r="DO991" s="13"/>
      <c r="DP991" s="13"/>
      <c r="DQ991" s="13" t="str">
        <f t="shared" si="1575"/>
        <v/>
      </c>
      <c r="DR991" s="13"/>
      <c r="DS991" s="13"/>
      <c r="DT991" s="13"/>
      <c r="DU991" s="13" t="str">
        <f t="shared" si="1546"/>
        <v/>
      </c>
      <c r="DV991" s="14" t="str">
        <f t="shared" si="1547"/>
        <v/>
      </c>
      <c r="DW991" s="15"/>
    </row>
    <row r="992" spans="1:127" ht="15" customHeight="1" thickBot="1" x14ac:dyDescent="0.25">
      <c r="A992" s="26"/>
      <c r="B992" s="46"/>
      <c r="C992" s="27">
        <v>25967</v>
      </c>
      <c r="D992" s="27">
        <f t="shared" si="1503"/>
        <v>157</v>
      </c>
      <c r="E992" s="27">
        <v>1274</v>
      </c>
      <c r="F992" s="27">
        <f t="shared" si="1504"/>
        <v>8</v>
      </c>
      <c r="G992" s="27">
        <v>42</v>
      </c>
      <c r="H992" s="27">
        <f t="shared" si="1505"/>
        <v>9</v>
      </c>
      <c r="I992" s="47">
        <v>7</v>
      </c>
      <c r="J992" s="57" t="str">
        <f t="shared" si="1506"/>
        <v>NICIマスコット</v>
      </c>
      <c r="K992" s="62">
        <f t="shared" si="1507"/>
        <v>682</v>
      </c>
      <c r="L992" s="27">
        <f t="shared" si="1508"/>
        <v>6138</v>
      </c>
      <c r="M992" s="28">
        <f t="shared" si="1509"/>
        <v>0.39095541401273887</v>
      </c>
      <c r="N992" s="15"/>
      <c r="O992" s="2"/>
      <c r="P992" s="26"/>
      <c r="Q992" s="27">
        <v>17986</v>
      </c>
      <c r="R992" s="27">
        <f t="shared" si="1510"/>
        <v>103</v>
      </c>
      <c r="S992" s="27">
        <v>1582</v>
      </c>
      <c r="T992" s="27">
        <f t="shared" si="1511"/>
        <v>20</v>
      </c>
      <c r="U992" s="27">
        <v>290</v>
      </c>
      <c r="V992" s="27">
        <f t="shared" si="1512"/>
        <v>20</v>
      </c>
      <c r="W992" s="47">
        <v>0</v>
      </c>
      <c r="X992" s="57" t="str">
        <f t="shared" si="1513"/>
        <v>サンリオブレスレット</v>
      </c>
      <c r="Y992" s="62">
        <f t="shared" si="1514"/>
        <v>120</v>
      </c>
      <c r="Z992" s="27">
        <f t="shared" si="1515"/>
        <v>2400</v>
      </c>
      <c r="AA992" s="28">
        <f t="shared" si="1516"/>
        <v>0.23300970873786409</v>
      </c>
      <c r="AB992" s="15"/>
      <c r="AD992" s="26"/>
      <c r="AE992" s="27">
        <v>3263</v>
      </c>
      <c r="AF992" s="27">
        <f t="shared" si="1517"/>
        <v>149</v>
      </c>
      <c r="AG992" s="27">
        <v>132</v>
      </c>
      <c r="AH992" s="27">
        <f t="shared" si="1518"/>
        <v>3</v>
      </c>
      <c r="AI992" s="27">
        <v>15</v>
      </c>
      <c r="AJ992" s="27">
        <f t="shared" si="1519"/>
        <v>3</v>
      </c>
      <c r="AK992" s="47">
        <v>4</v>
      </c>
      <c r="AL992" s="57" t="str">
        <f t="shared" si="1529"/>
        <v>ギャルキティキーケース</v>
      </c>
      <c r="AM992" s="62">
        <f t="shared" si="1528"/>
        <v>726</v>
      </c>
      <c r="AN992" s="27">
        <f t="shared" si="1520"/>
        <v>2178</v>
      </c>
      <c r="AO992" s="28">
        <f t="shared" si="1521"/>
        <v>0.1461744966442953</v>
      </c>
      <c r="AP992" s="15"/>
      <c r="AQ992" s="2"/>
      <c r="AR992" s="26"/>
      <c r="AS992" s="27">
        <v>4081</v>
      </c>
      <c r="AT992" s="27">
        <f t="shared" si="1522"/>
        <v>123</v>
      </c>
      <c r="AU992" s="27">
        <v>173</v>
      </c>
      <c r="AV992" s="27">
        <f t="shared" si="1523"/>
        <v>4</v>
      </c>
      <c r="AW992" s="27">
        <v>45</v>
      </c>
      <c r="AX992" s="27">
        <f t="shared" si="1524"/>
        <v>6</v>
      </c>
      <c r="AY992" s="47">
        <v>20</v>
      </c>
      <c r="AZ992" s="57" t="str">
        <f t="shared" si="1530"/>
        <v>スプランキーマスコット</v>
      </c>
      <c r="BA992" s="62">
        <f t="shared" si="1531"/>
        <v>180</v>
      </c>
      <c r="BB992" s="27">
        <f t="shared" si="1526"/>
        <v>1080</v>
      </c>
      <c r="BC992" s="28">
        <f t="shared" si="1527"/>
        <v>8.7804878048780483E-2</v>
      </c>
      <c r="BD992" s="15"/>
      <c r="BU992" s="16"/>
      <c r="BV992" s="25"/>
      <c r="BW992" s="13" t="str">
        <f t="shared" ref="BW992:BW1012" si="1576">IF(BV992="","",BV992-BV991)</f>
        <v/>
      </c>
      <c r="BX992" s="13"/>
      <c r="BY992" s="13"/>
      <c r="BZ992" s="13"/>
      <c r="CA992" s="13" t="str">
        <f t="shared" ref="CA992:CA1012" si="1577">IF(BZ992="","",BZ991+CB991-BZ992)</f>
        <v/>
      </c>
      <c r="CB992" s="13"/>
      <c r="CC992" s="13"/>
      <c r="CD992" s="13"/>
      <c r="CE992" s="13" t="str">
        <f t="shared" si="1540"/>
        <v/>
      </c>
      <c r="CF992" s="14" t="str">
        <f t="shared" si="1541"/>
        <v/>
      </c>
      <c r="CG992" s="15"/>
      <c r="CH992" s="1"/>
      <c r="CI992" s="16"/>
      <c r="CJ992" s="25"/>
      <c r="CK992" s="13" t="str">
        <f t="shared" ref="CK992:CK1012" si="1578">IF(CJ992="","",CJ992-CJ991)</f>
        <v/>
      </c>
      <c r="CL992" s="13"/>
      <c r="CM992" s="13"/>
      <c r="CN992" s="13"/>
      <c r="CO992" s="13" t="str">
        <f t="shared" ref="CO992:CO1012" si="1579">IF(CN992="","",CN991+CP991-CN992)</f>
        <v/>
      </c>
      <c r="CP992" s="13"/>
      <c r="CQ992" s="13"/>
      <c r="CR992" s="13"/>
      <c r="CS992" s="13" t="str">
        <f t="shared" si="1542"/>
        <v/>
      </c>
      <c r="CT992" s="14" t="str">
        <f t="shared" si="1543"/>
        <v/>
      </c>
      <c r="CU992" s="15"/>
      <c r="CV992" s="1"/>
      <c r="CW992" s="16"/>
      <c r="CX992" s="25"/>
      <c r="CY992" s="13" t="str">
        <f t="shared" ref="CY992:CY1012" si="1580">IF(CX992="","",CX992-CX991)</f>
        <v/>
      </c>
      <c r="CZ992" s="13"/>
      <c r="DA992" s="13"/>
      <c r="DB992" s="13"/>
      <c r="DC992" s="13" t="str">
        <f t="shared" ref="DC992:DC1012" si="1581">IF(DB992="","",DB991+DD991-DB992)</f>
        <v/>
      </c>
      <c r="DD992" s="13"/>
      <c r="DE992" s="13"/>
      <c r="DF992" s="13"/>
      <c r="DG992" s="13" t="str">
        <f t="shared" si="1544"/>
        <v/>
      </c>
      <c r="DH992" s="14" t="str">
        <f t="shared" si="1545"/>
        <v/>
      </c>
      <c r="DI992" s="15"/>
      <c r="DJ992" s="1"/>
      <c r="DK992" s="16"/>
      <c r="DL992" s="25"/>
      <c r="DM992" s="13" t="str">
        <f t="shared" ref="DM992:DM1012" si="1582">IF(DL992="","",DL992-DL991)</f>
        <v/>
      </c>
      <c r="DN992" s="13"/>
      <c r="DO992" s="13"/>
      <c r="DP992" s="13"/>
      <c r="DQ992" s="13" t="str">
        <f t="shared" ref="DQ992:DQ1012" si="1583">IF(DP992="","",DP991+DR991-DP992)</f>
        <v/>
      </c>
      <c r="DR992" s="13"/>
      <c r="DS992" s="13"/>
      <c r="DT992" s="13"/>
      <c r="DU992" s="13" t="str">
        <f t="shared" si="1546"/>
        <v/>
      </c>
      <c r="DV992" s="14" t="str">
        <f t="shared" si="1547"/>
        <v/>
      </c>
      <c r="DW992" s="15"/>
    </row>
    <row r="993" spans="1:127" ht="15" customHeight="1" thickTop="1" x14ac:dyDescent="0.2">
      <c r="A993" s="79">
        <v>45784</v>
      </c>
      <c r="B993" s="74">
        <f>IF(A993="","",SUM(D993:D996)+SUM(R993:R996)+SUM(AF993:AF996)+SUM(AT993:AT996))</f>
        <v>1555</v>
      </c>
      <c r="C993" s="13">
        <v>20053</v>
      </c>
      <c r="D993" s="53">
        <f t="shared" si="1503"/>
        <v>118</v>
      </c>
      <c r="E993" s="13">
        <v>1097</v>
      </c>
      <c r="F993" s="31">
        <f t="shared" si="1504"/>
        <v>4</v>
      </c>
      <c r="G993" s="13">
        <v>9</v>
      </c>
      <c r="H993" s="53">
        <f t="shared" si="1505"/>
        <v>4</v>
      </c>
      <c r="I993" s="80">
        <v>4</v>
      </c>
      <c r="J993" s="75" t="str">
        <f t="shared" si="1506"/>
        <v>ジャグラーサウンドボタン</v>
      </c>
      <c r="K993" s="76">
        <f t="shared" si="1507"/>
        <v>748</v>
      </c>
      <c r="L993" s="31">
        <f t="shared" si="1508"/>
        <v>2992</v>
      </c>
      <c r="M993" s="32">
        <f t="shared" si="1509"/>
        <v>0.2535593220338983</v>
      </c>
      <c r="N993" s="15"/>
      <c r="O993" s="2"/>
      <c r="P993" s="79">
        <f>IF($A993="","",$A993)</f>
        <v>45784</v>
      </c>
      <c r="Q993" s="13">
        <v>20350</v>
      </c>
      <c r="R993" s="53">
        <f t="shared" si="1510"/>
        <v>60</v>
      </c>
      <c r="S993" s="13">
        <v>1159</v>
      </c>
      <c r="T993" s="31">
        <f t="shared" si="1511"/>
        <v>0</v>
      </c>
      <c r="U993" s="13">
        <v>6</v>
      </c>
      <c r="V993" s="53">
        <f t="shared" si="1512"/>
        <v>0</v>
      </c>
      <c r="W993" s="17">
        <v>4</v>
      </c>
      <c r="X993" s="75" t="str">
        <f t="shared" si="1513"/>
        <v>じゃがりこイヤホン</v>
      </c>
      <c r="Y993" s="76">
        <f t="shared" si="1514"/>
        <v>1100</v>
      </c>
      <c r="Z993" s="31">
        <f t="shared" si="1515"/>
        <v>0</v>
      </c>
      <c r="AA993" s="32">
        <f t="shared" si="1516"/>
        <v>0</v>
      </c>
      <c r="AB993" s="15"/>
      <c r="AD993" s="79">
        <f>IF($A993="","",$A993)</f>
        <v>45784</v>
      </c>
      <c r="AE993" s="13">
        <v>4538</v>
      </c>
      <c r="AF993" s="53">
        <f t="shared" si="1517"/>
        <v>85</v>
      </c>
      <c r="AG993" s="13">
        <v>95</v>
      </c>
      <c r="AH993" s="31">
        <f t="shared" si="1518"/>
        <v>1</v>
      </c>
      <c r="AI993" s="13">
        <v>45</v>
      </c>
      <c r="AJ993" s="53">
        <f t="shared" si="1519"/>
        <v>1</v>
      </c>
      <c r="AK993" s="17">
        <v>0</v>
      </c>
      <c r="AL993" s="75" t="str">
        <f t="shared" si="1529"/>
        <v>ミニ香水</v>
      </c>
      <c r="AM993" s="76">
        <f t="shared" si="1528"/>
        <v>1100</v>
      </c>
      <c r="AN993" s="31">
        <f t="shared" si="1520"/>
        <v>1100</v>
      </c>
      <c r="AO993" s="32">
        <f t="shared" si="1521"/>
        <v>0.12941176470588237</v>
      </c>
      <c r="AP993" s="15"/>
      <c r="AQ993" s="2"/>
      <c r="AR993" s="79">
        <f>IF($A993="","",$A993)</f>
        <v>45784</v>
      </c>
      <c r="AS993" s="13">
        <v>4408</v>
      </c>
      <c r="AT993" s="53">
        <f t="shared" si="1522"/>
        <v>98</v>
      </c>
      <c r="AU993" s="13">
        <v>134</v>
      </c>
      <c r="AV993" s="31">
        <f t="shared" si="1523"/>
        <v>4</v>
      </c>
      <c r="AW993" s="13">
        <v>32</v>
      </c>
      <c r="AX993" s="53">
        <f t="shared" si="1524"/>
        <v>4</v>
      </c>
      <c r="AY993" s="17">
        <v>0</v>
      </c>
      <c r="AZ993" s="75" t="str">
        <f t="shared" si="1530"/>
        <v>ロムアンド</v>
      </c>
      <c r="BA993" s="76">
        <f t="shared" si="1531"/>
        <v>1001</v>
      </c>
      <c r="BB993" s="31">
        <f t="shared" si="1526"/>
        <v>4004</v>
      </c>
      <c r="BC993" s="32">
        <f t="shared" si="1527"/>
        <v>0.40857142857142859</v>
      </c>
      <c r="BD993" s="15"/>
      <c r="BU993" s="16"/>
      <c r="BV993" s="25"/>
      <c r="BW993" s="13" t="str">
        <f t="shared" si="1576"/>
        <v/>
      </c>
      <c r="BX993" s="13"/>
      <c r="BY993" s="13"/>
      <c r="BZ993" s="13"/>
      <c r="CA993" s="13" t="str">
        <f t="shared" si="1577"/>
        <v/>
      </c>
      <c r="CB993" s="13"/>
      <c r="CC993" s="13"/>
      <c r="CD993" s="13"/>
      <c r="CE993" s="13" t="str">
        <f t="shared" si="1540"/>
        <v/>
      </c>
      <c r="CF993" s="14" t="str">
        <f t="shared" si="1541"/>
        <v/>
      </c>
      <c r="CG993" s="15"/>
      <c r="CH993" s="1"/>
      <c r="CI993" s="16"/>
      <c r="CJ993" s="25"/>
      <c r="CK993" s="13" t="str">
        <f t="shared" si="1578"/>
        <v/>
      </c>
      <c r="CL993" s="13"/>
      <c r="CM993" s="13"/>
      <c r="CN993" s="13"/>
      <c r="CO993" s="13" t="str">
        <f t="shared" si="1579"/>
        <v/>
      </c>
      <c r="CP993" s="13"/>
      <c r="CQ993" s="13"/>
      <c r="CR993" s="13"/>
      <c r="CS993" s="13" t="str">
        <f t="shared" si="1542"/>
        <v/>
      </c>
      <c r="CT993" s="14" t="str">
        <f t="shared" si="1543"/>
        <v/>
      </c>
      <c r="CU993" s="15"/>
      <c r="CV993" s="1"/>
      <c r="CW993" s="16"/>
      <c r="CX993" s="25"/>
      <c r="CY993" s="13" t="str">
        <f t="shared" si="1580"/>
        <v/>
      </c>
      <c r="CZ993" s="13"/>
      <c r="DA993" s="13"/>
      <c r="DB993" s="13"/>
      <c r="DC993" s="13" t="str">
        <f t="shared" si="1581"/>
        <v/>
      </c>
      <c r="DD993" s="13"/>
      <c r="DE993" s="13"/>
      <c r="DF993" s="13"/>
      <c r="DG993" s="13" t="str">
        <f t="shared" si="1544"/>
        <v/>
      </c>
      <c r="DH993" s="14" t="str">
        <f t="shared" si="1545"/>
        <v/>
      </c>
      <c r="DI993" s="15"/>
      <c r="DJ993" s="1"/>
      <c r="DK993" s="16"/>
      <c r="DL993" s="25"/>
      <c r="DM993" s="13" t="str">
        <f t="shared" si="1582"/>
        <v/>
      </c>
      <c r="DN993" s="13"/>
      <c r="DO993" s="13"/>
      <c r="DP993" s="13"/>
      <c r="DQ993" s="13" t="str">
        <f t="shared" si="1583"/>
        <v/>
      </c>
      <c r="DR993" s="13"/>
      <c r="DS993" s="13"/>
      <c r="DT993" s="13"/>
      <c r="DU993" s="13" t="str">
        <f t="shared" si="1546"/>
        <v/>
      </c>
      <c r="DV993" s="14" t="str">
        <f t="shared" si="1547"/>
        <v/>
      </c>
      <c r="DW993" s="15"/>
    </row>
    <row r="994" spans="1:127" ht="15" customHeight="1" x14ac:dyDescent="0.2">
      <c r="A994" s="16"/>
      <c r="B994" s="74"/>
      <c r="C994" s="53">
        <v>24460</v>
      </c>
      <c r="D994" s="13">
        <f t="shared" si="1503"/>
        <v>110</v>
      </c>
      <c r="E994" s="53">
        <v>1285</v>
      </c>
      <c r="F994" s="13">
        <f t="shared" si="1504"/>
        <v>4</v>
      </c>
      <c r="G994" s="13">
        <v>23</v>
      </c>
      <c r="H994" s="13">
        <f t="shared" si="1505"/>
        <v>2</v>
      </c>
      <c r="I994" s="17">
        <v>0</v>
      </c>
      <c r="J994" s="56" t="str">
        <f t="shared" si="1506"/>
        <v>ゴールドイヤホン</v>
      </c>
      <c r="K994" s="54">
        <f t="shared" si="1507"/>
        <v>770</v>
      </c>
      <c r="L994" s="13">
        <f t="shared" si="1508"/>
        <v>1540</v>
      </c>
      <c r="M994" s="14">
        <f t="shared" si="1509"/>
        <v>0.14000000000000001</v>
      </c>
      <c r="N994" s="15"/>
      <c r="O994" s="2"/>
      <c r="P994" s="16"/>
      <c r="Q994" s="53">
        <v>24518</v>
      </c>
      <c r="R994" s="13">
        <f t="shared" si="1510"/>
        <v>93</v>
      </c>
      <c r="S994" s="53">
        <v>1440</v>
      </c>
      <c r="T994" s="13">
        <f t="shared" si="1511"/>
        <v>4</v>
      </c>
      <c r="U994" s="13">
        <v>5</v>
      </c>
      <c r="V994" s="13">
        <f t="shared" si="1512"/>
        <v>4</v>
      </c>
      <c r="W994" s="17">
        <v>6</v>
      </c>
      <c r="X994" s="56" t="str">
        <f t="shared" si="1513"/>
        <v>サンリオFAN</v>
      </c>
      <c r="Y994" s="54">
        <f t="shared" si="1514"/>
        <v>1100</v>
      </c>
      <c r="Z994" s="13">
        <f t="shared" si="1515"/>
        <v>4400</v>
      </c>
      <c r="AA994" s="14">
        <f t="shared" si="1516"/>
        <v>0.4731182795698925</v>
      </c>
      <c r="AB994" s="15"/>
      <c r="AD994" s="16"/>
      <c r="AE994" s="53">
        <v>3413</v>
      </c>
      <c r="AF994" s="13">
        <f t="shared" si="1517"/>
        <v>72</v>
      </c>
      <c r="AG994" s="53">
        <v>86</v>
      </c>
      <c r="AH994" s="13">
        <f t="shared" si="1518"/>
        <v>1</v>
      </c>
      <c r="AI994" s="13">
        <v>14</v>
      </c>
      <c r="AJ994" s="13">
        <f t="shared" si="1519"/>
        <v>1</v>
      </c>
      <c r="AK994" s="17">
        <v>5</v>
      </c>
      <c r="AL994" s="56" t="str">
        <f t="shared" si="1529"/>
        <v>デジタルミニカメラ</v>
      </c>
      <c r="AM994" s="54">
        <f t="shared" si="1528"/>
        <v>800</v>
      </c>
      <c r="AN994" s="13">
        <f t="shared" si="1520"/>
        <v>800</v>
      </c>
      <c r="AO994" s="14">
        <f t="shared" si="1521"/>
        <v>0.1111111111111111</v>
      </c>
      <c r="AP994" s="15"/>
      <c r="AQ994" s="2"/>
      <c r="AR994" s="16"/>
      <c r="AS994" s="53">
        <v>2747</v>
      </c>
      <c r="AT994" s="89">
        <f t="shared" si="1522"/>
        <v>28</v>
      </c>
      <c r="AU994" s="53">
        <v>113</v>
      </c>
      <c r="AV994" s="13">
        <f t="shared" si="1523"/>
        <v>14</v>
      </c>
      <c r="AW994" s="13">
        <v>260</v>
      </c>
      <c r="AX994" s="13">
        <f t="shared" si="1524"/>
        <v>20</v>
      </c>
      <c r="AY994" s="17">
        <v>0</v>
      </c>
      <c r="AZ994" s="111" t="str">
        <f t="shared" si="1530"/>
        <v>SPGジビッツ</v>
      </c>
      <c r="BA994" s="54">
        <f t="shared" si="1531"/>
        <v>31</v>
      </c>
      <c r="BB994" s="13">
        <f t="shared" si="1526"/>
        <v>620</v>
      </c>
      <c r="BC994" s="14">
        <f t="shared" si="1527"/>
        <v>0.22142857142857142</v>
      </c>
      <c r="BD994" s="15" t="s">
        <v>103</v>
      </c>
      <c r="BU994" s="16"/>
      <c r="BV994" s="25"/>
      <c r="BW994" s="13" t="str">
        <f t="shared" si="1576"/>
        <v/>
      </c>
      <c r="BX994" s="13"/>
      <c r="BY994" s="13"/>
      <c r="BZ994" s="13"/>
      <c r="CA994" s="13" t="str">
        <f t="shared" si="1577"/>
        <v/>
      </c>
      <c r="CB994" s="13"/>
      <c r="CC994" s="13"/>
      <c r="CD994" s="13"/>
      <c r="CE994" s="13" t="str">
        <f t="shared" si="1540"/>
        <v/>
      </c>
      <c r="CF994" s="14" t="str">
        <f t="shared" si="1541"/>
        <v/>
      </c>
      <c r="CG994" s="15"/>
      <c r="CH994" s="1"/>
      <c r="CI994" s="16"/>
      <c r="CJ994" s="25"/>
      <c r="CK994" s="13" t="str">
        <f t="shared" si="1578"/>
        <v/>
      </c>
      <c r="CL994" s="13"/>
      <c r="CM994" s="13"/>
      <c r="CN994" s="13"/>
      <c r="CO994" s="13" t="str">
        <f t="shared" si="1579"/>
        <v/>
      </c>
      <c r="CP994" s="13"/>
      <c r="CQ994" s="13"/>
      <c r="CR994" s="13"/>
      <c r="CS994" s="13" t="str">
        <f t="shared" si="1542"/>
        <v/>
      </c>
      <c r="CT994" s="14" t="str">
        <f t="shared" si="1543"/>
        <v/>
      </c>
      <c r="CU994" s="15"/>
      <c r="CV994" s="1"/>
      <c r="CW994" s="16"/>
      <c r="CX994" s="25"/>
      <c r="CY994" s="13" t="str">
        <f t="shared" si="1580"/>
        <v/>
      </c>
      <c r="CZ994" s="13"/>
      <c r="DA994" s="13"/>
      <c r="DB994" s="13"/>
      <c r="DC994" s="13" t="str">
        <f t="shared" si="1581"/>
        <v/>
      </c>
      <c r="DD994" s="13"/>
      <c r="DE994" s="13"/>
      <c r="DF994" s="13"/>
      <c r="DG994" s="13" t="str">
        <f t="shared" si="1544"/>
        <v/>
      </c>
      <c r="DH994" s="14" t="str">
        <f t="shared" si="1545"/>
        <v/>
      </c>
      <c r="DI994" s="15"/>
      <c r="DJ994" s="1"/>
      <c r="DK994" s="16"/>
      <c r="DL994" s="25"/>
      <c r="DM994" s="13" t="str">
        <f t="shared" si="1582"/>
        <v/>
      </c>
      <c r="DN994" s="13"/>
      <c r="DO994" s="13"/>
      <c r="DP994" s="13"/>
      <c r="DQ994" s="13" t="str">
        <f t="shared" si="1583"/>
        <v/>
      </c>
      <c r="DR994" s="13"/>
      <c r="DS994" s="13"/>
      <c r="DT994" s="13"/>
      <c r="DU994" s="13" t="str">
        <f t="shared" si="1546"/>
        <v/>
      </c>
      <c r="DV994" s="14" t="str">
        <f t="shared" si="1547"/>
        <v/>
      </c>
      <c r="DW994" s="15"/>
    </row>
    <row r="995" spans="1:127" ht="15" customHeight="1" x14ac:dyDescent="0.2">
      <c r="A995" s="16"/>
      <c r="B995" s="11"/>
      <c r="C995" s="13">
        <v>20357</v>
      </c>
      <c r="D995" s="13">
        <f t="shared" si="1503"/>
        <v>74</v>
      </c>
      <c r="E995" s="13">
        <v>1029</v>
      </c>
      <c r="F995" s="13">
        <f t="shared" si="1504"/>
        <v>2</v>
      </c>
      <c r="G995" s="13">
        <v>20</v>
      </c>
      <c r="H995" s="13">
        <f t="shared" si="1505"/>
        <v>2</v>
      </c>
      <c r="I995" s="49">
        <v>0</v>
      </c>
      <c r="J995" s="56" t="s">
        <v>17</v>
      </c>
      <c r="K995" s="13">
        <v>180</v>
      </c>
      <c r="L995" s="13">
        <f t="shared" si="1508"/>
        <v>360</v>
      </c>
      <c r="M995" s="14">
        <f t="shared" si="1509"/>
        <v>4.8648648648648651E-2</v>
      </c>
      <c r="N995" s="15"/>
      <c r="O995" s="2"/>
      <c r="P995" s="16"/>
      <c r="Q995" s="13">
        <v>19162</v>
      </c>
      <c r="R995" s="13">
        <f t="shared" si="1510"/>
        <v>175</v>
      </c>
      <c r="S995" s="13">
        <v>2641</v>
      </c>
      <c r="T995" s="13">
        <f t="shared" si="1511"/>
        <v>9</v>
      </c>
      <c r="U995" s="13">
        <v>8</v>
      </c>
      <c r="V995" s="13">
        <f t="shared" si="1512"/>
        <v>10</v>
      </c>
      <c r="W995" s="17">
        <v>12</v>
      </c>
      <c r="X995" s="56" t="str">
        <f t="shared" si="1513"/>
        <v>グミッツェル</v>
      </c>
      <c r="Y995" s="13">
        <f t="shared" si="1514"/>
        <v>165</v>
      </c>
      <c r="Z995" s="13">
        <f t="shared" si="1515"/>
        <v>1650</v>
      </c>
      <c r="AA995" s="14">
        <f t="shared" si="1516"/>
        <v>9.4285714285714292E-2</v>
      </c>
      <c r="AB995" s="15"/>
      <c r="AD995" s="16"/>
      <c r="AE995" s="13">
        <v>3966</v>
      </c>
      <c r="AF995" s="87">
        <f t="shared" si="1517"/>
        <v>35</v>
      </c>
      <c r="AG995" s="13">
        <v>124</v>
      </c>
      <c r="AH995" s="13">
        <f t="shared" si="1518"/>
        <v>1</v>
      </c>
      <c r="AI995" s="13">
        <v>11</v>
      </c>
      <c r="AJ995" s="13">
        <f t="shared" si="1519"/>
        <v>1</v>
      </c>
      <c r="AK995" s="17">
        <v>4</v>
      </c>
      <c r="AL995" s="56" t="str">
        <f t="shared" si="1529"/>
        <v>ピクミン引っこ抜き</v>
      </c>
      <c r="AM995" s="13">
        <f t="shared" si="1528"/>
        <v>650</v>
      </c>
      <c r="AN995" s="13">
        <f t="shared" si="1520"/>
        <v>650</v>
      </c>
      <c r="AO995" s="14">
        <f t="shared" si="1521"/>
        <v>0.18571428571428572</v>
      </c>
      <c r="AP995" s="15"/>
      <c r="AQ995" s="2"/>
      <c r="AR995" s="16"/>
      <c r="AS995" s="13">
        <v>4444</v>
      </c>
      <c r="AT995" s="13">
        <f t="shared" si="1522"/>
        <v>114</v>
      </c>
      <c r="AU995" s="13">
        <v>158</v>
      </c>
      <c r="AV995" s="13">
        <f t="shared" si="1523"/>
        <v>9</v>
      </c>
      <c r="AW995" s="13">
        <v>130</v>
      </c>
      <c r="AX995" s="13">
        <f t="shared" si="1524"/>
        <v>10</v>
      </c>
      <c r="AY995" s="17">
        <v>0</v>
      </c>
      <c r="AZ995" s="56" t="str">
        <f t="shared" si="1530"/>
        <v>スプランキーラバーキーホルダー</v>
      </c>
      <c r="BA995" s="13">
        <f t="shared" si="1531"/>
        <v>200</v>
      </c>
      <c r="BB995" s="13">
        <f t="shared" si="1526"/>
        <v>2000</v>
      </c>
      <c r="BC995" s="14">
        <f t="shared" si="1527"/>
        <v>0.17543859649122806</v>
      </c>
      <c r="BD995" s="15"/>
      <c r="BU995" s="16"/>
      <c r="BV995" s="25"/>
      <c r="BW995" s="13" t="str">
        <f t="shared" si="1576"/>
        <v/>
      </c>
      <c r="BX995" s="13"/>
      <c r="BY995" s="13"/>
      <c r="BZ995" s="13"/>
      <c r="CA995" s="13" t="str">
        <f t="shared" si="1577"/>
        <v/>
      </c>
      <c r="CB995" s="13"/>
      <c r="CC995" s="13"/>
      <c r="CD995" s="13"/>
      <c r="CE995" s="13" t="str">
        <f t="shared" si="1540"/>
        <v/>
      </c>
      <c r="CF995" s="14" t="str">
        <f t="shared" si="1541"/>
        <v/>
      </c>
      <c r="CG995" s="15"/>
      <c r="CH995" s="1"/>
      <c r="CI995" s="16"/>
      <c r="CJ995" s="25"/>
      <c r="CK995" s="13" t="str">
        <f t="shared" si="1578"/>
        <v/>
      </c>
      <c r="CL995" s="13"/>
      <c r="CM995" s="13"/>
      <c r="CN995" s="13"/>
      <c r="CO995" s="13" t="str">
        <f t="shared" si="1579"/>
        <v/>
      </c>
      <c r="CP995" s="13"/>
      <c r="CQ995" s="13"/>
      <c r="CR995" s="13"/>
      <c r="CS995" s="13" t="str">
        <f t="shared" si="1542"/>
        <v/>
      </c>
      <c r="CT995" s="14" t="str">
        <f t="shared" si="1543"/>
        <v/>
      </c>
      <c r="CU995" s="15"/>
      <c r="CV995" s="1"/>
      <c r="CW995" s="16"/>
      <c r="CX995" s="25"/>
      <c r="CY995" s="13" t="str">
        <f t="shared" si="1580"/>
        <v/>
      </c>
      <c r="CZ995" s="13"/>
      <c r="DA995" s="13"/>
      <c r="DB995" s="13"/>
      <c r="DC995" s="13" t="str">
        <f t="shared" si="1581"/>
        <v/>
      </c>
      <c r="DD995" s="13"/>
      <c r="DE995" s="13"/>
      <c r="DF995" s="13"/>
      <c r="DG995" s="13" t="str">
        <f t="shared" si="1544"/>
        <v/>
      </c>
      <c r="DH995" s="14" t="str">
        <f t="shared" si="1545"/>
        <v/>
      </c>
      <c r="DI995" s="15"/>
      <c r="DJ995" s="1"/>
      <c r="DK995" s="16"/>
      <c r="DL995" s="25"/>
      <c r="DM995" s="13" t="str">
        <f t="shared" si="1582"/>
        <v/>
      </c>
      <c r="DN995" s="13"/>
      <c r="DO995" s="13"/>
      <c r="DP995" s="13"/>
      <c r="DQ995" s="13" t="str">
        <f t="shared" si="1583"/>
        <v/>
      </c>
      <c r="DR995" s="13"/>
      <c r="DS995" s="13"/>
      <c r="DT995" s="13"/>
      <c r="DU995" s="13" t="str">
        <f t="shared" si="1546"/>
        <v/>
      </c>
      <c r="DV995" s="14" t="str">
        <f t="shared" si="1547"/>
        <v/>
      </c>
      <c r="DW995" s="15"/>
    </row>
    <row r="996" spans="1:127" ht="15" customHeight="1" thickBot="1" x14ac:dyDescent="0.25">
      <c r="A996" s="26"/>
      <c r="B996" s="46"/>
      <c r="C996" s="27">
        <v>26121</v>
      </c>
      <c r="D996" s="27">
        <f t="shared" si="1503"/>
        <v>154</v>
      </c>
      <c r="E996" s="27">
        <v>1279</v>
      </c>
      <c r="F996" s="27">
        <f t="shared" si="1504"/>
        <v>5</v>
      </c>
      <c r="G996" s="27">
        <v>44</v>
      </c>
      <c r="H996" s="27">
        <f t="shared" si="1505"/>
        <v>5</v>
      </c>
      <c r="I996" s="47">
        <v>10</v>
      </c>
      <c r="J996" s="57" t="str">
        <f t="shared" si="1506"/>
        <v>NICIマスコット</v>
      </c>
      <c r="K996" s="62">
        <f t="shared" si="1507"/>
        <v>682</v>
      </c>
      <c r="L996" s="27">
        <f t="shared" si="1508"/>
        <v>3410</v>
      </c>
      <c r="M996" s="28">
        <f t="shared" si="1509"/>
        <v>0.22142857142857142</v>
      </c>
      <c r="N996" s="15"/>
      <c r="O996" s="2"/>
      <c r="P996" s="26"/>
      <c r="Q996" s="27">
        <v>18064</v>
      </c>
      <c r="R996" s="27">
        <f t="shared" si="1510"/>
        <v>78</v>
      </c>
      <c r="S996" s="27">
        <v>1595</v>
      </c>
      <c r="T996" s="27">
        <f t="shared" si="1511"/>
        <v>13</v>
      </c>
      <c r="U996" s="27">
        <v>270</v>
      </c>
      <c r="V996" s="27">
        <f t="shared" si="1512"/>
        <v>20</v>
      </c>
      <c r="W996" s="47">
        <v>80</v>
      </c>
      <c r="X996" s="57" t="str">
        <f t="shared" si="1513"/>
        <v>サンリオブレスレット</v>
      </c>
      <c r="Y996" s="62">
        <f t="shared" si="1514"/>
        <v>120</v>
      </c>
      <c r="Z996" s="27">
        <f t="shared" si="1515"/>
        <v>2400</v>
      </c>
      <c r="AA996" s="28">
        <f t="shared" si="1516"/>
        <v>0.30769230769230771</v>
      </c>
      <c r="AB996" s="15"/>
      <c r="AD996" s="26"/>
      <c r="AE996" s="27">
        <v>3418</v>
      </c>
      <c r="AF996" s="27">
        <f t="shared" si="1517"/>
        <v>155</v>
      </c>
      <c r="AG996" s="27">
        <v>135</v>
      </c>
      <c r="AH996" s="27">
        <f t="shared" si="1518"/>
        <v>3</v>
      </c>
      <c r="AI996" s="27">
        <v>16</v>
      </c>
      <c r="AJ996" s="27">
        <f t="shared" si="1519"/>
        <v>3</v>
      </c>
      <c r="AK996" s="47">
        <v>4</v>
      </c>
      <c r="AL996" s="57" t="str">
        <f t="shared" si="1529"/>
        <v>ギャルキティキーケース</v>
      </c>
      <c r="AM996" s="62">
        <f t="shared" si="1528"/>
        <v>726</v>
      </c>
      <c r="AN996" s="27">
        <f t="shared" si="1520"/>
        <v>2178</v>
      </c>
      <c r="AO996" s="28">
        <f t="shared" si="1521"/>
        <v>0.14051612903225807</v>
      </c>
      <c r="AP996" s="15"/>
      <c r="AQ996" s="2"/>
      <c r="AR996" s="26"/>
      <c r="AS996" s="27">
        <v>4187</v>
      </c>
      <c r="AT996" s="27">
        <f t="shared" si="1522"/>
        <v>106</v>
      </c>
      <c r="AU996" s="27">
        <v>182</v>
      </c>
      <c r="AV996" s="27">
        <f t="shared" si="1523"/>
        <v>9</v>
      </c>
      <c r="AW996" s="27">
        <v>55</v>
      </c>
      <c r="AX996" s="27">
        <f t="shared" si="1524"/>
        <v>10</v>
      </c>
      <c r="AY996" s="47">
        <v>0</v>
      </c>
      <c r="AZ996" s="57" t="str">
        <f t="shared" si="1530"/>
        <v>スプランキーマスコット</v>
      </c>
      <c r="BA996" s="62">
        <f t="shared" si="1531"/>
        <v>180</v>
      </c>
      <c r="BB996" s="27">
        <f t="shared" si="1526"/>
        <v>1800</v>
      </c>
      <c r="BC996" s="28">
        <f t="shared" si="1527"/>
        <v>0.16981132075471697</v>
      </c>
      <c r="BD996" s="15"/>
      <c r="BU996" s="16"/>
      <c r="BV996" s="25"/>
      <c r="BW996" s="13" t="str">
        <f t="shared" si="1576"/>
        <v/>
      </c>
      <c r="BX996" s="13"/>
      <c r="BY996" s="13"/>
      <c r="BZ996" s="13"/>
      <c r="CA996" s="13" t="str">
        <f t="shared" si="1577"/>
        <v/>
      </c>
      <c r="CB996" s="13"/>
      <c r="CC996" s="13"/>
      <c r="CD996" s="13"/>
      <c r="CE996" s="13" t="str">
        <f t="shared" si="1540"/>
        <v/>
      </c>
      <c r="CF996" s="14" t="str">
        <f t="shared" si="1541"/>
        <v/>
      </c>
      <c r="CG996" s="15"/>
      <c r="CH996" s="1"/>
      <c r="CI996" s="16"/>
      <c r="CJ996" s="25"/>
      <c r="CK996" s="13" t="str">
        <f t="shared" si="1578"/>
        <v/>
      </c>
      <c r="CL996" s="13"/>
      <c r="CM996" s="13"/>
      <c r="CN996" s="13"/>
      <c r="CO996" s="13" t="str">
        <f t="shared" si="1579"/>
        <v/>
      </c>
      <c r="CP996" s="13"/>
      <c r="CQ996" s="13"/>
      <c r="CR996" s="13"/>
      <c r="CS996" s="13" t="str">
        <f t="shared" si="1542"/>
        <v/>
      </c>
      <c r="CT996" s="14" t="str">
        <f t="shared" si="1543"/>
        <v/>
      </c>
      <c r="CU996" s="15"/>
      <c r="CV996" s="1"/>
      <c r="CW996" s="16"/>
      <c r="CX996" s="25"/>
      <c r="CY996" s="13" t="str">
        <f t="shared" si="1580"/>
        <v/>
      </c>
      <c r="CZ996" s="13"/>
      <c r="DA996" s="13"/>
      <c r="DB996" s="13"/>
      <c r="DC996" s="13" t="str">
        <f t="shared" si="1581"/>
        <v/>
      </c>
      <c r="DD996" s="13"/>
      <c r="DE996" s="13"/>
      <c r="DF996" s="13"/>
      <c r="DG996" s="13" t="str">
        <f t="shared" si="1544"/>
        <v/>
      </c>
      <c r="DH996" s="14" t="str">
        <f t="shared" si="1545"/>
        <v/>
      </c>
      <c r="DI996" s="15"/>
      <c r="DJ996" s="1"/>
      <c r="DK996" s="16"/>
      <c r="DL996" s="25"/>
      <c r="DM996" s="13" t="str">
        <f t="shared" si="1582"/>
        <v/>
      </c>
      <c r="DN996" s="13"/>
      <c r="DO996" s="13"/>
      <c r="DP996" s="13"/>
      <c r="DQ996" s="13" t="str">
        <f t="shared" si="1583"/>
        <v/>
      </c>
      <c r="DR996" s="13"/>
      <c r="DS996" s="13"/>
      <c r="DT996" s="13"/>
      <c r="DU996" s="13" t="str">
        <f t="shared" si="1546"/>
        <v/>
      </c>
      <c r="DV996" s="14" t="str">
        <f t="shared" si="1547"/>
        <v/>
      </c>
      <c r="DW996" s="15"/>
    </row>
    <row r="997" spans="1:127" ht="15" customHeight="1" thickTop="1" x14ac:dyDescent="0.2">
      <c r="A997" s="79">
        <v>45786</v>
      </c>
      <c r="B997" s="74">
        <f>IF(A997="","",SUM(D997:D1000)+SUM(R997:R1000)+SUM(AF997:AF1000)+SUM(AT997:AT1000))</f>
        <v>609</v>
      </c>
      <c r="C997" s="13">
        <v>20070</v>
      </c>
      <c r="D997" s="53">
        <f t="shared" si="1503"/>
        <v>17</v>
      </c>
      <c r="E997" s="13">
        <v>1097</v>
      </c>
      <c r="F997" s="31">
        <f t="shared" si="1504"/>
        <v>0</v>
      </c>
      <c r="G997" s="13">
        <v>13</v>
      </c>
      <c r="H997" s="53">
        <f t="shared" si="1505"/>
        <v>0</v>
      </c>
      <c r="I997" s="80">
        <v>0</v>
      </c>
      <c r="J997" s="75" t="str">
        <f t="shared" si="1506"/>
        <v>ジャグラーサウンドボタン</v>
      </c>
      <c r="K997" s="76">
        <f t="shared" si="1507"/>
        <v>748</v>
      </c>
      <c r="L997" s="31">
        <f t="shared" si="1508"/>
        <v>0</v>
      </c>
      <c r="M997" s="32">
        <f t="shared" si="1509"/>
        <v>0</v>
      </c>
      <c r="N997" s="15"/>
      <c r="O997" s="2"/>
      <c r="P997" s="79">
        <f>IF($A997="","",$A997)</f>
        <v>45786</v>
      </c>
      <c r="Q997" s="13">
        <v>20367</v>
      </c>
      <c r="R997" s="53">
        <f t="shared" si="1510"/>
        <v>17</v>
      </c>
      <c r="S997" s="13">
        <v>1160</v>
      </c>
      <c r="T997" s="31">
        <f t="shared" si="1511"/>
        <v>1</v>
      </c>
      <c r="U997" s="13">
        <v>9</v>
      </c>
      <c r="V997" s="53">
        <f t="shared" si="1512"/>
        <v>1</v>
      </c>
      <c r="W997" s="80">
        <v>0</v>
      </c>
      <c r="X997" s="75" t="str">
        <f t="shared" si="1513"/>
        <v>じゃがりこイヤホン</v>
      </c>
      <c r="Y997" s="76">
        <f t="shared" si="1514"/>
        <v>1100</v>
      </c>
      <c r="Z997" s="31">
        <f t="shared" si="1515"/>
        <v>1100</v>
      </c>
      <c r="AA997" s="32">
        <f t="shared" si="1516"/>
        <v>0.6470588235294118</v>
      </c>
      <c r="AB997" s="15"/>
      <c r="AD997" s="79">
        <f>IF($A997="","",$A997)</f>
        <v>45786</v>
      </c>
      <c r="AE997" s="13">
        <v>4572</v>
      </c>
      <c r="AF997" s="53">
        <f t="shared" si="1517"/>
        <v>34</v>
      </c>
      <c r="AG997" s="13">
        <v>95</v>
      </c>
      <c r="AH997" s="31">
        <f t="shared" si="1518"/>
        <v>0</v>
      </c>
      <c r="AI997" s="13">
        <v>45</v>
      </c>
      <c r="AJ997" s="53">
        <f t="shared" si="1519"/>
        <v>0</v>
      </c>
      <c r="AK997" s="80">
        <v>0</v>
      </c>
      <c r="AL997" s="75" t="str">
        <f t="shared" si="1529"/>
        <v>ミニ香水</v>
      </c>
      <c r="AM997" s="76">
        <f t="shared" si="1528"/>
        <v>1100</v>
      </c>
      <c r="AN997" s="31">
        <f t="shared" si="1520"/>
        <v>0</v>
      </c>
      <c r="AO997" s="32">
        <f t="shared" si="1521"/>
        <v>0</v>
      </c>
      <c r="AP997" s="15"/>
      <c r="AQ997" s="2"/>
      <c r="AR997" s="79">
        <f>IF($A997="","",$A997)</f>
        <v>45786</v>
      </c>
      <c r="AS997" s="13">
        <v>4430</v>
      </c>
      <c r="AT997" s="53">
        <f t="shared" si="1522"/>
        <v>22</v>
      </c>
      <c r="AU997" s="13">
        <v>134</v>
      </c>
      <c r="AV997" s="31">
        <f t="shared" si="1523"/>
        <v>0</v>
      </c>
      <c r="AW997" s="13">
        <v>32</v>
      </c>
      <c r="AX997" s="53">
        <f t="shared" si="1524"/>
        <v>0</v>
      </c>
      <c r="AY997" s="80">
        <v>0</v>
      </c>
      <c r="AZ997" s="75" t="str">
        <f t="shared" si="1530"/>
        <v>ロムアンド</v>
      </c>
      <c r="BA997" s="76">
        <f t="shared" si="1531"/>
        <v>1001</v>
      </c>
      <c r="BB997" s="31">
        <f t="shared" si="1526"/>
        <v>0</v>
      </c>
      <c r="BC997" s="32">
        <f t="shared" si="1527"/>
        <v>0</v>
      </c>
      <c r="BD997" s="15"/>
      <c r="BU997" s="16"/>
      <c r="BV997" s="25"/>
      <c r="BW997" s="13" t="str">
        <f t="shared" si="1576"/>
        <v/>
      </c>
      <c r="BX997" s="13"/>
      <c r="BY997" s="13"/>
      <c r="BZ997" s="13"/>
      <c r="CA997" s="13" t="str">
        <f t="shared" si="1577"/>
        <v/>
      </c>
      <c r="CB997" s="13"/>
      <c r="CC997" s="13"/>
      <c r="CD997" s="13"/>
      <c r="CE997" s="13" t="str">
        <f t="shared" si="1540"/>
        <v/>
      </c>
      <c r="CF997" s="14" t="str">
        <f t="shared" si="1541"/>
        <v/>
      </c>
      <c r="CG997" s="15"/>
      <c r="CH997" s="1"/>
      <c r="CI997" s="16"/>
      <c r="CJ997" s="25"/>
      <c r="CK997" s="13" t="str">
        <f t="shared" si="1578"/>
        <v/>
      </c>
      <c r="CL997" s="13"/>
      <c r="CM997" s="13"/>
      <c r="CN997" s="13"/>
      <c r="CO997" s="13" t="str">
        <f t="shared" si="1579"/>
        <v/>
      </c>
      <c r="CP997" s="13"/>
      <c r="CQ997" s="13"/>
      <c r="CR997" s="13"/>
      <c r="CS997" s="13" t="str">
        <f t="shared" si="1542"/>
        <v/>
      </c>
      <c r="CT997" s="14" t="str">
        <f t="shared" si="1543"/>
        <v/>
      </c>
      <c r="CU997" s="15"/>
      <c r="CV997" s="1"/>
      <c r="CW997" s="16"/>
      <c r="CX997" s="25"/>
      <c r="CY997" s="13" t="str">
        <f t="shared" si="1580"/>
        <v/>
      </c>
      <c r="CZ997" s="13"/>
      <c r="DA997" s="13"/>
      <c r="DB997" s="13"/>
      <c r="DC997" s="13" t="str">
        <f t="shared" si="1581"/>
        <v/>
      </c>
      <c r="DD997" s="13"/>
      <c r="DE997" s="13"/>
      <c r="DF997" s="13"/>
      <c r="DG997" s="13" t="str">
        <f t="shared" si="1544"/>
        <v/>
      </c>
      <c r="DH997" s="14" t="str">
        <f t="shared" si="1545"/>
        <v/>
      </c>
      <c r="DI997" s="15"/>
      <c r="DJ997" s="1"/>
      <c r="DK997" s="16"/>
      <c r="DL997" s="25"/>
      <c r="DM997" s="13" t="str">
        <f t="shared" si="1582"/>
        <v/>
      </c>
      <c r="DN997" s="13"/>
      <c r="DO997" s="13"/>
      <c r="DP997" s="13"/>
      <c r="DQ997" s="13" t="str">
        <f t="shared" si="1583"/>
        <v/>
      </c>
      <c r="DR997" s="13"/>
      <c r="DS997" s="13"/>
      <c r="DT997" s="13"/>
      <c r="DU997" s="13" t="str">
        <f t="shared" si="1546"/>
        <v/>
      </c>
      <c r="DV997" s="14" t="str">
        <f t="shared" si="1547"/>
        <v/>
      </c>
      <c r="DW997" s="15"/>
    </row>
    <row r="998" spans="1:127" ht="15" customHeight="1" x14ac:dyDescent="0.2">
      <c r="A998" s="16"/>
      <c r="B998" s="11"/>
      <c r="C998" s="53">
        <v>24497</v>
      </c>
      <c r="D998" s="13">
        <f t="shared" si="1503"/>
        <v>37</v>
      </c>
      <c r="E998" s="53">
        <v>1285</v>
      </c>
      <c r="F998" s="13">
        <f t="shared" si="1504"/>
        <v>0</v>
      </c>
      <c r="G998" s="13">
        <v>23</v>
      </c>
      <c r="H998" s="13">
        <f t="shared" si="1505"/>
        <v>0</v>
      </c>
      <c r="I998" s="17">
        <v>-2</v>
      </c>
      <c r="J998" s="56" t="str">
        <f t="shared" si="1506"/>
        <v>ゴールドイヤホン</v>
      </c>
      <c r="K998" s="54">
        <f t="shared" si="1507"/>
        <v>770</v>
      </c>
      <c r="L998" s="13">
        <f t="shared" si="1508"/>
        <v>0</v>
      </c>
      <c r="M998" s="14">
        <f t="shared" si="1509"/>
        <v>0</v>
      </c>
      <c r="N998" s="15"/>
      <c r="O998" s="2"/>
      <c r="P998" s="16"/>
      <c r="Q998" s="53">
        <v>24620</v>
      </c>
      <c r="R998" s="13">
        <f t="shared" si="1510"/>
        <v>102</v>
      </c>
      <c r="S998" s="53">
        <v>1442</v>
      </c>
      <c r="T998" s="13">
        <f t="shared" si="1511"/>
        <v>2</v>
      </c>
      <c r="U998" s="13">
        <v>6</v>
      </c>
      <c r="V998" s="13">
        <f t="shared" si="1512"/>
        <v>5</v>
      </c>
      <c r="W998" s="17">
        <v>3</v>
      </c>
      <c r="X998" s="56" t="str">
        <f t="shared" si="1513"/>
        <v>サンリオFAN</v>
      </c>
      <c r="Y998" s="54">
        <f t="shared" si="1514"/>
        <v>1100</v>
      </c>
      <c r="Z998" s="13">
        <f t="shared" si="1515"/>
        <v>5500</v>
      </c>
      <c r="AA998" s="14">
        <f t="shared" si="1516"/>
        <v>0.53921568627450978</v>
      </c>
      <c r="AB998" s="15" t="s">
        <v>104</v>
      </c>
      <c r="AD998" s="16"/>
      <c r="AE998" s="53">
        <v>3453</v>
      </c>
      <c r="AF998" s="13">
        <f t="shared" si="1517"/>
        <v>40</v>
      </c>
      <c r="AG998" s="53">
        <v>86</v>
      </c>
      <c r="AH998" s="13">
        <f t="shared" si="1518"/>
        <v>0</v>
      </c>
      <c r="AI998" s="13">
        <v>19</v>
      </c>
      <c r="AJ998" s="13">
        <f t="shared" si="1519"/>
        <v>0</v>
      </c>
      <c r="AK998" s="17">
        <v>-3</v>
      </c>
      <c r="AL998" s="56" t="str">
        <f t="shared" si="1529"/>
        <v>デジタルミニカメラ</v>
      </c>
      <c r="AM998" s="54">
        <f t="shared" si="1528"/>
        <v>800</v>
      </c>
      <c r="AN998" s="13">
        <f t="shared" si="1520"/>
        <v>0</v>
      </c>
      <c r="AO998" s="14">
        <f t="shared" si="1521"/>
        <v>0</v>
      </c>
      <c r="AP998" s="15"/>
      <c r="AQ998" s="2"/>
      <c r="AR998" s="16"/>
      <c r="AS998" s="53">
        <v>2755</v>
      </c>
      <c r="AT998" s="13">
        <f t="shared" si="1522"/>
        <v>8</v>
      </c>
      <c r="AU998" s="53">
        <v>116</v>
      </c>
      <c r="AV998" s="13">
        <f t="shared" si="1523"/>
        <v>3</v>
      </c>
      <c r="AW998" s="13">
        <v>250</v>
      </c>
      <c r="AX998" s="13">
        <f t="shared" si="1524"/>
        <v>10</v>
      </c>
      <c r="AY998" s="17">
        <v>-210</v>
      </c>
      <c r="AZ998" s="56" t="str">
        <f t="shared" si="1530"/>
        <v>SPGジビッツ</v>
      </c>
      <c r="BA998" s="54">
        <f t="shared" si="1531"/>
        <v>31</v>
      </c>
      <c r="BB998" s="13">
        <f t="shared" si="1526"/>
        <v>310</v>
      </c>
      <c r="BC998" s="14">
        <f t="shared" si="1527"/>
        <v>0.38750000000000001</v>
      </c>
      <c r="BD998" s="15" t="s">
        <v>105</v>
      </c>
      <c r="BU998" s="16"/>
      <c r="BV998" s="25"/>
      <c r="BW998" s="13" t="str">
        <f t="shared" si="1576"/>
        <v/>
      </c>
      <c r="BX998" s="13"/>
      <c r="BY998" s="13"/>
      <c r="BZ998" s="13"/>
      <c r="CA998" s="13" t="str">
        <f t="shared" si="1577"/>
        <v/>
      </c>
      <c r="CB998" s="13"/>
      <c r="CC998" s="13"/>
      <c r="CD998" s="13"/>
      <c r="CE998" s="13" t="str">
        <f t="shared" si="1540"/>
        <v/>
      </c>
      <c r="CF998" s="14" t="str">
        <f t="shared" si="1541"/>
        <v/>
      </c>
      <c r="CG998" s="15"/>
      <c r="CH998" s="1"/>
      <c r="CI998" s="16"/>
      <c r="CJ998" s="25"/>
      <c r="CK998" s="13" t="str">
        <f t="shared" si="1578"/>
        <v/>
      </c>
      <c r="CL998" s="13"/>
      <c r="CM998" s="13"/>
      <c r="CN998" s="13"/>
      <c r="CO998" s="13" t="str">
        <f t="shared" si="1579"/>
        <v/>
      </c>
      <c r="CP998" s="13"/>
      <c r="CQ998" s="13"/>
      <c r="CR998" s="13"/>
      <c r="CS998" s="13" t="str">
        <f t="shared" si="1542"/>
        <v/>
      </c>
      <c r="CT998" s="14" t="str">
        <f t="shared" si="1543"/>
        <v/>
      </c>
      <c r="CU998" s="15"/>
      <c r="CV998" s="1"/>
      <c r="CW998" s="16"/>
      <c r="CX998" s="25"/>
      <c r="CY998" s="13" t="str">
        <f t="shared" si="1580"/>
        <v/>
      </c>
      <c r="CZ998" s="13"/>
      <c r="DA998" s="13"/>
      <c r="DB998" s="13"/>
      <c r="DC998" s="13" t="str">
        <f t="shared" si="1581"/>
        <v/>
      </c>
      <c r="DD998" s="13"/>
      <c r="DE998" s="13"/>
      <c r="DF998" s="13"/>
      <c r="DG998" s="13" t="str">
        <f t="shared" si="1544"/>
        <v/>
      </c>
      <c r="DH998" s="14" t="str">
        <f t="shared" si="1545"/>
        <v/>
      </c>
      <c r="DI998" s="15"/>
      <c r="DJ998" s="1"/>
      <c r="DK998" s="16"/>
      <c r="DL998" s="25"/>
      <c r="DM998" s="13" t="str">
        <f t="shared" si="1582"/>
        <v/>
      </c>
      <c r="DN998" s="13"/>
      <c r="DO998" s="13"/>
      <c r="DP998" s="13"/>
      <c r="DQ998" s="13" t="str">
        <f t="shared" si="1583"/>
        <v/>
      </c>
      <c r="DR998" s="13"/>
      <c r="DS998" s="13"/>
      <c r="DT998" s="13"/>
      <c r="DU998" s="13" t="str">
        <f t="shared" si="1546"/>
        <v/>
      </c>
      <c r="DV998" s="14" t="str">
        <f t="shared" si="1547"/>
        <v/>
      </c>
      <c r="DW998" s="15"/>
    </row>
    <row r="999" spans="1:127" ht="15" customHeight="1" x14ac:dyDescent="0.2">
      <c r="A999" s="16"/>
      <c r="B999" s="11"/>
      <c r="C999" s="13">
        <v>20390</v>
      </c>
      <c r="D999" s="13">
        <f t="shared" si="1503"/>
        <v>33</v>
      </c>
      <c r="E999" s="13">
        <v>1031</v>
      </c>
      <c r="F999" s="13">
        <f t="shared" si="1504"/>
        <v>2</v>
      </c>
      <c r="G999" s="13">
        <v>19</v>
      </c>
      <c r="H999" s="13">
        <f t="shared" si="1505"/>
        <v>1</v>
      </c>
      <c r="I999" s="17">
        <v>3</v>
      </c>
      <c r="J999" s="56" t="str">
        <f t="shared" si="1506"/>
        <v>グミッツェルプチ</v>
      </c>
      <c r="K999" s="13">
        <f t="shared" si="1507"/>
        <v>180</v>
      </c>
      <c r="L999" s="13">
        <f t="shared" si="1508"/>
        <v>180</v>
      </c>
      <c r="M999" s="14">
        <f t="shared" si="1509"/>
        <v>5.4545454545454543E-2</v>
      </c>
      <c r="N999" s="15"/>
      <c r="O999" s="2"/>
      <c r="P999" s="16"/>
      <c r="Q999" s="13">
        <v>19197</v>
      </c>
      <c r="R999" s="13">
        <f t="shared" si="1510"/>
        <v>35</v>
      </c>
      <c r="S999" s="13">
        <v>2644</v>
      </c>
      <c r="T999" s="13">
        <f t="shared" si="1511"/>
        <v>3</v>
      </c>
      <c r="U999" s="13">
        <v>17</v>
      </c>
      <c r="V999" s="13">
        <f t="shared" si="1512"/>
        <v>3</v>
      </c>
      <c r="W999" s="17">
        <v>0</v>
      </c>
      <c r="X999" s="56" t="str">
        <f t="shared" si="1513"/>
        <v>グミッツェル</v>
      </c>
      <c r="Y999" s="13">
        <f t="shared" si="1514"/>
        <v>165</v>
      </c>
      <c r="Z999" s="13">
        <f t="shared" si="1515"/>
        <v>495</v>
      </c>
      <c r="AA999" s="14">
        <f t="shared" si="1516"/>
        <v>0.14142857142857143</v>
      </c>
      <c r="AB999" s="15"/>
      <c r="AD999" s="16"/>
      <c r="AE999" s="13">
        <v>3972</v>
      </c>
      <c r="AF999" s="13">
        <f t="shared" si="1517"/>
        <v>6</v>
      </c>
      <c r="AG999" s="13">
        <v>124</v>
      </c>
      <c r="AH999" s="13">
        <f t="shared" si="1518"/>
        <v>0</v>
      </c>
      <c r="AI999" s="13">
        <v>15</v>
      </c>
      <c r="AJ999" s="13">
        <f t="shared" si="1519"/>
        <v>0</v>
      </c>
      <c r="AK999" s="17">
        <v>0</v>
      </c>
      <c r="AL999" s="56" t="str">
        <f t="shared" si="1529"/>
        <v>ピクミン引っこ抜き</v>
      </c>
      <c r="AM999" s="13">
        <f t="shared" si="1528"/>
        <v>650</v>
      </c>
      <c r="AN999" s="13">
        <f t="shared" si="1520"/>
        <v>0</v>
      </c>
      <c r="AO999" s="14">
        <f t="shared" si="1521"/>
        <v>0</v>
      </c>
      <c r="AP999" s="15" t="s">
        <v>41</v>
      </c>
      <c r="AQ999" s="2"/>
      <c r="AR999" s="16"/>
      <c r="AS999" s="13">
        <v>4469</v>
      </c>
      <c r="AT999" s="13">
        <f t="shared" si="1522"/>
        <v>25</v>
      </c>
      <c r="AU999" s="13">
        <v>161</v>
      </c>
      <c r="AV999" s="13">
        <f t="shared" si="1523"/>
        <v>3</v>
      </c>
      <c r="AW999" s="13">
        <v>127</v>
      </c>
      <c r="AX999" s="13">
        <f t="shared" si="1524"/>
        <v>3</v>
      </c>
      <c r="AY999" s="17">
        <v>0</v>
      </c>
      <c r="AZ999" s="56" t="str">
        <f t="shared" si="1530"/>
        <v>スプランキーラバーキーホルダー</v>
      </c>
      <c r="BA999" s="13">
        <f t="shared" si="1531"/>
        <v>200</v>
      </c>
      <c r="BB999" s="13">
        <f t="shared" si="1526"/>
        <v>600</v>
      </c>
      <c r="BC999" s="14">
        <f t="shared" si="1527"/>
        <v>0.24</v>
      </c>
      <c r="BD999" s="15"/>
      <c r="BU999" s="16"/>
      <c r="BV999" s="25"/>
      <c r="BW999" s="13" t="str">
        <f t="shared" si="1576"/>
        <v/>
      </c>
      <c r="BX999" s="13"/>
      <c r="BY999" s="13"/>
      <c r="BZ999" s="13"/>
      <c r="CA999" s="13" t="str">
        <f t="shared" si="1577"/>
        <v/>
      </c>
      <c r="CB999" s="13"/>
      <c r="CC999" s="13"/>
      <c r="CD999" s="13"/>
      <c r="CE999" s="13" t="str">
        <f t="shared" si="1540"/>
        <v/>
      </c>
      <c r="CF999" s="14" t="str">
        <f t="shared" si="1541"/>
        <v/>
      </c>
      <c r="CG999" s="15"/>
      <c r="CH999" s="1"/>
      <c r="CI999" s="16"/>
      <c r="CJ999" s="25"/>
      <c r="CK999" s="13" t="str">
        <f t="shared" si="1578"/>
        <v/>
      </c>
      <c r="CL999" s="13"/>
      <c r="CM999" s="13"/>
      <c r="CN999" s="13"/>
      <c r="CO999" s="13" t="str">
        <f t="shared" si="1579"/>
        <v/>
      </c>
      <c r="CP999" s="13"/>
      <c r="CQ999" s="13"/>
      <c r="CR999" s="13"/>
      <c r="CS999" s="13" t="str">
        <f t="shared" si="1542"/>
        <v/>
      </c>
      <c r="CT999" s="14" t="str">
        <f t="shared" si="1543"/>
        <v/>
      </c>
      <c r="CU999" s="15"/>
      <c r="CV999" s="1"/>
      <c r="CW999" s="16"/>
      <c r="CX999" s="25"/>
      <c r="CY999" s="13" t="str">
        <f t="shared" si="1580"/>
        <v/>
      </c>
      <c r="CZ999" s="13"/>
      <c r="DA999" s="13"/>
      <c r="DB999" s="13"/>
      <c r="DC999" s="13" t="str">
        <f t="shared" si="1581"/>
        <v/>
      </c>
      <c r="DD999" s="13"/>
      <c r="DE999" s="13"/>
      <c r="DF999" s="13"/>
      <c r="DG999" s="13" t="str">
        <f t="shared" si="1544"/>
        <v/>
      </c>
      <c r="DH999" s="14" t="str">
        <f t="shared" si="1545"/>
        <v/>
      </c>
      <c r="DI999" s="15"/>
      <c r="DJ999" s="1"/>
      <c r="DK999" s="16"/>
      <c r="DL999" s="25"/>
      <c r="DM999" s="13" t="str">
        <f t="shared" si="1582"/>
        <v/>
      </c>
      <c r="DN999" s="13"/>
      <c r="DO999" s="13"/>
      <c r="DP999" s="13"/>
      <c r="DQ999" s="13" t="str">
        <f t="shared" si="1583"/>
        <v/>
      </c>
      <c r="DR999" s="13"/>
      <c r="DS999" s="13"/>
      <c r="DT999" s="13"/>
      <c r="DU999" s="13" t="str">
        <f t="shared" si="1546"/>
        <v/>
      </c>
      <c r="DV999" s="14" t="str">
        <f t="shared" si="1547"/>
        <v/>
      </c>
      <c r="DW999" s="15"/>
    </row>
    <row r="1000" spans="1:127" ht="15" customHeight="1" thickBot="1" x14ac:dyDescent="0.25">
      <c r="A1000" s="26"/>
      <c r="B1000" s="46"/>
      <c r="C1000" s="27">
        <v>26193</v>
      </c>
      <c r="D1000" s="27">
        <f t="shared" si="1503"/>
        <v>72</v>
      </c>
      <c r="E1000" s="27">
        <v>1282</v>
      </c>
      <c r="F1000" s="27">
        <f t="shared" si="1504"/>
        <v>3</v>
      </c>
      <c r="G1000" s="27">
        <v>51</v>
      </c>
      <c r="H1000" s="27">
        <f t="shared" si="1505"/>
        <v>3</v>
      </c>
      <c r="I1000" s="47">
        <v>0</v>
      </c>
      <c r="J1000" s="57" t="str">
        <f t="shared" si="1506"/>
        <v>NICIマスコット</v>
      </c>
      <c r="K1000" s="62">
        <f t="shared" si="1507"/>
        <v>682</v>
      </c>
      <c r="L1000" s="27">
        <f t="shared" si="1508"/>
        <v>2046</v>
      </c>
      <c r="M1000" s="28">
        <f t="shared" si="1509"/>
        <v>0.28416666666666668</v>
      </c>
      <c r="N1000" s="15"/>
      <c r="O1000" s="2"/>
      <c r="P1000" s="26"/>
      <c r="Q1000" s="27">
        <v>18104</v>
      </c>
      <c r="R1000" s="27">
        <f t="shared" si="1510"/>
        <v>40</v>
      </c>
      <c r="S1000" s="27">
        <v>1600</v>
      </c>
      <c r="T1000" s="27">
        <f t="shared" si="1511"/>
        <v>5</v>
      </c>
      <c r="U1000" s="27">
        <v>340</v>
      </c>
      <c r="V1000" s="27">
        <f t="shared" si="1512"/>
        <v>10</v>
      </c>
      <c r="W1000" s="47">
        <v>0</v>
      </c>
      <c r="X1000" s="57" t="str">
        <f t="shared" si="1513"/>
        <v>サンリオブレスレット</v>
      </c>
      <c r="Y1000" s="62">
        <f t="shared" si="1514"/>
        <v>120</v>
      </c>
      <c r="Z1000" s="27">
        <f t="shared" si="1515"/>
        <v>1200</v>
      </c>
      <c r="AA1000" s="28">
        <f t="shared" si="1516"/>
        <v>0.3</v>
      </c>
      <c r="AB1000" s="15"/>
      <c r="AD1000" s="26"/>
      <c r="AE1000" s="27">
        <v>3473</v>
      </c>
      <c r="AF1000" s="27">
        <f t="shared" si="1517"/>
        <v>55</v>
      </c>
      <c r="AG1000" s="27">
        <v>136</v>
      </c>
      <c r="AH1000" s="27">
        <f t="shared" si="1518"/>
        <v>1</v>
      </c>
      <c r="AI1000" s="27">
        <v>19</v>
      </c>
      <c r="AJ1000" s="27">
        <f t="shared" si="1519"/>
        <v>1</v>
      </c>
      <c r="AK1000" s="47">
        <v>0</v>
      </c>
      <c r="AL1000" s="57" t="str">
        <f t="shared" si="1529"/>
        <v>ギャルキティキーケース</v>
      </c>
      <c r="AM1000" s="62">
        <f t="shared" si="1528"/>
        <v>726</v>
      </c>
      <c r="AN1000" s="27">
        <f t="shared" si="1520"/>
        <v>726</v>
      </c>
      <c r="AO1000" s="28">
        <f t="shared" si="1521"/>
        <v>0.13200000000000001</v>
      </c>
      <c r="AP1000" s="15"/>
      <c r="AQ1000" s="2"/>
      <c r="AR1000" s="26"/>
      <c r="AS1000" s="27">
        <v>4253</v>
      </c>
      <c r="AT1000" s="27">
        <f t="shared" si="1522"/>
        <v>66</v>
      </c>
      <c r="AU1000" s="27">
        <v>185</v>
      </c>
      <c r="AV1000" s="27">
        <f t="shared" si="1523"/>
        <v>3</v>
      </c>
      <c r="AW1000" s="27">
        <v>52</v>
      </c>
      <c r="AX1000" s="27">
        <f t="shared" si="1524"/>
        <v>3</v>
      </c>
      <c r="AY1000" s="47">
        <v>0</v>
      </c>
      <c r="AZ1000" s="57" t="str">
        <f t="shared" si="1530"/>
        <v>スプランキーマスコット</v>
      </c>
      <c r="BA1000" s="62">
        <f t="shared" si="1531"/>
        <v>180</v>
      </c>
      <c r="BB1000" s="27">
        <f t="shared" si="1526"/>
        <v>540</v>
      </c>
      <c r="BC1000" s="28">
        <f t="shared" si="1527"/>
        <v>8.1818181818181818E-2</v>
      </c>
      <c r="BD1000" s="15"/>
      <c r="BU1000" s="16"/>
      <c r="BV1000" s="25"/>
      <c r="BW1000" s="13" t="str">
        <f t="shared" si="1576"/>
        <v/>
      </c>
      <c r="BX1000" s="13"/>
      <c r="BY1000" s="13"/>
      <c r="BZ1000" s="13"/>
      <c r="CA1000" s="13" t="str">
        <f t="shared" si="1577"/>
        <v/>
      </c>
      <c r="CB1000" s="13"/>
      <c r="CC1000" s="13"/>
      <c r="CD1000" s="13"/>
      <c r="CE1000" s="13" t="str">
        <f t="shared" si="1540"/>
        <v/>
      </c>
      <c r="CF1000" s="14" t="str">
        <f t="shared" si="1541"/>
        <v/>
      </c>
      <c r="CG1000" s="15"/>
      <c r="CH1000" s="1"/>
      <c r="CI1000" s="16"/>
      <c r="CJ1000" s="25"/>
      <c r="CK1000" s="13" t="str">
        <f t="shared" si="1578"/>
        <v/>
      </c>
      <c r="CL1000" s="13"/>
      <c r="CM1000" s="13"/>
      <c r="CN1000" s="13"/>
      <c r="CO1000" s="13" t="str">
        <f t="shared" si="1579"/>
        <v/>
      </c>
      <c r="CP1000" s="13"/>
      <c r="CQ1000" s="13"/>
      <c r="CR1000" s="13"/>
      <c r="CS1000" s="13" t="str">
        <f t="shared" si="1542"/>
        <v/>
      </c>
      <c r="CT1000" s="14" t="str">
        <f t="shared" si="1543"/>
        <v/>
      </c>
      <c r="CU1000" s="15"/>
      <c r="CV1000" s="1"/>
      <c r="CW1000" s="16"/>
      <c r="CX1000" s="25"/>
      <c r="CY1000" s="13" t="str">
        <f t="shared" si="1580"/>
        <v/>
      </c>
      <c r="CZ1000" s="13"/>
      <c r="DA1000" s="13"/>
      <c r="DB1000" s="13"/>
      <c r="DC1000" s="13" t="str">
        <f t="shared" si="1581"/>
        <v/>
      </c>
      <c r="DD1000" s="13"/>
      <c r="DE1000" s="13"/>
      <c r="DF1000" s="13"/>
      <c r="DG1000" s="13" t="str">
        <f t="shared" si="1544"/>
        <v/>
      </c>
      <c r="DH1000" s="14" t="str">
        <f t="shared" si="1545"/>
        <v/>
      </c>
      <c r="DI1000" s="15"/>
      <c r="DJ1000" s="1"/>
      <c r="DK1000" s="16"/>
      <c r="DL1000" s="25"/>
      <c r="DM1000" s="13" t="str">
        <f t="shared" si="1582"/>
        <v/>
      </c>
      <c r="DN1000" s="13"/>
      <c r="DO1000" s="13"/>
      <c r="DP1000" s="13"/>
      <c r="DQ1000" s="13" t="str">
        <f t="shared" si="1583"/>
        <v/>
      </c>
      <c r="DR1000" s="13"/>
      <c r="DS1000" s="13"/>
      <c r="DT1000" s="13"/>
      <c r="DU1000" s="13" t="str">
        <f t="shared" si="1546"/>
        <v/>
      </c>
      <c r="DV1000" s="14" t="str">
        <f t="shared" si="1547"/>
        <v/>
      </c>
      <c r="DW1000" s="15"/>
    </row>
    <row r="1001" spans="1:127" ht="15" customHeight="1" thickTop="1" x14ac:dyDescent="0.2">
      <c r="A1001" s="16">
        <v>45789</v>
      </c>
      <c r="B1001" s="74">
        <f>IF(A1001="","",SUM(D1001:D1004)+SUM(R1001:R1004)+SUM(AF1001:AF1004)+SUM(AT1001:AT1004))</f>
        <v>1545</v>
      </c>
      <c r="C1001" s="53">
        <v>20237</v>
      </c>
      <c r="D1001" s="53">
        <f t="shared" si="1503"/>
        <v>167</v>
      </c>
      <c r="E1001" s="53">
        <v>1099</v>
      </c>
      <c r="F1001" s="31">
        <f t="shared" si="1504"/>
        <v>2</v>
      </c>
      <c r="G1001" s="53">
        <v>11</v>
      </c>
      <c r="H1001" s="53">
        <f t="shared" si="1505"/>
        <v>2</v>
      </c>
      <c r="I1001" s="80">
        <v>1</v>
      </c>
      <c r="J1001" s="21" t="str">
        <f t="shared" si="1506"/>
        <v>ジャグラーサウンドボタン</v>
      </c>
      <c r="K1001" s="54">
        <f t="shared" si="1507"/>
        <v>748</v>
      </c>
      <c r="L1001" s="31">
        <f t="shared" si="1508"/>
        <v>1496</v>
      </c>
      <c r="M1001" s="32">
        <f t="shared" si="1509"/>
        <v>8.9580838323353298E-2</v>
      </c>
      <c r="N1001" s="15"/>
      <c r="O1001" s="2"/>
      <c r="P1001" s="79">
        <f>IF($A1001="","",$A1001)</f>
        <v>45789</v>
      </c>
      <c r="Q1001" s="53">
        <v>20439</v>
      </c>
      <c r="R1001" s="53">
        <f t="shared" si="1510"/>
        <v>72</v>
      </c>
      <c r="S1001" s="53">
        <v>1162</v>
      </c>
      <c r="T1001" s="31">
        <f t="shared" si="1511"/>
        <v>2</v>
      </c>
      <c r="U1001" s="53">
        <v>7</v>
      </c>
      <c r="V1001" s="53">
        <f t="shared" si="1512"/>
        <v>2</v>
      </c>
      <c r="W1001" s="80">
        <v>0</v>
      </c>
      <c r="X1001" s="21" t="str">
        <f t="shared" si="1513"/>
        <v>じゃがりこイヤホン</v>
      </c>
      <c r="Y1001" s="54">
        <f t="shared" si="1514"/>
        <v>1100</v>
      </c>
      <c r="Z1001" s="31">
        <f t="shared" si="1515"/>
        <v>2200</v>
      </c>
      <c r="AA1001" s="32">
        <f t="shared" si="1516"/>
        <v>0.30555555555555558</v>
      </c>
      <c r="AB1001" s="15"/>
      <c r="AD1001" s="79">
        <f>IF($A1001="","",$A1001)</f>
        <v>45789</v>
      </c>
      <c r="AE1001" s="53">
        <v>4604</v>
      </c>
      <c r="AF1001" s="53">
        <f t="shared" si="1517"/>
        <v>32</v>
      </c>
      <c r="AG1001" s="53">
        <v>96</v>
      </c>
      <c r="AH1001" s="31">
        <f t="shared" si="1518"/>
        <v>1</v>
      </c>
      <c r="AI1001" s="53">
        <v>44</v>
      </c>
      <c r="AJ1001" s="53">
        <f t="shared" si="1519"/>
        <v>1</v>
      </c>
      <c r="AK1001" s="80">
        <v>0</v>
      </c>
      <c r="AL1001" s="21" t="str">
        <f t="shared" si="1529"/>
        <v>ミニ香水</v>
      </c>
      <c r="AM1001" s="54">
        <f t="shared" si="1528"/>
        <v>1100</v>
      </c>
      <c r="AN1001" s="31">
        <f t="shared" si="1520"/>
        <v>1100</v>
      </c>
      <c r="AO1001" s="32">
        <f t="shared" si="1521"/>
        <v>0.34375</v>
      </c>
      <c r="AP1001" s="15"/>
      <c r="AQ1001" s="2"/>
      <c r="AR1001" s="79">
        <f>IF($A1001="","",$A1001)</f>
        <v>45789</v>
      </c>
      <c r="AS1001" s="53">
        <v>4499</v>
      </c>
      <c r="AT1001" s="53">
        <f t="shared" si="1522"/>
        <v>69</v>
      </c>
      <c r="AU1001" s="53">
        <v>135</v>
      </c>
      <c r="AV1001" s="31">
        <f t="shared" si="1523"/>
        <v>1</v>
      </c>
      <c r="AW1001" s="53">
        <v>31</v>
      </c>
      <c r="AX1001" s="53">
        <f t="shared" si="1524"/>
        <v>1</v>
      </c>
      <c r="AY1001" s="80">
        <v>25</v>
      </c>
      <c r="AZ1001" s="56" t="str">
        <f t="shared" si="1530"/>
        <v>ロムアンド</v>
      </c>
      <c r="BA1001" s="54">
        <f t="shared" si="1531"/>
        <v>1001</v>
      </c>
      <c r="BB1001" s="31">
        <f t="shared" si="1526"/>
        <v>1001</v>
      </c>
      <c r="BC1001" s="32">
        <f t="shared" si="1527"/>
        <v>0.14507246376811594</v>
      </c>
      <c r="BD1001" s="15"/>
      <c r="BU1001" s="16"/>
      <c r="BV1001" s="25"/>
      <c r="BW1001" s="13" t="str">
        <f t="shared" si="1576"/>
        <v/>
      </c>
      <c r="BX1001" s="13"/>
      <c r="BY1001" s="13"/>
      <c r="BZ1001" s="13"/>
      <c r="CA1001" s="13" t="str">
        <f t="shared" si="1577"/>
        <v/>
      </c>
      <c r="CB1001" s="13"/>
      <c r="CC1001" s="13"/>
      <c r="CD1001" s="13"/>
      <c r="CE1001" s="13" t="str">
        <f t="shared" si="1540"/>
        <v/>
      </c>
      <c r="CF1001" s="14" t="str">
        <f t="shared" si="1541"/>
        <v/>
      </c>
      <c r="CG1001" s="15"/>
      <c r="CH1001" s="1"/>
      <c r="CI1001" s="16"/>
      <c r="CJ1001" s="25"/>
      <c r="CK1001" s="13" t="str">
        <f t="shared" si="1578"/>
        <v/>
      </c>
      <c r="CL1001" s="13"/>
      <c r="CM1001" s="13"/>
      <c r="CN1001" s="13"/>
      <c r="CO1001" s="13" t="str">
        <f t="shared" si="1579"/>
        <v/>
      </c>
      <c r="CP1001" s="13"/>
      <c r="CQ1001" s="13"/>
      <c r="CR1001" s="13"/>
      <c r="CS1001" s="13" t="str">
        <f t="shared" si="1542"/>
        <v/>
      </c>
      <c r="CT1001" s="14" t="str">
        <f t="shared" si="1543"/>
        <v/>
      </c>
      <c r="CU1001" s="15"/>
      <c r="CV1001" s="1"/>
      <c r="CW1001" s="16"/>
      <c r="CX1001" s="25"/>
      <c r="CY1001" s="13" t="str">
        <f t="shared" si="1580"/>
        <v/>
      </c>
      <c r="CZ1001" s="13"/>
      <c r="DA1001" s="13"/>
      <c r="DB1001" s="13"/>
      <c r="DC1001" s="13" t="str">
        <f t="shared" si="1581"/>
        <v/>
      </c>
      <c r="DD1001" s="13"/>
      <c r="DE1001" s="13"/>
      <c r="DF1001" s="13"/>
      <c r="DG1001" s="13" t="str">
        <f t="shared" si="1544"/>
        <v/>
      </c>
      <c r="DH1001" s="14" t="str">
        <f t="shared" si="1545"/>
        <v/>
      </c>
      <c r="DI1001" s="15"/>
      <c r="DJ1001" s="1"/>
      <c r="DK1001" s="16"/>
      <c r="DL1001" s="25"/>
      <c r="DM1001" s="13" t="str">
        <f t="shared" si="1582"/>
        <v/>
      </c>
      <c r="DN1001" s="13"/>
      <c r="DO1001" s="13"/>
      <c r="DP1001" s="13"/>
      <c r="DQ1001" s="13" t="str">
        <f t="shared" si="1583"/>
        <v/>
      </c>
      <c r="DR1001" s="13"/>
      <c r="DS1001" s="13"/>
      <c r="DT1001" s="13"/>
      <c r="DU1001" s="13" t="str">
        <f t="shared" si="1546"/>
        <v/>
      </c>
      <c r="DV1001" s="14" t="str">
        <f t="shared" si="1547"/>
        <v/>
      </c>
      <c r="DW1001" s="15"/>
    </row>
    <row r="1002" spans="1:127" ht="15" customHeight="1" x14ac:dyDescent="0.2">
      <c r="A1002" s="16"/>
      <c r="B1002" s="11"/>
      <c r="C1002" s="13">
        <v>24565</v>
      </c>
      <c r="D1002" s="53">
        <f t="shared" si="1503"/>
        <v>68</v>
      </c>
      <c r="E1002" s="13">
        <v>1286</v>
      </c>
      <c r="F1002" s="13">
        <f t="shared" si="1504"/>
        <v>1</v>
      </c>
      <c r="G1002" s="13">
        <v>19</v>
      </c>
      <c r="H1002" s="13">
        <f t="shared" si="1505"/>
        <v>2</v>
      </c>
      <c r="I1002" s="17">
        <v>3</v>
      </c>
      <c r="J1002" s="21" t="str">
        <f t="shared" si="1506"/>
        <v>ゴールドイヤホン</v>
      </c>
      <c r="K1002" s="54">
        <f t="shared" si="1507"/>
        <v>770</v>
      </c>
      <c r="L1002" s="13">
        <f t="shared" si="1508"/>
        <v>1540</v>
      </c>
      <c r="M1002" s="14">
        <f t="shared" si="1509"/>
        <v>0.22647058823529412</v>
      </c>
      <c r="N1002" s="15"/>
      <c r="O1002" s="2"/>
      <c r="P1002" s="16"/>
      <c r="Q1002" s="13">
        <v>24909</v>
      </c>
      <c r="R1002" s="53">
        <f t="shared" si="1510"/>
        <v>289</v>
      </c>
      <c r="S1002" s="13">
        <v>1448</v>
      </c>
      <c r="T1002" s="13">
        <f t="shared" si="1511"/>
        <v>6</v>
      </c>
      <c r="U1002" s="13">
        <v>0</v>
      </c>
      <c r="V1002" s="13">
        <f t="shared" si="1512"/>
        <v>9</v>
      </c>
      <c r="W1002" s="17">
        <v>8</v>
      </c>
      <c r="X1002" s="21" t="str">
        <f t="shared" si="1513"/>
        <v>サンリオFAN</v>
      </c>
      <c r="Y1002" s="54">
        <f t="shared" si="1514"/>
        <v>1100</v>
      </c>
      <c r="Z1002" s="13">
        <f t="shared" si="1515"/>
        <v>9900</v>
      </c>
      <c r="AA1002" s="14">
        <f t="shared" si="1516"/>
        <v>0.34256055363321797</v>
      </c>
      <c r="AB1002" s="15" t="s">
        <v>107</v>
      </c>
      <c r="AD1002" s="16"/>
      <c r="AE1002" s="13">
        <v>3518</v>
      </c>
      <c r="AF1002" s="53">
        <f t="shared" si="1517"/>
        <v>65</v>
      </c>
      <c r="AG1002" s="13">
        <v>87</v>
      </c>
      <c r="AH1002" s="13">
        <f t="shared" si="1518"/>
        <v>1</v>
      </c>
      <c r="AI1002" s="13">
        <v>15</v>
      </c>
      <c r="AJ1002" s="13">
        <f t="shared" si="1519"/>
        <v>1</v>
      </c>
      <c r="AK1002" s="17">
        <v>0</v>
      </c>
      <c r="AL1002" s="21" t="str">
        <f t="shared" si="1529"/>
        <v>デジタルミニカメラ</v>
      </c>
      <c r="AM1002" s="54">
        <f t="shared" si="1528"/>
        <v>800</v>
      </c>
      <c r="AN1002" s="13">
        <f t="shared" si="1520"/>
        <v>800</v>
      </c>
      <c r="AO1002" s="14">
        <f t="shared" si="1521"/>
        <v>0.12307692307692308</v>
      </c>
      <c r="AP1002" s="15"/>
      <c r="AQ1002" s="2"/>
      <c r="AR1002" s="16"/>
      <c r="AS1002" s="13">
        <v>2833</v>
      </c>
      <c r="AT1002" s="53">
        <f t="shared" si="1522"/>
        <v>78</v>
      </c>
      <c r="AU1002" s="13">
        <v>128</v>
      </c>
      <c r="AV1002" s="13">
        <f t="shared" si="1523"/>
        <v>12</v>
      </c>
      <c r="AW1002" s="13">
        <v>23</v>
      </c>
      <c r="AX1002" s="13">
        <f t="shared" si="1524"/>
        <v>17</v>
      </c>
      <c r="AY1002" s="17">
        <v>30</v>
      </c>
      <c r="AZ1002" s="56" t="s">
        <v>61</v>
      </c>
      <c r="BA1002" s="54">
        <v>400</v>
      </c>
      <c r="BB1002" s="13">
        <f t="shared" si="1526"/>
        <v>6800</v>
      </c>
      <c r="BC1002" s="14">
        <f t="shared" si="1527"/>
        <v>0.87179487179487181</v>
      </c>
      <c r="BD1002" s="15" t="s">
        <v>108</v>
      </c>
      <c r="BU1002" s="16"/>
      <c r="BV1002" s="25"/>
      <c r="BW1002" s="13" t="str">
        <f t="shared" si="1576"/>
        <v/>
      </c>
      <c r="BX1002" s="13"/>
      <c r="BY1002" s="13"/>
      <c r="BZ1002" s="13"/>
      <c r="CA1002" s="13" t="str">
        <f t="shared" si="1577"/>
        <v/>
      </c>
      <c r="CB1002" s="13"/>
      <c r="CC1002" s="13"/>
      <c r="CD1002" s="13"/>
      <c r="CE1002" s="13" t="str">
        <f t="shared" si="1540"/>
        <v/>
      </c>
      <c r="CF1002" s="14" t="str">
        <f t="shared" si="1541"/>
        <v/>
      </c>
      <c r="CG1002" s="15"/>
      <c r="CH1002" s="1"/>
      <c r="CI1002" s="16"/>
      <c r="CJ1002" s="25"/>
      <c r="CK1002" s="13" t="str">
        <f t="shared" si="1578"/>
        <v/>
      </c>
      <c r="CL1002" s="13"/>
      <c r="CM1002" s="13"/>
      <c r="CN1002" s="13"/>
      <c r="CO1002" s="13" t="str">
        <f t="shared" si="1579"/>
        <v/>
      </c>
      <c r="CP1002" s="13"/>
      <c r="CQ1002" s="13"/>
      <c r="CR1002" s="13"/>
      <c r="CS1002" s="13" t="str">
        <f t="shared" si="1542"/>
        <v/>
      </c>
      <c r="CT1002" s="14" t="str">
        <f t="shared" si="1543"/>
        <v/>
      </c>
      <c r="CU1002" s="15"/>
      <c r="CV1002" s="1"/>
      <c r="CW1002" s="16"/>
      <c r="CX1002" s="25"/>
      <c r="CY1002" s="13" t="str">
        <f t="shared" si="1580"/>
        <v/>
      </c>
      <c r="CZ1002" s="13"/>
      <c r="DA1002" s="13"/>
      <c r="DB1002" s="13"/>
      <c r="DC1002" s="13" t="str">
        <f t="shared" si="1581"/>
        <v/>
      </c>
      <c r="DD1002" s="13"/>
      <c r="DE1002" s="13"/>
      <c r="DF1002" s="13"/>
      <c r="DG1002" s="13" t="str">
        <f t="shared" si="1544"/>
        <v/>
      </c>
      <c r="DH1002" s="14" t="str">
        <f t="shared" si="1545"/>
        <v/>
      </c>
      <c r="DI1002" s="15"/>
      <c r="DJ1002" s="1"/>
      <c r="DK1002" s="16"/>
      <c r="DL1002" s="25"/>
      <c r="DM1002" s="13" t="str">
        <f t="shared" si="1582"/>
        <v/>
      </c>
      <c r="DN1002" s="13"/>
      <c r="DO1002" s="13"/>
      <c r="DP1002" s="13"/>
      <c r="DQ1002" s="13" t="str">
        <f t="shared" si="1583"/>
        <v/>
      </c>
      <c r="DR1002" s="13"/>
      <c r="DS1002" s="13"/>
      <c r="DT1002" s="13"/>
      <c r="DU1002" s="13" t="str">
        <f t="shared" si="1546"/>
        <v/>
      </c>
      <c r="DV1002" s="14" t="str">
        <f t="shared" si="1547"/>
        <v/>
      </c>
      <c r="DW1002" s="15"/>
    </row>
    <row r="1003" spans="1:127" ht="15" customHeight="1" x14ac:dyDescent="0.2">
      <c r="A1003" s="16"/>
      <c r="B1003" s="11"/>
      <c r="C1003" s="13">
        <v>20467</v>
      </c>
      <c r="D1003" s="63">
        <f t="shared" si="1503"/>
        <v>77</v>
      </c>
      <c r="E1003" s="13">
        <v>1034</v>
      </c>
      <c r="F1003" s="13">
        <f t="shared" si="1504"/>
        <v>3</v>
      </c>
      <c r="G1003" s="34">
        <v>19</v>
      </c>
      <c r="H1003" s="34">
        <f t="shared" si="1505"/>
        <v>3</v>
      </c>
      <c r="I1003" s="17">
        <v>4</v>
      </c>
      <c r="J1003" s="21" t="str">
        <f t="shared" si="1506"/>
        <v>グミッツェルプチ</v>
      </c>
      <c r="K1003" s="54">
        <f t="shared" si="1507"/>
        <v>180</v>
      </c>
      <c r="L1003" s="13">
        <f t="shared" si="1508"/>
        <v>540</v>
      </c>
      <c r="M1003" s="14">
        <f t="shared" si="1509"/>
        <v>7.0129870129870125E-2</v>
      </c>
      <c r="N1003" s="15"/>
      <c r="O1003" s="2"/>
      <c r="P1003" s="16"/>
      <c r="Q1003" s="13">
        <v>19251</v>
      </c>
      <c r="R1003" s="63">
        <f t="shared" si="1510"/>
        <v>54</v>
      </c>
      <c r="S1003" s="13">
        <v>2652</v>
      </c>
      <c r="T1003" s="13">
        <f t="shared" si="1511"/>
        <v>8</v>
      </c>
      <c r="U1003" s="34">
        <v>8</v>
      </c>
      <c r="V1003" s="34">
        <f t="shared" si="1512"/>
        <v>9</v>
      </c>
      <c r="W1003" s="17">
        <v>12</v>
      </c>
      <c r="X1003" s="21" t="str">
        <f t="shared" si="1513"/>
        <v>グミッツェル</v>
      </c>
      <c r="Y1003" s="54">
        <f t="shared" si="1514"/>
        <v>165</v>
      </c>
      <c r="Z1003" s="13">
        <f t="shared" si="1515"/>
        <v>1485</v>
      </c>
      <c r="AA1003" s="14">
        <f t="shared" si="1516"/>
        <v>0.27500000000000002</v>
      </c>
      <c r="AB1003" s="15"/>
      <c r="AD1003" s="16"/>
      <c r="AE1003" s="13">
        <v>4018</v>
      </c>
      <c r="AF1003" s="63">
        <f t="shared" si="1517"/>
        <v>46</v>
      </c>
      <c r="AG1003" s="13">
        <v>125</v>
      </c>
      <c r="AH1003" s="13">
        <f t="shared" si="1518"/>
        <v>1</v>
      </c>
      <c r="AI1003" s="34">
        <v>14</v>
      </c>
      <c r="AJ1003" s="34">
        <f t="shared" si="1519"/>
        <v>1</v>
      </c>
      <c r="AK1003" s="17">
        <v>0</v>
      </c>
      <c r="AL1003" s="21" t="str">
        <f t="shared" si="1529"/>
        <v>ピクミン引っこ抜き</v>
      </c>
      <c r="AM1003" s="54">
        <f t="shared" si="1528"/>
        <v>650</v>
      </c>
      <c r="AN1003" s="13">
        <f t="shared" si="1520"/>
        <v>650</v>
      </c>
      <c r="AO1003" s="14">
        <f t="shared" si="1521"/>
        <v>0.14130434782608695</v>
      </c>
      <c r="AP1003" s="15"/>
      <c r="AQ1003" s="2"/>
      <c r="AR1003" s="16"/>
      <c r="AS1003" s="13">
        <v>4582</v>
      </c>
      <c r="AT1003" s="63">
        <f t="shared" si="1522"/>
        <v>113</v>
      </c>
      <c r="AU1003" s="13">
        <v>166</v>
      </c>
      <c r="AV1003" s="13">
        <f t="shared" si="1523"/>
        <v>5</v>
      </c>
      <c r="AW1003" s="34">
        <v>120</v>
      </c>
      <c r="AX1003" s="34">
        <f t="shared" si="1524"/>
        <v>7</v>
      </c>
      <c r="AY1003" s="17">
        <v>0</v>
      </c>
      <c r="AZ1003" s="56" t="str">
        <f t="shared" si="1530"/>
        <v>スプランキーラバーキーホルダー</v>
      </c>
      <c r="BA1003" s="54">
        <f t="shared" si="1531"/>
        <v>200</v>
      </c>
      <c r="BB1003" s="13">
        <f t="shared" si="1526"/>
        <v>1400</v>
      </c>
      <c r="BC1003" s="14">
        <f t="shared" si="1527"/>
        <v>0.12389380530973451</v>
      </c>
      <c r="BD1003" s="15"/>
      <c r="BU1003" s="16"/>
      <c r="BV1003" s="25"/>
      <c r="BW1003" s="13" t="str">
        <f t="shared" si="1576"/>
        <v/>
      </c>
      <c r="BX1003" s="13"/>
      <c r="BY1003" s="13"/>
      <c r="BZ1003" s="13"/>
      <c r="CA1003" s="13" t="str">
        <f t="shared" si="1577"/>
        <v/>
      </c>
      <c r="CB1003" s="13"/>
      <c r="CC1003" s="13"/>
      <c r="CD1003" s="13"/>
      <c r="CE1003" s="13" t="str">
        <f t="shared" si="1540"/>
        <v/>
      </c>
      <c r="CF1003" s="14" t="str">
        <f t="shared" si="1541"/>
        <v/>
      </c>
      <c r="CG1003" s="15"/>
      <c r="CH1003" s="1"/>
      <c r="CI1003" s="16"/>
      <c r="CJ1003" s="25"/>
      <c r="CK1003" s="13" t="str">
        <f t="shared" si="1578"/>
        <v/>
      </c>
      <c r="CL1003" s="13"/>
      <c r="CM1003" s="13"/>
      <c r="CN1003" s="13"/>
      <c r="CO1003" s="13" t="str">
        <f t="shared" si="1579"/>
        <v/>
      </c>
      <c r="CP1003" s="13"/>
      <c r="CQ1003" s="13"/>
      <c r="CR1003" s="13"/>
      <c r="CS1003" s="13" t="str">
        <f t="shared" si="1542"/>
        <v/>
      </c>
      <c r="CT1003" s="14" t="str">
        <f t="shared" si="1543"/>
        <v/>
      </c>
      <c r="CU1003" s="15"/>
      <c r="CV1003" s="1"/>
      <c r="CW1003" s="16"/>
      <c r="CX1003" s="25"/>
      <c r="CY1003" s="13" t="str">
        <f t="shared" si="1580"/>
        <v/>
      </c>
      <c r="CZ1003" s="13"/>
      <c r="DA1003" s="13"/>
      <c r="DB1003" s="13"/>
      <c r="DC1003" s="13" t="str">
        <f t="shared" si="1581"/>
        <v/>
      </c>
      <c r="DD1003" s="13"/>
      <c r="DE1003" s="13"/>
      <c r="DF1003" s="13"/>
      <c r="DG1003" s="13" t="str">
        <f t="shared" si="1544"/>
        <v/>
      </c>
      <c r="DH1003" s="14" t="str">
        <f t="shared" si="1545"/>
        <v/>
      </c>
      <c r="DI1003" s="15"/>
      <c r="DJ1003" s="1"/>
      <c r="DK1003" s="16"/>
      <c r="DL1003" s="25"/>
      <c r="DM1003" s="13" t="str">
        <f t="shared" si="1582"/>
        <v/>
      </c>
      <c r="DN1003" s="13"/>
      <c r="DO1003" s="13"/>
      <c r="DP1003" s="13"/>
      <c r="DQ1003" s="13" t="str">
        <f t="shared" si="1583"/>
        <v/>
      </c>
      <c r="DR1003" s="13"/>
      <c r="DS1003" s="13"/>
      <c r="DT1003" s="13"/>
      <c r="DU1003" s="13" t="str">
        <f t="shared" si="1546"/>
        <v/>
      </c>
      <c r="DV1003" s="14" t="str">
        <f t="shared" si="1547"/>
        <v/>
      </c>
      <c r="DW1003" s="15"/>
    </row>
    <row r="1004" spans="1:127" ht="15" customHeight="1" thickBot="1" x14ac:dyDescent="0.25">
      <c r="A1004" s="26"/>
      <c r="B1004" s="46"/>
      <c r="C1004" s="29">
        <v>26326</v>
      </c>
      <c r="D1004" s="61">
        <f t="shared" si="1503"/>
        <v>133</v>
      </c>
      <c r="E1004" s="62">
        <v>1287</v>
      </c>
      <c r="F1004" s="27">
        <f t="shared" si="1504"/>
        <v>5</v>
      </c>
      <c r="G1004" s="64">
        <v>46</v>
      </c>
      <c r="H1004" s="64">
        <f t="shared" si="1505"/>
        <v>5</v>
      </c>
      <c r="I1004" s="47">
        <v>0</v>
      </c>
      <c r="J1004" s="30" t="str">
        <f t="shared" si="1506"/>
        <v>NICIマスコット</v>
      </c>
      <c r="K1004" s="62">
        <f t="shared" si="1507"/>
        <v>682</v>
      </c>
      <c r="L1004" s="27">
        <f t="shared" si="1508"/>
        <v>3410</v>
      </c>
      <c r="M1004" s="28">
        <f t="shared" si="1509"/>
        <v>0.256390977443609</v>
      </c>
      <c r="N1004" s="15"/>
      <c r="O1004" s="2"/>
      <c r="P1004" s="26"/>
      <c r="Q1004" s="29">
        <v>18206</v>
      </c>
      <c r="R1004" s="61">
        <f t="shared" si="1510"/>
        <v>102</v>
      </c>
      <c r="S1004" s="62">
        <v>1609</v>
      </c>
      <c r="T1004" s="27">
        <f t="shared" si="1511"/>
        <v>9</v>
      </c>
      <c r="U1004" s="64">
        <v>320</v>
      </c>
      <c r="V1004" s="64">
        <f t="shared" si="1512"/>
        <v>20</v>
      </c>
      <c r="W1004" s="47">
        <v>0</v>
      </c>
      <c r="X1004" s="30" t="str">
        <f t="shared" si="1513"/>
        <v>サンリオブレスレット</v>
      </c>
      <c r="Y1004" s="62">
        <f t="shared" si="1514"/>
        <v>120</v>
      </c>
      <c r="Z1004" s="27">
        <f t="shared" si="1515"/>
        <v>2400</v>
      </c>
      <c r="AA1004" s="28">
        <f t="shared" si="1516"/>
        <v>0.23529411764705882</v>
      </c>
      <c r="AB1004" s="15"/>
      <c r="AD1004" s="26"/>
      <c r="AE1004" s="29">
        <v>3572</v>
      </c>
      <c r="AF1004" s="61">
        <f t="shared" si="1517"/>
        <v>99</v>
      </c>
      <c r="AG1004" s="62">
        <v>136</v>
      </c>
      <c r="AH1004" s="27">
        <f t="shared" si="1518"/>
        <v>0</v>
      </c>
      <c r="AI1004" s="64">
        <v>19</v>
      </c>
      <c r="AJ1004" s="64">
        <f t="shared" si="1519"/>
        <v>0</v>
      </c>
      <c r="AK1004" s="47">
        <v>0</v>
      </c>
      <c r="AL1004" s="30" t="str">
        <f t="shared" si="1529"/>
        <v>ギャルキティキーケース</v>
      </c>
      <c r="AM1004" s="62">
        <f t="shared" si="1528"/>
        <v>726</v>
      </c>
      <c r="AN1004" s="27">
        <f t="shared" si="1520"/>
        <v>0</v>
      </c>
      <c r="AO1004" s="28">
        <f t="shared" si="1521"/>
        <v>0</v>
      </c>
      <c r="AP1004" s="15"/>
      <c r="AQ1004" s="2"/>
      <c r="AR1004" s="26"/>
      <c r="AS1004" s="29">
        <v>4334</v>
      </c>
      <c r="AT1004" s="61">
        <f t="shared" si="1522"/>
        <v>81</v>
      </c>
      <c r="AU1004" s="62">
        <v>190</v>
      </c>
      <c r="AV1004" s="27">
        <f t="shared" si="1523"/>
        <v>5</v>
      </c>
      <c r="AW1004" s="64">
        <v>42</v>
      </c>
      <c r="AX1004" s="64">
        <f t="shared" si="1524"/>
        <v>10</v>
      </c>
      <c r="AY1004" s="47">
        <v>0</v>
      </c>
      <c r="AZ1004" s="57" t="str">
        <f t="shared" si="1530"/>
        <v>スプランキーマスコット</v>
      </c>
      <c r="BA1004" s="62">
        <f t="shared" si="1531"/>
        <v>180</v>
      </c>
      <c r="BB1004" s="27">
        <f t="shared" si="1526"/>
        <v>1800</v>
      </c>
      <c r="BC1004" s="28">
        <f t="shared" si="1527"/>
        <v>0.22222222222222221</v>
      </c>
      <c r="BD1004" s="15"/>
      <c r="BU1004" s="16"/>
      <c r="BV1004" s="25"/>
      <c r="BW1004" s="13" t="str">
        <f t="shared" si="1576"/>
        <v/>
      </c>
      <c r="BX1004" s="13"/>
      <c r="BY1004" s="13"/>
      <c r="BZ1004" s="13"/>
      <c r="CA1004" s="13" t="str">
        <f t="shared" si="1577"/>
        <v/>
      </c>
      <c r="CB1004" s="13"/>
      <c r="CC1004" s="13"/>
      <c r="CD1004" s="13"/>
      <c r="CE1004" s="13" t="str">
        <f t="shared" si="1540"/>
        <v/>
      </c>
      <c r="CF1004" s="14" t="str">
        <f t="shared" si="1541"/>
        <v/>
      </c>
      <c r="CG1004" s="15"/>
      <c r="CH1004" s="1"/>
      <c r="CI1004" s="16"/>
      <c r="CJ1004" s="25"/>
      <c r="CK1004" s="13" t="str">
        <f t="shared" si="1578"/>
        <v/>
      </c>
      <c r="CL1004" s="13"/>
      <c r="CM1004" s="13"/>
      <c r="CN1004" s="13"/>
      <c r="CO1004" s="13" t="str">
        <f t="shared" si="1579"/>
        <v/>
      </c>
      <c r="CP1004" s="13"/>
      <c r="CQ1004" s="13"/>
      <c r="CR1004" s="13"/>
      <c r="CS1004" s="13" t="str">
        <f t="shared" si="1542"/>
        <v/>
      </c>
      <c r="CT1004" s="14" t="str">
        <f t="shared" si="1543"/>
        <v/>
      </c>
      <c r="CU1004" s="15"/>
      <c r="CV1004" s="1"/>
      <c r="CW1004" s="16"/>
      <c r="CX1004" s="25"/>
      <c r="CY1004" s="13" t="str">
        <f t="shared" si="1580"/>
        <v/>
      </c>
      <c r="CZ1004" s="13"/>
      <c r="DA1004" s="13"/>
      <c r="DB1004" s="13"/>
      <c r="DC1004" s="13" t="str">
        <f t="shared" si="1581"/>
        <v/>
      </c>
      <c r="DD1004" s="13"/>
      <c r="DE1004" s="13"/>
      <c r="DF1004" s="13"/>
      <c r="DG1004" s="13" t="str">
        <f t="shared" si="1544"/>
        <v/>
      </c>
      <c r="DH1004" s="14" t="str">
        <f t="shared" si="1545"/>
        <v/>
      </c>
      <c r="DI1004" s="15"/>
      <c r="DJ1004" s="1"/>
      <c r="DK1004" s="16"/>
      <c r="DL1004" s="25"/>
      <c r="DM1004" s="13" t="str">
        <f t="shared" si="1582"/>
        <v/>
      </c>
      <c r="DN1004" s="13"/>
      <c r="DO1004" s="13"/>
      <c r="DP1004" s="13"/>
      <c r="DQ1004" s="13" t="str">
        <f t="shared" si="1583"/>
        <v/>
      </c>
      <c r="DR1004" s="13"/>
      <c r="DS1004" s="13"/>
      <c r="DT1004" s="13"/>
      <c r="DU1004" s="13" t="str">
        <f t="shared" si="1546"/>
        <v/>
      </c>
      <c r="DV1004" s="14" t="str">
        <f t="shared" si="1547"/>
        <v/>
      </c>
      <c r="DW1004" s="15"/>
    </row>
    <row r="1005" spans="1:127" ht="15" customHeight="1" thickTop="1" x14ac:dyDescent="0.2">
      <c r="A1005" s="79"/>
      <c r="B1005" s="74"/>
      <c r="C1005" s="53"/>
      <c r="D1005" s="53"/>
      <c r="E1005" s="53"/>
      <c r="F1005" s="31"/>
      <c r="G1005" s="53"/>
      <c r="H1005" s="53"/>
      <c r="I1005" s="80"/>
      <c r="J1005" s="21"/>
      <c r="K1005" s="54"/>
      <c r="L1005" s="31"/>
      <c r="M1005" s="32"/>
      <c r="N1005" s="15"/>
      <c r="O1005" s="2"/>
      <c r="P1005" s="79"/>
      <c r="Q1005" s="53"/>
      <c r="R1005" s="53"/>
      <c r="S1005" s="53"/>
      <c r="T1005" s="31"/>
      <c r="U1005" s="53"/>
      <c r="V1005" s="53"/>
      <c r="W1005" s="80"/>
      <c r="X1005" s="21"/>
      <c r="Y1005" s="54"/>
      <c r="Z1005" s="31"/>
      <c r="AA1005" s="32"/>
      <c r="AB1005" s="15"/>
      <c r="AD1005" s="79"/>
      <c r="AE1005" s="53"/>
      <c r="AF1005" s="53"/>
      <c r="AG1005" s="53"/>
      <c r="AH1005" s="31"/>
      <c r="AI1005" s="53"/>
      <c r="AJ1005" s="53"/>
      <c r="AK1005" s="80"/>
      <c r="AL1005" s="21"/>
      <c r="AM1005" s="54"/>
      <c r="AN1005" s="31"/>
      <c r="AO1005" s="32"/>
      <c r="AP1005" s="15"/>
      <c r="AQ1005" s="2"/>
      <c r="AR1005" s="79"/>
      <c r="AS1005" s="53"/>
      <c r="AT1005" s="53"/>
      <c r="AU1005" s="53"/>
      <c r="AV1005" s="31"/>
      <c r="AW1005" s="53"/>
      <c r="AX1005" s="53"/>
      <c r="AY1005" s="80"/>
      <c r="AZ1005" s="56"/>
      <c r="BA1005" s="54"/>
      <c r="BB1005" s="31"/>
      <c r="BC1005" s="32"/>
      <c r="BD1005" s="15"/>
      <c r="BU1005" s="16"/>
      <c r="BV1005" s="25"/>
      <c r="BW1005" s="13" t="str">
        <f t="shared" si="1576"/>
        <v/>
      </c>
      <c r="BX1005" s="13"/>
      <c r="BY1005" s="13"/>
      <c r="BZ1005" s="13"/>
      <c r="CA1005" s="13" t="str">
        <f t="shared" si="1577"/>
        <v/>
      </c>
      <c r="CB1005" s="13"/>
      <c r="CC1005" s="13"/>
      <c r="CD1005" s="13"/>
      <c r="CE1005" s="13" t="str">
        <f t="shared" si="1540"/>
        <v/>
      </c>
      <c r="CF1005" s="14" t="str">
        <f t="shared" si="1541"/>
        <v/>
      </c>
      <c r="CG1005" s="15"/>
      <c r="CH1005" s="1"/>
      <c r="CI1005" s="16"/>
      <c r="CJ1005" s="25"/>
      <c r="CK1005" s="13" t="str">
        <f t="shared" si="1578"/>
        <v/>
      </c>
      <c r="CL1005" s="13"/>
      <c r="CM1005" s="13"/>
      <c r="CN1005" s="13"/>
      <c r="CO1005" s="13" t="str">
        <f t="shared" si="1579"/>
        <v/>
      </c>
      <c r="CP1005" s="13"/>
      <c r="CQ1005" s="13"/>
      <c r="CR1005" s="13"/>
      <c r="CS1005" s="13" t="str">
        <f t="shared" si="1542"/>
        <v/>
      </c>
      <c r="CT1005" s="14" t="str">
        <f t="shared" si="1543"/>
        <v/>
      </c>
      <c r="CU1005" s="15"/>
      <c r="CV1005" s="1"/>
      <c r="CW1005" s="16"/>
      <c r="CX1005" s="25"/>
      <c r="CY1005" s="13" t="str">
        <f t="shared" si="1580"/>
        <v/>
      </c>
      <c r="CZ1005" s="13"/>
      <c r="DA1005" s="13"/>
      <c r="DB1005" s="13"/>
      <c r="DC1005" s="13" t="str">
        <f t="shared" si="1581"/>
        <v/>
      </c>
      <c r="DD1005" s="13"/>
      <c r="DE1005" s="13"/>
      <c r="DF1005" s="13"/>
      <c r="DG1005" s="13" t="str">
        <f t="shared" si="1544"/>
        <v/>
      </c>
      <c r="DH1005" s="14" t="str">
        <f t="shared" si="1545"/>
        <v/>
      </c>
      <c r="DI1005" s="15"/>
      <c r="DJ1005" s="1"/>
      <c r="DK1005" s="16"/>
      <c r="DL1005" s="25"/>
      <c r="DM1005" s="13" t="str">
        <f t="shared" si="1582"/>
        <v/>
      </c>
      <c r="DN1005" s="13"/>
      <c r="DO1005" s="13"/>
      <c r="DP1005" s="13"/>
      <c r="DQ1005" s="13" t="str">
        <f t="shared" si="1583"/>
        <v/>
      </c>
      <c r="DR1005" s="13"/>
      <c r="DS1005" s="13"/>
      <c r="DT1005" s="13"/>
      <c r="DU1005" s="13" t="str">
        <f t="shared" si="1546"/>
        <v/>
      </c>
      <c r="DV1005" s="14" t="str">
        <f t="shared" si="1547"/>
        <v/>
      </c>
      <c r="DW1005" s="15"/>
    </row>
    <row r="1006" spans="1:127" ht="15" customHeight="1" x14ac:dyDescent="0.2">
      <c r="A1006" s="16"/>
      <c r="B1006" s="11"/>
      <c r="C1006" s="13"/>
      <c r="D1006" s="53"/>
      <c r="E1006" s="13"/>
      <c r="F1006" s="13"/>
      <c r="G1006" s="13"/>
      <c r="H1006" s="13"/>
      <c r="I1006" s="17"/>
      <c r="J1006" s="21"/>
      <c r="K1006" s="54"/>
      <c r="L1006" s="13"/>
      <c r="M1006" s="14"/>
      <c r="N1006" s="15"/>
      <c r="O1006" s="2"/>
      <c r="P1006" s="16"/>
      <c r="Q1006" s="13"/>
      <c r="R1006" s="53"/>
      <c r="S1006" s="13"/>
      <c r="T1006" s="13"/>
      <c r="U1006" s="13"/>
      <c r="V1006" s="13"/>
      <c r="W1006" s="17"/>
      <c r="X1006" s="21"/>
      <c r="Y1006" s="54"/>
      <c r="Z1006" s="13"/>
      <c r="AA1006" s="14"/>
      <c r="AB1006" s="15"/>
      <c r="AD1006" s="16"/>
      <c r="AE1006" s="13"/>
      <c r="AF1006" s="53"/>
      <c r="AG1006" s="13"/>
      <c r="AH1006" s="13"/>
      <c r="AI1006" s="13"/>
      <c r="AJ1006" s="13"/>
      <c r="AK1006" s="17"/>
      <c r="AL1006" s="21"/>
      <c r="AM1006" s="54"/>
      <c r="AN1006" s="13"/>
      <c r="AO1006" s="14"/>
      <c r="AP1006" s="15"/>
      <c r="AQ1006" s="2"/>
      <c r="AR1006" s="16"/>
      <c r="AS1006" s="13"/>
      <c r="AT1006" s="53"/>
      <c r="AU1006" s="13"/>
      <c r="AV1006" s="13"/>
      <c r="AW1006" s="13"/>
      <c r="AX1006" s="13"/>
      <c r="AY1006" s="17"/>
      <c r="AZ1006" s="56"/>
      <c r="BA1006" s="54"/>
      <c r="BB1006" s="13"/>
      <c r="BC1006" s="14"/>
      <c r="BD1006" s="15"/>
      <c r="BU1006" s="16"/>
      <c r="BV1006" s="25"/>
      <c r="BW1006" s="13" t="str">
        <f t="shared" si="1576"/>
        <v/>
      </c>
      <c r="BX1006" s="13"/>
      <c r="BY1006" s="13"/>
      <c r="BZ1006" s="13"/>
      <c r="CA1006" s="13" t="str">
        <f t="shared" si="1577"/>
        <v/>
      </c>
      <c r="CB1006" s="13"/>
      <c r="CC1006" s="13"/>
      <c r="CD1006" s="13"/>
      <c r="CE1006" s="13" t="str">
        <f t="shared" si="1540"/>
        <v/>
      </c>
      <c r="CF1006" s="14" t="str">
        <f t="shared" si="1541"/>
        <v/>
      </c>
      <c r="CG1006" s="15"/>
      <c r="CH1006" s="1"/>
      <c r="CI1006" s="16"/>
      <c r="CJ1006" s="25"/>
      <c r="CK1006" s="13" t="str">
        <f t="shared" si="1578"/>
        <v/>
      </c>
      <c r="CL1006" s="13"/>
      <c r="CM1006" s="13"/>
      <c r="CN1006" s="13"/>
      <c r="CO1006" s="13" t="str">
        <f t="shared" si="1579"/>
        <v/>
      </c>
      <c r="CP1006" s="13"/>
      <c r="CQ1006" s="13"/>
      <c r="CR1006" s="13"/>
      <c r="CS1006" s="13" t="str">
        <f t="shared" si="1542"/>
        <v/>
      </c>
      <c r="CT1006" s="14" t="str">
        <f t="shared" si="1543"/>
        <v/>
      </c>
      <c r="CU1006" s="15"/>
      <c r="CV1006" s="1"/>
      <c r="CW1006" s="16"/>
      <c r="CX1006" s="25"/>
      <c r="CY1006" s="13" t="str">
        <f t="shared" si="1580"/>
        <v/>
      </c>
      <c r="CZ1006" s="13"/>
      <c r="DA1006" s="13"/>
      <c r="DB1006" s="13"/>
      <c r="DC1006" s="13" t="str">
        <f t="shared" si="1581"/>
        <v/>
      </c>
      <c r="DD1006" s="13"/>
      <c r="DE1006" s="13"/>
      <c r="DF1006" s="13"/>
      <c r="DG1006" s="13" t="str">
        <f t="shared" si="1544"/>
        <v/>
      </c>
      <c r="DH1006" s="14" t="str">
        <f t="shared" si="1545"/>
        <v/>
      </c>
      <c r="DI1006" s="15"/>
      <c r="DJ1006" s="1"/>
      <c r="DK1006" s="16"/>
      <c r="DL1006" s="25"/>
      <c r="DM1006" s="13" t="str">
        <f t="shared" si="1582"/>
        <v/>
      </c>
      <c r="DN1006" s="13"/>
      <c r="DO1006" s="13"/>
      <c r="DP1006" s="13"/>
      <c r="DQ1006" s="13" t="str">
        <f t="shared" si="1583"/>
        <v/>
      </c>
      <c r="DR1006" s="13"/>
      <c r="DS1006" s="13"/>
      <c r="DT1006" s="13"/>
      <c r="DU1006" s="13" t="str">
        <f t="shared" si="1546"/>
        <v/>
      </c>
      <c r="DV1006" s="14" t="str">
        <f t="shared" si="1547"/>
        <v/>
      </c>
      <c r="DW1006" s="15"/>
    </row>
    <row r="1007" spans="1:127" ht="15" customHeight="1" x14ac:dyDescent="0.2">
      <c r="A1007" s="16"/>
      <c r="B1007" s="11"/>
      <c r="C1007" s="13"/>
      <c r="D1007" s="63"/>
      <c r="E1007" s="13"/>
      <c r="F1007" s="13"/>
      <c r="G1007" s="13"/>
      <c r="H1007" s="13"/>
      <c r="I1007" s="17"/>
      <c r="J1007" s="21"/>
      <c r="K1007" s="54"/>
      <c r="L1007" s="13"/>
      <c r="M1007" s="14"/>
      <c r="N1007" s="15"/>
      <c r="O1007" s="2"/>
      <c r="P1007" s="16"/>
      <c r="Q1007" s="13"/>
      <c r="R1007" s="63"/>
      <c r="S1007" s="13"/>
      <c r="T1007" s="13"/>
      <c r="U1007" s="13"/>
      <c r="V1007" s="13"/>
      <c r="W1007" s="17"/>
      <c r="X1007" s="21"/>
      <c r="Y1007" s="54"/>
      <c r="Z1007" s="13"/>
      <c r="AA1007" s="14"/>
      <c r="AB1007" s="15"/>
      <c r="AD1007" s="16"/>
      <c r="AE1007" s="13"/>
      <c r="AF1007" s="63"/>
      <c r="AG1007" s="13"/>
      <c r="AH1007" s="13"/>
      <c r="AI1007" s="13"/>
      <c r="AJ1007" s="13"/>
      <c r="AK1007" s="17"/>
      <c r="AL1007" s="21"/>
      <c r="AM1007" s="54"/>
      <c r="AN1007" s="13"/>
      <c r="AO1007" s="14"/>
      <c r="AP1007" s="15"/>
      <c r="AQ1007" s="2"/>
      <c r="AR1007" s="16"/>
      <c r="AS1007" s="13"/>
      <c r="AT1007" s="63"/>
      <c r="AU1007" s="13"/>
      <c r="AV1007" s="13"/>
      <c r="AW1007" s="13"/>
      <c r="AX1007" s="13"/>
      <c r="AY1007" s="17"/>
      <c r="AZ1007" s="56"/>
      <c r="BA1007" s="54"/>
      <c r="BB1007" s="13"/>
      <c r="BC1007" s="14"/>
      <c r="BD1007" s="15"/>
      <c r="BU1007" s="16"/>
      <c r="BV1007" s="25"/>
      <c r="BW1007" s="13" t="str">
        <f t="shared" si="1576"/>
        <v/>
      </c>
      <c r="BX1007" s="13"/>
      <c r="BY1007" s="13"/>
      <c r="BZ1007" s="13"/>
      <c r="CA1007" s="13" t="str">
        <f t="shared" si="1577"/>
        <v/>
      </c>
      <c r="CB1007" s="13"/>
      <c r="CC1007" s="13"/>
      <c r="CD1007" s="13"/>
      <c r="CE1007" s="13" t="str">
        <f t="shared" si="1540"/>
        <v/>
      </c>
      <c r="CF1007" s="14" t="str">
        <f t="shared" si="1541"/>
        <v/>
      </c>
      <c r="CG1007" s="15"/>
      <c r="CH1007" s="1"/>
      <c r="CI1007" s="16"/>
      <c r="CJ1007" s="25"/>
      <c r="CK1007" s="13" t="str">
        <f t="shared" si="1578"/>
        <v/>
      </c>
      <c r="CL1007" s="13"/>
      <c r="CM1007" s="13"/>
      <c r="CN1007" s="13"/>
      <c r="CO1007" s="13" t="str">
        <f t="shared" si="1579"/>
        <v/>
      </c>
      <c r="CP1007" s="13"/>
      <c r="CQ1007" s="13"/>
      <c r="CR1007" s="13"/>
      <c r="CS1007" s="13" t="str">
        <f t="shared" si="1542"/>
        <v/>
      </c>
      <c r="CT1007" s="14" t="str">
        <f t="shared" si="1543"/>
        <v/>
      </c>
      <c r="CU1007" s="15"/>
      <c r="CV1007" s="1"/>
      <c r="CW1007" s="16"/>
      <c r="CX1007" s="25"/>
      <c r="CY1007" s="13" t="str">
        <f t="shared" si="1580"/>
        <v/>
      </c>
      <c r="CZ1007" s="13"/>
      <c r="DA1007" s="13"/>
      <c r="DB1007" s="13"/>
      <c r="DC1007" s="13" t="str">
        <f t="shared" si="1581"/>
        <v/>
      </c>
      <c r="DD1007" s="13"/>
      <c r="DE1007" s="13"/>
      <c r="DF1007" s="13"/>
      <c r="DG1007" s="13" t="str">
        <f t="shared" si="1544"/>
        <v/>
      </c>
      <c r="DH1007" s="14" t="str">
        <f t="shared" si="1545"/>
        <v/>
      </c>
      <c r="DI1007" s="15"/>
      <c r="DJ1007" s="1"/>
      <c r="DK1007" s="16"/>
      <c r="DL1007" s="25"/>
      <c r="DM1007" s="13" t="str">
        <f t="shared" si="1582"/>
        <v/>
      </c>
      <c r="DN1007" s="13"/>
      <c r="DO1007" s="13"/>
      <c r="DP1007" s="13"/>
      <c r="DQ1007" s="13" t="str">
        <f t="shared" si="1583"/>
        <v/>
      </c>
      <c r="DR1007" s="13"/>
      <c r="DS1007" s="13"/>
      <c r="DT1007" s="13"/>
      <c r="DU1007" s="13" t="str">
        <f t="shared" si="1546"/>
        <v/>
      </c>
      <c r="DV1007" s="14" t="str">
        <f t="shared" si="1547"/>
        <v/>
      </c>
      <c r="DW1007" s="15"/>
    </row>
    <row r="1008" spans="1:127" ht="15" customHeight="1" thickBot="1" x14ac:dyDescent="0.25">
      <c r="A1008" s="26"/>
      <c r="B1008" s="46"/>
      <c r="C1008" s="29"/>
      <c r="D1008" s="61"/>
      <c r="E1008" s="62"/>
      <c r="F1008" s="27"/>
      <c r="G1008" s="27"/>
      <c r="H1008" s="27"/>
      <c r="I1008" s="47"/>
      <c r="J1008" s="30"/>
      <c r="K1008" s="62"/>
      <c r="L1008" s="27"/>
      <c r="M1008" s="28"/>
      <c r="N1008" s="15"/>
      <c r="O1008" s="2"/>
      <c r="P1008" s="26"/>
      <c r="Q1008" s="29"/>
      <c r="R1008" s="61"/>
      <c r="S1008" s="62"/>
      <c r="T1008" s="27"/>
      <c r="U1008" s="27"/>
      <c r="V1008" s="27"/>
      <c r="W1008" s="47"/>
      <c r="X1008" s="30"/>
      <c r="Y1008" s="62"/>
      <c r="Z1008" s="27"/>
      <c r="AA1008" s="28"/>
      <c r="AB1008" s="15"/>
      <c r="AD1008" s="26"/>
      <c r="AE1008" s="29"/>
      <c r="AF1008" s="61"/>
      <c r="AG1008" s="62"/>
      <c r="AH1008" s="27"/>
      <c r="AI1008" s="27"/>
      <c r="AJ1008" s="27"/>
      <c r="AK1008" s="47"/>
      <c r="AL1008" s="30"/>
      <c r="AM1008" s="62"/>
      <c r="AN1008" s="27"/>
      <c r="AO1008" s="28"/>
      <c r="AP1008" s="15"/>
      <c r="AQ1008" s="2"/>
      <c r="AR1008" s="26"/>
      <c r="AS1008" s="29"/>
      <c r="AT1008" s="61"/>
      <c r="AU1008" s="62"/>
      <c r="AV1008" s="27"/>
      <c r="AW1008" s="27"/>
      <c r="AX1008" s="27"/>
      <c r="AY1008" s="47"/>
      <c r="AZ1008" s="57"/>
      <c r="BA1008" s="62"/>
      <c r="BB1008" s="27"/>
      <c r="BC1008" s="28"/>
      <c r="BD1008" s="15"/>
      <c r="BU1008" s="16"/>
      <c r="BV1008" s="25"/>
      <c r="BW1008" s="13" t="str">
        <f t="shared" si="1576"/>
        <v/>
      </c>
      <c r="BX1008" s="13"/>
      <c r="BY1008" s="13"/>
      <c r="BZ1008" s="13"/>
      <c r="CA1008" s="13" t="str">
        <f t="shared" si="1577"/>
        <v/>
      </c>
      <c r="CB1008" s="13"/>
      <c r="CC1008" s="13"/>
      <c r="CD1008" s="13"/>
      <c r="CE1008" s="13" t="str">
        <f t="shared" si="1540"/>
        <v/>
      </c>
      <c r="CF1008" s="14" t="str">
        <f t="shared" si="1541"/>
        <v/>
      </c>
      <c r="CG1008" s="15"/>
      <c r="CH1008" s="1"/>
      <c r="CI1008" s="16"/>
      <c r="CJ1008" s="25"/>
      <c r="CK1008" s="13" t="str">
        <f t="shared" si="1578"/>
        <v/>
      </c>
      <c r="CL1008" s="13"/>
      <c r="CM1008" s="13"/>
      <c r="CN1008" s="13"/>
      <c r="CO1008" s="13" t="str">
        <f t="shared" si="1579"/>
        <v/>
      </c>
      <c r="CP1008" s="13"/>
      <c r="CQ1008" s="13"/>
      <c r="CR1008" s="13"/>
      <c r="CS1008" s="13" t="str">
        <f t="shared" si="1542"/>
        <v/>
      </c>
      <c r="CT1008" s="14" t="str">
        <f t="shared" si="1543"/>
        <v/>
      </c>
      <c r="CU1008" s="15"/>
      <c r="CV1008" s="1"/>
      <c r="CW1008" s="16"/>
      <c r="CX1008" s="25"/>
      <c r="CY1008" s="13" t="str">
        <f t="shared" si="1580"/>
        <v/>
      </c>
      <c r="CZ1008" s="13"/>
      <c r="DA1008" s="13"/>
      <c r="DB1008" s="13"/>
      <c r="DC1008" s="13" t="str">
        <f t="shared" si="1581"/>
        <v/>
      </c>
      <c r="DD1008" s="13"/>
      <c r="DE1008" s="13"/>
      <c r="DF1008" s="13"/>
      <c r="DG1008" s="13" t="str">
        <f t="shared" si="1544"/>
        <v/>
      </c>
      <c r="DH1008" s="14" t="str">
        <f t="shared" si="1545"/>
        <v/>
      </c>
      <c r="DI1008" s="15"/>
      <c r="DJ1008" s="1"/>
      <c r="DK1008" s="16"/>
      <c r="DL1008" s="25"/>
      <c r="DM1008" s="13" t="str">
        <f t="shared" si="1582"/>
        <v/>
      </c>
      <c r="DN1008" s="13"/>
      <c r="DO1008" s="13"/>
      <c r="DP1008" s="13"/>
      <c r="DQ1008" s="13" t="str">
        <f t="shared" si="1583"/>
        <v/>
      </c>
      <c r="DR1008" s="13"/>
      <c r="DS1008" s="13"/>
      <c r="DT1008" s="13"/>
      <c r="DU1008" s="13" t="str">
        <f t="shared" si="1546"/>
        <v/>
      </c>
      <c r="DV1008" s="14" t="str">
        <f t="shared" si="1547"/>
        <v/>
      </c>
      <c r="DW1008" s="15"/>
    </row>
    <row r="1009" spans="1:127" ht="15" customHeight="1" thickTop="1" x14ac:dyDescent="0.2">
      <c r="A1009" s="79"/>
      <c r="B1009" s="74"/>
      <c r="C1009" s="53"/>
      <c r="D1009" s="53"/>
      <c r="E1009" s="53"/>
      <c r="F1009" s="31"/>
      <c r="G1009" s="53"/>
      <c r="H1009" s="53"/>
      <c r="I1009" s="53"/>
      <c r="J1009" s="75"/>
      <c r="K1009" s="76"/>
      <c r="L1009" s="31"/>
      <c r="M1009" s="32"/>
      <c r="N1009" s="15"/>
      <c r="O1009" s="2"/>
      <c r="P1009" s="79"/>
      <c r="Q1009" s="53"/>
      <c r="R1009" s="53"/>
      <c r="S1009" s="53"/>
      <c r="T1009" s="31"/>
      <c r="U1009" s="53"/>
      <c r="V1009" s="53"/>
      <c r="W1009" s="53"/>
      <c r="X1009" s="21"/>
      <c r="Y1009" s="54"/>
      <c r="Z1009" s="31"/>
      <c r="AA1009" s="32"/>
      <c r="AB1009" s="15"/>
      <c r="AD1009" s="79"/>
      <c r="AE1009" s="53"/>
      <c r="AF1009" s="53"/>
      <c r="AG1009" s="53"/>
      <c r="AH1009" s="31"/>
      <c r="AI1009" s="53"/>
      <c r="AJ1009" s="53"/>
      <c r="AK1009" s="53"/>
      <c r="AL1009" s="75"/>
      <c r="AM1009" s="76"/>
      <c r="AN1009" s="31"/>
      <c r="AO1009" s="32"/>
      <c r="AP1009" s="15"/>
      <c r="AQ1009" s="2"/>
      <c r="AR1009" s="79"/>
      <c r="AS1009" s="53"/>
      <c r="AT1009" s="53"/>
      <c r="AU1009" s="53"/>
      <c r="AV1009" s="31"/>
      <c r="AW1009" s="53"/>
      <c r="AX1009" s="53"/>
      <c r="AY1009" s="53"/>
      <c r="AZ1009" s="56"/>
      <c r="BA1009" s="54"/>
      <c r="BB1009" s="31"/>
      <c r="BC1009" s="32"/>
      <c r="BD1009" s="15"/>
      <c r="BU1009" s="16"/>
      <c r="BV1009" s="25"/>
      <c r="BW1009" s="13" t="str">
        <f t="shared" si="1576"/>
        <v/>
      </c>
      <c r="BX1009" s="13"/>
      <c r="BY1009" s="13"/>
      <c r="BZ1009" s="13"/>
      <c r="CA1009" s="13" t="str">
        <f t="shared" si="1577"/>
        <v/>
      </c>
      <c r="CB1009" s="13"/>
      <c r="CC1009" s="13"/>
      <c r="CD1009" s="13"/>
      <c r="CE1009" s="13" t="str">
        <f t="shared" si="1540"/>
        <v/>
      </c>
      <c r="CF1009" s="14" t="str">
        <f t="shared" si="1541"/>
        <v/>
      </c>
      <c r="CG1009" s="15"/>
      <c r="CH1009" s="1"/>
      <c r="CI1009" s="16"/>
      <c r="CJ1009" s="25"/>
      <c r="CK1009" s="13" t="str">
        <f t="shared" si="1578"/>
        <v/>
      </c>
      <c r="CL1009" s="13"/>
      <c r="CM1009" s="13"/>
      <c r="CN1009" s="13"/>
      <c r="CO1009" s="13" t="str">
        <f t="shared" si="1579"/>
        <v/>
      </c>
      <c r="CP1009" s="13"/>
      <c r="CQ1009" s="13"/>
      <c r="CR1009" s="13"/>
      <c r="CS1009" s="13" t="str">
        <f t="shared" si="1542"/>
        <v/>
      </c>
      <c r="CT1009" s="14" t="str">
        <f t="shared" si="1543"/>
        <v/>
      </c>
      <c r="CU1009" s="15"/>
      <c r="CV1009" s="1"/>
      <c r="CW1009" s="16"/>
      <c r="CX1009" s="25"/>
      <c r="CY1009" s="13" t="str">
        <f t="shared" si="1580"/>
        <v/>
      </c>
      <c r="CZ1009" s="13"/>
      <c r="DA1009" s="13"/>
      <c r="DB1009" s="13"/>
      <c r="DC1009" s="13" t="str">
        <f t="shared" si="1581"/>
        <v/>
      </c>
      <c r="DD1009" s="13"/>
      <c r="DE1009" s="13"/>
      <c r="DF1009" s="13"/>
      <c r="DG1009" s="13" t="str">
        <f t="shared" si="1544"/>
        <v/>
      </c>
      <c r="DH1009" s="14" t="str">
        <f t="shared" si="1545"/>
        <v/>
      </c>
      <c r="DI1009" s="15"/>
      <c r="DJ1009" s="1"/>
      <c r="DK1009" s="16"/>
      <c r="DL1009" s="25"/>
      <c r="DM1009" s="13" t="str">
        <f t="shared" si="1582"/>
        <v/>
      </c>
      <c r="DN1009" s="13"/>
      <c r="DO1009" s="13"/>
      <c r="DP1009" s="13"/>
      <c r="DQ1009" s="13" t="str">
        <f t="shared" si="1583"/>
        <v/>
      </c>
      <c r="DR1009" s="13"/>
      <c r="DS1009" s="13"/>
      <c r="DT1009" s="13"/>
      <c r="DU1009" s="13" t="str">
        <f t="shared" si="1546"/>
        <v/>
      </c>
      <c r="DV1009" s="14" t="str">
        <f t="shared" si="1547"/>
        <v/>
      </c>
      <c r="DW1009" s="15"/>
    </row>
    <row r="1010" spans="1:127" ht="15" customHeight="1" x14ac:dyDescent="0.2">
      <c r="A1010" s="16"/>
      <c r="B1010" s="11"/>
      <c r="C1010" s="13"/>
      <c r="D1010" s="13"/>
      <c r="E1010" s="13"/>
      <c r="F1010" s="13"/>
      <c r="G1010" s="13"/>
      <c r="H1010" s="13"/>
      <c r="I1010" s="13"/>
      <c r="J1010" s="56"/>
      <c r="K1010" s="54"/>
      <c r="L1010" s="13"/>
      <c r="M1010" s="14"/>
      <c r="N1010" s="15"/>
      <c r="O1010" s="2"/>
      <c r="P1010" s="16"/>
      <c r="Q1010" s="13"/>
      <c r="R1010" s="13"/>
      <c r="S1010" s="13"/>
      <c r="T1010" s="13"/>
      <c r="U1010" s="13"/>
      <c r="V1010" s="13"/>
      <c r="W1010" s="13"/>
      <c r="X1010" s="21"/>
      <c r="Y1010" s="54"/>
      <c r="Z1010" s="13"/>
      <c r="AA1010" s="14"/>
      <c r="AB1010" s="15"/>
      <c r="AD1010" s="16"/>
      <c r="AE1010" s="13"/>
      <c r="AF1010" s="13"/>
      <c r="AG1010" s="13"/>
      <c r="AH1010" s="13"/>
      <c r="AI1010" s="13"/>
      <c r="AJ1010" s="13"/>
      <c r="AK1010" s="13"/>
      <c r="AL1010" s="56"/>
      <c r="AM1010" s="54"/>
      <c r="AN1010" s="13"/>
      <c r="AO1010" s="14"/>
      <c r="AP1010" s="15"/>
      <c r="AQ1010" s="2"/>
      <c r="AR1010" s="16"/>
      <c r="AS1010" s="13"/>
      <c r="AT1010" s="13"/>
      <c r="AU1010" s="13"/>
      <c r="AV1010" s="13"/>
      <c r="AW1010" s="13"/>
      <c r="AX1010" s="13"/>
      <c r="AY1010" s="13"/>
      <c r="AZ1010" s="56"/>
      <c r="BA1010" s="54"/>
      <c r="BB1010" s="13"/>
      <c r="BC1010" s="14"/>
      <c r="BD1010" s="15"/>
      <c r="BU1010" s="16"/>
      <c r="BV1010" s="25"/>
      <c r="BW1010" s="13" t="str">
        <f t="shared" si="1576"/>
        <v/>
      </c>
      <c r="BX1010" s="13"/>
      <c r="BY1010" s="13"/>
      <c r="BZ1010" s="13"/>
      <c r="CA1010" s="13" t="str">
        <f t="shared" si="1577"/>
        <v/>
      </c>
      <c r="CB1010" s="13"/>
      <c r="CC1010" s="13"/>
      <c r="CD1010" s="13"/>
      <c r="CE1010" s="13" t="str">
        <f t="shared" si="1540"/>
        <v/>
      </c>
      <c r="CF1010" s="14" t="str">
        <f t="shared" si="1541"/>
        <v/>
      </c>
      <c r="CG1010" s="15"/>
      <c r="CH1010" s="1"/>
      <c r="CI1010" s="16"/>
      <c r="CJ1010" s="25"/>
      <c r="CK1010" s="13" t="str">
        <f t="shared" si="1578"/>
        <v/>
      </c>
      <c r="CL1010" s="13"/>
      <c r="CM1010" s="13"/>
      <c r="CN1010" s="13"/>
      <c r="CO1010" s="13" t="str">
        <f t="shared" si="1579"/>
        <v/>
      </c>
      <c r="CP1010" s="13"/>
      <c r="CQ1010" s="13"/>
      <c r="CR1010" s="13"/>
      <c r="CS1010" s="13" t="str">
        <f t="shared" si="1542"/>
        <v/>
      </c>
      <c r="CT1010" s="14" t="str">
        <f t="shared" si="1543"/>
        <v/>
      </c>
      <c r="CU1010" s="15"/>
      <c r="CV1010" s="1"/>
      <c r="CW1010" s="16"/>
      <c r="CX1010" s="25"/>
      <c r="CY1010" s="13" t="str">
        <f t="shared" si="1580"/>
        <v/>
      </c>
      <c r="CZ1010" s="13"/>
      <c r="DA1010" s="13"/>
      <c r="DB1010" s="13"/>
      <c r="DC1010" s="13" t="str">
        <f t="shared" si="1581"/>
        <v/>
      </c>
      <c r="DD1010" s="13"/>
      <c r="DE1010" s="13"/>
      <c r="DF1010" s="13"/>
      <c r="DG1010" s="13" t="str">
        <f t="shared" si="1544"/>
        <v/>
      </c>
      <c r="DH1010" s="14" t="str">
        <f t="shared" si="1545"/>
        <v/>
      </c>
      <c r="DI1010" s="15"/>
      <c r="DJ1010" s="1"/>
      <c r="DK1010" s="16"/>
      <c r="DL1010" s="25"/>
      <c r="DM1010" s="13" t="str">
        <f t="shared" si="1582"/>
        <v/>
      </c>
      <c r="DN1010" s="13"/>
      <c r="DO1010" s="13"/>
      <c r="DP1010" s="13"/>
      <c r="DQ1010" s="13" t="str">
        <f t="shared" si="1583"/>
        <v/>
      </c>
      <c r="DR1010" s="13"/>
      <c r="DS1010" s="13"/>
      <c r="DT1010" s="13"/>
      <c r="DU1010" s="13" t="str">
        <f t="shared" si="1546"/>
        <v/>
      </c>
      <c r="DV1010" s="14" t="str">
        <f t="shared" si="1547"/>
        <v/>
      </c>
      <c r="DW1010" s="15"/>
    </row>
    <row r="1011" spans="1:127" ht="15" customHeight="1" x14ac:dyDescent="0.2">
      <c r="A1011" s="16"/>
      <c r="B1011" s="11"/>
      <c r="C1011" s="13"/>
      <c r="D1011" s="13"/>
      <c r="E1011" s="13"/>
      <c r="F1011" s="13"/>
      <c r="G1011" s="13"/>
      <c r="H1011" s="13"/>
      <c r="I1011" s="13"/>
      <c r="J1011" s="56"/>
      <c r="K1011" s="13"/>
      <c r="L1011" s="13"/>
      <c r="M1011" s="14"/>
      <c r="N1011" s="15"/>
      <c r="O1011" s="2"/>
      <c r="P1011" s="16"/>
      <c r="Q1011" s="13"/>
      <c r="R1011" s="13"/>
      <c r="S1011" s="13"/>
      <c r="T1011" s="13"/>
      <c r="U1011" s="13"/>
      <c r="V1011" s="13"/>
      <c r="W1011" s="13"/>
      <c r="X1011" s="21"/>
      <c r="Y1011" s="54"/>
      <c r="Z1011" s="13"/>
      <c r="AA1011" s="14"/>
      <c r="AB1011" s="15"/>
      <c r="AD1011" s="16"/>
      <c r="AE1011" s="13"/>
      <c r="AF1011" s="13"/>
      <c r="AG1011" s="13"/>
      <c r="AH1011" s="13"/>
      <c r="AI1011" s="13"/>
      <c r="AJ1011" s="13"/>
      <c r="AK1011" s="13"/>
      <c r="AL1011" s="56"/>
      <c r="AM1011" s="13"/>
      <c r="AN1011" s="13"/>
      <c r="AO1011" s="14"/>
      <c r="AP1011" s="15"/>
      <c r="AQ1011" s="2"/>
      <c r="AR1011" s="16"/>
      <c r="AS1011" s="13"/>
      <c r="AT1011" s="13"/>
      <c r="AU1011" s="13"/>
      <c r="AV1011" s="13"/>
      <c r="AW1011" s="13"/>
      <c r="AX1011" s="13"/>
      <c r="AY1011" s="13"/>
      <c r="AZ1011" s="56"/>
      <c r="BA1011" s="54"/>
      <c r="BB1011" s="13"/>
      <c r="BC1011" s="14"/>
      <c r="BD1011" s="15"/>
      <c r="BU1011" s="16"/>
      <c r="BV1011" s="25"/>
      <c r="BW1011" s="13" t="str">
        <f t="shared" si="1576"/>
        <v/>
      </c>
      <c r="BX1011" s="13"/>
      <c r="BY1011" s="13"/>
      <c r="BZ1011" s="13"/>
      <c r="CA1011" s="13" t="str">
        <f t="shared" si="1577"/>
        <v/>
      </c>
      <c r="CB1011" s="13"/>
      <c r="CC1011" s="13"/>
      <c r="CD1011" s="13"/>
      <c r="CE1011" s="13" t="str">
        <f t="shared" si="1540"/>
        <v/>
      </c>
      <c r="CF1011" s="14" t="str">
        <f t="shared" si="1541"/>
        <v/>
      </c>
      <c r="CG1011" s="15"/>
      <c r="CH1011" s="1"/>
      <c r="CI1011" s="16"/>
      <c r="CJ1011" s="25"/>
      <c r="CK1011" s="13" t="str">
        <f t="shared" si="1578"/>
        <v/>
      </c>
      <c r="CL1011" s="13"/>
      <c r="CM1011" s="13"/>
      <c r="CN1011" s="13"/>
      <c r="CO1011" s="13" t="str">
        <f t="shared" si="1579"/>
        <v/>
      </c>
      <c r="CP1011" s="13"/>
      <c r="CQ1011" s="13"/>
      <c r="CR1011" s="13"/>
      <c r="CS1011" s="13" t="str">
        <f t="shared" si="1542"/>
        <v/>
      </c>
      <c r="CT1011" s="14" t="str">
        <f t="shared" si="1543"/>
        <v/>
      </c>
      <c r="CU1011" s="15"/>
      <c r="CV1011" s="1"/>
      <c r="CW1011" s="16"/>
      <c r="CX1011" s="25"/>
      <c r="CY1011" s="13" t="str">
        <f t="shared" si="1580"/>
        <v/>
      </c>
      <c r="CZ1011" s="13"/>
      <c r="DA1011" s="13"/>
      <c r="DB1011" s="13"/>
      <c r="DC1011" s="13" t="str">
        <f t="shared" si="1581"/>
        <v/>
      </c>
      <c r="DD1011" s="13"/>
      <c r="DE1011" s="13"/>
      <c r="DF1011" s="13"/>
      <c r="DG1011" s="13" t="str">
        <f t="shared" si="1544"/>
        <v/>
      </c>
      <c r="DH1011" s="14" t="str">
        <f t="shared" si="1545"/>
        <v/>
      </c>
      <c r="DI1011" s="15"/>
      <c r="DJ1011" s="1"/>
      <c r="DK1011" s="16"/>
      <c r="DL1011" s="25"/>
      <c r="DM1011" s="13" t="str">
        <f t="shared" si="1582"/>
        <v/>
      </c>
      <c r="DN1011" s="13"/>
      <c r="DO1011" s="13"/>
      <c r="DP1011" s="13"/>
      <c r="DQ1011" s="13" t="str">
        <f t="shared" si="1583"/>
        <v/>
      </c>
      <c r="DR1011" s="13"/>
      <c r="DS1011" s="13"/>
      <c r="DT1011" s="13"/>
      <c r="DU1011" s="13" t="str">
        <f t="shared" si="1546"/>
        <v/>
      </c>
      <c r="DV1011" s="14" t="str">
        <f t="shared" si="1547"/>
        <v/>
      </c>
      <c r="DW1011" s="15"/>
    </row>
    <row r="1012" spans="1:127" ht="15" customHeight="1" thickBot="1" x14ac:dyDescent="0.25">
      <c r="A1012" s="26"/>
      <c r="B1012" s="46"/>
      <c r="C1012" s="27"/>
      <c r="D1012" s="27"/>
      <c r="E1012" s="27"/>
      <c r="F1012" s="27"/>
      <c r="G1012" s="27"/>
      <c r="H1012" s="27"/>
      <c r="I1012" s="27"/>
      <c r="J1012" s="57"/>
      <c r="K1012" s="62"/>
      <c r="L1012" s="27"/>
      <c r="M1012" s="28"/>
      <c r="N1012" s="15"/>
      <c r="O1012" s="2"/>
      <c r="P1012" s="26"/>
      <c r="Q1012" s="27"/>
      <c r="R1012" s="27"/>
      <c r="S1012" s="27"/>
      <c r="T1012" s="27"/>
      <c r="U1012" s="27"/>
      <c r="V1012" s="27"/>
      <c r="W1012" s="27"/>
      <c r="X1012" s="30"/>
      <c r="Y1012" s="62"/>
      <c r="Z1012" s="27"/>
      <c r="AA1012" s="28"/>
      <c r="AB1012" s="15"/>
      <c r="AD1012" s="26"/>
      <c r="AE1012" s="27"/>
      <c r="AF1012" s="27"/>
      <c r="AG1012" s="27"/>
      <c r="AH1012" s="27"/>
      <c r="AI1012" s="27"/>
      <c r="AJ1012" s="27"/>
      <c r="AK1012" s="27"/>
      <c r="AL1012" s="57"/>
      <c r="AM1012" s="62"/>
      <c r="AN1012" s="27"/>
      <c r="AO1012" s="28"/>
      <c r="AP1012" s="15"/>
      <c r="AQ1012" s="2"/>
      <c r="AR1012" s="26"/>
      <c r="AS1012" s="27"/>
      <c r="AT1012" s="27"/>
      <c r="AU1012" s="27"/>
      <c r="AV1012" s="27"/>
      <c r="AW1012" s="27"/>
      <c r="AX1012" s="27"/>
      <c r="AY1012" s="27"/>
      <c r="AZ1012" s="57"/>
      <c r="BA1012" s="62"/>
      <c r="BB1012" s="27"/>
      <c r="BC1012" s="28"/>
      <c r="BD1012" s="15"/>
      <c r="BU1012" s="16"/>
      <c r="BV1012" s="25"/>
      <c r="BW1012" s="13" t="str">
        <f t="shared" si="1576"/>
        <v/>
      </c>
      <c r="BX1012" s="13"/>
      <c r="BY1012" s="13"/>
      <c r="BZ1012" s="13"/>
      <c r="CA1012" s="13" t="str">
        <f t="shared" si="1577"/>
        <v/>
      </c>
      <c r="CB1012" s="13"/>
      <c r="CC1012" s="13"/>
      <c r="CD1012" s="13"/>
      <c r="CE1012" s="13" t="str">
        <f t="shared" si="1540"/>
        <v/>
      </c>
      <c r="CF1012" s="14" t="str">
        <f t="shared" si="1541"/>
        <v/>
      </c>
      <c r="CG1012" s="15"/>
      <c r="CH1012" s="1"/>
      <c r="CI1012" s="16"/>
      <c r="CJ1012" s="25"/>
      <c r="CK1012" s="13" t="str">
        <f t="shared" si="1578"/>
        <v/>
      </c>
      <c r="CL1012" s="13"/>
      <c r="CM1012" s="13"/>
      <c r="CN1012" s="13"/>
      <c r="CO1012" s="13" t="str">
        <f t="shared" si="1579"/>
        <v/>
      </c>
      <c r="CP1012" s="13"/>
      <c r="CQ1012" s="13"/>
      <c r="CR1012" s="13"/>
      <c r="CS1012" s="13" t="str">
        <f t="shared" si="1542"/>
        <v/>
      </c>
      <c r="CT1012" s="14" t="str">
        <f t="shared" si="1543"/>
        <v/>
      </c>
      <c r="CU1012" s="15"/>
      <c r="CV1012" s="1"/>
      <c r="CW1012" s="16"/>
      <c r="CX1012" s="25"/>
      <c r="CY1012" s="13" t="str">
        <f t="shared" si="1580"/>
        <v/>
      </c>
      <c r="CZ1012" s="13"/>
      <c r="DA1012" s="13"/>
      <c r="DB1012" s="13"/>
      <c r="DC1012" s="13" t="str">
        <f t="shared" si="1581"/>
        <v/>
      </c>
      <c r="DD1012" s="13"/>
      <c r="DE1012" s="13"/>
      <c r="DF1012" s="13"/>
      <c r="DG1012" s="13" t="str">
        <f t="shared" si="1544"/>
        <v/>
      </c>
      <c r="DH1012" s="14" t="str">
        <f t="shared" si="1545"/>
        <v/>
      </c>
      <c r="DI1012" s="15"/>
      <c r="DJ1012" s="1"/>
      <c r="DK1012" s="16"/>
      <c r="DL1012" s="25"/>
      <c r="DM1012" s="13" t="str">
        <f t="shared" si="1582"/>
        <v/>
      </c>
      <c r="DN1012" s="13"/>
      <c r="DO1012" s="13"/>
      <c r="DP1012" s="13"/>
      <c r="DQ1012" s="13" t="str">
        <f t="shared" si="1583"/>
        <v/>
      </c>
      <c r="DR1012" s="13"/>
      <c r="DS1012" s="13"/>
      <c r="DT1012" s="13"/>
      <c r="DU1012" s="13" t="str">
        <f t="shared" si="1546"/>
        <v/>
      </c>
      <c r="DV1012" s="14" t="str">
        <f t="shared" si="1547"/>
        <v/>
      </c>
      <c r="DW1012" s="15"/>
    </row>
    <row r="1013" spans="1:127" ht="15" customHeight="1" thickTop="1" x14ac:dyDescent="0.2">
      <c r="A1013" s="79"/>
      <c r="B1013" s="74"/>
      <c r="C1013" s="53"/>
      <c r="D1013" s="53" t="str">
        <f t="shared" si="1503"/>
        <v/>
      </c>
      <c r="E1013" s="53"/>
      <c r="F1013" s="31" t="str">
        <f t="shared" si="1504"/>
        <v/>
      </c>
      <c r="G1013" s="53"/>
      <c r="H1013" s="53" t="str">
        <f t="shared" si="1505"/>
        <v/>
      </c>
      <c r="I1013" s="53"/>
      <c r="J1013" s="75" t="str">
        <f t="shared" si="1506"/>
        <v/>
      </c>
      <c r="K1013" s="76" t="str">
        <f t="shared" si="1507"/>
        <v/>
      </c>
      <c r="L1013" s="53"/>
      <c r="M1013" s="32" t="str">
        <f t="shared" si="1509"/>
        <v/>
      </c>
      <c r="N1013" s="15"/>
      <c r="O1013" s="2"/>
      <c r="P1013" s="79"/>
      <c r="Q1013" s="53"/>
      <c r="R1013" s="53" t="str">
        <f t="shared" si="1510"/>
        <v/>
      </c>
      <c r="S1013" s="53"/>
      <c r="T1013" s="31" t="str">
        <f t="shared" si="1511"/>
        <v/>
      </c>
      <c r="U1013" s="53"/>
      <c r="V1013" s="53" t="str">
        <f t="shared" si="1512"/>
        <v/>
      </c>
      <c r="W1013" s="53"/>
      <c r="X1013" s="78" t="str">
        <f t="shared" si="1513"/>
        <v/>
      </c>
      <c r="Y1013" s="76" t="str">
        <f t="shared" si="1514"/>
        <v/>
      </c>
      <c r="Z1013" s="31" t="str">
        <f t="shared" si="1515"/>
        <v/>
      </c>
      <c r="AA1013" s="32" t="str">
        <f t="shared" si="1516"/>
        <v/>
      </c>
      <c r="AB1013" s="15"/>
      <c r="AD1013" s="79"/>
      <c r="AE1013" s="53"/>
      <c r="AF1013" s="53" t="str">
        <f t="shared" si="1517"/>
        <v/>
      </c>
      <c r="AG1013" s="53"/>
      <c r="AH1013" s="31" t="str">
        <f t="shared" si="1518"/>
        <v/>
      </c>
      <c r="AI1013" s="53"/>
      <c r="AJ1013" s="53" t="str">
        <f t="shared" si="1519"/>
        <v/>
      </c>
      <c r="AK1013" s="53"/>
      <c r="AL1013" s="75" t="str">
        <f t="shared" si="1529"/>
        <v/>
      </c>
      <c r="AM1013" s="76" t="str">
        <f t="shared" si="1528"/>
        <v/>
      </c>
      <c r="AN1013" s="53"/>
      <c r="AO1013" s="32" t="str">
        <f t="shared" si="1521"/>
        <v/>
      </c>
      <c r="AP1013" s="15"/>
      <c r="AQ1013" s="2"/>
      <c r="AR1013" s="79"/>
      <c r="AS1013" s="53"/>
      <c r="AT1013" s="53" t="str">
        <f t="shared" si="1522"/>
        <v/>
      </c>
      <c r="AU1013" s="53"/>
      <c r="AV1013" s="31" t="str">
        <f t="shared" si="1523"/>
        <v/>
      </c>
      <c r="AW1013" s="53"/>
      <c r="AX1013" s="53" t="str">
        <f t="shared" si="1524"/>
        <v/>
      </c>
      <c r="AY1013" s="53"/>
      <c r="AZ1013" s="75" t="str">
        <f t="shared" si="1530"/>
        <v/>
      </c>
      <c r="BA1013" s="76" t="str">
        <f t="shared" si="1531"/>
        <v/>
      </c>
      <c r="BB1013" s="31" t="str">
        <f t="shared" si="1526"/>
        <v/>
      </c>
      <c r="BC1013" s="32" t="str">
        <f t="shared" si="1527"/>
        <v/>
      </c>
      <c r="BD1013" s="15"/>
      <c r="BU1013" s="16"/>
      <c r="BV1013" s="25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4"/>
      <c r="CG1013" s="15"/>
      <c r="CH1013" s="1"/>
      <c r="CI1013" s="16"/>
      <c r="CJ1013" s="25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4"/>
      <c r="CU1013" s="15"/>
      <c r="CV1013" s="1"/>
      <c r="CW1013" s="16"/>
      <c r="CX1013" s="25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4"/>
      <c r="DI1013" s="15"/>
      <c r="DJ1013" s="1"/>
      <c r="DK1013" s="16"/>
      <c r="DL1013" s="25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4"/>
      <c r="DW1013" s="15"/>
    </row>
    <row r="1014" spans="1:127" ht="15" customHeight="1" x14ac:dyDescent="0.2">
      <c r="A1014" s="16"/>
      <c r="B1014" s="11"/>
      <c r="C1014" s="13"/>
      <c r="D1014" s="13" t="str">
        <f t="shared" si="1503"/>
        <v/>
      </c>
      <c r="E1014" s="13"/>
      <c r="F1014" s="13" t="str">
        <f t="shared" si="1504"/>
        <v/>
      </c>
      <c r="G1014" s="13"/>
      <c r="H1014" s="50" t="str">
        <f t="shared" si="1505"/>
        <v/>
      </c>
      <c r="I1014" s="13"/>
      <c r="J1014" s="56" t="str">
        <f t="shared" si="1506"/>
        <v/>
      </c>
      <c r="K1014" s="54" t="str">
        <f t="shared" si="1507"/>
        <v/>
      </c>
      <c r="L1014" s="13"/>
      <c r="M1014" s="14" t="str">
        <f t="shared" si="1509"/>
        <v/>
      </c>
      <c r="N1014" s="15"/>
      <c r="O1014" s="2"/>
      <c r="P1014" s="16"/>
      <c r="Q1014" s="13"/>
      <c r="R1014" s="13" t="str">
        <f t="shared" si="1510"/>
        <v/>
      </c>
      <c r="S1014" s="13"/>
      <c r="T1014" s="13" t="str">
        <f t="shared" si="1511"/>
        <v/>
      </c>
      <c r="U1014" s="13"/>
      <c r="V1014" s="13" t="str">
        <f t="shared" si="1512"/>
        <v/>
      </c>
      <c r="W1014" s="13"/>
      <c r="X1014" s="21" t="str">
        <f t="shared" si="1513"/>
        <v/>
      </c>
      <c r="Y1014" s="54" t="str">
        <f t="shared" si="1514"/>
        <v/>
      </c>
      <c r="Z1014" s="13" t="str">
        <f t="shared" si="1515"/>
        <v/>
      </c>
      <c r="AA1014" s="14" t="str">
        <f t="shared" si="1516"/>
        <v/>
      </c>
      <c r="AB1014" s="15"/>
      <c r="AD1014" s="16"/>
      <c r="AE1014" s="13"/>
      <c r="AF1014" s="13" t="str">
        <f t="shared" si="1517"/>
        <v/>
      </c>
      <c r="AG1014" s="13"/>
      <c r="AH1014" s="13" t="str">
        <f t="shared" si="1518"/>
        <v/>
      </c>
      <c r="AI1014" s="13"/>
      <c r="AJ1014" s="50" t="str">
        <f t="shared" si="1519"/>
        <v/>
      </c>
      <c r="AK1014" s="13"/>
      <c r="AL1014" s="56" t="str">
        <f t="shared" si="1529"/>
        <v/>
      </c>
      <c r="AM1014" s="54" t="str">
        <f t="shared" si="1528"/>
        <v/>
      </c>
      <c r="AN1014" s="13"/>
      <c r="AO1014" s="14" t="str">
        <f t="shared" si="1521"/>
        <v/>
      </c>
      <c r="AP1014" s="15"/>
      <c r="AQ1014" s="2"/>
      <c r="AR1014" s="16"/>
      <c r="AS1014" s="13"/>
      <c r="AT1014" s="13" t="str">
        <f t="shared" si="1522"/>
        <v/>
      </c>
      <c r="AU1014" s="13"/>
      <c r="AV1014" s="13" t="str">
        <f t="shared" si="1523"/>
        <v/>
      </c>
      <c r="AW1014" s="13"/>
      <c r="AX1014" s="13" t="str">
        <f t="shared" si="1524"/>
        <v/>
      </c>
      <c r="AY1014" s="13"/>
      <c r="AZ1014" s="56" t="str">
        <f t="shared" si="1530"/>
        <v/>
      </c>
      <c r="BA1014" s="54" t="str">
        <f t="shared" si="1531"/>
        <v/>
      </c>
      <c r="BB1014" s="13" t="str">
        <f t="shared" si="1526"/>
        <v/>
      </c>
      <c r="BC1014" s="14" t="str">
        <f t="shared" si="1527"/>
        <v/>
      </c>
      <c r="BD1014" s="15"/>
      <c r="BU1014" s="16"/>
      <c r="BV1014" s="25"/>
      <c r="BW1014" s="13" t="str">
        <f>IF(BV1014="","",BV1014-#REF!)</f>
        <v/>
      </c>
      <c r="BX1014" s="13"/>
      <c r="BY1014" s="13"/>
      <c r="BZ1014" s="13"/>
      <c r="CA1014" s="13" t="str">
        <f>IF(BZ1014="","",#REF!+#REF!-BZ1014)</f>
        <v/>
      </c>
      <c r="CB1014" s="13"/>
      <c r="CC1014" s="13"/>
      <c r="CD1014" s="13"/>
      <c r="CE1014" s="13" t="str">
        <f t="shared" ref="CE1014:CE1017" si="1584">IF(CD1014="","",CA1014*CD1014)</f>
        <v/>
      </c>
      <c r="CF1014" s="14" t="str">
        <f t="shared" ref="CF1014:CF1017" si="1585">IF(CE1014="","",CE1014/(BW1014*100))</f>
        <v/>
      </c>
      <c r="CG1014" s="15"/>
      <c r="CH1014" s="1"/>
      <c r="CI1014" s="16"/>
      <c r="CJ1014" s="25"/>
      <c r="CK1014" s="13" t="str">
        <f>IF(CJ1014="","",CJ1014-#REF!)</f>
        <v/>
      </c>
      <c r="CL1014" s="13"/>
      <c r="CM1014" s="13"/>
      <c r="CN1014" s="13"/>
      <c r="CO1014" s="13" t="str">
        <f>IF(CN1014="","",#REF!+#REF!-CN1014)</f>
        <v/>
      </c>
      <c r="CP1014" s="13"/>
      <c r="CQ1014" s="13"/>
      <c r="CR1014" s="13"/>
      <c r="CS1014" s="13" t="str">
        <f t="shared" ref="CS1014:CS1017" si="1586">IF(CR1014="","",CO1014*CR1014)</f>
        <v/>
      </c>
      <c r="CT1014" s="14" t="str">
        <f t="shared" ref="CT1014:CT1017" si="1587">IF(CS1014="","",CS1014/(CK1014*100))</f>
        <v/>
      </c>
      <c r="CU1014" s="15"/>
      <c r="CV1014" s="1"/>
      <c r="CW1014" s="16"/>
      <c r="CX1014" s="25"/>
      <c r="CY1014" s="13" t="str">
        <f>IF(CX1014="","",CX1014-#REF!)</f>
        <v/>
      </c>
      <c r="CZ1014" s="13"/>
      <c r="DA1014" s="13"/>
      <c r="DB1014" s="13"/>
      <c r="DC1014" s="13" t="str">
        <f>IF(DB1014="","",#REF!+#REF!-DB1014)</f>
        <v/>
      </c>
      <c r="DD1014" s="13"/>
      <c r="DE1014" s="13"/>
      <c r="DF1014" s="13"/>
      <c r="DG1014" s="13" t="str">
        <f t="shared" ref="DG1014:DG1017" si="1588">IF(DF1014="","",DC1014*DF1014)</f>
        <v/>
      </c>
      <c r="DH1014" s="14" t="str">
        <f t="shared" ref="DH1014:DH1017" si="1589">IF(DG1014="","",DG1014/(CY1014*100))</f>
        <v/>
      </c>
      <c r="DI1014" s="15"/>
      <c r="DJ1014" s="1"/>
      <c r="DK1014" s="16"/>
      <c r="DL1014" s="25"/>
      <c r="DM1014" s="13" t="str">
        <f>IF(DL1014="","",DL1014-#REF!)</f>
        <v/>
      </c>
      <c r="DN1014" s="13"/>
      <c r="DO1014" s="13"/>
      <c r="DP1014" s="13"/>
      <c r="DQ1014" s="13" t="str">
        <f>IF(DP1014="","",#REF!+#REF!-DP1014)</f>
        <v/>
      </c>
      <c r="DR1014" s="13"/>
      <c r="DS1014" s="13"/>
      <c r="DT1014" s="13"/>
      <c r="DU1014" s="13" t="str">
        <f t="shared" ref="DU1014:DU1017" si="1590">IF(DT1014="","",DQ1014*DT1014)</f>
        <v/>
      </c>
      <c r="DV1014" s="14" t="str">
        <f t="shared" ref="DV1014:DV1017" si="1591">IF(DU1014="","",DU1014/(DM1014*100))</f>
        <v/>
      </c>
      <c r="DW1014" s="15"/>
    </row>
    <row r="1015" spans="1:127" ht="15" customHeight="1" x14ac:dyDescent="0.2">
      <c r="A1015" s="16"/>
      <c r="B1015" s="11"/>
      <c r="C1015" s="13"/>
      <c r="D1015" s="13" t="str">
        <f t="shared" si="1503"/>
        <v/>
      </c>
      <c r="E1015" s="13"/>
      <c r="F1015" s="13" t="str">
        <f t="shared" si="1504"/>
        <v/>
      </c>
      <c r="G1015" s="13"/>
      <c r="H1015" s="13" t="str">
        <f t="shared" si="1505"/>
        <v/>
      </c>
      <c r="I1015" s="13"/>
      <c r="J1015" s="56" t="str">
        <f t="shared" si="1506"/>
        <v/>
      </c>
      <c r="K1015" s="13" t="str">
        <f t="shared" si="1507"/>
        <v/>
      </c>
      <c r="L1015" s="13"/>
      <c r="M1015" s="14" t="str">
        <f t="shared" si="1509"/>
        <v/>
      </c>
      <c r="N1015" s="15"/>
      <c r="O1015" s="2"/>
      <c r="P1015" s="16"/>
      <c r="Q1015" s="13"/>
      <c r="R1015" s="13" t="str">
        <f t="shared" si="1510"/>
        <v/>
      </c>
      <c r="S1015" s="13"/>
      <c r="T1015" s="13" t="str">
        <f t="shared" si="1511"/>
        <v/>
      </c>
      <c r="U1015" s="13"/>
      <c r="V1015" s="13" t="str">
        <f t="shared" si="1512"/>
        <v/>
      </c>
      <c r="W1015" s="13"/>
      <c r="X1015" s="21" t="str">
        <f t="shared" si="1513"/>
        <v/>
      </c>
      <c r="Y1015" s="13" t="str">
        <f t="shared" si="1514"/>
        <v/>
      </c>
      <c r="Z1015" s="13" t="str">
        <f t="shared" si="1515"/>
        <v/>
      </c>
      <c r="AA1015" s="14" t="str">
        <f t="shared" si="1516"/>
        <v/>
      </c>
      <c r="AB1015" s="15"/>
      <c r="AD1015" s="16"/>
      <c r="AE1015" s="13"/>
      <c r="AF1015" s="13" t="str">
        <f t="shared" si="1517"/>
        <v/>
      </c>
      <c r="AG1015" s="13"/>
      <c r="AH1015" s="13" t="str">
        <f t="shared" si="1518"/>
        <v/>
      </c>
      <c r="AI1015" s="13"/>
      <c r="AJ1015" s="13" t="str">
        <f t="shared" si="1519"/>
        <v/>
      </c>
      <c r="AK1015" s="13"/>
      <c r="AL1015" s="56" t="str">
        <f t="shared" si="1529"/>
        <v/>
      </c>
      <c r="AM1015" s="13" t="str">
        <f t="shared" si="1528"/>
        <v/>
      </c>
      <c r="AN1015" s="13"/>
      <c r="AO1015" s="14" t="str">
        <f t="shared" si="1521"/>
        <v/>
      </c>
      <c r="AP1015" s="15"/>
      <c r="AQ1015" s="2"/>
      <c r="AR1015" s="16"/>
      <c r="AS1015" s="13"/>
      <c r="AT1015" s="13" t="str">
        <f t="shared" si="1522"/>
        <v/>
      </c>
      <c r="AU1015" s="13"/>
      <c r="AV1015" s="13" t="str">
        <f t="shared" si="1523"/>
        <v/>
      </c>
      <c r="AW1015" s="13"/>
      <c r="AX1015" s="13" t="str">
        <f t="shared" si="1524"/>
        <v/>
      </c>
      <c r="AY1015" s="13"/>
      <c r="AZ1015" s="56" t="str">
        <f t="shared" si="1530"/>
        <v/>
      </c>
      <c r="BA1015" s="13" t="str">
        <f t="shared" si="1531"/>
        <v/>
      </c>
      <c r="BB1015" s="13" t="str">
        <f t="shared" si="1526"/>
        <v/>
      </c>
      <c r="BC1015" s="14" t="str">
        <f t="shared" si="1527"/>
        <v/>
      </c>
      <c r="BD1015" s="15"/>
      <c r="BU1015" s="16"/>
      <c r="BV1015" s="25"/>
      <c r="BW1015" s="13" t="str">
        <f t="shared" ref="BW1015:BW1016" si="1592">IF(BV1015="","",BV1015-BV1014)</f>
        <v/>
      </c>
      <c r="BX1015" s="13"/>
      <c r="BY1015" s="13"/>
      <c r="BZ1015" s="13"/>
      <c r="CA1015" s="13" t="str">
        <f t="shared" ref="CA1015:CA1017" si="1593">IF(BZ1015="","",BZ1014+CB1014-BZ1015)</f>
        <v/>
      </c>
      <c r="CB1015" s="13"/>
      <c r="CC1015" s="13"/>
      <c r="CD1015" s="13"/>
      <c r="CE1015" s="13" t="str">
        <f t="shared" si="1584"/>
        <v/>
      </c>
      <c r="CF1015" s="14" t="str">
        <f t="shared" si="1585"/>
        <v/>
      </c>
      <c r="CG1015" s="15"/>
      <c r="CH1015" s="1"/>
      <c r="CI1015" s="16"/>
      <c r="CJ1015" s="25"/>
      <c r="CK1015" s="13" t="str">
        <f t="shared" ref="CK1015:CK1016" si="1594">IF(CJ1015="","",CJ1015-CJ1014)</f>
        <v/>
      </c>
      <c r="CL1015" s="13"/>
      <c r="CM1015" s="13"/>
      <c r="CN1015" s="13"/>
      <c r="CO1015" s="13" t="str">
        <f t="shared" ref="CO1015:CO1017" si="1595">IF(CN1015="","",CN1014+CP1014-CN1015)</f>
        <v/>
      </c>
      <c r="CP1015" s="13"/>
      <c r="CQ1015" s="13"/>
      <c r="CR1015" s="13"/>
      <c r="CS1015" s="13" t="str">
        <f t="shared" si="1586"/>
        <v/>
      </c>
      <c r="CT1015" s="14" t="str">
        <f t="shared" si="1587"/>
        <v/>
      </c>
      <c r="CU1015" s="15"/>
      <c r="CV1015" s="1"/>
      <c r="CW1015" s="16"/>
      <c r="CX1015" s="25"/>
      <c r="CY1015" s="13" t="str">
        <f t="shared" ref="CY1015:CY1016" si="1596">IF(CX1015="","",CX1015-CX1014)</f>
        <v/>
      </c>
      <c r="CZ1015" s="13"/>
      <c r="DA1015" s="13"/>
      <c r="DB1015" s="13"/>
      <c r="DC1015" s="13" t="str">
        <f t="shared" ref="DC1015:DC1017" si="1597">IF(DB1015="","",DB1014+DD1014-DB1015)</f>
        <v/>
      </c>
      <c r="DD1015" s="13"/>
      <c r="DE1015" s="13"/>
      <c r="DF1015" s="13"/>
      <c r="DG1015" s="13" t="str">
        <f t="shared" si="1588"/>
        <v/>
      </c>
      <c r="DH1015" s="14" t="str">
        <f t="shared" si="1589"/>
        <v/>
      </c>
      <c r="DI1015" s="15"/>
      <c r="DJ1015" s="1"/>
      <c r="DK1015" s="16"/>
      <c r="DL1015" s="25"/>
      <c r="DM1015" s="13" t="str">
        <f t="shared" ref="DM1015:DM1016" si="1598">IF(DL1015="","",DL1015-DL1014)</f>
        <v/>
      </c>
      <c r="DN1015" s="13"/>
      <c r="DO1015" s="13"/>
      <c r="DP1015" s="13"/>
      <c r="DQ1015" s="13" t="str">
        <f t="shared" ref="DQ1015:DQ1017" si="1599">IF(DP1015="","",DP1014+DR1014-DP1015)</f>
        <v/>
      </c>
      <c r="DR1015" s="13"/>
      <c r="DS1015" s="13"/>
      <c r="DT1015" s="13"/>
      <c r="DU1015" s="13" t="str">
        <f t="shared" si="1590"/>
        <v/>
      </c>
      <c r="DV1015" s="14" t="str">
        <f t="shared" si="1591"/>
        <v/>
      </c>
      <c r="DW1015" s="15"/>
    </row>
    <row r="1016" spans="1:127" ht="15" customHeight="1" thickBot="1" x14ac:dyDescent="0.25">
      <c r="A1016" s="26"/>
      <c r="B1016" s="46"/>
      <c r="C1016" s="27"/>
      <c r="D1016" s="27" t="str">
        <f t="shared" si="1503"/>
        <v/>
      </c>
      <c r="E1016" s="27"/>
      <c r="F1016" s="27" t="str">
        <f t="shared" si="1504"/>
        <v/>
      </c>
      <c r="G1016" s="27"/>
      <c r="H1016" s="27" t="str">
        <f t="shared" si="1505"/>
        <v/>
      </c>
      <c r="I1016" s="27"/>
      <c r="J1016" s="57" t="str">
        <f t="shared" si="1506"/>
        <v/>
      </c>
      <c r="K1016" s="62" t="str">
        <f t="shared" si="1507"/>
        <v/>
      </c>
      <c r="L1016" s="27"/>
      <c r="M1016" s="28" t="str">
        <f t="shared" si="1509"/>
        <v/>
      </c>
      <c r="N1016" s="15"/>
      <c r="O1016" s="2"/>
      <c r="P1016" s="26"/>
      <c r="Q1016" s="27"/>
      <c r="R1016" s="27" t="str">
        <f t="shared" si="1510"/>
        <v/>
      </c>
      <c r="S1016" s="27"/>
      <c r="T1016" s="27" t="str">
        <f t="shared" si="1511"/>
        <v/>
      </c>
      <c r="U1016" s="27"/>
      <c r="V1016" s="27" t="str">
        <f t="shared" si="1512"/>
        <v/>
      </c>
      <c r="W1016" s="27"/>
      <c r="X1016" s="30" t="str">
        <f t="shared" si="1513"/>
        <v/>
      </c>
      <c r="Y1016" s="62" t="str">
        <f t="shared" si="1514"/>
        <v/>
      </c>
      <c r="Z1016" s="27" t="str">
        <f t="shared" si="1515"/>
        <v/>
      </c>
      <c r="AA1016" s="28" t="str">
        <f t="shared" si="1516"/>
        <v/>
      </c>
      <c r="AB1016" s="15"/>
      <c r="AD1016" s="26"/>
      <c r="AE1016" s="27"/>
      <c r="AF1016" s="27" t="str">
        <f t="shared" si="1517"/>
        <v/>
      </c>
      <c r="AG1016" s="27"/>
      <c r="AH1016" s="27" t="str">
        <f t="shared" si="1518"/>
        <v/>
      </c>
      <c r="AI1016" s="27"/>
      <c r="AJ1016" s="27" t="str">
        <f t="shared" si="1519"/>
        <v/>
      </c>
      <c r="AK1016" s="27"/>
      <c r="AL1016" s="57" t="str">
        <f t="shared" si="1529"/>
        <v/>
      </c>
      <c r="AM1016" s="62" t="str">
        <f t="shared" si="1528"/>
        <v/>
      </c>
      <c r="AN1016" s="27"/>
      <c r="AO1016" s="28" t="str">
        <f t="shared" si="1521"/>
        <v/>
      </c>
      <c r="AP1016" s="15"/>
      <c r="AQ1016" s="2"/>
      <c r="AR1016" s="26"/>
      <c r="AS1016" s="27"/>
      <c r="AT1016" s="27" t="str">
        <f t="shared" si="1522"/>
        <v/>
      </c>
      <c r="AU1016" s="27"/>
      <c r="AV1016" s="27" t="str">
        <f t="shared" si="1523"/>
        <v/>
      </c>
      <c r="AW1016" s="27"/>
      <c r="AX1016" s="27" t="str">
        <f t="shared" si="1524"/>
        <v/>
      </c>
      <c r="AY1016" s="27"/>
      <c r="AZ1016" s="57" t="str">
        <f t="shared" si="1530"/>
        <v/>
      </c>
      <c r="BA1016" s="62" t="str">
        <f t="shared" si="1531"/>
        <v/>
      </c>
      <c r="BB1016" s="27" t="str">
        <f t="shared" si="1526"/>
        <v/>
      </c>
      <c r="BC1016" s="28" t="str">
        <f t="shared" si="1527"/>
        <v/>
      </c>
      <c r="BD1016" s="15"/>
      <c r="BU1016" s="16"/>
      <c r="BV1016" s="25"/>
      <c r="BW1016" s="13" t="str">
        <f t="shared" si="1592"/>
        <v/>
      </c>
      <c r="BX1016" s="13"/>
      <c r="BY1016" s="13"/>
      <c r="BZ1016" s="13"/>
      <c r="CA1016" s="13" t="str">
        <f t="shared" si="1593"/>
        <v/>
      </c>
      <c r="CB1016" s="13"/>
      <c r="CC1016" s="13"/>
      <c r="CD1016" s="13"/>
      <c r="CE1016" s="13" t="str">
        <f t="shared" si="1584"/>
        <v/>
      </c>
      <c r="CF1016" s="14" t="str">
        <f t="shared" si="1585"/>
        <v/>
      </c>
      <c r="CG1016" s="15"/>
      <c r="CH1016" s="1"/>
      <c r="CI1016" s="16"/>
      <c r="CJ1016" s="25"/>
      <c r="CK1016" s="13" t="str">
        <f t="shared" si="1594"/>
        <v/>
      </c>
      <c r="CL1016" s="13"/>
      <c r="CM1016" s="13"/>
      <c r="CN1016" s="13"/>
      <c r="CO1016" s="13" t="str">
        <f t="shared" si="1595"/>
        <v/>
      </c>
      <c r="CP1016" s="13"/>
      <c r="CQ1016" s="13"/>
      <c r="CR1016" s="13"/>
      <c r="CS1016" s="13" t="str">
        <f t="shared" si="1586"/>
        <v/>
      </c>
      <c r="CT1016" s="14" t="str">
        <f t="shared" si="1587"/>
        <v/>
      </c>
      <c r="CU1016" s="15"/>
      <c r="CV1016" s="1"/>
      <c r="CW1016" s="16"/>
      <c r="CX1016" s="25"/>
      <c r="CY1016" s="13" t="str">
        <f t="shared" si="1596"/>
        <v/>
      </c>
      <c r="CZ1016" s="13"/>
      <c r="DA1016" s="13"/>
      <c r="DB1016" s="13"/>
      <c r="DC1016" s="13" t="str">
        <f t="shared" si="1597"/>
        <v/>
      </c>
      <c r="DD1016" s="13"/>
      <c r="DE1016" s="13"/>
      <c r="DF1016" s="13"/>
      <c r="DG1016" s="13" t="str">
        <f t="shared" si="1588"/>
        <v/>
      </c>
      <c r="DH1016" s="14" t="str">
        <f t="shared" si="1589"/>
        <v/>
      </c>
      <c r="DI1016" s="15"/>
      <c r="DJ1016" s="1"/>
      <c r="DK1016" s="16"/>
      <c r="DL1016" s="25"/>
      <c r="DM1016" s="13" t="str">
        <f t="shared" si="1598"/>
        <v/>
      </c>
      <c r="DN1016" s="13"/>
      <c r="DO1016" s="13"/>
      <c r="DP1016" s="13"/>
      <c r="DQ1016" s="13" t="str">
        <f t="shared" si="1599"/>
        <v/>
      </c>
      <c r="DR1016" s="13"/>
      <c r="DS1016" s="13"/>
      <c r="DT1016" s="13"/>
      <c r="DU1016" s="13" t="str">
        <f t="shared" si="1590"/>
        <v/>
      </c>
      <c r="DV1016" s="14" t="str">
        <f t="shared" si="1591"/>
        <v/>
      </c>
      <c r="DW1016" s="15"/>
    </row>
    <row r="1017" spans="1:127" ht="15" customHeight="1" thickTop="1" x14ac:dyDescent="0.2">
      <c r="A1017" s="79"/>
      <c r="B1017" s="74"/>
      <c r="C1017" s="53"/>
      <c r="D1017" s="53"/>
      <c r="E1017" s="53"/>
      <c r="F1017" s="53"/>
      <c r="G1017" s="53"/>
      <c r="H1017" s="53"/>
      <c r="I1017" s="53"/>
      <c r="J1017" s="75"/>
      <c r="K1017" s="53"/>
      <c r="L1017" s="53"/>
      <c r="M1017" s="53"/>
      <c r="N1017" s="15"/>
      <c r="O1017" s="2"/>
      <c r="P1017" s="79"/>
      <c r="Q1017" s="53"/>
      <c r="R1017" s="53"/>
      <c r="S1017" s="53"/>
      <c r="T1017" s="53"/>
      <c r="U1017" s="53"/>
      <c r="V1017" s="53"/>
      <c r="W1017" s="53"/>
      <c r="X1017" s="78"/>
      <c r="Y1017" s="53"/>
      <c r="Z1017" s="53"/>
      <c r="AA1017" s="53"/>
      <c r="AB1017" s="15"/>
      <c r="AD1017" s="79"/>
      <c r="AE1017" s="53"/>
      <c r="AF1017" s="53"/>
      <c r="AG1017" s="53"/>
      <c r="AH1017" s="53"/>
      <c r="AI1017" s="53"/>
      <c r="AJ1017" s="53"/>
      <c r="AK1017" s="53"/>
      <c r="AL1017" s="75"/>
      <c r="AM1017" s="53"/>
      <c r="AN1017" s="53"/>
      <c r="AO1017" s="53"/>
      <c r="AP1017" s="15"/>
      <c r="AQ1017" s="2"/>
      <c r="AR1017" s="79"/>
      <c r="AS1017" s="53"/>
      <c r="AT1017" s="53"/>
      <c r="AU1017" s="53"/>
      <c r="AV1017" s="53"/>
      <c r="AW1017" s="53"/>
      <c r="AX1017" s="53"/>
      <c r="AY1017" s="53"/>
      <c r="AZ1017" s="75"/>
      <c r="BA1017" s="53"/>
      <c r="BB1017" s="53"/>
      <c r="BC1017" s="53"/>
      <c r="BD1017" s="15"/>
      <c r="BU1017" s="16"/>
      <c r="BV1017" s="25"/>
      <c r="BW1017" s="13"/>
      <c r="BX1017" s="13"/>
      <c r="BY1017" s="13"/>
      <c r="BZ1017" s="13"/>
      <c r="CA1017" s="13" t="str">
        <f t="shared" si="1593"/>
        <v/>
      </c>
      <c r="CB1017" s="13"/>
      <c r="CC1017" s="13"/>
      <c r="CD1017" s="13"/>
      <c r="CE1017" s="13" t="str">
        <f t="shared" si="1584"/>
        <v/>
      </c>
      <c r="CF1017" s="14" t="str">
        <f t="shared" si="1585"/>
        <v/>
      </c>
      <c r="CG1017" s="15"/>
      <c r="CH1017" s="1"/>
      <c r="CI1017" s="16"/>
      <c r="CJ1017" s="25"/>
      <c r="CK1017" s="13"/>
      <c r="CL1017" s="13"/>
      <c r="CM1017" s="13"/>
      <c r="CN1017" s="13"/>
      <c r="CO1017" s="13" t="str">
        <f t="shared" si="1595"/>
        <v/>
      </c>
      <c r="CP1017" s="13"/>
      <c r="CQ1017" s="13"/>
      <c r="CR1017" s="13"/>
      <c r="CS1017" s="13" t="str">
        <f t="shared" si="1586"/>
        <v/>
      </c>
      <c r="CT1017" s="14" t="str">
        <f t="shared" si="1587"/>
        <v/>
      </c>
      <c r="CU1017" s="15"/>
      <c r="CV1017" s="1"/>
      <c r="CW1017" s="16"/>
      <c r="CX1017" s="25"/>
      <c r="CY1017" s="13"/>
      <c r="CZ1017" s="13"/>
      <c r="DA1017" s="13"/>
      <c r="DB1017" s="13"/>
      <c r="DC1017" s="13" t="str">
        <f t="shared" si="1597"/>
        <v/>
      </c>
      <c r="DD1017" s="13"/>
      <c r="DE1017" s="13"/>
      <c r="DF1017" s="13"/>
      <c r="DG1017" s="13" t="str">
        <f t="shared" si="1588"/>
        <v/>
      </c>
      <c r="DH1017" s="14" t="str">
        <f t="shared" si="1589"/>
        <v/>
      </c>
      <c r="DI1017" s="15"/>
      <c r="DJ1017" s="1"/>
      <c r="DK1017" s="16"/>
      <c r="DL1017" s="25"/>
      <c r="DM1017" s="13"/>
      <c r="DN1017" s="13"/>
      <c r="DO1017" s="13"/>
      <c r="DP1017" s="13"/>
      <c r="DQ1017" s="13" t="str">
        <f t="shared" si="1599"/>
        <v/>
      </c>
      <c r="DR1017" s="13"/>
      <c r="DS1017" s="13"/>
      <c r="DT1017" s="13"/>
      <c r="DU1017" s="13" t="str">
        <f t="shared" si="1590"/>
        <v/>
      </c>
      <c r="DV1017" s="14" t="str">
        <f t="shared" si="1591"/>
        <v/>
      </c>
      <c r="DW1017" s="15"/>
    </row>
    <row r="1018" spans="1:127" ht="15" customHeight="1" x14ac:dyDescent="0.2">
      <c r="A1018" s="79"/>
      <c r="B1018" s="74"/>
      <c r="C1018" s="53"/>
      <c r="D1018" s="53"/>
      <c r="E1018" s="53"/>
      <c r="F1018" s="53"/>
      <c r="G1018" s="53"/>
      <c r="H1018" s="53"/>
      <c r="I1018" s="53"/>
      <c r="J1018" s="75"/>
      <c r="K1018" s="53"/>
      <c r="L1018" s="53"/>
      <c r="M1018" s="53"/>
      <c r="N1018" s="15"/>
      <c r="O1018" s="2"/>
      <c r="P1018" s="79"/>
      <c r="Q1018" s="53"/>
      <c r="R1018" s="53"/>
      <c r="S1018" s="53"/>
      <c r="T1018" s="53"/>
      <c r="U1018" s="53"/>
      <c r="V1018" s="53"/>
      <c r="W1018" s="53"/>
      <c r="X1018" s="78"/>
      <c r="Y1018" s="53"/>
      <c r="Z1018" s="53"/>
      <c r="AA1018" s="53"/>
      <c r="AB1018" s="15"/>
      <c r="AD1018" s="79"/>
      <c r="AE1018" s="53"/>
      <c r="AF1018" s="53"/>
      <c r="AG1018" s="53"/>
      <c r="AH1018" s="53"/>
      <c r="AI1018" s="53"/>
      <c r="AJ1018" s="53"/>
      <c r="AK1018" s="53"/>
      <c r="AL1018" s="75"/>
      <c r="AM1018" s="53"/>
      <c r="AN1018" s="53"/>
      <c r="AO1018" s="53"/>
      <c r="AP1018" s="15"/>
      <c r="AQ1018" s="2"/>
      <c r="AR1018" s="79"/>
      <c r="AS1018" s="53"/>
      <c r="AT1018" s="53"/>
      <c r="AU1018" s="53"/>
      <c r="AV1018" s="53"/>
      <c r="AW1018" s="53"/>
      <c r="AX1018" s="53"/>
      <c r="AY1018" s="53"/>
      <c r="AZ1018" s="75"/>
      <c r="BA1018" s="53"/>
      <c r="BB1018" s="53"/>
      <c r="BC1018" s="53"/>
      <c r="BD1018" s="15"/>
      <c r="BU1018" s="16"/>
      <c r="BV1018" s="25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4"/>
      <c r="CG1018" s="15"/>
      <c r="CH1018" s="1"/>
      <c r="CI1018" s="16"/>
      <c r="CJ1018" s="25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4"/>
      <c r="CU1018" s="15"/>
      <c r="CV1018" s="1"/>
      <c r="CW1018" s="16"/>
      <c r="CX1018" s="25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4"/>
      <c r="DI1018" s="15"/>
      <c r="DJ1018" s="1"/>
      <c r="DK1018" s="16"/>
      <c r="DL1018" s="25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4"/>
      <c r="DW1018" s="15"/>
    </row>
    <row r="1019" spans="1:127" ht="15" customHeight="1" x14ac:dyDescent="0.2">
      <c r="A1019" s="79"/>
      <c r="B1019" s="74"/>
      <c r="C1019" s="53"/>
      <c r="D1019" s="53"/>
      <c r="E1019" s="53"/>
      <c r="F1019" s="53"/>
      <c r="G1019" s="53"/>
      <c r="H1019" s="53"/>
      <c r="I1019" s="53"/>
      <c r="J1019" s="75"/>
      <c r="K1019" s="53"/>
      <c r="L1019" s="53"/>
      <c r="M1019" s="53"/>
      <c r="N1019" s="15"/>
      <c r="O1019" s="2"/>
      <c r="P1019" s="79"/>
      <c r="Q1019" s="53"/>
      <c r="R1019" s="53"/>
      <c r="S1019" s="53"/>
      <c r="T1019" s="53"/>
      <c r="U1019" s="53"/>
      <c r="V1019" s="53"/>
      <c r="W1019" s="53"/>
      <c r="X1019" s="78"/>
      <c r="Y1019" s="53"/>
      <c r="Z1019" s="53"/>
      <c r="AA1019" s="53"/>
      <c r="AB1019" s="15"/>
      <c r="AD1019" s="79"/>
      <c r="AE1019" s="53"/>
      <c r="AF1019" s="53"/>
      <c r="AG1019" s="53"/>
      <c r="AH1019" s="53"/>
      <c r="AI1019" s="53"/>
      <c r="AJ1019" s="53"/>
      <c r="AK1019" s="53"/>
      <c r="AL1019" s="75"/>
      <c r="AM1019" s="53"/>
      <c r="AN1019" s="53"/>
      <c r="AO1019" s="53"/>
      <c r="AP1019" s="15"/>
      <c r="AQ1019" s="2"/>
      <c r="AR1019" s="79"/>
      <c r="AS1019" s="53"/>
      <c r="AT1019" s="53"/>
      <c r="AU1019" s="53"/>
      <c r="AV1019" s="53"/>
      <c r="AW1019" s="53"/>
      <c r="AX1019" s="53"/>
      <c r="AY1019" s="53"/>
      <c r="AZ1019" s="75"/>
      <c r="BA1019" s="53"/>
      <c r="BB1019" s="53"/>
      <c r="BC1019" s="53"/>
      <c r="BD1019" s="15"/>
      <c r="BU1019" s="16"/>
      <c r="BV1019" s="25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4"/>
      <c r="CG1019" s="15"/>
      <c r="CH1019" s="1"/>
      <c r="CI1019" s="16"/>
      <c r="CJ1019" s="25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4"/>
      <c r="CU1019" s="15"/>
      <c r="CV1019" s="1"/>
      <c r="CW1019" s="16"/>
      <c r="CX1019" s="25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4"/>
      <c r="DI1019" s="15"/>
      <c r="DJ1019" s="1"/>
      <c r="DK1019" s="16"/>
      <c r="DL1019" s="25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4"/>
      <c r="DW1019" s="15"/>
    </row>
    <row r="1020" spans="1:127" ht="15" customHeight="1" x14ac:dyDescent="0.2">
      <c r="A1020" s="79"/>
      <c r="B1020" s="74"/>
      <c r="C1020" s="53"/>
      <c r="D1020" s="53"/>
      <c r="E1020" s="53"/>
      <c r="F1020" s="53"/>
      <c r="G1020" s="53"/>
      <c r="H1020" s="53"/>
      <c r="I1020" s="53"/>
      <c r="J1020" s="75"/>
      <c r="K1020" s="53"/>
      <c r="L1020" s="53"/>
      <c r="M1020" s="53"/>
      <c r="N1020" s="15"/>
      <c r="O1020" s="2"/>
      <c r="P1020" s="79"/>
      <c r="Q1020" s="53"/>
      <c r="R1020" s="53"/>
      <c r="S1020" s="53"/>
      <c r="T1020" s="53"/>
      <c r="U1020" s="53"/>
      <c r="V1020" s="53"/>
      <c r="W1020" s="53"/>
      <c r="X1020" s="78"/>
      <c r="Y1020" s="53"/>
      <c r="Z1020" s="53"/>
      <c r="AA1020" s="53"/>
      <c r="AB1020" s="15"/>
      <c r="AD1020" s="79"/>
      <c r="AE1020" s="53"/>
      <c r="AF1020" s="53"/>
      <c r="AG1020" s="53"/>
      <c r="AH1020" s="53"/>
      <c r="AI1020" s="53"/>
      <c r="AJ1020" s="53"/>
      <c r="AK1020" s="53"/>
      <c r="AL1020" s="75"/>
      <c r="AM1020" s="53"/>
      <c r="AN1020" s="53"/>
      <c r="AO1020" s="53"/>
      <c r="AP1020" s="15"/>
      <c r="AQ1020" s="2"/>
      <c r="AR1020" s="79"/>
      <c r="AS1020" s="53"/>
      <c r="AT1020" s="53"/>
      <c r="AU1020" s="53"/>
      <c r="AV1020" s="53"/>
      <c r="AW1020" s="53"/>
      <c r="AX1020" s="53"/>
      <c r="AY1020" s="53"/>
      <c r="AZ1020" s="75"/>
      <c r="BA1020" s="53"/>
      <c r="BB1020" s="53"/>
      <c r="BC1020" s="53"/>
      <c r="BD1020" s="15"/>
      <c r="BU1020" s="16"/>
      <c r="BV1020" s="25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4"/>
      <c r="CG1020" s="15"/>
      <c r="CH1020" s="1"/>
      <c r="CI1020" s="16"/>
      <c r="CJ1020" s="25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4"/>
      <c r="CU1020" s="15"/>
      <c r="CV1020" s="1"/>
      <c r="CW1020" s="16"/>
      <c r="CX1020" s="25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4"/>
      <c r="DI1020" s="15"/>
      <c r="DJ1020" s="1"/>
      <c r="DK1020" s="16"/>
      <c r="DL1020" s="25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4"/>
      <c r="DW1020" s="15"/>
    </row>
    <row r="1021" spans="1:127" ht="15" customHeight="1" x14ac:dyDescent="0.2">
      <c r="A1021" s="59">
        <v>31</v>
      </c>
      <c r="B1021" s="74"/>
      <c r="C1021" s="5" t="s">
        <v>19</v>
      </c>
      <c r="D1021" s="13">
        <f>SUM(D965:D1017)*100</f>
        <v>385800</v>
      </c>
      <c r="E1021" s="13"/>
      <c r="F1021" s="13">
        <f>SUM(F965:F1017)</f>
        <v>205</v>
      </c>
      <c r="G1021" s="5" t="s">
        <v>20</v>
      </c>
      <c r="H1021" s="13">
        <f>SUM(H965:H1017)</f>
        <v>163</v>
      </c>
      <c r="I1021" s="13"/>
      <c r="J1021" s="271" t="s">
        <v>21</v>
      </c>
      <c r="K1021" s="271"/>
      <c r="L1021" s="13">
        <f>SUM(L965:L1017)</f>
        <v>102174</v>
      </c>
      <c r="M1021" s="13"/>
      <c r="N1021" s="15"/>
      <c r="O1021" s="2"/>
      <c r="P1021" s="16"/>
      <c r="Q1021" s="5" t="s">
        <v>19</v>
      </c>
      <c r="R1021" s="13">
        <f>SUM(R965:R1017)*100</f>
        <v>367100</v>
      </c>
      <c r="S1021" s="13"/>
      <c r="T1021" s="13">
        <f>SUM(T965:T1017)</f>
        <v>309</v>
      </c>
      <c r="U1021" s="5" t="s">
        <v>20</v>
      </c>
      <c r="V1021" s="13">
        <f>SUM(V965:V1017)</f>
        <v>415</v>
      </c>
      <c r="W1021" s="13"/>
      <c r="X1021" s="271" t="s">
        <v>21</v>
      </c>
      <c r="Y1021" s="271"/>
      <c r="Z1021" s="13">
        <f>SUM(Z965:Z1017)</f>
        <v>124535</v>
      </c>
      <c r="AA1021" s="13"/>
      <c r="AB1021" s="15"/>
      <c r="AD1021" s="16"/>
      <c r="AE1021" s="5" t="s">
        <v>19</v>
      </c>
      <c r="AF1021" s="13">
        <f>SUM(AF965:AF1017)*100</f>
        <v>317900</v>
      </c>
      <c r="AG1021" s="13"/>
      <c r="AH1021" s="13">
        <f>SUM(AH965:AH1017)</f>
        <v>63</v>
      </c>
      <c r="AI1021" s="5" t="s">
        <v>20</v>
      </c>
      <c r="AJ1021" s="13">
        <f>SUM(AJ965:AJ1017)</f>
        <v>62</v>
      </c>
      <c r="AK1021" s="13"/>
      <c r="AL1021" s="271" t="s">
        <v>21</v>
      </c>
      <c r="AM1021" s="271"/>
      <c r="AN1021" s="13">
        <f>SUM(AN965:AN1017)</f>
        <v>48152</v>
      </c>
      <c r="AO1021" s="13"/>
      <c r="AP1021" s="15"/>
      <c r="AQ1021" s="2"/>
      <c r="AR1021" s="16"/>
      <c r="AS1021" s="5" t="s">
        <v>19</v>
      </c>
      <c r="AT1021" s="13">
        <f>SUM(AT965:AT1017)*100</f>
        <v>377900</v>
      </c>
      <c r="AU1021" s="13"/>
      <c r="AV1021" s="13">
        <f>SUM(AV965:AV1017)</f>
        <v>197</v>
      </c>
      <c r="AW1021" s="5" t="s">
        <v>20</v>
      </c>
      <c r="AX1021" s="13">
        <f>SUM(AX965:AX1017)</f>
        <v>252</v>
      </c>
      <c r="AY1021" s="13"/>
      <c r="AZ1021" s="271" t="s">
        <v>21</v>
      </c>
      <c r="BA1021" s="271"/>
      <c r="BB1021" s="13">
        <f>SUM(BB965:BB1017)</f>
        <v>76589</v>
      </c>
      <c r="BC1021" s="13"/>
      <c r="BD1021" s="15"/>
      <c r="BU1021" s="16"/>
      <c r="BV1021" s="37" t="s">
        <v>19</v>
      </c>
      <c r="BW1021" s="13">
        <f>SUM(BW965:BW1017)*100</f>
        <v>105600</v>
      </c>
      <c r="BX1021" s="13"/>
      <c r="BY1021" s="13">
        <f>SUM(BY965:BY1012)</f>
        <v>13</v>
      </c>
      <c r="BZ1021" s="5" t="s">
        <v>20</v>
      </c>
      <c r="CA1021" s="13">
        <f>SUM(CA965:CA1015)</f>
        <v>14</v>
      </c>
      <c r="CB1021" s="13" t="e">
        <f>SUM(#REF!)</f>
        <v>#REF!</v>
      </c>
      <c r="CC1021" s="13"/>
      <c r="CD1021" s="13"/>
      <c r="CE1021" s="13"/>
      <c r="CF1021" s="13"/>
      <c r="CG1021" s="15"/>
      <c r="CH1021" s="1"/>
      <c r="CI1021" s="16"/>
      <c r="CJ1021" s="37" t="s">
        <v>19</v>
      </c>
      <c r="CK1021" s="13">
        <f>SUM(CK965:CK1017)*100</f>
        <v>87300</v>
      </c>
      <c r="CL1021" s="13"/>
      <c r="CM1021" s="13">
        <f>SUM(CM965:CM1012)</f>
        <v>60</v>
      </c>
      <c r="CN1021" s="5" t="s">
        <v>20</v>
      </c>
      <c r="CO1021" s="13">
        <f>SUM(CO965:CO1015)</f>
        <v>63</v>
      </c>
      <c r="CP1021" s="13" t="e">
        <f>SUM(#REF!)</f>
        <v>#REF!</v>
      </c>
      <c r="CQ1021" s="13"/>
      <c r="CR1021" s="13"/>
      <c r="CS1021" s="13"/>
      <c r="CT1021" s="13"/>
      <c r="CU1021" s="15"/>
      <c r="CV1021" s="1"/>
      <c r="CW1021" s="16"/>
      <c r="CX1021" s="37" t="s">
        <v>19</v>
      </c>
      <c r="CY1021" s="13">
        <f>SUM(CY965:CY1017)*100</f>
        <v>52800</v>
      </c>
      <c r="CZ1021" s="13"/>
      <c r="DA1021" s="13">
        <f>SUM(DA965:DA1012)</f>
        <v>45</v>
      </c>
      <c r="DB1021" s="5" t="s">
        <v>20</v>
      </c>
      <c r="DC1021" s="13">
        <f>SUM(DC965:DC1015)</f>
        <v>42</v>
      </c>
      <c r="DD1021" s="13" t="e">
        <f>SUM(#REF!)</f>
        <v>#REF!</v>
      </c>
      <c r="DE1021" s="13"/>
      <c r="DF1021" s="13"/>
      <c r="DG1021" s="13"/>
      <c r="DH1021" s="13"/>
      <c r="DI1021" s="15"/>
      <c r="DJ1021" s="1"/>
      <c r="DK1021" s="16"/>
      <c r="DL1021" s="37" t="s">
        <v>19</v>
      </c>
      <c r="DM1021" s="13">
        <f>SUM(DM965:DM1017)*100</f>
        <v>86800</v>
      </c>
      <c r="DN1021" s="13"/>
      <c r="DO1021" s="13">
        <f>SUM(DO965:DO1012)</f>
        <v>80</v>
      </c>
      <c r="DP1021" s="5" t="s">
        <v>20</v>
      </c>
      <c r="DQ1021" s="13">
        <f>SUM(DQ965:DQ1015)</f>
        <v>88</v>
      </c>
      <c r="DR1021" s="13" t="e">
        <f>SUM(#REF!)</f>
        <v>#REF!</v>
      </c>
      <c r="DS1021" s="13"/>
      <c r="DT1021" s="13"/>
      <c r="DU1021" s="13"/>
      <c r="DV1021" s="13"/>
      <c r="DW1021" s="15"/>
    </row>
    <row r="1022" spans="1:127" ht="15" customHeight="1" x14ac:dyDescent="0.2">
      <c r="A1022" s="94" t="e">
        <f>DATEDIF(#REF!,A$1001,"d")</f>
        <v>#REF!</v>
      </c>
      <c r="B1022">
        <f>SUMIF(B964:B1017,"&gt;=0")</f>
        <v>14487</v>
      </c>
      <c r="C1022" s="5" t="s">
        <v>22</v>
      </c>
      <c r="D1022" s="13" t="e">
        <f>D1021/A1022</f>
        <v>#REF!</v>
      </c>
      <c r="E1022" s="13" t="e">
        <f>D1022*A1021</f>
        <v>#REF!</v>
      </c>
      <c r="F1022" s="13"/>
      <c r="G1022" s="5"/>
      <c r="H1022" s="13"/>
      <c r="I1022" s="13"/>
      <c r="J1022" s="271" t="s">
        <v>23</v>
      </c>
      <c r="K1022" s="271"/>
      <c r="L1022" s="13"/>
      <c r="M1022" s="36">
        <f>L1021/D1021</f>
        <v>0.26483670295489892</v>
      </c>
      <c r="N1022" s="15"/>
      <c r="O1022" s="2"/>
      <c r="P1022" s="33"/>
      <c r="Q1022" s="5" t="s">
        <v>22</v>
      </c>
      <c r="R1022" s="13" t="e">
        <f>R1021/A1022</f>
        <v>#REF!</v>
      </c>
      <c r="S1022" s="13" t="e">
        <f>R1022*A1021</f>
        <v>#REF!</v>
      </c>
      <c r="T1022" s="13"/>
      <c r="U1022" s="5"/>
      <c r="V1022" s="13"/>
      <c r="W1022" s="13"/>
      <c r="X1022" s="271" t="s">
        <v>23</v>
      </c>
      <c r="Y1022" s="271"/>
      <c r="Z1022" s="13"/>
      <c r="AA1022" s="36">
        <f>Z1021/R1021</f>
        <v>0.33923998910378644</v>
      </c>
      <c r="AB1022" s="15"/>
      <c r="AD1022" s="51"/>
      <c r="AE1022" s="5" t="s">
        <v>22</v>
      </c>
      <c r="AF1022" s="13" t="e">
        <f>AF1021/A1022</f>
        <v>#REF!</v>
      </c>
      <c r="AG1022" s="13" t="e">
        <f>AF1022*A1021</f>
        <v>#REF!</v>
      </c>
      <c r="AH1022" s="13"/>
      <c r="AI1022" s="5"/>
      <c r="AJ1022" s="13"/>
      <c r="AK1022" s="13"/>
      <c r="AL1022" s="271" t="s">
        <v>23</v>
      </c>
      <c r="AM1022" s="271"/>
      <c r="AN1022" s="13"/>
      <c r="AO1022" s="36">
        <f>AN1021/AF1021</f>
        <v>0.1514690154136521</v>
      </c>
      <c r="AP1022" s="15"/>
      <c r="AQ1022" s="2"/>
      <c r="AR1022" s="33"/>
      <c r="AS1022" s="5" t="s">
        <v>22</v>
      </c>
      <c r="AT1022" s="13" t="e">
        <f>AT1021/A1022</f>
        <v>#REF!</v>
      </c>
      <c r="AU1022" s="13" t="e">
        <f>AT1022*A1021</f>
        <v>#REF!</v>
      </c>
      <c r="AV1022" s="13"/>
      <c r="AW1022" s="5"/>
      <c r="AX1022" s="13"/>
      <c r="AY1022" s="13"/>
      <c r="AZ1022" s="271" t="s">
        <v>23</v>
      </c>
      <c r="BA1022" s="271"/>
      <c r="BB1022" s="13"/>
      <c r="BC1022" s="36">
        <f>BB1021/AT1021</f>
        <v>0.2026700185234189</v>
      </c>
      <c r="BD1022" s="15"/>
      <c r="BU1022" s="16"/>
      <c r="BV1022" s="37" t="s">
        <v>22</v>
      </c>
      <c r="BW1022" s="13" t="e">
        <f>BW1021/#REF!</f>
        <v>#REF!</v>
      </c>
      <c r="BX1022" s="13" t="e">
        <f>BW1022*#REF!</f>
        <v>#REF!</v>
      </c>
      <c r="BY1022" s="13"/>
      <c r="BZ1022" s="5"/>
      <c r="CA1022" s="13"/>
      <c r="CB1022" s="13"/>
      <c r="CC1022" s="13"/>
      <c r="CD1022" s="13"/>
      <c r="CE1022" s="13"/>
      <c r="CF1022" s="13"/>
      <c r="CG1022" s="15"/>
      <c r="CH1022" s="1"/>
      <c r="CI1022" s="16"/>
      <c r="CJ1022" s="37" t="s">
        <v>22</v>
      </c>
      <c r="CK1022" s="13" t="e">
        <f>CK1021/#REF!</f>
        <v>#REF!</v>
      </c>
      <c r="CL1022" s="13" t="e">
        <f>CK1022*#REF!</f>
        <v>#REF!</v>
      </c>
      <c r="CM1022" s="13"/>
      <c r="CN1022" s="5"/>
      <c r="CO1022" s="13"/>
      <c r="CP1022" s="13"/>
      <c r="CQ1022" s="13"/>
      <c r="CR1022" s="13"/>
      <c r="CS1022" s="13"/>
      <c r="CT1022" s="13"/>
      <c r="CU1022" s="15"/>
      <c r="CV1022" s="1"/>
      <c r="CW1022" s="16"/>
      <c r="CX1022" s="37" t="s">
        <v>22</v>
      </c>
      <c r="CY1022" s="13" t="e">
        <f>CY1021/#REF!</f>
        <v>#REF!</v>
      </c>
      <c r="CZ1022" s="13" t="e">
        <f>CY1022*#REF!</f>
        <v>#REF!</v>
      </c>
      <c r="DA1022" s="13"/>
      <c r="DB1022" s="5"/>
      <c r="DC1022" s="13"/>
      <c r="DD1022" s="13"/>
      <c r="DE1022" s="13"/>
      <c r="DF1022" s="13"/>
      <c r="DG1022" s="13"/>
      <c r="DH1022" s="13"/>
      <c r="DI1022" s="15"/>
      <c r="DJ1022" s="1"/>
      <c r="DK1022" s="16"/>
      <c r="DL1022" s="37" t="s">
        <v>22</v>
      </c>
      <c r="DM1022" s="13" t="e">
        <f>DM1021/#REF!</f>
        <v>#REF!</v>
      </c>
      <c r="DN1022" s="13" t="e">
        <f>DM1022*#REF!</f>
        <v>#REF!</v>
      </c>
      <c r="DO1022" s="13"/>
      <c r="DP1022" s="5"/>
      <c r="DQ1022" s="13"/>
      <c r="DR1022" s="13"/>
      <c r="DS1022" s="13"/>
      <c r="DT1022" s="13"/>
      <c r="DU1022" s="13"/>
      <c r="DV1022" s="13"/>
      <c r="DW1022" s="15"/>
    </row>
    <row r="1023" spans="1:127" ht="15" customHeight="1" x14ac:dyDescent="0.2">
      <c r="A1023" s="44" t="s">
        <v>22</v>
      </c>
      <c r="B1023" s="81" t="e">
        <f>B1022/A1022</f>
        <v>#REF!</v>
      </c>
      <c r="C1023" s="69" t="s">
        <v>25</v>
      </c>
      <c r="D1023" s="13">
        <f>D1021*0.6</f>
        <v>231480</v>
      </c>
      <c r="E1023" s="13"/>
      <c r="F1023" s="13"/>
      <c r="G1023" s="5"/>
      <c r="H1023" s="13"/>
      <c r="I1023" s="13"/>
      <c r="J1023" s="271" t="s">
        <v>26</v>
      </c>
      <c r="K1023" s="271"/>
      <c r="L1023" s="13">
        <f>D1023-L1021</f>
        <v>129306</v>
      </c>
      <c r="M1023" s="36">
        <f>L1023/D1021</f>
        <v>0.33516329704510112</v>
      </c>
      <c r="N1023" s="15"/>
      <c r="O1023" s="2"/>
      <c r="P1023" s="16"/>
      <c r="Q1023" s="69" t="s">
        <v>25</v>
      </c>
      <c r="R1023" s="13">
        <f>R1021*0.6</f>
        <v>220260</v>
      </c>
      <c r="S1023" s="13"/>
      <c r="T1023" s="13"/>
      <c r="U1023" s="5"/>
      <c r="V1023" s="13"/>
      <c r="W1023" s="13"/>
      <c r="X1023" s="271" t="s">
        <v>26</v>
      </c>
      <c r="Y1023" s="271"/>
      <c r="Z1023" s="13">
        <f>R1023-Z1021</f>
        <v>95725</v>
      </c>
      <c r="AA1023" s="36">
        <f>Z1023/R1021</f>
        <v>0.26076001089621359</v>
      </c>
      <c r="AB1023" s="15"/>
      <c r="AD1023" s="16"/>
      <c r="AE1023" s="69" t="s">
        <v>25</v>
      </c>
      <c r="AF1023" s="13">
        <f>AF1021*0.6</f>
        <v>190740</v>
      </c>
      <c r="AG1023" s="13"/>
      <c r="AH1023" s="13"/>
      <c r="AI1023" s="5"/>
      <c r="AJ1023" s="13"/>
      <c r="AK1023" s="13"/>
      <c r="AL1023" s="271" t="s">
        <v>26</v>
      </c>
      <c r="AM1023" s="271"/>
      <c r="AN1023" s="13">
        <f>AF1023-AN1021</f>
        <v>142588</v>
      </c>
      <c r="AO1023" s="36">
        <f>AN1023/AF1021</f>
        <v>0.44853098458634788</v>
      </c>
      <c r="AP1023" s="15"/>
      <c r="AQ1023" s="2"/>
      <c r="AR1023" s="16"/>
      <c r="AS1023" s="69" t="s">
        <v>25</v>
      </c>
      <c r="AT1023" s="13">
        <f>AT1021*0.6</f>
        <v>226740</v>
      </c>
      <c r="AU1023" s="13"/>
      <c r="AV1023" s="13"/>
      <c r="AW1023" s="5"/>
      <c r="AX1023" s="13"/>
      <c r="AY1023" s="13"/>
      <c r="AZ1023" s="271" t="s">
        <v>26</v>
      </c>
      <c r="BA1023" s="271"/>
      <c r="BB1023" s="13">
        <f>AT1023-BB1021</f>
        <v>150151</v>
      </c>
      <c r="BC1023" s="36">
        <f>BB1023/AT1021</f>
        <v>0.39732998147658111</v>
      </c>
      <c r="BD1023" s="15"/>
      <c r="BU1023" s="16"/>
      <c r="BV1023" s="37" t="s">
        <v>25</v>
      </c>
      <c r="BW1023" s="13" t="e">
        <f>BW1021*#REF!</f>
        <v>#REF!</v>
      </c>
      <c r="BX1023" s="13"/>
      <c r="BY1023" s="13"/>
      <c r="BZ1023" s="5" t="s">
        <v>24</v>
      </c>
      <c r="CA1023" s="13">
        <f>SUM(CE965:CE1017)</f>
        <v>15400</v>
      </c>
      <c r="CB1023" s="36">
        <f>CA1023/BW1021</f>
        <v>0.14583333333333334</v>
      </c>
      <c r="CC1023" s="36"/>
      <c r="CD1023" s="13"/>
      <c r="CE1023" s="13"/>
      <c r="CF1023" s="13"/>
      <c r="CG1023" s="15"/>
      <c r="CH1023" s="1"/>
      <c r="CI1023" s="16"/>
      <c r="CJ1023" s="37" t="s">
        <v>25</v>
      </c>
      <c r="CK1023" s="13" t="e">
        <f>CK1021*#REF!</f>
        <v>#REF!</v>
      </c>
      <c r="CL1023" s="13"/>
      <c r="CM1023" s="13"/>
      <c r="CN1023" s="5" t="s">
        <v>24</v>
      </c>
      <c r="CO1023" s="13">
        <f>SUM(CS965:CS1017)</f>
        <v>21900</v>
      </c>
      <c r="CP1023" s="36">
        <f>CO1023/CK1021</f>
        <v>0.25085910652920962</v>
      </c>
      <c r="CQ1023" s="36"/>
      <c r="CR1023" s="13"/>
      <c r="CS1023" s="13"/>
      <c r="CT1023" s="13"/>
      <c r="CU1023" s="15"/>
      <c r="CV1023" s="1"/>
      <c r="CW1023" s="16"/>
      <c r="CX1023" s="37" t="s">
        <v>25</v>
      </c>
      <c r="CY1023" s="13" t="e">
        <f>CY1021*#REF!</f>
        <v>#REF!</v>
      </c>
      <c r="CZ1023" s="13"/>
      <c r="DA1023" s="13"/>
      <c r="DB1023" s="5" t="s">
        <v>24</v>
      </c>
      <c r="DC1023" s="13">
        <f>SUM(DG965:DG1017)</f>
        <v>17010</v>
      </c>
      <c r="DD1023" s="36">
        <f>DC1023/CY1021</f>
        <v>0.32215909090909089</v>
      </c>
      <c r="DE1023" s="36"/>
      <c r="DF1023" s="13"/>
      <c r="DG1023" s="13"/>
      <c r="DH1023" s="13"/>
      <c r="DI1023" s="15"/>
      <c r="DJ1023" s="1"/>
      <c r="DK1023" s="16"/>
      <c r="DL1023" s="37" t="s">
        <v>25</v>
      </c>
      <c r="DM1023" s="13" t="e">
        <f>DM1021*#REF!</f>
        <v>#REF!</v>
      </c>
      <c r="DN1023" s="13"/>
      <c r="DO1023" s="13"/>
      <c r="DP1023" s="5" t="s">
        <v>24</v>
      </c>
      <c r="DQ1023" s="13">
        <f>SUM(DU965:DU1017)</f>
        <v>33880</v>
      </c>
      <c r="DR1023" s="36">
        <f>DQ1023/DM1021</f>
        <v>0.39032258064516129</v>
      </c>
      <c r="DS1023" s="36"/>
      <c r="DT1023" s="13"/>
      <c r="DU1023" s="13"/>
      <c r="DV1023" s="13"/>
      <c r="DW1023" s="15"/>
    </row>
    <row r="1024" spans="1:127" ht="15" customHeight="1" x14ac:dyDescent="0.2">
      <c r="A1024" s="79"/>
      <c r="B1024" s="74" t="e">
        <f>B1023*A1021</f>
        <v>#REF!</v>
      </c>
      <c r="C1024" s="5" t="s">
        <v>27</v>
      </c>
      <c r="D1024" s="13" t="e">
        <f>#REF!</f>
        <v>#REF!</v>
      </c>
      <c r="E1024" s="13"/>
      <c r="F1024" s="13"/>
      <c r="G1024" s="5"/>
      <c r="H1024" s="13"/>
      <c r="I1024" s="24"/>
      <c r="J1024" s="272" t="s">
        <v>29</v>
      </c>
      <c r="K1024" s="272"/>
      <c r="L1024" s="53">
        <f>(G1001+I1001)*K1001+(G1002+I1002)*K1002+(G1003+I1003)*K1003+(G1004+I1004)*K1004</f>
        <v>61428</v>
      </c>
      <c r="M1024" s="14"/>
      <c r="N1024" s="15"/>
      <c r="O1024" s="2"/>
      <c r="P1024" s="79"/>
      <c r="Q1024" s="5" t="s">
        <v>27</v>
      </c>
      <c r="R1024" s="13" t="e">
        <f>#REF!</f>
        <v>#REF!</v>
      </c>
      <c r="S1024" s="13"/>
      <c r="T1024" s="13"/>
      <c r="U1024" s="5"/>
      <c r="V1024" s="13"/>
      <c r="W1024" s="24"/>
      <c r="X1024" s="272" t="s">
        <v>29</v>
      </c>
      <c r="Y1024" s="272"/>
      <c r="Z1024" s="53">
        <f>(U1001+W1001)*Y1001+(U1002+W1002)*Y1002+(U1003+W1003)*Y1003+(U1004+W1004)*Y1004</f>
        <v>58200</v>
      </c>
      <c r="AA1024" s="14"/>
      <c r="AB1024" s="15"/>
      <c r="AD1024" s="79"/>
      <c r="AE1024" s="5" t="s">
        <v>27</v>
      </c>
      <c r="AF1024" s="13" t="e">
        <f>#REF!</f>
        <v>#REF!</v>
      </c>
      <c r="AG1024" s="13"/>
      <c r="AH1024" s="13"/>
      <c r="AI1024" s="5"/>
      <c r="AJ1024" s="13"/>
      <c r="AK1024" s="24"/>
      <c r="AL1024" s="272" t="s">
        <v>29</v>
      </c>
      <c r="AM1024" s="272"/>
      <c r="AN1024" s="53">
        <f>(AI1001+AK1001)*AM1001+(AI1002+AK1002)*AM1002+(AI1003+AK1003)*AM1003+(AI1004+AK1004)*AM1004</f>
        <v>83294</v>
      </c>
      <c r="AO1024" s="14"/>
      <c r="AP1024" s="15"/>
      <c r="AQ1024" s="2"/>
      <c r="AR1024" s="79"/>
      <c r="AS1024" s="5" t="s">
        <v>27</v>
      </c>
      <c r="AT1024" s="13" t="e">
        <f>#REF!</f>
        <v>#REF!</v>
      </c>
      <c r="AU1024" s="13"/>
      <c r="AV1024" s="13"/>
      <c r="AW1024" s="5"/>
      <c r="AX1024" s="13"/>
      <c r="AY1024" s="24"/>
      <c r="AZ1024" s="272" t="s">
        <v>29</v>
      </c>
      <c r="BA1024" s="272"/>
      <c r="BB1024" s="53">
        <f>(AW1001+AY1001)*BA1001+(AW1002+AY1002)*BA1002+(AW1003+AY1003)*BA1003+(AW1004+AY1004)*BA1004</f>
        <v>108816</v>
      </c>
      <c r="BC1024" s="14"/>
      <c r="BD1024" s="15"/>
      <c r="BU1024" s="16"/>
      <c r="BV1024" s="37" t="s">
        <v>27</v>
      </c>
      <c r="BW1024" s="13" t="e">
        <f>#REF!</f>
        <v>#REF!</v>
      </c>
      <c r="BX1024" s="13"/>
      <c r="BY1024" s="13"/>
      <c r="BZ1024" s="5" t="s">
        <v>26</v>
      </c>
      <c r="CA1024" s="13" t="e">
        <f>BW1023-CA1023</f>
        <v>#REF!</v>
      </c>
      <c r="CB1024" s="36" t="e">
        <f>CA1024/BW1021</f>
        <v>#REF!</v>
      </c>
      <c r="CC1024" s="36"/>
      <c r="CD1024" s="14"/>
      <c r="CE1024" s="14"/>
      <c r="CF1024" s="14"/>
      <c r="CG1024" s="15"/>
      <c r="CH1024" s="1"/>
      <c r="CI1024" s="16"/>
      <c r="CJ1024" s="37" t="s">
        <v>27</v>
      </c>
      <c r="CK1024" s="13" t="e">
        <f>#REF!</f>
        <v>#REF!</v>
      </c>
      <c r="CL1024" s="13"/>
      <c r="CM1024" s="13"/>
      <c r="CN1024" s="5" t="s">
        <v>26</v>
      </c>
      <c r="CO1024" s="13" t="e">
        <f>CK1023-CO1023</f>
        <v>#REF!</v>
      </c>
      <c r="CP1024" s="36" t="e">
        <f>CO1024/CK1021</f>
        <v>#REF!</v>
      </c>
      <c r="CQ1024" s="36"/>
      <c r="CR1024" s="14"/>
      <c r="CS1024" s="14"/>
      <c r="CT1024" s="14"/>
      <c r="CU1024" s="15"/>
      <c r="CV1024" s="1"/>
      <c r="CW1024" s="16"/>
      <c r="CX1024" s="37" t="s">
        <v>27</v>
      </c>
      <c r="CY1024" s="13" t="e">
        <f>#REF!</f>
        <v>#REF!</v>
      </c>
      <c r="CZ1024" s="13"/>
      <c r="DA1024" s="13"/>
      <c r="DB1024" s="5" t="s">
        <v>26</v>
      </c>
      <c r="DC1024" s="13" t="e">
        <f>CY1023-DC1023</f>
        <v>#REF!</v>
      </c>
      <c r="DD1024" s="36" t="e">
        <f>DC1024/CY1021</f>
        <v>#REF!</v>
      </c>
      <c r="DE1024" s="36"/>
      <c r="DF1024" s="14"/>
      <c r="DG1024" s="14"/>
      <c r="DH1024" s="14"/>
      <c r="DI1024" s="15"/>
      <c r="DJ1024" s="1"/>
      <c r="DK1024" s="16"/>
      <c r="DL1024" s="37" t="s">
        <v>27</v>
      </c>
      <c r="DM1024" s="13" t="e">
        <f>#REF!</f>
        <v>#REF!</v>
      </c>
      <c r="DN1024" s="13"/>
      <c r="DO1024" s="13"/>
      <c r="DP1024" s="5" t="s">
        <v>26</v>
      </c>
      <c r="DQ1024" s="13" t="e">
        <f>DM1023-DQ1023</f>
        <v>#REF!</v>
      </c>
      <c r="DR1024" s="36" t="e">
        <f>DQ1024/DM1021</f>
        <v>#REF!</v>
      </c>
      <c r="DS1024" s="36"/>
      <c r="DT1024" s="14"/>
      <c r="DU1024" s="14"/>
      <c r="DV1024" s="14"/>
      <c r="DW1024" s="15"/>
    </row>
    <row r="1025" spans="1:127" ht="15" customHeight="1" x14ac:dyDescent="0.2">
      <c r="A1025" s="273" t="s">
        <v>57</v>
      </c>
      <c r="B1025" s="274"/>
      <c r="C1025" s="273" t="s">
        <v>62</v>
      </c>
      <c r="D1025" s="274"/>
      <c r="E1025" s="273" t="s">
        <v>63</v>
      </c>
      <c r="F1025" s="275"/>
      <c r="G1025" s="5"/>
      <c r="H1025" s="13"/>
      <c r="I1025" s="24"/>
      <c r="J1025" s="99"/>
      <c r="K1025" s="102"/>
      <c r="L1025" s="53"/>
      <c r="M1025" s="14"/>
      <c r="N1025" s="15"/>
      <c r="O1025" s="2"/>
      <c r="P1025" s="85"/>
      <c r="Q1025" s="69"/>
      <c r="R1025" s="13"/>
      <c r="S1025" s="13"/>
      <c r="T1025" s="13"/>
      <c r="U1025" s="5"/>
      <c r="V1025" s="13"/>
      <c r="W1025" s="24"/>
      <c r="X1025" s="99"/>
      <c r="Y1025" s="102"/>
      <c r="Z1025" s="53"/>
      <c r="AA1025" s="14"/>
      <c r="AB1025" s="15"/>
      <c r="AD1025" s="85"/>
      <c r="AE1025" s="69"/>
      <c r="AF1025" s="13"/>
      <c r="AG1025" s="13"/>
      <c r="AH1025" s="13"/>
      <c r="AI1025" s="5"/>
      <c r="AJ1025" s="13"/>
      <c r="AK1025" s="24"/>
      <c r="AL1025" s="99"/>
      <c r="AM1025" s="102"/>
      <c r="AN1025" s="53"/>
      <c r="AO1025" s="14"/>
      <c r="AP1025" s="15"/>
      <c r="AQ1025" s="2"/>
      <c r="AR1025" s="85"/>
      <c r="AS1025" s="69"/>
      <c r="AT1025" s="13"/>
      <c r="AU1025" s="13"/>
      <c r="AV1025" s="13"/>
      <c r="AW1025" s="5"/>
      <c r="AX1025" s="13"/>
      <c r="AY1025" s="24"/>
      <c r="AZ1025" s="118"/>
      <c r="BA1025" s="102"/>
      <c r="BB1025" s="53"/>
      <c r="BC1025" s="14"/>
      <c r="BD1025" s="15"/>
      <c r="BU1025" s="16"/>
      <c r="BV1025" s="25"/>
      <c r="BW1025" s="13"/>
      <c r="BX1025" s="13"/>
      <c r="BY1025" s="13"/>
      <c r="BZ1025" s="263" t="s">
        <v>29</v>
      </c>
      <c r="CA1025" s="264"/>
      <c r="CB1025" s="13">
        <f>(BZ972+CB972)*CD972</f>
        <v>37400</v>
      </c>
      <c r="CC1025" s="13"/>
      <c r="CD1025" s="14"/>
      <c r="CE1025" s="14"/>
      <c r="CF1025" s="14"/>
      <c r="CG1025" s="15"/>
      <c r="CH1025" s="1"/>
      <c r="CI1025" s="16"/>
      <c r="CJ1025" s="25"/>
      <c r="CK1025" s="13"/>
      <c r="CL1025" s="13"/>
      <c r="CM1025" s="13"/>
      <c r="CN1025" s="263" t="s">
        <v>29</v>
      </c>
      <c r="CO1025" s="264"/>
      <c r="CP1025" s="13">
        <f>(CN972+CP972)*CR972</f>
        <v>12300</v>
      </c>
      <c r="CQ1025" s="13"/>
      <c r="CR1025" s="14"/>
      <c r="CS1025" s="14"/>
      <c r="CT1025" s="14"/>
      <c r="CU1025" s="15"/>
      <c r="CV1025" s="1"/>
      <c r="CW1025" s="16"/>
      <c r="CX1025" s="25"/>
      <c r="CY1025" s="13"/>
      <c r="CZ1025" s="13"/>
      <c r="DA1025" s="13"/>
      <c r="DB1025" s="263" t="s">
        <v>29</v>
      </c>
      <c r="DC1025" s="264"/>
      <c r="DD1025" s="13">
        <f>(DB972+DD972)*DF972</f>
        <v>18630</v>
      </c>
      <c r="DE1025" s="13"/>
      <c r="DF1025" s="14"/>
      <c r="DG1025" s="14"/>
      <c r="DH1025" s="14"/>
      <c r="DI1025" s="15"/>
      <c r="DJ1025" s="1"/>
      <c r="DK1025" s="16"/>
      <c r="DL1025" s="25"/>
      <c r="DM1025" s="13"/>
      <c r="DN1025" s="13"/>
      <c r="DO1025" s="13"/>
      <c r="DP1025" s="263" t="s">
        <v>29</v>
      </c>
      <c r="DQ1025" s="264"/>
      <c r="DR1025" s="13">
        <f>(DP972+DR972)*DT972</f>
        <v>13475</v>
      </c>
      <c r="DS1025" s="13"/>
      <c r="DT1025" s="14"/>
      <c r="DU1025" s="14"/>
      <c r="DV1025" s="14"/>
      <c r="DW1025" s="15"/>
    </row>
    <row r="1026" spans="1:127" ht="15" customHeight="1" x14ac:dyDescent="0.2">
      <c r="A1026" s="283" t="e">
        <f>E1022+S1022+AG1022+AU1022</f>
        <v>#REF!</v>
      </c>
      <c r="B1026" s="284"/>
      <c r="C1026" s="267">
        <f>L1021+Z1021+AN1021+BB1021</f>
        <v>351450</v>
      </c>
      <c r="D1026" s="268"/>
      <c r="E1026" s="267">
        <f>L1024+Z1024+AN1024+BB1024</f>
        <v>311738</v>
      </c>
      <c r="F1026" s="268"/>
      <c r="G1026" s="5"/>
      <c r="H1026" s="13"/>
      <c r="I1026" s="24"/>
      <c r="J1026" s="99"/>
      <c r="K1026" s="102"/>
      <c r="L1026" s="53"/>
      <c r="M1026" s="14"/>
      <c r="N1026" s="15"/>
      <c r="O1026" s="2"/>
      <c r="P1026" s="85"/>
      <c r="Q1026" s="69"/>
      <c r="R1026" s="13"/>
      <c r="S1026" s="13"/>
      <c r="T1026" s="13"/>
      <c r="U1026" s="5"/>
      <c r="V1026" s="13"/>
      <c r="W1026" s="24"/>
      <c r="X1026" s="99"/>
      <c r="Y1026" s="102"/>
      <c r="Z1026" s="53"/>
      <c r="AA1026" s="14"/>
      <c r="AB1026" s="15"/>
      <c r="AD1026" s="85"/>
      <c r="AE1026" s="69"/>
      <c r="AF1026" s="13"/>
      <c r="AG1026" s="13"/>
      <c r="AH1026" s="13"/>
      <c r="AI1026" s="5"/>
      <c r="AJ1026" s="13"/>
      <c r="AK1026" s="24"/>
      <c r="AL1026" s="99"/>
      <c r="AM1026" s="102"/>
      <c r="AN1026" s="53"/>
      <c r="AO1026" s="14"/>
      <c r="AP1026" s="15"/>
      <c r="AQ1026" s="2"/>
      <c r="AR1026" s="85"/>
      <c r="AS1026" s="69"/>
      <c r="AT1026" s="13"/>
      <c r="AU1026" s="13"/>
      <c r="AV1026" s="13"/>
      <c r="AW1026" s="5"/>
      <c r="AX1026" s="13"/>
      <c r="AY1026" s="24"/>
      <c r="AZ1026" s="118"/>
      <c r="BA1026" s="102"/>
      <c r="BB1026" s="53"/>
      <c r="BC1026" s="14"/>
      <c r="BD1026" s="15"/>
      <c r="BU1026" s="16"/>
      <c r="BV1026" s="25"/>
      <c r="BW1026" s="13"/>
      <c r="BX1026" s="13"/>
      <c r="BY1026" s="13"/>
      <c r="BZ1026" s="5"/>
      <c r="CA1026" s="13"/>
      <c r="CB1026" s="13"/>
      <c r="CC1026" s="13"/>
      <c r="CD1026" s="14"/>
      <c r="CE1026" s="14"/>
      <c r="CF1026" s="14"/>
      <c r="CG1026" s="15"/>
      <c r="CH1026" s="1"/>
      <c r="CI1026" s="16"/>
      <c r="CJ1026" s="25"/>
      <c r="CK1026" s="13"/>
      <c r="CL1026" s="13"/>
      <c r="CM1026" s="13"/>
      <c r="CN1026" s="5"/>
      <c r="CO1026" s="13"/>
      <c r="CP1026" s="13"/>
      <c r="CQ1026" s="13"/>
      <c r="CR1026" s="14"/>
      <c r="CS1026" s="14"/>
      <c r="CT1026" s="14"/>
      <c r="CU1026" s="15"/>
      <c r="CV1026" s="1"/>
      <c r="CW1026" s="16"/>
      <c r="CX1026" s="25"/>
      <c r="CY1026" s="13"/>
      <c r="CZ1026" s="13"/>
      <c r="DA1026" s="13"/>
      <c r="DB1026" s="5"/>
      <c r="DC1026" s="13"/>
      <c r="DD1026" s="13"/>
      <c r="DE1026" s="13"/>
      <c r="DF1026" s="14"/>
      <c r="DG1026" s="14"/>
      <c r="DH1026" s="14"/>
      <c r="DI1026" s="15"/>
      <c r="DJ1026" s="1"/>
      <c r="DK1026" s="16"/>
      <c r="DL1026" s="25"/>
      <c r="DM1026" s="13"/>
      <c r="DN1026" s="13"/>
      <c r="DO1026" s="13"/>
      <c r="DP1026" s="5"/>
      <c r="DQ1026" s="13"/>
      <c r="DR1026" s="13"/>
      <c r="DS1026" s="13"/>
      <c r="DT1026" s="14"/>
      <c r="DU1026" s="14"/>
      <c r="DV1026" s="14"/>
      <c r="DW1026" s="15"/>
    </row>
    <row r="1027" spans="1:127" ht="15" customHeight="1" x14ac:dyDescent="0.2">
      <c r="A1027" s="95"/>
      <c r="B1027" s="97"/>
      <c r="C1027" s="98"/>
      <c r="D1027" s="106" t="e">
        <f>C1026/A1026</f>
        <v>#REF!</v>
      </c>
      <c r="E1027" s="104"/>
      <c r="F1027" s="96"/>
      <c r="G1027" s="5"/>
      <c r="H1027" s="13"/>
      <c r="I1027" s="24"/>
      <c r="J1027" s="99"/>
      <c r="K1027" s="102"/>
      <c r="L1027" s="53"/>
      <c r="M1027" s="14"/>
      <c r="N1027" s="15"/>
      <c r="O1027" s="2"/>
      <c r="P1027" s="85"/>
      <c r="Q1027" s="69"/>
      <c r="R1027" s="13"/>
      <c r="S1027" s="13"/>
      <c r="T1027" s="13"/>
      <c r="U1027" s="5"/>
      <c r="V1027" s="13"/>
      <c r="W1027" s="24"/>
      <c r="X1027" s="99"/>
      <c r="Y1027" s="102"/>
      <c r="Z1027" s="53"/>
      <c r="AA1027" s="14"/>
      <c r="AB1027" s="15"/>
      <c r="AD1027" s="85"/>
      <c r="AE1027" s="69"/>
      <c r="AF1027" s="13"/>
      <c r="AG1027" s="13"/>
      <c r="AH1027" s="13"/>
      <c r="AI1027" s="5"/>
      <c r="AJ1027" s="13"/>
      <c r="AK1027" s="24"/>
      <c r="AL1027" s="99"/>
      <c r="AM1027" s="102"/>
      <c r="AN1027" s="53"/>
      <c r="AO1027" s="14"/>
      <c r="AP1027" s="15"/>
      <c r="AQ1027" s="2"/>
      <c r="AR1027" s="85"/>
      <c r="AS1027" s="69"/>
      <c r="AT1027" s="13"/>
      <c r="AU1027" s="13"/>
      <c r="AV1027" s="13"/>
      <c r="AW1027" s="5"/>
      <c r="AX1027" s="13"/>
      <c r="AY1027" s="24"/>
      <c r="AZ1027" s="118"/>
      <c r="BA1027" s="102"/>
      <c r="BB1027" s="53"/>
      <c r="BC1027" s="14"/>
      <c r="BD1027" s="15"/>
      <c r="BU1027" s="16"/>
      <c r="BV1027" s="25"/>
      <c r="BW1027" s="13"/>
      <c r="BX1027" s="13"/>
      <c r="BY1027" s="13"/>
      <c r="BZ1027" s="5"/>
      <c r="CA1027" s="13"/>
      <c r="CB1027" s="36"/>
      <c r="CC1027" s="36"/>
      <c r="CD1027" s="13"/>
      <c r="CE1027" s="13"/>
      <c r="CF1027" s="13"/>
      <c r="CG1027" s="15"/>
      <c r="CH1027" s="1"/>
      <c r="CI1027" s="16"/>
      <c r="CJ1027" s="25"/>
      <c r="CK1027" s="13"/>
      <c r="CL1027" s="13"/>
      <c r="CM1027" s="13"/>
      <c r="CN1027" s="5"/>
      <c r="CO1027" s="13"/>
      <c r="CP1027" s="36"/>
      <c r="CQ1027" s="36"/>
      <c r="CR1027" s="13"/>
      <c r="CS1027" s="13"/>
      <c r="CT1027" s="13"/>
      <c r="CU1027" s="15"/>
      <c r="CV1027" s="1"/>
      <c r="CW1027" s="16"/>
      <c r="CX1027" s="25"/>
      <c r="CY1027" s="13"/>
      <c r="CZ1027" s="13"/>
      <c r="DA1027" s="13"/>
      <c r="DB1027" s="5"/>
      <c r="DC1027" s="13"/>
      <c r="DD1027" s="36"/>
      <c r="DE1027" s="36"/>
      <c r="DF1027" s="13"/>
      <c r="DG1027" s="13"/>
      <c r="DH1027" s="13"/>
      <c r="DI1027" s="15"/>
      <c r="DJ1027" s="1"/>
      <c r="DK1027" s="16"/>
      <c r="DL1027" s="25"/>
      <c r="DM1027" s="13"/>
      <c r="DN1027" s="13"/>
      <c r="DO1027" s="13"/>
      <c r="DP1027" s="5"/>
      <c r="DQ1027" s="13"/>
      <c r="DR1027" s="36"/>
      <c r="DS1027" s="36"/>
      <c r="DT1027" s="13"/>
      <c r="DU1027" s="13"/>
      <c r="DV1027" s="13"/>
      <c r="DW1027" s="15"/>
    </row>
    <row r="1028" spans="1:127" ht="15" customHeight="1" x14ac:dyDescent="0.2">
      <c r="A1028" s="95"/>
      <c r="B1028" s="97"/>
      <c r="C1028" s="98"/>
      <c r="D1028" s="96"/>
      <c r="E1028" s="5" t="s">
        <v>22</v>
      </c>
      <c r="F1028" s="13"/>
      <c r="G1028" s="5"/>
      <c r="H1028" s="13"/>
      <c r="I1028" s="13"/>
      <c r="J1028" s="68"/>
      <c r="K1028" s="82"/>
      <c r="L1028" s="14"/>
      <c r="M1028" s="14"/>
      <c r="N1028" s="15"/>
      <c r="O1028" s="2"/>
      <c r="P1028" s="86"/>
      <c r="Q1028" s="54"/>
      <c r="R1028" s="13"/>
      <c r="S1028" s="5" t="s">
        <v>22</v>
      </c>
      <c r="T1028" s="13"/>
      <c r="U1028" s="5"/>
      <c r="V1028" s="13"/>
      <c r="W1028" s="13"/>
      <c r="X1028" s="52"/>
      <c r="Y1028" s="82"/>
      <c r="Z1028" s="14"/>
      <c r="AA1028" s="14"/>
      <c r="AB1028" s="15"/>
      <c r="AD1028" s="86"/>
      <c r="AE1028" s="54"/>
      <c r="AF1028" s="13"/>
      <c r="AG1028" s="5" t="s">
        <v>22</v>
      </c>
      <c r="AH1028" s="13"/>
      <c r="AI1028" s="5"/>
      <c r="AJ1028" s="13"/>
      <c r="AK1028" s="13"/>
      <c r="AL1028" s="68"/>
      <c r="AM1028" s="82"/>
      <c r="AN1028" s="14"/>
      <c r="AO1028" s="14"/>
      <c r="AP1028" s="15"/>
      <c r="AQ1028" s="2"/>
      <c r="AR1028" s="86"/>
      <c r="AS1028" s="54"/>
      <c r="AT1028" s="13"/>
      <c r="AU1028" s="5" t="s">
        <v>22</v>
      </c>
      <c r="AV1028" s="13"/>
      <c r="AW1028" s="5"/>
      <c r="AX1028" s="13"/>
      <c r="AY1028" s="13"/>
      <c r="AZ1028" s="68"/>
      <c r="BA1028" s="82"/>
      <c r="BB1028" s="14"/>
      <c r="BC1028" s="14"/>
      <c r="BD1028" s="15"/>
      <c r="BU1028" s="16"/>
      <c r="BV1028" s="13"/>
      <c r="BW1028" s="13"/>
      <c r="BX1028" s="13"/>
      <c r="BY1028" s="13"/>
      <c r="BZ1028" s="5"/>
      <c r="CA1028" s="13"/>
      <c r="CB1028" s="36"/>
      <c r="CC1028" s="36"/>
      <c r="CD1028" s="13"/>
      <c r="CE1028" s="13"/>
      <c r="CF1028" s="13"/>
      <c r="CG1028" s="15"/>
      <c r="CH1028" s="1"/>
      <c r="CI1028" s="16"/>
      <c r="CJ1028" s="13"/>
      <c r="CK1028" s="13"/>
      <c r="CL1028" s="13"/>
      <c r="CM1028" s="13"/>
      <c r="CN1028" s="5"/>
      <c r="CO1028" s="13"/>
      <c r="CP1028" s="36"/>
      <c r="CQ1028" s="36"/>
      <c r="CR1028" s="13"/>
      <c r="CS1028" s="13"/>
      <c r="CT1028" s="13"/>
      <c r="CU1028" s="15"/>
      <c r="CV1028" s="1"/>
      <c r="CW1028" s="16"/>
      <c r="CX1028" s="13"/>
      <c r="CY1028" s="13"/>
      <c r="CZ1028" s="13"/>
      <c r="DA1028" s="13"/>
      <c r="DB1028" s="5"/>
      <c r="DC1028" s="13"/>
      <c r="DD1028" s="36"/>
      <c r="DE1028" s="36"/>
      <c r="DF1028" s="13"/>
      <c r="DG1028" s="13"/>
      <c r="DH1028" s="13"/>
      <c r="DI1028" s="15"/>
      <c r="DJ1028" s="1"/>
      <c r="DK1028" s="16"/>
      <c r="DL1028" s="13"/>
      <c r="DM1028" s="13"/>
      <c r="DN1028" s="13"/>
      <c r="DO1028" s="13"/>
      <c r="DP1028" s="5"/>
      <c r="DQ1028" s="13"/>
      <c r="DR1028" s="36"/>
      <c r="DS1028" s="36"/>
      <c r="DT1028" s="13"/>
      <c r="DU1028" s="13"/>
      <c r="DV1028" s="13"/>
      <c r="DW1028" s="15"/>
    </row>
    <row r="1029" spans="1:127" ht="15" customHeight="1" x14ac:dyDescent="0.2">
      <c r="A1029" s="258" t="s">
        <v>28</v>
      </c>
      <c r="B1029" s="260"/>
      <c r="C1029" s="259"/>
      <c r="D1029" s="38">
        <f>SUM(D965,D969,D973,D977,D981,D985,D989,D993,D997,D1001,D1005,D1009,D1013)*100</f>
        <v>116300</v>
      </c>
      <c r="E1029" s="54" t="e">
        <f>D1029/A1022</f>
        <v>#REF!</v>
      </c>
      <c r="F1029" s="13"/>
      <c r="G1029" s="5">
        <f>D1029/H1029</f>
        <v>4845.833333333333</v>
      </c>
      <c r="H1029" s="38">
        <f>SUM(H965,H969,H973,H977,H981,H985,H990,H993,H997,H1001,H1005,H1009,H1013)</f>
        <v>24</v>
      </c>
      <c r="I1029" s="13"/>
      <c r="J1029" s="75" t="str">
        <f t="shared" ref="J1029:K1032" si="1600">J965</f>
        <v>ジャグラーサウンドボタン</v>
      </c>
      <c r="K1029" s="76">
        <f t="shared" si="1600"/>
        <v>748</v>
      </c>
      <c r="L1029" s="38">
        <f>SUM(L965,L969,L973,L977,L981,L985,L990,L993,L997,L1001,L1005,L1009,L1013)</f>
        <v>18084</v>
      </c>
      <c r="M1029" s="36">
        <f>L1029/D1029</f>
        <v>0.15549441100601891</v>
      </c>
      <c r="N1029" s="15"/>
      <c r="O1029" s="2"/>
      <c r="P1029" s="258" t="s">
        <v>28</v>
      </c>
      <c r="Q1029" s="259"/>
      <c r="R1029" s="38">
        <f>SUM(R965,R969,R973,R977,R981,R985,R990,R993,R997,R1001,R1005,R1009,R1013)*100</f>
        <v>93800</v>
      </c>
      <c r="S1029" s="54" t="e">
        <f>R1029/#REF!</f>
        <v>#REF!</v>
      </c>
      <c r="T1029" s="13"/>
      <c r="U1029" s="5">
        <f>R1029/V1029</f>
        <v>2605.5555555555557</v>
      </c>
      <c r="V1029" s="38">
        <f>SUM(V965,V969,V973,V977,V981,V985,V990,V993,V997,V1001,V1005,V1009,V1013)</f>
        <v>36</v>
      </c>
      <c r="W1029" s="13"/>
      <c r="X1029" s="78" t="str">
        <f t="shared" ref="X1029:Y1032" si="1601">X965</f>
        <v>じゃがりこイヤホン</v>
      </c>
      <c r="Y1029" s="76">
        <f t="shared" si="1601"/>
        <v>1100</v>
      </c>
      <c r="Z1029" s="38">
        <f>SUM(Z965,Z969,Z973,Z977,Z981,Z985,Z990,Z993,Z997,Z1001,Z1005,Z1009,Z1013)</f>
        <v>39600</v>
      </c>
      <c r="AA1029" s="36">
        <f>Z1029/R1029</f>
        <v>0.42217484008528783</v>
      </c>
      <c r="AB1029" s="15"/>
      <c r="AC1029" s="23"/>
      <c r="AD1029" s="258" t="s">
        <v>28</v>
      </c>
      <c r="AE1029" s="259"/>
      <c r="AF1029" s="38">
        <f>SUM(AF965,AF969,AF973,AF977,AF981,AF985,AF989,AF993,AF997,AF1001,AF1005,AF1009,AF1013)*100</f>
        <v>64700</v>
      </c>
      <c r="AG1029" s="54" t="e">
        <f>AF1029/#REF!</f>
        <v>#REF!</v>
      </c>
      <c r="AH1029" s="13"/>
      <c r="AI1029" s="5">
        <f>AF1029/AJ1029</f>
        <v>4313.333333333333</v>
      </c>
      <c r="AJ1029" s="38">
        <f>SUM(AJ965,AJ969,AJ973,AJ977,AJ981,AJ985,AJ990,AJ993,AJ997,AJ1001,AJ1005,AJ1009,AJ1013)</f>
        <v>15</v>
      </c>
      <c r="AK1029" s="13"/>
      <c r="AL1029" s="75" t="str">
        <f t="shared" ref="AL1029:AM1032" si="1602">AL965</f>
        <v>ミニ香水</v>
      </c>
      <c r="AM1029" s="76">
        <f t="shared" si="1602"/>
        <v>1100</v>
      </c>
      <c r="AN1029" s="38">
        <f>SUM(AN965,AN969,AN973,AN977,AN981,AN985,AN990,AN993,AN997,AN1001,AN1005,AN1009,AN1013)</f>
        <v>14700</v>
      </c>
      <c r="AO1029" s="36">
        <f>AN1029/AF1029</f>
        <v>0.22720247295208656</v>
      </c>
      <c r="AP1029" s="15"/>
      <c r="AQ1029" s="2"/>
      <c r="AR1029" s="258" t="s">
        <v>28</v>
      </c>
      <c r="AS1029" s="259"/>
      <c r="AT1029" s="38">
        <f>SUM(AT965,AT969,AT973,AT977,AT981,AT985,AT990,AT993,AT997,AT1001,AT1005,AT1009,AT1013)*100</f>
        <v>75300</v>
      </c>
      <c r="AU1029" s="54" t="e">
        <f>AT1029/#REF!</f>
        <v>#REF!</v>
      </c>
      <c r="AV1029" s="13"/>
      <c r="AW1029" s="5">
        <f>AT1029/AX1029</f>
        <v>1636.9565217391305</v>
      </c>
      <c r="AX1029" s="38">
        <f>SUM(AX965,AX969,AX973,AX977,AX981,AX985,AX990,AX993,AX997,AX1001,AX1005,AX1009,AX1013)</f>
        <v>46</v>
      </c>
      <c r="AY1029" s="13"/>
      <c r="AZ1029" s="75" t="str">
        <f t="shared" ref="AZ1029:BA1032" si="1603">AZ965</f>
        <v>ロムアンド</v>
      </c>
      <c r="BA1029" s="76">
        <f t="shared" si="1603"/>
        <v>1001</v>
      </c>
      <c r="BB1029" s="38">
        <f>SUM(BB965,BB969,BB973,BB977,BB981,BB985,BB990,BB993,BB997,BB1001,BB1005,BB1009,BB1013)</f>
        <v>26646</v>
      </c>
      <c r="BC1029" s="36">
        <f>BB1029/AT1029</f>
        <v>0.3538645418326693</v>
      </c>
      <c r="BD1029" s="15"/>
      <c r="BU1029" s="16"/>
      <c r="BV1029" s="270"/>
      <c r="BW1029" s="270"/>
      <c r="BX1029" s="10"/>
      <c r="BY1029" s="13"/>
      <c r="BZ1029" s="5"/>
      <c r="CA1029" s="13"/>
      <c r="CB1029" s="36"/>
      <c r="CC1029" s="36"/>
      <c r="CD1029" s="13"/>
      <c r="CE1029" s="13"/>
      <c r="CF1029" s="13"/>
      <c r="CG1029" s="15"/>
      <c r="CH1029" s="1"/>
      <c r="CI1029" s="16"/>
      <c r="CJ1029" s="270"/>
      <c r="CK1029" s="270"/>
      <c r="CL1029" s="10"/>
      <c r="CM1029" s="13"/>
      <c r="CN1029" s="5"/>
      <c r="CO1029" s="13"/>
      <c r="CP1029" s="36"/>
      <c r="CQ1029" s="36"/>
      <c r="CR1029" s="13"/>
      <c r="CS1029" s="13"/>
      <c r="CT1029" s="13"/>
      <c r="CU1029" s="15"/>
      <c r="CV1029" s="1"/>
      <c r="CW1029" s="16"/>
      <c r="CX1029" s="270"/>
      <c r="CY1029" s="270"/>
      <c r="CZ1029" s="10"/>
      <c r="DA1029" s="13"/>
      <c r="DB1029" s="5"/>
      <c r="DC1029" s="13"/>
      <c r="DD1029" s="36"/>
      <c r="DE1029" s="36"/>
      <c r="DF1029" s="13"/>
      <c r="DG1029" s="13"/>
      <c r="DH1029" s="13"/>
      <c r="DI1029" s="15"/>
      <c r="DJ1029" s="1"/>
      <c r="DK1029" s="16"/>
      <c r="DL1029" s="270"/>
      <c r="DM1029" s="270"/>
      <c r="DN1029" s="10"/>
      <c r="DO1029" s="13"/>
      <c r="DP1029" s="5"/>
      <c r="DQ1029" s="13"/>
      <c r="DR1029" s="36"/>
      <c r="DS1029" s="36"/>
      <c r="DT1029" s="13"/>
      <c r="DU1029" s="13"/>
      <c r="DV1029" s="13"/>
      <c r="DW1029" s="15"/>
    </row>
    <row r="1030" spans="1:127" x14ac:dyDescent="0.2">
      <c r="A1030" s="258" t="s">
        <v>28</v>
      </c>
      <c r="B1030" s="260"/>
      <c r="C1030" s="259"/>
      <c r="D1030" s="38">
        <f>SUM(D966,D970,D974,D978,D982,D986,D990,D994,D998,D1002,D1006,D1010,D1014)*100</f>
        <v>87500</v>
      </c>
      <c r="E1030" s="54" t="e">
        <f>D1030/A1022</f>
        <v>#REF!</v>
      </c>
      <c r="F1030" s="13"/>
      <c r="G1030" s="5">
        <f>D1030/H1030</f>
        <v>3017.2413793103447</v>
      </c>
      <c r="H1030" s="38">
        <f>SUM(H966,H970,H974,H978,H982,H986,H989,H994,H998,H1002,H1006,H1010,H1014)</f>
        <v>29</v>
      </c>
      <c r="I1030" s="13"/>
      <c r="J1030" s="75" t="str">
        <f t="shared" si="1600"/>
        <v>ゴールドイヤホン</v>
      </c>
      <c r="K1030" s="76">
        <f t="shared" si="1600"/>
        <v>770</v>
      </c>
      <c r="L1030" s="38">
        <f>SUM(L966,L970,L974,L978,L982,L986,L989,L994,L998,L1002,L1006,L1010,L1014)</f>
        <v>22176</v>
      </c>
      <c r="M1030" s="36">
        <f>L1030/D1030</f>
        <v>0.25344</v>
      </c>
      <c r="N1030" s="15"/>
      <c r="O1030" s="2"/>
      <c r="P1030" s="258" t="s">
        <v>28</v>
      </c>
      <c r="Q1030" s="259"/>
      <c r="R1030" s="38">
        <f>SUM(R966,R970,R974,R978,R982,R986,R989,R994,R998,R1002,R1006,R1010,R1014)*100</f>
        <v>98500</v>
      </c>
      <c r="S1030" s="54" t="e">
        <f>R1030/#REF!</f>
        <v>#REF!</v>
      </c>
      <c r="T1030" s="13"/>
      <c r="U1030" s="5">
        <f>R1030/V1030</f>
        <v>2290.6976744186045</v>
      </c>
      <c r="V1030" s="38">
        <f>SUM(V966,V970,V974,V978,V982,V986,V989,V994,V998,V1002,V1006,V1010,V1014)</f>
        <v>43</v>
      </c>
      <c r="W1030" s="13"/>
      <c r="X1030" s="78" t="str">
        <f t="shared" si="1601"/>
        <v>サンリオアイスドームKH</v>
      </c>
      <c r="Y1030" s="76">
        <f t="shared" si="1601"/>
        <v>595</v>
      </c>
      <c r="Z1030" s="38">
        <f>SUM(Z966,Z970,Z974,Z978,Z982,Z986,Z989,Z994,Z998,Z1002,Z1006,Z1010,Z1014)</f>
        <v>37980</v>
      </c>
      <c r="AA1030" s="36">
        <f>Z1030/R1030</f>
        <v>0.38558375634517766</v>
      </c>
      <c r="AB1030" s="15"/>
      <c r="AC1030" s="1"/>
      <c r="AD1030" s="258" t="s">
        <v>28</v>
      </c>
      <c r="AE1030" s="259"/>
      <c r="AF1030" s="38">
        <f>SUM(AF966,AF970,AF974,AF978,AF982,AF986,AF990,AF994,AF998,AF1002,AF1006,AF1010,AF1014)*100</f>
        <v>89500</v>
      </c>
      <c r="AG1030" s="54" t="e">
        <f>AF1030/#REF!</f>
        <v>#REF!</v>
      </c>
      <c r="AH1030" s="13"/>
      <c r="AI1030" s="5">
        <f>AF1030/AJ1030</f>
        <v>8136.363636363636</v>
      </c>
      <c r="AJ1030" s="38">
        <f>SUM(AJ966,AJ970,AJ974,AJ978,AJ982,AJ986,AJ989,AJ994,AJ998,AJ1002,AJ1006,AJ1010,AJ1014)</f>
        <v>11</v>
      </c>
      <c r="AK1030" s="13"/>
      <c r="AL1030" s="75" t="str">
        <f t="shared" si="1602"/>
        <v>ロッテウォレット</v>
      </c>
      <c r="AM1030" s="76">
        <f t="shared" si="1602"/>
        <v>800</v>
      </c>
      <c r="AN1030" s="38">
        <f>SUM(AN966,AN970,AN974,AN978,AN982,AN986,AN989,AN994,AN998,AN1002,AN1006,AN1010,AN1014)</f>
        <v>9100</v>
      </c>
      <c r="AO1030" s="36">
        <f>AN1030/AF1030</f>
        <v>0.10167597765363129</v>
      </c>
      <c r="AP1030" s="15"/>
      <c r="AQ1030" s="2"/>
      <c r="AR1030" s="258" t="s">
        <v>28</v>
      </c>
      <c r="AS1030" s="259"/>
      <c r="AT1030" s="38">
        <f>SUM(AT966,AT970,AT974,AT978,AT982,AT986,AT989,AT994,AT998,AT1002,AT1006,AT1010,AT1014)*100</f>
        <v>46800</v>
      </c>
      <c r="AU1030" s="54" t="e">
        <f>AT1030/#REF!</f>
        <v>#REF!</v>
      </c>
      <c r="AV1030" s="13"/>
      <c r="AW1030" s="5">
        <f>AT1030/AX1030</f>
        <v>767.21311475409834</v>
      </c>
      <c r="AX1030" s="38">
        <f>SUM(AX966,AX970,AX974,AX978,AX982,AX986,AX989,AX994,AX998,AX1002,AX1006,AX1010,AX1014)</f>
        <v>61</v>
      </c>
      <c r="AY1030" s="13"/>
      <c r="AZ1030" s="75" t="str">
        <f t="shared" si="1603"/>
        <v>猫アイシャドウ</v>
      </c>
      <c r="BA1030" s="76">
        <f t="shared" si="1603"/>
        <v>1034</v>
      </c>
      <c r="BB1030" s="38">
        <f>SUM(BB966,BB970,BB974,BB978,BB982,BB986,BB989,BB994,BB998,BB1002,BB1006,BB1010,BB1014)</f>
        <v>22173</v>
      </c>
      <c r="BC1030" s="36">
        <f>BB1030/AT1030</f>
        <v>0.47378205128205131</v>
      </c>
      <c r="BD1030" s="15"/>
      <c r="BU1030" s="16"/>
      <c r="BV1030" s="270"/>
      <c r="BW1030" s="270"/>
      <c r="BX1030" s="13"/>
      <c r="BY1030" s="13"/>
      <c r="BZ1030" s="5"/>
      <c r="CA1030" s="13"/>
      <c r="CB1030" s="36"/>
      <c r="CC1030" s="36"/>
      <c r="CD1030" s="14"/>
      <c r="CE1030" s="14"/>
      <c r="CF1030" s="14"/>
      <c r="CG1030" s="15"/>
      <c r="CH1030" s="1"/>
      <c r="CI1030" s="16"/>
      <c r="CJ1030" s="270"/>
      <c r="CK1030" s="270"/>
      <c r="CL1030" s="13"/>
      <c r="CM1030" s="13"/>
      <c r="CN1030" s="5"/>
      <c r="CO1030" s="13"/>
      <c r="CP1030" s="36"/>
      <c r="CQ1030" s="36"/>
      <c r="CR1030" s="14"/>
      <c r="CS1030" s="14"/>
      <c r="CT1030" s="14"/>
      <c r="CU1030" s="15"/>
      <c r="CV1030" s="1"/>
      <c r="CW1030" s="16"/>
      <c r="CX1030" s="270"/>
      <c r="CY1030" s="270"/>
      <c r="CZ1030" s="13"/>
      <c r="DA1030" s="13"/>
      <c r="DB1030" s="5"/>
      <c r="DC1030" s="13"/>
      <c r="DD1030" s="36"/>
      <c r="DE1030" s="36"/>
      <c r="DF1030" s="14"/>
      <c r="DG1030" s="14"/>
      <c r="DH1030" s="14"/>
      <c r="DI1030" s="15"/>
      <c r="DJ1030" s="1"/>
      <c r="DK1030" s="16"/>
      <c r="DL1030" s="270"/>
      <c r="DM1030" s="270"/>
      <c r="DN1030" s="13"/>
      <c r="DO1030" s="13"/>
      <c r="DP1030" s="5"/>
      <c r="DQ1030" s="13"/>
      <c r="DR1030" s="36"/>
      <c r="DS1030" s="36"/>
      <c r="DT1030" s="14"/>
      <c r="DU1030" s="14"/>
      <c r="DV1030" s="14"/>
      <c r="DW1030" s="15"/>
    </row>
    <row r="1031" spans="1:127" x14ac:dyDescent="0.2">
      <c r="A1031" s="258" t="s">
        <v>28</v>
      </c>
      <c r="B1031" s="260"/>
      <c r="C1031" s="259"/>
      <c r="D1031" s="38">
        <f>SUM(D967,D971,D975,D979,D983,D987,D991,D995,D999,D1003,D1007,D1011,D1015)*100</f>
        <v>53800</v>
      </c>
      <c r="E1031" s="54" t="e">
        <f>D1031/A1022</f>
        <v>#REF!</v>
      </c>
      <c r="F1031" s="13"/>
      <c r="G1031" s="5">
        <f>D1031/H1031</f>
        <v>896.66666666666663</v>
      </c>
      <c r="H1031" s="38">
        <f>SUM(H967,H971,H975,H980,H983,H987,H991,H995,H999,H1003,H1007,H1011,H1015)</f>
        <v>60</v>
      </c>
      <c r="I1031" s="13"/>
      <c r="J1031" s="75" t="str">
        <f t="shared" si="1600"/>
        <v>ジョージラバーキーホルダー</v>
      </c>
      <c r="K1031" s="76">
        <f t="shared" si="1600"/>
        <v>600</v>
      </c>
      <c r="L1031" s="38">
        <f>SUM(L967,L971,L975,L980,L983,L987,L991,L995,L999,L1003,L1007,L1011,L1015)</f>
        <v>28142</v>
      </c>
      <c r="M1031" s="36">
        <f>L1031/D1031</f>
        <v>0.52308550185873603</v>
      </c>
      <c r="N1031" s="15"/>
      <c r="O1031" s="2"/>
      <c r="P1031" s="258" t="s">
        <v>28</v>
      </c>
      <c r="Q1031" s="259"/>
      <c r="R1031" s="38">
        <f>SUM(R967,R971,R975,R979,R983,R987,R991,R995,R999,R1003,R1007,R1011,R1015)*100</f>
        <v>94200</v>
      </c>
      <c r="S1031" s="54" t="e">
        <f>R1031/#REF!</f>
        <v>#REF!</v>
      </c>
      <c r="T1031" s="13"/>
      <c r="U1031" s="5">
        <f>R1031/V1031</f>
        <v>812.06896551724139</v>
      </c>
      <c r="V1031" s="38">
        <f>SUM(V967,V971,V975,V980,V983,V987,V991,V995,V999,V1003,V1007,V1011,V1015)</f>
        <v>116</v>
      </c>
      <c r="W1031" s="13"/>
      <c r="X1031" s="78" t="str">
        <f t="shared" si="1601"/>
        <v>グミッツェル</v>
      </c>
      <c r="Y1031" s="76">
        <f t="shared" si="1601"/>
        <v>165</v>
      </c>
      <c r="Z1031" s="38">
        <f>SUM(Z967,Z971,Z975,Z980,Z983,Z987,Z991,Z995,Z999,Z1003,Z1007,Z1011,Z1015)</f>
        <v>18240</v>
      </c>
      <c r="AA1031" s="36">
        <f>Z1031/R1031</f>
        <v>0.19363057324840766</v>
      </c>
      <c r="AB1031" s="15"/>
      <c r="AC1031" s="1"/>
      <c r="AD1031" s="258" t="s">
        <v>28</v>
      </c>
      <c r="AE1031" s="259"/>
      <c r="AF1031" s="38">
        <f>SUM(AF967,AF971,AF975,AF979,AF983,AF987,AF991,AF995,AF999,AF1003,AF1007,AF1011,AF1015)*100</f>
        <v>76600</v>
      </c>
      <c r="AG1031" s="54" t="e">
        <f>AF1031/#REF!</f>
        <v>#REF!</v>
      </c>
      <c r="AH1031" s="13"/>
      <c r="AI1031" s="5">
        <f>AF1031/AJ1031</f>
        <v>4031.5789473684213</v>
      </c>
      <c r="AJ1031" s="38">
        <f>SUM(AJ967,AJ971,AJ975,AJ980,AJ983,AJ987,AJ991,AJ995,AJ999,AJ1003,AJ1007,AJ1011,AJ1015)</f>
        <v>19</v>
      </c>
      <c r="AK1031" s="13"/>
      <c r="AL1031" s="75" t="str">
        <f t="shared" si="1602"/>
        <v>ピクミン引っこ抜き</v>
      </c>
      <c r="AM1031" s="76">
        <f t="shared" si="1602"/>
        <v>650</v>
      </c>
      <c r="AN1031" s="38">
        <f>SUM(AN967,AN971,AN975,AN980,AN983,AN987,AN991,AN995,AN999,AN1003,AN1007,AN1011,AN1015)</f>
        <v>12360</v>
      </c>
      <c r="AO1031" s="36">
        <f>AN1031/AF1031</f>
        <v>0.16135770234986946</v>
      </c>
      <c r="AP1031" s="15"/>
      <c r="AQ1031" s="2"/>
      <c r="AR1031" s="258" t="s">
        <v>28</v>
      </c>
      <c r="AS1031" s="259"/>
      <c r="AT1031" s="38">
        <f>SUM(AT967,AT971,AT975,AT979,AT983,AT987,AT991,AT995,AT999,AT1003,AT1007,AT1011,AT1015)*100</f>
        <v>147500</v>
      </c>
      <c r="AU1031" s="54" t="e">
        <f>AT1031/#REF!</f>
        <v>#REF!</v>
      </c>
      <c r="AV1031" s="13"/>
      <c r="AW1031" s="5">
        <f>AT1031/AX1031</f>
        <v>1820.9876543209878</v>
      </c>
      <c r="AX1031" s="38">
        <f>SUM(AX967,AX971,AX975,AX980,AX983,AX987,AX991,AX995,AX999,AX1003,AX1007,AX1011,AX1015)</f>
        <v>81</v>
      </c>
      <c r="AY1031" s="13"/>
      <c r="AZ1031" s="75" t="str">
        <f t="shared" si="1603"/>
        <v>スプランキーラバーキーホルダー</v>
      </c>
      <c r="BA1031" s="76">
        <f t="shared" si="1603"/>
        <v>200</v>
      </c>
      <c r="BB1031" s="38">
        <f>SUM(BB967,BB971,BB975,BB980,BB983,BB987,BB991,BB995,BB999,BB1003,BB1007,BB1011,BB1015)</f>
        <v>16180</v>
      </c>
      <c r="BC1031" s="36">
        <f>BB1031/AT1031</f>
        <v>0.10969491525423729</v>
      </c>
      <c r="BD1031" s="15"/>
      <c r="BU1031" s="16"/>
      <c r="BV1031" s="270"/>
      <c r="BW1031" s="270"/>
      <c r="BX1031" s="36"/>
      <c r="BY1031" s="13"/>
      <c r="BZ1031" s="5"/>
      <c r="CA1031" s="13"/>
      <c r="CB1031" s="36"/>
      <c r="CC1031" s="36"/>
      <c r="CD1031" s="14"/>
      <c r="CE1031" s="14"/>
      <c r="CF1031" s="14"/>
      <c r="CG1031" s="15"/>
      <c r="CH1031" s="1"/>
      <c r="CI1031" s="16"/>
      <c r="CJ1031" s="270"/>
      <c r="CK1031" s="270"/>
      <c r="CL1031" s="36"/>
      <c r="CM1031" s="13"/>
      <c r="CN1031" s="5"/>
      <c r="CO1031" s="13"/>
      <c r="CP1031" s="36"/>
      <c r="CQ1031" s="36"/>
      <c r="CR1031" s="14"/>
      <c r="CS1031" s="14"/>
      <c r="CT1031" s="14"/>
      <c r="CU1031" s="15"/>
      <c r="CV1031" s="1"/>
      <c r="CW1031" s="16"/>
      <c r="CX1031" s="270"/>
      <c r="CY1031" s="270"/>
      <c r="CZ1031" s="36"/>
      <c r="DA1031" s="13"/>
      <c r="DB1031" s="5"/>
      <c r="DC1031" s="13"/>
      <c r="DD1031" s="36"/>
      <c r="DE1031" s="36"/>
      <c r="DF1031" s="14"/>
      <c r="DG1031" s="14"/>
      <c r="DH1031" s="14"/>
      <c r="DI1031" s="15"/>
      <c r="DJ1031" s="1"/>
      <c r="DK1031" s="16"/>
      <c r="DL1031" s="270"/>
      <c r="DM1031" s="270"/>
      <c r="DN1031" s="36"/>
      <c r="DO1031" s="13"/>
      <c r="DP1031" s="5"/>
      <c r="DQ1031" s="13"/>
      <c r="DR1031" s="36"/>
      <c r="DS1031" s="36"/>
      <c r="DT1031" s="14"/>
      <c r="DU1031" s="14"/>
      <c r="DV1031" s="14"/>
      <c r="DW1031" s="15"/>
    </row>
    <row r="1032" spans="1:127" x14ac:dyDescent="0.2">
      <c r="A1032" s="258" t="s">
        <v>28</v>
      </c>
      <c r="B1032" s="260"/>
      <c r="C1032" s="259"/>
      <c r="D1032" s="38">
        <f>SUM(D968,D972,D976,D980,D984,D988,D992,D996,D1000,D1004,D1008,D1012,D1016)*100</f>
        <v>128200</v>
      </c>
      <c r="E1032" s="54" t="e">
        <f>D1032/A1022</f>
        <v>#REF!</v>
      </c>
      <c r="F1032" s="13"/>
      <c r="G1032" s="5">
        <f>D1032/H1032</f>
        <v>2564</v>
      </c>
      <c r="H1032" s="38">
        <f>SUM(H968,H972,H976,H979,H984,H988,H992,H996,H1000,H1004,H1008,H1012,H1016)</f>
        <v>50</v>
      </c>
      <c r="I1032" s="13"/>
      <c r="J1032" s="75" t="str">
        <f t="shared" si="1600"/>
        <v>NICIマスコット</v>
      </c>
      <c r="K1032" s="76">
        <f t="shared" si="1600"/>
        <v>682</v>
      </c>
      <c r="L1032" s="38">
        <f>SUM(L968,L972,L976,L979,L984,L988,L992,L996,L1000,L1004,L1008,L1012,L1016)</f>
        <v>33772</v>
      </c>
      <c r="M1032" s="36">
        <f>L1032/D1032</f>
        <v>0.26343213728549142</v>
      </c>
      <c r="N1032" s="15"/>
      <c r="O1032" s="2"/>
      <c r="P1032" s="258" t="s">
        <v>28</v>
      </c>
      <c r="Q1032" s="259"/>
      <c r="R1032" s="38">
        <f>SUM(R968,R972,R976,R980,R984,R988,R992,R996,R1000,R1004,R1008,R1012,R1016)*100</f>
        <v>80600</v>
      </c>
      <c r="S1032" s="54" t="e">
        <f>R1032/#REF!</f>
        <v>#REF!</v>
      </c>
      <c r="T1032" s="13"/>
      <c r="U1032" s="5">
        <f>R1032/V1032</f>
        <v>366.36363636363637</v>
      </c>
      <c r="V1032" s="38">
        <f>SUM(V968,V972,V976,V979,V984,V988,V992,V996,V1000,V1004,V1008,V1012,V1016)</f>
        <v>220</v>
      </c>
      <c r="W1032" s="13"/>
      <c r="X1032" s="78" t="str">
        <f t="shared" si="1601"/>
        <v>サンリオブレスレット</v>
      </c>
      <c r="Y1032" s="76">
        <f t="shared" si="1601"/>
        <v>120</v>
      </c>
      <c r="Z1032" s="38">
        <f>SUM(Z968,Z972,Z976,Z979,Z984,Z988,Z992,Z996,Z1000,Z1004,Z1008,Z1012,Z1016)</f>
        <v>28715</v>
      </c>
      <c r="AA1032" s="36">
        <f>Z1032/R1032</f>
        <v>0.35626550868486351</v>
      </c>
      <c r="AB1032" s="15"/>
      <c r="AC1032" s="1"/>
      <c r="AD1032" s="258" t="s">
        <v>28</v>
      </c>
      <c r="AE1032" s="259"/>
      <c r="AF1032" s="38">
        <f>SUM(AF968,AF972,AF976,AF980,AF984,AF988,AF992,AF996,AF1000,AF1004,AF1008,AF1012,AF1016)*100</f>
        <v>87100</v>
      </c>
      <c r="AG1032" s="54" t="e">
        <f>AF1032/#REF!</f>
        <v>#REF!</v>
      </c>
      <c r="AH1032" s="13"/>
      <c r="AI1032" s="5">
        <f>AF1032/AJ1032</f>
        <v>5123.5294117647063</v>
      </c>
      <c r="AJ1032" s="38">
        <f>SUM(AJ968,AJ972,AJ976,AJ979,AJ984,AJ988,AJ992,AJ996,AJ1000,AJ1004,AJ1008,AJ1012,AJ1016)</f>
        <v>17</v>
      </c>
      <c r="AK1032" s="13"/>
      <c r="AL1032" s="75" t="str">
        <f t="shared" si="1602"/>
        <v>サンリオ巻き寿司ポーチ</v>
      </c>
      <c r="AM1032" s="76">
        <f t="shared" si="1602"/>
        <v>660</v>
      </c>
      <c r="AN1032" s="38">
        <f>SUM(AN968,AN972,AN976,AN979,AN984,AN988,AN992,AN996,AN1000,AN1004,AN1008,AN1012,AN1016)</f>
        <v>11992</v>
      </c>
      <c r="AO1032" s="36">
        <f>AN1032/AF1032</f>
        <v>0.13768082663605052</v>
      </c>
      <c r="AP1032" s="15"/>
      <c r="AQ1032" s="2"/>
      <c r="AR1032" s="258" t="s">
        <v>28</v>
      </c>
      <c r="AS1032" s="259"/>
      <c r="AT1032" s="38">
        <f>SUM(AT968,AT972,AT976,AT980,AT984,AT988,AT992,AT996,AT1000,AT1004,AT1008,AT1012,AT1016)*100</f>
        <v>108300</v>
      </c>
      <c r="AU1032" s="54" t="e">
        <f>AT1032/#REF!</f>
        <v>#REF!</v>
      </c>
      <c r="AV1032" s="13"/>
      <c r="AW1032" s="5">
        <f>AT1032/AX1032</f>
        <v>1692.1875</v>
      </c>
      <c r="AX1032" s="38">
        <f>SUM(AX968,AX972,AX976,AX979,AX984,AX988,AX992,AX996,AX1000,AX1004,AX1008,AX1012,AX1016)</f>
        <v>64</v>
      </c>
      <c r="AY1032" s="13"/>
      <c r="AZ1032" s="75" t="str">
        <f t="shared" si="1603"/>
        <v>グミッツェルプチ</v>
      </c>
      <c r="BA1032" s="76">
        <f t="shared" si="1603"/>
        <v>165</v>
      </c>
      <c r="BB1032" s="38">
        <f>SUM(BB968,BB972,BB976,BB979,BB984,BB988,BB992,BB996,BB1000,BB1004,BB1008,BB1012,BB1016)</f>
        <v>11590</v>
      </c>
      <c r="BC1032" s="36">
        <f>BB1032/AT1032</f>
        <v>0.10701754385964912</v>
      </c>
      <c r="BD1032" s="15"/>
      <c r="BU1032" s="40"/>
      <c r="BV1032" s="3"/>
      <c r="BW1032" s="2"/>
      <c r="BX1032" s="41"/>
      <c r="BY1032" s="1"/>
      <c r="BZ1032" s="3"/>
      <c r="CA1032" s="1"/>
      <c r="CB1032" s="23"/>
      <c r="CC1032" s="23"/>
      <c r="CD1032" s="23"/>
      <c r="CE1032" s="23"/>
      <c r="CF1032" s="23"/>
      <c r="CG1032" s="18"/>
      <c r="CH1032" s="1"/>
      <c r="CI1032" s="40"/>
      <c r="CJ1032" s="3"/>
      <c r="CK1032" s="2"/>
      <c r="CL1032" s="41"/>
      <c r="CM1032" s="1"/>
      <c r="CN1032" s="3"/>
      <c r="CO1032" s="1"/>
      <c r="CP1032" s="23"/>
      <c r="CQ1032" s="23"/>
      <c r="CR1032" s="23"/>
      <c r="CS1032" s="23"/>
      <c r="CT1032" s="23"/>
      <c r="CU1032" s="18"/>
      <c r="CV1032" s="1"/>
      <c r="CW1032" s="40"/>
      <c r="CX1032" s="3"/>
      <c r="CY1032" s="2"/>
      <c r="CZ1032" s="41"/>
      <c r="DA1032" s="1"/>
      <c r="DB1032" s="3"/>
      <c r="DC1032" s="1"/>
      <c r="DD1032" s="23"/>
      <c r="DE1032" s="23"/>
      <c r="DF1032" s="23"/>
      <c r="DG1032" s="23"/>
      <c r="DH1032" s="23"/>
      <c r="DI1032" s="18"/>
      <c r="DJ1032" s="1"/>
      <c r="DK1032" s="40"/>
      <c r="DL1032" s="3"/>
      <c r="DM1032" s="2"/>
      <c r="DN1032" s="41"/>
      <c r="DO1032" s="1"/>
      <c r="DP1032" s="3"/>
      <c r="DQ1032" s="1"/>
      <c r="DR1032" s="23"/>
      <c r="DS1032" s="23"/>
      <c r="DT1032" s="23"/>
      <c r="DU1032" s="23"/>
      <c r="DV1032" s="23"/>
      <c r="DW1032" s="18"/>
    </row>
    <row r="1033" spans="1:127" x14ac:dyDescent="0.2">
      <c r="A1033" s="16"/>
      <c r="B1033" s="11"/>
      <c r="C1033" s="5" t="s">
        <v>19</v>
      </c>
      <c r="D1033" s="13">
        <f>SUM(D1029:D1032)</f>
        <v>385800</v>
      </c>
      <c r="E1033" s="13"/>
      <c r="F1033" s="13"/>
      <c r="G1033" s="13"/>
      <c r="H1033" s="13">
        <f>SUM(H1029:H1032)</f>
        <v>163</v>
      </c>
      <c r="I1033" s="13"/>
      <c r="J1033" s="262" t="s">
        <v>31</v>
      </c>
      <c r="K1033" s="259"/>
      <c r="L1033" s="53">
        <f>SUM(L1029:L1032)</f>
        <v>102174</v>
      </c>
      <c r="M1033" s="83">
        <f>L1033/D1033</f>
        <v>0.26483670295489892</v>
      </c>
      <c r="N1033" s="84"/>
      <c r="O1033" s="2"/>
      <c r="P1033" s="16"/>
      <c r="Q1033" s="5" t="s">
        <v>19</v>
      </c>
      <c r="R1033" s="13">
        <f>SUM(R1029:R1032)</f>
        <v>367100</v>
      </c>
      <c r="S1033" s="54" t="e">
        <f>R1033/#REF!</f>
        <v>#REF!</v>
      </c>
      <c r="T1033" s="13"/>
      <c r="U1033" s="13"/>
      <c r="V1033" s="13">
        <f>SUM(V1029:V1032)</f>
        <v>415</v>
      </c>
      <c r="W1033" s="13"/>
      <c r="X1033" s="262" t="s">
        <v>31</v>
      </c>
      <c r="Y1033" s="259"/>
      <c r="Z1033" s="53">
        <f>SUM(Z1029:Z1032)</f>
        <v>124535</v>
      </c>
      <c r="AA1033" s="83">
        <f>Z1033/R1033</f>
        <v>0.33923998910378644</v>
      </c>
      <c r="AB1033" s="84"/>
      <c r="AC1033" s="1"/>
      <c r="AD1033" s="16"/>
      <c r="AE1033" s="5" t="s">
        <v>19</v>
      </c>
      <c r="AF1033" s="13">
        <f>SUM(AF1029:AF1032)</f>
        <v>317900</v>
      </c>
      <c r="AG1033" s="54" t="e">
        <f>AF1033/#REF!</f>
        <v>#REF!</v>
      </c>
      <c r="AH1033" s="13"/>
      <c r="AI1033" s="13"/>
      <c r="AJ1033" s="13">
        <f>SUM(AJ1029:AJ1032)</f>
        <v>62</v>
      </c>
      <c r="AK1033" s="13"/>
      <c r="AL1033" s="262" t="s">
        <v>31</v>
      </c>
      <c r="AM1033" s="259"/>
      <c r="AN1033" s="53">
        <f>SUM(AN1029:AN1032)</f>
        <v>48152</v>
      </c>
      <c r="AO1033" s="83">
        <f>AN1033/AF1033</f>
        <v>0.1514690154136521</v>
      </c>
      <c r="AP1033" s="84"/>
      <c r="AQ1033" s="2"/>
      <c r="AR1033" s="16"/>
      <c r="AS1033" s="5" t="s">
        <v>19</v>
      </c>
      <c r="AT1033" s="13">
        <f>SUM(AT1029:AT1032)</f>
        <v>377900</v>
      </c>
      <c r="AU1033" s="54" t="e">
        <f>AT1033/#REF!</f>
        <v>#REF!</v>
      </c>
      <c r="AV1033" s="13"/>
      <c r="AW1033" s="13"/>
      <c r="AX1033" s="13">
        <f>SUM(AX1029:AX1032)</f>
        <v>252</v>
      </c>
      <c r="AY1033" s="13"/>
      <c r="AZ1033" s="262" t="s">
        <v>31</v>
      </c>
      <c r="BA1033" s="259"/>
      <c r="BB1033" s="53">
        <f>SUM(BB1029:BB1032)</f>
        <v>76589</v>
      </c>
      <c r="BC1033" s="83">
        <f>BB1033/AT1033</f>
        <v>0.2026700185234189</v>
      </c>
      <c r="BD1033" s="84"/>
      <c r="BU1033" s="42"/>
      <c r="BV1033" s="256"/>
      <c r="BW1033" s="256"/>
      <c r="BX1033" s="41"/>
      <c r="BY1033" s="1"/>
      <c r="BZ1033" s="3"/>
      <c r="CA1033" s="1"/>
      <c r="CB1033" s="23"/>
      <c r="CC1033" s="23"/>
      <c r="CD1033" s="23"/>
      <c r="CE1033" s="23"/>
      <c r="CF1033" s="23"/>
      <c r="CG1033" s="18"/>
      <c r="CH1033" s="1"/>
      <c r="CI1033" s="42"/>
      <c r="CJ1033" s="256"/>
      <c r="CK1033" s="256"/>
      <c r="CL1033" s="41"/>
      <c r="CM1033" s="1"/>
      <c r="CN1033" s="3"/>
      <c r="CO1033" s="1"/>
      <c r="CP1033" s="23"/>
      <c r="CQ1033" s="23"/>
      <c r="CR1033" s="23"/>
      <c r="CS1033" s="23"/>
      <c r="CT1033" s="23"/>
      <c r="CU1033" s="18"/>
      <c r="CV1033" s="1"/>
      <c r="CW1033" s="42"/>
      <c r="CX1033" s="256"/>
      <c r="CY1033" s="256"/>
      <c r="CZ1033" s="41"/>
      <c r="DA1033" s="1"/>
      <c r="DB1033" s="3"/>
      <c r="DC1033" s="1"/>
      <c r="DD1033" s="23"/>
      <c r="DE1033" s="23"/>
      <c r="DF1033" s="23"/>
      <c r="DG1033" s="23"/>
      <c r="DH1033" s="23"/>
      <c r="DI1033" s="18"/>
      <c r="DJ1033" s="1"/>
      <c r="DK1033" s="42"/>
      <c r="DL1033" s="256"/>
      <c r="DM1033" s="256"/>
      <c r="DN1033" s="41"/>
      <c r="DO1033" s="1"/>
      <c r="DP1033" s="3"/>
      <c r="DQ1033" s="1"/>
      <c r="DR1033" s="23"/>
      <c r="DS1033" s="23"/>
      <c r="DT1033" s="23"/>
      <c r="DU1033" s="23"/>
      <c r="DV1033" s="23"/>
      <c r="DW1033" s="18"/>
    </row>
    <row r="1034" spans="1:127" x14ac:dyDescent="0.2">
      <c r="A1034" s="85"/>
      <c r="B1034" s="101"/>
      <c r="C1034" s="35"/>
      <c r="D1034" s="54"/>
      <c r="E1034" s="24"/>
      <c r="F1034" s="54"/>
      <c r="G1034" s="5"/>
      <c r="H1034" s="13"/>
      <c r="I1034" s="24"/>
      <c r="J1034" s="99"/>
      <c r="K1034" s="100"/>
      <c r="L1034" s="76"/>
      <c r="M1034" s="14"/>
      <c r="N1034" s="15"/>
      <c r="O1034" s="2"/>
      <c r="P1034" s="79"/>
      <c r="Q1034" s="5"/>
      <c r="R1034" s="13"/>
      <c r="S1034" s="13"/>
      <c r="T1034" s="13"/>
      <c r="U1034" s="5"/>
      <c r="V1034" s="13"/>
      <c r="W1034" s="24"/>
      <c r="X1034" s="99"/>
      <c r="Y1034" s="100"/>
      <c r="Z1034" s="76"/>
      <c r="AA1034" s="14"/>
      <c r="AB1034" s="15"/>
      <c r="AD1034" s="79"/>
      <c r="AE1034" s="5"/>
      <c r="AF1034" s="13"/>
      <c r="AG1034" s="13"/>
      <c r="AH1034" s="13"/>
      <c r="AI1034" s="5"/>
      <c r="AJ1034" s="13"/>
      <c r="AK1034" s="24"/>
      <c r="AL1034" s="99"/>
      <c r="AM1034" s="100"/>
      <c r="AN1034" s="76"/>
      <c r="AO1034" s="14"/>
      <c r="AP1034" s="15"/>
      <c r="AQ1034" s="2"/>
      <c r="AR1034" s="79"/>
      <c r="AS1034" s="5"/>
      <c r="AT1034" s="13"/>
      <c r="AU1034" s="13"/>
      <c r="AV1034" s="13"/>
      <c r="AW1034" s="5"/>
      <c r="AX1034" s="13"/>
      <c r="AY1034" s="24"/>
      <c r="AZ1034" s="118"/>
      <c r="BA1034" s="100"/>
      <c r="BB1034" s="76"/>
      <c r="BC1034" s="14"/>
      <c r="BD1034" s="15"/>
      <c r="BU1034" s="42"/>
      <c r="BV1034" s="3"/>
      <c r="BX1034" s="41"/>
      <c r="BY1034" s="1"/>
      <c r="BZ1034" s="3"/>
      <c r="CA1034" s="1"/>
      <c r="CB1034" s="23"/>
      <c r="CC1034" s="23"/>
      <c r="CD1034" s="23"/>
      <c r="CE1034" s="23"/>
      <c r="CF1034" s="23"/>
      <c r="CG1034" s="18"/>
      <c r="CH1034" s="1"/>
      <c r="CI1034" s="42"/>
      <c r="CJ1034" s="3"/>
      <c r="CL1034" s="41"/>
      <c r="CM1034" s="1"/>
      <c r="CN1034" s="3"/>
      <c r="CO1034" s="1"/>
      <c r="CP1034" s="23"/>
      <c r="CQ1034" s="23"/>
      <c r="CR1034" s="23"/>
      <c r="CS1034" s="23"/>
      <c r="CT1034" s="23"/>
      <c r="CU1034" s="18"/>
      <c r="CV1034" s="1"/>
      <c r="CW1034" s="42"/>
      <c r="CX1034" s="3"/>
      <c r="CZ1034" s="41"/>
      <c r="DA1034" s="1"/>
      <c r="DB1034" s="3"/>
      <c r="DC1034" s="1"/>
      <c r="DD1034" s="23"/>
      <c r="DE1034" s="23"/>
      <c r="DF1034" s="23"/>
      <c r="DG1034" s="23"/>
      <c r="DH1034" s="23"/>
      <c r="DI1034" s="18"/>
      <c r="DJ1034" s="1"/>
      <c r="DK1034" s="42"/>
      <c r="DL1034" s="3"/>
      <c r="DN1034" s="41"/>
      <c r="DO1034" s="1"/>
      <c r="DP1034" s="3"/>
      <c r="DQ1034" s="1"/>
      <c r="DR1034" s="23"/>
      <c r="DS1034" s="23"/>
      <c r="DT1034" s="23"/>
      <c r="DU1034" s="23"/>
      <c r="DV1034" s="23"/>
      <c r="DW1034" s="18"/>
    </row>
    <row r="1035" spans="1:127" x14ac:dyDescent="0.2">
      <c r="A1035" s="257"/>
      <c r="B1035" s="257"/>
      <c r="C1035" s="257"/>
      <c r="D1035" s="257"/>
      <c r="E1035" s="257"/>
      <c r="F1035" s="257"/>
      <c r="BU1035" s="40"/>
      <c r="BV1035" s="256"/>
      <c r="BW1035" s="256"/>
      <c r="BX1035" s="41"/>
      <c r="BY1035" s="1"/>
      <c r="BZ1035" s="3"/>
      <c r="CA1035" s="1"/>
      <c r="CB1035" s="23"/>
      <c r="CC1035" s="23"/>
      <c r="CD1035" s="23"/>
      <c r="CE1035" s="23"/>
      <c r="CF1035" s="23"/>
      <c r="CG1035" s="18"/>
      <c r="CH1035" s="1"/>
      <c r="CI1035" s="40"/>
      <c r="CJ1035" s="256"/>
      <c r="CK1035" s="256"/>
      <c r="CL1035" s="41"/>
      <c r="CM1035" s="1"/>
      <c r="CN1035" s="3"/>
      <c r="CO1035" s="1"/>
      <c r="CP1035" s="23"/>
      <c r="CQ1035" s="23"/>
      <c r="CR1035" s="23"/>
      <c r="CS1035" s="23"/>
      <c r="CT1035" s="23"/>
      <c r="CU1035" s="18"/>
      <c r="CV1035" s="1"/>
      <c r="CW1035" s="40"/>
      <c r="CX1035" s="256"/>
      <c r="CY1035" s="256"/>
      <c r="CZ1035" s="41"/>
      <c r="DA1035" s="1"/>
      <c r="DB1035" s="3"/>
      <c r="DC1035" s="1"/>
      <c r="DD1035" s="23"/>
      <c r="DE1035" s="23"/>
      <c r="DF1035" s="23"/>
      <c r="DG1035" s="23"/>
      <c r="DH1035" s="23"/>
      <c r="DI1035" s="18"/>
      <c r="DJ1035" s="1"/>
      <c r="DK1035" s="40"/>
      <c r="DL1035" s="256"/>
      <c r="DM1035" s="256"/>
      <c r="DN1035" s="41"/>
      <c r="DO1035" s="1"/>
      <c r="DP1035" s="3"/>
      <c r="DQ1035" s="1"/>
      <c r="DR1035" s="23"/>
      <c r="DS1035" s="23"/>
      <c r="DT1035" s="23"/>
      <c r="DU1035" s="23"/>
      <c r="DV1035" s="23"/>
      <c r="DW1035" s="18"/>
    </row>
    <row r="1036" spans="1:127" ht="15" customHeight="1" x14ac:dyDescent="0.2">
      <c r="J1036"/>
      <c r="AZ1036"/>
    </row>
    <row r="1037" spans="1:127" x14ac:dyDescent="0.2">
      <c r="J1037"/>
      <c r="AZ1037"/>
    </row>
    <row r="1038" spans="1:127" x14ac:dyDescent="0.2">
      <c r="J1038"/>
      <c r="AZ1038"/>
    </row>
    <row r="1039" spans="1:127" x14ac:dyDescent="0.2">
      <c r="J1039"/>
      <c r="AZ1039"/>
    </row>
    <row r="1040" spans="1:127" x14ac:dyDescent="0.2">
      <c r="J1040"/>
      <c r="AZ1040"/>
    </row>
    <row r="1041" spans="10:52" x14ac:dyDescent="0.2">
      <c r="J1041"/>
      <c r="AZ1041"/>
    </row>
    <row r="1042" spans="10:52" x14ac:dyDescent="0.2">
      <c r="J1042"/>
      <c r="AZ1042"/>
    </row>
    <row r="1043" spans="10:52" x14ac:dyDescent="0.2">
      <c r="J1043"/>
      <c r="AZ1043"/>
    </row>
    <row r="1044" spans="10:52" x14ac:dyDescent="0.2">
      <c r="J1044"/>
      <c r="AZ1044"/>
    </row>
    <row r="1045" spans="10:52" x14ac:dyDescent="0.2">
      <c r="J1045"/>
      <c r="AZ1045"/>
    </row>
    <row r="1046" spans="10:52" ht="15" customHeight="1" x14ac:dyDescent="0.2">
      <c r="J1046"/>
      <c r="AZ1046"/>
    </row>
    <row r="1047" spans="10:52" ht="15" customHeight="1" x14ac:dyDescent="0.2">
      <c r="J1047"/>
      <c r="AZ1047"/>
    </row>
    <row r="1048" spans="10:52" x14ac:dyDescent="0.2">
      <c r="J1048"/>
      <c r="AZ1048"/>
    </row>
    <row r="1049" spans="10:52" x14ac:dyDescent="0.2">
      <c r="J1049"/>
      <c r="AZ1049"/>
    </row>
    <row r="1050" spans="10:52" ht="15" customHeight="1" x14ac:dyDescent="0.2">
      <c r="J1050"/>
      <c r="AZ1050"/>
    </row>
    <row r="1051" spans="10:52" ht="15" customHeight="1" x14ac:dyDescent="0.2">
      <c r="J1051"/>
      <c r="AZ1051"/>
    </row>
    <row r="1052" spans="10:52" x14ac:dyDescent="0.2">
      <c r="J1052"/>
      <c r="AZ1052"/>
    </row>
    <row r="1053" spans="10:52" x14ac:dyDescent="0.2">
      <c r="J1053"/>
      <c r="AZ1053"/>
    </row>
    <row r="1054" spans="10:52" ht="15" customHeight="1" x14ac:dyDescent="0.2">
      <c r="J1054"/>
      <c r="AZ1054"/>
    </row>
    <row r="1055" spans="10:52" ht="15" customHeight="1" x14ac:dyDescent="0.2">
      <c r="J1055"/>
      <c r="AZ1055"/>
    </row>
    <row r="1056" spans="10:52" x14ac:dyDescent="0.2">
      <c r="J1056"/>
      <c r="AZ1056"/>
    </row>
    <row r="1057" spans="10:52" ht="15" customHeight="1" x14ac:dyDescent="0.2">
      <c r="J1057"/>
      <c r="AZ1057"/>
    </row>
    <row r="1058" spans="10:52" ht="15" customHeight="1" x14ac:dyDescent="0.2">
      <c r="J1058"/>
      <c r="AZ1058"/>
    </row>
    <row r="1059" spans="10:52" ht="15" customHeight="1" x14ac:dyDescent="0.2">
      <c r="J1059"/>
      <c r="AZ1059"/>
    </row>
    <row r="1060" spans="10:52" ht="15" customHeight="1" x14ac:dyDescent="0.2">
      <c r="J1060"/>
      <c r="AZ1060"/>
    </row>
    <row r="1061" spans="10:52" ht="15" customHeight="1" x14ac:dyDescent="0.2">
      <c r="J1061"/>
      <c r="AZ1061"/>
    </row>
    <row r="1062" spans="10:52" ht="15" customHeight="1" x14ac:dyDescent="0.2">
      <c r="J1062"/>
      <c r="AZ1062"/>
    </row>
    <row r="1063" spans="10:52" ht="15" customHeight="1" x14ac:dyDescent="0.2">
      <c r="J1063"/>
      <c r="AZ1063"/>
    </row>
    <row r="1064" spans="10:52" ht="15" customHeight="1" x14ac:dyDescent="0.2">
      <c r="J1064"/>
      <c r="AZ1064"/>
    </row>
    <row r="1065" spans="10:52" ht="15" customHeight="1" x14ac:dyDescent="0.2">
      <c r="J1065"/>
      <c r="AZ1065"/>
    </row>
    <row r="1066" spans="10:52" ht="15" customHeight="1" x14ac:dyDescent="0.2">
      <c r="J1066"/>
      <c r="AZ1066"/>
    </row>
    <row r="1067" spans="10:52" ht="15" customHeight="1" x14ac:dyDescent="0.2">
      <c r="J1067"/>
      <c r="AZ1067"/>
    </row>
    <row r="1068" spans="10:52" ht="15" customHeight="1" x14ac:dyDescent="0.2">
      <c r="J1068"/>
      <c r="AZ1068"/>
    </row>
    <row r="1069" spans="10:52" ht="15" customHeight="1" x14ac:dyDescent="0.2">
      <c r="J1069"/>
      <c r="AZ1069"/>
    </row>
    <row r="1070" spans="10:52" ht="15" customHeight="1" x14ac:dyDescent="0.2">
      <c r="J1070"/>
      <c r="AZ1070"/>
    </row>
    <row r="1071" spans="10:52" ht="15" customHeight="1" x14ac:dyDescent="0.2">
      <c r="J1071"/>
      <c r="AZ1071"/>
    </row>
    <row r="1072" spans="10:52" ht="15" customHeight="1" x14ac:dyDescent="0.2">
      <c r="J1072"/>
      <c r="AZ1072"/>
    </row>
    <row r="1073" spans="10:52" ht="15" customHeight="1" x14ac:dyDescent="0.2">
      <c r="J1073"/>
      <c r="AZ1073"/>
    </row>
    <row r="1074" spans="10:52" ht="15" customHeight="1" x14ac:dyDescent="0.2">
      <c r="J1074"/>
      <c r="AZ1074"/>
    </row>
    <row r="1075" spans="10:52" ht="15" customHeight="1" x14ac:dyDescent="0.2">
      <c r="J1075"/>
      <c r="AZ1075"/>
    </row>
    <row r="1076" spans="10:52" ht="15" customHeight="1" x14ac:dyDescent="0.2">
      <c r="J1076"/>
      <c r="AZ1076"/>
    </row>
    <row r="1077" spans="10:52" ht="15" customHeight="1" x14ac:dyDescent="0.2">
      <c r="J1077"/>
      <c r="AZ1077"/>
    </row>
    <row r="1078" spans="10:52" ht="15" customHeight="1" x14ac:dyDescent="0.2">
      <c r="J1078"/>
      <c r="AZ1078"/>
    </row>
    <row r="1079" spans="10:52" ht="15" customHeight="1" x14ac:dyDescent="0.2">
      <c r="J1079"/>
      <c r="AZ1079"/>
    </row>
    <row r="1080" spans="10:52" ht="15" customHeight="1" x14ac:dyDescent="0.2">
      <c r="J1080"/>
      <c r="AZ1080"/>
    </row>
    <row r="1081" spans="10:52" ht="15" customHeight="1" x14ac:dyDescent="0.2">
      <c r="J1081"/>
      <c r="AZ1081"/>
    </row>
    <row r="1082" spans="10:52" ht="15" customHeight="1" x14ac:dyDescent="0.2">
      <c r="J1082"/>
      <c r="AZ1082"/>
    </row>
    <row r="1083" spans="10:52" ht="15" customHeight="1" x14ac:dyDescent="0.2">
      <c r="J1083"/>
      <c r="AZ1083"/>
    </row>
    <row r="1084" spans="10:52" ht="15" customHeight="1" x14ac:dyDescent="0.2">
      <c r="J1084"/>
      <c r="AZ1084"/>
    </row>
    <row r="1085" spans="10:52" ht="15" customHeight="1" x14ac:dyDescent="0.2">
      <c r="J1085"/>
      <c r="AZ1085"/>
    </row>
    <row r="1086" spans="10:52" ht="15" customHeight="1" x14ac:dyDescent="0.2">
      <c r="J1086"/>
      <c r="AZ1086"/>
    </row>
    <row r="1087" spans="10:52" ht="15" customHeight="1" x14ac:dyDescent="0.2">
      <c r="J1087"/>
      <c r="AZ1087"/>
    </row>
    <row r="1088" spans="10:52" ht="15" customHeight="1" x14ac:dyDescent="0.2">
      <c r="J1088"/>
      <c r="AZ1088"/>
    </row>
    <row r="1089" spans="10:52" ht="15" customHeight="1" x14ac:dyDescent="0.2">
      <c r="J1089"/>
      <c r="AZ1089"/>
    </row>
    <row r="1090" spans="10:52" ht="15" customHeight="1" x14ac:dyDescent="0.2">
      <c r="J1090"/>
      <c r="AZ1090"/>
    </row>
    <row r="1091" spans="10:52" ht="15" customHeight="1" x14ac:dyDescent="0.2">
      <c r="J1091"/>
      <c r="AZ1091"/>
    </row>
    <row r="1092" spans="10:52" ht="15" customHeight="1" x14ac:dyDescent="0.2">
      <c r="J1092"/>
      <c r="AZ1092"/>
    </row>
    <row r="1093" spans="10:52" ht="15" customHeight="1" x14ac:dyDescent="0.2">
      <c r="J1093"/>
      <c r="AZ1093"/>
    </row>
    <row r="1094" spans="10:52" ht="15" customHeight="1" x14ac:dyDescent="0.2">
      <c r="J1094"/>
      <c r="AZ1094"/>
    </row>
    <row r="1095" spans="10:52" ht="15" customHeight="1" x14ac:dyDescent="0.2">
      <c r="J1095"/>
      <c r="AZ1095"/>
    </row>
    <row r="1096" spans="10:52" ht="15" customHeight="1" x14ac:dyDescent="0.2">
      <c r="J1096"/>
      <c r="AZ1096"/>
    </row>
    <row r="1097" spans="10:52" ht="15" customHeight="1" x14ac:dyDescent="0.2">
      <c r="J1097"/>
      <c r="AZ1097"/>
    </row>
    <row r="1098" spans="10:52" ht="15" customHeight="1" x14ac:dyDescent="0.2">
      <c r="J1098"/>
      <c r="AZ1098"/>
    </row>
    <row r="1099" spans="10:52" ht="15" customHeight="1" x14ac:dyDescent="0.2">
      <c r="J1099"/>
      <c r="AZ1099"/>
    </row>
    <row r="1100" spans="10:52" ht="15" customHeight="1" x14ac:dyDescent="0.2">
      <c r="J1100"/>
      <c r="AZ1100"/>
    </row>
    <row r="1101" spans="10:52" ht="15" customHeight="1" x14ac:dyDescent="0.2">
      <c r="J1101"/>
      <c r="AZ1101"/>
    </row>
    <row r="1102" spans="10:52" ht="15" customHeight="1" x14ac:dyDescent="0.2">
      <c r="J1102"/>
      <c r="AZ1102"/>
    </row>
    <row r="1103" spans="10:52" ht="15" customHeight="1" x14ac:dyDescent="0.2">
      <c r="J1103"/>
      <c r="AZ1103"/>
    </row>
    <row r="1104" spans="10:52" x14ac:dyDescent="0.2">
      <c r="J1104"/>
      <c r="AZ1104"/>
    </row>
    <row r="1105" spans="10:52" x14ac:dyDescent="0.2">
      <c r="J1105"/>
      <c r="AZ1105"/>
    </row>
    <row r="1106" spans="10:52" x14ac:dyDescent="0.2">
      <c r="J1106"/>
      <c r="AZ1106"/>
    </row>
    <row r="1107" spans="10:52" x14ac:dyDescent="0.2">
      <c r="J1107"/>
      <c r="AZ1107"/>
    </row>
    <row r="1108" spans="10:52" x14ac:dyDescent="0.2">
      <c r="J1108"/>
      <c r="AZ1108"/>
    </row>
    <row r="1109" spans="10:52" x14ac:dyDescent="0.2">
      <c r="J1109"/>
      <c r="AZ1109"/>
    </row>
    <row r="1110" spans="10:52" ht="15" customHeight="1" x14ac:dyDescent="0.2">
      <c r="J1110"/>
      <c r="AZ1110"/>
    </row>
    <row r="1111" spans="10:52" ht="15" customHeight="1" x14ac:dyDescent="0.2">
      <c r="J1111"/>
      <c r="AZ1111"/>
    </row>
    <row r="1112" spans="10:52" ht="15" customHeight="1" x14ac:dyDescent="0.2">
      <c r="J1112"/>
      <c r="AZ1112"/>
    </row>
    <row r="1113" spans="10:52" x14ac:dyDescent="0.2">
      <c r="J1113"/>
      <c r="AZ1113"/>
    </row>
    <row r="1114" spans="10:52" x14ac:dyDescent="0.2">
      <c r="J1114"/>
      <c r="AZ1114"/>
    </row>
    <row r="1115" spans="10:52" x14ac:dyDescent="0.2">
      <c r="J1115"/>
      <c r="AZ1115"/>
    </row>
    <row r="1116" spans="10:52" x14ac:dyDescent="0.2">
      <c r="J1116"/>
      <c r="AZ1116"/>
    </row>
    <row r="1117" spans="10:52" x14ac:dyDescent="0.2">
      <c r="J1117"/>
      <c r="AZ1117"/>
    </row>
    <row r="1118" spans="10:52" ht="15" customHeight="1" x14ac:dyDescent="0.2">
      <c r="J1118"/>
      <c r="AZ1118"/>
    </row>
    <row r="1119" spans="10:52" ht="15" customHeight="1" x14ac:dyDescent="0.2">
      <c r="J1119"/>
      <c r="AZ1119"/>
    </row>
    <row r="1120" spans="10:52" x14ac:dyDescent="0.2">
      <c r="J1120"/>
      <c r="AZ1120"/>
    </row>
    <row r="1121" spans="10:52" x14ac:dyDescent="0.2">
      <c r="J1121"/>
      <c r="AZ1121"/>
    </row>
    <row r="1122" spans="10:52" ht="15" customHeight="1" x14ac:dyDescent="0.2">
      <c r="J1122"/>
      <c r="AZ1122"/>
    </row>
    <row r="1123" spans="10:52" ht="15" customHeight="1" x14ac:dyDescent="0.2">
      <c r="J1123"/>
      <c r="AZ1123"/>
    </row>
    <row r="1124" spans="10:52" x14ac:dyDescent="0.2">
      <c r="J1124"/>
      <c r="AZ1124"/>
    </row>
    <row r="1125" spans="10:52" x14ac:dyDescent="0.2">
      <c r="J1125"/>
      <c r="AZ1125"/>
    </row>
    <row r="1126" spans="10:52" ht="15" customHeight="1" x14ac:dyDescent="0.2">
      <c r="J1126"/>
      <c r="AZ1126"/>
    </row>
    <row r="1127" spans="10:52" ht="15" customHeight="1" x14ac:dyDescent="0.2">
      <c r="J1127"/>
      <c r="AZ1127"/>
    </row>
    <row r="1128" spans="10:52" x14ac:dyDescent="0.2">
      <c r="J1128"/>
      <c r="AZ1128"/>
    </row>
    <row r="1129" spans="10:52" x14ac:dyDescent="0.2">
      <c r="J1129"/>
      <c r="AZ1129"/>
    </row>
    <row r="1130" spans="10:52" ht="15" customHeight="1" x14ac:dyDescent="0.2">
      <c r="J1130"/>
      <c r="AZ1130"/>
    </row>
    <row r="1131" spans="10:52" ht="15" customHeight="1" x14ac:dyDescent="0.2">
      <c r="J1131"/>
      <c r="AZ1131"/>
    </row>
    <row r="1132" spans="10:52" x14ac:dyDescent="0.2">
      <c r="J1132"/>
      <c r="AZ1132"/>
    </row>
    <row r="1133" spans="10:52" ht="15" customHeight="1" x14ac:dyDescent="0.2">
      <c r="J1133"/>
      <c r="AZ1133"/>
    </row>
    <row r="1134" spans="10:52" ht="15" customHeight="1" x14ac:dyDescent="0.2">
      <c r="J1134"/>
      <c r="AZ1134"/>
    </row>
    <row r="1135" spans="10:52" ht="15" customHeight="1" x14ac:dyDescent="0.2">
      <c r="J1135"/>
      <c r="AZ1135"/>
    </row>
    <row r="1136" spans="10:52" ht="15" customHeight="1" x14ac:dyDescent="0.2">
      <c r="J1136"/>
      <c r="AZ1136"/>
    </row>
    <row r="1137" spans="10:52" ht="15" customHeight="1" x14ac:dyDescent="0.2">
      <c r="J1137"/>
      <c r="AZ1137"/>
    </row>
    <row r="1138" spans="10:52" ht="15" customHeight="1" x14ac:dyDescent="0.2">
      <c r="J1138"/>
      <c r="AZ1138"/>
    </row>
    <row r="1139" spans="10:52" ht="15" customHeight="1" x14ac:dyDescent="0.2">
      <c r="J1139"/>
      <c r="AZ1139"/>
    </row>
    <row r="1140" spans="10:52" ht="15" customHeight="1" x14ac:dyDescent="0.2">
      <c r="J1140"/>
      <c r="AZ1140"/>
    </row>
    <row r="1141" spans="10:52" ht="15" customHeight="1" x14ac:dyDescent="0.2">
      <c r="J1141"/>
      <c r="AZ1141"/>
    </row>
    <row r="1142" spans="10:52" ht="15" customHeight="1" x14ac:dyDescent="0.2">
      <c r="J1142"/>
      <c r="AZ1142"/>
    </row>
    <row r="1143" spans="10:52" ht="15" customHeight="1" x14ac:dyDescent="0.2">
      <c r="J1143"/>
      <c r="AZ1143"/>
    </row>
    <row r="1144" spans="10:52" ht="15" customHeight="1" x14ac:dyDescent="0.2">
      <c r="J1144"/>
      <c r="AZ1144"/>
    </row>
    <row r="1145" spans="10:52" ht="15" customHeight="1" x14ac:dyDescent="0.2">
      <c r="J1145"/>
      <c r="AZ1145"/>
    </row>
    <row r="1146" spans="10:52" ht="15" customHeight="1" x14ac:dyDescent="0.2">
      <c r="J1146"/>
      <c r="AZ1146"/>
    </row>
    <row r="1147" spans="10:52" ht="15" customHeight="1" x14ac:dyDescent="0.2">
      <c r="J1147"/>
      <c r="AZ1147"/>
    </row>
    <row r="1148" spans="10:52" ht="15" customHeight="1" x14ac:dyDescent="0.2">
      <c r="J1148"/>
      <c r="AZ1148"/>
    </row>
    <row r="1149" spans="10:52" ht="15" customHeight="1" x14ac:dyDescent="0.2">
      <c r="J1149"/>
      <c r="AZ1149"/>
    </row>
    <row r="1150" spans="10:52" ht="15" customHeight="1" x14ac:dyDescent="0.2">
      <c r="J1150"/>
      <c r="AZ1150"/>
    </row>
    <row r="1151" spans="10:52" ht="15" customHeight="1" x14ac:dyDescent="0.2">
      <c r="J1151"/>
      <c r="AZ1151"/>
    </row>
    <row r="1152" spans="10:52" ht="15" customHeight="1" x14ac:dyDescent="0.2">
      <c r="J1152"/>
      <c r="AZ1152"/>
    </row>
    <row r="1153" spans="10:52" ht="15" customHeight="1" x14ac:dyDescent="0.2">
      <c r="J1153"/>
      <c r="AZ1153"/>
    </row>
    <row r="1154" spans="10:52" ht="15" customHeight="1" x14ac:dyDescent="0.2">
      <c r="J1154"/>
      <c r="AZ1154"/>
    </row>
    <row r="1155" spans="10:52" ht="15" customHeight="1" x14ac:dyDescent="0.2">
      <c r="J1155"/>
      <c r="AZ1155"/>
    </row>
    <row r="1156" spans="10:52" ht="15" customHeight="1" x14ac:dyDescent="0.2">
      <c r="J1156"/>
      <c r="AZ1156"/>
    </row>
    <row r="1157" spans="10:52" ht="15" customHeight="1" x14ac:dyDescent="0.2">
      <c r="J1157"/>
      <c r="AZ1157"/>
    </row>
    <row r="1158" spans="10:52" ht="15" customHeight="1" x14ac:dyDescent="0.2">
      <c r="J1158"/>
      <c r="AZ1158"/>
    </row>
    <row r="1159" spans="10:52" ht="15" customHeight="1" x14ac:dyDescent="0.2">
      <c r="J1159"/>
      <c r="AZ1159"/>
    </row>
    <row r="1160" spans="10:52" ht="15" customHeight="1" x14ac:dyDescent="0.2">
      <c r="J1160"/>
      <c r="AZ1160"/>
    </row>
    <row r="1161" spans="10:52" ht="15" customHeight="1" x14ac:dyDescent="0.2">
      <c r="J1161"/>
      <c r="AZ1161"/>
    </row>
    <row r="1162" spans="10:52" ht="15" customHeight="1" x14ac:dyDescent="0.2">
      <c r="J1162"/>
      <c r="AZ1162"/>
    </row>
    <row r="1163" spans="10:52" ht="15" customHeight="1" x14ac:dyDescent="0.2">
      <c r="J1163"/>
      <c r="AZ1163"/>
    </row>
    <row r="1164" spans="10:52" ht="15" customHeight="1" x14ac:dyDescent="0.2">
      <c r="J1164"/>
      <c r="AZ1164"/>
    </row>
    <row r="1165" spans="10:52" ht="15" customHeight="1" x14ac:dyDescent="0.2">
      <c r="J1165"/>
      <c r="AZ1165"/>
    </row>
    <row r="1166" spans="10:52" ht="15" customHeight="1" x14ac:dyDescent="0.2">
      <c r="J1166"/>
      <c r="AZ1166"/>
    </row>
    <row r="1167" spans="10:52" ht="15" customHeight="1" x14ac:dyDescent="0.2">
      <c r="J1167"/>
      <c r="AZ1167"/>
    </row>
    <row r="1168" spans="10:52" ht="15" customHeight="1" x14ac:dyDescent="0.2">
      <c r="J1168"/>
      <c r="AZ1168"/>
    </row>
    <row r="1169" spans="10:52" ht="15" customHeight="1" x14ac:dyDescent="0.2">
      <c r="J1169"/>
      <c r="AZ1169"/>
    </row>
    <row r="1170" spans="10:52" ht="15" customHeight="1" x14ac:dyDescent="0.2">
      <c r="J1170"/>
      <c r="AZ1170"/>
    </row>
    <row r="1171" spans="10:52" ht="15" customHeight="1" x14ac:dyDescent="0.2">
      <c r="J1171"/>
      <c r="AZ1171"/>
    </row>
    <row r="1172" spans="10:52" ht="15" customHeight="1" x14ac:dyDescent="0.2">
      <c r="J1172"/>
      <c r="AZ1172"/>
    </row>
    <row r="1173" spans="10:52" ht="15" customHeight="1" x14ac:dyDescent="0.2">
      <c r="J1173"/>
      <c r="AZ1173"/>
    </row>
    <row r="1174" spans="10:52" ht="15" customHeight="1" x14ac:dyDescent="0.2">
      <c r="J1174"/>
      <c r="AZ1174"/>
    </row>
    <row r="1175" spans="10:52" ht="15" customHeight="1" x14ac:dyDescent="0.2">
      <c r="J1175"/>
      <c r="AZ1175"/>
    </row>
    <row r="1176" spans="10:52" x14ac:dyDescent="0.2">
      <c r="J1176"/>
      <c r="AZ1176"/>
    </row>
    <row r="1177" spans="10:52" x14ac:dyDescent="0.2">
      <c r="J1177"/>
      <c r="AZ1177"/>
    </row>
    <row r="1178" spans="10:52" x14ac:dyDescent="0.2">
      <c r="J1178"/>
      <c r="AZ1178"/>
    </row>
    <row r="1179" spans="10:52" ht="15" customHeight="1" x14ac:dyDescent="0.2">
      <c r="J1179"/>
      <c r="AZ1179"/>
    </row>
    <row r="1180" spans="10:52" ht="15" customHeight="1" x14ac:dyDescent="0.2">
      <c r="J1180"/>
      <c r="AZ1180"/>
    </row>
    <row r="1181" spans="10:52" ht="15" customHeight="1" x14ac:dyDescent="0.2">
      <c r="J1181"/>
      <c r="AZ1181"/>
    </row>
    <row r="1182" spans="10:52" ht="15" customHeight="1" x14ac:dyDescent="0.2">
      <c r="J1182"/>
      <c r="AZ1182"/>
    </row>
    <row r="1183" spans="10:52" ht="15" customHeight="1" x14ac:dyDescent="0.2">
      <c r="J1183"/>
      <c r="AZ1183"/>
    </row>
    <row r="1184" spans="10:52" ht="15" customHeight="1" x14ac:dyDescent="0.2">
      <c r="J1184"/>
      <c r="AZ1184"/>
    </row>
    <row r="1185" spans="10:52" x14ac:dyDescent="0.2">
      <c r="J1185"/>
      <c r="AZ1185"/>
    </row>
    <row r="1186" spans="10:52" x14ac:dyDescent="0.2">
      <c r="J1186"/>
      <c r="AZ1186"/>
    </row>
    <row r="1187" spans="10:52" x14ac:dyDescent="0.2">
      <c r="J1187"/>
      <c r="AZ1187"/>
    </row>
    <row r="1188" spans="10:52" x14ac:dyDescent="0.2">
      <c r="J1188"/>
      <c r="AZ1188"/>
    </row>
    <row r="1189" spans="10:52" x14ac:dyDescent="0.2">
      <c r="J1189"/>
      <c r="AZ1189"/>
    </row>
    <row r="1190" spans="10:52" ht="15" customHeight="1" x14ac:dyDescent="0.2">
      <c r="J1190"/>
      <c r="AZ1190"/>
    </row>
    <row r="1191" spans="10:52" ht="15" customHeight="1" x14ac:dyDescent="0.2">
      <c r="J1191"/>
      <c r="AZ1191"/>
    </row>
    <row r="1192" spans="10:52" x14ac:dyDescent="0.2">
      <c r="J1192"/>
      <c r="AZ1192"/>
    </row>
    <row r="1193" spans="10:52" x14ac:dyDescent="0.2">
      <c r="J1193"/>
      <c r="AZ1193"/>
    </row>
    <row r="1194" spans="10:52" ht="15" customHeight="1" x14ac:dyDescent="0.2">
      <c r="J1194"/>
      <c r="AZ1194"/>
    </row>
    <row r="1195" spans="10:52" ht="15" customHeight="1" x14ac:dyDescent="0.2">
      <c r="J1195"/>
      <c r="AZ1195"/>
    </row>
    <row r="1196" spans="10:52" x14ac:dyDescent="0.2">
      <c r="J1196"/>
      <c r="AZ1196"/>
    </row>
    <row r="1197" spans="10:52" x14ac:dyDescent="0.2">
      <c r="J1197"/>
      <c r="AZ1197"/>
    </row>
    <row r="1198" spans="10:52" ht="15" customHeight="1" x14ac:dyDescent="0.2">
      <c r="J1198"/>
      <c r="AZ1198"/>
    </row>
    <row r="1199" spans="10:52" ht="15" customHeight="1" x14ac:dyDescent="0.2">
      <c r="J1199"/>
      <c r="AZ1199"/>
    </row>
    <row r="1200" spans="10:52" x14ac:dyDescent="0.2">
      <c r="J1200"/>
      <c r="AZ1200"/>
    </row>
    <row r="1201" spans="10:52" x14ac:dyDescent="0.2">
      <c r="J1201"/>
      <c r="AZ1201"/>
    </row>
    <row r="1202" spans="10:52" ht="15" customHeight="1" x14ac:dyDescent="0.2">
      <c r="J1202"/>
      <c r="AZ1202"/>
    </row>
    <row r="1203" spans="10:52" ht="15" customHeight="1" x14ac:dyDescent="0.2">
      <c r="J1203"/>
      <c r="AZ1203"/>
    </row>
    <row r="1204" spans="10:52" x14ac:dyDescent="0.2">
      <c r="J1204"/>
      <c r="AZ1204"/>
    </row>
    <row r="1205" spans="10:52" ht="15" customHeight="1" x14ac:dyDescent="0.2">
      <c r="J1205"/>
      <c r="AZ1205"/>
    </row>
    <row r="1206" spans="10:52" ht="15" customHeight="1" x14ac:dyDescent="0.2">
      <c r="J1206"/>
      <c r="AZ1206"/>
    </row>
    <row r="1207" spans="10:52" ht="15" customHeight="1" x14ac:dyDescent="0.2">
      <c r="J1207"/>
      <c r="AZ1207"/>
    </row>
    <row r="1208" spans="10:52" ht="15" customHeight="1" x14ac:dyDescent="0.2">
      <c r="J1208"/>
      <c r="AZ1208"/>
    </row>
    <row r="1209" spans="10:52" ht="15" customHeight="1" x14ac:dyDescent="0.2">
      <c r="J1209"/>
      <c r="AZ1209"/>
    </row>
    <row r="1210" spans="10:52" ht="15" customHeight="1" x14ac:dyDescent="0.2">
      <c r="J1210"/>
      <c r="AZ1210"/>
    </row>
    <row r="1211" spans="10:52" ht="15" customHeight="1" x14ac:dyDescent="0.2">
      <c r="J1211"/>
      <c r="AZ1211"/>
    </row>
    <row r="1212" spans="10:52" ht="15" customHeight="1" x14ac:dyDescent="0.2">
      <c r="J1212"/>
      <c r="AZ1212"/>
    </row>
    <row r="1213" spans="10:52" ht="15" customHeight="1" x14ac:dyDescent="0.2">
      <c r="J1213"/>
      <c r="AZ1213"/>
    </row>
    <row r="1214" spans="10:52" ht="15" customHeight="1" x14ac:dyDescent="0.2">
      <c r="J1214"/>
      <c r="AZ1214"/>
    </row>
    <row r="1215" spans="10:52" ht="15" customHeight="1" x14ac:dyDescent="0.2">
      <c r="J1215"/>
      <c r="AZ1215"/>
    </row>
    <row r="1216" spans="10:52" ht="15" customHeight="1" x14ac:dyDescent="0.2">
      <c r="J1216"/>
      <c r="AZ1216"/>
    </row>
    <row r="1217" spans="10:52" ht="15" customHeight="1" x14ac:dyDescent="0.2">
      <c r="J1217"/>
      <c r="AZ1217"/>
    </row>
    <row r="1218" spans="10:52" ht="15" customHeight="1" x14ac:dyDescent="0.2">
      <c r="J1218"/>
      <c r="AZ1218"/>
    </row>
    <row r="1219" spans="10:52" ht="15" customHeight="1" x14ac:dyDescent="0.2">
      <c r="J1219"/>
      <c r="AZ1219"/>
    </row>
    <row r="1220" spans="10:52" ht="15" customHeight="1" x14ac:dyDescent="0.2">
      <c r="J1220"/>
      <c r="AZ1220"/>
    </row>
    <row r="1221" spans="10:52" ht="15" customHeight="1" x14ac:dyDescent="0.2">
      <c r="J1221"/>
      <c r="AZ1221"/>
    </row>
    <row r="1222" spans="10:52" ht="15" customHeight="1" x14ac:dyDescent="0.2">
      <c r="J1222"/>
      <c r="AZ1222"/>
    </row>
    <row r="1223" spans="10:52" ht="15" customHeight="1" x14ac:dyDescent="0.2">
      <c r="J1223"/>
      <c r="AZ1223"/>
    </row>
    <row r="1224" spans="10:52" ht="15" customHeight="1" x14ac:dyDescent="0.2">
      <c r="J1224"/>
      <c r="AZ1224"/>
    </row>
    <row r="1225" spans="10:52" ht="15" customHeight="1" x14ac:dyDescent="0.2">
      <c r="J1225"/>
      <c r="AZ1225"/>
    </row>
    <row r="1226" spans="10:52" ht="15" customHeight="1" x14ac:dyDescent="0.2">
      <c r="J1226"/>
      <c r="AZ1226"/>
    </row>
    <row r="1227" spans="10:52" ht="15" customHeight="1" x14ac:dyDescent="0.2">
      <c r="J1227"/>
      <c r="AZ1227"/>
    </row>
    <row r="1228" spans="10:52" ht="15" customHeight="1" x14ac:dyDescent="0.2">
      <c r="J1228"/>
      <c r="AZ1228"/>
    </row>
    <row r="1229" spans="10:52" ht="15" customHeight="1" x14ac:dyDescent="0.2">
      <c r="J1229"/>
      <c r="AZ1229"/>
    </row>
    <row r="1230" spans="10:52" ht="15" customHeight="1" x14ac:dyDescent="0.2">
      <c r="J1230"/>
      <c r="AZ1230"/>
    </row>
    <row r="1231" spans="10:52" ht="15" customHeight="1" x14ac:dyDescent="0.2">
      <c r="J1231"/>
      <c r="AZ1231"/>
    </row>
    <row r="1232" spans="10:52" ht="15" customHeight="1" x14ac:dyDescent="0.2">
      <c r="J1232"/>
      <c r="AZ1232"/>
    </row>
    <row r="1233" spans="10:52" ht="15" customHeight="1" x14ac:dyDescent="0.2">
      <c r="J1233"/>
      <c r="AZ1233"/>
    </row>
    <row r="1234" spans="10:52" ht="15" customHeight="1" x14ac:dyDescent="0.2">
      <c r="J1234"/>
      <c r="AZ1234"/>
    </row>
    <row r="1235" spans="10:52" ht="15" customHeight="1" x14ac:dyDescent="0.2">
      <c r="J1235"/>
      <c r="AZ1235"/>
    </row>
    <row r="1236" spans="10:52" ht="15" customHeight="1" x14ac:dyDescent="0.2">
      <c r="J1236"/>
      <c r="AZ1236"/>
    </row>
    <row r="1237" spans="10:52" ht="15" customHeight="1" x14ac:dyDescent="0.2">
      <c r="J1237"/>
      <c r="AZ1237"/>
    </row>
    <row r="1238" spans="10:52" ht="15" customHeight="1" x14ac:dyDescent="0.2">
      <c r="J1238"/>
      <c r="AZ1238"/>
    </row>
    <row r="1239" spans="10:52" ht="15" customHeight="1" x14ac:dyDescent="0.2">
      <c r="J1239"/>
      <c r="AZ1239"/>
    </row>
    <row r="1240" spans="10:52" ht="15" customHeight="1" x14ac:dyDescent="0.2">
      <c r="J1240"/>
      <c r="AZ1240"/>
    </row>
    <row r="1241" spans="10:52" ht="15" customHeight="1" x14ac:dyDescent="0.2">
      <c r="J1241"/>
      <c r="AZ1241"/>
    </row>
    <row r="1242" spans="10:52" ht="15" customHeight="1" x14ac:dyDescent="0.2">
      <c r="J1242"/>
      <c r="AZ1242"/>
    </row>
    <row r="1243" spans="10:52" ht="15" customHeight="1" x14ac:dyDescent="0.2">
      <c r="J1243"/>
      <c r="AZ1243"/>
    </row>
    <row r="1244" spans="10:52" ht="15" customHeight="1" x14ac:dyDescent="0.2">
      <c r="J1244"/>
      <c r="AZ1244"/>
    </row>
    <row r="1245" spans="10:52" ht="15" customHeight="1" x14ac:dyDescent="0.2">
      <c r="J1245"/>
      <c r="AZ1245"/>
    </row>
    <row r="1246" spans="10:52" ht="15" customHeight="1" x14ac:dyDescent="0.2">
      <c r="J1246"/>
      <c r="AZ1246"/>
    </row>
    <row r="1247" spans="10:52" ht="15" customHeight="1" x14ac:dyDescent="0.2">
      <c r="J1247"/>
      <c r="AZ1247"/>
    </row>
    <row r="1248" spans="10:52" x14ac:dyDescent="0.2">
      <c r="J1248"/>
      <c r="AZ1248"/>
    </row>
    <row r="1249" spans="10:52" x14ac:dyDescent="0.2">
      <c r="J1249"/>
      <c r="AZ1249"/>
    </row>
    <row r="1250" spans="10:52" ht="15" customHeight="1" x14ac:dyDescent="0.2">
      <c r="J1250"/>
      <c r="AZ1250"/>
    </row>
    <row r="1251" spans="10:52" ht="15" customHeight="1" x14ac:dyDescent="0.2">
      <c r="J1251"/>
      <c r="AZ1251"/>
    </row>
    <row r="1252" spans="10:52" ht="15" customHeight="1" x14ac:dyDescent="0.2">
      <c r="J1252"/>
      <c r="AZ1252"/>
    </row>
    <row r="1253" spans="10:52" ht="15" customHeight="1" x14ac:dyDescent="0.2">
      <c r="J1253"/>
      <c r="AZ1253"/>
    </row>
    <row r="1254" spans="10:52" ht="15" customHeight="1" x14ac:dyDescent="0.2">
      <c r="J1254"/>
      <c r="AZ1254"/>
    </row>
    <row r="1255" spans="10:52" ht="15" customHeight="1" x14ac:dyDescent="0.2">
      <c r="J1255"/>
      <c r="AZ1255"/>
    </row>
    <row r="1256" spans="10:52" x14ac:dyDescent="0.2">
      <c r="J1256"/>
      <c r="AZ1256"/>
    </row>
    <row r="1257" spans="10:52" x14ac:dyDescent="0.2">
      <c r="J1257"/>
      <c r="AZ1257"/>
    </row>
    <row r="1258" spans="10:52" x14ac:dyDescent="0.2">
      <c r="J1258"/>
      <c r="AZ1258"/>
    </row>
    <row r="1259" spans="10:52" x14ac:dyDescent="0.2">
      <c r="J1259"/>
      <c r="AZ1259"/>
    </row>
    <row r="1260" spans="10:52" ht="15" customHeight="1" x14ac:dyDescent="0.2">
      <c r="J1260"/>
      <c r="AZ1260"/>
    </row>
    <row r="1261" spans="10:52" ht="15" customHeight="1" x14ac:dyDescent="0.2">
      <c r="J1261"/>
      <c r="AZ1261"/>
    </row>
    <row r="1262" spans="10:52" x14ac:dyDescent="0.2">
      <c r="J1262"/>
      <c r="AZ1262"/>
    </row>
    <row r="1263" spans="10:52" x14ac:dyDescent="0.2">
      <c r="J1263"/>
      <c r="AZ1263"/>
    </row>
    <row r="1264" spans="10:52" ht="15" customHeight="1" x14ac:dyDescent="0.2">
      <c r="J1264"/>
      <c r="AZ1264"/>
    </row>
    <row r="1265" spans="10:52" ht="15" customHeight="1" x14ac:dyDescent="0.2">
      <c r="J1265"/>
      <c r="AZ1265"/>
    </row>
    <row r="1266" spans="10:52" x14ac:dyDescent="0.2">
      <c r="J1266"/>
      <c r="AZ1266"/>
    </row>
    <row r="1267" spans="10:52" x14ac:dyDescent="0.2">
      <c r="J1267"/>
      <c r="AZ1267"/>
    </row>
    <row r="1268" spans="10:52" ht="15" customHeight="1" x14ac:dyDescent="0.2">
      <c r="J1268"/>
      <c r="AZ1268"/>
    </row>
    <row r="1269" spans="10:52" ht="15" customHeight="1" x14ac:dyDescent="0.2">
      <c r="J1269"/>
      <c r="AZ1269"/>
    </row>
    <row r="1270" spans="10:52" ht="15" customHeight="1" x14ac:dyDescent="0.2">
      <c r="J1270"/>
      <c r="AZ1270"/>
    </row>
    <row r="1271" spans="10:52" x14ac:dyDescent="0.2">
      <c r="J1271"/>
      <c r="AZ1271"/>
    </row>
    <row r="1272" spans="10:52" ht="15" customHeight="1" x14ac:dyDescent="0.2">
      <c r="J1272"/>
      <c r="AZ1272"/>
    </row>
    <row r="1273" spans="10:52" ht="15" customHeight="1" x14ac:dyDescent="0.2">
      <c r="J1273"/>
      <c r="AZ1273"/>
    </row>
    <row r="1274" spans="10:52" x14ac:dyDescent="0.2">
      <c r="J1274"/>
      <c r="AZ1274"/>
    </row>
    <row r="1275" spans="10:52" ht="15" customHeight="1" x14ac:dyDescent="0.2">
      <c r="J1275"/>
      <c r="AZ1275"/>
    </row>
    <row r="1276" spans="10:52" ht="15" customHeight="1" x14ac:dyDescent="0.2">
      <c r="J1276"/>
      <c r="AZ1276"/>
    </row>
    <row r="1277" spans="10:52" ht="15" customHeight="1" x14ac:dyDescent="0.2">
      <c r="J1277"/>
      <c r="AZ1277"/>
    </row>
    <row r="1278" spans="10:52" ht="15" customHeight="1" x14ac:dyDescent="0.2">
      <c r="J1278"/>
      <c r="AZ1278"/>
    </row>
    <row r="1279" spans="10:52" ht="15" customHeight="1" x14ac:dyDescent="0.2">
      <c r="J1279"/>
      <c r="AZ1279"/>
    </row>
    <row r="1280" spans="10:52" ht="15" customHeight="1" x14ac:dyDescent="0.2">
      <c r="J1280"/>
      <c r="AZ1280"/>
    </row>
    <row r="1281" spans="10:52" ht="15" customHeight="1" x14ac:dyDescent="0.2">
      <c r="J1281"/>
      <c r="AZ1281"/>
    </row>
    <row r="1282" spans="10:52" ht="15" customHeight="1" x14ac:dyDescent="0.2">
      <c r="J1282"/>
      <c r="AZ1282"/>
    </row>
    <row r="1283" spans="10:52" ht="15" customHeight="1" x14ac:dyDescent="0.2">
      <c r="J1283"/>
      <c r="AZ1283"/>
    </row>
    <row r="1284" spans="10:52" ht="15" customHeight="1" x14ac:dyDescent="0.2">
      <c r="J1284"/>
      <c r="AZ1284"/>
    </row>
    <row r="1285" spans="10:52" ht="15" customHeight="1" x14ac:dyDescent="0.2">
      <c r="J1285"/>
      <c r="AZ1285"/>
    </row>
    <row r="1286" spans="10:52" ht="15" customHeight="1" x14ac:dyDescent="0.2">
      <c r="J1286"/>
      <c r="AZ1286"/>
    </row>
    <row r="1287" spans="10:52" ht="15" customHeight="1" x14ac:dyDescent="0.2">
      <c r="J1287"/>
      <c r="AZ1287"/>
    </row>
    <row r="1288" spans="10:52" ht="15" customHeight="1" x14ac:dyDescent="0.2">
      <c r="J1288"/>
      <c r="AZ1288"/>
    </row>
    <row r="1289" spans="10:52" ht="15" customHeight="1" x14ac:dyDescent="0.2">
      <c r="J1289"/>
      <c r="AZ1289"/>
    </row>
    <row r="1290" spans="10:52" ht="15" customHeight="1" x14ac:dyDescent="0.2">
      <c r="J1290"/>
      <c r="AZ1290"/>
    </row>
    <row r="1291" spans="10:52" ht="15" customHeight="1" x14ac:dyDescent="0.2">
      <c r="J1291"/>
      <c r="AZ1291"/>
    </row>
    <row r="1292" spans="10:52" ht="15" customHeight="1" x14ac:dyDescent="0.2">
      <c r="J1292"/>
      <c r="AZ1292"/>
    </row>
    <row r="1293" spans="10:52" ht="15" customHeight="1" x14ac:dyDescent="0.2">
      <c r="J1293"/>
      <c r="AZ1293"/>
    </row>
    <row r="1294" spans="10:52" ht="15" customHeight="1" x14ac:dyDescent="0.2">
      <c r="J1294"/>
      <c r="AZ1294"/>
    </row>
    <row r="1295" spans="10:52" ht="15" customHeight="1" x14ac:dyDescent="0.2">
      <c r="J1295"/>
      <c r="AZ1295"/>
    </row>
    <row r="1296" spans="10:52" ht="15" customHeight="1" x14ac:dyDescent="0.2">
      <c r="J1296"/>
      <c r="AZ1296"/>
    </row>
    <row r="1297" spans="10:52" ht="15" customHeight="1" x14ac:dyDescent="0.2">
      <c r="J1297"/>
      <c r="AZ1297"/>
    </row>
    <row r="1298" spans="10:52" ht="15" customHeight="1" x14ac:dyDescent="0.2">
      <c r="J1298"/>
      <c r="AZ1298"/>
    </row>
    <row r="1299" spans="10:52" ht="15" customHeight="1" x14ac:dyDescent="0.2">
      <c r="J1299"/>
      <c r="AZ1299"/>
    </row>
    <row r="1300" spans="10:52" ht="15" customHeight="1" x14ac:dyDescent="0.2">
      <c r="J1300"/>
      <c r="AZ1300"/>
    </row>
    <row r="1301" spans="10:52" ht="15" customHeight="1" x14ac:dyDescent="0.2">
      <c r="J1301"/>
      <c r="AZ1301"/>
    </row>
    <row r="1302" spans="10:52" ht="15" customHeight="1" x14ac:dyDescent="0.2">
      <c r="J1302"/>
      <c r="AZ1302"/>
    </row>
    <row r="1303" spans="10:52" ht="15" customHeight="1" x14ac:dyDescent="0.2">
      <c r="J1303"/>
      <c r="AZ1303"/>
    </row>
    <row r="1304" spans="10:52" ht="15" customHeight="1" x14ac:dyDescent="0.2">
      <c r="J1304"/>
      <c r="AZ1304"/>
    </row>
    <row r="1305" spans="10:52" ht="15" customHeight="1" x14ac:dyDescent="0.2">
      <c r="J1305"/>
      <c r="AZ1305"/>
    </row>
    <row r="1306" spans="10:52" ht="15" customHeight="1" x14ac:dyDescent="0.2">
      <c r="J1306"/>
      <c r="AZ1306"/>
    </row>
    <row r="1307" spans="10:52" ht="15" customHeight="1" x14ac:dyDescent="0.2">
      <c r="J1307"/>
      <c r="AZ1307"/>
    </row>
    <row r="1308" spans="10:52" ht="15" customHeight="1" x14ac:dyDescent="0.2">
      <c r="J1308"/>
      <c r="AZ1308"/>
    </row>
    <row r="1309" spans="10:52" ht="15" customHeight="1" x14ac:dyDescent="0.2">
      <c r="J1309"/>
      <c r="AZ1309"/>
    </row>
    <row r="1310" spans="10:52" ht="15" customHeight="1" x14ac:dyDescent="0.2">
      <c r="J1310"/>
      <c r="AZ1310"/>
    </row>
    <row r="1311" spans="10:52" ht="15" customHeight="1" x14ac:dyDescent="0.2">
      <c r="J1311"/>
      <c r="AZ1311"/>
    </row>
    <row r="1312" spans="10:52" ht="15" customHeight="1" x14ac:dyDescent="0.2">
      <c r="J1312"/>
      <c r="AZ1312"/>
    </row>
    <row r="1313" spans="10:52" ht="15" customHeight="1" x14ac:dyDescent="0.2">
      <c r="J1313"/>
      <c r="AZ1313"/>
    </row>
    <row r="1314" spans="10:52" ht="15" customHeight="1" x14ac:dyDescent="0.2">
      <c r="J1314"/>
      <c r="AZ1314"/>
    </row>
    <row r="1315" spans="10:52" ht="15" customHeight="1" x14ac:dyDescent="0.2">
      <c r="J1315"/>
      <c r="AZ1315"/>
    </row>
    <row r="1316" spans="10:52" x14ac:dyDescent="0.2">
      <c r="J1316"/>
      <c r="AZ1316"/>
    </row>
    <row r="1317" spans="10:52" ht="15" customHeight="1" x14ac:dyDescent="0.2">
      <c r="J1317"/>
      <c r="AZ1317"/>
    </row>
    <row r="1318" spans="10:52" x14ac:dyDescent="0.2">
      <c r="J1318"/>
      <c r="AZ1318"/>
    </row>
    <row r="1319" spans="10:52" x14ac:dyDescent="0.2">
      <c r="J1319"/>
      <c r="AZ1319"/>
    </row>
    <row r="1320" spans="10:52" ht="15" customHeight="1" x14ac:dyDescent="0.2">
      <c r="J1320"/>
      <c r="AZ1320"/>
    </row>
    <row r="1321" spans="10:52" ht="15" customHeight="1" x14ac:dyDescent="0.2">
      <c r="J1321"/>
      <c r="AZ1321"/>
    </row>
    <row r="1322" spans="10:52" ht="15" customHeight="1" x14ac:dyDescent="0.2">
      <c r="J1322"/>
      <c r="AZ1322"/>
    </row>
    <row r="1323" spans="10:52" ht="15" customHeight="1" x14ac:dyDescent="0.2">
      <c r="J1323"/>
      <c r="AZ1323"/>
    </row>
    <row r="1324" spans="10:52" ht="15" customHeight="1" x14ac:dyDescent="0.2">
      <c r="J1324"/>
      <c r="AZ1324"/>
    </row>
    <row r="1325" spans="10:52" ht="15" customHeight="1" x14ac:dyDescent="0.2">
      <c r="J1325"/>
      <c r="AZ1325"/>
    </row>
    <row r="1326" spans="10:52" x14ac:dyDescent="0.2">
      <c r="J1326"/>
      <c r="AZ1326"/>
    </row>
    <row r="1327" spans="10:52" x14ac:dyDescent="0.2">
      <c r="J1327"/>
      <c r="AZ1327"/>
    </row>
    <row r="1328" spans="10:52" x14ac:dyDescent="0.2">
      <c r="J1328"/>
      <c r="AZ1328"/>
    </row>
    <row r="1329" spans="10:52" x14ac:dyDescent="0.2">
      <c r="J1329"/>
      <c r="AZ1329"/>
    </row>
    <row r="1330" spans="10:52" x14ac:dyDescent="0.2">
      <c r="J1330"/>
      <c r="AZ1330"/>
    </row>
    <row r="1331" spans="10:52" x14ac:dyDescent="0.2">
      <c r="J1331"/>
      <c r="AZ1331"/>
    </row>
    <row r="1332" spans="10:52" x14ac:dyDescent="0.2">
      <c r="J1332"/>
      <c r="AZ1332"/>
    </row>
    <row r="1333" spans="10:52" x14ac:dyDescent="0.2">
      <c r="J1333"/>
      <c r="AZ1333"/>
    </row>
    <row r="1334" spans="10:52" x14ac:dyDescent="0.2">
      <c r="J1334"/>
      <c r="AZ1334"/>
    </row>
    <row r="1335" spans="10:52" x14ac:dyDescent="0.2">
      <c r="J1335"/>
      <c r="AZ1335"/>
    </row>
    <row r="1336" spans="10:52" x14ac:dyDescent="0.2">
      <c r="J1336"/>
      <c r="AZ1336"/>
    </row>
    <row r="1337" spans="10:52" x14ac:dyDescent="0.2">
      <c r="J1337"/>
      <c r="AZ1337"/>
    </row>
    <row r="1338" spans="10:52" x14ac:dyDescent="0.2">
      <c r="J1338"/>
      <c r="AZ1338"/>
    </row>
    <row r="1339" spans="10:52" x14ac:dyDescent="0.2">
      <c r="J1339"/>
      <c r="AZ1339"/>
    </row>
    <row r="1340" spans="10:52" x14ac:dyDescent="0.2">
      <c r="J1340"/>
      <c r="AZ1340"/>
    </row>
    <row r="1341" spans="10:52" ht="16.5" customHeight="1" x14ac:dyDescent="0.2">
      <c r="J1341"/>
      <c r="AZ1341"/>
    </row>
    <row r="1342" spans="10:52" x14ac:dyDescent="0.2">
      <c r="J1342"/>
      <c r="AZ1342"/>
    </row>
    <row r="1343" spans="10:52" x14ac:dyDescent="0.2">
      <c r="J1343"/>
      <c r="AZ1343"/>
    </row>
    <row r="1344" spans="10:52" x14ac:dyDescent="0.2">
      <c r="J1344"/>
      <c r="AZ1344"/>
    </row>
    <row r="1345" spans="10:52" x14ac:dyDescent="0.2">
      <c r="J1345"/>
      <c r="AZ1345"/>
    </row>
    <row r="1346" spans="10:52" ht="15.75" customHeight="1" x14ac:dyDescent="0.2">
      <c r="J1346"/>
      <c r="AZ1346"/>
    </row>
    <row r="1347" spans="10:52" ht="15.75" customHeight="1" x14ac:dyDescent="0.2">
      <c r="J1347"/>
      <c r="AZ1347"/>
    </row>
    <row r="1348" spans="10:52" ht="15.75" customHeight="1" x14ac:dyDescent="0.2">
      <c r="J1348"/>
      <c r="AZ1348"/>
    </row>
    <row r="1349" spans="10:52" ht="15.75" customHeight="1" x14ac:dyDescent="0.2">
      <c r="J1349"/>
      <c r="AZ1349"/>
    </row>
    <row r="1350" spans="10:52" ht="15.75" customHeight="1" x14ac:dyDescent="0.2">
      <c r="J1350"/>
      <c r="AZ1350"/>
    </row>
    <row r="1351" spans="10:52" ht="15.75" customHeight="1" x14ac:dyDescent="0.2">
      <c r="J1351"/>
      <c r="AZ1351"/>
    </row>
    <row r="1352" spans="10:52" ht="15.75" customHeight="1" x14ac:dyDescent="0.2">
      <c r="J1352"/>
      <c r="AZ1352"/>
    </row>
    <row r="1353" spans="10:52" ht="15.75" customHeight="1" x14ac:dyDescent="0.2">
      <c r="J1353"/>
      <c r="AZ1353"/>
    </row>
    <row r="1354" spans="10:52" ht="15.75" customHeight="1" x14ac:dyDescent="0.2">
      <c r="J1354"/>
      <c r="AZ1354"/>
    </row>
    <row r="1355" spans="10:52" ht="15.75" customHeight="1" x14ac:dyDescent="0.2">
      <c r="J1355"/>
      <c r="AZ1355"/>
    </row>
    <row r="1356" spans="10:52" ht="15.75" customHeight="1" x14ac:dyDescent="0.2">
      <c r="J1356"/>
      <c r="AZ1356"/>
    </row>
    <row r="1357" spans="10:52" ht="15.75" customHeight="1" x14ac:dyDescent="0.2">
      <c r="J1357"/>
      <c r="AZ1357"/>
    </row>
    <row r="1358" spans="10:52" ht="15.75" customHeight="1" x14ac:dyDescent="0.2">
      <c r="J1358"/>
      <c r="AZ1358"/>
    </row>
    <row r="1359" spans="10:52" ht="15.75" customHeight="1" x14ac:dyDescent="0.2">
      <c r="J1359"/>
      <c r="AZ1359"/>
    </row>
    <row r="1360" spans="10:52" ht="15.75" customHeight="1" x14ac:dyDescent="0.2">
      <c r="J1360"/>
      <c r="AZ1360"/>
    </row>
    <row r="1361" spans="10:52" ht="15" customHeight="1" x14ac:dyDescent="0.2">
      <c r="J1361"/>
      <c r="AZ1361"/>
    </row>
    <row r="1362" spans="10:52" ht="15.75" customHeight="1" x14ac:dyDescent="0.2">
      <c r="J1362"/>
      <c r="AZ1362"/>
    </row>
    <row r="1363" spans="10:52" ht="15.75" customHeight="1" x14ac:dyDescent="0.2">
      <c r="J1363"/>
      <c r="AZ1363"/>
    </row>
    <row r="1364" spans="10:52" ht="15.75" customHeight="1" x14ac:dyDescent="0.2">
      <c r="J1364"/>
      <c r="AZ1364"/>
    </row>
    <row r="1365" spans="10:52" ht="15.75" customHeight="1" x14ac:dyDescent="0.2">
      <c r="J1365"/>
      <c r="AZ1365"/>
    </row>
    <row r="1366" spans="10:52" ht="15.75" customHeight="1" x14ac:dyDescent="0.2">
      <c r="J1366"/>
      <c r="AZ1366"/>
    </row>
    <row r="1367" spans="10:52" ht="15.75" customHeight="1" x14ac:dyDescent="0.2">
      <c r="J1367"/>
      <c r="AZ1367"/>
    </row>
    <row r="1368" spans="10:52" ht="15.75" customHeight="1" x14ac:dyDescent="0.2">
      <c r="J1368"/>
      <c r="AZ1368"/>
    </row>
    <row r="1369" spans="10:52" ht="15.75" customHeight="1" x14ac:dyDescent="0.2">
      <c r="J1369"/>
      <c r="AZ1369"/>
    </row>
    <row r="1370" spans="10:52" ht="15.75" customHeight="1" x14ac:dyDescent="0.2">
      <c r="J1370"/>
      <c r="AZ1370"/>
    </row>
    <row r="1371" spans="10:52" ht="15.75" customHeight="1" x14ac:dyDescent="0.2">
      <c r="J1371"/>
      <c r="AZ1371"/>
    </row>
    <row r="1372" spans="10:52" ht="15.75" customHeight="1" x14ac:dyDescent="0.2">
      <c r="J1372"/>
      <c r="AZ1372"/>
    </row>
    <row r="1373" spans="10:52" ht="15.75" customHeight="1" x14ac:dyDescent="0.2">
      <c r="J1373"/>
      <c r="AZ1373"/>
    </row>
    <row r="1374" spans="10:52" ht="15.75" customHeight="1" x14ac:dyDescent="0.2">
      <c r="J1374"/>
      <c r="AZ1374"/>
    </row>
    <row r="1375" spans="10:52" ht="15.75" customHeight="1" x14ac:dyDescent="0.2">
      <c r="J1375"/>
      <c r="AZ1375"/>
    </row>
    <row r="1376" spans="10:52" ht="15.75" customHeight="1" x14ac:dyDescent="0.2">
      <c r="J1376"/>
      <c r="AZ1376"/>
    </row>
    <row r="1377" spans="10:52" ht="15.75" customHeight="1" x14ac:dyDescent="0.2">
      <c r="J1377"/>
      <c r="AZ1377"/>
    </row>
    <row r="1378" spans="10:52" ht="15.75" customHeight="1" x14ac:dyDescent="0.2">
      <c r="J1378"/>
      <c r="AZ1378"/>
    </row>
    <row r="1379" spans="10:52" ht="15.75" customHeight="1" x14ac:dyDescent="0.2">
      <c r="J1379"/>
      <c r="AZ1379"/>
    </row>
    <row r="1380" spans="10:52" ht="15.75" customHeight="1" x14ac:dyDescent="0.2">
      <c r="J1380"/>
      <c r="AZ1380"/>
    </row>
    <row r="1381" spans="10:52" ht="15.75" customHeight="1" x14ac:dyDescent="0.2">
      <c r="J1381"/>
      <c r="AZ1381"/>
    </row>
    <row r="1382" spans="10:52" ht="15.75" customHeight="1" x14ac:dyDescent="0.2">
      <c r="J1382"/>
      <c r="AZ1382"/>
    </row>
    <row r="1383" spans="10:52" ht="15.75" customHeight="1" x14ac:dyDescent="0.2">
      <c r="J1383"/>
      <c r="AZ1383"/>
    </row>
    <row r="1384" spans="10:52" ht="15.75" customHeight="1" x14ac:dyDescent="0.2">
      <c r="J1384"/>
      <c r="AZ1384"/>
    </row>
    <row r="1385" spans="10:52" ht="15.75" customHeight="1" x14ac:dyDescent="0.2">
      <c r="J1385"/>
      <c r="AZ1385"/>
    </row>
    <row r="1386" spans="10:52" ht="15.75" customHeight="1" x14ac:dyDescent="0.2">
      <c r="J1386"/>
      <c r="AZ1386"/>
    </row>
    <row r="1387" spans="10:52" ht="15.75" customHeight="1" x14ac:dyDescent="0.2">
      <c r="J1387"/>
      <c r="AZ1387"/>
    </row>
    <row r="1388" spans="10:52" ht="15.75" customHeight="1" x14ac:dyDescent="0.2">
      <c r="J1388"/>
      <c r="AZ1388"/>
    </row>
    <row r="1389" spans="10:52" ht="15.75" customHeight="1" x14ac:dyDescent="0.2">
      <c r="J1389"/>
      <c r="AZ1389"/>
    </row>
    <row r="1390" spans="10:52" ht="15.75" customHeight="1" x14ac:dyDescent="0.2">
      <c r="J1390"/>
      <c r="AZ1390"/>
    </row>
    <row r="1391" spans="10:52" ht="15.75" customHeight="1" x14ac:dyDescent="0.2">
      <c r="J1391"/>
      <c r="AZ1391"/>
    </row>
    <row r="1392" spans="10:52" ht="15.75" customHeight="1" x14ac:dyDescent="0.2">
      <c r="J1392"/>
      <c r="AZ1392"/>
    </row>
    <row r="1393" spans="10:52" ht="15.75" customHeight="1" x14ac:dyDescent="0.2">
      <c r="J1393"/>
      <c r="AZ1393"/>
    </row>
    <row r="1394" spans="10:52" ht="15.75" customHeight="1" x14ac:dyDescent="0.2">
      <c r="J1394"/>
      <c r="AZ1394"/>
    </row>
    <row r="1395" spans="10:52" ht="15.75" customHeight="1" x14ac:dyDescent="0.2">
      <c r="J1395"/>
      <c r="AZ1395"/>
    </row>
    <row r="1396" spans="10:52" ht="15.75" customHeight="1" x14ac:dyDescent="0.2">
      <c r="J1396"/>
      <c r="AZ1396"/>
    </row>
    <row r="1397" spans="10:52" ht="15.75" customHeight="1" x14ac:dyDescent="0.2">
      <c r="J1397"/>
      <c r="AZ1397"/>
    </row>
    <row r="1398" spans="10:52" ht="15.75" customHeight="1" x14ac:dyDescent="0.2">
      <c r="J1398"/>
      <c r="AZ1398"/>
    </row>
    <row r="1399" spans="10:52" ht="15.75" customHeight="1" x14ac:dyDescent="0.2">
      <c r="J1399"/>
      <c r="AZ1399"/>
    </row>
    <row r="1400" spans="10:52" ht="15.75" customHeight="1" x14ac:dyDescent="0.2">
      <c r="J1400"/>
      <c r="AZ1400"/>
    </row>
    <row r="1401" spans="10:52" ht="15.75" customHeight="1" x14ac:dyDescent="0.2">
      <c r="J1401"/>
      <c r="AZ1401"/>
    </row>
    <row r="1402" spans="10:52" ht="15.75" customHeight="1" x14ac:dyDescent="0.2">
      <c r="J1402"/>
      <c r="AZ1402"/>
    </row>
    <row r="1403" spans="10:52" ht="15.75" customHeight="1" x14ac:dyDescent="0.2">
      <c r="J1403"/>
      <c r="AZ1403"/>
    </row>
    <row r="1404" spans="10:52" ht="15.75" customHeight="1" x14ac:dyDescent="0.2">
      <c r="J1404"/>
      <c r="AZ1404"/>
    </row>
    <row r="1405" spans="10:52" ht="15.75" customHeight="1" x14ac:dyDescent="0.2">
      <c r="J1405"/>
      <c r="AZ1405"/>
    </row>
    <row r="1406" spans="10:52" ht="15.75" customHeight="1" x14ac:dyDescent="0.2">
      <c r="J1406"/>
      <c r="AZ1406"/>
    </row>
    <row r="1407" spans="10:52" ht="15.75" customHeight="1" x14ac:dyDescent="0.2">
      <c r="J1407"/>
      <c r="AZ1407"/>
    </row>
    <row r="1408" spans="10:52" ht="15.75" customHeight="1" x14ac:dyDescent="0.2">
      <c r="J1408"/>
      <c r="AZ1408"/>
    </row>
    <row r="1409" spans="10:52" ht="15.75" customHeight="1" x14ac:dyDescent="0.2">
      <c r="J1409"/>
      <c r="AZ1409"/>
    </row>
    <row r="1410" spans="10:52" ht="15.75" customHeight="1" x14ac:dyDescent="0.2">
      <c r="J1410"/>
      <c r="AZ1410"/>
    </row>
    <row r="1411" spans="10:52" ht="15.75" customHeight="1" x14ac:dyDescent="0.2">
      <c r="J1411"/>
      <c r="AZ1411"/>
    </row>
    <row r="1412" spans="10:52" ht="16.5" customHeight="1" x14ac:dyDescent="0.2">
      <c r="J1412"/>
      <c r="AZ1412"/>
    </row>
    <row r="1413" spans="10:52" ht="15.75" customHeight="1" x14ac:dyDescent="0.2">
      <c r="J1413"/>
      <c r="AZ1413"/>
    </row>
    <row r="1414" spans="10:52" ht="15.75" customHeight="1" x14ac:dyDescent="0.2">
      <c r="J1414"/>
      <c r="AZ1414"/>
    </row>
    <row r="1415" spans="10:52" ht="15.75" customHeight="1" x14ac:dyDescent="0.2">
      <c r="J1415"/>
      <c r="AZ1415"/>
    </row>
    <row r="1416" spans="10:52" ht="15.75" customHeight="1" x14ac:dyDescent="0.2">
      <c r="J1416"/>
      <c r="AZ1416"/>
    </row>
    <row r="1417" spans="10:52" ht="15.75" customHeight="1" x14ac:dyDescent="0.2">
      <c r="J1417"/>
      <c r="AZ1417"/>
    </row>
    <row r="1418" spans="10:52" ht="15.75" customHeight="1" x14ac:dyDescent="0.2">
      <c r="J1418"/>
      <c r="AZ1418"/>
    </row>
    <row r="1419" spans="10:52" ht="15.75" customHeight="1" x14ac:dyDescent="0.2">
      <c r="J1419"/>
      <c r="AZ1419"/>
    </row>
    <row r="1420" spans="10:52" ht="15.75" customHeight="1" x14ac:dyDescent="0.2">
      <c r="J1420"/>
      <c r="AZ1420"/>
    </row>
    <row r="1421" spans="10:52" ht="15.75" customHeight="1" x14ac:dyDescent="0.2">
      <c r="J1421"/>
      <c r="AZ1421"/>
    </row>
    <row r="1422" spans="10:52" ht="15.75" customHeight="1" x14ac:dyDescent="0.2">
      <c r="J1422"/>
      <c r="AZ1422"/>
    </row>
    <row r="1423" spans="10:52" ht="15.75" customHeight="1" x14ac:dyDescent="0.2">
      <c r="J1423"/>
      <c r="AZ1423"/>
    </row>
    <row r="1424" spans="10:52" ht="15.75" customHeight="1" x14ac:dyDescent="0.2">
      <c r="J1424"/>
      <c r="AZ1424"/>
    </row>
    <row r="1425" spans="10:52" ht="15.75" customHeight="1" x14ac:dyDescent="0.2">
      <c r="J1425"/>
      <c r="AZ1425"/>
    </row>
    <row r="1426" spans="10:52" ht="15.75" customHeight="1" x14ac:dyDescent="0.2">
      <c r="J1426"/>
      <c r="AZ1426"/>
    </row>
    <row r="1427" spans="10:52" ht="15.75" customHeight="1" x14ac:dyDescent="0.2">
      <c r="J1427"/>
      <c r="AZ1427"/>
    </row>
    <row r="1428" spans="10:52" ht="15.75" customHeight="1" x14ac:dyDescent="0.2">
      <c r="J1428"/>
      <c r="AZ1428"/>
    </row>
    <row r="1429" spans="10:52" ht="15.75" customHeight="1" x14ac:dyDescent="0.2">
      <c r="J1429"/>
      <c r="AZ1429"/>
    </row>
    <row r="1430" spans="10:52" ht="15.75" customHeight="1" x14ac:dyDescent="0.2">
      <c r="J1430"/>
      <c r="AZ1430"/>
    </row>
    <row r="1431" spans="10:52" ht="15.75" customHeight="1" x14ac:dyDescent="0.2">
      <c r="J1431"/>
      <c r="AZ1431"/>
    </row>
    <row r="1432" spans="10:52" ht="15" customHeight="1" x14ac:dyDescent="0.2">
      <c r="J1432"/>
      <c r="AZ1432"/>
    </row>
    <row r="1433" spans="10:52" ht="15.75" customHeight="1" x14ac:dyDescent="0.2">
      <c r="J1433"/>
      <c r="AZ1433"/>
    </row>
    <row r="1434" spans="10:52" ht="15.75" customHeight="1" x14ac:dyDescent="0.2">
      <c r="J1434"/>
      <c r="AZ1434"/>
    </row>
    <row r="1435" spans="10:52" ht="15.75" customHeight="1" x14ac:dyDescent="0.2">
      <c r="J1435"/>
      <c r="AZ1435"/>
    </row>
    <row r="1436" spans="10:52" ht="15.75" customHeight="1" x14ac:dyDescent="0.2">
      <c r="J1436"/>
      <c r="AZ1436"/>
    </row>
    <row r="1437" spans="10:52" ht="15.75" customHeight="1" x14ac:dyDescent="0.2">
      <c r="J1437"/>
      <c r="AZ1437"/>
    </row>
    <row r="1438" spans="10:52" ht="15.75" customHeight="1" x14ac:dyDescent="0.2">
      <c r="J1438"/>
      <c r="AZ1438"/>
    </row>
    <row r="1439" spans="10:52" ht="15.75" customHeight="1" x14ac:dyDescent="0.2">
      <c r="J1439"/>
      <c r="AZ1439"/>
    </row>
    <row r="1440" spans="10:52" ht="15.75" customHeight="1" x14ac:dyDescent="0.2">
      <c r="J1440"/>
      <c r="AZ1440"/>
    </row>
    <row r="1441" spans="10:52" ht="15.75" customHeight="1" x14ac:dyDescent="0.2">
      <c r="J1441"/>
      <c r="AZ1441"/>
    </row>
    <row r="1442" spans="10:52" ht="15.75" customHeight="1" x14ac:dyDescent="0.2">
      <c r="J1442"/>
      <c r="AZ1442"/>
    </row>
    <row r="1443" spans="10:52" ht="15.75" customHeight="1" x14ac:dyDescent="0.2">
      <c r="J1443"/>
      <c r="AZ1443"/>
    </row>
    <row r="1444" spans="10:52" ht="15.75" customHeight="1" x14ac:dyDescent="0.2">
      <c r="J1444"/>
      <c r="AZ1444"/>
    </row>
    <row r="1445" spans="10:52" ht="15.75" customHeight="1" x14ac:dyDescent="0.2">
      <c r="J1445"/>
      <c r="AZ1445"/>
    </row>
    <row r="1446" spans="10:52" ht="15.75" customHeight="1" x14ac:dyDescent="0.2">
      <c r="J1446"/>
      <c r="AZ1446"/>
    </row>
    <row r="1447" spans="10:52" ht="15.75" customHeight="1" x14ac:dyDescent="0.2">
      <c r="J1447"/>
      <c r="AZ1447"/>
    </row>
    <row r="1448" spans="10:52" ht="15.75" customHeight="1" x14ac:dyDescent="0.2">
      <c r="J1448"/>
      <c r="AZ1448"/>
    </row>
    <row r="1449" spans="10:52" ht="15.75" customHeight="1" x14ac:dyDescent="0.2">
      <c r="J1449"/>
      <c r="AZ1449"/>
    </row>
    <row r="1450" spans="10:52" ht="15.75" customHeight="1" x14ac:dyDescent="0.2">
      <c r="J1450"/>
      <c r="AZ1450"/>
    </row>
    <row r="1451" spans="10:52" ht="15.75" customHeight="1" x14ac:dyDescent="0.2">
      <c r="J1451"/>
      <c r="AZ1451"/>
    </row>
    <row r="1452" spans="10:52" ht="15.75" customHeight="1" x14ac:dyDescent="0.2">
      <c r="J1452"/>
      <c r="AZ1452"/>
    </row>
    <row r="1453" spans="10:52" ht="15.75" customHeight="1" x14ac:dyDescent="0.2">
      <c r="J1453"/>
      <c r="AZ1453"/>
    </row>
    <row r="1454" spans="10:52" ht="15.75" customHeight="1" x14ac:dyDescent="0.2">
      <c r="J1454"/>
      <c r="AZ1454"/>
    </row>
    <row r="1455" spans="10:52" ht="15.75" customHeight="1" x14ac:dyDescent="0.2">
      <c r="J1455"/>
      <c r="AZ1455"/>
    </row>
    <row r="1456" spans="10:52" ht="15.75" customHeight="1" x14ac:dyDescent="0.2">
      <c r="J1456"/>
      <c r="AZ1456"/>
    </row>
    <row r="1457" spans="10:52" ht="15.75" customHeight="1" x14ac:dyDescent="0.2">
      <c r="J1457"/>
      <c r="AZ1457"/>
    </row>
    <row r="1458" spans="10:52" ht="15.75" customHeight="1" x14ac:dyDescent="0.2">
      <c r="J1458"/>
      <c r="AZ1458"/>
    </row>
    <row r="1459" spans="10:52" ht="15.75" customHeight="1" x14ac:dyDescent="0.2">
      <c r="J1459"/>
      <c r="AZ1459"/>
    </row>
    <row r="1460" spans="10:52" ht="15.75" customHeight="1" x14ac:dyDescent="0.2">
      <c r="J1460"/>
      <c r="AZ1460"/>
    </row>
    <row r="1461" spans="10:52" ht="15.75" customHeight="1" x14ac:dyDescent="0.2">
      <c r="J1461"/>
      <c r="AZ1461"/>
    </row>
    <row r="1462" spans="10:52" ht="15.75" customHeight="1" x14ac:dyDescent="0.2">
      <c r="J1462"/>
      <c r="AZ1462"/>
    </row>
    <row r="1463" spans="10:52" ht="15.75" customHeight="1" x14ac:dyDescent="0.2">
      <c r="J1463"/>
      <c r="AZ1463"/>
    </row>
    <row r="1464" spans="10:52" ht="15.75" customHeight="1" x14ac:dyDescent="0.2">
      <c r="J1464"/>
      <c r="AZ1464"/>
    </row>
    <row r="1465" spans="10:52" ht="15.75" customHeight="1" x14ac:dyDescent="0.2">
      <c r="J1465"/>
      <c r="AZ1465"/>
    </row>
    <row r="1466" spans="10:52" ht="15.75" customHeight="1" x14ac:dyDescent="0.2">
      <c r="J1466"/>
      <c r="AZ1466"/>
    </row>
    <row r="1467" spans="10:52" ht="15.75" customHeight="1" x14ac:dyDescent="0.2">
      <c r="J1467"/>
      <c r="AZ1467"/>
    </row>
    <row r="1468" spans="10:52" ht="15.75" customHeight="1" x14ac:dyDescent="0.2">
      <c r="J1468"/>
      <c r="AZ1468"/>
    </row>
    <row r="1469" spans="10:52" ht="15.75" customHeight="1" x14ac:dyDescent="0.2">
      <c r="J1469"/>
      <c r="AZ1469"/>
    </row>
    <row r="1470" spans="10:52" ht="15.75" customHeight="1" x14ac:dyDescent="0.2">
      <c r="J1470"/>
      <c r="AZ1470"/>
    </row>
    <row r="1471" spans="10:52" ht="15.75" customHeight="1" x14ac:dyDescent="0.2">
      <c r="J1471"/>
      <c r="AZ1471"/>
    </row>
    <row r="1472" spans="10:52" ht="15.75" customHeight="1" x14ac:dyDescent="0.2">
      <c r="J1472"/>
      <c r="AZ1472"/>
    </row>
    <row r="1473" spans="10:52" ht="15.75" customHeight="1" x14ac:dyDescent="0.2">
      <c r="J1473"/>
      <c r="AZ1473"/>
    </row>
    <row r="1474" spans="10:52" ht="15.75" customHeight="1" x14ac:dyDescent="0.2">
      <c r="J1474"/>
      <c r="AZ1474"/>
    </row>
    <row r="1475" spans="10:52" ht="15.75" customHeight="1" x14ac:dyDescent="0.2">
      <c r="J1475"/>
      <c r="AZ1475"/>
    </row>
    <row r="1476" spans="10:52" ht="15.75" customHeight="1" x14ac:dyDescent="0.2">
      <c r="J1476"/>
      <c r="AZ1476"/>
    </row>
    <row r="1477" spans="10:52" ht="15.75" customHeight="1" x14ac:dyDescent="0.2">
      <c r="J1477"/>
      <c r="AZ1477"/>
    </row>
    <row r="1478" spans="10:52" ht="15.75" customHeight="1" x14ac:dyDescent="0.2">
      <c r="J1478"/>
      <c r="AZ1478"/>
    </row>
    <row r="1479" spans="10:52" ht="15.75" customHeight="1" x14ac:dyDescent="0.2">
      <c r="J1479"/>
      <c r="AZ1479"/>
    </row>
    <row r="1480" spans="10:52" ht="15.75" customHeight="1" x14ac:dyDescent="0.2">
      <c r="J1480"/>
      <c r="AZ1480"/>
    </row>
    <row r="1481" spans="10:52" ht="15.75" customHeight="1" x14ac:dyDescent="0.2">
      <c r="J1481"/>
      <c r="AZ1481"/>
    </row>
    <row r="1482" spans="10:52" ht="15.75" customHeight="1" x14ac:dyDescent="0.2">
      <c r="J1482"/>
      <c r="AZ1482"/>
    </row>
    <row r="1483" spans="10:52" ht="16.5" customHeight="1" x14ac:dyDescent="0.2">
      <c r="J1483"/>
      <c r="AZ1483"/>
    </row>
    <row r="1484" spans="10:52" ht="15.75" customHeight="1" x14ac:dyDescent="0.2">
      <c r="J1484"/>
      <c r="AZ1484"/>
    </row>
    <row r="1485" spans="10:52" ht="15.75" customHeight="1" x14ac:dyDescent="0.2">
      <c r="J1485"/>
      <c r="AZ1485"/>
    </row>
    <row r="1486" spans="10:52" ht="15.75" customHeight="1" x14ac:dyDescent="0.2">
      <c r="J1486"/>
      <c r="AZ1486"/>
    </row>
    <row r="1487" spans="10:52" ht="15.75" customHeight="1" x14ac:dyDescent="0.2">
      <c r="J1487"/>
      <c r="AZ1487"/>
    </row>
    <row r="1488" spans="10:52" ht="15.75" customHeight="1" x14ac:dyDescent="0.2">
      <c r="J1488"/>
      <c r="AZ1488"/>
    </row>
    <row r="1489" spans="10:52" ht="15.75" customHeight="1" x14ac:dyDescent="0.2">
      <c r="J1489"/>
      <c r="AZ1489"/>
    </row>
    <row r="1490" spans="10:52" ht="15.75" customHeight="1" x14ac:dyDescent="0.2">
      <c r="J1490"/>
      <c r="AZ1490"/>
    </row>
    <row r="1491" spans="10:52" ht="15.75" customHeight="1" x14ac:dyDescent="0.2">
      <c r="J1491"/>
      <c r="AZ1491"/>
    </row>
    <row r="1492" spans="10:52" ht="15.75" customHeight="1" x14ac:dyDescent="0.2">
      <c r="J1492"/>
      <c r="AZ1492"/>
    </row>
    <row r="1493" spans="10:52" ht="15.75" customHeight="1" x14ac:dyDescent="0.2">
      <c r="J1493"/>
      <c r="AZ1493"/>
    </row>
    <row r="1494" spans="10:52" ht="15.75" customHeight="1" x14ac:dyDescent="0.2">
      <c r="J1494"/>
      <c r="AZ1494"/>
    </row>
    <row r="1495" spans="10:52" ht="15.75" customHeight="1" x14ac:dyDescent="0.2">
      <c r="J1495"/>
      <c r="AZ1495"/>
    </row>
    <row r="1496" spans="10:52" ht="15.75" customHeight="1" x14ac:dyDescent="0.2">
      <c r="J1496"/>
      <c r="AZ1496"/>
    </row>
    <row r="1497" spans="10:52" ht="15.75" customHeight="1" x14ac:dyDescent="0.2">
      <c r="J1497"/>
      <c r="AZ1497"/>
    </row>
    <row r="1498" spans="10:52" ht="15.75" customHeight="1" x14ac:dyDescent="0.2">
      <c r="J1498"/>
      <c r="AZ1498"/>
    </row>
    <row r="1499" spans="10:52" ht="15.75" customHeight="1" x14ac:dyDescent="0.2">
      <c r="J1499"/>
      <c r="AZ1499"/>
    </row>
    <row r="1500" spans="10:52" ht="15.75" customHeight="1" x14ac:dyDescent="0.2">
      <c r="J1500"/>
      <c r="AZ1500"/>
    </row>
    <row r="1501" spans="10:52" ht="15.75" customHeight="1" x14ac:dyDescent="0.2">
      <c r="J1501"/>
      <c r="AZ1501"/>
    </row>
    <row r="1502" spans="10:52" ht="15.75" customHeight="1" x14ac:dyDescent="0.2">
      <c r="J1502"/>
      <c r="AZ1502"/>
    </row>
    <row r="1503" spans="10:52" ht="15" customHeight="1" x14ac:dyDescent="0.2">
      <c r="J1503"/>
      <c r="AZ1503"/>
    </row>
    <row r="1504" spans="10:52" ht="15.75" customHeight="1" x14ac:dyDescent="0.2">
      <c r="J1504"/>
      <c r="AZ1504"/>
    </row>
    <row r="1505" spans="10:52" ht="15.75" customHeight="1" x14ac:dyDescent="0.2">
      <c r="J1505"/>
      <c r="AZ1505"/>
    </row>
    <row r="1506" spans="10:52" ht="15.75" customHeight="1" x14ac:dyDescent="0.2">
      <c r="J1506"/>
      <c r="AZ1506"/>
    </row>
    <row r="1507" spans="10:52" ht="15.75" customHeight="1" x14ac:dyDescent="0.2">
      <c r="J1507"/>
      <c r="AZ1507"/>
    </row>
    <row r="1508" spans="10:52" ht="15.75" customHeight="1" x14ac:dyDescent="0.2">
      <c r="J1508"/>
      <c r="AZ1508"/>
    </row>
    <row r="1509" spans="10:52" ht="15.75" customHeight="1" x14ac:dyDescent="0.2">
      <c r="J1509"/>
      <c r="AZ1509"/>
    </row>
    <row r="1510" spans="10:52" ht="15.75" customHeight="1" x14ac:dyDescent="0.2">
      <c r="J1510"/>
      <c r="AZ1510"/>
    </row>
    <row r="1511" spans="10:52" ht="15.75" customHeight="1" x14ac:dyDescent="0.2">
      <c r="J1511"/>
      <c r="AZ1511"/>
    </row>
    <row r="1512" spans="10:52" ht="15.75" customHeight="1" x14ac:dyDescent="0.2">
      <c r="J1512"/>
      <c r="AZ1512"/>
    </row>
    <row r="1513" spans="10:52" ht="15.75" customHeight="1" x14ac:dyDescent="0.2">
      <c r="J1513"/>
      <c r="AZ1513"/>
    </row>
    <row r="1514" spans="10:52" ht="15.75" customHeight="1" x14ac:dyDescent="0.2">
      <c r="J1514"/>
      <c r="AZ1514"/>
    </row>
    <row r="1515" spans="10:52" ht="15.75" customHeight="1" x14ac:dyDescent="0.2">
      <c r="J1515"/>
      <c r="AZ1515"/>
    </row>
    <row r="1516" spans="10:52" ht="15.75" customHeight="1" x14ac:dyDescent="0.2">
      <c r="J1516"/>
      <c r="AZ1516"/>
    </row>
    <row r="1517" spans="10:52" ht="15.75" customHeight="1" x14ac:dyDescent="0.2">
      <c r="J1517"/>
      <c r="AZ1517"/>
    </row>
    <row r="1518" spans="10:52" ht="15.75" customHeight="1" x14ac:dyDescent="0.2">
      <c r="J1518"/>
      <c r="AZ1518"/>
    </row>
    <row r="1519" spans="10:52" ht="15.75" customHeight="1" x14ac:dyDescent="0.2">
      <c r="J1519"/>
      <c r="AZ1519"/>
    </row>
    <row r="1520" spans="10:52" ht="15.75" customHeight="1" x14ac:dyDescent="0.2">
      <c r="J1520"/>
      <c r="AZ1520"/>
    </row>
    <row r="1521" spans="10:52" ht="15.75" customHeight="1" x14ac:dyDescent="0.2">
      <c r="J1521"/>
      <c r="AZ1521"/>
    </row>
    <row r="1522" spans="10:52" ht="15.75" customHeight="1" x14ac:dyDescent="0.2">
      <c r="J1522"/>
      <c r="AZ1522"/>
    </row>
    <row r="1523" spans="10:52" ht="15.75" customHeight="1" x14ac:dyDescent="0.2">
      <c r="J1523"/>
      <c r="AZ1523"/>
    </row>
    <row r="1524" spans="10:52" ht="15.75" customHeight="1" x14ac:dyDescent="0.2">
      <c r="J1524"/>
      <c r="AZ1524"/>
    </row>
    <row r="1525" spans="10:52" ht="15.75" customHeight="1" x14ac:dyDescent="0.2">
      <c r="J1525"/>
      <c r="AZ1525"/>
    </row>
    <row r="1526" spans="10:52" ht="15.75" customHeight="1" x14ac:dyDescent="0.2">
      <c r="J1526"/>
      <c r="AZ1526"/>
    </row>
    <row r="1527" spans="10:52" ht="15.75" customHeight="1" x14ac:dyDescent="0.2">
      <c r="J1527"/>
      <c r="AZ1527"/>
    </row>
    <row r="1528" spans="10:52" ht="15.75" customHeight="1" x14ac:dyDescent="0.2">
      <c r="J1528"/>
      <c r="AZ1528"/>
    </row>
    <row r="1529" spans="10:52" ht="15.75" customHeight="1" x14ac:dyDescent="0.2">
      <c r="J1529"/>
      <c r="AZ1529"/>
    </row>
    <row r="1530" spans="10:52" ht="15.75" customHeight="1" x14ac:dyDescent="0.2">
      <c r="J1530"/>
      <c r="AZ1530"/>
    </row>
    <row r="1531" spans="10:52" ht="15.75" customHeight="1" x14ac:dyDescent="0.2">
      <c r="J1531"/>
      <c r="AZ1531"/>
    </row>
    <row r="1532" spans="10:52" ht="15.75" customHeight="1" x14ac:dyDescent="0.2">
      <c r="J1532"/>
      <c r="AZ1532"/>
    </row>
    <row r="1533" spans="10:52" ht="15.75" customHeight="1" x14ac:dyDescent="0.2">
      <c r="J1533"/>
      <c r="AZ1533"/>
    </row>
    <row r="1534" spans="10:52" ht="15.75" customHeight="1" x14ac:dyDescent="0.2">
      <c r="J1534"/>
      <c r="AZ1534"/>
    </row>
    <row r="1535" spans="10:52" ht="15.75" customHeight="1" x14ac:dyDescent="0.2">
      <c r="J1535"/>
      <c r="AZ1535"/>
    </row>
    <row r="1536" spans="10:52" ht="15.75" customHeight="1" x14ac:dyDescent="0.2">
      <c r="J1536"/>
      <c r="AZ1536"/>
    </row>
    <row r="1537" spans="10:52" ht="15.75" customHeight="1" x14ac:dyDescent="0.2">
      <c r="J1537"/>
      <c r="AZ1537"/>
    </row>
    <row r="1538" spans="10:52" ht="15.75" customHeight="1" x14ac:dyDescent="0.2">
      <c r="J1538"/>
      <c r="AZ1538"/>
    </row>
    <row r="1539" spans="10:52" ht="15.75" customHeight="1" x14ac:dyDescent="0.2">
      <c r="J1539"/>
      <c r="AZ1539"/>
    </row>
    <row r="1540" spans="10:52" ht="15.75" customHeight="1" x14ac:dyDescent="0.2">
      <c r="J1540"/>
      <c r="AZ1540"/>
    </row>
    <row r="1541" spans="10:52" ht="14.25" customHeight="1" x14ac:dyDescent="0.2">
      <c r="J1541"/>
      <c r="AZ1541"/>
    </row>
    <row r="1542" spans="10:52" ht="15.75" customHeight="1" x14ac:dyDescent="0.2">
      <c r="J1542"/>
      <c r="AZ1542"/>
    </row>
    <row r="1543" spans="10:52" ht="15.75" customHeight="1" x14ac:dyDescent="0.2">
      <c r="J1543"/>
      <c r="AZ1543"/>
    </row>
    <row r="1544" spans="10:52" ht="15.75" customHeight="1" x14ac:dyDescent="0.2">
      <c r="J1544"/>
      <c r="AZ1544"/>
    </row>
    <row r="1545" spans="10:52" ht="15.75" customHeight="1" x14ac:dyDescent="0.2">
      <c r="J1545"/>
      <c r="AZ1545"/>
    </row>
    <row r="1546" spans="10:52" ht="15.75" customHeight="1" x14ac:dyDescent="0.2">
      <c r="J1546"/>
      <c r="AZ1546"/>
    </row>
    <row r="1547" spans="10:52" ht="15.75" customHeight="1" x14ac:dyDescent="0.2">
      <c r="J1547"/>
      <c r="AZ1547"/>
    </row>
    <row r="1548" spans="10:52" ht="15.75" customHeight="1" x14ac:dyDescent="0.2">
      <c r="J1548"/>
      <c r="AZ1548"/>
    </row>
    <row r="1549" spans="10:52" ht="15.75" customHeight="1" x14ac:dyDescent="0.2">
      <c r="J1549"/>
      <c r="AZ1549"/>
    </row>
    <row r="1550" spans="10:52" ht="15.75" customHeight="1" x14ac:dyDescent="0.2">
      <c r="J1550"/>
      <c r="AZ1550"/>
    </row>
    <row r="1551" spans="10:52" ht="15.75" customHeight="1" x14ac:dyDescent="0.2">
      <c r="J1551"/>
      <c r="AZ1551"/>
    </row>
    <row r="1552" spans="10:52" ht="15.75" customHeight="1" x14ac:dyDescent="0.2">
      <c r="J1552"/>
      <c r="AZ1552"/>
    </row>
    <row r="1553" spans="10:52" ht="15.75" customHeight="1" x14ac:dyDescent="0.2">
      <c r="J1553"/>
      <c r="AZ1553"/>
    </row>
    <row r="1554" spans="10:52" ht="15.75" customHeight="1" x14ac:dyDescent="0.2">
      <c r="J1554"/>
      <c r="AZ1554"/>
    </row>
    <row r="1555" spans="10:52" ht="15.75" customHeight="1" x14ac:dyDescent="0.2">
      <c r="J1555"/>
      <c r="AZ1555"/>
    </row>
    <row r="1556" spans="10:52" ht="15.75" customHeight="1" x14ac:dyDescent="0.2">
      <c r="J1556"/>
      <c r="AZ1556"/>
    </row>
    <row r="1557" spans="10:52" ht="15.75" customHeight="1" x14ac:dyDescent="0.2">
      <c r="J1557"/>
      <c r="AZ1557"/>
    </row>
    <row r="1558" spans="10:52" ht="16.5" customHeight="1" x14ac:dyDescent="0.2">
      <c r="J1558"/>
      <c r="AZ1558"/>
    </row>
    <row r="1559" spans="10:52" ht="15.75" customHeight="1" x14ac:dyDescent="0.2">
      <c r="J1559"/>
      <c r="AZ1559"/>
    </row>
    <row r="1560" spans="10:52" ht="15.75" customHeight="1" x14ac:dyDescent="0.2">
      <c r="J1560"/>
      <c r="AZ1560"/>
    </row>
    <row r="1561" spans="10:52" ht="15.75" customHeight="1" x14ac:dyDescent="0.2">
      <c r="J1561"/>
      <c r="AZ1561"/>
    </row>
    <row r="1562" spans="10:52" ht="15.75" customHeight="1" x14ac:dyDescent="0.2">
      <c r="J1562"/>
      <c r="AZ1562"/>
    </row>
    <row r="1563" spans="10:52" ht="15.75" customHeight="1" x14ac:dyDescent="0.2">
      <c r="J1563"/>
      <c r="AZ1563"/>
    </row>
    <row r="1564" spans="10:52" ht="15.75" customHeight="1" x14ac:dyDescent="0.2">
      <c r="J1564"/>
      <c r="AZ1564"/>
    </row>
    <row r="1565" spans="10:52" ht="15.75" customHeight="1" x14ac:dyDescent="0.2">
      <c r="J1565"/>
      <c r="AZ1565"/>
    </row>
    <row r="1566" spans="10:52" ht="15.75" customHeight="1" x14ac:dyDescent="0.2">
      <c r="J1566"/>
      <c r="AZ1566"/>
    </row>
    <row r="1567" spans="10:52" ht="15.75" customHeight="1" x14ac:dyDescent="0.2">
      <c r="J1567"/>
      <c r="AZ1567"/>
    </row>
    <row r="1568" spans="10:52" ht="15.75" customHeight="1" x14ac:dyDescent="0.2">
      <c r="J1568"/>
      <c r="AZ1568"/>
    </row>
    <row r="1569" spans="10:52" ht="15.75" customHeight="1" x14ac:dyDescent="0.2">
      <c r="J1569"/>
      <c r="AZ1569"/>
    </row>
    <row r="1570" spans="10:52" ht="15.75" customHeight="1" x14ac:dyDescent="0.2">
      <c r="J1570"/>
      <c r="AZ1570"/>
    </row>
    <row r="1571" spans="10:52" ht="15.75" customHeight="1" x14ac:dyDescent="0.2">
      <c r="J1571"/>
      <c r="AZ1571"/>
    </row>
    <row r="1572" spans="10:52" ht="15.75" customHeight="1" x14ac:dyDescent="0.2">
      <c r="J1572"/>
      <c r="AZ1572"/>
    </row>
    <row r="1573" spans="10:52" ht="15.75" customHeight="1" x14ac:dyDescent="0.2">
      <c r="J1573"/>
      <c r="AZ1573"/>
    </row>
    <row r="1574" spans="10:52" ht="15.75" customHeight="1" x14ac:dyDescent="0.2">
      <c r="J1574"/>
      <c r="AZ1574"/>
    </row>
    <row r="1575" spans="10:52" ht="15.75" customHeight="1" x14ac:dyDescent="0.2">
      <c r="J1575"/>
      <c r="AZ1575"/>
    </row>
    <row r="1576" spans="10:52" ht="15.75" customHeight="1" x14ac:dyDescent="0.2">
      <c r="J1576"/>
      <c r="AZ1576"/>
    </row>
    <row r="1577" spans="10:52" ht="15.75" customHeight="1" x14ac:dyDescent="0.2">
      <c r="J1577"/>
      <c r="AZ1577"/>
    </row>
    <row r="1578" spans="10:52" ht="15" customHeight="1" x14ac:dyDescent="0.2">
      <c r="J1578"/>
      <c r="AZ1578"/>
    </row>
    <row r="1579" spans="10:52" ht="15.75" customHeight="1" x14ac:dyDescent="0.2">
      <c r="J1579"/>
      <c r="AZ1579"/>
    </row>
    <row r="1580" spans="10:52" ht="15.75" customHeight="1" x14ac:dyDescent="0.2">
      <c r="J1580"/>
      <c r="AZ1580"/>
    </row>
    <row r="1581" spans="10:52" ht="15.75" customHeight="1" x14ac:dyDescent="0.2">
      <c r="J1581"/>
      <c r="AZ1581"/>
    </row>
    <row r="1582" spans="10:52" ht="15.75" customHeight="1" x14ac:dyDescent="0.2">
      <c r="J1582"/>
      <c r="AZ1582"/>
    </row>
    <row r="1583" spans="10:52" ht="15.75" customHeight="1" x14ac:dyDescent="0.2">
      <c r="J1583"/>
      <c r="AZ1583"/>
    </row>
    <row r="1584" spans="10:52" ht="15.75" customHeight="1" x14ac:dyDescent="0.2">
      <c r="J1584"/>
      <c r="AZ1584"/>
    </row>
    <row r="1585" spans="10:52" ht="15.75" customHeight="1" x14ac:dyDescent="0.2">
      <c r="J1585"/>
      <c r="AZ1585"/>
    </row>
    <row r="1586" spans="10:52" ht="15.75" customHeight="1" x14ac:dyDescent="0.2">
      <c r="J1586"/>
      <c r="AZ1586"/>
    </row>
    <row r="1587" spans="10:52" ht="15.75" customHeight="1" x14ac:dyDescent="0.2">
      <c r="J1587"/>
      <c r="AZ1587"/>
    </row>
    <row r="1588" spans="10:52" ht="15.75" customHeight="1" x14ac:dyDescent="0.2">
      <c r="J1588"/>
      <c r="AZ1588"/>
    </row>
    <row r="1589" spans="10:52" ht="15.75" customHeight="1" x14ac:dyDescent="0.2">
      <c r="J1589"/>
      <c r="AZ1589"/>
    </row>
    <row r="1590" spans="10:52" ht="15.75" customHeight="1" x14ac:dyDescent="0.2">
      <c r="J1590"/>
      <c r="AZ1590"/>
    </row>
    <row r="1591" spans="10:52" ht="15.75" customHeight="1" x14ac:dyDescent="0.2">
      <c r="J1591"/>
      <c r="AZ1591"/>
    </row>
    <row r="1592" spans="10:52" ht="15.75" customHeight="1" x14ac:dyDescent="0.2">
      <c r="J1592"/>
      <c r="AZ1592"/>
    </row>
    <row r="1593" spans="10:52" ht="15.75" customHeight="1" x14ac:dyDescent="0.2">
      <c r="J1593"/>
      <c r="AZ1593"/>
    </row>
    <row r="1594" spans="10:52" ht="15.75" customHeight="1" x14ac:dyDescent="0.2">
      <c r="J1594"/>
      <c r="AZ1594"/>
    </row>
    <row r="1595" spans="10:52" ht="15.75" customHeight="1" x14ac:dyDescent="0.2">
      <c r="J1595"/>
      <c r="AZ1595"/>
    </row>
    <row r="1596" spans="10:52" ht="15.75" customHeight="1" x14ac:dyDescent="0.2">
      <c r="J1596"/>
      <c r="AZ1596"/>
    </row>
    <row r="1597" spans="10:52" ht="15.75" customHeight="1" x14ac:dyDescent="0.2">
      <c r="J1597"/>
      <c r="AZ1597"/>
    </row>
    <row r="1598" spans="10:52" ht="15.75" customHeight="1" x14ac:dyDescent="0.2">
      <c r="J1598"/>
      <c r="AZ1598"/>
    </row>
    <row r="1599" spans="10:52" ht="15.75" customHeight="1" x14ac:dyDescent="0.2">
      <c r="J1599"/>
      <c r="AZ1599"/>
    </row>
    <row r="1600" spans="10:52" ht="15.75" customHeight="1" x14ac:dyDescent="0.2">
      <c r="J1600"/>
      <c r="AZ1600"/>
    </row>
    <row r="1601" spans="10:52" ht="15.75" customHeight="1" x14ac:dyDescent="0.2">
      <c r="J1601"/>
      <c r="AZ1601"/>
    </row>
    <row r="1602" spans="10:52" ht="15.75" customHeight="1" x14ac:dyDescent="0.2">
      <c r="J1602"/>
      <c r="AZ1602"/>
    </row>
    <row r="1603" spans="10:52" ht="15.75" customHeight="1" x14ac:dyDescent="0.2">
      <c r="J1603"/>
      <c r="AZ1603"/>
    </row>
    <row r="1604" spans="10:52" ht="15.75" customHeight="1" x14ac:dyDescent="0.2">
      <c r="J1604"/>
      <c r="AZ1604"/>
    </row>
    <row r="1605" spans="10:52" ht="15.75" customHeight="1" x14ac:dyDescent="0.2">
      <c r="J1605"/>
      <c r="AZ1605"/>
    </row>
    <row r="1606" spans="10:52" ht="15.75" customHeight="1" x14ac:dyDescent="0.2">
      <c r="J1606"/>
      <c r="AZ1606"/>
    </row>
    <row r="1607" spans="10:52" ht="15.75" customHeight="1" x14ac:dyDescent="0.2">
      <c r="J1607"/>
      <c r="AZ1607"/>
    </row>
    <row r="1608" spans="10:52" ht="15.75" customHeight="1" x14ac:dyDescent="0.2">
      <c r="J1608"/>
      <c r="AZ1608"/>
    </row>
    <row r="1609" spans="10:52" ht="15.75" customHeight="1" x14ac:dyDescent="0.2">
      <c r="J1609"/>
      <c r="AZ1609"/>
    </row>
    <row r="1610" spans="10:52" ht="15.75" customHeight="1" x14ac:dyDescent="0.2">
      <c r="J1610"/>
      <c r="AZ1610"/>
    </row>
    <row r="1611" spans="10:52" ht="15.75" customHeight="1" x14ac:dyDescent="0.2">
      <c r="J1611"/>
      <c r="AZ1611"/>
    </row>
    <row r="1612" spans="10:52" ht="15.75" customHeight="1" x14ac:dyDescent="0.2">
      <c r="J1612"/>
      <c r="AZ1612"/>
    </row>
    <row r="1613" spans="10:52" ht="15.75" customHeight="1" x14ac:dyDescent="0.2">
      <c r="J1613"/>
      <c r="AZ1613"/>
    </row>
    <row r="1614" spans="10:52" ht="15.75" customHeight="1" x14ac:dyDescent="0.2">
      <c r="J1614"/>
      <c r="AZ1614"/>
    </row>
    <row r="1615" spans="10:52" ht="15.75" customHeight="1" x14ac:dyDescent="0.2">
      <c r="J1615"/>
      <c r="AZ1615"/>
    </row>
    <row r="1616" spans="10:52" ht="15.75" customHeight="1" x14ac:dyDescent="0.2">
      <c r="J1616"/>
      <c r="AZ1616"/>
    </row>
    <row r="1617" spans="10:52" ht="15.75" customHeight="1" x14ac:dyDescent="0.2">
      <c r="J1617"/>
      <c r="AZ1617"/>
    </row>
    <row r="1618" spans="10:52" ht="15.75" customHeight="1" x14ac:dyDescent="0.2">
      <c r="J1618"/>
      <c r="AZ1618"/>
    </row>
    <row r="1619" spans="10:52" ht="15.75" customHeight="1" x14ac:dyDescent="0.2">
      <c r="J1619"/>
      <c r="AZ1619"/>
    </row>
    <row r="1620" spans="10:52" ht="15.75" customHeight="1" x14ac:dyDescent="0.2">
      <c r="J1620"/>
      <c r="AZ1620"/>
    </row>
    <row r="1621" spans="10:52" ht="15.75" customHeight="1" x14ac:dyDescent="0.2">
      <c r="J1621"/>
      <c r="AZ1621"/>
    </row>
    <row r="1622" spans="10:52" ht="15.75" customHeight="1" x14ac:dyDescent="0.2">
      <c r="J1622"/>
      <c r="AZ1622"/>
    </row>
    <row r="1623" spans="10:52" ht="15.75" customHeight="1" x14ac:dyDescent="0.2">
      <c r="J1623"/>
      <c r="AZ1623"/>
    </row>
    <row r="1624" spans="10:52" ht="15.75" customHeight="1" x14ac:dyDescent="0.2">
      <c r="J1624"/>
      <c r="AZ1624"/>
    </row>
    <row r="1625" spans="10:52" ht="15.75" customHeight="1" x14ac:dyDescent="0.2">
      <c r="J1625"/>
      <c r="AZ1625"/>
    </row>
    <row r="1626" spans="10:52" ht="15.75" customHeight="1" x14ac:dyDescent="0.2">
      <c r="J1626"/>
      <c r="AZ1626"/>
    </row>
    <row r="1627" spans="10:52" ht="15.75" customHeight="1" x14ac:dyDescent="0.2">
      <c r="J1627"/>
      <c r="AZ1627"/>
    </row>
    <row r="1628" spans="10:52" ht="15.75" customHeight="1" x14ac:dyDescent="0.2">
      <c r="J1628"/>
      <c r="AZ1628"/>
    </row>
    <row r="1629" spans="10:52" ht="15.75" customHeight="1" x14ac:dyDescent="0.2">
      <c r="J1629"/>
      <c r="AZ1629"/>
    </row>
    <row r="1630" spans="10:52" ht="15.75" customHeight="1" x14ac:dyDescent="0.2">
      <c r="J1630"/>
      <c r="AZ1630"/>
    </row>
    <row r="1631" spans="10:52" ht="15.75" customHeight="1" x14ac:dyDescent="0.2">
      <c r="J1631"/>
      <c r="AZ1631"/>
    </row>
    <row r="1632" spans="10:52" ht="15.75" customHeight="1" x14ac:dyDescent="0.2">
      <c r="J1632"/>
      <c r="AZ1632"/>
    </row>
    <row r="1633" spans="10:52" ht="12.75" customHeight="1" x14ac:dyDescent="0.2">
      <c r="J1633"/>
      <c r="AZ1633"/>
    </row>
    <row r="1634" spans="10:52" ht="15.75" customHeight="1" x14ac:dyDescent="0.2">
      <c r="J1634"/>
      <c r="AZ1634"/>
    </row>
    <row r="1635" spans="10:52" ht="15.75" customHeight="1" x14ac:dyDescent="0.2">
      <c r="J1635"/>
      <c r="AZ1635"/>
    </row>
    <row r="1636" spans="10:52" ht="15.75" customHeight="1" x14ac:dyDescent="0.2">
      <c r="J1636"/>
      <c r="AZ1636"/>
    </row>
    <row r="1637" spans="10:52" ht="15.75" customHeight="1" x14ac:dyDescent="0.2">
      <c r="J1637"/>
      <c r="AZ1637"/>
    </row>
    <row r="1638" spans="10:52" ht="15.75" customHeight="1" x14ac:dyDescent="0.2">
      <c r="J1638"/>
      <c r="AZ1638"/>
    </row>
    <row r="1639" spans="10:52" ht="15.75" customHeight="1" x14ac:dyDescent="0.2">
      <c r="J1639"/>
      <c r="AZ1639"/>
    </row>
    <row r="1640" spans="10:52" ht="15.75" customHeight="1" x14ac:dyDescent="0.2">
      <c r="J1640"/>
      <c r="AZ1640"/>
    </row>
    <row r="1641" spans="10:52" ht="15.75" customHeight="1" x14ac:dyDescent="0.2">
      <c r="J1641"/>
      <c r="AZ1641"/>
    </row>
    <row r="1642" spans="10:52" ht="15.75" customHeight="1" x14ac:dyDescent="0.2">
      <c r="J1642"/>
      <c r="AZ1642"/>
    </row>
    <row r="1643" spans="10:52" ht="15.75" customHeight="1" x14ac:dyDescent="0.2">
      <c r="J1643"/>
      <c r="AZ1643"/>
    </row>
    <row r="1644" spans="10:52" ht="15.75" customHeight="1" x14ac:dyDescent="0.2">
      <c r="J1644"/>
      <c r="AZ1644"/>
    </row>
    <row r="1645" spans="10:52" ht="15.75" customHeight="1" x14ac:dyDescent="0.2">
      <c r="J1645"/>
      <c r="AZ1645"/>
    </row>
    <row r="1646" spans="10:52" ht="15.75" customHeight="1" x14ac:dyDescent="0.2">
      <c r="J1646"/>
      <c r="AZ1646"/>
    </row>
    <row r="1647" spans="10:52" ht="15.75" customHeight="1" x14ac:dyDescent="0.2">
      <c r="J1647"/>
      <c r="AZ1647"/>
    </row>
    <row r="1648" spans="10:52" ht="15.75" customHeight="1" x14ac:dyDescent="0.2">
      <c r="J1648"/>
      <c r="AZ1648"/>
    </row>
    <row r="1649" spans="10:52" ht="15.75" customHeight="1" x14ac:dyDescent="0.2">
      <c r="J1649"/>
      <c r="AZ1649"/>
    </row>
    <row r="1650" spans="10:52" ht="15.75" customHeight="1" x14ac:dyDescent="0.2">
      <c r="J1650"/>
      <c r="AZ1650"/>
    </row>
    <row r="1651" spans="10:52" ht="15.75" customHeight="1" x14ac:dyDescent="0.2">
      <c r="J1651"/>
      <c r="AZ1651"/>
    </row>
    <row r="1652" spans="10:52" ht="15.75" customHeight="1" x14ac:dyDescent="0.2">
      <c r="J1652"/>
      <c r="AZ1652"/>
    </row>
    <row r="1653" spans="10:52" ht="15" customHeight="1" x14ac:dyDescent="0.2">
      <c r="J1653"/>
      <c r="AZ1653"/>
    </row>
    <row r="1654" spans="10:52" ht="15.75" customHeight="1" x14ac:dyDescent="0.2">
      <c r="J1654"/>
      <c r="AZ1654"/>
    </row>
    <row r="1655" spans="10:52" ht="15.75" customHeight="1" x14ac:dyDescent="0.2">
      <c r="J1655"/>
      <c r="AZ1655"/>
    </row>
    <row r="1656" spans="10:52" ht="15.75" customHeight="1" x14ac:dyDescent="0.2">
      <c r="J1656"/>
      <c r="AZ1656"/>
    </row>
    <row r="1657" spans="10:52" ht="15.75" customHeight="1" x14ac:dyDescent="0.2">
      <c r="J1657"/>
      <c r="AZ1657"/>
    </row>
    <row r="1658" spans="10:52" ht="15.75" customHeight="1" x14ac:dyDescent="0.2">
      <c r="J1658"/>
      <c r="AZ1658"/>
    </row>
    <row r="1659" spans="10:52" ht="15.75" customHeight="1" x14ac:dyDescent="0.2">
      <c r="J1659"/>
      <c r="AZ1659"/>
    </row>
    <row r="1660" spans="10:52" ht="15.75" customHeight="1" x14ac:dyDescent="0.2">
      <c r="J1660"/>
      <c r="AZ1660"/>
    </row>
    <row r="1661" spans="10:52" ht="15.75" customHeight="1" x14ac:dyDescent="0.2">
      <c r="J1661"/>
      <c r="AZ1661"/>
    </row>
    <row r="1662" spans="10:52" ht="15.75" customHeight="1" x14ac:dyDescent="0.2">
      <c r="J1662"/>
      <c r="AZ1662"/>
    </row>
    <row r="1663" spans="10:52" ht="15.75" customHeight="1" x14ac:dyDescent="0.2">
      <c r="J1663"/>
      <c r="AZ1663"/>
    </row>
    <row r="1664" spans="10:52" ht="15.75" customHeight="1" x14ac:dyDescent="0.2">
      <c r="J1664"/>
      <c r="AZ1664"/>
    </row>
    <row r="1665" spans="10:52" ht="15.75" customHeight="1" x14ac:dyDescent="0.2">
      <c r="J1665"/>
      <c r="AZ1665"/>
    </row>
    <row r="1666" spans="10:52" ht="15.75" customHeight="1" x14ac:dyDescent="0.2">
      <c r="J1666"/>
      <c r="AZ1666"/>
    </row>
    <row r="1667" spans="10:52" ht="15.75" customHeight="1" x14ac:dyDescent="0.2">
      <c r="J1667"/>
      <c r="AZ1667"/>
    </row>
    <row r="1668" spans="10:52" ht="15.75" customHeight="1" x14ac:dyDescent="0.2">
      <c r="J1668"/>
      <c r="AZ1668"/>
    </row>
    <row r="1669" spans="10:52" ht="15.75" customHeight="1" x14ac:dyDescent="0.2">
      <c r="J1669"/>
      <c r="AZ1669"/>
    </row>
    <row r="1670" spans="10:52" ht="15.75" customHeight="1" x14ac:dyDescent="0.2">
      <c r="J1670"/>
      <c r="AZ1670"/>
    </row>
    <row r="1671" spans="10:52" ht="15.75" customHeight="1" x14ac:dyDescent="0.2">
      <c r="J1671"/>
      <c r="AZ1671"/>
    </row>
    <row r="1672" spans="10:52" ht="15.75" customHeight="1" x14ac:dyDescent="0.2">
      <c r="J1672"/>
      <c r="AZ1672"/>
    </row>
    <row r="1673" spans="10:52" ht="15.75" customHeight="1" x14ac:dyDescent="0.2">
      <c r="J1673"/>
      <c r="AZ1673"/>
    </row>
    <row r="1674" spans="10:52" ht="15.75" customHeight="1" x14ac:dyDescent="0.2">
      <c r="J1674"/>
      <c r="AZ1674"/>
    </row>
    <row r="1675" spans="10:52" ht="15.75" customHeight="1" x14ac:dyDescent="0.2">
      <c r="J1675"/>
      <c r="AZ1675"/>
    </row>
    <row r="1676" spans="10:52" ht="15.75" customHeight="1" x14ac:dyDescent="0.2">
      <c r="J1676"/>
      <c r="AZ1676"/>
    </row>
    <row r="1677" spans="10:52" ht="15.75" customHeight="1" x14ac:dyDescent="0.2">
      <c r="J1677"/>
      <c r="AZ1677"/>
    </row>
    <row r="1678" spans="10:52" ht="15.75" customHeight="1" x14ac:dyDescent="0.2">
      <c r="J1678"/>
      <c r="AZ1678"/>
    </row>
    <row r="1679" spans="10:52" ht="15.75" customHeight="1" x14ac:dyDescent="0.2">
      <c r="J1679"/>
      <c r="AZ1679"/>
    </row>
    <row r="1680" spans="10:52" ht="15.75" customHeight="1" x14ac:dyDescent="0.2">
      <c r="J1680"/>
      <c r="AZ1680"/>
    </row>
    <row r="1681" spans="10:52" ht="15.75" customHeight="1" x14ac:dyDescent="0.2">
      <c r="J1681"/>
      <c r="AZ1681"/>
    </row>
    <row r="1682" spans="10:52" ht="15.75" customHeight="1" x14ac:dyDescent="0.2">
      <c r="J1682"/>
      <c r="AZ1682"/>
    </row>
    <row r="1683" spans="10:52" ht="15.75" customHeight="1" x14ac:dyDescent="0.2">
      <c r="J1683"/>
      <c r="AZ1683"/>
    </row>
    <row r="1684" spans="10:52" ht="15.75" customHeight="1" x14ac:dyDescent="0.2">
      <c r="J1684"/>
      <c r="AZ1684"/>
    </row>
    <row r="1685" spans="10:52" ht="15.75" customHeight="1" x14ac:dyDescent="0.2">
      <c r="J1685"/>
      <c r="AZ1685"/>
    </row>
    <row r="1686" spans="10:52" ht="15.75" customHeight="1" x14ac:dyDescent="0.2">
      <c r="J1686"/>
      <c r="AZ1686"/>
    </row>
    <row r="1687" spans="10:52" ht="15.75" customHeight="1" x14ac:dyDescent="0.2">
      <c r="J1687"/>
      <c r="AZ1687"/>
    </row>
    <row r="1688" spans="10:52" ht="15.75" customHeight="1" x14ac:dyDescent="0.2">
      <c r="J1688"/>
      <c r="AZ1688"/>
    </row>
    <row r="1689" spans="10:52" ht="15.75" customHeight="1" x14ac:dyDescent="0.2">
      <c r="J1689"/>
      <c r="AZ1689"/>
    </row>
    <row r="1690" spans="10:52" ht="15.75" customHeight="1" x14ac:dyDescent="0.2">
      <c r="J1690"/>
      <c r="AZ1690"/>
    </row>
    <row r="1691" spans="10:52" ht="15.75" customHeight="1" x14ac:dyDescent="0.2">
      <c r="J1691"/>
      <c r="AZ1691"/>
    </row>
    <row r="1692" spans="10:52" ht="15.75" customHeight="1" x14ac:dyDescent="0.2">
      <c r="J1692"/>
      <c r="AZ1692"/>
    </row>
    <row r="1693" spans="10:52" ht="15.75" customHeight="1" x14ac:dyDescent="0.2">
      <c r="J1693"/>
      <c r="AZ1693"/>
    </row>
    <row r="1694" spans="10:52" ht="15.75" customHeight="1" x14ac:dyDescent="0.2">
      <c r="J1694"/>
      <c r="AZ1694"/>
    </row>
    <row r="1695" spans="10:52" ht="15.75" customHeight="1" x14ac:dyDescent="0.2">
      <c r="J1695"/>
      <c r="AZ1695"/>
    </row>
    <row r="1696" spans="10:52" ht="15.75" customHeight="1" x14ac:dyDescent="0.2">
      <c r="J1696"/>
      <c r="AZ1696"/>
    </row>
    <row r="1697" spans="10:52" ht="15.75" customHeight="1" x14ac:dyDescent="0.2">
      <c r="J1697"/>
      <c r="AZ1697"/>
    </row>
    <row r="1698" spans="10:52" ht="15.75" customHeight="1" x14ac:dyDescent="0.2">
      <c r="J1698"/>
      <c r="AZ1698"/>
    </row>
    <row r="1699" spans="10:52" ht="15.75" customHeight="1" x14ac:dyDescent="0.2">
      <c r="J1699"/>
      <c r="AZ1699"/>
    </row>
    <row r="1700" spans="10:52" ht="15.75" customHeight="1" x14ac:dyDescent="0.2">
      <c r="J1700"/>
      <c r="AZ1700"/>
    </row>
    <row r="1701" spans="10:52" ht="15.75" customHeight="1" x14ac:dyDescent="0.2">
      <c r="J1701"/>
      <c r="AZ1701"/>
    </row>
    <row r="1702" spans="10:52" ht="15.75" customHeight="1" x14ac:dyDescent="0.2">
      <c r="J1702"/>
      <c r="AZ1702"/>
    </row>
    <row r="1703" spans="10:52" ht="15.75" customHeight="1" x14ac:dyDescent="0.2">
      <c r="J1703"/>
      <c r="AZ1703"/>
    </row>
    <row r="1704" spans="10:52" ht="15.75" customHeight="1" x14ac:dyDescent="0.2">
      <c r="J1704"/>
      <c r="AZ1704"/>
    </row>
    <row r="1705" spans="10:52" ht="15.75" customHeight="1" x14ac:dyDescent="0.2">
      <c r="J1705"/>
      <c r="AZ1705"/>
    </row>
    <row r="1706" spans="10:52" ht="15.75" customHeight="1" x14ac:dyDescent="0.2">
      <c r="J1706"/>
      <c r="AZ1706"/>
    </row>
    <row r="1707" spans="10:52" ht="15.75" customHeight="1" x14ac:dyDescent="0.2">
      <c r="J1707"/>
      <c r="AZ1707"/>
    </row>
    <row r="1708" spans="10:52" ht="15.75" customHeight="1" x14ac:dyDescent="0.2">
      <c r="J1708"/>
      <c r="AZ1708"/>
    </row>
    <row r="1709" spans="10:52" ht="15.75" customHeight="1" x14ac:dyDescent="0.2">
      <c r="J1709"/>
      <c r="AZ1709"/>
    </row>
    <row r="1710" spans="10:52" ht="15.75" customHeight="1" x14ac:dyDescent="0.2">
      <c r="J1710"/>
      <c r="AZ1710"/>
    </row>
    <row r="1711" spans="10:52" ht="15.75" customHeight="1" x14ac:dyDescent="0.2">
      <c r="J1711"/>
      <c r="AZ1711"/>
    </row>
    <row r="1712" spans="10:52" ht="15.75" customHeight="1" x14ac:dyDescent="0.2">
      <c r="J1712"/>
      <c r="AZ1712"/>
    </row>
    <row r="1713" spans="10:52" ht="15.75" customHeight="1" x14ac:dyDescent="0.2">
      <c r="J1713"/>
      <c r="AZ1713"/>
    </row>
    <row r="1714" spans="10:52" ht="15.75" customHeight="1" x14ac:dyDescent="0.2">
      <c r="J1714"/>
      <c r="AZ1714"/>
    </row>
    <row r="1715" spans="10:52" ht="15.75" customHeight="1" x14ac:dyDescent="0.2">
      <c r="J1715"/>
      <c r="AZ1715"/>
    </row>
    <row r="1716" spans="10:52" ht="15.75" customHeight="1" x14ac:dyDescent="0.2">
      <c r="J1716"/>
      <c r="AZ1716"/>
    </row>
    <row r="1717" spans="10:52" ht="15.75" customHeight="1" x14ac:dyDescent="0.2">
      <c r="J1717"/>
      <c r="AZ1717"/>
    </row>
    <row r="1718" spans="10:52" ht="15.75" customHeight="1" x14ac:dyDescent="0.2">
      <c r="J1718"/>
      <c r="AZ1718"/>
    </row>
    <row r="1719" spans="10:52" ht="15.75" customHeight="1" x14ac:dyDescent="0.2">
      <c r="J1719"/>
      <c r="AZ1719"/>
    </row>
    <row r="1720" spans="10:52" ht="15.75" customHeight="1" x14ac:dyDescent="0.2">
      <c r="J1720"/>
      <c r="AZ1720"/>
    </row>
    <row r="1721" spans="10:52" ht="15.75" customHeight="1" x14ac:dyDescent="0.2">
      <c r="J1721"/>
      <c r="AZ1721"/>
    </row>
    <row r="1722" spans="10:52" ht="15.75" customHeight="1" x14ac:dyDescent="0.2">
      <c r="J1722"/>
      <c r="AZ1722"/>
    </row>
    <row r="1723" spans="10:52" ht="15.75" customHeight="1" x14ac:dyDescent="0.2">
      <c r="J1723"/>
      <c r="AZ1723"/>
    </row>
    <row r="1724" spans="10:52" ht="15.75" customHeight="1" x14ac:dyDescent="0.2">
      <c r="J1724"/>
      <c r="AZ1724"/>
    </row>
    <row r="1725" spans="10:52" ht="15.75" customHeight="1" x14ac:dyDescent="0.2">
      <c r="J1725"/>
      <c r="AZ1725"/>
    </row>
    <row r="1726" spans="10:52" ht="15.75" customHeight="1" x14ac:dyDescent="0.2">
      <c r="J1726"/>
      <c r="AZ1726"/>
    </row>
    <row r="1727" spans="10:52" ht="15.75" customHeight="1" x14ac:dyDescent="0.2">
      <c r="J1727"/>
      <c r="AZ1727"/>
    </row>
    <row r="1728" spans="10:52" ht="15.75" customHeight="1" x14ac:dyDescent="0.2">
      <c r="J1728"/>
      <c r="AZ1728"/>
    </row>
    <row r="1729" spans="10:52" ht="15.75" customHeight="1" x14ac:dyDescent="0.2">
      <c r="J1729"/>
      <c r="AZ1729"/>
    </row>
    <row r="1730" spans="10:52" ht="15.75" customHeight="1" x14ac:dyDescent="0.2">
      <c r="J1730"/>
      <c r="AZ1730"/>
    </row>
    <row r="1731" spans="10:52" ht="15.75" customHeight="1" x14ac:dyDescent="0.2">
      <c r="J1731"/>
      <c r="AZ1731"/>
    </row>
    <row r="1732" spans="10:52" ht="15.75" customHeight="1" x14ac:dyDescent="0.2">
      <c r="J1732"/>
      <c r="AZ1732"/>
    </row>
    <row r="1733" spans="10:52" ht="15.75" customHeight="1" x14ac:dyDescent="0.2">
      <c r="J1733"/>
      <c r="AZ1733"/>
    </row>
    <row r="1734" spans="10:52" ht="15.75" customHeight="1" x14ac:dyDescent="0.2">
      <c r="J1734"/>
      <c r="AZ1734"/>
    </row>
    <row r="1735" spans="10:52" ht="15.75" customHeight="1" x14ac:dyDescent="0.2">
      <c r="J1735"/>
      <c r="AZ1735"/>
    </row>
    <row r="1736" spans="10:52" ht="15.75" customHeight="1" x14ac:dyDescent="0.2">
      <c r="J1736"/>
      <c r="AZ1736"/>
    </row>
    <row r="1737" spans="10:52" ht="15.75" customHeight="1" x14ac:dyDescent="0.2">
      <c r="J1737"/>
      <c r="AZ1737"/>
    </row>
    <row r="1738" spans="10:52" ht="15.75" customHeight="1" x14ac:dyDescent="0.2">
      <c r="J1738"/>
      <c r="AZ1738"/>
    </row>
    <row r="1739" spans="10:52" ht="15.75" customHeight="1" x14ac:dyDescent="0.2">
      <c r="J1739"/>
      <c r="AZ1739"/>
    </row>
    <row r="1740" spans="10:52" ht="15.75" customHeight="1" x14ac:dyDescent="0.2">
      <c r="J1740"/>
      <c r="AZ1740"/>
    </row>
    <row r="1741" spans="10:52" ht="15.75" customHeight="1" x14ac:dyDescent="0.2">
      <c r="J1741"/>
      <c r="AZ1741"/>
    </row>
    <row r="1742" spans="10:52" ht="15.75" customHeight="1" x14ac:dyDescent="0.2">
      <c r="J1742"/>
      <c r="AZ1742"/>
    </row>
    <row r="1743" spans="10:52" ht="15.75" customHeight="1" x14ac:dyDescent="0.2">
      <c r="J1743"/>
      <c r="AZ1743"/>
    </row>
    <row r="1744" spans="10:52" ht="15.75" customHeight="1" x14ac:dyDescent="0.2">
      <c r="J1744"/>
      <c r="AZ1744"/>
    </row>
    <row r="1745" spans="10:52" ht="15.75" customHeight="1" x14ac:dyDescent="0.2">
      <c r="J1745"/>
      <c r="AZ1745"/>
    </row>
    <row r="1746" spans="10:52" ht="15.75" customHeight="1" x14ac:dyDescent="0.2">
      <c r="J1746"/>
      <c r="AZ1746"/>
    </row>
    <row r="1747" spans="10:52" ht="15.75" customHeight="1" x14ac:dyDescent="0.2">
      <c r="J1747"/>
      <c r="AZ1747"/>
    </row>
    <row r="1748" spans="10:52" ht="15.75" customHeight="1" x14ac:dyDescent="0.2">
      <c r="J1748"/>
      <c r="AZ1748"/>
    </row>
    <row r="1749" spans="10:52" ht="15.75" customHeight="1" x14ac:dyDescent="0.2">
      <c r="J1749"/>
      <c r="AZ1749"/>
    </row>
    <row r="1750" spans="10:52" ht="15.75" customHeight="1" x14ac:dyDescent="0.2">
      <c r="J1750"/>
      <c r="AZ1750"/>
    </row>
    <row r="1751" spans="10:52" ht="15.75" customHeight="1" x14ac:dyDescent="0.2">
      <c r="J1751"/>
      <c r="AZ1751"/>
    </row>
    <row r="1752" spans="10:52" ht="15.75" customHeight="1" x14ac:dyDescent="0.2">
      <c r="J1752"/>
      <c r="AZ1752"/>
    </row>
    <row r="1753" spans="10:52" ht="15.75" customHeight="1" x14ac:dyDescent="0.2">
      <c r="J1753"/>
      <c r="AZ1753"/>
    </row>
    <row r="1754" spans="10:52" ht="15.75" customHeight="1" x14ac:dyDescent="0.2">
      <c r="J1754"/>
      <c r="AZ1754"/>
    </row>
    <row r="1755" spans="10:52" ht="15.75" customHeight="1" x14ac:dyDescent="0.2">
      <c r="J1755"/>
      <c r="AZ1755"/>
    </row>
    <row r="1756" spans="10:52" ht="15.75" customHeight="1" x14ac:dyDescent="0.2">
      <c r="J1756"/>
      <c r="AZ1756"/>
    </row>
    <row r="1757" spans="10:52" ht="15.75" customHeight="1" x14ac:dyDescent="0.2">
      <c r="J1757"/>
      <c r="AZ1757"/>
    </row>
    <row r="1758" spans="10:52" ht="15.75" customHeight="1" x14ac:dyDescent="0.2">
      <c r="J1758"/>
      <c r="AZ1758"/>
    </row>
    <row r="1759" spans="10:52" ht="15.75" customHeight="1" x14ac:dyDescent="0.2">
      <c r="J1759"/>
      <c r="AZ1759"/>
    </row>
    <row r="1760" spans="10:52" ht="15.75" customHeight="1" x14ac:dyDescent="0.2">
      <c r="J1760"/>
      <c r="AZ1760"/>
    </row>
    <row r="1761" spans="10:52" ht="15.75" customHeight="1" x14ac:dyDescent="0.2">
      <c r="J1761"/>
      <c r="AZ1761"/>
    </row>
    <row r="1762" spans="10:52" ht="15.75" customHeight="1" x14ac:dyDescent="0.2">
      <c r="J1762"/>
      <c r="AZ1762"/>
    </row>
    <row r="1763" spans="10:52" ht="15.75" customHeight="1" x14ac:dyDescent="0.2">
      <c r="J1763"/>
      <c r="AZ1763"/>
    </row>
    <row r="1764" spans="10:52" ht="15.75" customHeight="1" x14ac:dyDescent="0.2">
      <c r="J1764"/>
      <c r="AZ1764"/>
    </row>
    <row r="1765" spans="10:52" ht="15.75" customHeight="1" x14ac:dyDescent="0.2">
      <c r="J1765"/>
      <c r="AZ1765"/>
    </row>
    <row r="1766" spans="10:52" ht="15.75" customHeight="1" x14ac:dyDescent="0.2">
      <c r="J1766"/>
      <c r="AZ1766"/>
    </row>
    <row r="1767" spans="10:52" ht="15.75" customHeight="1" x14ac:dyDescent="0.2">
      <c r="J1767"/>
      <c r="AZ1767"/>
    </row>
    <row r="1768" spans="10:52" ht="15.75" customHeight="1" x14ac:dyDescent="0.2">
      <c r="J1768"/>
      <c r="AZ1768"/>
    </row>
    <row r="1769" spans="10:52" ht="15.75" customHeight="1" x14ac:dyDescent="0.2">
      <c r="J1769"/>
      <c r="AZ1769"/>
    </row>
    <row r="1770" spans="10:52" ht="15.75" customHeight="1" x14ac:dyDescent="0.2">
      <c r="J1770"/>
      <c r="AZ1770"/>
    </row>
    <row r="1771" spans="10:52" ht="15.75" customHeight="1" x14ac:dyDescent="0.2">
      <c r="J1771"/>
      <c r="AZ1771"/>
    </row>
    <row r="1772" spans="10:52" ht="15.75" customHeight="1" x14ac:dyDescent="0.2">
      <c r="J1772"/>
      <c r="AZ1772"/>
    </row>
    <row r="1773" spans="10:52" ht="15.75" customHeight="1" x14ac:dyDescent="0.2">
      <c r="J1773"/>
      <c r="AZ1773"/>
    </row>
    <row r="1774" spans="10:52" ht="15.75" customHeight="1" x14ac:dyDescent="0.2">
      <c r="J1774"/>
      <c r="AZ1774"/>
    </row>
    <row r="1775" spans="10:52" ht="15.75" customHeight="1" x14ac:dyDescent="0.2">
      <c r="J1775"/>
      <c r="AZ1775"/>
    </row>
    <row r="1776" spans="10:52" ht="15.75" customHeight="1" x14ac:dyDescent="0.2">
      <c r="J1776"/>
      <c r="AZ1776"/>
    </row>
    <row r="1777" spans="10:52" ht="15.75" customHeight="1" x14ac:dyDescent="0.2">
      <c r="J1777"/>
      <c r="AZ1777"/>
    </row>
    <row r="1778" spans="10:52" ht="15.75" customHeight="1" x14ac:dyDescent="0.2">
      <c r="J1778"/>
      <c r="AZ1778"/>
    </row>
    <row r="1779" spans="10:52" ht="15.75" customHeight="1" x14ac:dyDescent="0.2">
      <c r="J1779"/>
      <c r="AZ1779"/>
    </row>
    <row r="1780" spans="10:52" ht="15.75" customHeight="1" x14ac:dyDescent="0.2">
      <c r="J1780"/>
      <c r="AZ1780"/>
    </row>
    <row r="1781" spans="10:52" ht="15.75" customHeight="1" x14ac:dyDescent="0.2">
      <c r="J1781"/>
      <c r="AZ1781"/>
    </row>
    <row r="1782" spans="10:52" ht="15.75" customHeight="1" x14ac:dyDescent="0.2">
      <c r="J1782"/>
      <c r="AZ1782"/>
    </row>
    <row r="1783" spans="10:52" ht="15.75" customHeight="1" x14ac:dyDescent="0.2">
      <c r="J1783"/>
      <c r="AZ1783"/>
    </row>
    <row r="1784" spans="10:52" ht="15.75" customHeight="1" x14ac:dyDescent="0.2">
      <c r="J1784"/>
      <c r="AZ1784"/>
    </row>
    <row r="1785" spans="10:52" ht="15.75" customHeight="1" x14ac:dyDescent="0.2">
      <c r="J1785"/>
      <c r="AZ1785"/>
    </row>
    <row r="1786" spans="10:52" ht="15.75" customHeight="1" x14ac:dyDescent="0.2">
      <c r="J1786"/>
      <c r="AZ1786"/>
    </row>
    <row r="1787" spans="10:52" ht="15.75" customHeight="1" x14ac:dyDescent="0.2">
      <c r="J1787"/>
      <c r="AZ1787"/>
    </row>
    <row r="1788" spans="10:52" ht="15.75" customHeight="1" x14ac:dyDescent="0.2">
      <c r="J1788"/>
      <c r="AZ1788"/>
    </row>
    <row r="1789" spans="10:52" ht="15.75" customHeight="1" x14ac:dyDescent="0.2">
      <c r="J1789"/>
      <c r="AZ1789"/>
    </row>
    <row r="1790" spans="10:52" ht="15.75" customHeight="1" x14ac:dyDescent="0.2">
      <c r="J1790"/>
      <c r="AZ1790"/>
    </row>
    <row r="1791" spans="10:52" ht="15.75" customHeight="1" x14ac:dyDescent="0.2">
      <c r="J1791"/>
      <c r="AZ1791"/>
    </row>
    <row r="1792" spans="10:52" ht="15.75" customHeight="1" x14ac:dyDescent="0.2">
      <c r="J1792"/>
      <c r="AZ1792"/>
    </row>
    <row r="1793" spans="10:52" ht="15.75" customHeight="1" x14ac:dyDescent="0.2">
      <c r="J1793"/>
      <c r="AZ1793"/>
    </row>
    <row r="1794" spans="10:52" ht="15.75" customHeight="1" x14ac:dyDescent="0.2">
      <c r="J1794"/>
      <c r="AZ1794"/>
    </row>
    <row r="1795" spans="10:52" ht="15.75" customHeight="1" x14ac:dyDescent="0.2">
      <c r="J1795"/>
      <c r="AZ1795"/>
    </row>
    <row r="1796" spans="10:52" ht="15.75" customHeight="1" x14ac:dyDescent="0.2">
      <c r="J1796"/>
      <c r="AZ1796"/>
    </row>
    <row r="1797" spans="10:52" ht="15.75" customHeight="1" x14ac:dyDescent="0.2">
      <c r="J1797"/>
      <c r="AZ1797"/>
    </row>
    <row r="1798" spans="10:52" ht="15.75" customHeight="1" x14ac:dyDescent="0.2">
      <c r="J1798"/>
      <c r="AZ1798"/>
    </row>
    <row r="1799" spans="10:52" ht="15.75" customHeight="1" x14ac:dyDescent="0.2">
      <c r="J1799"/>
      <c r="AZ1799"/>
    </row>
    <row r="1800" spans="10:52" ht="15.75" customHeight="1" x14ac:dyDescent="0.2">
      <c r="J1800"/>
      <c r="AZ1800"/>
    </row>
    <row r="1801" spans="10:52" ht="15.75" customHeight="1" x14ac:dyDescent="0.2">
      <c r="J1801"/>
      <c r="AZ1801"/>
    </row>
    <row r="1802" spans="10:52" ht="15.75" customHeight="1" x14ac:dyDescent="0.2">
      <c r="J1802"/>
      <c r="AZ1802"/>
    </row>
    <row r="1803" spans="10:52" ht="15.75" customHeight="1" x14ac:dyDescent="0.2">
      <c r="J1803"/>
      <c r="AZ1803"/>
    </row>
    <row r="1804" spans="10:52" ht="15.75" customHeight="1" x14ac:dyDescent="0.2">
      <c r="J1804"/>
      <c r="AZ1804"/>
    </row>
    <row r="1805" spans="10:52" ht="15.75" customHeight="1" x14ac:dyDescent="0.2">
      <c r="J1805"/>
      <c r="AZ1805"/>
    </row>
    <row r="1806" spans="10:52" ht="15.75" customHeight="1" x14ac:dyDescent="0.2">
      <c r="J1806"/>
      <c r="AZ1806"/>
    </row>
    <row r="1807" spans="10:52" ht="15.75" customHeight="1" x14ac:dyDescent="0.2">
      <c r="J1807"/>
      <c r="AZ1807"/>
    </row>
    <row r="1808" spans="10:52" ht="15.75" customHeight="1" x14ac:dyDescent="0.2">
      <c r="J1808"/>
      <c r="AZ1808"/>
    </row>
    <row r="1809" spans="10:52" ht="15.75" customHeight="1" x14ac:dyDescent="0.2">
      <c r="J1809"/>
      <c r="AZ1809"/>
    </row>
    <row r="1810" spans="10:52" ht="15.75" customHeight="1" x14ac:dyDescent="0.2">
      <c r="J1810"/>
      <c r="AZ1810"/>
    </row>
    <row r="1811" spans="10:52" ht="15.75" customHeight="1" x14ac:dyDescent="0.2">
      <c r="J1811"/>
      <c r="AZ1811"/>
    </row>
    <row r="1812" spans="10:52" ht="15.75" customHeight="1" x14ac:dyDescent="0.2">
      <c r="J1812"/>
      <c r="AZ1812"/>
    </row>
    <row r="1813" spans="10:52" ht="15.75" customHeight="1" x14ac:dyDescent="0.2">
      <c r="J1813"/>
      <c r="AZ1813"/>
    </row>
    <row r="1814" spans="10:52" ht="15.75" customHeight="1" x14ac:dyDescent="0.2">
      <c r="J1814"/>
      <c r="AZ1814"/>
    </row>
    <row r="1815" spans="10:52" ht="15.75" customHeight="1" x14ac:dyDescent="0.2">
      <c r="J1815"/>
      <c r="AZ1815"/>
    </row>
    <row r="1816" spans="10:52" ht="15.75" customHeight="1" x14ac:dyDescent="0.2">
      <c r="J1816"/>
      <c r="AZ1816"/>
    </row>
    <row r="1817" spans="10:52" ht="15.75" customHeight="1" x14ac:dyDescent="0.2">
      <c r="J1817"/>
      <c r="AZ1817"/>
    </row>
    <row r="1818" spans="10:52" ht="15.75" customHeight="1" x14ac:dyDescent="0.2">
      <c r="J1818"/>
      <c r="AZ1818"/>
    </row>
    <row r="1819" spans="10:52" ht="15.75" customHeight="1" x14ac:dyDescent="0.2">
      <c r="J1819"/>
      <c r="AZ1819"/>
    </row>
    <row r="1820" spans="10:52" ht="15.75" customHeight="1" x14ac:dyDescent="0.2">
      <c r="J1820"/>
      <c r="AZ1820"/>
    </row>
    <row r="1821" spans="10:52" ht="15.75" customHeight="1" x14ac:dyDescent="0.2">
      <c r="J1821"/>
      <c r="AZ1821"/>
    </row>
    <row r="1822" spans="10:52" ht="15.75" customHeight="1" x14ac:dyDescent="0.2">
      <c r="J1822"/>
      <c r="AZ1822"/>
    </row>
    <row r="1823" spans="10:52" ht="15.75" customHeight="1" x14ac:dyDescent="0.2">
      <c r="J1823"/>
      <c r="AZ1823"/>
    </row>
    <row r="1824" spans="10:52" ht="15.75" customHeight="1" x14ac:dyDescent="0.2">
      <c r="J1824"/>
      <c r="AZ1824"/>
    </row>
    <row r="1825" spans="10:52" ht="15.75" customHeight="1" x14ac:dyDescent="0.2">
      <c r="J1825"/>
      <c r="AZ1825"/>
    </row>
    <row r="1826" spans="10:52" ht="15.75" customHeight="1" x14ac:dyDescent="0.2">
      <c r="J1826"/>
      <c r="AZ1826"/>
    </row>
    <row r="1827" spans="10:52" ht="15.75" customHeight="1" x14ac:dyDescent="0.2">
      <c r="J1827"/>
      <c r="AZ1827"/>
    </row>
    <row r="1828" spans="10:52" ht="15.75" customHeight="1" x14ac:dyDescent="0.2">
      <c r="J1828"/>
      <c r="AZ1828"/>
    </row>
    <row r="1829" spans="10:52" ht="15.75" customHeight="1" x14ac:dyDescent="0.2">
      <c r="J1829"/>
      <c r="AZ1829"/>
    </row>
    <row r="1830" spans="10:52" ht="15.75" customHeight="1" x14ac:dyDescent="0.2">
      <c r="J1830"/>
      <c r="AZ1830"/>
    </row>
    <row r="1831" spans="10:52" ht="15.75" customHeight="1" x14ac:dyDescent="0.2">
      <c r="J1831"/>
      <c r="AZ1831"/>
    </row>
    <row r="1832" spans="10:52" ht="15.75" customHeight="1" x14ac:dyDescent="0.2">
      <c r="J1832"/>
      <c r="AZ1832"/>
    </row>
    <row r="1833" spans="10:52" ht="15.75" customHeight="1" x14ac:dyDescent="0.2">
      <c r="J1833"/>
      <c r="AZ1833"/>
    </row>
    <row r="1834" spans="10:52" ht="15.75" customHeight="1" x14ac:dyDescent="0.2">
      <c r="J1834"/>
      <c r="AZ1834"/>
    </row>
    <row r="1835" spans="10:52" ht="15.75" customHeight="1" x14ac:dyDescent="0.2">
      <c r="J1835"/>
      <c r="AZ1835"/>
    </row>
    <row r="1836" spans="10:52" ht="15.75" customHeight="1" x14ac:dyDescent="0.2">
      <c r="J1836"/>
      <c r="AZ1836"/>
    </row>
    <row r="1837" spans="10:52" ht="15.75" customHeight="1" x14ac:dyDescent="0.2">
      <c r="J1837"/>
      <c r="AZ1837"/>
    </row>
    <row r="1838" spans="10:52" ht="15.75" customHeight="1" x14ac:dyDescent="0.2">
      <c r="J1838"/>
      <c r="AZ1838"/>
    </row>
    <row r="1839" spans="10:52" ht="15.75" customHeight="1" x14ac:dyDescent="0.2">
      <c r="J1839"/>
      <c r="AZ1839"/>
    </row>
    <row r="1840" spans="10:52" ht="15.75" customHeight="1" x14ac:dyDescent="0.2">
      <c r="J1840"/>
      <c r="AZ1840"/>
    </row>
    <row r="1841" spans="10:52" ht="15.75" customHeight="1" x14ac:dyDescent="0.2">
      <c r="J1841"/>
      <c r="AZ1841"/>
    </row>
    <row r="1842" spans="10:52" ht="15.75" customHeight="1" x14ac:dyDescent="0.2">
      <c r="J1842"/>
      <c r="AZ1842"/>
    </row>
    <row r="1843" spans="10:52" ht="15.75" customHeight="1" x14ac:dyDescent="0.2">
      <c r="J1843"/>
      <c r="AZ1843"/>
    </row>
    <row r="1844" spans="10:52" ht="15.75" customHeight="1" x14ac:dyDescent="0.2">
      <c r="J1844"/>
      <c r="AZ1844"/>
    </row>
    <row r="1845" spans="10:52" ht="15.75" customHeight="1" x14ac:dyDescent="0.2">
      <c r="J1845"/>
      <c r="AZ1845"/>
    </row>
    <row r="1846" spans="10:52" ht="15.75" customHeight="1" x14ac:dyDescent="0.2">
      <c r="J1846"/>
      <c r="AZ1846"/>
    </row>
    <row r="1847" spans="10:52" ht="15.75" customHeight="1" x14ac:dyDescent="0.2">
      <c r="J1847"/>
      <c r="AZ1847"/>
    </row>
    <row r="1848" spans="10:52" ht="15.75" customHeight="1" x14ac:dyDescent="0.2">
      <c r="J1848"/>
      <c r="AZ1848"/>
    </row>
    <row r="1849" spans="10:52" ht="15.75" customHeight="1" x14ac:dyDescent="0.2">
      <c r="J1849"/>
      <c r="AZ1849"/>
    </row>
    <row r="1850" spans="10:52" ht="15.75" customHeight="1" x14ac:dyDescent="0.2">
      <c r="J1850"/>
      <c r="AZ1850"/>
    </row>
    <row r="1851" spans="10:52" ht="15.75" customHeight="1" x14ac:dyDescent="0.2">
      <c r="J1851"/>
      <c r="AZ1851"/>
    </row>
    <row r="1852" spans="10:52" ht="15.75" customHeight="1" x14ac:dyDescent="0.2">
      <c r="J1852"/>
      <c r="AZ1852"/>
    </row>
    <row r="1853" spans="10:52" ht="15.75" customHeight="1" x14ac:dyDescent="0.2">
      <c r="J1853"/>
      <c r="AZ1853"/>
    </row>
    <row r="1854" spans="10:52" ht="15.75" customHeight="1" x14ac:dyDescent="0.2">
      <c r="J1854"/>
      <c r="AZ1854"/>
    </row>
    <row r="1855" spans="10:52" ht="15.75" customHeight="1" x14ac:dyDescent="0.2">
      <c r="J1855"/>
      <c r="AZ1855"/>
    </row>
    <row r="1856" spans="10:52" ht="15.75" customHeight="1" x14ac:dyDescent="0.2">
      <c r="J1856"/>
      <c r="AZ1856"/>
    </row>
    <row r="1857" spans="10:52" ht="15.75" customHeight="1" x14ac:dyDescent="0.2">
      <c r="J1857"/>
      <c r="AZ1857"/>
    </row>
    <row r="1858" spans="10:52" ht="15.75" customHeight="1" x14ac:dyDescent="0.2">
      <c r="J1858"/>
      <c r="AZ1858"/>
    </row>
    <row r="1859" spans="10:52" ht="15.75" customHeight="1" x14ac:dyDescent="0.2">
      <c r="J1859"/>
      <c r="AZ1859"/>
    </row>
    <row r="1860" spans="10:52" ht="15.75" customHeight="1" x14ac:dyDescent="0.2">
      <c r="J1860"/>
      <c r="AZ1860"/>
    </row>
    <row r="1861" spans="10:52" ht="15.75" customHeight="1" x14ac:dyDescent="0.2">
      <c r="J1861"/>
      <c r="AZ1861"/>
    </row>
    <row r="1862" spans="10:52" ht="15.75" customHeight="1" x14ac:dyDescent="0.2">
      <c r="J1862"/>
      <c r="AZ1862"/>
    </row>
    <row r="1863" spans="10:52" ht="15.75" customHeight="1" x14ac:dyDescent="0.2">
      <c r="J1863"/>
      <c r="AZ1863"/>
    </row>
    <row r="1864" spans="10:52" ht="15.75" customHeight="1" x14ac:dyDescent="0.2">
      <c r="J1864"/>
      <c r="AZ1864"/>
    </row>
    <row r="1865" spans="10:52" ht="15.75" customHeight="1" x14ac:dyDescent="0.2">
      <c r="J1865"/>
      <c r="AZ1865"/>
    </row>
    <row r="1866" spans="10:52" ht="15.75" customHeight="1" x14ac:dyDescent="0.2">
      <c r="J1866"/>
      <c r="AZ1866"/>
    </row>
    <row r="1867" spans="10:52" ht="15.75" customHeight="1" x14ac:dyDescent="0.2">
      <c r="J1867"/>
      <c r="AZ1867"/>
    </row>
    <row r="1868" spans="10:52" ht="15.75" customHeight="1" x14ac:dyDescent="0.2">
      <c r="J1868"/>
      <c r="AZ1868"/>
    </row>
    <row r="1869" spans="10:52" ht="15.75" customHeight="1" x14ac:dyDescent="0.2">
      <c r="J1869"/>
      <c r="AZ1869"/>
    </row>
    <row r="1870" spans="10:52" ht="15.75" customHeight="1" x14ac:dyDescent="0.2">
      <c r="J1870"/>
      <c r="AZ1870"/>
    </row>
    <row r="1871" spans="10:52" ht="15.75" customHeight="1" x14ac:dyDescent="0.2">
      <c r="J1871"/>
      <c r="AZ1871"/>
    </row>
    <row r="1872" spans="10:52" ht="15.75" customHeight="1" x14ac:dyDescent="0.2">
      <c r="J1872"/>
      <c r="AZ1872"/>
    </row>
    <row r="1873" spans="10:52" ht="15.75" customHeight="1" x14ac:dyDescent="0.2">
      <c r="J1873"/>
      <c r="AZ1873"/>
    </row>
    <row r="1874" spans="10:52" ht="15.75" customHeight="1" x14ac:dyDescent="0.2">
      <c r="J1874"/>
      <c r="AZ1874"/>
    </row>
    <row r="1875" spans="10:52" ht="15.75" customHeight="1" x14ac:dyDescent="0.2">
      <c r="J1875"/>
      <c r="AZ1875"/>
    </row>
    <row r="1876" spans="10:52" ht="15.75" customHeight="1" x14ac:dyDescent="0.2">
      <c r="J1876"/>
      <c r="AZ1876"/>
    </row>
    <row r="1877" spans="10:52" ht="15.75" customHeight="1" x14ac:dyDescent="0.2">
      <c r="J1877"/>
      <c r="AZ1877"/>
    </row>
    <row r="1878" spans="10:52" ht="15.75" customHeight="1" x14ac:dyDescent="0.2">
      <c r="J1878"/>
      <c r="AZ1878"/>
    </row>
    <row r="1879" spans="10:52" ht="15.75" customHeight="1" x14ac:dyDescent="0.2">
      <c r="J1879"/>
      <c r="AZ1879"/>
    </row>
    <row r="1880" spans="10:52" ht="15.75" customHeight="1" x14ac:dyDescent="0.2">
      <c r="J1880"/>
      <c r="AZ1880"/>
    </row>
    <row r="1881" spans="10:52" ht="15.75" customHeight="1" x14ac:dyDescent="0.2">
      <c r="J1881"/>
      <c r="AZ1881"/>
    </row>
    <row r="1882" spans="10:52" ht="15.75" customHeight="1" x14ac:dyDescent="0.2">
      <c r="J1882"/>
      <c r="AZ1882"/>
    </row>
    <row r="1883" spans="10:52" ht="15.75" customHeight="1" x14ac:dyDescent="0.2">
      <c r="J1883"/>
      <c r="AZ1883"/>
    </row>
    <row r="1884" spans="10:52" ht="15.75" customHeight="1" x14ac:dyDescent="0.2">
      <c r="J1884"/>
      <c r="AZ1884"/>
    </row>
    <row r="1885" spans="10:52" ht="15.75" customHeight="1" x14ac:dyDescent="0.2">
      <c r="J1885"/>
      <c r="AZ1885"/>
    </row>
    <row r="1886" spans="10:52" ht="15.75" customHeight="1" x14ac:dyDescent="0.2">
      <c r="J1886"/>
      <c r="AZ1886"/>
    </row>
    <row r="1887" spans="10:52" ht="15.75" customHeight="1" x14ac:dyDescent="0.2">
      <c r="J1887"/>
      <c r="AZ1887"/>
    </row>
    <row r="1888" spans="10:52" ht="15.75" customHeight="1" x14ac:dyDescent="0.2">
      <c r="J1888"/>
      <c r="AZ1888"/>
    </row>
    <row r="1889" spans="10:52" ht="15.75" customHeight="1" x14ac:dyDescent="0.2">
      <c r="J1889"/>
      <c r="AZ1889"/>
    </row>
    <row r="1890" spans="10:52" ht="15.75" customHeight="1" x14ac:dyDescent="0.2">
      <c r="J1890"/>
      <c r="AZ1890"/>
    </row>
    <row r="1891" spans="10:52" ht="15.75" customHeight="1" x14ac:dyDescent="0.2">
      <c r="J1891"/>
      <c r="AZ1891"/>
    </row>
    <row r="1892" spans="10:52" ht="15.75" customHeight="1" x14ac:dyDescent="0.2">
      <c r="J1892"/>
      <c r="AZ1892"/>
    </row>
    <row r="1893" spans="10:52" ht="15.75" customHeight="1" x14ac:dyDescent="0.2">
      <c r="J1893"/>
      <c r="AZ1893"/>
    </row>
    <row r="1894" spans="10:52" ht="15.75" customHeight="1" x14ac:dyDescent="0.2">
      <c r="J1894"/>
      <c r="AZ1894"/>
    </row>
    <row r="1895" spans="10:52" ht="15.75" customHeight="1" x14ac:dyDescent="0.2">
      <c r="J1895"/>
      <c r="AZ1895"/>
    </row>
    <row r="1896" spans="10:52" ht="15.75" customHeight="1" x14ac:dyDescent="0.2">
      <c r="J1896"/>
      <c r="AZ1896"/>
    </row>
    <row r="1897" spans="10:52" ht="15.75" customHeight="1" x14ac:dyDescent="0.2">
      <c r="J1897"/>
      <c r="AZ1897"/>
    </row>
    <row r="1898" spans="10:52" ht="15.75" customHeight="1" x14ac:dyDescent="0.2">
      <c r="J1898"/>
      <c r="AZ1898"/>
    </row>
    <row r="1899" spans="10:52" ht="15.75" customHeight="1" x14ac:dyDescent="0.2">
      <c r="J1899"/>
      <c r="AZ1899"/>
    </row>
    <row r="1900" spans="10:52" ht="15.75" customHeight="1" x14ac:dyDescent="0.2">
      <c r="J1900"/>
      <c r="AZ1900"/>
    </row>
    <row r="1901" spans="10:52" ht="15.75" customHeight="1" x14ac:dyDescent="0.2">
      <c r="J1901"/>
      <c r="AZ1901"/>
    </row>
    <row r="1902" spans="10:52" ht="15.75" customHeight="1" x14ac:dyDescent="0.2">
      <c r="J1902"/>
      <c r="AZ1902"/>
    </row>
    <row r="1903" spans="10:52" ht="15.75" customHeight="1" x14ac:dyDescent="0.2">
      <c r="J1903"/>
      <c r="AZ1903"/>
    </row>
    <row r="1904" spans="10:52" ht="15.75" customHeight="1" x14ac:dyDescent="0.2">
      <c r="J1904"/>
      <c r="AZ1904"/>
    </row>
    <row r="1905" spans="10:52" ht="15.75" customHeight="1" x14ac:dyDescent="0.2">
      <c r="J1905"/>
      <c r="AZ1905"/>
    </row>
    <row r="1906" spans="10:52" ht="15.75" customHeight="1" x14ac:dyDescent="0.2">
      <c r="J1906"/>
      <c r="AZ1906"/>
    </row>
    <row r="1907" spans="10:52" ht="15.75" customHeight="1" x14ac:dyDescent="0.2">
      <c r="J1907"/>
      <c r="AZ1907"/>
    </row>
    <row r="1908" spans="10:52" ht="15.75" customHeight="1" x14ac:dyDescent="0.2">
      <c r="J1908"/>
      <c r="AZ1908"/>
    </row>
    <row r="1909" spans="10:52" ht="15.75" customHeight="1" x14ac:dyDescent="0.2">
      <c r="J1909"/>
      <c r="AZ1909"/>
    </row>
    <row r="1910" spans="10:52" ht="15.75" customHeight="1" x14ac:dyDescent="0.2">
      <c r="J1910"/>
      <c r="AZ1910"/>
    </row>
    <row r="1911" spans="10:52" ht="15.75" customHeight="1" x14ac:dyDescent="0.2">
      <c r="J1911"/>
      <c r="AZ1911"/>
    </row>
    <row r="1912" spans="10:52" ht="15.75" customHeight="1" x14ac:dyDescent="0.2">
      <c r="J1912"/>
      <c r="AZ1912"/>
    </row>
    <row r="1913" spans="10:52" ht="15.75" customHeight="1" x14ac:dyDescent="0.2">
      <c r="J1913"/>
      <c r="AZ1913"/>
    </row>
    <row r="1914" spans="10:52" ht="15.75" customHeight="1" x14ac:dyDescent="0.2">
      <c r="J1914"/>
      <c r="AZ1914"/>
    </row>
    <row r="1915" spans="10:52" ht="15.75" customHeight="1" x14ac:dyDescent="0.2">
      <c r="J1915"/>
      <c r="AZ1915"/>
    </row>
    <row r="1916" spans="10:52" ht="15.75" customHeight="1" x14ac:dyDescent="0.2">
      <c r="J1916"/>
      <c r="AZ1916"/>
    </row>
    <row r="1917" spans="10:52" ht="15.75" customHeight="1" x14ac:dyDescent="0.2">
      <c r="J1917"/>
      <c r="AZ1917"/>
    </row>
    <row r="1918" spans="10:52" ht="15.75" customHeight="1" x14ac:dyDescent="0.2">
      <c r="J1918"/>
      <c r="AZ1918"/>
    </row>
    <row r="1919" spans="10:52" ht="15.75" customHeight="1" x14ac:dyDescent="0.2">
      <c r="J1919"/>
      <c r="AZ1919"/>
    </row>
    <row r="1920" spans="10:52" ht="15.75" customHeight="1" x14ac:dyDescent="0.2">
      <c r="J1920"/>
      <c r="AZ1920"/>
    </row>
    <row r="1921" spans="10:52" ht="15.75" customHeight="1" x14ac:dyDescent="0.2">
      <c r="J1921"/>
      <c r="AZ1921"/>
    </row>
    <row r="1922" spans="10:52" ht="15.75" customHeight="1" x14ac:dyDescent="0.2">
      <c r="J1922"/>
      <c r="AZ1922"/>
    </row>
    <row r="1923" spans="10:52" ht="15.75" customHeight="1" x14ac:dyDescent="0.2">
      <c r="J1923"/>
      <c r="AZ1923"/>
    </row>
    <row r="1924" spans="10:52" ht="15.75" customHeight="1" x14ac:dyDescent="0.2">
      <c r="J1924"/>
      <c r="AZ1924"/>
    </row>
    <row r="1925" spans="10:52" ht="15.75" customHeight="1" x14ac:dyDescent="0.2">
      <c r="J1925"/>
      <c r="AZ1925"/>
    </row>
    <row r="1926" spans="10:52" ht="15.75" customHeight="1" x14ac:dyDescent="0.2">
      <c r="J1926"/>
      <c r="AZ1926"/>
    </row>
    <row r="1927" spans="10:52" ht="15.75" customHeight="1" x14ac:dyDescent="0.2">
      <c r="J1927"/>
      <c r="AZ1927"/>
    </row>
    <row r="1928" spans="10:52" ht="15.75" customHeight="1" x14ac:dyDescent="0.2">
      <c r="J1928"/>
      <c r="AZ1928"/>
    </row>
    <row r="1929" spans="10:52" ht="15.75" customHeight="1" x14ac:dyDescent="0.2">
      <c r="J1929"/>
      <c r="AZ1929"/>
    </row>
    <row r="1930" spans="10:52" ht="15.75" customHeight="1" x14ac:dyDescent="0.2">
      <c r="J1930"/>
      <c r="AZ1930"/>
    </row>
    <row r="1931" spans="10:52" ht="15.75" customHeight="1" x14ac:dyDescent="0.2">
      <c r="J1931"/>
      <c r="AZ1931"/>
    </row>
    <row r="1932" spans="10:52" ht="15.75" customHeight="1" x14ac:dyDescent="0.2">
      <c r="J1932"/>
      <c r="AZ1932"/>
    </row>
    <row r="1933" spans="10:52" ht="15.75" customHeight="1" x14ac:dyDescent="0.2">
      <c r="J1933"/>
      <c r="AZ1933"/>
    </row>
    <row r="1934" spans="10:52" ht="15.75" customHeight="1" x14ac:dyDescent="0.2">
      <c r="J1934"/>
      <c r="AZ1934"/>
    </row>
    <row r="1935" spans="10:52" ht="15.75" customHeight="1" x14ac:dyDescent="0.2">
      <c r="J1935"/>
      <c r="AZ1935"/>
    </row>
    <row r="1936" spans="10:52" ht="15.75" customHeight="1" x14ac:dyDescent="0.2">
      <c r="J1936"/>
      <c r="AZ1936"/>
    </row>
    <row r="1937" spans="10:52" ht="15.75" customHeight="1" x14ac:dyDescent="0.2">
      <c r="J1937"/>
      <c r="AZ1937"/>
    </row>
    <row r="1938" spans="10:52" ht="15.75" customHeight="1" x14ac:dyDescent="0.2">
      <c r="J1938"/>
      <c r="AZ1938"/>
    </row>
    <row r="1939" spans="10:52" ht="15.75" customHeight="1" x14ac:dyDescent="0.2">
      <c r="J1939"/>
      <c r="AZ1939"/>
    </row>
    <row r="1940" spans="10:52" ht="15.75" customHeight="1" x14ac:dyDescent="0.2">
      <c r="J1940"/>
      <c r="AZ1940"/>
    </row>
    <row r="1941" spans="10:52" ht="15.75" customHeight="1" x14ac:dyDescent="0.2">
      <c r="J1941"/>
      <c r="AZ1941"/>
    </row>
    <row r="1942" spans="10:52" ht="15.75" customHeight="1" x14ac:dyDescent="0.2">
      <c r="J1942"/>
      <c r="AZ1942"/>
    </row>
    <row r="1943" spans="10:52" ht="15.75" customHeight="1" x14ac:dyDescent="0.2">
      <c r="J1943"/>
      <c r="AZ1943"/>
    </row>
    <row r="1944" spans="10:52" ht="15.75" customHeight="1" x14ac:dyDescent="0.2">
      <c r="J1944"/>
      <c r="AZ1944"/>
    </row>
    <row r="1945" spans="10:52" ht="15.75" customHeight="1" x14ac:dyDescent="0.2">
      <c r="J1945"/>
      <c r="AZ1945"/>
    </row>
    <row r="1946" spans="10:52" ht="15.75" customHeight="1" x14ac:dyDescent="0.2">
      <c r="J1946"/>
      <c r="AZ1946"/>
    </row>
    <row r="1947" spans="10:52" ht="15.75" customHeight="1" x14ac:dyDescent="0.2">
      <c r="J1947"/>
      <c r="AZ1947"/>
    </row>
    <row r="1948" spans="10:52" ht="15.75" customHeight="1" x14ac:dyDescent="0.2">
      <c r="J1948"/>
      <c r="AZ1948"/>
    </row>
    <row r="1949" spans="10:52" ht="15.75" customHeight="1" x14ac:dyDescent="0.2">
      <c r="J1949"/>
      <c r="AZ1949"/>
    </row>
    <row r="1950" spans="10:52" ht="15.75" customHeight="1" x14ac:dyDescent="0.2">
      <c r="J1950"/>
      <c r="AZ1950"/>
    </row>
    <row r="1951" spans="10:52" ht="15.75" customHeight="1" x14ac:dyDescent="0.2">
      <c r="J1951"/>
      <c r="AZ1951"/>
    </row>
    <row r="1952" spans="10:52" ht="15.75" customHeight="1" x14ac:dyDescent="0.2">
      <c r="J1952"/>
      <c r="AZ1952"/>
    </row>
    <row r="1953" spans="10:52" ht="15.75" customHeight="1" x14ac:dyDescent="0.2">
      <c r="J1953"/>
      <c r="AZ1953"/>
    </row>
    <row r="1954" spans="10:52" ht="15.75" customHeight="1" x14ac:dyDescent="0.2">
      <c r="J1954"/>
      <c r="AZ1954"/>
    </row>
    <row r="1955" spans="10:52" ht="15.75" customHeight="1" x14ac:dyDescent="0.2">
      <c r="J1955"/>
      <c r="AZ1955"/>
    </row>
    <row r="1956" spans="10:52" ht="15.75" customHeight="1" x14ac:dyDescent="0.2">
      <c r="J1956"/>
      <c r="AZ1956"/>
    </row>
    <row r="1957" spans="10:52" ht="15.75" customHeight="1" x14ac:dyDescent="0.2">
      <c r="J1957"/>
      <c r="AZ1957"/>
    </row>
    <row r="1958" spans="10:52" ht="15.75" customHeight="1" x14ac:dyDescent="0.2">
      <c r="J1958"/>
      <c r="AZ1958"/>
    </row>
    <row r="1959" spans="10:52" ht="15.75" customHeight="1" x14ac:dyDescent="0.2">
      <c r="J1959"/>
      <c r="AZ1959"/>
    </row>
    <row r="1960" spans="10:52" ht="15.75" customHeight="1" x14ac:dyDescent="0.2">
      <c r="J1960"/>
      <c r="AZ1960"/>
    </row>
    <row r="1961" spans="10:52" ht="15.75" customHeight="1" x14ac:dyDescent="0.2">
      <c r="J1961"/>
      <c r="AZ1961"/>
    </row>
    <row r="1962" spans="10:52" ht="15.75" customHeight="1" x14ac:dyDescent="0.2">
      <c r="J1962"/>
      <c r="AZ1962"/>
    </row>
    <row r="1963" spans="10:52" ht="15.75" customHeight="1" x14ac:dyDescent="0.2">
      <c r="J1963"/>
      <c r="AZ1963"/>
    </row>
    <row r="1964" spans="10:52" ht="15.75" customHeight="1" x14ac:dyDescent="0.2">
      <c r="J1964"/>
      <c r="AZ1964"/>
    </row>
    <row r="1965" spans="10:52" ht="15.75" customHeight="1" x14ac:dyDescent="0.2">
      <c r="J1965"/>
      <c r="AZ1965"/>
    </row>
    <row r="1966" spans="10:52" ht="15.75" customHeight="1" x14ac:dyDescent="0.2">
      <c r="J1966"/>
      <c r="AZ1966"/>
    </row>
    <row r="1967" spans="10:52" ht="15.75" customHeight="1" x14ac:dyDescent="0.2">
      <c r="J1967"/>
      <c r="AZ1967"/>
    </row>
    <row r="1968" spans="10:52" ht="15.75" customHeight="1" x14ac:dyDescent="0.2">
      <c r="J1968"/>
      <c r="AZ1968"/>
    </row>
    <row r="1969" spans="10:52" ht="15.75" customHeight="1" x14ac:dyDescent="0.2">
      <c r="J1969"/>
      <c r="AZ1969"/>
    </row>
    <row r="1970" spans="10:52" ht="15.75" customHeight="1" x14ac:dyDescent="0.2">
      <c r="J1970"/>
      <c r="AZ1970"/>
    </row>
    <row r="1971" spans="10:52" ht="15.75" customHeight="1" x14ac:dyDescent="0.2">
      <c r="J1971"/>
      <c r="AZ1971"/>
    </row>
    <row r="1972" spans="10:52" ht="15.75" customHeight="1" x14ac:dyDescent="0.2">
      <c r="J1972"/>
      <c r="AZ1972"/>
    </row>
    <row r="1973" spans="10:52" ht="15.75" customHeight="1" x14ac:dyDescent="0.2">
      <c r="J1973"/>
      <c r="AZ1973"/>
    </row>
    <row r="1974" spans="10:52" ht="15.75" customHeight="1" x14ac:dyDescent="0.2">
      <c r="J1974"/>
      <c r="AZ1974"/>
    </row>
    <row r="1975" spans="10:52" ht="15.75" customHeight="1" x14ac:dyDescent="0.2">
      <c r="J1975"/>
      <c r="AZ1975"/>
    </row>
    <row r="1976" spans="10:52" ht="15.75" customHeight="1" x14ac:dyDescent="0.2">
      <c r="J1976"/>
      <c r="AZ1976"/>
    </row>
    <row r="1977" spans="10:52" ht="15.75" customHeight="1" x14ac:dyDescent="0.2">
      <c r="J1977"/>
      <c r="AZ1977"/>
    </row>
    <row r="1978" spans="10:52" ht="15.75" customHeight="1" x14ac:dyDescent="0.2">
      <c r="J1978"/>
      <c r="AZ1978"/>
    </row>
    <row r="1979" spans="10:52" ht="15.75" customHeight="1" x14ac:dyDescent="0.2">
      <c r="J1979"/>
      <c r="AZ1979"/>
    </row>
    <row r="1980" spans="10:52" ht="15.75" customHeight="1" x14ac:dyDescent="0.2">
      <c r="J1980"/>
      <c r="AZ1980"/>
    </row>
    <row r="1981" spans="10:52" ht="15.75" customHeight="1" x14ac:dyDescent="0.2">
      <c r="J1981"/>
      <c r="AZ1981"/>
    </row>
    <row r="1982" spans="10:52" ht="15.75" customHeight="1" x14ac:dyDescent="0.2">
      <c r="J1982"/>
      <c r="AZ1982"/>
    </row>
    <row r="1983" spans="10:52" ht="15.75" customHeight="1" x14ac:dyDescent="0.2">
      <c r="J1983"/>
      <c r="AZ1983"/>
    </row>
    <row r="1984" spans="10:52" ht="15.75" customHeight="1" x14ac:dyDescent="0.2">
      <c r="J1984"/>
      <c r="AZ1984"/>
    </row>
    <row r="1985" spans="10:52" ht="15.75" customHeight="1" x14ac:dyDescent="0.2">
      <c r="J1985"/>
      <c r="AZ1985"/>
    </row>
    <row r="1986" spans="10:52" ht="15.75" customHeight="1" x14ac:dyDescent="0.2">
      <c r="J1986"/>
      <c r="AZ1986"/>
    </row>
    <row r="1987" spans="10:52" ht="15.75" customHeight="1" x14ac:dyDescent="0.2">
      <c r="J1987"/>
      <c r="AZ1987"/>
    </row>
    <row r="1988" spans="10:52" ht="15.75" customHeight="1" x14ac:dyDescent="0.2">
      <c r="J1988"/>
      <c r="AZ1988"/>
    </row>
    <row r="1989" spans="10:52" ht="15.75" customHeight="1" x14ac:dyDescent="0.2">
      <c r="J1989"/>
      <c r="AZ1989"/>
    </row>
    <row r="1990" spans="10:52" ht="15.75" customHeight="1" x14ac:dyDescent="0.2">
      <c r="J1990"/>
      <c r="AZ1990"/>
    </row>
    <row r="1991" spans="10:52" ht="15.75" customHeight="1" x14ac:dyDescent="0.2">
      <c r="J1991"/>
      <c r="AZ1991"/>
    </row>
    <row r="1992" spans="10:52" ht="15.75" customHeight="1" x14ac:dyDescent="0.2">
      <c r="J1992"/>
      <c r="AZ1992"/>
    </row>
    <row r="1993" spans="10:52" ht="15.75" customHeight="1" x14ac:dyDescent="0.2">
      <c r="J1993"/>
      <c r="AZ1993"/>
    </row>
    <row r="1994" spans="10:52" ht="15.75" customHeight="1" x14ac:dyDescent="0.2">
      <c r="J1994"/>
      <c r="AZ1994"/>
    </row>
    <row r="1995" spans="10:52" ht="15.75" customHeight="1" x14ac:dyDescent="0.2">
      <c r="J1995"/>
      <c r="AZ1995"/>
    </row>
    <row r="1996" spans="10:52" ht="15.75" customHeight="1" x14ac:dyDescent="0.2">
      <c r="J1996"/>
      <c r="AZ1996"/>
    </row>
    <row r="1997" spans="10:52" ht="15.75" customHeight="1" x14ac:dyDescent="0.2">
      <c r="J1997"/>
      <c r="AZ1997"/>
    </row>
    <row r="1998" spans="10:52" ht="15.75" customHeight="1" x14ac:dyDescent="0.2">
      <c r="J1998"/>
      <c r="AZ1998"/>
    </row>
    <row r="1999" spans="10:52" ht="15.75" customHeight="1" x14ac:dyDescent="0.2">
      <c r="J1999"/>
      <c r="AZ1999"/>
    </row>
    <row r="2000" spans="10:52" ht="15.75" customHeight="1" x14ac:dyDescent="0.2">
      <c r="J2000"/>
      <c r="AZ2000"/>
    </row>
    <row r="2001" spans="10:52" ht="15.75" customHeight="1" x14ac:dyDescent="0.2">
      <c r="J2001"/>
      <c r="AZ2001"/>
    </row>
    <row r="2002" spans="10:52" ht="15.75" customHeight="1" x14ac:dyDescent="0.2">
      <c r="J2002"/>
      <c r="AZ2002"/>
    </row>
    <row r="2003" spans="10:52" ht="15.75" customHeight="1" x14ac:dyDescent="0.2">
      <c r="J2003"/>
      <c r="AZ2003"/>
    </row>
    <row r="2004" spans="10:52" ht="15.75" customHeight="1" x14ac:dyDescent="0.2">
      <c r="J2004"/>
      <c r="AZ2004"/>
    </row>
    <row r="2005" spans="10:52" ht="15.75" customHeight="1" x14ac:dyDescent="0.2">
      <c r="J2005"/>
      <c r="AZ2005"/>
    </row>
    <row r="2006" spans="10:52" ht="15.75" customHeight="1" x14ac:dyDescent="0.2">
      <c r="J2006"/>
      <c r="AZ2006"/>
    </row>
    <row r="2007" spans="10:52" ht="15.75" customHeight="1" x14ac:dyDescent="0.2">
      <c r="J2007"/>
      <c r="AZ2007"/>
    </row>
    <row r="2008" spans="10:52" ht="15.75" customHeight="1" x14ac:dyDescent="0.2">
      <c r="J2008"/>
      <c r="AZ2008"/>
    </row>
    <row r="2009" spans="10:52" ht="15.75" customHeight="1" x14ac:dyDescent="0.2">
      <c r="J2009"/>
      <c r="AZ2009"/>
    </row>
    <row r="2010" spans="10:52" ht="15.75" customHeight="1" x14ac:dyDescent="0.2">
      <c r="J2010"/>
      <c r="AZ2010"/>
    </row>
    <row r="2011" spans="10:52" ht="15.75" customHeight="1" x14ac:dyDescent="0.2">
      <c r="J2011"/>
      <c r="AZ2011"/>
    </row>
    <row r="2012" spans="10:52" ht="15.75" customHeight="1" x14ac:dyDescent="0.2">
      <c r="J2012"/>
      <c r="AZ2012"/>
    </row>
    <row r="2013" spans="10:52" ht="15.75" customHeight="1" x14ac:dyDescent="0.2">
      <c r="J2013"/>
      <c r="AZ2013"/>
    </row>
    <row r="2014" spans="10:52" ht="15.75" customHeight="1" x14ac:dyDescent="0.2">
      <c r="J2014"/>
      <c r="AZ2014"/>
    </row>
    <row r="2015" spans="10:52" ht="15.75" customHeight="1" x14ac:dyDescent="0.2">
      <c r="J2015"/>
      <c r="AZ2015"/>
    </row>
    <row r="2016" spans="10:52" ht="15.75" customHeight="1" x14ac:dyDescent="0.2">
      <c r="J2016"/>
      <c r="AZ2016"/>
    </row>
    <row r="2017" spans="10:52" ht="15.75" customHeight="1" x14ac:dyDescent="0.2">
      <c r="J2017"/>
      <c r="AZ2017"/>
    </row>
    <row r="2018" spans="10:52" ht="15.75" customHeight="1" x14ac:dyDescent="0.2">
      <c r="J2018"/>
      <c r="AZ2018"/>
    </row>
    <row r="2019" spans="10:52" ht="15.75" customHeight="1" x14ac:dyDescent="0.2">
      <c r="J2019"/>
      <c r="AZ2019"/>
    </row>
    <row r="2020" spans="10:52" ht="15.75" customHeight="1" x14ac:dyDescent="0.2">
      <c r="J2020"/>
      <c r="AZ2020"/>
    </row>
    <row r="2021" spans="10:52" ht="15.75" customHeight="1" x14ac:dyDescent="0.2">
      <c r="J2021"/>
      <c r="AZ2021"/>
    </row>
    <row r="2022" spans="10:52" ht="15.75" customHeight="1" x14ac:dyDescent="0.2">
      <c r="J2022"/>
      <c r="AZ2022"/>
    </row>
    <row r="2023" spans="10:52" ht="15.75" customHeight="1" x14ac:dyDescent="0.2">
      <c r="J2023"/>
      <c r="AZ2023"/>
    </row>
    <row r="2024" spans="10:52" ht="15.75" customHeight="1" x14ac:dyDescent="0.2">
      <c r="J2024"/>
      <c r="AZ2024"/>
    </row>
    <row r="2025" spans="10:52" ht="15.75" customHeight="1" x14ac:dyDescent="0.2">
      <c r="J2025"/>
      <c r="AZ2025"/>
    </row>
    <row r="2026" spans="10:52" ht="15.75" customHeight="1" x14ac:dyDescent="0.2">
      <c r="J2026"/>
      <c r="AZ2026"/>
    </row>
    <row r="2027" spans="10:52" ht="15.75" customHeight="1" x14ac:dyDescent="0.2">
      <c r="J2027"/>
      <c r="AZ2027"/>
    </row>
    <row r="2028" spans="10:52" ht="15.75" customHeight="1" x14ac:dyDescent="0.2">
      <c r="J2028"/>
      <c r="AZ2028"/>
    </row>
    <row r="2029" spans="10:52" ht="15.75" customHeight="1" x14ac:dyDescent="0.2">
      <c r="J2029"/>
      <c r="AZ2029"/>
    </row>
    <row r="2030" spans="10:52" ht="15.75" customHeight="1" x14ac:dyDescent="0.2">
      <c r="J2030"/>
      <c r="AZ2030"/>
    </row>
    <row r="2031" spans="10:52" ht="15.75" customHeight="1" x14ac:dyDescent="0.2">
      <c r="J2031"/>
      <c r="AZ2031"/>
    </row>
    <row r="2032" spans="10:52" ht="15.75" customHeight="1" x14ac:dyDescent="0.2">
      <c r="J2032"/>
      <c r="AZ2032"/>
    </row>
    <row r="2033" spans="10:52" ht="15.75" customHeight="1" x14ac:dyDescent="0.2">
      <c r="J2033"/>
      <c r="AZ2033"/>
    </row>
    <row r="2034" spans="10:52" ht="15.75" customHeight="1" x14ac:dyDescent="0.2">
      <c r="J2034"/>
      <c r="AZ2034"/>
    </row>
    <row r="2035" spans="10:52" ht="15.75" customHeight="1" x14ac:dyDescent="0.2">
      <c r="J2035"/>
      <c r="AZ2035"/>
    </row>
    <row r="2036" spans="10:52" ht="15.75" customHeight="1" x14ac:dyDescent="0.2">
      <c r="J2036"/>
      <c r="AZ2036"/>
    </row>
    <row r="2037" spans="10:52" ht="15.75" customHeight="1" x14ac:dyDescent="0.2">
      <c r="J2037"/>
      <c r="AZ2037"/>
    </row>
    <row r="2038" spans="10:52" ht="15.75" customHeight="1" x14ac:dyDescent="0.2">
      <c r="J2038"/>
      <c r="AZ2038"/>
    </row>
    <row r="2039" spans="10:52" ht="15.75" customHeight="1" x14ac:dyDescent="0.2">
      <c r="J2039"/>
      <c r="AZ2039"/>
    </row>
    <row r="2040" spans="10:52" ht="15.75" customHeight="1" x14ac:dyDescent="0.2">
      <c r="J2040"/>
      <c r="AZ2040"/>
    </row>
    <row r="2041" spans="10:52" ht="15.75" customHeight="1" x14ac:dyDescent="0.2">
      <c r="J2041"/>
      <c r="AZ2041"/>
    </row>
    <row r="2042" spans="10:52" ht="15.75" customHeight="1" x14ac:dyDescent="0.2">
      <c r="J2042"/>
      <c r="AZ2042"/>
    </row>
    <row r="2043" spans="10:52" ht="15.75" customHeight="1" x14ac:dyDescent="0.2">
      <c r="J2043"/>
      <c r="AZ2043"/>
    </row>
    <row r="2044" spans="10:52" ht="15.75" customHeight="1" x14ac:dyDescent="0.2">
      <c r="J2044"/>
      <c r="AZ2044"/>
    </row>
    <row r="2045" spans="10:52" ht="15.75" customHeight="1" x14ac:dyDescent="0.2">
      <c r="J2045"/>
      <c r="AZ2045"/>
    </row>
    <row r="2046" spans="10:52" ht="15.75" customHeight="1" x14ac:dyDescent="0.2">
      <c r="J2046"/>
      <c r="AZ2046"/>
    </row>
    <row r="2047" spans="10:52" ht="15.75" customHeight="1" x14ac:dyDescent="0.2">
      <c r="J2047"/>
      <c r="AZ2047"/>
    </row>
    <row r="2048" spans="10:52" ht="15.75" customHeight="1" x14ac:dyDescent="0.2">
      <c r="J2048"/>
      <c r="AZ2048"/>
    </row>
    <row r="2049" spans="10:52" ht="15.75" customHeight="1" x14ac:dyDescent="0.2">
      <c r="J2049"/>
      <c r="AZ2049"/>
    </row>
    <row r="2050" spans="10:52" ht="15.75" customHeight="1" x14ac:dyDescent="0.2">
      <c r="J2050"/>
      <c r="AZ2050"/>
    </row>
    <row r="2051" spans="10:52" ht="15.75" customHeight="1" x14ac:dyDescent="0.2">
      <c r="J2051"/>
      <c r="AZ2051"/>
    </row>
    <row r="2052" spans="10:52" ht="15.75" customHeight="1" x14ac:dyDescent="0.2">
      <c r="J2052"/>
      <c r="AZ2052"/>
    </row>
    <row r="2053" spans="10:52" ht="15.75" customHeight="1" x14ac:dyDescent="0.2">
      <c r="J2053"/>
      <c r="AZ2053"/>
    </row>
    <row r="2054" spans="10:52" ht="15.75" customHeight="1" x14ac:dyDescent="0.2">
      <c r="J2054"/>
      <c r="AZ2054"/>
    </row>
    <row r="2055" spans="10:52" ht="15.75" customHeight="1" x14ac:dyDescent="0.2">
      <c r="J2055"/>
      <c r="AZ2055"/>
    </row>
    <row r="2056" spans="10:52" ht="15.75" customHeight="1" x14ac:dyDescent="0.2">
      <c r="J2056"/>
      <c r="AZ2056"/>
    </row>
    <row r="2057" spans="10:52" ht="15.75" customHeight="1" x14ac:dyDescent="0.2">
      <c r="J2057"/>
      <c r="AZ2057"/>
    </row>
    <row r="2058" spans="10:52" ht="15.75" customHeight="1" x14ac:dyDescent="0.2">
      <c r="J2058"/>
      <c r="AZ2058"/>
    </row>
    <row r="2059" spans="10:52" ht="15.75" customHeight="1" x14ac:dyDescent="0.2">
      <c r="J2059"/>
      <c r="AZ2059"/>
    </row>
    <row r="2060" spans="10:52" ht="15.75" customHeight="1" x14ac:dyDescent="0.2">
      <c r="J2060"/>
      <c r="AZ2060"/>
    </row>
    <row r="2061" spans="10:52" ht="15.75" customHeight="1" x14ac:dyDescent="0.2">
      <c r="J2061"/>
      <c r="AZ2061"/>
    </row>
    <row r="2062" spans="10:52" ht="15.75" customHeight="1" x14ac:dyDescent="0.2">
      <c r="J2062"/>
      <c r="AZ2062"/>
    </row>
    <row r="2063" spans="10:52" ht="15.75" customHeight="1" x14ac:dyDescent="0.2">
      <c r="J2063"/>
      <c r="AZ2063"/>
    </row>
    <row r="2064" spans="10:52" ht="15.75" customHeight="1" x14ac:dyDescent="0.2">
      <c r="J2064"/>
      <c r="AZ2064"/>
    </row>
    <row r="2065" spans="10:52" ht="15.75" customHeight="1" x14ac:dyDescent="0.2">
      <c r="J2065"/>
      <c r="AZ2065"/>
    </row>
    <row r="2066" spans="10:52" ht="15.75" customHeight="1" x14ac:dyDescent="0.2">
      <c r="J2066"/>
      <c r="AZ2066"/>
    </row>
    <row r="2067" spans="10:52" ht="15.75" customHeight="1" x14ac:dyDescent="0.2">
      <c r="J2067"/>
      <c r="AZ2067"/>
    </row>
    <row r="2068" spans="10:52" ht="15.75" customHeight="1" x14ac:dyDescent="0.2">
      <c r="J2068"/>
      <c r="AZ2068"/>
    </row>
    <row r="2069" spans="10:52" ht="15.75" customHeight="1" x14ac:dyDescent="0.2">
      <c r="J2069"/>
      <c r="AZ2069"/>
    </row>
    <row r="2070" spans="10:52" ht="15.75" customHeight="1" x14ac:dyDescent="0.2">
      <c r="J2070"/>
      <c r="AZ2070"/>
    </row>
    <row r="2071" spans="10:52" ht="15.75" customHeight="1" x14ac:dyDescent="0.2">
      <c r="J2071"/>
      <c r="AZ2071"/>
    </row>
    <row r="2072" spans="10:52" ht="15.75" customHeight="1" x14ac:dyDescent="0.2">
      <c r="J2072"/>
      <c r="AZ2072"/>
    </row>
    <row r="2073" spans="10:52" ht="15.75" customHeight="1" x14ac:dyDescent="0.2">
      <c r="J2073"/>
      <c r="AZ2073"/>
    </row>
    <row r="2074" spans="10:52" ht="15.75" customHeight="1" x14ac:dyDescent="0.2">
      <c r="J2074"/>
      <c r="AZ2074"/>
    </row>
    <row r="2075" spans="10:52" ht="15.75" customHeight="1" x14ac:dyDescent="0.2">
      <c r="J2075"/>
      <c r="AZ2075"/>
    </row>
    <row r="2076" spans="10:52" ht="15.75" customHeight="1" x14ac:dyDescent="0.2">
      <c r="J2076"/>
      <c r="AZ2076"/>
    </row>
    <row r="2077" spans="10:52" ht="15.75" customHeight="1" x14ac:dyDescent="0.2">
      <c r="J2077"/>
      <c r="AZ2077"/>
    </row>
    <row r="2078" spans="10:52" ht="15.75" customHeight="1" x14ac:dyDescent="0.2">
      <c r="J2078"/>
      <c r="AZ2078"/>
    </row>
    <row r="2079" spans="10:52" ht="15.75" customHeight="1" x14ac:dyDescent="0.2">
      <c r="J2079"/>
      <c r="AZ2079"/>
    </row>
    <row r="2080" spans="10:52" ht="15.75" customHeight="1" x14ac:dyDescent="0.2">
      <c r="J2080"/>
      <c r="AZ2080"/>
    </row>
    <row r="2081" spans="10:52" ht="15.75" customHeight="1" x14ac:dyDescent="0.2">
      <c r="J2081"/>
      <c r="AZ2081"/>
    </row>
    <row r="2082" spans="10:52" ht="15.75" customHeight="1" x14ac:dyDescent="0.2">
      <c r="J2082"/>
      <c r="AZ2082"/>
    </row>
    <row r="2083" spans="10:52" ht="15.75" customHeight="1" x14ac:dyDescent="0.2">
      <c r="J2083"/>
      <c r="AZ2083"/>
    </row>
    <row r="2084" spans="10:52" ht="15.75" customHeight="1" x14ac:dyDescent="0.2">
      <c r="J2084"/>
      <c r="AZ2084"/>
    </row>
    <row r="2085" spans="10:52" ht="15.75" customHeight="1" x14ac:dyDescent="0.2">
      <c r="J2085"/>
      <c r="AZ2085"/>
    </row>
    <row r="2086" spans="10:52" ht="15.75" customHeight="1" x14ac:dyDescent="0.2">
      <c r="J2086"/>
      <c r="AZ2086"/>
    </row>
    <row r="2087" spans="10:52" ht="15.75" customHeight="1" x14ac:dyDescent="0.2">
      <c r="J2087"/>
      <c r="AZ2087"/>
    </row>
    <row r="2088" spans="10:52" ht="15.75" customHeight="1" x14ac:dyDescent="0.2">
      <c r="J2088"/>
      <c r="AZ2088"/>
    </row>
    <row r="2089" spans="10:52" ht="15.75" customHeight="1" x14ac:dyDescent="0.2">
      <c r="J2089"/>
      <c r="AZ2089"/>
    </row>
    <row r="2090" spans="10:52" ht="15.75" customHeight="1" x14ac:dyDescent="0.2">
      <c r="J2090"/>
      <c r="AZ2090"/>
    </row>
    <row r="2091" spans="10:52" ht="15.75" customHeight="1" x14ac:dyDescent="0.2">
      <c r="J2091"/>
      <c r="AZ2091"/>
    </row>
    <row r="2092" spans="10:52" ht="15.75" customHeight="1" x14ac:dyDescent="0.2">
      <c r="J2092"/>
      <c r="AZ2092"/>
    </row>
    <row r="2093" spans="10:52" ht="15.75" customHeight="1" x14ac:dyDescent="0.2">
      <c r="J2093"/>
      <c r="AZ2093"/>
    </row>
    <row r="2094" spans="10:52" ht="15.75" customHeight="1" x14ac:dyDescent="0.2">
      <c r="J2094"/>
      <c r="AZ2094"/>
    </row>
    <row r="2095" spans="10:52" ht="15.75" customHeight="1" x14ac:dyDescent="0.2">
      <c r="J2095"/>
      <c r="AZ2095"/>
    </row>
    <row r="2096" spans="10:52" ht="15.75" customHeight="1" x14ac:dyDescent="0.2">
      <c r="J2096"/>
      <c r="AZ2096"/>
    </row>
    <row r="2097" spans="10:52" ht="15.75" customHeight="1" x14ac:dyDescent="0.2">
      <c r="J2097"/>
      <c r="AZ2097"/>
    </row>
    <row r="2098" spans="10:52" ht="15.75" customHeight="1" x14ac:dyDescent="0.2">
      <c r="J2098"/>
      <c r="AZ2098"/>
    </row>
    <row r="2099" spans="10:52" ht="15.75" customHeight="1" x14ac:dyDescent="0.2">
      <c r="J2099"/>
      <c r="AZ2099"/>
    </row>
    <row r="2100" spans="10:52" ht="15.75" customHeight="1" x14ac:dyDescent="0.2">
      <c r="J2100"/>
      <c r="AZ2100"/>
    </row>
    <row r="2101" spans="10:52" ht="15.75" customHeight="1" x14ac:dyDescent="0.2">
      <c r="J2101"/>
      <c r="AZ2101"/>
    </row>
    <row r="2102" spans="10:52" ht="15.75" customHeight="1" x14ac:dyDescent="0.2">
      <c r="J2102"/>
      <c r="AZ2102"/>
    </row>
    <row r="2103" spans="10:52" ht="15.75" customHeight="1" x14ac:dyDescent="0.2">
      <c r="J2103"/>
      <c r="AZ2103"/>
    </row>
    <row r="2104" spans="10:52" ht="15.75" customHeight="1" x14ac:dyDescent="0.2">
      <c r="J2104"/>
      <c r="AZ2104"/>
    </row>
    <row r="2105" spans="10:52" ht="15.75" customHeight="1" x14ac:dyDescent="0.2">
      <c r="J2105"/>
      <c r="AZ2105"/>
    </row>
    <row r="2106" spans="10:52" ht="15.75" customHeight="1" x14ac:dyDescent="0.2">
      <c r="J2106"/>
      <c r="AZ2106"/>
    </row>
    <row r="2107" spans="10:52" ht="15.75" customHeight="1" x14ac:dyDescent="0.2">
      <c r="J2107"/>
      <c r="AZ2107"/>
    </row>
    <row r="2108" spans="10:52" ht="15.75" customHeight="1" x14ac:dyDescent="0.2">
      <c r="J2108"/>
      <c r="AZ2108"/>
    </row>
    <row r="2109" spans="10:52" ht="15.75" customHeight="1" x14ac:dyDescent="0.2">
      <c r="J2109"/>
      <c r="AZ2109"/>
    </row>
    <row r="2110" spans="10:52" ht="15.75" customHeight="1" x14ac:dyDescent="0.2">
      <c r="J2110"/>
      <c r="AZ2110"/>
    </row>
    <row r="2111" spans="10:52" ht="15.75" customHeight="1" x14ac:dyDescent="0.2">
      <c r="J2111"/>
      <c r="AZ2111"/>
    </row>
    <row r="2112" spans="10:52" ht="15.75" customHeight="1" x14ac:dyDescent="0.2">
      <c r="J2112"/>
      <c r="AZ2112"/>
    </row>
    <row r="2113" spans="10:52" ht="15.75" customHeight="1" x14ac:dyDescent="0.2">
      <c r="J2113"/>
      <c r="AZ2113"/>
    </row>
    <row r="2114" spans="10:52" ht="15.75" customHeight="1" x14ac:dyDescent="0.2">
      <c r="J2114"/>
      <c r="AZ2114"/>
    </row>
    <row r="2115" spans="10:52" ht="15.75" customHeight="1" x14ac:dyDescent="0.2">
      <c r="J2115"/>
      <c r="AZ2115"/>
    </row>
    <row r="2116" spans="10:52" ht="15.75" customHeight="1" x14ac:dyDescent="0.2">
      <c r="J2116"/>
      <c r="AZ2116"/>
    </row>
    <row r="2117" spans="10:52" ht="15.75" customHeight="1" x14ac:dyDescent="0.2">
      <c r="J2117"/>
      <c r="AZ2117"/>
    </row>
    <row r="2118" spans="10:52" ht="15.75" customHeight="1" x14ac:dyDescent="0.2">
      <c r="J2118"/>
      <c r="AZ2118"/>
    </row>
    <row r="2119" spans="10:52" ht="15.75" customHeight="1" x14ac:dyDescent="0.2">
      <c r="J2119"/>
      <c r="AZ2119"/>
    </row>
    <row r="2120" spans="10:52" ht="15.75" customHeight="1" x14ac:dyDescent="0.2">
      <c r="J2120"/>
      <c r="AZ2120"/>
    </row>
    <row r="2121" spans="10:52" ht="15.75" customHeight="1" x14ac:dyDescent="0.2">
      <c r="J2121"/>
      <c r="AZ2121"/>
    </row>
    <row r="2122" spans="10:52" ht="15.75" customHeight="1" x14ac:dyDescent="0.2">
      <c r="J2122"/>
      <c r="AZ2122"/>
    </row>
    <row r="2123" spans="10:52" ht="15.75" customHeight="1" x14ac:dyDescent="0.2">
      <c r="J2123"/>
      <c r="AZ2123"/>
    </row>
    <row r="2124" spans="10:52" ht="15.75" customHeight="1" x14ac:dyDescent="0.2">
      <c r="J2124"/>
      <c r="AZ2124"/>
    </row>
    <row r="2125" spans="10:52" ht="15.75" customHeight="1" x14ac:dyDescent="0.2">
      <c r="J2125"/>
      <c r="AZ2125"/>
    </row>
    <row r="2126" spans="10:52" ht="15.75" customHeight="1" x14ac:dyDescent="0.2">
      <c r="J2126"/>
      <c r="AZ2126"/>
    </row>
    <row r="2127" spans="10:52" ht="15.75" customHeight="1" x14ac:dyDescent="0.2">
      <c r="J2127"/>
      <c r="AZ2127"/>
    </row>
    <row r="2128" spans="10:52" ht="15.75" customHeight="1" x14ac:dyDescent="0.2">
      <c r="J2128"/>
      <c r="AZ2128"/>
    </row>
    <row r="2129" spans="10:52" ht="15.75" customHeight="1" x14ac:dyDescent="0.2">
      <c r="J2129"/>
      <c r="AZ2129"/>
    </row>
    <row r="2130" spans="10:52" ht="15.75" customHeight="1" x14ac:dyDescent="0.2">
      <c r="J2130"/>
      <c r="AZ2130"/>
    </row>
    <row r="2131" spans="10:52" ht="15.75" customHeight="1" x14ac:dyDescent="0.2">
      <c r="J2131"/>
      <c r="AZ2131"/>
    </row>
    <row r="2132" spans="10:52" ht="15.75" customHeight="1" x14ac:dyDescent="0.2">
      <c r="J2132"/>
      <c r="AZ2132"/>
    </row>
    <row r="2133" spans="10:52" ht="15.75" customHeight="1" x14ac:dyDescent="0.2">
      <c r="J2133"/>
      <c r="AZ2133"/>
    </row>
    <row r="2134" spans="10:52" ht="15.75" customHeight="1" x14ac:dyDescent="0.2">
      <c r="J2134"/>
      <c r="AZ2134"/>
    </row>
    <row r="2135" spans="10:52" ht="15.75" customHeight="1" x14ac:dyDescent="0.2">
      <c r="J2135"/>
      <c r="AZ2135"/>
    </row>
    <row r="2136" spans="10:52" ht="15.75" customHeight="1" x14ac:dyDescent="0.2">
      <c r="J2136"/>
      <c r="AZ2136"/>
    </row>
    <row r="2137" spans="10:52" ht="15.75" customHeight="1" x14ac:dyDescent="0.2">
      <c r="J2137"/>
      <c r="AZ2137"/>
    </row>
    <row r="2138" spans="10:52" ht="15.75" customHeight="1" x14ac:dyDescent="0.2">
      <c r="J2138"/>
      <c r="AZ2138"/>
    </row>
    <row r="2139" spans="10:52" ht="15.75" customHeight="1" x14ac:dyDescent="0.2">
      <c r="J2139"/>
      <c r="AZ2139"/>
    </row>
    <row r="2140" spans="10:52" ht="15.75" customHeight="1" x14ac:dyDescent="0.2">
      <c r="J2140"/>
      <c r="AZ2140"/>
    </row>
    <row r="2141" spans="10:52" ht="15.75" customHeight="1" x14ac:dyDescent="0.2">
      <c r="J2141"/>
      <c r="AZ2141"/>
    </row>
    <row r="2142" spans="10:52" ht="15.75" customHeight="1" x14ac:dyDescent="0.2">
      <c r="J2142"/>
      <c r="AZ2142"/>
    </row>
    <row r="2143" spans="10:52" ht="15.75" customHeight="1" x14ac:dyDescent="0.2">
      <c r="J2143"/>
      <c r="AZ2143"/>
    </row>
    <row r="2144" spans="10:52" ht="15.75" customHeight="1" x14ac:dyDescent="0.2">
      <c r="J2144"/>
      <c r="AZ2144"/>
    </row>
    <row r="2145" spans="10:52" ht="15.75" customHeight="1" x14ac:dyDescent="0.2">
      <c r="J2145"/>
      <c r="AZ2145"/>
    </row>
    <row r="2146" spans="10:52" ht="15.75" customHeight="1" x14ac:dyDescent="0.2">
      <c r="J2146"/>
      <c r="AZ2146"/>
    </row>
    <row r="2147" spans="10:52" ht="15.75" customHeight="1" x14ac:dyDescent="0.2">
      <c r="J2147"/>
      <c r="AZ2147"/>
    </row>
    <row r="2148" spans="10:52" ht="15.75" customHeight="1" x14ac:dyDescent="0.2">
      <c r="J2148"/>
      <c r="AZ2148"/>
    </row>
    <row r="2149" spans="10:52" ht="15.75" customHeight="1" x14ac:dyDescent="0.2">
      <c r="J2149"/>
      <c r="AZ2149"/>
    </row>
    <row r="2150" spans="10:52" ht="15.75" customHeight="1" x14ac:dyDescent="0.2">
      <c r="J2150"/>
      <c r="AZ2150"/>
    </row>
    <row r="2151" spans="10:52" ht="15.75" customHeight="1" x14ac:dyDescent="0.2">
      <c r="J2151"/>
      <c r="AZ2151"/>
    </row>
    <row r="2152" spans="10:52" ht="15.75" customHeight="1" x14ac:dyDescent="0.2">
      <c r="J2152"/>
      <c r="AZ2152"/>
    </row>
    <row r="2153" spans="10:52" ht="15.75" customHeight="1" x14ac:dyDescent="0.2">
      <c r="J2153"/>
      <c r="AZ2153"/>
    </row>
    <row r="2154" spans="10:52" ht="15.75" customHeight="1" x14ac:dyDescent="0.2">
      <c r="J2154"/>
      <c r="AZ2154"/>
    </row>
    <row r="2155" spans="10:52" ht="15.75" customHeight="1" x14ac:dyDescent="0.2">
      <c r="J2155"/>
      <c r="AZ2155"/>
    </row>
    <row r="2156" spans="10:52" ht="15.75" customHeight="1" x14ac:dyDescent="0.2">
      <c r="J2156"/>
      <c r="AZ2156"/>
    </row>
    <row r="2157" spans="10:52" ht="15.75" customHeight="1" x14ac:dyDescent="0.2">
      <c r="J2157"/>
      <c r="AZ2157"/>
    </row>
    <row r="2158" spans="10:52" ht="15.75" customHeight="1" x14ac:dyDescent="0.2">
      <c r="J2158"/>
      <c r="AZ2158"/>
    </row>
    <row r="2159" spans="10:52" ht="15.75" customHeight="1" x14ac:dyDescent="0.2">
      <c r="J2159"/>
      <c r="AZ2159"/>
    </row>
    <row r="2160" spans="10:52" ht="15.75" customHeight="1" x14ac:dyDescent="0.2">
      <c r="J2160"/>
      <c r="AZ2160"/>
    </row>
    <row r="2161" spans="10:52" ht="15.75" customHeight="1" x14ac:dyDescent="0.2">
      <c r="J2161"/>
      <c r="AZ2161"/>
    </row>
    <row r="2162" spans="10:52" ht="15.75" customHeight="1" x14ac:dyDescent="0.2">
      <c r="J2162"/>
      <c r="AZ2162"/>
    </row>
    <row r="2163" spans="10:52" ht="15.75" customHeight="1" x14ac:dyDescent="0.2">
      <c r="J2163"/>
      <c r="AZ2163"/>
    </row>
    <row r="2164" spans="10:52" ht="15.75" customHeight="1" x14ac:dyDescent="0.2">
      <c r="J2164"/>
      <c r="AZ2164"/>
    </row>
    <row r="2165" spans="10:52" ht="15.75" customHeight="1" x14ac:dyDescent="0.2">
      <c r="J2165"/>
      <c r="AZ2165"/>
    </row>
    <row r="2166" spans="10:52" ht="15.75" customHeight="1" x14ac:dyDescent="0.2">
      <c r="J2166"/>
      <c r="AZ2166"/>
    </row>
    <row r="2167" spans="10:52" ht="15.75" customHeight="1" x14ac:dyDescent="0.2">
      <c r="J2167"/>
      <c r="AZ2167"/>
    </row>
    <row r="2168" spans="10:52" ht="15.75" customHeight="1" x14ac:dyDescent="0.2">
      <c r="J2168"/>
      <c r="AZ2168"/>
    </row>
    <row r="2169" spans="10:52" ht="15.75" customHeight="1" x14ac:dyDescent="0.2">
      <c r="J2169"/>
      <c r="AZ2169"/>
    </row>
    <row r="2170" spans="10:52" ht="15.75" customHeight="1" x14ac:dyDescent="0.2">
      <c r="J2170"/>
      <c r="AZ2170"/>
    </row>
    <row r="2171" spans="10:52" ht="15.75" customHeight="1" x14ac:dyDescent="0.2">
      <c r="J2171"/>
      <c r="AZ2171"/>
    </row>
    <row r="2172" spans="10:52" ht="15.75" customHeight="1" x14ac:dyDescent="0.2">
      <c r="J2172"/>
      <c r="AZ2172"/>
    </row>
    <row r="2173" spans="10:52" ht="15.75" customHeight="1" x14ac:dyDescent="0.2">
      <c r="J2173"/>
      <c r="AZ2173"/>
    </row>
    <row r="2174" spans="10:52" ht="15.75" customHeight="1" x14ac:dyDescent="0.2">
      <c r="J2174"/>
      <c r="AZ2174"/>
    </row>
    <row r="2175" spans="10:52" ht="15.75" customHeight="1" x14ac:dyDescent="0.2">
      <c r="J2175"/>
      <c r="AZ2175"/>
    </row>
    <row r="2176" spans="10:52" ht="15.75" customHeight="1" x14ac:dyDescent="0.2">
      <c r="J2176"/>
      <c r="AZ2176"/>
    </row>
    <row r="2177" spans="10:52" ht="15.75" customHeight="1" x14ac:dyDescent="0.2">
      <c r="J2177"/>
      <c r="AZ2177"/>
    </row>
    <row r="2178" spans="10:52" ht="15.75" customHeight="1" x14ac:dyDescent="0.2">
      <c r="J2178"/>
      <c r="AZ2178"/>
    </row>
    <row r="2179" spans="10:52" ht="15.75" customHeight="1" x14ac:dyDescent="0.2">
      <c r="J2179"/>
      <c r="AZ2179"/>
    </row>
    <row r="2180" spans="10:52" ht="15.75" customHeight="1" x14ac:dyDescent="0.2">
      <c r="J2180"/>
      <c r="AZ2180"/>
    </row>
    <row r="2181" spans="10:52" ht="15.75" customHeight="1" x14ac:dyDescent="0.2">
      <c r="J2181"/>
      <c r="AZ2181"/>
    </row>
    <row r="2182" spans="10:52" ht="15.75" customHeight="1" x14ac:dyDescent="0.2">
      <c r="J2182"/>
      <c r="AZ2182"/>
    </row>
    <row r="2183" spans="10:52" ht="15.75" customHeight="1" x14ac:dyDescent="0.2">
      <c r="J2183"/>
      <c r="AZ2183"/>
    </row>
    <row r="2184" spans="10:52" ht="15.75" customHeight="1" x14ac:dyDescent="0.2">
      <c r="J2184"/>
      <c r="AZ2184"/>
    </row>
    <row r="2185" spans="10:52" ht="15.75" customHeight="1" x14ac:dyDescent="0.2">
      <c r="J2185"/>
      <c r="AZ2185"/>
    </row>
    <row r="2186" spans="10:52" ht="15.75" customHeight="1" x14ac:dyDescent="0.2">
      <c r="J2186"/>
      <c r="AZ2186"/>
    </row>
    <row r="2187" spans="10:52" ht="15.75" customHeight="1" x14ac:dyDescent="0.2">
      <c r="J2187"/>
      <c r="AZ2187"/>
    </row>
    <row r="2188" spans="10:52" ht="15.75" customHeight="1" x14ac:dyDescent="0.2">
      <c r="J2188"/>
      <c r="AZ2188"/>
    </row>
    <row r="2189" spans="10:52" ht="15.75" customHeight="1" x14ac:dyDescent="0.2">
      <c r="J2189"/>
      <c r="AZ2189"/>
    </row>
    <row r="2190" spans="10:52" ht="15.75" customHeight="1" x14ac:dyDescent="0.2">
      <c r="J2190"/>
      <c r="AZ2190"/>
    </row>
    <row r="2191" spans="10:52" ht="15.75" customHeight="1" x14ac:dyDescent="0.2">
      <c r="J2191"/>
      <c r="AZ2191"/>
    </row>
    <row r="2192" spans="10:52" ht="15.75" customHeight="1" x14ac:dyDescent="0.2">
      <c r="J2192"/>
      <c r="AZ2192"/>
    </row>
    <row r="2193" spans="10:52" ht="15.75" customHeight="1" x14ac:dyDescent="0.2">
      <c r="J2193"/>
      <c r="AZ2193"/>
    </row>
    <row r="2194" spans="10:52" ht="15.75" customHeight="1" x14ac:dyDescent="0.2">
      <c r="J2194"/>
      <c r="AZ2194"/>
    </row>
    <row r="2195" spans="10:52" ht="15.75" customHeight="1" x14ac:dyDescent="0.2">
      <c r="J2195"/>
      <c r="AZ2195"/>
    </row>
    <row r="2196" spans="10:52" ht="15.75" customHeight="1" x14ac:dyDescent="0.2">
      <c r="J2196"/>
      <c r="AZ2196"/>
    </row>
    <row r="2197" spans="10:52" ht="15.75" customHeight="1" x14ac:dyDescent="0.2">
      <c r="J2197"/>
      <c r="AZ2197"/>
    </row>
    <row r="2198" spans="10:52" ht="15.75" customHeight="1" x14ac:dyDescent="0.2">
      <c r="J2198"/>
      <c r="AZ2198"/>
    </row>
    <row r="2199" spans="10:52" ht="15.75" customHeight="1" x14ac:dyDescent="0.2">
      <c r="J2199"/>
      <c r="AZ2199"/>
    </row>
    <row r="2200" spans="10:52" ht="15.75" customHeight="1" x14ac:dyDescent="0.2">
      <c r="J2200"/>
      <c r="AZ2200"/>
    </row>
    <row r="2201" spans="10:52" ht="15.75" customHeight="1" x14ac:dyDescent="0.2">
      <c r="J2201"/>
      <c r="AZ2201"/>
    </row>
    <row r="2202" spans="10:52" ht="15.75" customHeight="1" x14ac:dyDescent="0.2">
      <c r="J2202"/>
      <c r="AZ2202"/>
    </row>
    <row r="2203" spans="10:52" ht="15.75" customHeight="1" x14ac:dyDescent="0.2">
      <c r="J2203"/>
      <c r="AZ2203"/>
    </row>
    <row r="2204" spans="10:52" ht="15.75" customHeight="1" x14ac:dyDescent="0.2">
      <c r="J2204"/>
      <c r="AZ2204"/>
    </row>
    <row r="2205" spans="10:52" ht="15.75" customHeight="1" x14ac:dyDescent="0.2">
      <c r="J2205"/>
      <c r="AZ2205"/>
    </row>
    <row r="2206" spans="10:52" ht="15.75" customHeight="1" x14ac:dyDescent="0.2">
      <c r="J2206"/>
      <c r="AZ2206"/>
    </row>
    <row r="2207" spans="10:52" ht="15.75" customHeight="1" x14ac:dyDescent="0.2">
      <c r="J2207"/>
      <c r="AZ2207"/>
    </row>
    <row r="2208" spans="10:52" ht="15.75" customHeight="1" x14ac:dyDescent="0.2">
      <c r="J2208"/>
      <c r="AZ2208"/>
    </row>
    <row r="2209" spans="10:52" ht="15.75" customHeight="1" x14ac:dyDescent="0.2">
      <c r="J2209"/>
      <c r="AZ2209"/>
    </row>
    <row r="2210" spans="10:52" ht="15.75" customHeight="1" x14ac:dyDescent="0.2">
      <c r="J2210"/>
      <c r="AZ2210"/>
    </row>
    <row r="2211" spans="10:52" ht="15.75" customHeight="1" x14ac:dyDescent="0.2">
      <c r="J2211"/>
      <c r="AZ2211"/>
    </row>
    <row r="2212" spans="10:52" ht="15.75" customHeight="1" x14ac:dyDescent="0.2">
      <c r="J2212"/>
      <c r="AZ2212"/>
    </row>
    <row r="2213" spans="10:52" ht="15.75" customHeight="1" x14ac:dyDescent="0.2">
      <c r="J2213"/>
      <c r="AZ2213"/>
    </row>
    <row r="2214" spans="10:52" ht="15.75" customHeight="1" x14ac:dyDescent="0.2">
      <c r="J2214"/>
      <c r="AZ2214"/>
    </row>
    <row r="2215" spans="10:52" ht="15.75" customHeight="1" x14ac:dyDescent="0.2">
      <c r="J2215"/>
      <c r="AZ2215"/>
    </row>
    <row r="2216" spans="10:52" ht="15.75" customHeight="1" x14ac:dyDescent="0.2">
      <c r="J2216"/>
      <c r="AZ2216"/>
    </row>
    <row r="2217" spans="10:52" ht="15.75" customHeight="1" x14ac:dyDescent="0.2">
      <c r="J2217"/>
      <c r="AZ2217"/>
    </row>
    <row r="2218" spans="10:52" ht="15.75" customHeight="1" x14ac:dyDescent="0.2">
      <c r="J2218"/>
      <c r="AZ2218"/>
    </row>
    <row r="2219" spans="10:52" ht="15.75" customHeight="1" x14ac:dyDescent="0.2">
      <c r="J2219"/>
      <c r="AZ2219"/>
    </row>
    <row r="2220" spans="10:52" ht="15.75" customHeight="1" x14ac:dyDescent="0.2">
      <c r="J2220"/>
      <c r="AZ2220"/>
    </row>
    <row r="2221" spans="10:52" ht="15.75" customHeight="1" x14ac:dyDescent="0.2">
      <c r="J2221"/>
      <c r="AZ2221"/>
    </row>
    <row r="2222" spans="10:52" ht="15.75" customHeight="1" x14ac:dyDescent="0.2">
      <c r="J2222"/>
      <c r="AZ2222"/>
    </row>
    <row r="2223" spans="10:52" ht="15.75" customHeight="1" x14ac:dyDescent="0.2">
      <c r="J2223"/>
      <c r="AZ2223"/>
    </row>
    <row r="2224" spans="10:52" ht="15.75" customHeight="1" x14ac:dyDescent="0.2">
      <c r="J2224"/>
      <c r="AZ2224"/>
    </row>
    <row r="2225" spans="10:52" ht="15.75" customHeight="1" x14ac:dyDescent="0.2">
      <c r="J2225"/>
      <c r="AZ2225"/>
    </row>
    <row r="2226" spans="10:52" ht="15.75" customHeight="1" x14ac:dyDescent="0.2">
      <c r="J2226"/>
      <c r="AZ2226"/>
    </row>
    <row r="2227" spans="10:52" ht="15.75" customHeight="1" x14ac:dyDescent="0.2">
      <c r="J2227"/>
      <c r="AZ2227"/>
    </row>
    <row r="2228" spans="10:52" ht="15.75" customHeight="1" x14ac:dyDescent="0.2">
      <c r="J2228"/>
      <c r="AZ2228"/>
    </row>
    <row r="2229" spans="10:52" ht="15.75" customHeight="1" x14ac:dyDescent="0.2">
      <c r="J2229"/>
      <c r="AZ2229"/>
    </row>
    <row r="2230" spans="10:52" ht="15.75" customHeight="1" x14ac:dyDescent="0.2">
      <c r="J2230"/>
      <c r="AZ2230"/>
    </row>
    <row r="2231" spans="10:52" ht="15.75" customHeight="1" x14ac:dyDescent="0.2">
      <c r="J2231"/>
      <c r="AZ2231"/>
    </row>
    <row r="2232" spans="10:52" ht="15.75" customHeight="1" x14ac:dyDescent="0.2">
      <c r="J2232"/>
      <c r="AZ2232"/>
    </row>
    <row r="2233" spans="10:52" ht="15.75" customHeight="1" x14ac:dyDescent="0.2">
      <c r="J2233"/>
      <c r="AZ2233"/>
    </row>
    <row r="2234" spans="10:52" ht="15.75" customHeight="1" x14ac:dyDescent="0.2">
      <c r="J2234"/>
      <c r="AZ2234"/>
    </row>
    <row r="2235" spans="10:52" ht="15.75" customHeight="1" x14ac:dyDescent="0.2">
      <c r="J2235"/>
      <c r="AZ2235"/>
    </row>
    <row r="2236" spans="10:52" ht="15.75" customHeight="1" x14ac:dyDescent="0.2">
      <c r="J2236"/>
      <c r="AZ2236"/>
    </row>
    <row r="2237" spans="10:52" ht="15.75" customHeight="1" x14ac:dyDescent="0.2">
      <c r="J2237"/>
      <c r="AZ2237"/>
    </row>
    <row r="2238" spans="10:52" ht="15.75" customHeight="1" x14ac:dyDescent="0.2">
      <c r="J2238"/>
      <c r="AZ2238"/>
    </row>
    <row r="2239" spans="10:52" ht="15.75" customHeight="1" x14ac:dyDescent="0.2">
      <c r="J2239"/>
      <c r="AZ2239"/>
    </row>
    <row r="2240" spans="10:52" ht="15.75" customHeight="1" x14ac:dyDescent="0.2">
      <c r="J2240"/>
      <c r="AZ2240"/>
    </row>
    <row r="2241" spans="10:52" ht="15.75" customHeight="1" x14ac:dyDescent="0.2">
      <c r="J2241"/>
      <c r="AZ2241"/>
    </row>
    <row r="2242" spans="10:52" ht="15.75" customHeight="1" x14ac:dyDescent="0.2">
      <c r="J2242"/>
      <c r="AZ2242"/>
    </row>
    <row r="2243" spans="10:52" ht="15.75" customHeight="1" x14ac:dyDescent="0.2">
      <c r="J2243"/>
      <c r="AZ2243"/>
    </row>
    <row r="2244" spans="10:52" ht="15.75" customHeight="1" x14ac:dyDescent="0.2">
      <c r="J2244"/>
      <c r="AZ2244"/>
    </row>
    <row r="2245" spans="10:52" ht="15.75" customHeight="1" x14ac:dyDescent="0.2">
      <c r="J2245"/>
      <c r="AZ2245"/>
    </row>
    <row r="2246" spans="10:52" ht="15.75" customHeight="1" x14ac:dyDescent="0.2">
      <c r="J2246"/>
      <c r="AZ2246"/>
    </row>
    <row r="2247" spans="10:52" ht="15.75" customHeight="1" x14ac:dyDescent="0.2">
      <c r="J2247"/>
      <c r="AZ2247"/>
    </row>
    <row r="2248" spans="10:52" ht="15.75" customHeight="1" x14ac:dyDescent="0.2">
      <c r="J2248"/>
      <c r="AZ2248"/>
    </row>
    <row r="2249" spans="10:52" ht="15.75" customHeight="1" x14ac:dyDescent="0.2">
      <c r="J2249"/>
      <c r="AZ2249"/>
    </row>
    <row r="2250" spans="10:52" ht="15.75" customHeight="1" x14ac:dyDescent="0.2">
      <c r="J2250"/>
      <c r="AZ2250"/>
    </row>
    <row r="2251" spans="10:52" ht="15.75" customHeight="1" x14ac:dyDescent="0.2">
      <c r="J2251"/>
      <c r="AZ2251"/>
    </row>
    <row r="2252" spans="10:52" ht="15.75" customHeight="1" x14ac:dyDescent="0.2">
      <c r="J2252"/>
      <c r="AZ2252"/>
    </row>
    <row r="2253" spans="10:52" ht="15.75" customHeight="1" x14ac:dyDescent="0.2">
      <c r="J2253"/>
      <c r="AZ2253"/>
    </row>
    <row r="2254" spans="10:52" ht="15.75" customHeight="1" x14ac:dyDescent="0.2">
      <c r="J2254"/>
      <c r="AZ2254"/>
    </row>
    <row r="2255" spans="10:52" ht="15.75" customHeight="1" x14ac:dyDescent="0.2">
      <c r="J2255"/>
      <c r="AZ2255"/>
    </row>
    <row r="2256" spans="10:52" ht="15.75" customHeight="1" x14ac:dyDescent="0.2">
      <c r="J2256"/>
      <c r="AZ2256"/>
    </row>
    <row r="2257" spans="10:52" ht="15.75" customHeight="1" x14ac:dyDescent="0.2">
      <c r="J2257"/>
      <c r="AZ2257"/>
    </row>
    <row r="2258" spans="10:52" ht="15.75" customHeight="1" x14ac:dyDescent="0.2">
      <c r="J2258"/>
      <c r="AZ2258"/>
    </row>
    <row r="2259" spans="10:52" ht="15.75" customHeight="1" x14ac:dyDescent="0.2">
      <c r="J2259"/>
      <c r="AZ2259"/>
    </row>
    <row r="2260" spans="10:52" ht="15.75" customHeight="1" x14ac:dyDescent="0.2">
      <c r="J2260"/>
      <c r="AZ2260"/>
    </row>
    <row r="2261" spans="10:52" ht="15.75" customHeight="1" x14ac:dyDescent="0.2">
      <c r="J2261"/>
      <c r="AZ2261"/>
    </row>
    <row r="2262" spans="10:52" ht="15.75" customHeight="1" x14ac:dyDescent="0.2">
      <c r="J2262"/>
      <c r="AZ2262"/>
    </row>
    <row r="2263" spans="10:52" ht="15.75" customHeight="1" x14ac:dyDescent="0.2">
      <c r="J2263"/>
      <c r="AZ2263"/>
    </row>
    <row r="2264" spans="10:52" ht="15.75" customHeight="1" x14ac:dyDescent="0.2">
      <c r="J2264"/>
      <c r="AZ2264"/>
    </row>
    <row r="2265" spans="10:52" ht="15.75" customHeight="1" x14ac:dyDescent="0.2">
      <c r="J2265"/>
      <c r="AZ2265"/>
    </row>
    <row r="2266" spans="10:52" ht="15.75" customHeight="1" x14ac:dyDescent="0.2">
      <c r="J2266"/>
      <c r="AZ2266"/>
    </row>
    <row r="2267" spans="10:52" ht="15.75" customHeight="1" x14ac:dyDescent="0.2">
      <c r="J2267"/>
      <c r="AZ2267"/>
    </row>
    <row r="2268" spans="10:52" ht="15.75" customHeight="1" x14ac:dyDescent="0.2">
      <c r="J2268"/>
      <c r="AZ2268"/>
    </row>
    <row r="2269" spans="10:52" ht="15.75" customHeight="1" x14ac:dyDescent="0.2">
      <c r="J2269"/>
      <c r="AZ2269"/>
    </row>
    <row r="2270" spans="10:52" ht="15.75" customHeight="1" x14ac:dyDescent="0.2">
      <c r="J2270"/>
      <c r="AZ2270"/>
    </row>
    <row r="2271" spans="10:52" ht="15.75" customHeight="1" x14ac:dyDescent="0.2">
      <c r="J2271"/>
      <c r="AZ2271"/>
    </row>
    <row r="2272" spans="10:52" ht="15.75" customHeight="1" x14ac:dyDescent="0.2">
      <c r="J2272"/>
      <c r="AZ2272"/>
    </row>
    <row r="2273" spans="10:52" ht="15.75" customHeight="1" x14ac:dyDescent="0.2">
      <c r="J2273"/>
      <c r="AZ2273"/>
    </row>
    <row r="2274" spans="10:52" ht="15.75" customHeight="1" x14ac:dyDescent="0.2">
      <c r="J2274"/>
      <c r="AZ2274"/>
    </row>
    <row r="2275" spans="10:52" ht="15.75" customHeight="1" x14ac:dyDescent="0.2">
      <c r="J2275"/>
      <c r="AZ2275"/>
    </row>
    <row r="2276" spans="10:52" ht="15.75" customHeight="1" x14ac:dyDescent="0.2">
      <c r="J2276"/>
      <c r="AZ2276"/>
    </row>
    <row r="2277" spans="10:52" ht="15.75" customHeight="1" x14ac:dyDescent="0.2">
      <c r="J2277"/>
      <c r="AZ2277"/>
    </row>
    <row r="2278" spans="10:52" ht="15.75" customHeight="1" x14ac:dyDescent="0.2">
      <c r="J2278"/>
      <c r="AZ2278"/>
    </row>
    <row r="2279" spans="10:52" ht="15.75" customHeight="1" x14ac:dyDescent="0.2">
      <c r="J2279"/>
      <c r="AZ2279"/>
    </row>
    <row r="2280" spans="10:52" ht="15.75" customHeight="1" x14ac:dyDescent="0.2">
      <c r="J2280"/>
      <c r="AZ2280"/>
    </row>
    <row r="2281" spans="10:52" ht="15.75" customHeight="1" x14ac:dyDescent="0.2">
      <c r="J2281"/>
      <c r="AZ2281"/>
    </row>
    <row r="2282" spans="10:52" ht="15.75" customHeight="1" x14ac:dyDescent="0.2">
      <c r="J2282"/>
      <c r="AZ2282"/>
    </row>
    <row r="2283" spans="10:52" ht="15.75" customHeight="1" x14ac:dyDescent="0.2">
      <c r="J2283"/>
      <c r="AZ2283"/>
    </row>
    <row r="2284" spans="10:52" ht="15.75" customHeight="1" x14ac:dyDescent="0.2">
      <c r="J2284"/>
      <c r="AZ2284"/>
    </row>
    <row r="2285" spans="10:52" ht="15.75" customHeight="1" x14ac:dyDescent="0.2">
      <c r="J2285"/>
      <c r="AZ2285"/>
    </row>
    <row r="2286" spans="10:52" ht="15.75" customHeight="1" x14ac:dyDescent="0.2">
      <c r="J2286"/>
      <c r="AZ2286"/>
    </row>
    <row r="2287" spans="10:52" ht="15.75" customHeight="1" x14ac:dyDescent="0.2">
      <c r="J2287"/>
      <c r="AZ2287"/>
    </row>
    <row r="2288" spans="10:52" ht="15.75" customHeight="1" x14ac:dyDescent="0.2">
      <c r="J2288"/>
      <c r="AZ2288"/>
    </row>
    <row r="2289" spans="10:52" ht="15.75" customHeight="1" x14ac:dyDescent="0.2">
      <c r="J2289"/>
      <c r="AZ2289"/>
    </row>
    <row r="2290" spans="10:52" ht="15.75" customHeight="1" x14ac:dyDescent="0.2">
      <c r="J2290"/>
      <c r="AZ2290"/>
    </row>
    <row r="2291" spans="10:52" ht="15.75" customHeight="1" x14ac:dyDescent="0.2">
      <c r="J2291"/>
      <c r="AZ2291"/>
    </row>
    <row r="2292" spans="10:52" ht="15.75" customHeight="1" x14ac:dyDescent="0.2">
      <c r="J2292"/>
      <c r="AZ2292"/>
    </row>
    <row r="2293" spans="10:52" ht="15.75" customHeight="1" x14ac:dyDescent="0.2">
      <c r="J2293"/>
      <c r="AZ2293"/>
    </row>
    <row r="2294" spans="10:52" ht="15.75" customHeight="1" x14ac:dyDescent="0.2">
      <c r="J2294"/>
      <c r="AZ2294"/>
    </row>
    <row r="2295" spans="10:52" ht="15.75" customHeight="1" x14ac:dyDescent="0.2">
      <c r="J2295"/>
      <c r="AZ2295"/>
    </row>
    <row r="2296" spans="10:52" ht="15.75" customHeight="1" x14ac:dyDescent="0.2">
      <c r="J2296"/>
      <c r="AZ2296"/>
    </row>
    <row r="2297" spans="10:52" ht="15.75" customHeight="1" x14ac:dyDescent="0.2">
      <c r="J2297"/>
      <c r="AZ2297"/>
    </row>
    <row r="2298" spans="10:52" ht="15.75" customHeight="1" x14ac:dyDescent="0.2">
      <c r="J2298"/>
      <c r="AZ2298"/>
    </row>
    <row r="2299" spans="10:52" ht="15.75" customHeight="1" x14ac:dyDescent="0.2">
      <c r="J2299"/>
      <c r="AZ2299"/>
    </row>
    <row r="2300" spans="10:52" ht="15.75" customHeight="1" x14ac:dyDescent="0.2">
      <c r="J2300"/>
      <c r="AZ2300"/>
    </row>
    <row r="2301" spans="10:52" ht="15.75" customHeight="1" x14ac:dyDescent="0.2">
      <c r="J2301"/>
      <c r="AZ2301"/>
    </row>
    <row r="2302" spans="10:52" ht="15.75" customHeight="1" x14ac:dyDescent="0.2">
      <c r="J2302"/>
      <c r="AZ2302"/>
    </row>
    <row r="2303" spans="10:52" ht="15.75" customHeight="1" x14ac:dyDescent="0.2">
      <c r="J2303"/>
      <c r="AZ2303"/>
    </row>
    <row r="2304" spans="10:52" ht="15.75" customHeight="1" x14ac:dyDescent="0.2">
      <c r="J2304"/>
      <c r="AZ2304"/>
    </row>
    <row r="2305" spans="10:52" ht="15.75" customHeight="1" x14ac:dyDescent="0.2">
      <c r="J2305"/>
      <c r="AZ2305"/>
    </row>
    <row r="2306" spans="10:52" ht="15.75" customHeight="1" x14ac:dyDescent="0.2">
      <c r="J2306"/>
      <c r="AZ2306"/>
    </row>
    <row r="2307" spans="10:52" ht="15.75" customHeight="1" x14ac:dyDescent="0.2">
      <c r="J2307"/>
      <c r="AZ2307"/>
    </row>
    <row r="2308" spans="10:52" ht="15.75" customHeight="1" x14ac:dyDescent="0.2">
      <c r="J2308"/>
      <c r="AZ2308"/>
    </row>
    <row r="2309" spans="10:52" ht="15.75" customHeight="1" x14ac:dyDescent="0.2">
      <c r="J2309"/>
      <c r="AZ2309"/>
    </row>
    <row r="2310" spans="10:52" ht="15.75" customHeight="1" x14ac:dyDescent="0.2">
      <c r="J2310"/>
      <c r="AZ2310"/>
    </row>
    <row r="2311" spans="10:52" ht="15.75" customHeight="1" x14ac:dyDescent="0.2">
      <c r="J2311"/>
      <c r="AZ2311"/>
    </row>
    <row r="2312" spans="10:52" ht="15.75" customHeight="1" x14ac:dyDescent="0.2">
      <c r="J2312"/>
      <c r="AZ2312"/>
    </row>
    <row r="2313" spans="10:52" ht="15.75" customHeight="1" x14ac:dyDescent="0.2">
      <c r="J2313"/>
      <c r="AZ2313"/>
    </row>
    <row r="2314" spans="10:52" ht="15.75" customHeight="1" x14ac:dyDescent="0.2">
      <c r="J2314"/>
      <c r="AZ2314"/>
    </row>
    <row r="2315" spans="10:52" ht="15.75" customHeight="1" x14ac:dyDescent="0.2">
      <c r="J2315"/>
      <c r="AZ2315"/>
    </row>
    <row r="2316" spans="10:52" ht="15.75" customHeight="1" x14ac:dyDescent="0.2">
      <c r="J2316"/>
      <c r="AZ2316"/>
    </row>
    <row r="2317" spans="10:52" ht="15.75" customHeight="1" x14ac:dyDescent="0.2">
      <c r="J2317"/>
      <c r="AZ2317"/>
    </row>
    <row r="2318" spans="10:52" ht="15.75" customHeight="1" x14ac:dyDescent="0.2">
      <c r="J2318"/>
      <c r="AZ2318"/>
    </row>
    <row r="2319" spans="10:52" ht="15.75" customHeight="1" x14ac:dyDescent="0.2">
      <c r="J2319"/>
      <c r="AZ2319"/>
    </row>
    <row r="2320" spans="10:52" ht="15.75" customHeight="1" x14ac:dyDescent="0.2">
      <c r="J2320"/>
      <c r="AZ2320"/>
    </row>
    <row r="2321" spans="10:52" ht="15.75" customHeight="1" x14ac:dyDescent="0.2">
      <c r="J2321"/>
      <c r="AZ2321"/>
    </row>
    <row r="2322" spans="10:52" ht="15.75" customHeight="1" x14ac:dyDescent="0.2">
      <c r="J2322"/>
      <c r="AZ2322"/>
    </row>
    <row r="2323" spans="10:52" ht="15.75" customHeight="1" x14ac:dyDescent="0.2">
      <c r="J2323"/>
      <c r="AZ2323"/>
    </row>
    <row r="2324" spans="10:52" ht="15.75" customHeight="1" x14ac:dyDescent="0.2">
      <c r="J2324"/>
      <c r="AZ2324"/>
    </row>
    <row r="2325" spans="10:52" ht="15.75" customHeight="1" x14ac:dyDescent="0.2">
      <c r="J2325"/>
      <c r="AZ2325"/>
    </row>
    <row r="2326" spans="10:52" ht="15.75" customHeight="1" x14ac:dyDescent="0.2">
      <c r="J2326"/>
      <c r="AZ2326"/>
    </row>
    <row r="2327" spans="10:52" ht="15.75" customHeight="1" x14ac:dyDescent="0.2">
      <c r="J2327"/>
      <c r="AZ2327"/>
    </row>
    <row r="2328" spans="10:52" ht="15.75" customHeight="1" x14ac:dyDescent="0.2">
      <c r="J2328"/>
      <c r="AZ2328"/>
    </row>
    <row r="2329" spans="10:52" ht="15.75" customHeight="1" x14ac:dyDescent="0.2">
      <c r="J2329"/>
      <c r="AZ2329"/>
    </row>
    <row r="2330" spans="10:52" ht="15.75" customHeight="1" x14ac:dyDescent="0.2">
      <c r="J2330"/>
      <c r="AZ2330"/>
    </row>
    <row r="2331" spans="10:52" ht="15.75" customHeight="1" x14ac:dyDescent="0.2">
      <c r="J2331"/>
      <c r="AZ2331"/>
    </row>
    <row r="2332" spans="10:52" ht="15.75" customHeight="1" x14ac:dyDescent="0.2">
      <c r="J2332"/>
      <c r="AZ2332"/>
    </row>
    <row r="2333" spans="10:52" ht="15.75" customHeight="1" x14ac:dyDescent="0.2">
      <c r="J2333"/>
      <c r="AZ2333"/>
    </row>
    <row r="2334" spans="10:52" ht="15.75" customHeight="1" x14ac:dyDescent="0.2">
      <c r="J2334"/>
      <c r="AZ2334"/>
    </row>
    <row r="2335" spans="10:52" ht="15.75" customHeight="1" x14ac:dyDescent="0.2">
      <c r="J2335"/>
      <c r="AZ2335"/>
    </row>
    <row r="2336" spans="10:52" ht="15.75" customHeight="1" x14ac:dyDescent="0.2">
      <c r="J2336"/>
      <c r="AZ2336"/>
    </row>
    <row r="2337" spans="10:52" ht="15.75" customHeight="1" x14ac:dyDescent="0.2">
      <c r="J2337"/>
      <c r="AZ2337"/>
    </row>
    <row r="2338" spans="10:52" ht="15.75" customHeight="1" x14ac:dyDescent="0.2">
      <c r="J2338"/>
      <c r="AZ2338"/>
    </row>
    <row r="2339" spans="10:52" ht="15.75" customHeight="1" x14ac:dyDescent="0.2">
      <c r="J2339"/>
      <c r="AZ2339"/>
    </row>
    <row r="2340" spans="10:52" ht="15.75" customHeight="1" x14ac:dyDescent="0.2">
      <c r="J2340"/>
      <c r="AZ2340"/>
    </row>
    <row r="2341" spans="10:52" ht="15.75" customHeight="1" x14ac:dyDescent="0.2">
      <c r="J2341"/>
      <c r="AZ2341"/>
    </row>
    <row r="2342" spans="10:52" ht="15.75" customHeight="1" x14ac:dyDescent="0.2">
      <c r="J2342"/>
      <c r="AZ2342"/>
    </row>
    <row r="2343" spans="10:52" ht="15.75" customHeight="1" x14ac:dyDescent="0.2">
      <c r="J2343"/>
      <c r="AZ2343"/>
    </row>
    <row r="2344" spans="10:52" ht="15.75" customHeight="1" x14ac:dyDescent="0.2">
      <c r="J2344"/>
      <c r="AZ2344"/>
    </row>
    <row r="2345" spans="10:52" ht="15.75" customHeight="1" x14ac:dyDescent="0.2">
      <c r="J2345"/>
      <c r="AZ2345"/>
    </row>
    <row r="2346" spans="10:52" ht="15.75" customHeight="1" x14ac:dyDescent="0.2">
      <c r="J2346"/>
      <c r="AZ2346"/>
    </row>
    <row r="2347" spans="10:52" ht="15.75" customHeight="1" x14ac:dyDescent="0.2">
      <c r="J2347"/>
      <c r="AZ2347"/>
    </row>
    <row r="2348" spans="10:52" ht="15.75" customHeight="1" x14ac:dyDescent="0.2">
      <c r="J2348"/>
      <c r="AZ2348"/>
    </row>
    <row r="2349" spans="10:52" ht="15.75" customHeight="1" x14ac:dyDescent="0.2">
      <c r="J2349"/>
      <c r="AZ2349"/>
    </row>
    <row r="2350" spans="10:52" ht="15.75" customHeight="1" x14ac:dyDescent="0.2">
      <c r="J2350"/>
      <c r="AZ2350"/>
    </row>
    <row r="2351" spans="10:52" ht="15.75" customHeight="1" x14ac:dyDescent="0.2">
      <c r="J2351"/>
      <c r="AZ2351"/>
    </row>
    <row r="2352" spans="10:52" ht="15.75" customHeight="1" x14ac:dyDescent="0.2">
      <c r="J2352"/>
      <c r="AZ2352"/>
    </row>
    <row r="2353" spans="10:52" ht="15.75" customHeight="1" x14ac:dyDescent="0.2">
      <c r="J2353"/>
      <c r="AZ2353"/>
    </row>
    <row r="2354" spans="10:52" ht="15.75" customHeight="1" x14ac:dyDescent="0.2">
      <c r="J2354"/>
      <c r="AZ2354"/>
    </row>
    <row r="2355" spans="10:52" ht="15.75" customHeight="1" x14ac:dyDescent="0.2">
      <c r="J2355"/>
      <c r="AZ2355"/>
    </row>
    <row r="2356" spans="10:52" ht="15.75" customHeight="1" x14ac:dyDescent="0.2">
      <c r="J2356"/>
      <c r="AZ2356"/>
    </row>
    <row r="2357" spans="10:52" ht="15.75" customHeight="1" x14ac:dyDescent="0.2">
      <c r="J2357"/>
      <c r="AZ2357"/>
    </row>
    <row r="2358" spans="10:52" ht="15.75" customHeight="1" x14ac:dyDescent="0.2">
      <c r="J2358"/>
      <c r="AZ2358"/>
    </row>
    <row r="2359" spans="10:52" ht="15.75" customHeight="1" x14ac:dyDescent="0.2">
      <c r="J2359"/>
      <c r="AZ2359"/>
    </row>
    <row r="2360" spans="10:52" ht="15.75" customHeight="1" x14ac:dyDescent="0.2">
      <c r="J2360"/>
      <c r="AZ2360"/>
    </row>
    <row r="2361" spans="10:52" ht="15.75" customHeight="1" x14ac:dyDescent="0.2">
      <c r="J2361"/>
      <c r="AZ2361"/>
    </row>
    <row r="2362" spans="10:52" ht="15.75" customHeight="1" x14ac:dyDescent="0.2">
      <c r="J2362"/>
      <c r="AZ2362"/>
    </row>
    <row r="2363" spans="10:52" ht="15.75" customHeight="1" x14ac:dyDescent="0.2">
      <c r="J2363"/>
      <c r="AZ2363"/>
    </row>
    <row r="2364" spans="10:52" ht="15.75" customHeight="1" x14ac:dyDescent="0.2">
      <c r="J2364"/>
      <c r="AZ2364"/>
    </row>
    <row r="2365" spans="10:52" ht="15.75" customHeight="1" x14ac:dyDescent="0.2">
      <c r="J2365"/>
      <c r="AZ2365"/>
    </row>
    <row r="2366" spans="10:52" ht="15.75" customHeight="1" x14ac:dyDescent="0.2">
      <c r="J2366"/>
      <c r="AZ2366"/>
    </row>
    <row r="2367" spans="10:52" ht="15.75" customHeight="1" x14ac:dyDescent="0.2">
      <c r="J2367"/>
      <c r="AZ2367"/>
    </row>
    <row r="2368" spans="10:52" ht="15.75" customHeight="1" x14ac:dyDescent="0.2">
      <c r="J2368"/>
      <c r="AZ2368"/>
    </row>
    <row r="2369" spans="10:52" ht="15.75" customHeight="1" x14ac:dyDescent="0.2">
      <c r="J2369"/>
      <c r="AZ2369"/>
    </row>
    <row r="2370" spans="10:52" ht="15.75" customHeight="1" x14ac:dyDescent="0.2">
      <c r="J2370"/>
      <c r="AZ2370"/>
    </row>
    <row r="2371" spans="10:52" ht="15.75" customHeight="1" x14ac:dyDescent="0.2">
      <c r="J2371"/>
      <c r="AZ2371"/>
    </row>
    <row r="2372" spans="10:52" ht="15.75" customHeight="1" x14ac:dyDescent="0.2">
      <c r="J2372"/>
      <c r="AZ2372"/>
    </row>
    <row r="2373" spans="10:52" ht="15.75" customHeight="1" x14ac:dyDescent="0.2">
      <c r="J2373"/>
      <c r="AZ2373"/>
    </row>
    <row r="2374" spans="10:52" ht="15.75" customHeight="1" x14ac:dyDescent="0.2">
      <c r="J2374"/>
      <c r="AZ2374"/>
    </row>
    <row r="2375" spans="10:52" ht="15.75" customHeight="1" x14ac:dyDescent="0.2">
      <c r="J2375"/>
      <c r="AZ2375"/>
    </row>
    <row r="2376" spans="10:52" ht="15.75" customHeight="1" x14ac:dyDescent="0.2">
      <c r="J2376"/>
      <c r="AZ2376"/>
    </row>
    <row r="2377" spans="10:52" ht="15.75" customHeight="1" x14ac:dyDescent="0.2">
      <c r="J2377"/>
      <c r="AZ2377"/>
    </row>
    <row r="2378" spans="10:52" ht="15.75" customHeight="1" x14ac:dyDescent="0.2">
      <c r="J2378"/>
      <c r="AZ2378"/>
    </row>
    <row r="2379" spans="10:52" ht="15.75" customHeight="1" x14ac:dyDescent="0.2">
      <c r="J2379"/>
      <c r="AZ2379"/>
    </row>
    <row r="2380" spans="10:52" ht="15.75" customHeight="1" x14ac:dyDescent="0.2">
      <c r="J2380"/>
      <c r="AZ2380"/>
    </row>
    <row r="2381" spans="10:52" ht="15.75" customHeight="1" x14ac:dyDescent="0.2">
      <c r="J2381"/>
      <c r="AZ2381"/>
    </row>
    <row r="2382" spans="10:52" ht="15.75" customHeight="1" x14ac:dyDescent="0.2">
      <c r="J2382"/>
      <c r="AZ2382"/>
    </row>
    <row r="2383" spans="10:52" ht="15.75" customHeight="1" x14ac:dyDescent="0.2">
      <c r="J2383"/>
      <c r="AZ2383"/>
    </row>
    <row r="2384" spans="10:52" ht="15.75" customHeight="1" x14ac:dyDescent="0.2">
      <c r="J2384"/>
      <c r="AZ2384"/>
    </row>
    <row r="2385" spans="10:52" ht="15.75" customHeight="1" x14ac:dyDescent="0.2">
      <c r="J2385"/>
      <c r="AZ2385"/>
    </row>
    <row r="2386" spans="10:52" ht="15.75" customHeight="1" x14ac:dyDescent="0.2">
      <c r="J2386"/>
      <c r="AZ2386"/>
    </row>
    <row r="2387" spans="10:52" ht="15.75" customHeight="1" x14ac:dyDescent="0.2">
      <c r="J2387"/>
      <c r="AZ2387"/>
    </row>
    <row r="2388" spans="10:52" ht="15.75" customHeight="1" x14ac:dyDescent="0.2">
      <c r="J2388"/>
      <c r="AZ2388"/>
    </row>
    <row r="2389" spans="10:52" ht="15.75" customHeight="1" x14ac:dyDescent="0.2">
      <c r="J2389"/>
      <c r="AZ2389"/>
    </row>
    <row r="2390" spans="10:52" ht="15.75" customHeight="1" x14ac:dyDescent="0.2">
      <c r="J2390"/>
      <c r="AZ2390"/>
    </row>
    <row r="2391" spans="10:52" ht="15.75" customHeight="1" x14ac:dyDescent="0.2">
      <c r="J2391"/>
      <c r="AZ2391"/>
    </row>
    <row r="2392" spans="10:52" ht="15.75" customHeight="1" x14ac:dyDescent="0.2">
      <c r="J2392"/>
      <c r="AZ2392"/>
    </row>
    <row r="2393" spans="10:52" ht="15.75" customHeight="1" x14ac:dyDescent="0.2">
      <c r="J2393"/>
      <c r="AZ2393"/>
    </row>
    <row r="2394" spans="10:52" ht="15.75" customHeight="1" x14ac:dyDescent="0.2">
      <c r="J2394"/>
      <c r="AZ2394"/>
    </row>
    <row r="2395" spans="10:52" ht="15.75" customHeight="1" x14ac:dyDescent="0.2">
      <c r="J2395"/>
      <c r="AZ2395"/>
    </row>
    <row r="2396" spans="10:52" ht="15.75" customHeight="1" x14ac:dyDescent="0.2">
      <c r="J2396"/>
      <c r="AZ2396"/>
    </row>
    <row r="2397" spans="10:52" ht="15.75" customHeight="1" x14ac:dyDescent="0.2">
      <c r="J2397"/>
      <c r="AZ2397"/>
    </row>
    <row r="2398" spans="10:52" ht="15.75" customHeight="1" x14ac:dyDescent="0.2">
      <c r="J2398"/>
      <c r="AZ2398"/>
    </row>
    <row r="2399" spans="10:52" ht="15.75" customHeight="1" x14ac:dyDescent="0.2">
      <c r="J2399"/>
      <c r="AZ2399"/>
    </row>
    <row r="2400" spans="10:52" ht="15.75" customHeight="1" x14ac:dyDescent="0.2">
      <c r="J2400"/>
      <c r="AZ2400"/>
    </row>
    <row r="2401" spans="10:52" ht="15.75" customHeight="1" x14ac:dyDescent="0.2">
      <c r="J2401"/>
      <c r="AZ2401"/>
    </row>
    <row r="2402" spans="10:52" ht="15.75" customHeight="1" x14ac:dyDescent="0.2">
      <c r="J2402"/>
      <c r="AZ2402"/>
    </row>
    <row r="2403" spans="10:52" ht="15.75" customHeight="1" x14ac:dyDescent="0.2">
      <c r="J2403"/>
      <c r="AZ2403"/>
    </row>
    <row r="2404" spans="10:52" ht="15.75" customHeight="1" x14ac:dyDescent="0.2">
      <c r="J2404"/>
      <c r="AZ2404"/>
    </row>
    <row r="2405" spans="10:52" ht="15.75" customHeight="1" x14ac:dyDescent="0.2">
      <c r="J2405"/>
      <c r="AZ2405"/>
    </row>
    <row r="2406" spans="10:52" ht="15.75" customHeight="1" x14ac:dyDescent="0.2">
      <c r="J2406"/>
      <c r="AZ2406"/>
    </row>
    <row r="2407" spans="10:52" ht="15.75" customHeight="1" x14ac:dyDescent="0.2">
      <c r="J2407"/>
      <c r="AZ2407"/>
    </row>
    <row r="2408" spans="10:52" ht="15.75" customHeight="1" x14ac:dyDescent="0.2">
      <c r="J2408"/>
      <c r="AZ2408"/>
    </row>
    <row r="2409" spans="10:52" ht="15.75" customHeight="1" x14ac:dyDescent="0.2">
      <c r="J2409"/>
      <c r="AZ2409"/>
    </row>
    <row r="2410" spans="10:52" ht="15.75" customHeight="1" x14ac:dyDescent="0.2">
      <c r="J2410"/>
      <c r="AZ2410"/>
    </row>
    <row r="2411" spans="10:52" ht="15.75" customHeight="1" x14ac:dyDescent="0.2">
      <c r="J2411"/>
      <c r="AZ2411"/>
    </row>
    <row r="2412" spans="10:52" ht="15.75" customHeight="1" x14ac:dyDescent="0.2">
      <c r="J2412"/>
      <c r="AZ2412"/>
    </row>
    <row r="2413" spans="10:52" ht="15.75" customHeight="1" x14ac:dyDescent="0.2">
      <c r="J2413"/>
      <c r="AZ2413"/>
    </row>
    <row r="2414" spans="10:52" ht="15.75" customHeight="1" x14ac:dyDescent="0.2">
      <c r="J2414"/>
      <c r="AZ2414"/>
    </row>
    <row r="2415" spans="10:52" ht="15.75" customHeight="1" x14ac:dyDescent="0.2">
      <c r="J2415"/>
      <c r="AZ2415"/>
    </row>
    <row r="2416" spans="10:52" ht="15.75" customHeight="1" x14ac:dyDescent="0.2">
      <c r="J2416"/>
      <c r="AZ2416"/>
    </row>
    <row r="2417" spans="10:52" ht="15.75" customHeight="1" x14ac:dyDescent="0.2">
      <c r="J2417"/>
      <c r="AZ2417"/>
    </row>
    <row r="2418" spans="10:52" ht="15.75" customHeight="1" x14ac:dyDescent="0.2">
      <c r="J2418"/>
      <c r="AZ2418"/>
    </row>
    <row r="2419" spans="10:52" ht="15.75" customHeight="1" x14ac:dyDescent="0.2">
      <c r="J2419"/>
      <c r="AZ2419"/>
    </row>
    <row r="2420" spans="10:52" ht="15.75" customHeight="1" x14ac:dyDescent="0.2">
      <c r="J2420"/>
      <c r="AZ2420"/>
    </row>
    <row r="2421" spans="10:52" ht="15.75" customHeight="1" x14ac:dyDescent="0.2">
      <c r="J2421"/>
      <c r="AZ2421"/>
    </row>
    <row r="2422" spans="10:52" ht="15.75" customHeight="1" x14ac:dyDescent="0.2">
      <c r="J2422"/>
      <c r="AZ2422"/>
    </row>
    <row r="2423" spans="10:52" ht="15.75" customHeight="1" x14ac:dyDescent="0.2">
      <c r="J2423"/>
      <c r="AZ2423"/>
    </row>
    <row r="2424" spans="10:52" ht="15.75" customHeight="1" x14ac:dyDescent="0.2">
      <c r="J2424"/>
      <c r="AZ2424"/>
    </row>
    <row r="2425" spans="10:52" ht="15.75" customHeight="1" x14ac:dyDescent="0.2">
      <c r="J2425"/>
      <c r="AZ2425"/>
    </row>
    <row r="2426" spans="10:52" ht="15.75" customHeight="1" x14ac:dyDescent="0.2">
      <c r="J2426"/>
      <c r="AZ2426"/>
    </row>
    <row r="2427" spans="10:52" ht="15.75" customHeight="1" x14ac:dyDescent="0.2">
      <c r="J2427"/>
      <c r="AZ2427"/>
    </row>
    <row r="2428" spans="10:52" ht="15.75" customHeight="1" x14ac:dyDescent="0.2">
      <c r="J2428"/>
      <c r="AZ2428"/>
    </row>
    <row r="2429" spans="10:52" ht="15.75" customHeight="1" x14ac:dyDescent="0.2">
      <c r="J2429"/>
      <c r="AZ2429"/>
    </row>
    <row r="2430" spans="10:52" ht="15.75" customHeight="1" x14ac:dyDescent="0.2">
      <c r="J2430"/>
      <c r="AZ2430"/>
    </row>
    <row r="2431" spans="10:52" ht="15.75" customHeight="1" x14ac:dyDescent="0.2">
      <c r="J2431"/>
      <c r="AZ2431"/>
    </row>
    <row r="2432" spans="10:52" ht="15.75" customHeight="1" x14ac:dyDescent="0.2">
      <c r="J2432"/>
      <c r="AZ2432"/>
    </row>
    <row r="2433" spans="10:52" ht="15.75" customHeight="1" x14ac:dyDescent="0.2">
      <c r="J2433"/>
      <c r="AZ2433"/>
    </row>
    <row r="2434" spans="10:52" ht="15.75" customHeight="1" x14ac:dyDescent="0.2">
      <c r="J2434"/>
      <c r="AZ2434"/>
    </row>
    <row r="2435" spans="10:52" ht="15.75" customHeight="1" x14ac:dyDescent="0.2">
      <c r="J2435"/>
      <c r="AZ2435"/>
    </row>
    <row r="2436" spans="10:52" ht="15.75" customHeight="1" x14ac:dyDescent="0.2">
      <c r="J2436"/>
      <c r="AZ2436"/>
    </row>
    <row r="2437" spans="10:52" ht="15.75" customHeight="1" x14ac:dyDescent="0.2">
      <c r="J2437"/>
      <c r="AZ2437"/>
    </row>
    <row r="2438" spans="10:52" ht="15.75" customHeight="1" x14ac:dyDescent="0.2">
      <c r="J2438"/>
      <c r="AZ2438"/>
    </row>
    <row r="2439" spans="10:52" ht="15.75" customHeight="1" x14ac:dyDescent="0.2">
      <c r="J2439"/>
      <c r="AZ2439"/>
    </row>
    <row r="2440" spans="10:52" ht="15.75" customHeight="1" x14ac:dyDescent="0.2">
      <c r="J2440"/>
      <c r="AZ2440"/>
    </row>
    <row r="2441" spans="10:52" ht="15.75" customHeight="1" x14ac:dyDescent="0.2">
      <c r="J2441"/>
      <c r="AZ2441"/>
    </row>
    <row r="2442" spans="10:52" ht="15.75" customHeight="1" x14ac:dyDescent="0.2">
      <c r="J2442"/>
      <c r="AZ2442"/>
    </row>
    <row r="2443" spans="10:52" ht="15.75" customHeight="1" x14ac:dyDescent="0.2">
      <c r="J2443"/>
      <c r="AZ2443"/>
    </row>
    <row r="2444" spans="10:52" ht="15.75" customHeight="1" x14ac:dyDescent="0.2">
      <c r="J2444"/>
      <c r="AZ2444"/>
    </row>
    <row r="2445" spans="10:52" ht="15.75" customHeight="1" x14ac:dyDescent="0.2">
      <c r="J2445"/>
      <c r="AZ2445"/>
    </row>
    <row r="2446" spans="10:52" ht="15.75" customHeight="1" x14ac:dyDescent="0.2">
      <c r="J2446"/>
      <c r="AZ2446"/>
    </row>
    <row r="2447" spans="10:52" ht="15.75" customHeight="1" x14ac:dyDescent="0.2">
      <c r="J2447"/>
      <c r="AZ2447"/>
    </row>
    <row r="2448" spans="10:52" ht="15.75" customHeight="1" x14ac:dyDescent="0.2">
      <c r="J2448"/>
      <c r="AZ2448"/>
    </row>
    <row r="2449" spans="10:52" ht="15.75" customHeight="1" x14ac:dyDescent="0.2">
      <c r="J2449"/>
      <c r="AZ2449"/>
    </row>
    <row r="2450" spans="10:52" ht="15.75" customHeight="1" x14ac:dyDescent="0.2">
      <c r="J2450"/>
      <c r="AZ2450"/>
    </row>
    <row r="2451" spans="10:52" ht="15.75" customHeight="1" x14ac:dyDescent="0.2">
      <c r="J2451"/>
      <c r="AZ2451"/>
    </row>
    <row r="2452" spans="10:52" ht="15.75" customHeight="1" x14ac:dyDescent="0.2">
      <c r="J2452"/>
      <c r="AZ2452"/>
    </row>
    <row r="2453" spans="10:52" ht="15.75" customHeight="1" x14ac:dyDescent="0.2">
      <c r="J2453"/>
      <c r="AZ2453"/>
    </row>
    <row r="2454" spans="10:52" ht="15.75" customHeight="1" x14ac:dyDescent="0.2">
      <c r="J2454"/>
      <c r="AZ2454"/>
    </row>
    <row r="2455" spans="10:52" ht="15.75" customHeight="1" x14ac:dyDescent="0.2">
      <c r="J2455"/>
      <c r="AZ2455"/>
    </row>
    <row r="2456" spans="10:52" ht="15.75" customHeight="1" x14ac:dyDescent="0.2">
      <c r="J2456"/>
      <c r="AZ2456"/>
    </row>
    <row r="2457" spans="10:52" ht="15.75" customHeight="1" x14ac:dyDescent="0.2">
      <c r="J2457"/>
      <c r="AZ2457"/>
    </row>
    <row r="2458" spans="10:52" ht="15.75" customHeight="1" x14ac:dyDescent="0.2">
      <c r="J2458"/>
      <c r="AZ2458"/>
    </row>
    <row r="2459" spans="10:52" ht="15.75" customHeight="1" x14ac:dyDescent="0.2">
      <c r="J2459"/>
      <c r="AZ2459"/>
    </row>
    <row r="2460" spans="10:52" ht="15.75" customHeight="1" x14ac:dyDescent="0.2">
      <c r="J2460"/>
      <c r="AZ2460"/>
    </row>
    <row r="2461" spans="10:52" ht="15.75" customHeight="1" x14ac:dyDescent="0.2">
      <c r="J2461"/>
      <c r="AZ2461"/>
    </row>
    <row r="2462" spans="10:52" ht="15.75" customHeight="1" x14ac:dyDescent="0.2">
      <c r="J2462"/>
      <c r="AZ2462"/>
    </row>
    <row r="2463" spans="10:52" ht="15.75" customHeight="1" x14ac:dyDescent="0.2">
      <c r="J2463"/>
      <c r="AZ2463"/>
    </row>
    <row r="2464" spans="10:52" ht="15.75" customHeight="1" x14ac:dyDescent="0.2">
      <c r="J2464"/>
      <c r="AZ2464"/>
    </row>
    <row r="2465" spans="10:52" ht="15.75" customHeight="1" x14ac:dyDescent="0.2">
      <c r="J2465"/>
      <c r="AZ2465"/>
    </row>
    <row r="2466" spans="10:52" ht="15.75" customHeight="1" x14ac:dyDescent="0.2">
      <c r="J2466"/>
      <c r="AZ2466"/>
    </row>
    <row r="2467" spans="10:52" ht="15.75" customHeight="1" x14ac:dyDescent="0.2">
      <c r="J2467"/>
      <c r="AZ2467"/>
    </row>
    <row r="2468" spans="10:52" ht="15.75" customHeight="1" x14ac:dyDescent="0.2">
      <c r="J2468"/>
      <c r="AZ2468"/>
    </row>
    <row r="2469" spans="10:52" ht="15.75" customHeight="1" x14ac:dyDescent="0.2">
      <c r="J2469"/>
      <c r="AZ2469"/>
    </row>
    <row r="2470" spans="10:52" ht="15.75" customHeight="1" x14ac:dyDescent="0.2">
      <c r="J2470"/>
      <c r="AZ2470"/>
    </row>
    <row r="2471" spans="10:52" ht="15.75" customHeight="1" x14ac:dyDescent="0.2">
      <c r="J2471"/>
      <c r="AZ2471"/>
    </row>
    <row r="2472" spans="10:52" ht="15.75" customHeight="1" x14ac:dyDescent="0.2">
      <c r="J2472"/>
      <c r="AZ2472"/>
    </row>
    <row r="2473" spans="10:52" ht="15.75" customHeight="1" x14ac:dyDescent="0.2">
      <c r="J2473"/>
      <c r="AZ2473"/>
    </row>
    <row r="2474" spans="10:52" ht="15.75" customHeight="1" x14ac:dyDescent="0.2">
      <c r="J2474"/>
      <c r="AZ2474"/>
    </row>
    <row r="2475" spans="10:52" ht="15.75" customHeight="1" x14ac:dyDescent="0.2">
      <c r="J2475"/>
      <c r="AZ2475"/>
    </row>
    <row r="2476" spans="10:52" ht="15.75" customHeight="1" x14ac:dyDescent="0.2">
      <c r="J2476"/>
      <c r="AZ2476"/>
    </row>
    <row r="2477" spans="10:52" ht="15.75" customHeight="1" x14ac:dyDescent="0.2">
      <c r="J2477"/>
      <c r="AZ2477"/>
    </row>
    <row r="2478" spans="10:52" ht="15.75" customHeight="1" x14ac:dyDescent="0.2">
      <c r="J2478"/>
      <c r="AZ2478"/>
    </row>
    <row r="2479" spans="10:52" ht="15.75" customHeight="1" x14ac:dyDescent="0.2">
      <c r="J2479"/>
      <c r="AZ2479"/>
    </row>
    <row r="2480" spans="10:52" ht="15.75" customHeight="1" x14ac:dyDescent="0.2">
      <c r="J2480"/>
      <c r="AZ2480"/>
    </row>
    <row r="2481" spans="10:52" ht="15.75" customHeight="1" x14ac:dyDescent="0.2">
      <c r="J2481"/>
      <c r="AZ2481"/>
    </row>
    <row r="2482" spans="10:52" ht="15.75" customHeight="1" x14ac:dyDescent="0.2">
      <c r="J2482"/>
      <c r="AZ2482"/>
    </row>
    <row r="2483" spans="10:52" ht="15.75" customHeight="1" x14ac:dyDescent="0.2">
      <c r="J2483"/>
      <c r="AZ2483"/>
    </row>
    <row r="2484" spans="10:52" ht="15.75" customHeight="1" x14ac:dyDescent="0.2">
      <c r="J2484"/>
      <c r="AZ2484"/>
    </row>
    <row r="2485" spans="10:52" ht="15.75" customHeight="1" x14ac:dyDescent="0.2">
      <c r="J2485"/>
      <c r="AZ2485"/>
    </row>
    <row r="2486" spans="10:52" ht="15.75" customHeight="1" x14ac:dyDescent="0.2">
      <c r="J2486"/>
      <c r="AZ2486"/>
    </row>
    <row r="2487" spans="10:52" ht="15.75" customHeight="1" x14ac:dyDescent="0.2">
      <c r="J2487"/>
      <c r="AZ2487"/>
    </row>
    <row r="2488" spans="10:52" ht="15.75" customHeight="1" x14ac:dyDescent="0.2">
      <c r="J2488"/>
      <c r="AZ2488"/>
    </row>
    <row r="2489" spans="10:52" ht="15.75" customHeight="1" x14ac:dyDescent="0.2">
      <c r="J2489"/>
      <c r="AZ2489"/>
    </row>
    <row r="2490" spans="10:52" ht="15.75" customHeight="1" x14ac:dyDescent="0.2">
      <c r="J2490"/>
      <c r="AZ2490"/>
    </row>
    <row r="2491" spans="10:52" ht="15.75" customHeight="1" x14ac:dyDescent="0.2">
      <c r="J2491"/>
      <c r="AZ2491"/>
    </row>
    <row r="2492" spans="10:52" ht="15.75" customHeight="1" x14ac:dyDescent="0.2">
      <c r="J2492"/>
      <c r="AZ2492"/>
    </row>
    <row r="2493" spans="10:52" ht="15.75" customHeight="1" x14ac:dyDescent="0.2">
      <c r="J2493"/>
      <c r="AZ2493"/>
    </row>
    <row r="2494" spans="10:52" ht="15.75" customHeight="1" x14ac:dyDescent="0.2">
      <c r="J2494"/>
      <c r="AZ2494"/>
    </row>
    <row r="2495" spans="10:52" ht="15.75" customHeight="1" x14ac:dyDescent="0.2">
      <c r="J2495"/>
      <c r="AZ2495"/>
    </row>
    <row r="2496" spans="10:52" ht="15.75" customHeight="1" x14ac:dyDescent="0.2">
      <c r="J2496"/>
      <c r="AZ2496"/>
    </row>
    <row r="2497" spans="10:52" ht="15.75" customHeight="1" x14ac:dyDescent="0.2">
      <c r="J2497"/>
      <c r="AZ2497"/>
    </row>
    <row r="2498" spans="10:52" ht="15.75" customHeight="1" x14ac:dyDescent="0.2">
      <c r="J2498"/>
      <c r="AZ2498"/>
    </row>
    <row r="2499" spans="10:52" ht="15.75" customHeight="1" x14ac:dyDescent="0.2">
      <c r="J2499"/>
      <c r="AZ2499"/>
    </row>
    <row r="2500" spans="10:52" ht="15.75" customHeight="1" x14ac:dyDescent="0.2">
      <c r="J2500"/>
      <c r="AZ2500"/>
    </row>
    <row r="2501" spans="10:52" ht="15.75" customHeight="1" x14ac:dyDescent="0.2">
      <c r="J2501"/>
      <c r="AZ2501"/>
    </row>
    <row r="2502" spans="10:52" ht="15.75" customHeight="1" x14ac:dyDescent="0.2">
      <c r="J2502"/>
      <c r="AZ2502"/>
    </row>
    <row r="2503" spans="10:52" ht="15.75" customHeight="1" x14ac:dyDescent="0.2">
      <c r="J2503"/>
      <c r="AZ2503"/>
    </row>
    <row r="2504" spans="10:52" ht="15.75" customHeight="1" x14ac:dyDescent="0.2">
      <c r="J2504"/>
      <c r="AZ2504"/>
    </row>
    <row r="2505" spans="10:52" ht="15.75" customHeight="1" x14ac:dyDescent="0.2">
      <c r="J2505"/>
      <c r="AZ2505"/>
    </row>
    <row r="2506" spans="10:52" ht="15.75" customHeight="1" x14ac:dyDescent="0.2">
      <c r="J2506"/>
      <c r="AZ2506"/>
    </row>
    <row r="2507" spans="10:52" ht="15.75" customHeight="1" x14ac:dyDescent="0.2">
      <c r="J2507"/>
      <c r="AZ2507"/>
    </row>
    <row r="2508" spans="10:52" ht="15.75" customHeight="1" x14ac:dyDescent="0.2">
      <c r="J2508"/>
      <c r="AZ2508"/>
    </row>
    <row r="2509" spans="10:52" ht="15.75" customHeight="1" x14ac:dyDescent="0.2">
      <c r="J2509"/>
      <c r="AZ2509"/>
    </row>
    <row r="2510" spans="10:52" ht="15.75" customHeight="1" x14ac:dyDescent="0.2">
      <c r="J2510"/>
      <c r="AZ2510"/>
    </row>
    <row r="2511" spans="10:52" ht="15.75" customHeight="1" x14ac:dyDescent="0.2">
      <c r="J2511"/>
      <c r="AZ2511"/>
    </row>
    <row r="2512" spans="10:52" ht="15.75" customHeight="1" x14ac:dyDescent="0.2">
      <c r="J2512"/>
      <c r="AZ2512"/>
    </row>
    <row r="2513" spans="10:52" ht="15.75" customHeight="1" x14ac:dyDescent="0.2">
      <c r="J2513"/>
      <c r="AZ2513"/>
    </row>
    <row r="2514" spans="10:52" ht="15.75" customHeight="1" x14ac:dyDescent="0.2">
      <c r="J2514"/>
      <c r="AZ2514"/>
    </row>
    <row r="2515" spans="10:52" ht="15.75" customHeight="1" x14ac:dyDescent="0.2">
      <c r="J2515"/>
      <c r="AZ2515"/>
    </row>
    <row r="2516" spans="10:52" ht="15.75" customHeight="1" x14ac:dyDescent="0.2">
      <c r="J2516"/>
      <c r="AZ2516"/>
    </row>
    <row r="2517" spans="10:52" ht="15.75" customHeight="1" x14ac:dyDescent="0.2">
      <c r="J2517"/>
      <c r="AZ2517"/>
    </row>
    <row r="2518" spans="10:52" ht="15.75" customHeight="1" x14ac:dyDescent="0.2">
      <c r="J2518"/>
      <c r="AZ2518"/>
    </row>
    <row r="2519" spans="10:52" ht="15.75" customHeight="1" x14ac:dyDescent="0.2">
      <c r="J2519"/>
      <c r="AZ2519"/>
    </row>
    <row r="2520" spans="10:52" ht="15.75" customHeight="1" x14ac:dyDescent="0.2">
      <c r="J2520"/>
      <c r="AZ2520"/>
    </row>
    <row r="2521" spans="10:52" ht="15.75" customHeight="1" x14ac:dyDescent="0.2">
      <c r="J2521"/>
      <c r="AZ2521"/>
    </row>
    <row r="2522" spans="10:52" ht="15.75" customHeight="1" x14ac:dyDescent="0.2">
      <c r="J2522"/>
      <c r="AZ2522"/>
    </row>
    <row r="2523" spans="10:52" ht="15.75" customHeight="1" x14ac:dyDescent="0.2">
      <c r="J2523"/>
      <c r="AZ2523"/>
    </row>
    <row r="2524" spans="10:52" ht="15.75" customHeight="1" x14ac:dyDescent="0.2">
      <c r="J2524"/>
      <c r="AZ2524"/>
    </row>
    <row r="2525" spans="10:52" ht="15.75" customHeight="1" x14ac:dyDescent="0.2">
      <c r="J2525"/>
      <c r="AZ2525"/>
    </row>
    <row r="2526" spans="10:52" ht="15.75" customHeight="1" x14ac:dyDescent="0.2">
      <c r="J2526"/>
      <c r="AZ2526"/>
    </row>
    <row r="2527" spans="10:52" ht="15.75" customHeight="1" x14ac:dyDescent="0.2">
      <c r="J2527"/>
      <c r="AZ2527"/>
    </row>
    <row r="2528" spans="10:52" ht="15.75" customHeight="1" x14ac:dyDescent="0.2">
      <c r="J2528"/>
      <c r="AZ2528"/>
    </row>
    <row r="2529" spans="10:52" ht="15.75" customHeight="1" x14ac:dyDescent="0.2">
      <c r="J2529"/>
      <c r="AZ2529"/>
    </row>
    <row r="2530" spans="10:52" ht="15.75" customHeight="1" x14ac:dyDescent="0.2">
      <c r="J2530"/>
      <c r="AZ2530"/>
    </row>
    <row r="2531" spans="10:52" ht="15.75" customHeight="1" x14ac:dyDescent="0.2">
      <c r="J2531"/>
      <c r="AZ2531"/>
    </row>
    <row r="2532" spans="10:52" ht="15.75" customHeight="1" x14ac:dyDescent="0.2">
      <c r="J2532"/>
      <c r="AZ2532"/>
    </row>
    <row r="2533" spans="10:52" ht="15.75" customHeight="1" x14ac:dyDescent="0.2">
      <c r="J2533"/>
      <c r="AZ2533"/>
    </row>
    <row r="2534" spans="10:52" ht="15.75" customHeight="1" x14ac:dyDescent="0.2">
      <c r="J2534"/>
      <c r="AZ2534"/>
    </row>
    <row r="2535" spans="10:52" ht="15.75" customHeight="1" x14ac:dyDescent="0.2">
      <c r="J2535"/>
      <c r="AZ2535"/>
    </row>
    <row r="2536" spans="10:52" ht="15.75" customHeight="1" x14ac:dyDescent="0.2">
      <c r="J2536"/>
      <c r="AZ2536"/>
    </row>
    <row r="2537" spans="10:52" ht="15.75" customHeight="1" x14ac:dyDescent="0.2">
      <c r="J2537"/>
      <c r="AZ2537"/>
    </row>
    <row r="2538" spans="10:52" ht="15.75" customHeight="1" x14ac:dyDescent="0.2">
      <c r="J2538"/>
      <c r="AZ2538"/>
    </row>
    <row r="2539" spans="10:52" ht="15.75" customHeight="1" x14ac:dyDescent="0.2">
      <c r="J2539"/>
      <c r="AZ2539"/>
    </row>
    <row r="2540" spans="10:52" ht="15.75" customHeight="1" x14ac:dyDescent="0.2">
      <c r="J2540"/>
      <c r="AZ2540"/>
    </row>
    <row r="2541" spans="10:52" ht="15.75" customHeight="1" x14ac:dyDescent="0.2">
      <c r="J2541"/>
      <c r="AZ2541"/>
    </row>
    <row r="2542" spans="10:52" ht="15.75" customHeight="1" x14ac:dyDescent="0.2">
      <c r="J2542"/>
      <c r="AZ2542"/>
    </row>
    <row r="2543" spans="10:52" ht="15.75" customHeight="1" x14ac:dyDescent="0.2">
      <c r="J2543"/>
      <c r="AZ2543"/>
    </row>
    <row r="2544" spans="10:52" ht="15.75" customHeight="1" x14ac:dyDescent="0.2">
      <c r="J2544"/>
      <c r="AZ2544"/>
    </row>
    <row r="2545" spans="10:52" ht="15.75" customHeight="1" x14ac:dyDescent="0.2">
      <c r="J2545"/>
      <c r="AZ2545"/>
    </row>
    <row r="2546" spans="10:52" ht="15.75" customHeight="1" x14ac:dyDescent="0.2">
      <c r="J2546"/>
      <c r="AZ2546"/>
    </row>
    <row r="2547" spans="10:52" ht="15.75" customHeight="1" x14ac:dyDescent="0.2">
      <c r="J2547"/>
      <c r="AZ2547"/>
    </row>
    <row r="2548" spans="10:52" ht="15.75" customHeight="1" x14ac:dyDescent="0.2">
      <c r="J2548"/>
      <c r="AZ2548"/>
    </row>
    <row r="2549" spans="10:52" ht="15.75" customHeight="1" x14ac:dyDescent="0.2">
      <c r="J2549"/>
      <c r="AZ2549"/>
    </row>
    <row r="2550" spans="10:52" ht="15.75" customHeight="1" x14ac:dyDescent="0.2">
      <c r="J2550"/>
      <c r="AZ2550"/>
    </row>
    <row r="2551" spans="10:52" ht="15.75" customHeight="1" x14ac:dyDescent="0.2">
      <c r="J2551"/>
      <c r="AZ2551"/>
    </row>
    <row r="2552" spans="10:52" ht="15.75" customHeight="1" x14ac:dyDescent="0.2">
      <c r="J2552"/>
      <c r="AZ2552"/>
    </row>
    <row r="2553" spans="10:52" ht="15.75" customHeight="1" x14ac:dyDescent="0.2">
      <c r="J2553"/>
      <c r="AZ2553"/>
    </row>
    <row r="2554" spans="10:52" ht="15.75" customHeight="1" x14ac:dyDescent="0.2">
      <c r="J2554"/>
      <c r="AZ2554"/>
    </row>
    <row r="2555" spans="10:52" ht="15.75" customHeight="1" x14ac:dyDescent="0.2">
      <c r="J2555"/>
      <c r="AZ2555"/>
    </row>
    <row r="2556" spans="10:52" ht="15.75" customHeight="1" x14ac:dyDescent="0.2">
      <c r="J2556"/>
      <c r="AZ2556"/>
    </row>
    <row r="2557" spans="10:52" ht="15.75" customHeight="1" x14ac:dyDescent="0.2">
      <c r="J2557"/>
      <c r="AZ2557"/>
    </row>
    <row r="2558" spans="10:52" ht="15.75" customHeight="1" x14ac:dyDescent="0.2">
      <c r="J2558"/>
      <c r="AZ2558"/>
    </row>
    <row r="2559" spans="10:52" ht="15.75" customHeight="1" x14ac:dyDescent="0.2">
      <c r="J2559"/>
      <c r="AZ2559"/>
    </row>
    <row r="2560" spans="10:52" ht="15.75" customHeight="1" x14ac:dyDescent="0.2">
      <c r="J2560"/>
      <c r="AZ2560"/>
    </row>
    <row r="2561" spans="10:52" ht="15.75" customHeight="1" x14ac:dyDescent="0.2">
      <c r="J2561"/>
      <c r="AZ2561"/>
    </row>
    <row r="2562" spans="10:52" ht="15.75" customHeight="1" x14ac:dyDescent="0.2">
      <c r="J2562"/>
      <c r="AZ2562"/>
    </row>
    <row r="2563" spans="10:52" ht="15.75" customHeight="1" x14ac:dyDescent="0.2">
      <c r="J2563"/>
      <c r="AZ2563"/>
    </row>
    <row r="2564" spans="10:52" ht="15.75" customHeight="1" x14ac:dyDescent="0.2">
      <c r="J2564"/>
      <c r="AZ2564"/>
    </row>
    <row r="2565" spans="10:52" ht="15.75" customHeight="1" x14ac:dyDescent="0.2">
      <c r="J2565"/>
      <c r="AZ2565"/>
    </row>
    <row r="2566" spans="10:52" ht="15.75" customHeight="1" x14ac:dyDescent="0.2">
      <c r="J2566"/>
      <c r="AZ2566"/>
    </row>
    <row r="2567" spans="10:52" ht="15.75" customHeight="1" x14ac:dyDescent="0.2">
      <c r="J2567"/>
      <c r="AZ2567"/>
    </row>
    <row r="2568" spans="10:52" ht="15.75" customHeight="1" x14ac:dyDescent="0.2">
      <c r="J2568"/>
      <c r="AZ2568"/>
    </row>
    <row r="2569" spans="10:52" ht="15.75" customHeight="1" x14ac:dyDescent="0.2">
      <c r="J2569"/>
      <c r="AZ2569"/>
    </row>
    <row r="2570" spans="10:52" ht="15.75" customHeight="1" x14ac:dyDescent="0.2">
      <c r="J2570"/>
      <c r="AZ2570"/>
    </row>
    <row r="2571" spans="10:52" ht="15.75" customHeight="1" x14ac:dyDescent="0.2">
      <c r="J2571"/>
      <c r="AZ2571"/>
    </row>
    <row r="2572" spans="10:52" ht="15.75" customHeight="1" x14ac:dyDescent="0.2">
      <c r="J2572"/>
      <c r="AZ2572"/>
    </row>
    <row r="2573" spans="10:52" ht="15.75" customHeight="1" x14ac:dyDescent="0.2">
      <c r="J2573"/>
      <c r="AZ2573"/>
    </row>
    <row r="2574" spans="10:52" ht="15.75" customHeight="1" x14ac:dyDescent="0.2">
      <c r="J2574"/>
      <c r="AZ2574"/>
    </row>
    <row r="2575" spans="10:52" ht="15.75" customHeight="1" x14ac:dyDescent="0.2">
      <c r="J2575"/>
      <c r="AZ2575"/>
    </row>
    <row r="2576" spans="10:52" ht="15.75" customHeight="1" x14ac:dyDescent="0.2">
      <c r="J2576"/>
      <c r="AZ2576"/>
    </row>
    <row r="2577" spans="10:52" ht="15.75" customHeight="1" x14ac:dyDescent="0.2">
      <c r="J2577"/>
      <c r="AZ2577"/>
    </row>
    <row r="2578" spans="10:52" ht="15.75" customHeight="1" x14ac:dyDescent="0.2">
      <c r="J2578"/>
      <c r="AZ2578"/>
    </row>
    <row r="2579" spans="10:52" ht="15.75" customHeight="1" x14ac:dyDescent="0.2">
      <c r="J2579"/>
      <c r="AZ2579"/>
    </row>
    <row r="2580" spans="10:52" ht="15.75" customHeight="1" x14ac:dyDescent="0.2">
      <c r="J2580"/>
      <c r="AZ2580"/>
    </row>
    <row r="2581" spans="10:52" ht="15.75" customHeight="1" x14ac:dyDescent="0.2">
      <c r="J2581"/>
      <c r="AZ2581"/>
    </row>
    <row r="2582" spans="10:52" ht="15.75" customHeight="1" x14ac:dyDescent="0.2">
      <c r="J2582"/>
      <c r="AZ2582"/>
    </row>
    <row r="2583" spans="10:52" ht="15.75" customHeight="1" x14ac:dyDescent="0.2">
      <c r="J2583"/>
      <c r="AZ2583"/>
    </row>
    <row r="2584" spans="10:52" ht="15.75" customHeight="1" x14ac:dyDescent="0.2">
      <c r="J2584"/>
      <c r="AZ2584"/>
    </row>
    <row r="2585" spans="10:52" ht="15.75" customHeight="1" x14ac:dyDescent="0.2">
      <c r="J2585"/>
      <c r="AZ2585"/>
    </row>
    <row r="2586" spans="10:52" ht="15.75" customHeight="1" x14ac:dyDescent="0.2">
      <c r="J2586"/>
      <c r="AZ2586"/>
    </row>
    <row r="2587" spans="10:52" ht="15.75" customHeight="1" x14ac:dyDescent="0.2">
      <c r="J2587"/>
      <c r="AZ2587"/>
    </row>
    <row r="2588" spans="10:52" ht="15.75" customHeight="1" x14ac:dyDescent="0.2">
      <c r="J2588"/>
      <c r="AZ2588"/>
    </row>
    <row r="2589" spans="10:52" ht="15.75" customHeight="1" x14ac:dyDescent="0.2">
      <c r="J2589"/>
      <c r="AZ2589"/>
    </row>
    <row r="2590" spans="10:52" ht="15.75" customHeight="1" x14ac:dyDescent="0.2">
      <c r="J2590"/>
      <c r="AZ2590"/>
    </row>
    <row r="2591" spans="10:52" ht="15.75" customHeight="1" x14ac:dyDescent="0.2">
      <c r="J2591"/>
      <c r="AZ2591"/>
    </row>
    <row r="2592" spans="10:52" ht="15.75" customHeight="1" x14ac:dyDescent="0.2">
      <c r="J2592"/>
      <c r="AZ2592"/>
    </row>
    <row r="2593" spans="10:52" ht="15.75" customHeight="1" x14ac:dyDescent="0.2">
      <c r="J2593"/>
      <c r="AZ2593"/>
    </row>
    <row r="2594" spans="10:52" ht="15.75" customHeight="1" x14ac:dyDescent="0.2">
      <c r="J2594"/>
      <c r="AZ2594"/>
    </row>
    <row r="2595" spans="10:52" ht="15.75" customHeight="1" x14ac:dyDescent="0.2">
      <c r="J2595"/>
      <c r="AZ2595"/>
    </row>
    <row r="2596" spans="10:52" ht="15.75" customHeight="1" x14ac:dyDescent="0.2">
      <c r="J2596"/>
      <c r="AZ2596"/>
    </row>
    <row r="2597" spans="10:52" ht="15.75" customHeight="1" x14ac:dyDescent="0.2">
      <c r="J2597"/>
      <c r="AZ2597"/>
    </row>
    <row r="2598" spans="10:52" ht="15.75" customHeight="1" x14ac:dyDescent="0.2">
      <c r="J2598"/>
      <c r="AZ2598"/>
    </row>
    <row r="2599" spans="10:52" ht="15.75" customHeight="1" x14ac:dyDescent="0.2">
      <c r="J2599"/>
      <c r="AZ2599"/>
    </row>
    <row r="2600" spans="10:52" ht="15.75" customHeight="1" x14ac:dyDescent="0.2">
      <c r="J2600"/>
      <c r="AZ2600"/>
    </row>
    <row r="2601" spans="10:52" ht="15.75" customHeight="1" x14ac:dyDescent="0.2">
      <c r="J2601"/>
      <c r="AZ2601"/>
    </row>
    <row r="2602" spans="10:52" ht="15.75" customHeight="1" x14ac:dyDescent="0.2">
      <c r="J2602"/>
      <c r="AZ2602"/>
    </row>
    <row r="2603" spans="10:52" ht="15.75" customHeight="1" x14ac:dyDescent="0.2">
      <c r="J2603"/>
      <c r="AZ2603"/>
    </row>
    <row r="2604" spans="10:52" ht="15.75" customHeight="1" x14ac:dyDescent="0.2">
      <c r="J2604"/>
      <c r="AZ2604"/>
    </row>
    <row r="2605" spans="10:52" ht="15.75" customHeight="1" x14ac:dyDescent="0.2">
      <c r="J2605"/>
      <c r="AZ2605"/>
    </row>
    <row r="2606" spans="10:52" ht="15.75" customHeight="1" x14ac:dyDescent="0.2">
      <c r="J2606"/>
      <c r="AZ2606"/>
    </row>
    <row r="2607" spans="10:52" ht="15.75" customHeight="1" x14ac:dyDescent="0.2">
      <c r="J2607"/>
      <c r="AZ2607"/>
    </row>
    <row r="2608" spans="10:52" ht="15.75" customHeight="1" x14ac:dyDescent="0.2">
      <c r="J2608"/>
      <c r="AZ2608"/>
    </row>
    <row r="2609" spans="10:52" ht="15.75" customHeight="1" x14ac:dyDescent="0.2">
      <c r="J2609"/>
      <c r="AZ2609"/>
    </row>
    <row r="2610" spans="10:52" ht="15.75" customHeight="1" x14ac:dyDescent="0.2">
      <c r="J2610"/>
      <c r="AZ2610"/>
    </row>
    <row r="2611" spans="10:52" ht="15.75" customHeight="1" x14ac:dyDescent="0.2">
      <c r="J2611"/>
      <c r="AZ2611"/>
    </row>
    <row r="2612" spans="10:52" ht="15.75" customHeight="1" x14ac:dyDescent="0.2">
      <c r="J2612"/>
      <c r="AZ2612"/>
    </row>
    <row r="2613" spans="10:52" ht="15.75" customHeight="1" x14ac:dyDescent="0.2">
      <c r="J2613"/>
      <c r="AZ2613"/>
    </row>
    <row r="2614" spans="10:52" ht="15.75" customHeight="1" x14ac:dyDescent="0.2">
      <c r="J2614"/>
      <c r="AZ2614"/>
    </row>
    <row r="2615" spans="10:52" ht="15.75" customHeight="1" x14ac:dyDescent="0.2">
      <c r="J2615"/>
      <c r="AZ2615"/>
    </row>
    <row r="2616" spans="10:52" ht="15.75" customHeight="1" x14ac:dyDescent="0.2">
      <c r="J2616"/>
      <c r="AZ2616"/>
    </row>
    <row r="2617" spans="10:52" ht="15.75" customHeight="1" x14ac:dyDescent="0.2">
      <c r="J2617"/>
      <c r="AZ2617"/>
    </row>
    <row r="2618" spans="10:52" ht="15.75" customHeight="1" x14ac:dyDescent="0.2">
      <c r="J2618"/>
      <c r="AZ2618"/>
    </row>
    <row r="2619" spans="10:52" ht="15.75" customHeight="1" x14ac:dyDescent="0.2">
      <c r="J2619"/>
      <c r="AZ2619"/>
    </row>
    <row r="2620" spans="10:52" ht="15.75" customHeight="1" x14ac:dyDescent="0.2">
      <c r="J2620"/>
      <c r="AZ2620"/>
    </row>
    <row r="2621" spans="10:52" ht="15.75" customHeight="1" x14ac:dyDescent="0.2">
      <c r="J2621"/>
      <c r="AZ2621"/>
    </row>
    <row r="2622" spans="10:52" ht="15.75" customHeight="1" x14ac:dyDescent="0.2">
      <c r="J2622"/>
      <c r="AZ2622"/>
    </row>
    <row r="2623" spans="10:52" ht="15.75" customHeight="1" x14ac:dyDescent="0.2">
      <c r="J2623"/>
      <c r="AZ2623"/>
    </row>
    <row r="2624" spans="10:52" ht="15.75" customHeight="1" x14ac:dyDescent="0.2">
      <c r="J2624"/>
      <c r="AZ2624"/>
    </row>
    <row r="2625" spans="10:52" ht="15.75" customHeight="1" x14ac:dyDescent="0.2">
      <c r="J2625"/>
      <c r="AZ2625"/>
    </row>
    <row r="2626" spans="10:52" ht="15.75" customHeight="1" x14ac:dyDescent="0.2">
      <c r="J2626"/>
      <c r="AZ2626"/>
    </row>
    <row r="2627" spans="10:52" ht="15.75" customHeight="1" x14ac:dyDescent="0.2">
      <c r="J2627"/>
      <c r="AZ2627"/>
    </row>
    <row r="2628" spans="10:52" ht="15.75" customHeight="1" x14ac:dyDescent="0.2">
      <c r="J2628"/>
      <c r="AZ2628"/>
    </row>
    <row r="2629" spans="10:52" ht="15.75" customHeight="1" x14ac:dyDescent="0.2">
      <c r="J2629"/>
      <c r="AZ2629"/>
    </row>
    <row r="2630" spans="10:52" ht="15.75" customHeight="1" x14ac:dyDescent="0.2">
      <c r="J2630"/>
      <c r="AZ2630"/>
    </row>
    <row r="2631" spans="10:52" ht="15.75" customHeight="1" x14ac:dyDescent="0.2">
      <c r="J2631"/>
      <c r="AZ2631"/>
    </row>
    <row r="2632" spans="10:52" ht="15.75" customHeight="1" x14ac:dyDescent="0.2">
      <c r="J2632"/>
      <c r="AZ2632"/>
    </row>
    <row r="2633" spans="10:52" ht="15.75" customHeight="1" x14ac:dyDescent="0.2">
      <c r="J2633"/>
      <c r="AZ2633"/>
    </row>
    <row r="2634" spans="10:52" ht="15.75" customHeight="1" x14ac:dyDescent="0.2">
      <c r="J2634"/>
      <c r="AZ2634"/>
    </row>
    <row r="2635" spans="10:52" ht="15.75" customHeight="1" x14ac:dyDescent="0.2">
      <c r="J2635"/>
      <c r="AZ2635"/>
    </row>
    <row r="2636" spans="10:52" ht="15.75" customHeight="1" x14ac:dyDescent="0.2">
      <c r="J2636"/>
      <c r="AZ2636"/>
    </row>
    <row r="2637" spans="10:52" ht="15.75" customHeight="1" x14ac:dyDescent="0.2">
      <c r="J2637"/>
      <c r="AZ2637"/>
    </row>
    <row r="2638" spans="10:52" ht="15.75" customHeight="1" x14ac:dyDescent="0.2">
      <c r="J2638"/>
      <c r="AZ2638"/>
    </row>
    <row r="2639" spans="10:52" ht="15.75" customHeight="1" x14ac:dyDescent="0.2">
      <c r="J2639"/>
      <c r="AZ2639"/>
    </row>
    <row r="2640" spans="10:52" ht="15.75" customHeight="1" x14ac:dyDescent="0.2">
      <c r="J2640"/>
      <c r="AZ2640"/>
    </row>
    <row r="2641" spans="10:52" ht="15.75" customHeight="1" x14ac:dyDescent="0.2">
      <c r="J2641"/>
      <c r="AZ2641"/>
    </row>
    <row r="2642" spans="10:52" ht="15.75" customHeight="1" x14ac:dyDescent="0.2">
      <c r="J2642"/>
      <c r="AZ2642"/>
    </row>
    <row r="2643" spans="10:52" ht="15.75" customHeight="1" x14ac:dyDescent="0.2">
      <c r="J2643"/>
      <c r="AZ2643"/>
    </row>
    <row r="2644" spans="10:52" ht="15.75" customHeight="1" x14ac:dyDescent="0.2">
      <c r="J2644"/>
      <c r="AZ2644"/>
    </row>
    <row r="2645" spans="10:52" ht="15.75" customHeight="1" x14ac:dyDescent="0.2">
      <c r="J2645"/>
      <c r="AZ2645"/>
    </row>
    <row r="2646" spans="10:52" ht="15.75" customHeight="1" x14ac:dyDescent="0.2">
      <c r="J2646"/>
      <c r="AZ2646"/>
    </row>
    <row r="2647" spans="10:52" ht="15.75" customHeight="1" x14ac:dyDescent="0.2">
      <c r="J2647"/>
      <c r="AZ2647"/>
    </row>
    <row r="2648" spans="10:52" ht="15.75" customHeight="1" x14ac:dyDescent="0.2">
      <c r="J2648"/>
      <c r="AZ2648"/>
    </row>
    <row r="2649" spans="10:52" ht="15.75" customHeight="1" x14ac:dyDescent="0.2">
      <c r="J2649"/>
      <c r="AZ2649"/>
    </row>
    <row r="2650" spans="10:52" ht="15.75" customHeight="1" x14ac:dyDescent="0.2">
      <c r="J2650"/>
      <c r="AZ2650"/>
    </row>
    <row r="2651" spans="10:52" ht="15.75" customHeight="1" x14ac:dyDescent="0.2">
      <c r="J2651"/>
      <c r="AZ2651"/>
    </row>
    <row r="2652" spans="10:52" ht="15.75" customHeight="1" x14ac:dyDescent="0.2">
      <c r="J2652"/>
      <c r="AZ2652"/>
    </row>
    <row r="2653" spans="10:52" ht="15.75" customHeight="1" x14ac:dyDescent="0.2">
      <c r="J2653"/>
      <c r="AZ2653"/>
    </row>
    <row r="2654" spans="10:52" ht="15.75" customHeight="1" x14ac:dyDescent="0.2">
      <c r="J2654"/>
      <c r="AZ2654"/>
    </row>
    <row r="2655" spans="10:52" ht="15.75" customHeight="1" x14ac:dyDescent="0.2">
      <c r="J2655"/>
      <c r="AZ2655"/>
    </row>
    <row r="2656" spans="10:52" ht="15.75" customHeight="1" x14ac:dyDescent="0.2">
      <c r="J2656"/>
      <c r="AZ2656"/>
    </row>
    <row r="2657" spans="10:52" ht="15.75" customHeight="1" x14ac:dyDescent="0.2">
      <c r="J2657"/>
      <c r="AZ2657"/>
    </row>
    <row r="2658" spans="10:52" ht="15.75" customHeight="1" x14ac:dyDescent="0.2">
      <c r="J2658"/>
      <c r="AZ2658"/>
    </row>
    <row r="2659" spans="10:52" ht="15.75" customHeight="1" x14ac:dyDescent="0.2">
      <c r="J2659"/>
      <c r="AZ2659"/>
    </row>
    <row r="2660" spans="10:52" ht="15.75" customHeight="1" x14ac:dyDescent="0.2">
      <c r="J2660"/>
      <c r="AZ2660"/>
    </row>
    <row r="2661" spans="10:52" ht="15.75" customHeight="1" x14ac:dyDescent="0.2">
      <c r="J2661"/>
      <c r="AZ2661"/>
    </row>
    <row r="2662" spans="10:52" ht="15.75" customHeight="1" x14ac:dyDescent="0.2">
      <c r="J2662"/>
      <c r="AZ2662"/>
    </row>
    <row r="2663" spans="10:52" ht="15.75" customHeight="1" x14ac:dyDescent="0.2">
      <c r="J2663"/>
      <c r="AZ2663"/>
    </row>
    <row r="2664" spans="10:52" ht="15.75" customHeight="1" x14ac:dyDescent="0.2">
      <c r="J2664"/>
      <c r="AZ2664"/>
    </row>
    <row r="2665" spans="10:52" ht="15.75" customHeight="1" x14ac:dyDescent="0.2">
      <c r="J2665"/>
      <c r="AZ2665"/>
    </row>
    <row r="2666" spans="10:52" ht="15.75" customHeight="1" x14ac:dyDescent="0.2">
      <c r="J2666"/>
      <c r="AZ2666"/>
    </row>
    <row r="2667" spans="10:52" ht="15.75" customHeight="1" x14ac:dyDescent="0.2">
      <c r="J2667"/>
      <c r="AZ2667"/>
    </row>
    <row r="2668" spans="10:52" ht="15.75" customHeight="1" x14ac:dyDescent="0.2">
      <c r="J2668"/>
      <c r="AZ2668"/>
    </row>
    <row r="2669" spans="10:52" ht="15.75" customHeight="1" x14ac:dyDescent="0.2">
      <c r="J2669"/>
      <c r="AZ2669"/>
    </row>
    <row r="2670" spans="10:52" ht="15.75" customHeight="1" x14ac:dyDescent="0.2">
      <c r="J2670"/>
      <c r="AZ2670"/>
    </row>
    <row r="2671" spans="10:52" ht="15.75" customHeight="1" x14ac:dyDescent="0.2">
      <c r="J2671"/>
      <c r="AZ2671"/>
    </row>
    <row r="2672" spans="10:52" ht="15.75" customHeight="1" x14ac:dyDescent="0.2">
      <c r="J2672"/>
      <c r="AZ2672"/>
    </row>
    <row r="2673" spans="10:52" ht="15.75" customHeight="1" x14ac:dyDescent="0.2">
      <c r="J2673"/>
      <c r="AZ2673"/>
    </row>
    <row r="2674" spans="10:52" ht="15.75" customHeight="1" x14ac:dyDescent="0.2">
      <c r="J2674"/>
      <c r="AZ2674"/>
    </row>
    <row r="2675" spans="10:52" ht="15.75" customHeight="1" x14ac:dyDescent="0.2">
      <c r="J2675"/>
      <c r="AZ2675"/>
    </row>
    <row r="2676" spans="10:52" ht="15.75" customHeight="1" x14ac:dyDescent="0.2">
      <c r="J2676"/>
      <c r="AZ2676"/>
    </row>
    <row r="2677" spans="10:52" ht="15.75" customHeight="1" x14ac:dyDescent="0.2">
      <c r="J2677"/>
      <c r="AZ2677"/>
    </row>
    <row r="2678" spans="10:52" ht="15.75" customHeight="1" x14ac:dyDescent="0.2">
      <c r="J2678"/>
      <c r="AZ2678"/>
    </row>
    <row r="2679" spans="10:52" ht="15.75" customHeight="1" x14ac:dyDescent="0.2">
      <c r="J2679"/>
      <c r="AZ2679"/>
    </row>
    <row r="2680" spans="10:52" ht="15.75" customHeight="1" x14ac:dyDescent="0.2">
      <c r="J2680"/>
      <c r="AZ2680"/>
    </row>
    <row r="2681" spans="10:52" ht="15.75" customHeight="1" x14ac:dyDescent="0.2">
      <c r="J2681"/>
      <c r="AZ2681"/>
    </row>
    <row r="2682" spans="10:52" ht="15.75" customHeight="1" x14ac:dyDescent="0.2">
      <c r="J2682"/>
      <c r="AZ2682"/>
    </row>
    <row r="2683" spans="10:52" ht="15.75" customHeight="1" x14ac:dyDescent="0.2">
      <c r="J2683"/>
      <c r="AZ2683"/>
    </row>
    <row r="2684" spans="10:52" ht="15.75" customHeight="1" x14ac:dyDescent="0.2">
      <c r="J2684"/>
      <c r="AZ2684"/>
    </row>
    <row r="2685" spans="10:52" ht="15.75" customHeight="1" x14ac:dyDescent="0.2">
      <c r="J2685"/>
      <c r="AZ2685"/>
    </row>
    <row r="2686" spans="10:52" ht="15.75" customHeight="1" x14ac:dyDescent="0.2">
      <c r="J2686"/>
      <c r="AZ2686"/>
    </row>
    <row r="2687" spans="10:52" ht="15.75" customHeight="1" x14ac:dyDescent="0.2">
      <c r="J2687"/>
      <c r="AZ2687"/>
    </row>
    <row r="2688" spans="10:52" ht="15.75" customHeight="1" x14ac:dyDescent="0.2">
      <c r="J2688"/>
      <c r="AZ2688"/>
    </row>
    <row r="2689" spans="10:52" ht="15.75" customHeight="1" x14ac:dyDescent="0.2">
      <c r="J2689"/>
      <c r="AZ2689"/>
    </row>
    <row r="2690" spans="10:52" ht="15.75" customHeight="1" x14ac:dyDescent="0.2">
      <c r="J2690"/>
      <c r="AZ2690"/>
    </row>
    <row r="2691" spans="10:52" ht="15.75" customHeight="1" x14ac:dyDescent="0.2">
      <c r="J2691"/>
      <c r="AZ2691"/>
    </row>
    <row r="2692" spans="10:52" ht="15.75" customHeight="1" x14ac:dyDescent="0.2">
      <c r="J2692"/>
      <c r="AZ2692"/>
    </row>
    <row r="2693" spans="10:52" ht="15.75" customHeight="1" x14ac:dyDescent="0.2">
      <c r="J2693"/>
      <c r="AZ2693"/>
    </row>
    <row r="2694" spans="10:52" ht="15.75" customHeight="1" x14ac:dyDescent="0.2">
      <c r="J2694"/>
      <c r="AZ2694"/>
    </row>
    <row r="2695" spans="10:52" ht="15.75" customHeight="1" x14ac:dyDescent="0.2">
      <c r="J2695"/>
      <c r="AZ2695"/>
    </row>
    <row r="2696" spans="10:52" ht="15.75" customHeight="1" x14ac:dyDescent="0.2">
      <c r="J2696"/>
      <c r="AZ2696"/>
    </row>
    <row r="2697" spans="10:52" ht="15.75" customHeight="1" x14ac:dyDescent="0.2">
      <c r="J2697"/>
      <c r="AZ2697"/>
    </row>
    <row r="2698" spans="10:52" ht="15.75" customHeight="1" x14ac:dyDescent="0.2">
      <c r="J2698"/>
      <c r="AZ2698"/>
    </row>
    <row r="2699" spans="10:52" ht="15.75" customHeight="1" x14ac:dyDescent="0.2">
      <c r="J2699"/>
      <c r="AZ2699"/>
    </row>
    <row r="2700" spans="10:52" ht="15.75" customHeight="1" x14ac:dyDescent="0.2">
      <c r="J2700"/>
      <c r="AZ2700"/>
    </row>
    <row r="2701" spans="10:52" ht="15.75" customHeight="1" x14ac:dyDescent="0.2">
      <c r="J2701"/>
      <c r="AZ2701"/>
    </row>
    <row r="2702" spans="10:52" ht="15.75" customHeight="1" x14ac:dyDescent="0.2">
      <c r="J2702"/>
      <c r="AZ2702"/>
    </row>
    <row r="2703" spans="10:52" ht="15.75" customHeight="1" x14ac:dyDescent="0.2">
      <c r="J2703"/>
      <c r="AZ2703"/>
    </row>
    <row r="2704" spans="10:52" ht="15.75" customHeight="1" x14ac:dyDescent="0.2">
      <c r="J2704"/>
      <c r="AZ2704"/>
    </row>
    <row r="2705" spans="10:52" ht="15.75" customHeight="1" x14ac:dyDescent="0.2">
      <c r="J2705"/>
      <c r="AZ2705"/>
    </row>
    <row r="2706" spans="10:52" ht="15.75" customHeight="1" x14ac:dyDescent="0.2">
      <c r="J2706"/>
      <c r="AZ2706"/>
    </row>
    <row r="2707" spans="10:52" ht="15.75" customHeight="1" x14ac:dyDescent="0.2">
      <c r="J2707"/>
      <c r="AZ2707"/>
    </row>
    <row r="2708" spans="10:52" ht="15.75" customHeight="1" x14ac:dyDescent="0.2">
      <c r="J2708"/>
      <c r="AZ2708"/>
    </row>
    <row r="2709" spans="10:52" ht="15.75" customHeight="1" x14ac:dyDescent="0.2">
      <c r="J2709"/>
      <c r="AZ2709"/>
    </row>
    <row r="2710" spans="10:52" ht="15.75" customHeight="1" x14ac:dyDescent="0.2">
      <c r="J2710"/>
      <c r="AZ2710"/>
    </row>
    <row r="2711" spans="10:52" ht="15.75" customHeight="1" x14ac:dyDescent="0.2">
      <c r="J2711"/>
      <c r="AZ2711"/>
    </row>
    <row r="2712" spans="10:52" ht="15.75" customHeight="1" x14ac:dyDescent="0.2">
      <c r="J2712"/>
      <c r="AZ2712"/>
    </row>
    <row r="2713" spans="10:52" ht="15.75" customHeight="1" x14ac:dyDescent="0.2">
      <c r="J2713"/>
      <c r="AZ2713"/>
    </row>
    <row r="2714" spans="10:52" ht="15.75" customHeight="1" x14ac:dyDescent="0.2">
      <c r="J2714"/>
      <c r="AZ2714"/>
    </row>
    <row r="2715" spans="10:52" ht="15.75" customHeight="1" x14ac:dyDescent="0.2">
      <c r="J2715"/>
      <c r="AZ2715"/>
    </row>
    <row r="2716" spans="10:52" ht="15.75" customHeight="1" x14ac:dyDescent="0.2">
      <c r="J2716"/>
      <c r="AZ2716"/>
    </row>
    <row r="2717" spans="10:52" ht="15.75" customHeight="1" x14ac:dyDescent="0.2">
      <c r="J2717"/>
      <c r="AZ2717"/>
    </row>
    <row r="2718" spans="10:52" ht="15.75" customHeight="1" x14ac:dyDescent="0.2">
      <c r="J2718"/>
      <c r="AZ2718"/>
    </row>
    <row r="2719" spans="10:52" ht="15.75" customHeight="1" x14ac:dyDescent="0.2">
      <c r="J2719"/>
      <c r="AZ2719"/>
    </row>
    <row r="2720" spans="10:52" ht="15.75" customHeight="1" x14ac:dyDescent="0.2">
      <c r="J2720"/>
      <c r="AZ2720"/>
    </row>
    <row r="2721" spans="10:52" ht="15.75" customHeight="1" x14ac:dyDescent="0.2">
      <c r="J2721"/>
      <c r="AZ2721"/>
    </row>
    <row r="2722" spans="10:52" ht="15.75" customHeight="1" x14ac:dyDescent="0.2">
      <c r="J2722"/>
      <c r="AZ2722"/>
    </row>
    <row r="2723" spans="10:52" ht="15.75" customHeight="1" x14ac:dyDescent="0.2">
      <c r="J2723"/>
      <c r="AZ2723"/>
    </row>
    <row r="2724" spans="10:52" ht="15.75" customHeight="1" x14ac:dyDescent="0.2">
      <c r="J2724"/>
      <c r="AZ2724"/>
    </row>
    <row r="2725" spans="10:52" ht="15.75" customHeight="1" x14ac:dyDescent="0.2">
      <c r="J2725"/>
      <c r="AZ2725"/>
    </row>
    <row r="2726" spans="10:52" ht="15.75" customHeight="1" x14ac:dyDescent="0.2">
      <c r="J2726"/>
      <c r="AZ2726"/>
    </row>
    <row r="2727" spans="10:52" ht="15.75" customHeight="1" x14ac:dyDescent="0.2">
      <c r="J2727"/>
      <c r="AZ2727"/>
    </row>
    <row r="2728" spans="10:52" ht="15.75" customHeight="1" x14ac:dyDescent="0.2">
      <c r="J2728"/>
      <c r="AZ2728"/>
    </row>
    <row r="2729" spans="10:52" ht="15.75" customHeight="1" x14ac:dyDescent="0.2">
      <c r="J2729"/>
      <c r="AZ2729"/>
    </row>
    <row r="2730" spans="10:52" ht="15.75" customHeight="1" x14ac:dyDescent="0.2">
      <c r="J2730"/>
      <c r="AZ2730"/>
    </row>
    <row r="2731" spans="10:52" ht="15.75" customHeight="1" x14ac:dyDescent="0.2">
      <c r="J2731"/>
      <c r="AZ2731"/>
    </row>
    <row r="2732" spans="10:52" ht="15.75" customHeight="1" x14ac:dyDescent="0.2">
      <c r="J2732"/>
      <c r="AZ2732"/>
    </row>
    <row r="2733" spans="10:52" ht="15.75" customHeight="1" x14ac:dyDescent="0.2">
      <c r="J2733"/>
      <c r="AZ2733"/>
    </row>
    <row r="2734" spans="10:52" ht="15.75" customHeight="1" x14ac:dyDescent="0.2">
      <c r="J2734"/>
      <c r="AZ2734"/>
    </row>
    <row r="2735" spans="10:52" ht="15.75" customHeight="1" x14ac:dyDescent="0.2">
      <c r="J2735"/>
      <c r="AZ2735"/>
    </row>
    <row r="2736" spans="10:52" ht="15.75" customHeight="1" x14ac:dyDescent="0.2">
      <c r="J2736"/>
      <c r="AZ2736"/>
    </row>
    <row r="2737" spans="10:52" ht="15.75" customHeight="1" x14ac:dyDescent="0.2">
      <c r="J2737"/>
      <c r="AZ2737"/>
    </row>
    <row r="2738" spans="10:52" ht="15.75" customHeight="1" x14ac:dyDescent="0.2">
      <c r="J2738"/>
      <c r="AZ2738"/>
    </row>
    <row r="2739" spans="10:52" ht="15.75" customHeight="1" x14ac:dyDescent="0.2">
      <c r="J2739"/>
      <c r="AZ2739"/>
    </row>
    <row r="2740" spans="10:52" ht="15.75" customHeight="1" x14ac:dyDescent="0.2">
      <c r="J2740"/>
      <c r="AZ2740"/>
    </row>
    <row r="2741" spans="10:52" ht="15.75" customHeight="1" x14ac:dyDescent="0.2">
      <c r="J2741"/>
      <c r="AZ2741"/>
    </row>
    <row r="2742" spans="10:52" ht="15.75" customHeight="1" x14ac:dyDescent="0.2">
      <c r="J2742"/>
      <c r="AZ2742"/>
    </row>
    <row r="2743" spans="10:52" ht="15.75" customHeight="1" x14ac:dyDescent="0.2">
      <c r="J2743"/>
      <c r="AZ2743"/>
    </row>
    <row r="2744" spans="10:52" ht="15.75" customHeight="1" x14ac:dyDescent="0.2">
      <c r="J2744"/>
      <c r="AZ2744"/>
    </row>
    <row r="2745" spans="10:52" ht="15.75" customHeight="1" x14ac:dyDescent="0.2">
      <c r="J2745"/>
      <c r="AZ2745"/>
    </row>
    <row r="2746" spans="10:52" ht="15.75" customHeight="1" x14ac:dyDescent="0.2">
      <c r="J2746"/>
      <c r="AZ2746"/>
    </row>
    <row r="2747" spans="10:52" ht="15.75" customHeight="1" x14ac:dyDescent="0.2">
      <c r="J2747"/>
      <c r="AZ2747"/>
    </row>
    <row r="2748" spans="10:52" ht="15.75" customHeight="1" x14ac:dyDescent="0.2">
      <c r="J2748"/>
      <c r="AZ2748"/>
    </row>
    <row r="2749" spans="10:52" ht="15.75" customHeight="1" x14ac:dyDescent="0.2">
      <c r="J2749"/>
      <c r="AZ2749"/>
    </row>
    <row r="2750" spans="10:52" ht="15.75" customHeight="1" x14ac:dyDescent="0.2">
      <c r="J2750"/>
      <c r="AZ2750"/>
    </row>
    <row r="2751" spans="10:52" ht="15.75" customHeight="1" x14ac:dyDescent="0.2">
      <c r="J2751"/>
      <c r="AZ2751"/>
    </row>
    <row r="2752" spans="10:52" ht="15.75" customHeight="1" x14ac:dyDescent="0.2">
      <c r="J2752"/>
      <c r="AZ2752"/>
    </row>
    <row r="2753" spans="10:52" ht="15.75" customHeight="1" x14ac:dyDescent="0.2">
      <c r="J2753"/>
      <c r="AZ2753"/>
    </row>
    <row r="2754" spans="10:52" ht="15.75" customHeight="1" x14ac:dyDescent="0.2">
      <c r="J2754"/>
      <c r="AZ2754"/>
    </row>
    <row r="2755" spans="10:52" ht="15.75" customHeight="1" x14ac:dyDescent="0.2">
      <c r="J2755"/>
      <c r="AZ2755"/>
    </row>
    <row r="2756" spans="10:52" ht="15.75" customHeight="1" x14ac:dyDescent="0.2">
      <c r="J2756"/>
      <c r="AZ2756"/>
    </row>
    <row r="2757" spans="10:52" ht="15.75" customHeight="1" x14ac:dyDescent="0.2">
      <c r="J2757"/>
      <c r="AZ2757"/>
    </row>
    <row r="2758" spans="10:52" ht="15.75" customHeight="1" x14ac:dyDescent="0.2">
      <c r="J2758"/>
      <c r="AZ2758"/>
    </row>
    <row r="2759" spans="10:52" ht="15.75" customHeight="1" x14ac:dyDescent="0.2">
      <c r="J2759"/>
      <c r="AZ2759"/>
    </row>
    <row r="2760" spans="10:52" ht="15.75" customHeight="1" x14ac:dyDescent="0.2">
      <c r="J2760"/>
      <c r="AZ2760"/>
    </row>
    <row r="2761" spans="10:52" ht="15.75" customHeight="1" x14ac:dyDescent="0.2">
      <c r="J2761"/>
      <c r="AZ2761"/>
    </row>
    <row r="2762" spans="10:52" ht="15.75" customHeight="1" x14ac:dyDescent="0.2">
      <c r="J2762"/>
      <c r="AZ2762"/>
    </row>
    <row r="2763" spans="10:52" ht="15.75" customHeight="1" x14ac:dyDescent="0.2">
      <c r="J2763"/>
      <c r="AZ2763"/>
    </row>
    <row r="2764" spans="10:52" ht="15.75" customHeight="1" x14ac:dyDescent="0.2">
      <c r="J2764"/>
      <c r="AZ2764"/>
    </row>
    <row r="2765" spans="10:52" ht="15.75" customHeight="1" x14ac:dyDescent="0.2">
      <c r="J2765"/>
      <c r="AZ2765"/>
    </row>
    <row r="2766" spans="10:52" ht="15.75" customHeight="1" x14ac:dyDescent="0.2">
      <c r="J2766"/>
      <c r="AZ2766"/>
    </row>
    <row r="2767" spans="10:52" ht="15.75" customHeight="1" x14ac:dyDescent="0.2">
      <c r="J2767"/>
      <c r="AZ2767"/>
    </row>
    <row r="2768" spans="10:52" ht="15.75" customHeight="1" x14ac:dyDescent="0.2">
      <c r="J2768"/>
      <c r="AZ2768"/>
    </row>
    <row r="2769" spans="10:52" ht="15.75" customHeight="1" x14ac:dyDescent="0.2">
      <c r="J2769"/>
      <c r="AZ2769"/>
    </row>
    <row r="2770" spans="10:52" ht="15.75" customHeight="1" x14ac:dyDescent="0.2">
      <c r="J2770"/>
      <c r="AZ2770"/>
    </row>
    <row r="2771" spans="10:52" ht="15.75" customHeight="1" x14ac:dyDescent="0.2">
      <c r="J2771"/>
      <c r="AZ2771"/>
    </row>
    <row r="2772" spans="10:52" ht="15.75" customHeight="1" x14ac:dyDescent="0.2">
      <c r="J2772"/>
      <c r="AZ2772"/>
    </row>
    <row r="2773" spans="10:52" ht="15.75" customHeight="1" x14ac:dyDescent="0.2">
      <c r="J2773"/>
      <c r="AZ2773"/>
    </row>
    <row r="2774" spans="10:52" ht="15.75" customHeight="1" x14ac:dyDescent="0.2">
      <c r="J2774"/>
      <c r="AZ2774"/>
    </row>
    <row r="2775" spans="10:52" ht="15.75" customHeight="1" x14ac:dyDescent="0.2">
      <c r="J2775"/>
      <c r="AZ2775"/>
    </row>
    <row r="2776" spans="10:52" ht="15.75" customHeight="1" x14ac:dyDescent="0.2">
      <c r="J2776"/>
      <c r="AZ2776"/>
    </row>
    <row r="2777" spans="10:52" ht="15.75" customHeight="1" x14ac:dyDescent="0.2">
      <c r="J2777"/>
      <c r="AZ2777"/>
    </row>
    <row r="2778" spans="10:52" ht="15.75" customHeight="1" x14ac:dyDescent="0.2">
      <c r="J2778"/>
      <c r="AZ2778"/>
    </row>
    <row r="2779" spans="10:52" ht="15.75" customHeight="1" x14ac:dyDescent="0.2">
      <c r="J2779"/>
      <c r="AZ2779"/>
    </row>
    <row r="2780" spans="10:52" ht="15.75" customHeight="1" x14ac:dyDescent="0.2">
      <c r="J2780"/>
      <c r="AZ2780"/>
    </row>
    <row r="2781" spans="10:52" ht="15.75" customHeight="1" x14ac:dyDescent="0.2">
      <c r="J2781"/>
      <c r="AZ2781"/>
    </row>
    <row r="2782" spans="10:52" ht="15.75" customHeight="1" x14ac:dyDescent="0.2">
      <c r="J2782"/>
      <c r="AZ2782"/>
    </row>
    <row r="2783" spans="10:52" ht="15.75" customHeight="1" x14ac:dyDescent="0.2">
      <c r="J2783"/>
      <c r="AZ2783"/>
    </row>
    <row r="2784" spans="10:52" ht="15.75" customHeight="1" x14ac:dyDescent="0.2">
      <c r="J2784"/>
      <c r="AZ2784"/>
    </row>
    <row r="2785" spans="10:52" ht="15.75" customHeight="1" x14ac:dyDescent="0.2">
      <c r="J2785"/>
      <c r="AZ2785"/>
    </row>
    <row r="2786" spans="10:52" ht="15.75" customHeight="1" x14ac:dyDescent="0.2">
      <c r="J2786"/>
      <c r="AZ2786"/>
    </row>
    <row r="2787" spans="10:52" ht="15.75" customHeight="1" x14ac:dyDescent="0.2">
      <c r="J2787"/>
      <c r="AZ2787"/>
    </row>
    <row r="2788" spans="10:52" ht="15.75" customHeight="1" x14ac:dyDescent="0.2">
      <c r="J2788"/>
      <c r="AZ2788"/>
    </row>
    <row r="2789" spans="10:52" ht="15.75" customHeight="1" x14ac:dyDescent="0.2">
      <c r="J2789"/>
      <c r="AZ2789"/>
    </row>
    <row r="2790" spans="10:52" ht="15.75" customHeight="1" x14ac:dyDescent="0.2">
      <c r="J2790"/>
      <c r="AZ2790"/>
    </row>
    <row r="2791" spans="10:52" ht="15.75" customHeight="1" x14ac:dyDescent="0.2">
      <c r="J2791"/>
      <c r="AZ2791"/>
    </row>
    <row r="2792" spans="10:52" ht="15.75" customHeight="1" x14ac:dyDescent="0.2">
      <c r="J2792"/>
      <c r="AZ2792"/>
    </row>
    <row r="2793" spans="10:52" ht="15.75" customHeight="1" x14ac:dyDescent="0.2">
      <c r="J2793"/>
      <c r="AZ2793"/>
    </row>
    <row r="2794" spans="10:52" ht="15.75" customHeight="1" x14ac:dyDescent="0.2">
      <c r="J2794"/>
      <c r="AZ2794"/>
    </row>
    <row r="2795" spans="10:52" ht="15.75" customHeight="1" x14ac:dyDescent="0.2">
      <c r="J2795"/>
      <c r="AZ2795"/>
    </row>
    <row r="2796" spans="10:52" ht="15.75" customHeight="1" x14ac:dyDescent="0.2">
      <c r="J2796"/>
      <c r="AZ2796"/>
    </row>
    <row r="2797" spans="10:52" ht="15.75" customHeight="1" x14ac:dyDescent="0.2">
      <c r="J2797"/>
      <c r="AZ2797"/>
    </row>
    <row r="2798" spans="10:52" ht="15.75" customHeight="1" x14ac:dyDescent="0.2">
      <c r="J2798"/>
      <c r="AZ2798"/>
    </row>
    <row r="2799" spans="10:52" ht="15.75" customHeight="1" x14ac:dyDescent="0.2">
      <c r="J2799"/>
      <c r="AZ2799"/>
    </row>
    <row r="2800" spans="10:52" ht="15.75" customHeight="1" x14ac:dyDescent="0.2">
      <c r="J2800"/>
      <c r="AZ2800"/>
    </row>
    <row r="2801" spans="10:52" ht="15.75" customHeight="1" x14ac:dyDescent="0.2">
      <c r="J2801"/>
      <c r="AZ2801"/>
    </row>
    <row r="2802" spans="10:52" ht="15.75" customHeight="1" x14ac:dyDescent="0.2">
      <c r="J2802"/>
      <c r="AZ2802"/>
    </row>
    <row r="2803" spans="10:52" ht="15.75" customHeight="1" x14ac:dyDescent="0.2">
      <c r="J2803"/>
      <c r="AZ2803"/>
    </row>
    <row r="2804" spans="10:52" ht="15.75" customHeight="1" x14ac:dyDescent="0.2">
      <c r="J2804"/>
      <c r="AZ2804"/>
    </row>
    <row r="2805" spans="10:52" ht="15.75" customHeight="1" x14ac:dyDescent="0.2">
      <c r="J2805"/>
      <c r="AZ2805"/>
    </row>
    <row r="2806" spans="10:52" ht="15.75" customHeight="1" x14ac:dyDescent="0.2">
      <c r="J2806"/>
      <c r="AZ2806"/>
    </row>
    <row r="2807" spans="10:52" ht="15.75" customHeight="1" x14ac:dyDescent="0.2">
      <c r="J2807"/>
      <c r="AZ2807"/>
    </row>
    <row r="2808" spans="10:52" ht="15.75" customHeight="1" x14ac:dyDescent="0.2">
      <c r="J2808"/>
      <c r="AZ2808"/>
    </row>
    <row r="2809" spans="10:52" ht="15.75" customHeight="1" x14ac:dyDescent="0.2">
      <c r="J2809"/>
      <c r="AZ2809"/>
    </row>
    <row r="2810" spans="10:52" ht="15.75" customHeight="1" x14ac:dyDescent="0.2">
      <c r="J2810"/>
      <c r="AZ2810"/>
    </row>
    <row r="2811" spans="10:52" ht="15.75" customHeight="1" x14ac:dyDescent="0.2">
      <c r="J2811"/>
      <c r="AZ2811"/>
    </row>
    <row r="2812" spans="10:52" ht="15.75" customHeight="1" x14ac:dyDescent="0.2">
      <c r="J2812"/>
      <c r="AZ2812"/>
    </row>
    <row r="2813" spans="10:52" ht="15.75" customHeight="1" x14ac:dyDescent="0.2">
      <c r="J2813"/>
      <c r="AZ2813"/>
    </row>
    <row r="2814" spans="10:52" ht="15.75" customHeight="1" x14ac:dyDescent="0.2">
      <c r="J2814"/>
      <c r="AZ2814"/>
    </row>
    <row r="2815" spans="10:52" ht="15.75" customHeight="1" x14ac:dyDescent="0.2">
      <c r="J2815"/>
      <c r="AZ2815"/>
    </row>
    <row r="2816" spans="10:52" ht="15.75" customHeight="1" x14ac:dyDescent="0.2">
      <c r="J2816"/>
      <c r="AZ2816"/>
    </row>
    <row r="2817" spans="10:52" ht="15.75" customHeight="1" x14ac:dyDescent="0.2">
      <c r="J2817"/>
      <c r="AZ2817"/>
    </row>
    <row r="2818" spans="10:52" ht="15.75" customHeight="1" x14ac:dyDescent="0.2">
      <c r="J2818"/>
      <c r="AZ2818"/>
    </row>
    <row r="2819" spans="10:52" ht="15.75" customHeight="1" x14ac:dyDescent="0.2">
      <c r="J2819"/>
      <c r="AZ2819"/>
    </row>
    <row r="2820" spans="10:52" ht="15.75" customHeight="1" x14ac:dyDescent="0.2">
      <c r="J2820"/>
      <c r="AZ2820"/>
    </row>
    <row r="2821" spans="10:52" ht="15.75" customHeight="1" x14ac:dyDescent="0.2">
      <c r="J2821"/>
      <c r="AZ2821"/>
    </row>
    <row r="2822" spans="10:52" ht="15.75" customHeight="1" x14ac:dyDescent="0.2">
      <c r="J2822"/>
      <c r="AZ2822"/>
    </row>
    <row r="2823" spans="10:52" ht="15.75" customHeight="1" x14ac:dyDescent="0.2">
      <c r="J2823"/>
      <c r="AZ2823"/>
    </row>
    <row r="2824" spans="10:52" ht="15.75" customHeight="1" x14ac:dyDescent="0.2">
      <c r="J2824"/>
      <c r="AZ2824"/>
    </row>
    <row r="2825" spans="10:52" ht="15.75" customHeight="1" x14ac:dyDescent="0.2">
      <c r="J2825"/>
      <c r="AZ2825"/>
    </row>
    <row r="2826" spans="10:52" ht="15.75" customHeight="1" x14ac:dyDescent="0.2">
      <c r="J2826"/>
      <c r="AZ2826"/>
    </row>
    <row r="2827" spans="10:52" ht="15.75" customHeight="1" x14ac:dyDescent="0.2">
      <c r="J2827"/>
      <c r="AZ2827"/>
    </row>
    <row r="2828" spans="10:52" ht="15.75" customHeight="1" x14ac:dyDescent="0.2">
      <c r="J2828"/>
      <c r="AZ2828"/>
    </row>
    <row r="2829" spans="10:52" ht="15.75" customHeight="1" x14ac:dyDescent="0.2">
      <c r="J2829"/>
      <c r="AZ2829"/>
    </row>
    <row r="2830" spans="10:52" ht="15.75" customHeight="1" x14ac:dyDescent="0.2">
      <c r="J2830"/>
      <c r="AZ2830"/>
    </row>
    <row r="2831" spans="10:52" ht="15.75" customHeight="1" x14ac:dyDescent="0.2">
      <c r="J2831"/>
      <c r="AZ2831"/>
    </row>
    <row r="2832" spans="10:52" ht="15.75" customHeight="1" x14ac:dyDescent="0.2">
      <c r="J2832"/>
      <c r="AZ2832"/>
    </row>
    <row r="2833" spans="10:52" ht="15.75" customHeight="1" x14ac:dyDescent="0.2">
      <c r="J2833"/>
      <c r="AZ2833"/>
    </row>
    <row r="2834" spans="10:52" ht="15.75" customHeight="1" x14ac:dyDescent="0.2">
      <c r="J2834"/>
      <c r="AZ2834"/>
    </row>
    <row r="2835" spans="10:52" ht="15.75" customHeight="1" x14ac:dyDescent="0.2">
      <c r="J2835"/>
      <c r="AZ2835"/>
    </row>
    <row r="2836" spans="10:52" ht="15.75" customHeight="1" x14ac:dyDescent="0.2">
      <c r="J2836"/>
      <c r="AZ2836"/>
    </row>
    <row r="2837" spans="10:52" ht="15.75" customHeight="1" x14ac:dyDescent="0.2">
      <c r="J2837"/>
      <c r="AZ2837"/>
    </row>
    <row r="2838" spans="10:52" ht="15.75" customHeight="1" x14ac:dyDescent="0.2">
      <c r="J2838"/>
      <c r="AZ2838"/>
    </row>
    <row r="2839" spans="10:52" ht="15.75" customHeight="1" x14ac:dyDescent="0.2">
      <c r="J2839"/>
      <c r="AZ2839"/>
    </row>
    <row r="2840" spans="10:52" ht="15.75" customHeight="1" x14ac:dyDescent="0.2">
      <c r="J2840"/>
      <c r="AZ2840"/>
    </row>
    <row r="2841" spans="10:52" ht="15.75" customHeight="1" x14ac:dyDescent="0.2">
      <c r="J2841"/>
      <c r="AZ2841"/>
    </row>
    <row r="2842" spans="10:52" ht="15.75" customHeight="1" x14ac:dyDescent="0.2">
      <c r="J2842"/>
      <c r="AZ2842"/>
    </row>
    <row r="2843" spans="10:52" ht="15.75" customHeight="1" x14ac:dyDescent="0.2">
      <c r="J2843"/>
      <c r="AZ2843"/>
    </row>
    <row r="2844" spans="10:52" ht="15.75" customHeight="1" x14ac:dyDescent="0.2">
      <c r="J2844"/>
      <c r="AZ2844"/>
    </row>
    <row r="2845" spans="10:52" ht="15.75" customHeight="1" x14ac:dyDescent="0.2">
      <c r="J2845"/>
      <c r="AZ2845"/>
    </row>
    <row r="2846" spans="10:52" ht="15.75" customHeight="1" x14ac:dyDescent="0.2">
      <c r="J2846"/>
      <c r="AZ2846"/>
    </row>
    <row r="2847" spans="10:52" ht="15.75" customHeight="1" x14ac:dyDescent="0.2">
      <c r="J2847"/>
      <c r="AZ2847"/>
    </row>
    <row r="2848" spans="10:52" ht="15.75" customHeight="1" x14ac:dyDescent="0.2">
      <c r="J2848"/>
      <c r="AZ2848"/>
    </row>
    <row r="2849" spans="10:52" ht="15.75" customHeight="1" x14ac:dyDescent="0.2">
      <c r="J2849"/>
      <c r="AZ2849"/>
    </row>
    <row r="2850" spans="10:52" ht="15.75" customHeight="1" x14ac:dyDescent="0.2">
      <c r="J2850"/>
      <c r="AZ2850"/>
    </row>
    <row r="2851" spans="10:52" ht="15.75" customHeight="1" x14ac:dyDescent="0.2">
      <c r="J2851"/>
      <c r="AZ2851"/>
    </row>
    <row r="2852" spans="10:52" ht="15.75" customHeight="1" x14ac:dyDescent="0.2">
      <c r="J2852"/>
      <c r="AZ2852"/>
    </row>
    <row r="2853" spans="10:52" ht="15.75" customHeight="1" x14ac:dyDescent="0.2">
      <c r="J2853"/>
      <c r="AZ2853"/>
    </row>
    <row r="2854" spans="10:52" ht="15.75" customHeight="1" x14ac:dyDescent="0.2">
      <c r="J2854"/>
      <c r="AZ2854"/>
    </row>
    <row r="2855" spans="10:52" ht="15.75" customHeight="1" x14ac:dyDescent="0.2">
      <c r="J2855"/>
      <c r="AZ2855"/>
    </row>
    <row r="2856" spans="10:52" ht="15.75" customHeight="1" x14ac:dyDescent="0.2">
      <c r="J2856"/>
      <c r="AZ2856"/>
    </row>
    <row r="2857" spans="10:52" ht="15.75" customHeight="1" x14ac:dyDescent="0.2">
      <c r="J2857"/>
      <c r="AZ2857"/>
    </row>
    <row r="2858" spans="10:52" ht="15.75" customHeight="1" x14ac:dyDescent="0.2">
      <c r="J2858"/>
      <c r="AZ2858"/>
    </row>
    <row r="2859" spans="10:52" ht="15.75" customHeight="1" x14ac:dyDescent="0.2">
      <c r="J2859"/>
      <c r="AZ2859"/>
    </row>
    <row r="2860" spans="10:52" ht="15.75" customHeight="1" x14ac:dyDescent="0.2">
      <c r="J2860"/>
      <c r="AZ2860"/>
    </row>
    <row r="2861" spans="10:52" ht="15.75" customHeight="1" x14ac:dyDescent="0.2">
      <c r="J2861"/>
      <c r="AZ2861"/>
    </row>
    <row r="2862" spans="10:52" ht="15.75" customHeight="1" x14ac:dyDescent="0.2">
      <c r="J2862"/>
      <c r="AZ2862"/>
    </row>
    <row r="2863" spans="10:52" ht="15.75" customHeight="1" x14ac:dyDescent="0.2">
      <c r="J2863"/>
      <c r="AZ2863"/>
    </row>
    <row r="2864" spans="10:52" ht="15.75" customHeight="1" x14ac:dyDescent="0.2">
      <c r="J2864"/>
      <c r="AZ2864"/>
    </row>
    <row r="2865" spans="10:52" ht="15.75" customHeight="1" x14ac:dyDescent="0.2">
      <c r="J2865"/>
      <c r="AZ2865"/>
    </row>
    <row r="2866" spans="10:52" ht="15.75" customHeight="1" x14ac:dyDescent="0.2">
      <c r="J2866"/>
      <c r="AZ2866"/>
    </row>
    <row r="2867" spans="10:52" ht="15.75" customHeight="1" x14ac:dyDescent="0.2">
      <c r="J2867"/>
      <c r="AZ2867"/>
    </row>
    <row r="2868" spans="10:52" ht="15.75" customHeight="1" x14ac:dyDescent="0.2">
      <c r="J2868"/>
      <c r="AZ2868"/>
    </row>
    <row r="2869" spans="10:52" ht="15.75" customHeight="1" x14ac:dyDescent="0.2">
      <c r="J2869"/>
      <c r="AZ2869"/>
    </row>
    <row r="2870" spans="10:52" ht="15.75" customHeight="1" x14ac:dyDescent="0.2">
      <c r="J2870"/>
      <c r="AZ2870"/>
    </row>
    <row r="2871" spans="10:52" ht="15.75" customHeight="1" x14ac:dyDescent="0.2">
      <c r="J2871"/>
      <c r="AZ2871"/>
    </row>
    <row r="2872" spans="10:52" ht="15.75" customHeight="1" x14ac:dyDescent="0.2">
      <c r="J2872"/>
      <c r="AZ2872"/>
    </row>
    <row r="2873" spans="10:52" ht="15.75" customHeight="1" x14ac:dyDescent="0.2">
      <c r="J2873"/>
      <c r="AZ2873"/>
    </row>
    <row r="2874" spans="10:52" ht="15.75" customHeight="1" x14ac:dyDescent="0.2">
      <c r="J2874"/>
      <c r="AZ2874"/>
    </row>
    <row r="2875" spans="10:52" ht="15.75" customHeight="1" x14ac:dyDescent="0.2">
      <c r="J2875"/>
      <c r="AZ2875"/>
    </row>
    <row r="2876" spans="10:52" ht="15.75" customHeight="1" x14ac:dyDescent="0.2">
      <c r="J2876"/>
      <c r="AZ2876"/>
    </row>
    <row r="2877" spans="10:52" ht="15.75" customHeight="1" x14ac:dyDescent="0.2">
      <c r="J2877"/>
      <c r="AZ2877"/>
    </row>
    <row r="2878" spans="10:52" ht="15.75" customHeight="1" x14ac:dyDescent="0.2">
      <c r="J2878"/>
      <c r="AZ2878"/>
    </row>
    <row r="2879" spans="10:52" ht="15.75" customHeight="1" x14ac:dyDescent="0.2">
      <c r="J2879"/>
      <c r="AZ2879"/>
    </row>
    <row r="2880" spans="10:52" ht="15.75" customHeight="1" x14ac:dyDescent="0.2">
      <c r="J2880"/>
      <c r="AZ2880"/>
    </row>
    <row r="2881" spans="10:52" ht="15.75" customHeight="1" x14ac:dyDescent="0.2">
      <c r="J2881"/>
      <c r="AZ2881"/>
    </row>
    <row r="2882" spans="10:52" ht="15.75" customHeight="1" x14ac:dyDescent="0.2">
      <c r="J2882"/>
      <c r="AZ2882"/>
    </row>
    <row r="2883" spans="10:52" ht="15.75" customHeight="1" x14ac:dyDescent="0.2">
      <c r="J2883"/>
      <c r="AZ2883"/>
    </row>
    <row r="2884" spans="10:52" ht="15.75" customHeight="1" x14ac:dyDescent="0.2">
      <c r="J2884"/>
      <c r="AZ2884"/>
    </row>
    <row r="2885" spans="10:52" ht="15.75" customHeight="1" x14ac:dyDescent="0.2">
      <c r="J2885"/>
      <c r="AZ2885"/>
    </row>
    <row r="2886" spans="10:52" ht="15.75" customHeight="1" x14ac:dyDescent="0.2">
      <c r="J2886"/>
      <c r="AZ2886"/>
    </row>
    <row r="2887" spans="10:52" ht="15.75" customHeight="1" x14ac:dyDescent="0.2">
      <c r="J2887"/>
      <c r="AZ2887"/>
    </row>
    <row r="2888" spans="10:52" ht="15.75" customHeight="1" x14ac:dyDescent="0.2">
      <c r="J2888"/>
      <c r="AZ2888"/>
    </row>
    <row r="2889" spans="10:52" ht="15.75" customHeight="1" x14ac:dyDescent="0.2">
      <c r="J2889"/>
      <c r="AZ2889"/>
    </row>
    <row r="2890" spans="10:52" ht="15.75" customHeight="1" x14ac:dyDescent="0.2">
      <c r="J2890"/>
      <c r="AZ2890"/>
    </row>
    <row r="2891" spans="10:52" ht="15.75" customHeight="1" x14ac:dyDescent="0.2">
      <c r="J2891"/>
      <c r="AZ2891"/>
    </row>
    <row r="2892" spans="10:52" ht="15.75" customHeight="1" x14ac:dyDescent="0.2">
      <c r="J2892"/>
      <c r="AZ2892"/>
    </row>
    <row r="2893" spans="10:52" ht="15.75" customHeight="1" x14ac:dyDescent="0.2">
      <c r="J2893"/>
      <c r="AZ2893"/>
    </row>
    <row r="2894" spans="10:52" ht="15.75" customHeight="1" x14ac:dyDescent="0.2">
      <c r="J2894"/>
      <c r="AZ2894"/>
    </row>
    <row r="2895" spans="10:52" ht="15.75" customHeight="1" x14ac:dyDescent="0.2">
      <c r="J2895"/>
      <c r="AZ2895"/>
    </row>
    <row r="2896" spans="10:52" ht="15.75" customHeight="1" x14ac:dyDescent="0.2">
      <c r="J2896"/>
      <c r="AZ2896"/>
    </row>
    <row r="2897" spans="10:52" ht="15.75" customHeight="1" x14ac:dyDescent="0.2">
      <c r="J2897"/>
      <c r="AZ2897"/>
    </row>
    <row r="2898" spans="10:52" ht="15.75" customHeight="1" x14ac:dyDescent="0.2">
      <c r="J2898"/>
      <c r="AZ2898"/>
    </row>
    <row r="2899" spans="10:52" ht="15.75" customHeight="1" x14ac:dyDescent="0.2">
      <c r="J2899"/>
      <c r="AZ2899"/>
    </row>
    <row r="2900" spans="10:52" ht="15.75" customHeight="1" x14ac:dyDescent="0.2">
      <c r="J2900"/>
      <c r="AZ2900"/>
    </row>
    <row r="2901" spans="10:52" ht="15.75" customHeight="1" x14ac:dyDescent="0.2">
      <c r="J2901"/>
      <c r="AZ2901"/>
    </row>
    <row r="2902" spans="10:52" ht="15.75" customHeight="1" x14ac:dyDescent="0.2">
      <c r="J2902"/>
      <c r="AZ2902"/>
    </row>
    <row r="2903" spans="10:52" ht="15.75" customHeight="1" x14ac:dyDescent="0.2">
      <c r="J2903"/>
      <c r="AZ2903"/>
    </row>
    <row r="2904" spans="10:52" ht="15.75" customHeight="1" x14ac:dyDescent="0.2">
      <c r="J2904"/>
      <c r="AZ2904"/>
    </row>
    <row r="2905" spans="10:52" ht="15.75" customHeight="1" x14ac:dyDescent="0.2">
      <c r="J2905"/>
      <c r="AZ2905"/>
    </row>
    <row r="2906" spans="10:52" ht="15.75" customHeight="1" x14ac:dyDescent="0.2">
      <c r="J2906"/>
      <c r="AZ2906"/>
    </row>
    <row r="2907" spans="10:52" ht="15.75" customHeight="1" x14ac:dyDescent="0.2">
      <c r="J2907"/>
      <c r="AZ2907"/>
    </row>
    <row r="2908" spans="10:52" ht="15.75" customHeight="1" x14ac:dyDescent="0.2">
      <c r="J2908"/>
      <c r="AZ2908"/>
    </row>
    <row r="2909" spans="10:52" ht="15.75" customHeight="1" x14ac:dyDescent="0.2">
      <c r="J2909"/>
      <c r="AZ2909"/>
    </row>
    <row r="2910" spans="10:52" ht="15.75" customHeight="1" x14ac:dyDescent="0.2">
      <c r="J2910"/>
      <c r="AZ2910"/>
    </row>
    <row r="2911" spans="10:52" ht="15.75" customHeight="1" x14ac:dyDescent="0.2">
      <c r="J2911"/>
      <c r="AZ2911"/>
    </row>
    <row r="2912" spans="10:52" ht="15.75" customHeight="1" x14ac:dyDescent="0.2">
      <c r="J2912"/>
      <c r="AZ2912"/>
    </row>
    <row r="2913" spans="10:52" ht="15.75" customHeight="1" x14ac:dyDescent="0.2">
      <c r="J2913"/>
      <c r="AZ2913"/>
    </row>
    <row r="2914" spans="10:52" ht="15.75" customHeight="1" x14ac:dyDescent="0.2">
      <c r="J2914"/>
      <c r="AZ2914"/>
    </row>
    <row r="2915" spans="10:52" ht="15.75" customHeight="1" x14ac:dyDescent="0.2">
      <c r="J2915"/>
      <c r="AZ2915"/>
    </row>
    <row r="2916" spans="10:52" ht="15.75" customHeight="1" x14ac:dyDescent="0.2">
      <c r="J2916"/>
      <c r="AZ2916"/>
    </row>
    <row r="2917" spans="10:52" ht="15.75" customHeight="1" x14ac:dyDescent="0.2">
      <c r="J2917"/>
      <c r="AZ2917"/>
    </row>
    <row r="2918" spans="10:52" ht="15.75" customHeight="1" x14ac:dyDescent="0.2">
      <c r="J2918"/>
      <c r="AZ2918"/>
    </row>
    <row r="2919" spans="10:52" ht="15.75" customHeight="1" x14ac:dyDescent="0.2">
      <c r="J2919"/>
      <c r="AZ2919"/>
    </row>
    <row r="2920" spans="10:52" ht="15.75" customHeight="1" x14ac:dyDescent="0.2">
      <c r="J2920"/>
      <c r="AZ2920"/>
    </row>
    <row r="2921" spans="10:52" ht="15.75" customHeight="1" x14ac:dyDescent="0.2">
      <c r="J2921"/>
      <c r="AZ2921"/>
    </row>
    <row r="2922" spans="10:52" ht="15.75" customHeight="1" x14ac:dyDescent="0.2">
      <c r="J2922"/>
      <c r="AZ2922"/>
    </row>
    <row r="2923" spans="10:52" ht="15.75" customHeight="1" x14ac:dyDescent="0.2">
      <c r="J2923"/>
      <c r="AZ2923"/>
    </row>
    <row r="2924" spans="10:52" ht="15.75" customHeight="1" x14ac:dyDescent="0.2">
      <c r="J2924"/>
      <c r="AZ2924"/>
    </row>
    <row r="2925" spans="10:52" ht="15.75" customHeight="1" x14ac:dyDescent="0.2">
      <c r="J2925"/>
      <c r="AZ2925"/>
    </row>
    <row r="2926" spans="10:52" ht="15.75" customHeight="1" x14ac:dyDescent="0.2">
      <c r="J2926"/>
      <c r="AZ2926"/>
    </row>
    <row r="2927" spans="10:52" ht="15.75" customHeight="1" x14ac:dyDescent="0.2">
      <c r="J2927"/>
      <c r="AZ2927"/>
    </row>
    <row r="2928" spans="10:52" ht="15.75" customHeight="1" x14ac:dyDescent="0.2">
      <c r="J2928"/>
      <c r="AZ2928"/>
    </row>
    <row r="2929" spans="10:52" ht="15.75" customHeight="1" x14ac:dyDescent="0.2">
      <c r="J2929"/>
      <c r="AZ2929"/>
    </row>
    <row r="2930" spans="10:52" ht="15.75" customHeight="1" x14ac:dyDescent="0.2">
      <c r="J2930"/>
      <c r="AZ2930"/>
    </row>
    <row r="2931" spans="10:52" ht="15.75" customHeight="1" x14ac:dyDescent="0.2">
      <c r="J2931"/>
      <c r="AZ2931"/>
    </row>
    <row r="2932" spans="10:52" ht="15.75" customHeight="1" x14ac:dyDescent="0.2">
      <c r="J2932"/>
      <c r="AZ2932"/>
    </row>
    <row r="2933" spans="10:52" ht="15.75" customHeight="1" x14ac:dyDescent="0.2">
      <c r="J2933"/>
      <c r="AZ2933"/>
    </row>
    <row r="2934" spans="10:52" ht="15.75" customHeight="1" x14ac:dyDescent="0.2">
      <c r="J2934"/>
      <c r="AZ2934"/>
    </row>
    <row r="2935" spans="10:52" ht="15.75" customHeight="1" x14ac:dyDescent="0.2">
      <c r="J2935"/>
      <c r="AZ2935"/>
    </row>
    <row r="2936" spans="10:52" ht="15.75" customHeight="1" x14ac:dyDescent="0.2">
      <c r="J2936"/>
      <c r="AZ2936"/>
    </row>
    <row r="2937" spans="10:52" ht="15.75" customHeight="1" x14ac:dyDescent="0.2">
      <c r="J2937"/>
      <c r="AZ2937"/>
    </row>
    <row r="2938" spans="10:52" ht="15.75" customHeight="1" x14ac:dyDescent="0.2">
      <c r="J2938"/>
      <c r="AZ2938"/>
    </row>
    <row r="2939" spans="10:52" ht="15.75" customHeight="1" x14ac:dyDescent="0.2">
      <c r="J2939"/>
      <c r="AZ2939"/>
    </row>
    <row r="2940" spans="10:52" ht="15.75" customHeight="1" x14ac:dyDescent="0.2">
      <c r="J2940"/>
      <c r="AZ2940"/>
    </row>
    <row r="2941" spans="10:52" ht="15.75" customHeight="1" x14ac:dyDescent="0.2">
      <c r="J2941"/>
      <c r="AZ2941"/>
    </row>
    <row r="2942" spans="10:52" ht="15.75" customHeight="1" x14ac:dyDescent="0.2">
      <c r="J2942"/>
      <c r="AZ2942"/>
    </row>
    <row r="2943" spans="10:52" ht="15.75" customHeight="1" x14ac:dyDescent="0.2">
      <c r="J2943"/>
      <c r="AZ2943"/>
    </row>
    <row r="2944" spans="10:52" ht="15.75" customHeight="1" x14ac:dyDescent="0.2">
      <c r="J2944"/>
      <c r="AZ2944"/>
    </row>
    <row r="2945" spans="10:52" ht="15.75" customHeight="1" x14ac:dyDescent="0.2">
      <c r="J2945"/>
      <c r="AZ2945"/>
    </row>
    <row r="2946" spans="10:52" ht="15.75" customHeight="1" x14ac:dyDescent="0.2">
      <c r="J2946"/>
      <c r="AZ2946"/>
    </row>
    <row r="2947" spans="10:52" ht="15.75" customHeight="1" x14ac:dyDescent="0.2">
      <c r="J2947"/>
      <c r="AZ2947"/>
    </row>
    <row r="2948" spans="10:52" ht="15.75" customHeight="1" x14ac:dyDescent="0.2">
      <c r="J2948"/>
      <c r="AZ2948"/>
    </row>
    <row r="2949" spans="10:52" ht="15.75" customHeight="1" x14ac:dyDescent="0.2">
      <c r="J2949"/>
      <c r="AZ2949"/>
    </row>
    <row r="2950" spans="10:52" ht="15.75" customHeight="1" x14ac:dyDescent="0.2">
      <c r="J2950"/>
      <c r="AZ2950"/>
    </row>
    <row r="2951" spans="10:52" ht="15.75" customHeight="1" x14ac:dyDescent="0.2">
      <c r="J2951"/>
      <c r="AZ2951"/>
    </row>
    <row r="2952" spans="10:52" ht="15.75" customHeight="1" x14ac:dyDescent="0.2">
      <c r="J2952"/>
      <c r="AZ2952"/>
    </row>
    <row r="2953" spans="10:52" ht="15.75" customHeight="1" x14ac:dyDescent="0.2">
      <c r="J2953"/>
      <c r="AZ2953"/>
    </row>
    <row r="2954" spans="10:52" ht="15.75" customHeight="1" x14ac:dyDescent="0.2">
      <c r="J2954"/>
      <c r="AZ2954"/>
    </row>
    <row r="2955" spans="10:52" ht="15.75" customHeight="1" x14ac:dyDescent="0.2">
      <c r="J2955"/>
      <c r="AZ2955"/>
    </row>
    <row r="2956" spans="10:52" ht="15.75" customHeight="1" x14ac:dyDescent="0.2">
      <c r="J2956"/>
      <c r="AZ2956"/>
    </row>
    <row r="2957" spans="10:52" ht="15.75" customHeight="1" x14ac:dyDescent="0.2">
      <c r="J2957"/>
      <c r="AZ2957"/>
    </row>
    <row r="2958" spans="10:52" ht="15.75" customHeight="1" x14ac:dyDescent="0.2">
      <c r="J2958"/>
      <c r="AZ2958"/>
    </row>
    <row r="2959" spans="10:52" ht="15.75" customHeight="1" x14ac:dyDescent="0.2">
      <c r="J2959"/>
      <c r="AZ2959"/>
    </row>
    <row r="2960" spans="10:52" ht="15.75" customHeight="1" x14ac:dyDescent="0.2">
      <c r="J2960"/>
      <c r="AZ2960"/>
    </row>
    <row r="2961" spans="10:52" ht="15.75" customHeight="1" x14ac:dyDescent="0.2">
      <c r="J2961"/>
      <c r="AZ2961"/>
    </row>
    <row r="2962" spans="10:52" ht="15.75" customHeight="1" x14ac:dyDescent="0.2">
      <c r="J2962"/>
      <c r="AZ2962"/>
    </row>
    <row r="2963" spans="10:52" ht="15.75" customHeight="1" x14ac:dyDescent="0.2">
      <c r="J2963"/>
      <c r="AZ2963"/>
    </row>
    <row r="2964" spans="10:52" ht="15.75" customHeight="1" x14ac:dyDescent="0.2">
      <c r="J2964"/>
      <c r="AZ2964"/>
    </row>
    <row r="2965" spans="10:52" ht="15.75" customHeight="1" x14ac:dyDescent="0.2">
      <c r="J2965"/>
      <c r="AZ2965"/>
    </row>
    <row r="2966" spans="10:52" ht="15.75" customHeight="1" x14ac:dyDescent="0.2">
      <c r="J2966"/>
      <c r="AZ2966"/>
    </row>
    <row r="2967" spans="10:52" ht="15.75" customHeight="1" x14ac:dyDescent="0.2">
      <c r="J2967"/>
      <c r="AZ2967"/>
    </row>
    <row r="2968" spans="10:52" ht="15.75" customHeight="1" x14ac:dyDescent="0.2">
      <c r="J2968"/>
      <c r="AZ2968"/>
    </row>
    <row r="2969" spans="10:52" ht="15.75" customHeight="1" x14ac:dyDescent="0.2">
      <c r="J2969"/>
      <c r="AZ2969"/>
    </row>
    <row r="2970" spans="10:52" ht="15.75" customHeight="1" x14ac:dyDescent="0.2">
      <c r="J2970"/>
      <c r="AZ2970"/>
    </row>
    <row r="2971" spans="10:52" ht="15.75" customHeight="1" x14ac:dyDescent="0.2">
      <c r="J2971"/>
      <c r="AZ2971"/>
    </row>
    <row r="2972" spans="10:52" ht="15.75" customHeight="1" x14ac:dyDescent="0.2">
      <c r="J2972"/>
      <c r="AZ2972"/>
    </row>
    <row r="2973" spans="10:52" ht="15.75" customHeight="1" x14ac:dyDescent="0.2">
      <c r="J2973"/>
      <c r="AZ2973"/>
    </row>
    <row r="2974" spans="10:52" ht="15.75" customHeight="1" x14ac:dyDescent="0.2">
      <c r="J2974"/>
      <c r="AZ2974"/>
    </row>
    <row r="2975" spans="10:52" ht="15.75" customHeight="1" x14ac:dyDescent="0.2">
      <c r="J2975"/>
      <c r="AZ2975"/>
    </row>
    <row r="2976" spans="10:52" ht="15.75" customHeight="1" x14ac:dyDescent="0.2">
      <c r="J2976"/>
      <c r="AZ2976"/>
    </row>
    <row r="2977" spans="10:52" ht="15.75" customHeight="1" x14ac:dyDescent="0.2">
      <c r="J2977"/>
      <c r="AZ2977"/>
    </row>
    <row r="2978" spans="10:52" ht="15.75" customHeight="1" x14ac:dyDescent="0.2">
      <c r="J2978"/>
      <c r="AZ2978"/>
    </row>
    <row r="2979" spans="10:52" ht="15.75" customHeight="1" x14ac:dyDescent="0.2">
      <c r="J2979"/>
      <c r="AZ2979"/>
    </row>
    <row r="2980" spans="10:52" ht="15.75" customHeight="1" x14ac:dyDescent="0.2">
      <c r="J2980"/>
      <c r="AZ2980"/>
    </row>
    <row r="2981" spans="10:52" ht="15.75" customHeight="1" x14ac:dyDescent="0.2">
      <c r="J2981"/>
      <c r="AZ2981"/>
    </row>
    <row r="2982" spans="10:52" ht="15.75" customHeight="1" x14ac:dyDescent="0.2">
      <c r="J2982"/>
      <c r="AZ2982"/>
    </row>
    <row r="2983" spans="10:52" ht="15.75" customHeight="1" x14ac:dyDescent="0.2">
      <c r="J2983"/>
      <c r="AZ2983"/>
    </row>
    <row r="2984" spans="10:52" ht="15.75" customHeight="1" x14ac:dyDescent="0.2">
      <c r="J2984"/>
      <c r="AZ2984"/>
    </row>
    <row r="2985" spans="10:52" ht="15.75" customHeight="1" x14ac:dyDescent="0.2">
      <c r="J2985"/>
      <c r="AZ2985"/>
    </row>
    <row r="2986" spans="10:52" ht="15.75" customHeight="1" x14ac:dyDescent="0.2">
      <c r="J2986"/>
      <c r="AZ2986"/>
    </row>
    <row r="2987" spans="10:52" ht="15.75" customHeight="1" x14ac:dyDescent="0.2">
      <c r="J2987"/>
      <c r="AZ2987"/>
    </row>
    <row r="2988" spans="10:52" ht="15.75" customHeight="1" x14ac:dyDescent="0.2">
      <c r="J2988"/>
      <c r="AZ2988"/>
    </row>
    <row r="2989" spans="10:52" ht="15.75" customHeight="1" x14ac:dyDescent="0.2">
      <c r="J2989"/>
      <c r="AZ2989"/>
    </row>
    <row r="2990" spans="10:52" ht="15.75" customHeight="1" x14ac:dyDescent="0.2">
      <c r="J2990"/>
      <c r="AZ2990"/>
    </row>
    <row r="2991" spans="10:52" ht="15.75" customHeight="1" x14ac:dyDescent="0.2">
      <c r="J2991"/>
      <c r="AZ2991"/>
    </row>
    <row r="2992" spans="10:52" ht="15.75" customHeight="1" x14ac:dyDescent="0.2">
      <c r="J2992"/>
      <c r="AZ2992"/>
    </row>
    <row r="2993" spans="10:52" ht="15.75" customHeight="1" x14ac:dyDescent="0.2">
      <c r="J2993"/>
      <c r="AZ2993"/>
    </row>
    <row r="2994" spans="10:52" ht="15.75" customHeight="1" x14ac:dyDescent="0.2">
      <c r="J2994"/>
      <c r="AZ2994"/>
    </row>
    <row r="2995" spans="10:52" ht="15.75" customHeight="1" x14ac:dyDescent="0.2">
      <c r="J2995"/>
      <c r="AZ2995"/>
    </row>
    <row r="2996" spans="10:52" ht="15.75" customHeight="1" x14ac:dyDescent="0.2">
      <c r="J2996"/>
      <c r="AZ2996"/>
    </row>
    <row r="2997" spans="10:52" ht="15.75" customHeight="1" x14ac:dyDescent="0.2">
      <c r="J2997"/>
      <c r="AZ2997"/>
    </row>
    <row r="2998" spans="10:52" ht="15.75" customHeight="1" x14ac:dyDescent="0.2">
      <c r="J2998"/>
      <c r="AZ2998"/>
    </row>
    <row r="2999" spans="10:52" ht="15.75" customHeight="1" x14ac:dyDescent="0.2">
      <c r="J2999"/>
      <c r="AZ2999"/>
    </row>
    <row r="3000" spans="10:52" ht="15.75" customHeight="1" x14ac:dyDescent="0.2">
      <c r="J3000"/>
      <c r="AZ3000"/>
    </row>
    <row r="3001" spans="10:52" ht="15.75" customHeight="1" x14ac:dyDescent="0.2">
      <c r="J3001"/>
      <c r="AZ3001"/>
    </row>
    <row r="3002" spans="10:52" ht="15.75" customHeight="1" x14ac:dyDescent="0.2">
      <c r="J3002"/>
      <c r="AZ3002"/>
    </row>
    <row r="3003" spans="10:52" ht="15.75" customHeight="1" x14ac:dyDescent="0.2">
      <c r="J3003"/>
      <c r="AZ3003"/>
    </row>
    <row r="3004" spans="10:52" ht="15.75" customHeight="1" x14ac:dyDescent="0.2">
      <c r="J3004"/>
      <c r="AZ3004"/>
    </row>
    <row r="3005" spans="10:52" ht="15.75" customHeight="1" x14ac:dyDescent="0.2">
      <c r="J3005"/>
      <c r="AZ3005"/>
    </row>
    <row r="3006" spans="10:52" ht="15.75" customHeight="1" x14ac:dyDescent="0.2">
      <c r="J3006"/>
      <c r="AZ3006"/>
    </row>
    <row r="3007" spans="10:52" ht="15.75" customHeight="1" x14ac:dyDescent="0.2">
      <c r="J3007"/>
      <c r="AZ3007"/>
    </row>
    <row r="3008" spans="10:52" ht="15.75" customHeight="1" x14ac:dyDescent="0.2">
      <c r="J3008"/>
      <c r="AZ3008"/>
    </row>
    <row r="3009" spans="10:52" ht="15.75" customHeight="1" x14ac:dyDescent="0.2">
      <c r="J3009"/>
      <c r="AZ3009"/>
    </row>
    <row r="3010" spans="10:52" ht="15.75" customHeight="1" x14ac:dyDescent="0.2">
      <c r="J3010"/>
      <c r="AZ3010"/>
    </row>
    <row r="3011" spans="10:52" ht="15.75" customHeight="1" x14ac:dyDescent="0.2">
      <c r="J3011"/>
      <c r="AZ3011"/>
    </row>
    <row r="3012" spans="10:52" ht="15.75" customHeight="1" x14ac:dyDescent="0.2">
      <c r="J3012"/>
      <c r="AZ3012"/>
    </row>
    <row r="3013" spans="10:52" ht="15.75" customHeight="1" x14ac:dyDescent="0.2">
      <c r="J3013"/>
      <c r="AZ3013"/>
    </row>
    <row r="3014" spans="10:52" ht="15.75" customHeight="1" x14ac:dyDescent="0.2">
      <c r="J3014"/>
      <c r="AZ3014"/>
    </row>
    <row r="3015" spans="10:52" ht="15.75" customHeight="1" x14ac:dyDescent="0.2">
      <c r="J3015"/>
      <c r="AZ3015"/>
    </row>
    <row r="3016" spans="10:52" ht="15.75" customHeight="1" x14ac:dyDescent="0.2">
      <c r="J3016"/>
      <c r="AZ3016"/>
    </row>
    <row r="3017" spans="10:52" ht="15.75" customHeight="1" x14ac:dyDescent="0.2">
      <c r="J3017"/>
      <c r="AZ3017"/>
    </row>
    <row r="3018" spans="10:52" ht="15.75" customHeight="1" x14ac:dyDescent="0.2">
      <c r="J3018"/>
      <c r="AZ3018"/>
    </row>
    <row r="3019" spans="10:52" ht="15.75" customHeight="1" x14ac:dyDescent="0.2">
      <c r="J3019"/>
      <c r="AZ3019"/>
    </row>
    <row r="3020" spans="10:52" ht="15.75" customHeight="1" x14ac:dyDescent="0.2">
      <c r="J3020"/>
      <c r="AZ3020"/>
    </row>
    <row r="3021" spans="10:52" ht="15.75" customHeight="1" x14ac:dyDescent="0.2">
      <c r="J3021"/>
      <c r="AZ3021"/>
    </row>
    <row r="3022" spans="10:52" ht="15.75" customHeight="1" x14ac:dyDescent="0.2">
      <c r="J3022"/>
      <c r="AZ3022"/>
    </row>
    <row r="3023" spans="10:52" ht="15.75" customHeight="1" x14ac:dyDescent="0.2">
      <c r="J3023"/>
      <c r="AZ3023"/>
    </row>
    <row r="3024" spans="10:52" ht="15.75" customHeight="1" x14ac:dyDescent="0.2">
      <c r="J3024"/>
      <c r="AZ3024"/>
    </row>
    <row r="3025" spans="10:52" ht="15.75" customHeight="1" x14ac:dyDescent="0.2">
      <c r="J3025"/>
      <c r="AZ3025"/>
    </row>
    <row r="3026" spans="10:52" ht="15.75" customHeight="1" x14ac:dyDescent="0.2">
      <c r="J3026"/>
      <c r="AZ3026"/>
    </row>
    <row r="3027" spans="10:52" ht="15.75" customHeight="1" x14ac:dyDescent="0.2">
      <c r="J3027"/>
      <c r="AZ3027"/>
    </row>
    <row r="3028" spans="10:52" ht="15.75" customHeight="1" x14ac:dyDescent="0.2">
      <c r="J3028"/>
      <c r="AZ3028"/>
    </row>
    <row r="3029" spans="10:52" ht="15.75" customHeight="1" x14ac:dyDescent="0.2">
      <c r="J3029"/>
      <c r="AZ3029"/>
    </row>
    <row r="3030" spans="10:52" ht="15.75" customHeight="1" x14ac:dyDescent="0.2">
      <c r="J3030"/>
      <c r="AZ3030"/>
    </row>
    <row r="3031" spans="10:52" ht="15.75" customHeight="1" x14ac:dyDescent="0.2">
      <c r="J3031"/>
      <c r="AZ3031"/>
    </row>
    <row r="3032" spans="10:52" ht="15.75" customHeight="1" x14ac:dyDescent="0.2">
      <c r="J3032"/>
      <c r="AZ3032"/>
    </row>
    <row r="3033" spans="10:52" ht="15.75" customHeight="1" x14ac:dyDescent="0.2">
      <c r="J3033"/>
      <c r="AZ3033"/>
    </row>
    <row r="3034" spans="10:52" ht="15.75" customHeight="1" x14ac:dyDescent="0.2">
      <c r="J3034"/>
      <c r="AZ3034"/>
    </row>
    <row r="3035" spans="10:52" ht="15.75" customHeight="1" x14ac:dyDescent="0.2">
      <c r="J3035"/>
      <c r="AZ3035"/>
    </row>
    <row r="3036" spans="10:52" ht="15.75" customHeight="1" x14ac:dyDescent="0.2">
      <c r="J3036"/>
      <c r="AZ3036"/>
    </row>
    <row r="3037" spans="10:52" ht="15.75" customHeight="1" x14ac:dyDescent="0.2">
      <c r="J3037"/>
      <c r="AZ3037"/>
    </row>
    <row r="3038" spans="10:52" ht="15.75" customHeight="1" x14ac:dyDescent="0.2">
      <c r="J3038"/>
      <c r="AZ3038"/>
    </row>
    <row r="3039" spans="10:52" ht="15.75" customHeight="1" x14ac:dyDescent="0.2">
      <c r="J3039"/>
      <c r="AZ3039"/>
    </row>
    <row r="3040" spans="10:52" ht="15.75" customHeight="1" x14ac:dyDescent="0.2">
      <c r="J3040"/>
      <c r="AZ3040"/>
    </row>
    <row r="3041" spans="10:52" ht="15.75" customHeight="1" x14ac:dyDescent="0.2">
      <c r="J3041"/>
      <c r="AZ3041"/>
    </row>
    <row r="3042" spans="10:52" ht="15.75" customHeight="1" x14ac:dyDescent="0.2">
      <c r="J3042"/>
      <c r="AZ3042"/>
    </row>
    <row r="3043" spans="10:52" ht="15.75" customHeight="1" x14ac:dyDescent="0.2">
      <c r="J3043"/>
      <c r="AZ3043"/>
    </row>
    <row r="3044" spans="10:52" ht="15.75" customHeight="1" x14ac:dyDescent="0.2">
      <c r="J3044"/>
      <c r="AZ3044"/>
    </row>
    <row r="3045" spans="10:52" ht="15.75" customHeight="1" x14ac:dyDescent="0.2">
      <c r="J3045"/>
      <c r="AZ3045"/>
    </row>
    <row r="3046" spans="10:52" ht="15.75" customHeight="1" x14ac:dyDescent="0.2">
      <c r="J3046"/>
      <c r="AZ3046"/>
    </row>
    <row r="3047" spans="10:52" ht="15.75" customHeight="1" x14ac:dyDescent="0.2">
      <c r="J3047"/>
      <c r="AZ3047"/>
    </row>
    <row r="3048" spans="10:52" ht="15.75" customHeight="1" x14ac:dyDescent="0.2">
      <c r="J3048"/>
      <c r="AZ3048"/>
    </row>
    <row r="3049" spans="10:52" ht="15.75" customHeight="1" x14ac:dyDescent="0.2">
      <c r="J3049"/>
      <c r="AZ3049"/>
    </row>
    <row r="3050" spans="10:52" ht="15.75" customHeight="1" x14ac:dyDescent="0.2">
      <c r="J3050"/>
      <c r="AZ3050"/>
    </row>
    <row r="3051" spans="10:52" ht="15.75" customHeight="1" x14ac:dyDescent="0.2">
      <c r="J3051"/>
      <c r="AZ3051"/>
    </row>
    <row r="3052" spans="10:52" ht="15.75" customHeight="1" x14ac:dyDescent="0.2">
      <c r="J3052"/>
      <c r="AZ3052"/>
    </row>
    <row r="3053" spans="10:52" ht="15.75" customHeight="1" x14ac:dyDescent="0.2">
      <c r="J3053"/>
      <c r="AZ3053"/>
    </row>
    <row r="3054" spans="10:52" ht="15.75" customHeight="1" x14ac:dyDescent="0.2">
      <c r="J3054"/>
      <c r="AZ3054"/>
    </row>
    <row r="3055" spans="10:52" ht="15.75" customHeight="1" x14ac:dyDescent="0.2">
      <c r="J3055"/>
      <c r="AZ3055"/>
    </row>
    <row r="3056" spans="10:52" ht="15.75" customHeight="1" x14ac:dyDescent="0.2">
      <c r="J3056"/>
      <c r="AZ3056"/>
    </row>
    <row r="3057" spans="10:52" ht="15.75" customHeight="1" x14ac:dyDescent="0.2">
      <c r="J3057"/>
      <c r="AZ3057"/>
    </row>
    <row r="3058" spans="10:52" ht="15.75" customHeight="1" x14ac:dyDescent="0.2">
      <c r="J3058"/>
      <c r="AZ3058"/>
    </row>
    <row r="3059" spans="10:52" ht="15.75" customHeight="1" x14ac:dyDescent="0.2">
      <c r="J3059"/>
      <c r="AZ3059"/>
    </row>
    <row r="3060" spans="10:52" ht="15.75" customHeight="1" x14ac:dyDescent="0.2">
      <c r="J3060"/>
      <c r="AZ3060"/>
    </row>
    <row r="3061" spans="10:52" ht="15.75" customHeight="1" x14ac:dyDescent="0.2">
      <c r="J3061"/>
      <c r="AZ3061"/>
    </row>
    <row r="3062" spans="10:52" ht="15.75" customHeight="1" x14ac:dyDescent="0.2">
      <c r="J3062"/>
      <c r="AZ3062"/>
    </row>
    <row r="3063" spans="10:52" ht="15.75" customHeight="1" x14ac:dyDescent="0.2">
      <c r="J3063"/>
      <c r="AZ3063"/>
    </row>
    <row r="3064" spans="10:52" ht="15.75" customHeight="1" x14ac:dyDescent="0.2">
      <c r="J3064"/>
      <c r="AZ3064"/>
    </row>
    <row r="3065" spans="10:52" ht="15.75" customHeight="1" x14ac:dyDescent="0.2">
      <c r="J3065"/>
      <c r="AZ3065"/>
    </row>
    <row r="3066" spans="10:52" ht="15.75" customHeight="1" x14ac:dyDescent="0.2">
      <c r="J3066"/>
      <c r="AZ3066"/>
    </row>
    <row r="3067" spans="10:52" ht="15.75" customHeight="1" x14ac:dyDescent="0.2">
      <c r="J3067"/>
      <c r="AZ3067"/>
    </row>
    <row r="3068" spans="10:52" ht="15.75" customHeight="1" x14ac:dyDescent="0.2">
      <c r="J3068"/>
      <c r="AZ3068"/>
    </row>
    <row r="3069" spans="10:52" ht="15.75" customHeight="1" x14ac:dyDescent="0.2">
      <c r="J3069"/>
      <c r="AZ3069"/>
    </row>
    <row r="3070" spans="10:52" ht="15.75" customHeight="1" x14ac:dyDescent="0.2">
      <c r="J3070"/>
      <c r="AZ3070"/>
    </row>
    <row r="3071" spans="10:52" ht="15.75" customHeight="1" x14ac:dyDescent="0.2">
      <c r="J3071"/>
      <c r="AZ3071"/>
    </row>
    <row r="3072" spans="10:52" ht="15.75" customHeight="1" x14ac:dyDescent="0.2">
      <c r="J3072"/>
      <c r="AZ3072"/>
    </row>
    <row r="3073" spans="10:52" ht="15.75" customHeight="1" x14ac:dyDescent="0.2">
      <c r="J3073"/>
      <c r="AZ3073"/>
    </row>
    <row r="3074" spans="10:52" ht="15.75" customHeight="1" x14ac:dyDescent="0.2">
      <c r="J3074"/>
      <c r="AZ3074"/>
    </row>
    <row r="3075" spans="10:52" ht="15.75" customHeight="1" x14ac:dyDescent="0.2">
      <c r="J3075"/>
      <c r="AZ3075"/>
    </row>
    <row r="3076" spans="10:52" ht="15.75" customHeight="1" x14ac:dyDescent="0.2">
      <c r="J3076"/>
      <c r="AZ3076"/>
    </row>
    <row r="3077" spans="10:52" ht="15.75" customHeight="1" x14ac:dyDescent="0.2">
      <c r="J3077"/>
      <c r="AZ3077"/>
    </row>
    <row r="3078" spans="10:52" ht="15.75" customHeight="1" x14ac:dyDescent="0.2">
      <c r="J3078"/>
      <c r="AZ3078"/>
    </row>
    <row r="3079" spans="10:52" ht="15.75" customHeight="1" x14ac:dyDescent="0.2">
      <c r="J3079"/>
      <c r="AZ3079"/>
    </row>
    <row r="3080" spans="10:52" ht="15.75" customHeight="1" x14ac:dyDescent="0.2">
      <c r="J3080"/>
      <c r="AZ3080"/>
    </row>
    <row r="3081" spans="10:52" ht="15.75" customHeight="1" x14ac:dyDescent="0.2">
      <c r="J3081"/>
      <c r="AZ3081"/>
    </row>
    <row r="3082" spans="10:52" ht="15.75" customHeight="1" x14ac:dyDescent="0.2">
      <c r="J3082"/>
      <c r="AZ3082"/>
    </row>
    <row r="3083" spans="10:52" ht="15.75" customHeight="1" x14ac:dyDescent="0.2">
      <c r="J3083"/>
      <c r="AZ3083"/>
    </row>
    <row r="3084" spans="10:52" ht="15.75" customHeight="1" x14ac:dyDescent="0.2">
      <c r="J3084"/>
      <c r="AZ3084"/>
    </row>
    <row r="3085" spans="10:52" ht="15.75" customHeight="1" x14ac:dyDescent="0.2">
      <c r="J3085"/>
      <c r="AZ3085"/>
    </row>
    <row r="3086" spans="10:52" ht="15.75" customHeight="1" x14ac:dyDescent="0.2">
      <c r="J3086"/>
      <c r="AZ3086"/>
    </row>
    <row r="3087" spans="10:52" ht="15.75" customHeight="1" x14ac:dyDescent="0.2">
      <c r="J3087"/>
      <c r="AZ3087"/>
    </row>
    <row r="3088" spans="10:52" ht="15.75" customHeight="1" x14ac:dyDescent="0.2">
      <c r="J3088"/>
      <c r="AZ3088"/>
    </row>
    <row r="3089" spans="10:52" ht="15.75" customHeight="1" x14ac:dyDescent="0.2">
      <c r="J3089"/>
      <c r="AZ3089"/>
    </row>
    <row r="3090" spans="10:52" ht="15.75" customHeight="1" x14ac:dyDescent="0.2">
      <c r="J3090"/>
      <c r="AZ3090"/>
    </row>
    <row r="3091" spans="10:52" ht="15.75" customHeight="1" x14ac:dyDescent="0.2">
      <c r="J3091"/>
      <c r="AZ3091"/>
    </row>
    <row r="3092" spans="10:52" ht="15.75" customHeight="1" x14ac:dyDescent="0.2">
      <c r="J3092"/>
      <c r="AZ3092"/>
    </row>
    <row r="3093" spans="10:52" ht="15.75" customHeight="1" x14ac:dyDescent="0.2">
      <c r="J3093"/>
      <c r="AZ3093"/>
    </row>
    <row r="3094" spans="10:52" ht="15.75" customHeight="1" x14ac:dyDescent="0.2">
      <c r="J3094"/>
      <c r="AZ3094"/>
    </row>
    <row r="3095" spans="10:52" ht="15.75" customHeight="1" x14ac:dyDescent="0.2">
      <c r="J3095"/>
      <c r="AZ3095"/>
    </row>
    <row r="3096" spans="10:52" ht="15.75" customHeight="1" x14ac:dyDescent="0.2">
      <c r="J3096"/>
      <c r="AZ3096"/>
    </row>
    <row r="3097" spans="10:52" ht="15.75" customHeight="1" x14ac:dyDescent="0.2">
      <c r="J3097"/>
      <c r="AZ3097"/>
    </row>
    <row r="3098" spans="10:52" ht="15.75" customHeight="1" x14ac:dyDescent="0.2">
      <c r="J3098"/>
      <c r="AZ3098"/>
    </row>
    <row r="3099" spans="10:52" ht="15.75" customHeight="1" x14ac:dyDescent="0.2">
      <c r="J3099"/>
      <c r="AZ3099"/>
    </row>
    <row r="3100" spans="10:52" ht="15.75" customHeight="1" x14ac:dyDescent="0.2">
      <c r="J3100"/>
      <c r="AZ3100"/>
    </row>
    <row r="3101" spans="10:52" ht="15.75" customHeight="1" x14ac:dyDescent="0.2">
      <c r="J3101"/>
      <c r="AZ3101"/>
    </row>
    <row r="3102" spans="10:52" ht="15.75" customHeight="1" x14ac:dyDescent="0.2">
      <c r="J3102"/>
      <c r="AZ3102"/>
    </row>
    <row r="3103" spans="10:52" ht="15.75" customHeight="1" x14ac:dyDescent="0.2">
      <c r="J3103"/>
      <c r="AZ3103"/>
    </row>
    <row r="3104" spans="10:52" ht="15.75" customHeight="1" x14ac:dyDescent="0.2">
      <c r="J3104"/>
      <c r="AZ3104"/>
    </row>
    <row r="3105" spans="10:52" ht="15.75" customHeight="1" x14ac:dyDescent="0.2">
      <c r="J3105"/>
      <c r="AZ3105"/>
    </row>
    <row r="3106" spans="10:52" ht="15.75" customHeight="1" x14ac:dyDescent="0.2">
      <c r="J3106"/>
      <c r="AZ3106"/>
    </row>
    <row r="3107" spans="10:52" ht="15.75" customHeight="1" x14ac:dyDescent="0.2">
      <c r="J3107"/>
      <c r="AZ3107"/>
    </row>
    <row r="3108" spans="10:52" ht="15.75" customHeight="1" x14ac:dyDescent="0.2">
      <c r="J3108"/>
      <c r="AZ3108"/>
    </row>
    <row r="3109" spans="10:52" ht="15.75" customHeight="1" x14ac:dyDescent="0.2">
      <c r="J3109"/>
      <c r="AZ3109"/>
    </row>
    <row r="3110" spans="10:52" ht="15.75" customHeight="1" x14ac:dyDescent="0.2">
      <c r="J3110"/>
      <c r="AZ3110"/>
    </row>
    <row r="3111" spans="10:52" ht="15.75" customHeight="1" x14ac:dyDescent="0.2">
      <c r="J3111"/>
      <c r="AZ3111"/>
    </row>
    <row r="3112" spans="10:52" ht="15.75" customHeight="1" x14ac:dyDescent="0.2">
      <c r="J3112"/>
      <c r="AZ3112"/>
    </row>
    <row r="3113" spans="10:52" ht="15.75" customHeight="1" x14ac:dyDescent="0.2">
      <c r="J3113"/>
      <c r="AZ3113"/>
    </row>
    <row r="3114" spans="10:52" ht="15.75" customHeight="1" x14ac:dyDescent="0.2">
      <c r="J3114"/>
      <c r="AZ3114"/>
    </row>
    <row r="3115" spans="10:52" ht="15.75" customHeight="1" x14ac:dyDescent="0.2">
      <c r="J3115"/>
      <c r="AZ3115"/>
    </row>
    <row r="3116" spans="10:52" ht="15.75" customHeight="1" x14ac:dyDescent="0.2">
      <c r="J3116"/>
      <c r="AZ3116"/>
    </row>
    <row r="3117" spans="10:52" ht="15.75" customHeight="1" x14ac:dyDescent="0.2">
      <c r="J3117"/>
      <c r="AZ3117"/>
    </row>
    <row r="3118" spans="10:52" ht="15.75" customHeight="1" x14ac:dyDescent="0.2">
      <c r="J3118"/>
      <c r="AZ3118"/>
    </row>
    <row r="3119" spans="10:52" ht="15.75" customHeight="1" x14ac:dyDescent="0.2">
      <c r="J3119"/>
      <c r="AZ3119"/>
    </row>
    <row r="3120" spans="10:52" ht="15.75" customHeight="1" x14ac:dyDescent="0.2">
      <c r="J3120"/>
      <c r="AZ3120"/>
    </row>
    <row r="3121" spans="10:52" ht="15.75" customHeight="1" x14ac:dyDescent="0.2">
      <c r="J3121"/>
      <c r="AZ3121"/>
    </row>
    <row r="3122" spans="10:52" ht="15.75" customHeight="1" x14ac:dyDescent="0.2">
      <c r="J3122"/>
      <c r="AZ3122"/>
    </row>
    <row r="3123" spans="10:52" ht="15.75" customHeight="1" x14ac:dyDescent="0.2">
      <c r="J3123"/>
      <c r="AZ3123"/>
    </row>
    <row r="3124" spans="10:52" ht="15.75" customHeight="1" x14ac:dyDescent="0.2">
      <c r="J3124"/>
      <c r="AZ3124"/>
    </row>
    <row r="3125" spans="10:52" ht="15.75" customHeight="1" x14ac:dyDescent="0.2">
      <c r="J3125"/>
      <c r="AZ3125"/>
    </row>
    <row r="3126" spans="10:52" ht="15.75" customHeight="1" x14ac:dyDescent="0.2">
      <c r="J3126"/>
      <c r="AZ3126"/>
    </row>
    <row r="3127" spans="10:52" ht="15.75" customHeight="1" x14ac:dyDescent="0.2">
      <c r="J3127"/>
      <c r="AZ3127"/>
    </row>
    <row r="3128" spans="10:52" ht="15.75" customHeight="1" x14ac:dyDescent="0.2">
      <c r="J3128"/>
      <c r="AZ3128"/>
    </row>
    <row r="3129" spans="10:52" ht="15.75" customHeight="1" x14ac:dyDescent="0.2">
      <c r="J3129"/>
      <c r="AZ3129"/>
    </row>
    <row r="3130" spans="10:52" ht="15.75" customHeight="1" x14ac:dyDescent="0.2">
      <c r="J3130"/>
      <c r="AZ3130"/>
    </row>
    <row r="3131" spans="10:52" ht="15.75" customHeight="1" x14ac:dyDescent="0.2">
      <c r="J3131"/>
      <c r="AZ3131"/>
    </row>
    <row r="3132" spans="10:52" ht="15.75" customHeight="1" x14ac:dyDescent="0.2">
      <c r="J3132"/>
      <c r="AZ3132"/>
    </row>
    <row r="3133" spans="10:52" ht="15.75" customHeight="1" x14ac:dyDescent="0.2">
      <c r="J3133"/>
      <c r="AZ3133"/>
    </row>
    <row r="3134" spans="10:52" ht="15.75" customHeight="1" x14ac:dyDescent="0.2">
      <c r="J3134"/>
      <c r="AZ3134"/>
    </row>
    <row r="3135" spans="10:52" ht="15.75" customHeight="1" x14ac:dyDescent="0.2">
      <c r="J3135"/>
      <c r="AZ3135"/>
    </row>
    <row r="3136" spans="10:52" ht="15.75" customHeight="1" x14ac:dyDescent="0.2">
      <c r="J3136"/>
      <c r="AZ3136"/>
    </row>
    <row r="3137" spans="10:52" ht="15.75" customHeight="1" x14ac:dyDescent="0.2">
      <c r="J3137"/>
      <c r="AZ3137"/>
    </row>
    <row r="3138" spans="10:52" ht="15.75" customHeight="1" x14ac:dyDescent="0.2">
      <c r="J3138"/>
      <c r="AZ3138"/>
    </row>
    <row r="3139" spans="10:52" ht="15.75" customHeight="1" x14ac:dyDescent="0.2">
      <c r="J3139"/>
      <c r="AZ3139"/>
    </row>
    <row r="3140" spans="10:52" ht="15.75" customHeight="1" x14ac:dyDescent="0.2">
      <c r="J3140"/>
      <c r="AZ3140"/>
    </row>
    <row r="3141" spans="10:52" ht="15.75" customHeight="1" x14ac:dyDescent="0.2">
      <c r="J3141"/>
      <c r="AZ3141"/>
    </row>
    <row r="3142" spans="10:52" ht="15.75" customHeight="1" x14ac:dyDescent="0.2">
      <c r="J3142"/>
      <c r="AZ3142"/>
    </row>
    <row r="3143" spans="10:52" ht="15.75" customHeight="1" x14ac:dyDescent="0.2">
      <c r="J3143"/>
      <c r="AZ3143"/>
    </row>
    <row r="3144" spans="10:52" ht="15.75" customHeight="1" x14ac:dyDescent="0.2">
      <c r="J3144"/>
      <c r="AZ3144"/>
    </row>
    <row r="3145" spans="10:52" ht="15.75" customHeight="1" x14ac:dyDescent="0.2">
      <c r="J3145"/>
      <c r="AZ3145"/>
    </row>
    <row r="3146" spans="10:52" ht="15.75" customHeight="1" x14ac:dyDescent="0.2">
      <c r="J3146"/>
      <c r="AZ3146"/>
    </row>
    <row r="3147" spans="10:52" ht="15.75" customHeight="1" x14ac:dyDescent="0.2">
      <c r="J3147"/>
      <c r="AZ3147"/>
    </row>
    <row r="3148" spans="10:52" ht="15.75" customHeight="1" x14ac:dyDescent="0.2">
      <c r="J3148"/>
      <c r="AZ3148"/>
    </row>
    <row r="3149" spans="10:52" ht="15.75" customHeight="1" x14ac:dyDescent="0.2">
      <c r="J3149"/>
      <c r="AZ3149"/>
    </row>
    <row r="3150" spans="10:52" ht="15.75" customHeight="1" x14ac:dyDescent="0.2">
      <c r="J3150"/>
      <c r="AZ3150"/>
    </row>
    <row r="3151" spans="10:52" ht="15.75" customHeight="1" x14ac:dyDescent="0.2">
      <c r="J3151"/>
      <c r="AZ3151"/>
    </row>
    <row r="3152" spans="10:52" ht="15.75" customHeight="1" x14ac:dyDescent="0.2">
      <c r="J3152"/>
      <c r="AZ3152"/>
    </row>
    <row r="3153" spans="10:52" ht="15.75" customHeight="1" x14ac:dyDescent="0.2">
      <c r="J3153"/>
      <c r="AZ3153"/>
    </row>
    <row r="3154" spans="10:52" ht="15.75" customHeight="1" x14ac:dyDescent="0.2">
      <c r="J3154"/>
      <c r="AZ3154"/>
    </row>
    <row r="3155" spans="10:52" ht="15.75" customHeight="1" x14ac:dyDescent="0.2">
      <c r="J3155"/>
      <c r="AZ3155"/>
    </row>
    <row r="3156" spans="10:52" ht="15.75" customHeight="1" x14ac:dyDescent="0.2">
      <c r="J3156"/>
      <c r="AZ3156"/>
    </row>
    <row r="3157" spans="10:52" ht="15.75" customHeight="1" x14ac:dyDescent="0.2">
      <c r="J3157"/>
      <c r="AZ3157"/>
    </row>
    <row r="3158" spans="10:52" ht="15.75" customHeight="1" x14ac:dyDescent="0.2">
      <c r="J3158"/>
      <c r="AZ3158"/>
    </row>
    <row r="3159" spans="10:52" ht="15.75" customHeight="1" x14ac:dyDescent="0.2">
      <c r="J3159"/>
      <c r="AZ3159"/>
    </row>
    <row r="3160" spans="10:52" ht="15.75" customHeight="1" x14ac:dyDescent="0.2">
      <c r="J3160"/>
      <c r="AZ3160"/>
    </row>
    <row r="3161" spans="10:52" ht="15.75" customHeight="1" x14ac:dyDescent="0.2">
      <c r="J3161"/>
      <c r="AZ3161"/>
    </row>
    <row r="3162" spans="10:52" ht="15.75" customHeight="1" x14ac:dyDescent="0.2">
      <c r="J3162"/>
      <c r="AZ3162"/>
    </row>
    <row r="3163" spans="10:52" ht="15.75" customHeight="1" x14ac:dyDescent="0.2">
      <c r="J3163"/>
      <c r="AZ3163"/>
    </row>
    <row r="3164" spans="10:52" ht="15.75" customHeight="1" x14ac:dyDescent="0.2">
      <c r="J3164"/>
      <c r="AZ3164"/>
    </row>
    <row r="3165" spans="10:52" ht="15.75" customHeight="1" x14ac:dyDescent="0.2">
      <c r="J3165"/>
      <c r="AZ3165"/>
    </row>
    <row r="3166" spans="10:52" ht="15.75" customHeight="1" x14ac:dyDescent="0.2">
      <c r="J3166"/>
      <c r="AZ3166"/>
    </row>
    <row r="3167" spans="10:52" ht="15.75" customHeight="1" x14ac:dyDescent="0.2">
      <c r="J3167"/>
      <c r="AZ3167"/>
    </row>
    <row r="3168" spans="10:52" ht="15.75" customHeight="1" x14ac:dyDescent="0.2">
      <c r="J3168"/>
      <c r="AZ3168"/>
    </row>
    <row r="3169" spans="10:52" ht="15.75" customHeight="1" x14ac:dyDescent="0.2">
      <c r="J3169"/>
      <c r="AZ3169"/>
    </row>
    <row r="3170" spans="10:52" ht="15.75" customHeight="1" x14ac:dyDescent="0.2">
      <c r="J3170"/>
      <c r="AZ3170"/>
    </row>
    <row r="3171" spans="10:52" ht="15.75" customHeight="1" x14ac:dyDescent="0.2">
      <c r="J3171"/>
      <c r="AZ3171"/>
    </row>
    <row r="3172" spans="10:52" ht="15.75" customHeight="1" x14ac:dyDescent="0.2">
      <c r="J3172"/>
      <c r="AZ3172"/>
    </row>
    <row r="3173" spans="10:52" ht="15.75" customHeight="1" x14ac:dyDescent="0.2">
      <c r="J3173"/>
      <c r="AZ3173"/>
    </row>
    <row r="3174" spans="10:52" ht="15.75" customHeight="1" x14ac:dyDescent="0.2">
      <c r="J3174"/>
      <c r="AZ3174"/>
    </row>
    <row r="3175" spans="10:52" ht="15.75" customHeight="1" x14ac:dyDescent="0.2">
      <c r="J3175"/>
      <c r="AZ3175"/>
    </row>
    <row r="3176" spans="10:52" ht="15.75" customHeight="1" x14ac:dyDescent="0.2">
      <c r="J3176"/>
      <c r="AZ3176"/>
    </row>
    <row r="3177" spans="10:52" ht="15.75" customHeight="1" x14ac:dyDescent="0.2">
      <c r="J3177"/>
      <c r="AZ3177"/>
    </row>
    <row r="3178" spans="10:52" ht="15.75" customHeight="1" x14ac:dyDescent="0.2">
      <c r="J3178"/>
      <c r="AZ3178"/>
    </row>
    <row r="3179" spans="10:52" ht="15.75" customHeight="1" x14ac:dyDescent="0.2">
      <c r="J3179"/>
      <c r="AZ3179"/>
    </row>
    <row r="3180" spans="10:52" ht="15.75" customHeight="1" x14ac:dyDescent="0.2">
      <c r="J3180"/>
      <c r="AZ3180"/>
    </row>
    <row r="3181" spans="10:52" ht="15.75" customHeight="1" x14ac:dyDescent="0.2">
      <c r="J3181"/>
      <c r="AZ3181"/>
    </row>
    <row r="3182" spans="10:52" ht="15.75" customHeight="1" x14ac:dyDescent="0.2">
      <c r="J3182"/>
      <c r="AZ3182"/>
    </row>
    <row r="3183" spans="10:52" ht="15.75" customHeight="1" x14ac:dyDescent="0.2">
      <c r="J3183"/>
      <c r="AZ3183"/>
    </row>
    <row r="3184" spans="10:52" ht="15.75" customHeight="1" x14ac:dyDescent="0.2">
      <c r="J3184"/>
      <c r="AZ3184"/>
    </row>
    <row r="3185" spans="10:52" ht="15.75" customHeight="1" x14ac:dyDescent="0.2">
      <c r="J3185"/>
      <c r="AZ3185"/>
    </row>
    <row r="3186" spans="10:52" ht="15.75" customHeight="1" x14ac:dyDescent="0.2">
      <c r="J3186"/>
      <c r="AZ3186"/>
    </row>
    <row r="3187" spans="10:52" ht="15.75" customHeight="1" x14ac:dyDescent="0.2">
      <c r="J3187"/>
      <c r="AZ3187"/>
    </row>
    <row r="3188" spans="10:52" ht="15.75" customHeight="1" x14ac:dyDescent="0.2">
      <c r="J3188"/>
      <c r="AZ3188"/>
    </row>
    <row r="3189" spans="10:52" ht="15.75" customHeight="1" x14ac:dyDescent="0.2">
      <c r="J3189"/>
      <c r="AZ3189"/>
    </row>
    <row r="3190" spans="10:52" ht="15.75" customHeight="1" x14ac:dyDescent="0.2">
      <c r="J3190"/>
      <c r="AZ3190"/>
    </row>
    <row r="3191" spans="10:52" ht="15.75" customHeight="1" x14ac:dyDescent="0.2">
      <c r="J3191"/>
      <c r="AZ3191"/>
    </row>
    <row r="3192" spans="10:52" ht="15.75" customHeight="1" x14ac:dyDescent="0.2">
      <c r="J3192"/>
      <c r="AZ3192"/>
    </row>
    <row r="3193" spans="10:52" ht="15.75" customHeight="1" x14ac:dyDescent="0.2">
      <c r="J3193"/>
      <c r="AZ3193"/>
    </row>
    <row r="3194" spans="10:52" ht="15.75" customHeight="1" x14ac:dyDescent="0.2">
      <c r="J3194"/>
      <c r="AZ3194"/>
    </row>
    <row r="3195" spans="10:52" ht="15.75" customHeight="1" x14ac:dyDescent="0.2">
      <c r="J3195"/>
      <c r="AZ3195"/>
    </row>
    <row r="3196" spans="10:52" ht="15.75" customHeight="1" x14ac:dyDescent="0.2">
      <c r="J3196"/>
      <c r="AZ3196"/>
    </row>
    <row r="3197" spans="10:52" ht="15.75" customHeight="1" x14ac:dyDescent="0.2">
      <c r="J3197"/>
      <c r="AZ3197"/>
    </row>
    <row r="3198" spans="10:52" ht="15.75" customHeight="1" x14ac:dyDescent="0.2">
      <c r="J3198"/>
      <c r="AZ3198"/>
    </row>
    <row r="3199" spans="10:52" ht="15.75" customHeight="1" x14ac:dyDescent="0.2">
      <c r="J3199"/>
      <c r="AZ3199"/>
    </row>
    <row r="3200" spans="10:52" ht="15.75" customHeight="1" x14ac:dyDescent="0.2">
      <c r="J3200"/>
      <c r="AZ3200"/>
    </row>
    <row r="3201" spans="10:52" ht="15.75" customHeight="1" x14ac:dyDescent="0.2">
      <c r="J3201"/>
      <c r="AZ3201"/>
    </row>
    <row r="3202" spans="10:52" ht="15.75" customHeight="1" x14ac:dyDescent="0.2">
      <c r="J3202"/>
      <c r="AZ3202"/>
    </row>
    <row r="3203" spans="10:52" ht="15.75" customHeight="1" x14ac:dyDescent="0.2">
      <c r="J3203"/>
      <c r="AZ3203"/>
    </row>
    <row r="3204" spans="10:52" ht="15.75" customHeight="1" x14ac:dyDescent="0.2">
      <c r="J3204"/>
      <c r="AZ3204"/>
    </row>
    <row r="3205" spans="10:52" ht="15.75" customHeight="1" x14ac:dyDescent="0.2">
      <c r="J3205"/>
      <c r="AZ3205"/>
    </row>
    <row r="3206" spans="10:52" ht="15.75" customHeight="1" x14ac:dyDescent="0.2">
      <c r="J3206"/>
      <c r="AZ3206"/>
    </row>
    <row r="3207" spans="10:52" ht="15.75" customHeight="1" x14ac:dyDescent="0.2">
      <c r="J3207"/>
      <c r="AZ3207"/>
    </row>
    <row r="3208" spans="10:52" ht="15.75" customHeight="1" x14ac:dyDescent="0.2">
      <c r="J3208"/>
      <c r="AZ3208"/>
    </row>
    <row r="3209" spans="10:52" ht="15.75" customHeight="1" x14ac:dyDescent="0.2">
      <c r="J3209"/>
      <c r="AZ3209"/>
    </row>
    <row r="3210" spans="10:52" ht="15.75" customHeight="1" x14ac:dyDescent="0.2">
      <c r="J3210"/>
      <c r="AZ3210"/>
    </row>
    <row r="3211" spans="10:52" ht="15.75" customHeight="1" x14ac:dyDescent="0.2">
      <c r="J3211"/>
      <c r="AZ3211"/>
    </row>
    <row r="3212" spans="10:52" ht="15.75" customHeight="1" x14ac:dyDescent="0.2">
      <c r="J3212"/>
      <c r="AZ3212"/>
    </row>
    <row r="3213" spans="10:52" ht="15.75" customHeight="1" x14ac:dyDescent="0.2">
      <c r="J3213"/>
      <c r="AZ3213"/>
    </row>
    <row r="3214" spans="10:52" ht="15.75" customHeight="1" x14ac:dyDescent="0.2">
      <c r="J3214"/>
      <c r="AZ3214"/>
    </row>
    <row r="3215" spans="10:52" ht="15.75" customHeight="1" x14ac:dyDescent="0.2">
      <c r="J3215"/>
      <c r="AZ3215"/>
    </row>
    <row r="3216" spans="10:52" ht="15.75" customHeight="1" x14ac:dyDescent="0.2">
      <c r="J3216"/>
      <c r="AZ3216"/>
    </row>
    <row r="3217" spans="10:52" ht="15.75" customHeight="1" x14ac:dyDescent="0.2">
      <c r="J3217"/>
      <c r="AZ3217"/>
    </row>
    <row r="3218" spans="10:52" ht="15.75" customHeight="1" x14ac:dyDescent="0.2">
      <c r="J3218"/>
      <c r="AZ3218"/>
    </row>
    <row r="3219" spans="10:52" ht="15.75" customHeight="1" x14ac:dyDescent="0.2">
      <c r="J3219"/>
      <c r="AZ3219"/>
    </row>
    <row r="3220" spans="10:52" ht="15.75" customHeight="1" x14ac:dyDescent="0.2">
      <c r="J3220"/>
      <c r="AZ3220"/>
    </row>
    <row r="3221" spans="10:52" ht="15.75" customHeight="1" x14ac:dyDescent="0.2">
      <c r="J3221"/>
      <c r="AZ3221"/>
    </row>
    <row r="3222" spans="10:52" ht="15.75" customHeight="1" x14ac:dyDescent="0.2">
      <c r="J3222"/>
      <c r="AZ3222"/>
    </row>
    <row r="3223" spans="10:52" ht="15.75" customHeight="1" x14ac:dyDescent="0.2">
      <c r="J3223"/>
      <c r="AZ3223"/>
    </row>
    <row r="3224" spans="10:52" ht="15.75" customHeight="1" x14ac:dyDescent="0.2">
      <c r="J3224"/>
      <c r="AZ3224"/>
    </row>
    <row r="3225" spans="10:52" ht="15.75" customHeight="1" x14ac:dyDescent="0.2">
      <c r="J3225"/>
      <c r="AZ3225"/>
    </row>
    <row r="3226" spans="10:52" ht="15.75" customHeight="1" x14ac:dyDescent="0.2">
      <c r="J3226"/>
      <c r="AZ3226"/>
    </row>
    <row r="3227" spans="10:52" ht="15.75" customHeight="1" x14ac:dyDescent="0.2">
      <c r="J3227"/>
      <c r="AZ3227"/>
    </row>
    <row r="3228" spans="10:52" ht="15.75" customHeight="1" x14ac:dyDescent="0.2">
      <c r="J3228"/>
      <c r="AZ3228"/>
    </row>
    <row r="3229" spans="10:52" ht="15.75" customHeight="1" x14ac:dyDescent="0.2">
      <c r="J3229"/>
      <c r="AZ3229"/>
    </row>
    <row r="3230" spans="10:52" ht="15.75" customHeight="1" x14ac:dyDescent="0.2">
      <c r="J3230"/>
      <c r="AZ3230"/>
    </row>
    <row r="3231" spans="10:52" ht="15.75" customHeight="1" x14ac:dyDescent="0.2">
      <c r="J3231"/>
      <c r="AZ3231"/>
    </row>
    <row r="3232" spans="10:52" ht="15.75" customHeight="1" x14ac:dyDescent="0.2">
      <c r="J3232"/>
      <c r="AZ3232"/>
    </row>
    <row r="3233" spans="10:52" ht="15.75" customHeight="1" x14ac:dyDescent="0.2">
      <c r="J3233"/>
      <c r="AZ3233"/>
    </row>
    <row r="3234" spans="10:52" ht="15.75" customHeight="1" x14ac:dyDescent="0.2">
      <c r="J3234"/>
      <c r="AZ3234"/>
    </row>
    <row r="3235" spans="10:52" ht="15.75" customHeight="1" x14ac:dyDescent="0.2">
      <c r="J3235"/>
      <c r="AZ3235"/>
    </row>
    <row r="3236" spans="10:52" ht="15.75" customHeight="1" x14ac:dyDescent="0.2">
      <c r="J3236"/>
      <c r="AZ3236"/>
    </row>
    <row r="3237" spans="10:52" ht="15.75" customHeight="1" x14ac:dyDescent="0.2">
      <c r="J3237"/>
      <c r="AZ3237"/>
    </row>
    <row r="3238" spans="10:52" ht="15.75" customHeight="1" x14ac:dyDescent="0.2">
      <c r="J3238"/>
      <c r="AZ3238"/>
    </row>
    <row r="3239" spans="10:52" ht="15.75" customHeight="1" x14ac:dyDescent="0.2">
      <c r="J3239"/>
      <c r="AZ3239"/>
    </row>
    <row r="3240" spans="10:52" ht="15.75" customHeight="1" x14ac:dyDescent="0.2">
      <c r="J3240"/>
      <c r="AZ3240"/>
    </row>
    <row r="3241" spans="10:52" ht="15.75" customHeight="1" x14ac:dyDescent="0.2">
      <c r="J3241"/>
      <c r="AZ3241"/>
    </row>
    <row r="3242" spans="10:52" ht="15.75" customHeight="1" x14ac:dyDescent="0.2">
      <c r="J3242"/>
      <c r="AZ3242"/>
    </row>
    <row r="3243" spans="10:52" ht="15.75" customHeight="1" x14ac:dyDescent="0.2">
      <c r="J3243"/>
      <c r="AZ3243"/>
    </row>
    <row r="3244" spans="10:52" ht="15.75" customHeight="1" x14ac:dyDescent="0.2">
      <c r="J3244"/>
      <c r="AZ3244"/>
    </row>
    <row r="3245" spans="10:52" ht="15.75" customHeight="1" x14ac:dyDescent="0.2">
      <c r="J3245"/>
      <c r="AZ3245"/>
    </row>
    <row r="3246" spans="10:52" ht="15.75" customHeight="1" x14ac:dyDescent="0.2">
      <c r="J3246"/>
      <c r="AZ3246"/>
    </row>
    <row r="3247" spans="10:52" ht="15.75" customHeight="1" x14ac:dyDescent="0.2">
      <c r="J3247"/>
      <c r="AZ3247"/>
    </row>
    <row r="3248" spans="10:52" ht="15.75" customHeight="1" x14ac:dyDescent="0.2">
      <c r="J3248"/>
      <c r="AZ3248"/>
    </row>
    <row r="3249" spans="10:52" ht="15.75" customHeight="1" x14ac:dyDescent="0.2">
      <c r="J3249"/>
      <c r="AZ3249"/>
    </row>
    <row r="3250" spans="10:52" ht="15.75" customHeight="1" x14ac:dyDescent="0.2">
      <c r="J3250"/>
      <c r="AZ3250"/>
    </row>
    <row r="3251" spans="10:52" ht="15.75" customHeight="1" x14ac:dyDescent="0.2">
      <c r="J3251"/>
      <c r="AZ3251"/>
    </row>
    <row r="3252" spans="10:52" ht="15.75" customHeight="1" x14ac:dyDescent="0.2">
      <c r="J3252"/>
      <c r="AZ3252"/>
    </row>
    <row r="3253" spans="10:52" ht="15.75" customHeight="1" x14ac:dyDescent="0.2">
      <c r="J3253"/>
      <c r="AZ3253"/>
    </row>
    <row r="3254" spans="10:52" ht="15.75" customHeight="1" x14ac:dyDescent="0.2">
      <c r="J3254"/>
      <c r="AZ3254"/>
    </row>
    <row r="3255" spans="10:52" ht="15.75" customHeight="1" x14ac:dyDescent="0.2">
      <c r="J3255"/>
      <c r="AZ3255"/>
    </row>
    <row r="3256" spans="10:52" ht="15.75" customHeight="1" x14ac:dyDescent="0.2">
      <c r="J3256"/>
      <c r="AZ3256"/>
    </row>
    <row r="3257" spans="10:52" ht="15.75" customHeight="1" x14ac:dyDescent="0.2">
      <c r="J3257"/>
      <c r="AZ3257"/>
    </row>
    <row r="3258" spans="10:52" ht="15.75" customHeight="1" x14ac:dyDescent="0.2">
      <c r="J3258"/>
      <c r="AZ3258"/>
    </row>
    <row r="3259" spans="10:52" ht="15.75" customHeight="1" x14ac:dyDescent="0.2">
      <c r="J3259"/>
      <c r="AZ3259"/>
    </row>
    <row r="3260" spans="10:52" ht="15.75" customHeight="1" x14ac:dyDescent="0.2">
      <c r="J3260"/>
      <c r="AZ3260"/>
    </row>
    <row r="3261" spans="10:52" ht="15.75" customHeight="1" x14ac:dyDescent="0.2">
      <c r="J3261"/>
      <c r="AZ3261"/>
    </row>
    <row r="3262" spans="10:52" ht="15.75" customHeight="1" x14ac:dyDescent="0.2">
      <c r="J3262"/>
      <c r="AZ3262"/>
    </row>
    <row r="3263" spans="10:52" ht="15.75" customHeight="1" x14ac:dyDescent="0.2">
      <c r="J3263"/>
      <c r="AZ3263"/>
    </row>
    <row r="3264" spans="10:52" ht="15.75" customHeight="1" x14ac:dyDescent="0.2">
      <c r="J3264"/>
      <c r="AZ3264"/>
    </row>
    <row r="3265" spans="10:52" ht="15.75" customHeight="1" x14ac:dyDescent="0.2">
      <c r="J3265"/>
      <c r="AZ3265"/>
    </row>
    <row r="3266" spans="10:52" ht="15.75" customHeight="1" x14ac:dyDescent="0.2">
      <c r="J3266"/>
      <c r="AZ3266"/>
    </row>
    <row r="3267" spans="10:52" ht="15.75" customHeight="1" x14ac:dyDescent="0.2">
      <c r="J3267"/>
      <c r="AZ3267"/>
    </row>
    <row r="3268" spans="10:52" ht="15.75" customHeight="1" x14ac:dyDescent="0.2">
      <c r="J3268"/>
      <c r="AZ3268"/>
    </row>
    <row r="3269" spans="10:52" ht="15.75" customHeight="1" x14ac:dyDescent="0.2">
      <c r="J3269"/>
      <c r="AZ3269"/>
    </row>
    <row r="3270" spans="10:52" ht="15.75" customHeight="1" x14ac:dyDescent="0.2">
      <c r="J3270"/>
      <c r="AZ3270"/>
    </row>
    <row r="3271" spans="10:52" ht="15.75" customHeight="1" x14ac:dyDescent="0.2">
      <c r="J3271"/>
      <c r="AZ3271"/>
    </row>
    <row r="3272" spans="10:52" ht="15.75" customHeight="1" x14ac:dyDescent="0.2">
      <c r="J3272"/>
      <c r="AZ3272"/>
    </row>
    <row r="3273" spans="10:52" ht="15.75" customHeight="1" x14ac:dyDescent="0.2">
      <c r="J3273"/>
      <c r="AZ3273"/>
    </row>
    <row r="3274" spans="10:52" ht="15.75" customHeight="1" x14ac:dyDescent="0.2">
      <c r="J3274"/>
      <c r="AZ3274"/>
    </row>
    <row r="3275" spans="10:52" ht="15.75" customHeight="1" x14ac:dyDescent="0.2">
      <c r="J3275"/>
      <c r="AZ3275"/>
    </row>
    <row r="3276" spans="10:52" ht="15.75" customHeight="1" x14ac:dyDescent="0.2">
      <c r="J3276"/>
      <c r="AZ3276"/>
    </row>
    <row r="3277" spans="10:52" ht="15.75" customHeight="1" x14ac:dyDescent="0.2">
      <c r="J3277"/>
      <c r="AZ3277"/>
    </row>
    <row r="3278" spans="10:52" ht="15.75" customHeight="1" x14ac:dyDescent="0.2">
      <c r="J3278"/>
      <c r="AZ3278"/>
    </row>
    <row r="3279" spans="10:52" ht="15.75" customHeight="1" x14ac:dyDescent="0.2">
      <c r="J3279"/>
      <c r="AZ3279"/>
    </row>
    <row r="3280" spans="10:52" ht="15.75" customHeight="1" x14ac:dyDescent="0.2">
      <c r="J3280"/>
      <c r="AZ3280"/>
    </row>
    <row r="3281" spans="10:52" ht="15.75" customHeight="1" x14ac:dyDescent="0.2">
      <c r="J3281"/>
      <c r="AZ3281"/>
    </row>
    <row r="3282" spans="10:52" ht="15.75" customHeight="1" x14ac:dyDescent="0.2">
      <c r="J3282"/>
      <c r="AZ3282"/>
    </row>
    <row r="3283" spans="10:52" ht="15.75" customHeight="1" x14ac:dyDescent="0.2">
      <c r="J3283"/>
      <c r="AZ3283"/>
    </row>
    <row r="3284" spans="10:52" ht="15.75" customHeight="1" x14ac:dyDescent="0.2">
      <c r="J3284"/>
      <c r="AZ3284"/>
    </row>
    <row r="3285" spans="10:52" ht="15.75" customHeight="1" x14ac:dyDescent="0.2">
      <c r="J3285"/>
      <c r="AZ3285"/>
    </row>
    <row r="3286" spans="10:52" ht="15.75" customHeight="1" x14ac:dyDescent="0.2">
      <c r="J3286"/>
      <c r="AZ3286"/>
    </row>
    <row r="3287" spans="10:52" ht="15.75" customHeight="1" x14ac:dyDescent="0.2">
      <c r="J3287"/>
      <c r="AZ3287"/>
    </row>
    <row r="3288" spans="10:52" ht="15.75" customHeight="1" x14ac:dyDescent="0.2">
      <c r="J3288"/>
      <c r="AZ3288"/>
    </row>
    <row r="3289" spans="10:52" ht="15.75" customHeight="1" x14ac:dyDescent="0.2">
      <c r="J3289"/>
      <c r="AZ3289"/>
    </row>
    <row r="3290" spans="10:52" ht="15.75" customHeight="1" x14ac:dyDescent="0.2">
      <c r="J3290"/>
      <c r="AZ3290"/>
    </row>
    <row r="3291" spans="10:52" ht="15.75" customHeight="1" x14ac:dyDescent="0.2">
      <c r="J3291"/>
      <c r="AZ3291"/>
    </row>
    <row r="3292" spans="10:52" ht="15.75" customHeight="1" x14ac:dyDescent="0.2">
      <c r="J3292"/>
      <c r="AZ3292"/>
    </row>
    <row r="3293" spans="10:52" ht="15.75" customHeight="1" x14ac:dyDescent="0.2">
      <c r="J3293"/>
      <c r="AZ3293"/>
    </row>
    <row r="3294" spans="10:52" ht="15.75" customHeight="1" x14ac:dyDescent="0.2">
      <c r="J3294"/>
      <c r="AZ3294"/>
    </row>
    <row r="3295" spans="10:52" ht="15.75" customHeight="1" x14ac:dyDescent="0.2">
      <c r="J3295"/>
      <c r="AZ3295"/>
    </row>
    <row r="3296" spans="10:52" ht="15.75" customHeight="1" x14ac:dyDescent="0.2">
      <c r="J3296"/>
      <c r="AZ3296"/>
    </row>
    <row r="3297" spans="10:52" ht="15.75" customHeight="1" x14ac:dyDescent="0.2">
      <c r="J3297"/>
      <c r="AZ3297"/>
    </row>
    <row r="3298" spans="10:52" ht="15.75" customHeight="1" x14ac:dyDescent="0.2">
      <c r="J3298"/>
      <c r="AZ3298"/>
    </row>
    <row r="3299" spans="10:52" ht="15.75" customHeight="1" x14ac:dyDescent="0.2">
      <c r="J3299"/>
      <c r="AZ3299"/>
    </row>
    <row r="3300" spans="10:52" ht="15.75" customHeight="1" x14ac:dyDescent="0.2">
      <c r="J3300"/>
      <c r="AZ3300"/>
    </row>
    <row r="3301" spans="10:52" ht="15.75" customHeight="1" x14ac:dyDescent="0.2">
      <c r="J3301"/>
      <c r="AZ3301"/>
    </row>
    <row r="3302" spans="10:52" ht="15.75" customHeight="1" x14ac:dyDescent="0.2">
      <c r="J3302"/>
      <c r="AZ3302"/>
    </row>
    <row r="3303" spans="10:52" ht="15.75" customHeight="1" x14ac:dyDescent="0.2">
      <c r="J3303"/>
      <c r="AZ3303"/>
    </row>
    <row r="3304" spans="10:52" ht="15.75" customHeight="1" x14ac:dyDescent="0.2">
      <c r="J3304"/>
      <c r="AZ3304"/>
    </row>
    <row r="3305" spans="10:52" ht="15.75" customHeight="1" x14ac:dyDescent="0.2">
      <c r="J3305"/>
      <c r="AZ3305"/>
    </row>
    <row r="3306" spans="10:52" ht="15.75" customHeight="1" x14ac:dyDescent="0.2">
      <c r="J3306"/>
      <c r="AZ3306"/>
    </row>
    <row r="3307" spans="10:52" ht="15.75" customHeight="1" x14ac:dyDescent="0.2">
      <c r="J3307"/>
      <c r="AZ3307"/>
    </row>
    <row r="3308" spans="10:52" ht="15.75" customHeight="1" x14ac:dyDescent="0.2">
      <c r="J3308"/>
      <c r="AZ3308"/>
    </row>
    <row r="3309" spans="10:52" ht="15.75" customHeight="1" x14ac:dyDescent="0.2">
      <c r="J3309"/>
      <c r="AZ3309"/>
    </row>
    <row r="3310" spans="10:52" ht="15.75" customHeight="1" x14ac:dyDescent="0.2">
      <c r="J3310"/>
      <c r="AZ3310"/>
    </row>
    <row r="3311" spans="10:52" ht="15.75" customHeight="1" x14ac:dyDescent="0.2">
      <c r="J3311"/>
      <c r="AZ3311"/>
    </row>
    <row r="3312" spans="10:52" ht="15.75" customHeight="1" x14ac:dyDescent="0.2">
      <c r="J3312"/>
      <c r="AZ3312"/>
    </row>
    <row r="3313" spans="10:52" ht="15.75" customHeight="1" x14ac:dyDescent="0.2">
      <c r="J3313"/>
      <c r="AZ3313"/>
    </row>
    <row r="3314" spans="10:52" ht="15.75" customHeight="1" x14ac:dyDescent="0.2">
      <c r="J3314"/>
      <c r="AZ3314"/>
    </row>
    <row r="3315" spans="10:52" ht="15.75" customHeight="1" x14ac:dyDescent="0.2">
      <c r="J3315"/>
      <c r="AZ3315"/>
    </row>
    <row r="3316" spans="10:52" ht="15.75" customHeight="1" x14ac:dyDescent="0.2">
      <c r="J3316"/>
      <c r="AZ3316"/>
    </row>
    <row r="3317" spans="10:52" ht="15.75" customHeight="1" x14ac:dyDescent="0.2">
      <c r="J3317"/>
      <c r="AZ3317"/>
    </row>
    <row r="3318" spans="10:52" ht="15.75" customHeight="1" x14ac:dyDescent="0.2">
      <c r="J3318"/>
      <c r="AZ3318"/>
    </row>
    <row r="3319" spans="10:52" ht="15.75" customHeight="1" x14ac:dyDescent="0.2">
      <c r="J3319"/>
      <c r="AZ3319"/>
    </row>
    <row r="3320" spans="10:52" ht="15.75" customHeight="1" x14ac:dyDescent="0.2">
      <c r="J3320"/>
      <c r="AZ3320"/>
    </row>
    <row r="3321" spans="10:52" ht="15.75" customHeight="1" x14ac:dyDescent="0.2">
      <c r="J3321"/>
      <c r="AZ3321"/>
    </row>
    <row r="3322" spans="10:52" ht="15.75" customHeight="1" x14ac:dyDescent="0.2">
      <c r="J3322"/>
      <c r="AZ3322"/>
    </row>
    <row r="3323" spans="10:52" ht="15.75" customHeight="1" x14ac:dyDescent="0.2">
      <c r="J3323"/>
      <c r="AZ3323"/>
    </row>
    <row r="3324" spans="10:52" ht="15.75" customHeight="1" x14ac:dyDescent="0.2">
      <c r="J3324"/>
      <c r="AZ3324"/>
    </row>
    <row r="3325" spans="10:52" ht="15.75" customHeight="1" x14ac:dyDescent="0.2">
      <c r="J3325"/>
      <c r="AZ3325"/>
    </row>
    <row r="3326" spans="10:52" ht="15.75" customHeight="1" x14ac:dyDescent="0.2">
      <c r="J3326"/>
      <c r="AZ3326"/>
    </row>
    <row r="3327" spans="10:52" ht="15.75" customHeight="1" x14ac:dyDescent="0.2">
      <c r="J3327"/>
      <c r="AZ3327"/>
    </row>
    <row r="3328" spans="10:52" ht="15.75" customHeight="1" x14ac:dyDescent="0.2">
      <c r="J3328"/>
      <c r="AZ3328"/>
    </row>
    <row r="3329" spans="10:52" ht="15.75" customHeight="1" x14ac:dyDescent="0.2">
      <c r="J3329"/>
      <c r="AZ3329"/>
    </row>
    <row r="3330" spans="10:52" ht="15.75" customHeight="1" x14ac:dyDescent="0.2">
      <c r="J3330"/>
      <c r="AZ3330"/>
    </row>
    <row r="3331" spans="10:52" ht="15.75" customHeight="1" x14ac:dyDescent="0.2">
      <c r="J3331"/>
      <c r="AZ3331"/>
    </row>
    <row r="3332" spans="10:52" ht="15.75" customHeight="1" x14ac:dyDescent="0.2">
      <c r="J3332"/>
      <c r="AZ3332"/>
    </row>
    <row r="3333" spans="10:52" ht="15.75" customHeight="1" x14ac:dyDescent="0.2">
      <c r="J3333"/>
      <c r="AZ3333"/>
    </row>
    <row r="3334" spans="10:52" ht="15.75" customHeight="1" x14ac:dyDescent="0.2">
      <c r="J3334"/>
      <c r="AZ3334"/>
    </row>
    <row r="3335" spans="10:52" ht="15.75" customHeight="1" x14ac:dyDescent="0.2">
      <c r="J3335"/>
      <c r="AZ3335"/>
    </row>
    <row r="3336" spans="10:52" ht="15.75" customHeight="1" x14ac:dyDescent="0.2">
      <c r="J3336"/>
      <c r="AZ3336"/>
    </row>
    <row r="3337" spans="10:52" ht="15.75" customHeight="1" x14ac:dyDescent="0.2">
      <c r="J3337"/>
      <c r="AZ3337"/>
    </row>
    <row r="3338" spans="10:52" ht="15.75" customHeight="1" x14ac:dyDescent="0.2">
      <c r="J3338"/>
      <c r="AZ3338"/>
    </row>
    <row r="3339" spans="10:52" ht="15.75" customHeight="1" x14ac:dyDescent="0.2">
      <c r="J3339"/>
      <c r="AZ3339"/>
    </row>
    <row r="3340" spans="10:52" ht="15.75" customHeight="1" x14ac:dyDescent="0.2">
      <c r="J3340"/>
      <c r="AZ3340"/>
    </row>
    <row r="3341" spans="10:52" ht="15.75" customHeight="1" x14ac:dyDescent="0.2">
      <c r="J3341"/>
      <c r="AZ3341"/>
    </row>
    <row r="3342" spans="10:52" ht="15.75" customHeight="1" x14ac:dyDescent="0.2">
      <c r="J3342"/>
      <c r="AZ3342"/>
    </row>
    <row r="3343" spans="10:52" ht="15.75" customHeight="1" x14ac:dyDescent="0.2">
      <c r="J3343"/>
      <c r="AZ3343"/>
    </row>
    <row r="3344" spans="10:52" ht="15.75" customHeight="1" x14ac:dyDescent="0.2">
      <c r="J3344"/>
      <c r="AZ3344"/>
    </row>
    <row r="3345" spans="10:52" ht="15.75" customHeight="1" x14ac:dyDescent="0.2">
      <c r="J3345"/>
      <c r="AZ3345"/>
    </row>
    <row r="3346" spans="10:52" ht="15.75" customHeight="1" x14ac:dyDescent="0.2">
      <c r="J3346"/>
      <c r="AZ3346"/>
    </row>
    <row r="3347" spans="10:52" ht="15.75" customHeight="1" x14ac:dyDescent="0.2">
      <c r="J3347"/>
      <c r="AZ3347"/>
    </row>
    <row r="3348" spans="10:52" ht="15.75" customHeight="1" x14ac:dyDescent="0.2">
      <c r="J3348"/>
      <c r="AZ3348"/>
    </row>
    <row r="3349" spans="10:52" ht="15.75" customHeight="1" x14ac:dyDescent="0.2">
      <c r="J3349"/>
      <c r="AZ3349"/>
    </row>
    <row r="3350" spans="10:52" ht="15.75" customHeight="1" x14ac:dyDescent="0.2">
      <c r="J3350"/>
      <c r="AZ3350"/>
    </row>
    <row r="3351" spans="10:52" ht="15.75" customHeight="1" x14ac:dyDescent="0.2">
      <c r="J3351"/>
      <c r="AZ3351"/>
    </row>
    <row r="3352" spans="10:52" ht="15.75" customHeight="1" x14ac:dyDescent="0.2">
      <c r="J3352"/>
      <c r="AZ3352"/>
    </row>
    <row r="3353" spans="10:52" ht="15.75" customHeight="1" x14ac:dyDescent="0.2">
      <c r="J3353"/>
      <c r="AZ3353"/>
    </row>
    <row r="3354" spans="10:52" ht="15.75" customHeight="1" x14ac:dyDescent="0.2">
      <c r="J3354"/>
      <c r="AZ3354"/>
    </row>
    <row r="3355" spans="10:52" ht="15.75" customHeight="1" x14ac:dyDescent="0.2">
      <c r="J3355"/>
      <c r="AZ3355"/>
    </row>
    <row r="3356" spans="10:52" ht="15.75" customHeight="1" x14ac:dyDescent="0.2">
      <c r="J3356"/>
      <c r="AZ3356"/>
    </row>
    <row r="3357" spans="10:52" ht="15.75" customHeight="1" x14ac:dyDescent="0.2">
      <c r="J3357"/>
      <c r="AZ3357"/>
    </row>
    <row r="3358" spans="10:52" ht="15.75" customHeight="1" x14ac:dyDescent="0.2">
      <c r="J3358"/>
      <c r="AZ3358"/>
    </row>
    <row r="3359" spans="10:52" ht="15.75" customHeight="1" x14ac:dyDescent="0.2">
      <c r="J3359"/>
      <c r="AZ3359"/>
    </row>
    <row r="3360" spans="10:52" ht="15.75" customHeight="1" x14ac:dyDescent="0.2">
      <c r="J3360"/>
      <c r="AZ3360"/>
    </row>
    <row r="3361" spans="10:52" ht="15.75" customHeight="1" x14ac:dyDescent="0.2">
      <c r="J3361"/>
      <c r="AZ3361"/>
    </row>
    <row r="3362" spans="10:52" ht="15.75" customHeight="1" x14ac:dyDescent="0.2">
      <c r="J3362"/>
      <c r="AZ3362"/>
    </row>
    <row r="3363" spans="10:52" ht="15.75" customHeight="1" x14ac:dyDescent="0.2">
      <c r="J3363"/>
      <c r="AZ3363"/>
    </row>
    <row r="3364" spans="10:52" ht="15.75" customHeight="1" x14ac:dyDescent="0.2">
      <c r="J3364"/>
      <c r="AZ3364"/>
    </row>
    <row r="3365" spans="10:52" ht="15.75" customHeight="1" x14ac:dyDescent="0.2">
      <c r="J3365"/>
      <c r="AZ3365"/>
    </row>
    <row r="3366" spans="10:52" ht="15.75" customHeight="1" x14ac:dyDescent="0.2">
      <c r="J3366"/>
      <c r="AZ3366"/>
    </row>
    <row r="3367" spans="10:52" ht="15.75" customHeight="1" x14ac:dyDescent="0.2">
      <c r="J3367"/>
      <c r="AZ3367"/>
    </row>
    <row r="3368" spans="10:52" ht="15.75" customHeight="1" x14ac:dyDescent="0.2">
      <c r="J3368"/>
      <c r="AZ3368"/>
    </row>
    <row r="3369" spans="10:52" ht="15.75" customHeight="1" x14ac:dyDescent="0.2">
      <c r="J3369"/>
      <c r="AZ3369"/>
    </row>
    <row r="3370" spans="10:52" ht="15.75" customHeight="1" x14ac:dyDescent="0.2">
      <c r="J3370"/>
      <c r="AZ3370"/>
    </row>
    <row r="3371" spans="10:52" ht="15.75" customHeight="1" x14ac:dyDescent="0.2">
      <c r="J3371"/>
      <c r="AZ3371"/>
    </row>
    <row r="3372" spans="10:52" ht="15.75" customHeight="1" x14ac:dyDescent="0.2">
      <c r="J3372"/>
      <c r="AZ3372"/>
    </row>
    <row r="3373" spans="10:52" ht="15.75" customHeight="1" x14ac:dyDescent="0.2">
      <c r="J3373"/>
      <c r="AZ3373"/>
    </row>
    <row r="3374" spans="10:52" ht="15.75" customHeight="1" x14ac:dyDescent="0.2">
      <c r="J3374"/>
      <c r="AZ3374"/>
    </row>
    <row r="3375" spans="10:52" ht="15.75" customHeight="1" x14ac:dyDescent="0.2">
      <c r="J3375"/>
      <c r="AZ3375"/>
    </row>
    <row r="3376" spans="10:52" ht="15.75" customHeight="1" x14ac:dyDescent="0.2">
      <c r="J3376"/>
      <c r="AZ3376"/>
    </row>
    <row r="3377" spans="10:52" ht="15.75" customHeight="1" x14ac:dyDescent="0.2">
      <c r="J3377"/>
      <c r="AZ3377"/>
    </row>
    <row r="3378" spans="10:52" ht="15.75" customHeight="1" x14ac:dyDescent="0.2">
      <c r="J3378"/>
      <c r="AZ3378"/>
    </row>
    <row r="3379" spans="10:52" ht="15.75" customHeight="1" x14ac:dyDescent="0.2">
      <c r="J3379"/>
      <c r="AZ3379"/>
    </row>
    <row r="3380" spans="10:52" ht="15.75" customHeight="1" x14ac:dyDescent="0.2">
      <c r="J3380"/>
      <c r="AZ3380"/>
    </row>
    <row r="3381" spans="10:52" ht="15.75" customHeight="1" x14ac:dyDescent="0.2">
      <c r="J3381"/>
      <c r="AZ3381"/>
    </row>
    <row r="3382" spans="10:52" ht="15.75" customHeight="1" x14ac:dyDescent="0.2">
      <c r="J3382"/>
      <c r="AZ3382"/>
    </row>
    <row r="3383" spans="10:52" ht="15.75" customHeight="1" x14ac:dyDescent="0.2">
      <c r="J3383"/>
      <c r="AZ3383"/>
    </row>
    <row r="3384" spans="10:52" ht="15.75" customHeight="1" x14ac:dyDescent="0.2">
      <c r="J3384"/>
      <c r="AZ3384"/>
    </row>
    <row r="3385" spans="10:52" ht="15.75" customHeight="1" x14ac:dyDescent="0.2">
      <c r="J3385"/>
      <c r="AZ3385"/>
    </row>
    <row r="3386" spans="10:52" ht="15.75" customHeight="1" x14ac:dyDescent="0.2">
      <c r="J3386"/>
      <c r="AZ3386"/>
    </row>
    <row r="3387" spans="10:52" ht="15.75" customHeight="1" x14ac:dyDescent="0.2"/>
    <row r="3388" spans="10:52" ht="15.75" customHeight="1" x14ac:dyDescent="0.2"/>
    <row r="3389" spans="10:52" ht="15.75" customHeight="1" x14ac:dyDescent="0.2"/>
    <row r="3390" spans="10:52" ht="15.75" customHeight="1" x14ac:dyDescent="0.2"/>
    <row r="3391" spans="10:52" ht="15.75" customHeight="1" x14ac:dyDescent="0.2"/>
    <row r="3392" spans="10:52" ht="15.75" customHeight="1" x14ac:dyDescent="0.2"/>
    <row r="3393" ht="15.75" customHeight="1" x14ac:dyDescent="0.2"/>
    <row r="3394" ht="15.75" customHeight="1" x14ac:dyDescent="0.2"/>
    <row r="3395" ht="15.75" customHeight="1" x14ac:dyDescent="0.2"/>
    <row r="3396" ht="15.75" customHeight="1" x14ac:dyDescent="0.2"/>
    <row r="3397" ht="15.75" customHeight="1" x14ac:dyDescent="0.2"/>
    <row r="3398" ht="15.75" customHeight="1" x14ac:dyDescent="0.2"/>
    <row r="3399" ht="15.75" customHeight="1" x14ac:dyDescent="0.2"/>
    <row r="3400" ht="15.75" customHeight="1" x14ac:dyDescent="0.2"/>
    <row r="3401" ht="15.75" customHeight="1" x14ac:dyDescent="0.2"/>
    <row r="3402" ht="15.75" customHeight="1" x14ac:dyDescent="0.2"/>
    <row r="3403" ht="15.75" customHeight="1" x14ac:dyDescent="0.2"/>
    <row r="3404" ht="15.75" customHeight="1" x14ac:dyDescent="0.2"/>
    <row r="3405" ht="15.75" customHeight="1" x14ac:dyDescent="0.2"/>
    <row r="3406" ht="15.75" customHeight="1" x14ac:dyDescent="0.2"/>
    <row r="3407" ht="15.75" customHeight="1" x14ac:dyDescent="0.2"/>
    <row r="3408" ht="15.75" customHeight="1" x14ac:dyDescent="0.2"/>
    <row r="3409" ht="15.75" customHeight="1" x14ac:dyDescent="0.2"/>
    <row r="3410" ht="15.75" customHeight="1" x14ac:dyDescent="0.2"/>
    <row r="3411" ht="15.75" customHeight="1" x14ac:dyDescent="0.2"/>
    <row r="3412" ht="15.75" customHeight="1" x14ac:dyDescent="0.2"/>
    <row r="3413" ht="15.75" customHeight="1" x14ac:dyDescent="0.2"/>
    <row r="3414" ht="15.75" customHeight="1" x14ac:dyDescent="0.2"/>
    <row r="3415" ht="15.75" customHeight="1" x14ac:dyDescent="0.2"/>
    <row r="3416" ht="15.75" customHeight="1" x14ac:dyDescent="0.2"/>
    <row r="3417" ht="15.75" customHeight="1" x14ac:dyDescent="0.2"/>
    <row r="3418" ht="15.75" customHeight="1" x14ac:dyDescent="0.2"/>
    <row r="3419" ht="15.75" customHeight="1" x14ac:dyDescent="0.2"/>
    <row r="3420" ht="15.75" customHeight="1" x14ac:dyDescent="0.2"/>
    <row r="3421" ht="15.75" customHeight="1" x14ac:dyDescent="0.2"/>
    <row r="3422" ht="15.75" customHeight="1" x14ac:dyDescent="0.2"/>
    <row r="3423" ht="15.75" customHeight="1" x14ac:dyDescent="0.2"/>
    <row r="3424" ht="15.75" customHeight="1" x14ac:dyDescent="0.2"/>
    <row r="3425" ht="15.75" customHeight="1" x14ac:dyDescent="0.2"/>
    <row r="3426" ht="15.75" customHeight="1" x14ac:dyDescent="0.2"/>
    <row r="3427" ht="15.75" customHeight="1" x14ac:dyDescent="0.2"/>
    <row r="3428" ht="15.75" customHeight="1" x14ac:dyDescent="0.2"/>
    <row r="3429" ht="15.75" customHeight="1" x14ac:dyDescent="0.2"/>
    <row r="3430" ht="15.75" customHeight="1" x14ac:dyDescent="0.2"/>
    <row r="3431" ht="15.75" customHeight="1" x14ac:dyDescent="0.2"/>
    <row r="3432" ht="15.75" customHeight="1" x14ac:dyDescent="0.2"/>
    <row r="3433" ht="15.75" customHeight="1" x14ac:dyDescent="0.2"/>
    <row r="3434" ht="15.75" customHeight="1" x14ac:dyDescent="0.2"/>
    <row r="3435" ht="15.75" customHeight="1" x14ac:dyDescent="0.2"/>
    <row r="3436" ht="15.75" customHeight="1" x14ac:dyDescent="0.2"/>
    <row r="3437" ht="15.75" customHeight="1" x14ac:dyDescent="0.2"/>
  </sheetData>
  <mergeCells count="1173">
    <mergeCell ref="A73:B73"/>
    <mergeCell ref="C73:D73"/>
    <mergeCell ref="E73:F73"/>
    <mergeCell ref="BV73:BW73"/>
    <mergeCell ref="CJ73:CK73"/>
    <mergeCell ref="CX73:CY73"/>
    <mergeCell ref="DL73:DM73"/>
    <mergeCell ref="A74:B74"/>
    <mergeCell ref="A69:C69"/>
    <mergeCell ref="P69:Q69"/>
    <mergeCell ref="AD69:AE69"/>
    <mergeCell ref="AR69:AS69"/>
    <mergeCell ref="BF69:BH69"/>
    <mergeCell ref="BV69:BW69"/>
    <mergeCell ref="CJ69:CK69"/>
    <mergeCell ref="CX69:CY69"/>
    <mergeCell ref="DL69:DM69"/>
    <mergeCell ref="DZ69:EA69"/>
    <mergeCell ref="A70:C70"/>
    <mergeCell ref="P70:Q70"/>
    <mergeCell ref="AD70:AE70"/>
    <mergeCell ref="AR70:AS70"/>
    <mergeCell ref="BF70:BH70"/>
    <mergeCell ref="J71:K71"/>
    <mergeCell ref="X71:Y71"/>
    <mergeCell ref="AL71:AM71"/>
    <mergeCell ref="AZ71:BA71"/>
    <mergeCell ref="BO71:BP71"/>
    <mergeCell ref="BV71:BW71"/>
    <mergeCell ref="CJ71:CK71"/>
    <mergeCell ref="CX71:CY71"/>
    <mergeCell ref="DL71:DM71"/>
    <mergeCell ref="ED63:EE63"/>
    <mergeCell ref="A64:B64"/>
    <mergeCell ref="C64:D64"/>
    <mergeCell ref="E64:F64"/>
    <mergeCell ref="A65:B65"/>
    <mergeCell ref="A67:C67"/>
    <mergeCell ref="P67:Q67"/>
    <mergeCell ref="AD67:AE67"/>
    <mergeCell ref="AR67:AS67"/>
    <mergeCell ref="BF67:BH67"/>
    <mergeCell ref="BV67:BW67"/>
    <mergeCell ref="CJ67:CK67"/>
    <mergeCell ref="CX67:CY67"/>
    <mergeCell ref="DL67:DM67"/>
    <mergeCell ref="DZ67:EA67"/>
    <mergeCell ref="A68:C68"/>
    <mergeCell ref="P68:Q68"/>
    <mergeCell ref="AD68:AE68"/>
    <mergeCell ref="AR68:AS68"/>
    <mergeCell ref="BF68:BH68"/>
    <mergeCell ref="BV68:BW68"/>
    <mergeCell ref="CJ68:CK68"/>
    <mergeCell ref="CX68:CY68"/>
    <mergeCell ref="DL68:DM68"/>
    <mergeCell ref="DZ68:EA68"/>
    <mergeCell ref="J61:K61"/>
    <mergeCell ref="X61:Y61"/>
    <mergeCell ref="AL61:AM61"/>
    <mergeCell ref="AZ61:BA61"/>
    <mergeCell ref="BO61:BP61"/>
    <mergeCell ref="J62:K62"/>
    <mergeCell ref="X62:Y62"/>
    <mergeCell ref="AL62:AM62"/>
    <mergeCell ref="AZ62:BA62"/>
    <mergeCell ref="BO62:BP62"/>
    <mergeCell ref="A63:B63"/>
    <mergeCell ref="C63:D63"/>
    <mergeCell ref="E63:F63"/>
    <mergeCell ref="BZ63:CA63"/>
    <mergeCell ref="CN63:CO63"/>
    <mergeCell ref="DB63:DC63"/>
    <mergeCell ref="DP63:DQ63"/>
    <mergeCell ref="A1:D1"/>
    <mergeCell ref="P1:R1"/>
    <mergeCell ref="AD1:AF1"/>
    <mergeCell ref="AR1:AT1"/>
    <mergeCell ref="BF1:BI1"/>
    <mergeCell ref="BJ1:BL1"/>
    <mergeCell ref="BV1:BY1"/>
    <mergeCell ref="CJ1:CM1"/>
    <mergeCell ref="CX1:DA1"/>
    <mergeCell ref="DL1:DO1"/>
    <mergeCell ref="DZ1:EC1"/>
    <mergeCell ref="J59:K59"/>
    <mergeCell ref="X59:Y59"/>
    <mergeCell ref="AL59:AM59"/>
    <mergeCell ref="AZ59:BA59"/>
    <mergeCell ref="BO59:BP59"/>
    <mergeCell ref="J60:K60"/>
    <mergeCell ref="X60:Y60"/>
    <mergeCell ref="AL60:AM60"/>
    <mergeCell ref="AZ60:BA60"/>
    <mergeCell ref="BO60:BP60"/>
    <mergeCell ref="A147:B147"/>
    <mergeCell ref="C147:D147"/>
    <mergeCell ref="E147:F147"/>
    <mergeCell ref="BV147:BW147"/>
    <mergeCell ref="CJ147:CK147"/>
    <mergeCell ref="CX147:CY147"/>
    <mergeCell ref="DL147:DM147"/>
    <mergeCell ref="DL141:DM141"/>
    <mergeCell ref="DZ141:EA141"/>
    <mergeCell ref="A142:C142"/>
    <mergeCell ref="P142:Q142"/>
    <mergeCell ref="AD142:AE142"/>
    <mergeCell ref="AR142:AS142"/>
    <mergeCell ref="BF142:BH142"/>
    <mergeCell ref="BV142:BW142"/>
    <mergeCell ref="CJ142:CK142"/>
    <mergeCell ref="CX142:CY142"/>
    <mergeCell ref="DL142:DM142"/>
    <mergeCell ref="DZ142:EA142"/>
    <mergeCell ref="A139:B139"/>
    <mergeCell ref="A141:C141"/>
    <mergeCell ref="A148:B148"/>
    <mergeCell ref="DZ143:EA143"/>
    <mergeCell ref="A144:C144"/>
    <mergeCell ref="P144:Q144"/>
    <mergeCell ref="AD144:AE144"/>
    <mergeCell ref="AR144:AS144"/>
    <mergeCell ref="BF144:BH144"/>
    <mergeCell ref="J145:K145"/>
    <mergeCell ref="X145:Y145"/>
    <mergeCell ref="AL145:AM145"/>
    <mergeCell ref="AZ145:BA145"/>
    <mergeCell ref="BO145:BP145"/>
    <mergeCell ref="BV145:BW145"/>
    <mergeCell ref="CJ145:CK145"/>
    <mergeCell ref="CX145:CY145"/>
    <mergeCell ref="DL145:DM145"/>
    <mergeCell ref="A143:C143"/>
    <mergeCell ref="P143:Q143"/>
    <mergeCell ref="AD143:AE143"/>
    <mergeCell ref="AR143:AS143"/>
    <mergeCell ref="BF143:BH143"/>
    <mergeCell ref="BV143:BW143"/>
    <mergeCell ref="CJ143:CK143"/>
    <mergeCell ref="CX143:CY143"/>
    <mergeCell ref="DL143:DM143"/>
    <mergeCell ref="P141:Q141"/>
    <mergeCell ref="AD141:AE141"/>
    <mergeCell ref="AR141:AS141"/>
    <mergeCell ref="BF141:BH141"/>
    <mergeCell ref="BV141:BW141"/>
    <mergeCell ref="CJ141:CK141"/>
    <mergeCell ref="CX141:CY141"/>
    <mergeCell ref="A137:B137"/>
    <mergeCell ref="C137:D137"/>
    <mergeCell ref="E137:F137"/>
    <mergeCell ref="BZ137:CA137"/>
    <mergeCell ref="CN137:CO137"/>
    <mergeCell ref="DB137:DC137"/>
    <mergeCell ref="DP137:DQ137"/>
    <mergeCell ref="ED137:EE137"/>
    <mergeCell ref="A138:B138"/>
    <mergeCell ref="C138:D138"/>
    <mergeCell ref="E138:F138"/>
    <mergeCell ref="J135:K135"/>
    <mergeCell ref="X135:Y135"/>
    <mergeCell ref="AL135:AM135"/>
    <mergeCell ref="AZ135:BA135"/>
    <mergeCell ref="BO135:BP135"/>
    <mergeCell ref="J136:K136"/>
    <mergeCell ref="X136:Y136"/>
    <mergeCell ref="AL136:AM136"/>
    <mergeCell ref="AZ136:BA136"/>
    <mergeCell ref="BO136:BP136"/>
    <mergeCell ref="DL75:DO75"/>
    <mergeCell ref="DZ75:EC75"/>
    <mergeCell ref="J133:K133"/>
    <mergeCell ref="X133:Y133"/>
    <mergeCell ref="AL133:AM133"/>
    <mergeCell ref="AZ133:BA133"/>
    <mergeCell ref="BO133:BP133"/>
    <mergeCell ref="J134:K134"/>
    <mergeCell ref="X134:Y134"/>
    <mergeCell ref="AL134:AM134"/>
    <mergeCell ref="AZ134:BA134"/>
    <mergeCell ref="BO134:BP134"/>
    <mergeCell ref="A75:D75"/>
    <mergeCell ref="P75:R75"/>
    <mergeCell ref="AD75:AF75"/>
    <mergeCell ref="AR75:AT75"/>
    <mergeCell ref="BF75:BI75"/>
    <mergeCell ref="BJ75:BL75"/>
    <mergeCell ref="BV75:BY75"/>
    <mergeCell ref="CJ75:CM75"/>
    <mergeCell ref="CX75:DA75"/>
    <mergeCell ref="A296:B296"/>
    <mergeCell ref="A292:C292"/>
    <mergeCell ref="P292:Q292"/>
    <mergeCell ref="AD292:AE292"/>
    <mergeCell ref="AR292:AS292"/>
    <mergeCell ref="A291:C291"/>
    <mergeCell ref="P291:Q291"/>
    <mergeCell ref="AD291:AE291"/>
    <mergeCell ref="AR291:AS291"/>
    <mergeCell ref="J284:K284"/>
    <mergeCell ref="X284:Y284"/>
    <mergeCell ref="AL284:AM284"/>
    <mergeCell ref="AZ284:BA284"/>
    <mergeCell ref="J281:K281"/>
    <mergeCell ref="X281:Y281"/>
    <mergeCell ref="AL281:AM281"/>
    <mergeCell ref="AZ281:BA281"/>
    <mergeCell ref="J282:K282"/>
    <mergeCell ref="X282:Y282"/>
    <mergeCell ref="AL282:AM282"/>
    <mergeCell ref="AZ282:BA282"/>
    <mergeCell ref="J283:K283"/>
    <mergeCell ref="X283:Y283"/>
    <mergeCell ref="AL283:AM283"/>
    <mergeCell ref="BO293:BP293"/>
    <mergeCell ref="J293:K293"/>
    <mergeCell ref="X293:Y293"/>
    <mergeCell ref="AL293:AM293"/>
    <mergeCell ref="AZ293:BA293"/>
    <mergeCell ref="BV293:BW293"/>
    <mergeCell ref="BV291:BW291"/>
    <mergeCell ref="CJ291:CK291"/>
    <mergeCell ref="CX291:CY291"/>
    <mergeCell ref="DL291:DM291"/>
    <mergeCell ref="BO281:BP281"/>
    <mergeCell ref="BO282:BP282"/>
    <mergeCell ref="BO283:BP283"/>
    <mergeCell ref="BO284:BP284"/>
    <mergeCell ref="BF289:BH289"/>
    <mergeCell ref="BF290:BH290"/>
    <mergeCell ref="BF291:BH291"/>
    <mergeCell ref="BF292:BH292"/>
    <mergeCell ref="DZ290:EA290"/>
    <mergeCell ref="DB285:DC285"/>
    <mergeCell ref="DP285:DQ285"/>
    <mergeCell ref="ED285:EE285"/>
    <mergeCell ref="A286:B286"/>
    <mergeCell ref="C286:D286"/>
    <mergeCell ref="E286:F286"/>
    <mergeCell ref="A287:B287"/>
    <mergeCell ref="A289:C289"/>
    <mergeCell ref="P289:Q289"/>
    <mergeCell ref="AD289:AE289"/>
    <mergeCell ref="AR289:AS289"/>
    <mergeCell ref="BV289:BW289"/>
    <mergeCell ref="CJ289:CK289"/>
    <mergeCell ref="CX289:CY289"/>
    <mergeCell ref="DL289:DM289"/>
    <mergeCell ref="DZ289:EA289"/>
    <mergeCell ref="A285:B285"/>
    <mergeCell ref="C285:D285"/>
    <mergeCell ref="E285:F285"/>
    <mergeCell ref="BZ285:CA285"/>
    <mergeCell ref="CN285:CO285"/>
    <mergeCell ref="DZ223:EC223"/>
    <mergeCell ref="BJ223:BL223"/>
    <mergeCell ref="BF223:BI223"/>
    <mergeCell ref="A444:B444"/>
    <mergeCell ref="CJ441:CK441"/>
    <mergeCell ref="CX441:CY441"/>
    <mergeCell ref="DL441:DM441"/>
    <mergeCell ref="A443:B443"/>
    <mergeCell ref="C443:D443"/>
    <mergeCell ref="E443:F443"/>
    <mergeCell ref="BV443:BW443"/>
    <mergeCell ref="CJ443:CK443"/>
    <mergeCell ref="CX443:CY443"/>
    <mergeCell ref="DL443:DM443"/>
    <mergeCell ref="A440:C440"/>
    <mergeCell ref="P440:Q440"/>
    <mergeCell ref="AD440:AE440"/>
    <mergeCell ref="AR440:AS440"/>
    <mergeCell ref="J441:K441"/>
    <mergeCell ref="X441:Y441"/>
    <mergeCell ref="AL441:AM441"/>
    <mergeCell ref="AZ441:BA441"/>
    <mergeCell ref="BV441:BW441"/>
    <mergeCell ref="DZ291:EA291"/>
    <mergeCell ref="A290:C290"/>
    <mergeCell ref="P290:Q290"/>
    <mergeCell ref="AD290:AE290"/>
    <mergeCell ref="AR290:AS290"/>
    <mergeCell ref="BV290:BW290"/>
    <mergeCell ref="CJ290:CK290"/>
    <mergeCell ref="CX290:CY290"/>
    <mergeCell ref="DL290:DM290"/>
    <mergeCell ref="BV439:BW439"/>
    <mergeCell ref="CJ439:CK439"/>
    <mergeCell ref="CX439:CY439"/>
    <mergeCell ref="DL439:DM439"/>
    <mergeCell ref="A435:B435"/>
    <mergeCell ref="A437:C437"/>
    <mergeCell ref="P437:Q437"/>
    <mergeCell ref="AD437:AE437"/>
    <mergeCell ref="AR437:AS437"/>
    <mergeCell ref="BV437:BW437"/>
    <mergeCell ref="CJ437:CK437"/>
    <mergeCell ref="CX437:CY437"/>
    <mergeCell ref="DL437:DM437"/>
    <mergeCell ref="AZ283:BA283"/>
    <mergeCell ref="A223:D223"/>
    <mergeCell ref="P223:R223"/>
    <mergeCell ref="AD223:AF223"/>
    <mergeCell ref="AR223:AT223"/>
    <mergeCell ref="BV223:BY223"/>
    <mergeCell ref="CJ223:CM223"/>
    <mergeCell ref="CX223:DA223"/>
    <mergeCell ref="DL223:DO223"/>
    <mergeCell ref="CJ293:CK293"/>
    <mergeCell ref="CX293:CY293"/>
    <mergeCell ref="DL293:DM293"/>
    <mergeCell ref="A295:B295"/>
    <mergeCell ref="C295:D295"/>
    <mergeCell ref="E295:F295"/>
    <mergeCell ref="BV295:BW295"/>
    <mergeCell ref="CJ295:CK295"/>
    <mergeCell ref="CX295:CY295"/>
    <mergeCell ref="DL295:DM295"/>
    <mergeCell ref="DP433:DQ433"/>
    <mergeCell ref="A434:B434"/>
    <mergeCell ref="C434:D434"/>
    <mergeCell ref="E434:F434"/>
    <mergeCell ref="J430:K430"/>
    <mergeCell ref="X430:Y430"/>
    <mergeCell ref="AL430:AM430"/>
    <mergeCell ref="AZ430:BA430"/>
    <mergeCell ref="J431:K431"/>
    <mergeCell ref="X431:Y431"/>
    <mergeCell ref="AL431:AM431"/>
    <mergeCell ref="AZ431:BA431"/>
    <mergeCell ref="J432:K432"/>
    <mergeCell ref="X432:Y432"/>
    <mergeCell ref="AL432:AM432"/>
    <mergeCell ref="AZ432:BA432"/>
    <mergeCell ref="A438:C438"/>
    <mergeCell ref="P438:Q438"/>
    <mergeCell ref="AD438:AE438"/>
    <mergeCell ref="AR438:AS438"/>
    <mergeCell ref="BV438:BW438"/>
    <mergeCell ref="CJ438:CK438"/>
    <mergeCell ref="CX438:CY438"/>
    <mergeCell ref="DL438:DM438"/>
    <mergeCell ref="A518:B518"/>
    <mergeCell ref="CJ515:CK515"/>
    <mergeCell ref="CX515:CY515"/>
    <mergeCell ref="DL515:DM515"/>
    <mergeCell ref="A517:B517"/>
    <mergeCell ref="C517:D517"/>
    <mergeCell ref="E517:F517"/>
    <mergeCell ref="BV517:BW517"/>
    <mergeCell ref="CJ517:CK517"/>
    <mergeCell ref="CX517:CY517"/>
    <mergeCell ref="DL517:DM517"/>
    <mergeCell ref="A514:C514"/>
    <mergeCell ref="P514:Q514"/>
    <mergeCell ref="AD514:AE514"/>
    <mergeCell ref="AR514:AS514"/>
    <mergeCell ref="J515:K515"/>
    <mergeCell ref="X515:Y515"/>
    <mergeCell ref="AL515:AM515"/>
    <mergeCell ref="AZ515:BA515"/>
    <mergeCell ref="BV515:BW515"/>
    <mergeCell ref="DL513:DM513"/>
    <mergeCell ref="A509:B509"/>
    <mergeCell ref="A511:C511"/>
    <mergeCell ref="P511:Q511"/>
    <mergeCell ref="AD511:AE511"/>
    <mergeCell ref="AR511:AS511"/>
    <mergeCell ref="BV511:BW511"/>
    <mergeCell ref="CJ511:CK511"/>
    <mergeCell ref="CX511:CY511"/>
    <mergeCell ref="DL511:DM511"/>
    <mergeCell ref="A371:D371"/>
    <mergeCell ref="P371:R371"/>
    <mergeCell ref="AD371:AF371"/>
    <mergeCell ref="AR371:AT371"/>
    <mergeCell ref="BV371:BY371"/>
    <mergeCell ref="CJ371:CM371"/>
    <mergeCell ref="CX371:DA371"/>
    <mergeCell ref="DL371:DO371"/>
    <mergeCell ref="J429:K429"/>
    <mergeCell ref="X429:Y429"/>
    <mergeCell ref="AL429:AM429"/>
    <mergeCell ref="AZ429:BA429"/>
    <mergeCell ref="A433:B433"/>
    <mergeCell ref="C433:D433"/>
    <mergeCell ref="E433:F433"/>
    <mergeCell ref="BZ433:CA433"/>
    <mergeCell ref="CN433:CO433"/>
    <mergeCell ref="DB433:DC433"/>
    <mergeCell ref="A439:C439"/>
    <mergeCell ref="P439:Q439"/>
    <mergeCell ref="AD439:AE439"/>
    <mergeCell ref="AR439:AS439"/>
    <mergeCell ref="DP507:DQ507"/>
    <mergeCell ref="A508:B508"/>
    <mergeCell ref="C508:D508"/>
    <mergeCell ref="E508:F508"/>
    <mergeCell ref="J504:K504"/>
    <mergeCell ref="X504:Y504"/>
    <mergeCell ref="AL504:AM504"/>
    <mergeCell ref="AZ504:BA504"/>
    <mergeCell ref="J505:K505"/>
    <mergeCell ref="X505:Y505"/>
    <mergeCell ref="AL505:AM505"/>
    <mergeCell ref="AZ505:BA505"/>
    <mergeCell ref="J506:K506"/>
    <mergeCell ref="X506:Y506"/>
    <mergeCell ref="AL506:AM506"/>
    <mergeCell ref="AZ506:BA506"/>
    <mergeCell ref="A512:C512"/>
    <mergeCell ref="P512:Q512"/>
    <mergeCell ref="AD512:AE512"/>
    <mergeCell ref="AR512:AS512"/>
    <mergeCell ref="BV512:BW512"/>
    <mergeCell ref="CJ512:CK512"/>
    <mergeCell ref="CX512:CY512"/>
    <mergeCell ref="DL512:DM512"/>
    <mergeCell ref="A666:B666"/>
    <mergeCell ref="AZ663:BA663"/>
    <mergeCell ref="BV663:BW663"/>
    <mergeCell ref="CJ663:CK663"/>
    <mergeCell ref="CX663:CY663"/>
    <mergeCell ref="DL663:DM663"/>
    <mergeCell ref="A665:B665"/>
    <mergeCell ref="C665:D665"/>
    <mergeCell ref="E665:F665"/>
    <mergeCell ref="BV665:BW665"/>
    <mergeCell ref="CJ665:CK665"/>
    <mergeCell ref="CX665:CY665"/>
    <mergeCell ref="DL665:DM665"/>
    <mergeCell ref="A661:C661"/>
    <mergeCell ref="P661:Q661"/>
    <mergeCell ref="AD661:AE661"/>
    <mergeCell ref="AR661:AS661"/>
    <mergeCell ref="BV660:BW660"/>
    <mergeCell ref="CJ660:CK660"/>
    <mergeCell ref="CX660:CY660"/>
    <mergeCell ref="DL660:DM660"/>
    <mergeCell ref="A445:D445"/>
    <mergeCell ref="P445:R445"/>
    <mergeCell ref="AD445:AF445"/>
    <mergeCell ref="AR445:AT445"/>
    <mergeCell ref="BV445:BY445"/>
    <mergeCell ref="CJ445:CM445"/>
    <mergeCell ref="CX445:DA445"/>
    <mergeCell ref="DL445:DO445"/>
    <mergeCell ref="J503:K503"/>
    <mergeCell ref="X503:Y503"/>
    <mergeCell ref="AL503:AM503"/>
    <mergeCell ref="AZ503:BA503"/>
    <mergeCell ref="J663:K663"/>
    <mergeCell ref="X663:Y663"/>
    <mergeCell ref="AL663:AM663"/>
    <mergeCell ref="A507:B507"/>
    <mergeCell ref="C507:D507"/>
    <mergeCell ref="E507:F507"/>
    <mergeCell ref="BZ507:CA507"/>
    <mergeCell ref="CN507:CO507"/>
    <mergeCell ref="DB507:DC507"/>
    <mergeCell ref="A513:C513"/>
    <mergeCell ref="P513:Q513"/>
    <mergeCell ref="AD513:AE513"/>
    <mergeCell ref="AR513:AS513"/>
    <mergeCell ref="BV513:BW513"/>
    <mergeCell ref="CJ513:CK513"/>
    <mergeCell ref="CX513:CY513"/>
    <mergeCell ref="DP655:DQ655"/>
    <mergeCell ref="A656:B656"/>
    <mergeCell ref="C656:D656"/>
    <mergeCell ref="E656:F656"/>
    <mergeCell ref="J652:K652"/>
    <mergeCell ref="X652:Y652"/>
    <mergeCell ref="AL652:AM652"/>
    <mergeCell ref="AZ652:BA652"/>
    <mergeCell ref="J653:K653"/>
    <mergeCell ref="X653:Y653"/>
    <mergeCell ref="AL653:AM653"/>
    <mergeCell ref="AZ653:BA653"/>
    <mergeCell ref="J654:K654"/>
    <mergeCell ref="X654:Y654"/>
    <mergeCell ref="AL654:AM654"/>
    <mergeCell ref="AZ654:BA654"/>
    <mergeCell ref="BV661:BW661"/>
    <mergeCell ref="CJ661:CK661"/>
    <mergeCell ref="CX661:CY661"/>
    <mergeCell ref="DL661:DM661"/>
    <mergeCell ref="A659:C659"/>
    <mergeCell ref="P659:Q659"/>
    <mergeCell ref="AD659:AE659"/>
    <mergeCell ref="AR659:AS659"/>
    <mergeCell ref="BV659:BW659"/>
    <mergeCell ref="CJ659:CK659"/>
    <mergeCell ref="CX659:CY659"/>
    <mergeCell ref="DL659:DM659"/>
    <mergeCell ref="A660:C660"/>
    <mergeCell ref="P660:Q660"/>
    <mergeCell ref="AD660:AE660"/>
    <mergeCell ref="AR660:AS660"/>
    <mergeCell ref="AL651:AM651"/>
    <mergeCell ref="AZ651:BA651"/>
    <mergeCell ref="A616:B616"/>
    <mergeCell ref="J811:K811"/>
    <mergeCell ref="X811:Y811"/>
    <mergeCell ref="AL811:AM811"/>
    <mergeCell ref="A814:B814"/>
    <mergeCell ref="AZ811:BA811"/>
    <mergeCell ref="BV811:BW811"/>
    <mergeCell ref="CJ811:CK811"/>
    <mergeCell ref="CX811:CY811"/>
    <mergeCell ref="DL811:DM811"/>
    <mergeCell ref="A813:B813"/>
    <mergeCell ref="C813:D813"/>
    <mergeCell ref="E813:F813"/>
    <mergeCell ref="BV813:BW813"/>
    <mergeCell ref="CJ813:CK813"/>
    <mergeCell ref="CX813:CY813"/>
    <mergeCell ref="DL813:DM813"/>
    <mergeCell ref="A809:C809"/>
    <mergeCell ref="P809:Q809"/>
    <mergeCell ref="AD809:AE809"/>
    <mergeCell ref="A655:B655"/>
    <mergeCell ref="C655:D655"/>
    <mergeCell ref="E655:F655"/>
    <mergeCell ref="BZ655:CA655"/>
    <mergeCell ref="CN655:CO655"/>
    <mergeCell ref="DB655:DC655"/>
    <mergeCell ref="A662:C662"/>
    <mergeCell ref="P662:Q662"/>
    <mergeCell ref="AD662:AE662"/>
    <mergeCell ref="AR662:AS662"/>
    <mergeCell ref="AR809:AS809"/>
    <mergeCell ref="BV809:BW809"/>
    <mergeCell ref="CJ809:CK809"/>
    <mergeCell ref="CX809:CY809"/>
    <mergeCell ref="DL809:DM809"/>
    <mergeCell ref="A810:C810"/>
    <mergeCell ref="P810:Q810"/>
    <mergeCell ref="AD810:AE810"/>
    <mergeCell ref="AR810:AS810"/>
    <mergeCell ref="A807:C807"/>
    <mergeCell ref="P807:Q807"/>
    <mergeCell ref="AD807:AE807"/>
    <mergeCell ref="AR807:AS807"/>
    <mergeCell ref="BV807:BW807"/>
    <mergeCell ref="CJ807:CK807"/>
    <mergeCell ref="CX807:CY807"/>
    <mergeCell ref="DL807:DM807"/>
    <mergeCell ref="A808:C808"/>
    <mergeCell ref="P808:Q808"/>
    <mergeCell ref="AD808:AE808"/>
    <mergeCell ref="AR808:AS808"/>
    <mergeCell ref="BV808:BW808"/>
    <mergeCell ref="CJ808:CK808"/>
    <mergeCell ref="CX808:CY808"/>
    <mergeCell ref="DL808:DM808"/>
    <mergeCell ref="A803:B803"/>
    <mergeCell ref="C803:D803"/>
    <mergeCell ref="E803:F803"/>
    <mergeCell ref="BZ803:CA803"/>
    <mergeCell ref="CN803:CO803"/>
    <mergeCell ref="DB803:DC803"/>
    <mergeCell ref="DP803:DQ803"/>
    <mergeCell ref="A804:B804"/>
    <mergeCell ref="C804:D804"/>
    <mergeCell ref="E804:F804"/>
    <mergeCell ref="J800:K800"/>
    <mergeCell ref="X800:Y800"/>
    <mergeCell ref="AL800:AM800"/>
    <mergeCell ref="AZ800:BA800"/>
    <mergeCell ref="J801:K801"/>
    <mergeCell ref="X801:Y801"/>
    <mergeCell ref="AL801:AM801"/>
    <mergeCell ref="AZ801:BA801"/>
    <mergeCell ref="J802:K802"/>
    <mergeCell ref="X802:Y802"/>
    <mergeCell ref="AL802:AM802"/>
    <mergeCell ref="AZ802:BA802"/>
    <mergeCell ref="A741:D741"/>
    <mergeCell ref="P741:R741"/>
    <mergeCell ref="AD741:AF741"/>
    <mergeCell ref="AR741:AT741"/>
    <mergeCell ref="BV741:BY741"/>
    <mergeCell ref="CJ741:CM741"/>
    <mergeCell ref="CX741:DA741"/>
    <mergeCell ref="DL741:DO741"/>
    <mergeCell ref="J799:K799"/>
    <mergeCell ref="X799:Y799"/>
    <mergeCell ref="AL799:AM799"/>
    <mergeCell ref="AZ799:BA799"/>
    <mergeCell ref="A887:B887"/>
    <mergeCell ref="C887:D887"/>
    <mergeCell ref="E887:F887"/>
    <mergeCell ref="BV887:BW887"/>
    <mergeCell ref="CJ887:CK887"/>
    <mergeCell ref="CX887:CY887"/>
    <mergeCell ref="DL887:DM887"/>
    <mergeCell ref="CJ881:CK881"/>
    <mergeCell ref="CJ815:CM815"/>
    <mergeCell ref="CX815:DA815"/>
    <mergeCell ref="DL815:DO815"/>
    <mergeCell ref="J873:K873"/>
    <mergeCell ref="X873:Y873"/>
    <mergeCell ref="AL873:AM873"/>
    <mergeCell ref="AZ873:BA873"/>
    <mergeCell ref="AR815:AT815"/>
    <mergeCell ref="J874:K874"/>
    <mergeCell ref="X874:Y874"/>
    <mergeCell ref="AL874:AM874"/>
    <mergeCell ref="AZ874:BA874"/>
    <mergeCell ref="AR884:AS884"/>
    <mergeCell ref="J885:K885"/>
    <mergeCell ref="X885:Y885"/>
    <mergeCell ref="AL885:AM885"/>
    <mergeCell ref="AZ885:BA885"/>
    <mergeCell ref="BV885:BW885"/>
    <mergeCell ref="CJ885:CK885"/>
    <mergeCell ref="CX885:CY885"/>
    <mergeCell ref="DL885:DM885"/>
    <mergeCell ref="DL883:DM883"/>
    <mergeCell ref="A882:C882"/>
    <mergeCell ref="P882:Q882"/>
    <mergeCell ref="A883:C883"/>
    <mergeCell ref="P883:Q883"/>
    <mergeCell ref="AD883:AE883"/>
    <mergeCell ref="AR883:AS883"/>
    <mergeCell ref="BV883:BW883"/>
    <mergeCell ref="CJ883:CK883"/>
    <mergeCell ref="CX883:CY883"/>
    <mergeCell ref="AD882:AE882"/>
    <mergeCell ref="AR882:AS882"/>
    <mergeCell ref="BV882:BW882"/>
    <mergeCell ref="CJ882:CK882"/>
    <mergeCell ref="CX882:CY882"/>
    <mergeCell ref="DL882:DM882"/>
    <mergeCell ref="DP877:DQ877"/>
    <mergeCell ref="A878:B878"/>
    <mergeCell ref="C878:D878"/>
    <mergeCell ref="E878:F878"/>
    <mergeCell ref="J875:K875"/>
    <mergeCell ref="X875:Y875"/>
    <mergeCell ref="AL875:AM875"/>
    <mergeCell ref="AZ875:BA875"/>
    <mergeCell ref="CX881:CY881"/>
    <mergeCell ref="DL881:DM881"/>
    <mergeCell ref="A877:B877"/>
    <mergeCell ref="C877:D877"/>
    <mergeCell ref="E877:F877"/>
    <mergeCell ref="BZ877:CA877"/>
    <mergeCell ref="CN877:CO877"/>
    <mergeCell ref="DB877:DC877"/>
    <mergeCell ref="A881:C881"/>
    <mergeCell ref="P881:Q881"/>
    <mergeCell ref="AD881:AE881"/>
    <mergeCell ref="AR881:AS881"/>
    <mergeCell ref="BV881:BW881"/>
    <mergeCell ref="J876:K876"/>
    <mergeCell ref="X876:Y876"/>
    <mergeCell ref="AL876:AM876"/>
    <mergeCell ref="AZ876:BA876"/>
    <mergeCell ref="BV815:BY815"/>
    <mergeCell ref="A815:D815"/>
    <mergeCell ref="P815:R815"/>
    <mergeCell ref="AD815:AF815"/>
    <mergeCell ref="AZ1033:BA1033"/>
    <mergeCell ref="A1035:B1035"/>
    <mergeCell ref="C1035:D1035"/>
    <mergeCell ref="E1035:F1035"/>
    <mergeCell ref="A1031:C1031"/>
    <mergeCell ref="P1031:Q1031"/>
    <mergeCell ref="AD1031:AE1031"/>
    <mergeCell ref="AR1031:AS1031"/>
    <mergeCell ref="A1032:C1032"/>
    <mergeCell ref="P1032:Q1032"/>
    <mergeCell ref="AD1032:AE1032"/>
    <mergeCell ref="AR1032:AS1032"/>
    <mergeCell ref="J1033:K1033"/>
    <mergeCell ref="X1033:Y1033"/>
    <mergeCell ref="AL1033:AM1033"/>
    <mergeCell ref="A1030:C1030"/>
    <mergeCell ref="P1030:Q1030"/>
    <mergeCell ref="AD1030:AE1030"/>
    <mergeCell ref="AR1030:AS1030"/>
    <mergeCell ref="A1026:B1026"/>
    <mergeCell ref="C1026:D1026"/>
    <mergeCell ref="E1026:F1026"/>
    <mergeCell ref="A1029:C1029"/>
    <mergeCell ref="P1029:Q1029"/>
    <mergeCell ref="AD1029:AE1029"/>
    <mergeCell ref="A889:D889"/>
    <mergeCell ref="A888:B888"/>
    <mergeCell ref="A884:C884"/>
    <mergeCell ref="A963:D963"/>
    <mergeCell ref="A912:B912"/>
    <mergeCell ref="A920:B920"/>
    <mergeCell ref="J949:K949"/>
    <mergeCell ref="X949:Y949"/>
    <mergeCell ref="AL949:AM949"/>
    <mergeCell ref="A961:B961"/>
    <mergeCell ref="C961:D961"/>
    <mergeCell ref="E961:F961"/>
    <mergeCell ref="A951:B951"/>
    <mergeCell ref="C951:D951"/>
    <mergeCell ref="A1025:B1025"/>
    <mergeCell ref="C1025:D1025"/>
    <mergeCell ref="E1025:F1025"/>
    <mergeCell ref="AL1022:AM1022"/>
    <mergeCell ref="A818:B818"/>
    <mergeCell ref="A819:B819"/>
    <mergeCell ref="P884:Q884"/>
    <mergeCell ref="AD884:AE884"/>
    <mergeCell ref="J1023:K1023"/>
    <mergeCell ref="X1023:Y1023"/>
    <mergeCell ref="AL1023:AM1023"/>
    <mergeCell ref="J1024:K1024"/>
    <mergeCell ref="X1024:Y1024"/>
    <mergeCell ref="AL1024:AM1024"/>
    <mergeCell ref="E951:F951"/>
    <mergeCell ref="A952:B952"/>
    <mergeCell ref="C952:D952"/>
    <mergeCell ref="E952:F952"/>
    <mergeCell ref="A955:C955"/>
    <mergeCell ref="A956:C956"/>
    <mergeCell ref="J1022:K1022"/>
    <mergeCell ref="X1022:Y1022"/>
    <mergeCell ref="AZ949:BA949"/>
    <mergeCell ref="J950:K950"/>
    <mergeCell ref="X950:Y950"/>
    <mergeCell ref="AL950:AM950"/>
    <mergeCell ref="AZ950:BA950"/>
    <mergeCell ref="P956:Q956"/>
    <mergeCell ref="AD956:AE956"/>
    <mergeCell ref="AR956:AS956"/>
    <mergeCell ref="J1021:K1021"/>
    <mergeCell ref="X1021:Y1021"/>
    <mergeCell ref="AL1021:AM1021"/>
    <mergeCell ref="AR889:AT889"/>
    <mergeCell ref="J947:K947"/>
    <mergeCell ref="X947:Y947"/>
    <mergeCell ref="AL947:AM947"/>
    <mergeCell ref="AZ947:BA947"/>
    <mergeCell ref="J948:K948"/>
    <mergeCell ref="X948:Y948"/>
    <mergeCell ref="AL948:AM948"/>
    <mergeCell ref="AZ948:BA948"/>
    <mergeCell ref="P889:R889"/>
    <mergeCell ref="AD889:AF889"/>
    <mergeCell ref="BV959:BW959"/>
    <mergeCell ref="CJ959:CK959"/>
    <mergeCell ref="CX959:CY959"/>
    <mergeCell ref="A957:C957"/>
    <mergeCell ref="P957:Q957"/>
    <mergeCell ref="AD957:AE957"/>
    <mergeCell ref="AR957:AS957"/>
    <mergeCell ref="A958:C958"/>
    <mergeCell ref="P958:Q958"/>
    <mergeCell ref="AD958:AE958"/>
    <mergeCell ref="AR958:AS958"/>
    <mergeCell ref="J959:K959"/>
    <mergeCell ref="X959:Y959"/>
    <mergeCell ref="AL959:AM959"/>
    <mergeCell ref="AZ959:BA959"/>
    <mergeCell ref="DP951:DQ951"/>
    <mergeCell ref="BV955:BW955"/>
    <mergeCell ref="CJ955:CK955"/>
    <mergeCell ref="CX955:CY955"/>
    <mergeCell ref="DL955:DM955"/>
    <mergeCell ref="BV956:BW956"/>
    <mergeCell ref="CJ956:CK956"/>
    <mergeCell ref="CX956:CY956"/>
    <mergeCell ref="DL956:DM956"/>
    <mergeCell ref="DL959:DM959"/>
    <mergeCell ref="DP1025:DQ1025"/>
    <mergeCell ref="BV1029:BW1029"/>
    <mergeCell ref="CJ1029:CK1029"/>
    <mergeCell ref="CX1029:CY1029"/>
    <mergeCell ref="DL1029:DM1029"/>
    <mergeCell ref="P963:R963"/>
    <mergeCell ref="AD963:AF963"/>
    <mergeCell ref="AR963:AT963"/>
    <mergeCell ref="AR1029:AS1029"/>
    <mergeCell ref="AZ1021:BA1021"/>
    <mergeCell ref="CX957:CY957"/>
    <mergeCell ref="DL957:DM957"/>
    <mergeCell ref="AZ1024:BA1024"/>
    <mergeCell ref="BV1035:BW1035"/>
    <mergeCell ref="CJ1035:CK1035"/>
    <mergeCell ref="CX1035:CY1035"/>
    <mergeCell ref="DL1035:DM1035"/>
    <mergeCell ref="BV1030:BW1030"/>
    <mergeCell ref="CJ1030:CK1030"/>
    <mergeCell ref="CX1030:CY1030"/>
    <mergeCell ref="DL1030:DM1030"/>
    <mergeCell ref="BV1033:BW1033"/>
    <mergeCell ref="CJ1033:CK1033"/>
    <mergeCell ref="CX1033:CY1033"/>
    <mergeCell ref="DL1033:DM1033"/>
    <mergeCell ref="AZ1022:BA1022"/>
    <mergeCell ref="AZ1023:BA1023"/>
    <mergeCell ref="BV961:BW961"/>
    <mergeCell ref="CJ961:CK961"/>
    <mergeCell ref="CX961:CY961"/>
    <mergeCell ref="DL961:DM961"/>
    <mergeCell ref="BV963:BY963"/>
    <mergeCell ref="CJ963:CM963"/>
    <mergeCell ref="CX963:DA963"/>
    <mergeCell ref="DL963:DO963"/>
    <mergeCell ref="BZ1025:CA1025"/>
    <mergeCell ref="CN1025:CO1025"/>
    <mergeCell ref="DB1025:DC1025"/>
    <mergeCell ref="A667:D667"/>
    <mergeCell ref="P667:R667"/>
    <mergeCell ref="AD667:AF667"/>
    <mergeCell ref="BV1031:BW1031"/>
    <mergeCell ref="CJ1031:CK1031"/>
    <mergeCell ref="CX1031:CY1031"/>
    <mergeCell ref="DL1031:DM1031"/>
    <mergeCell ref="P955:Q955"/>
    <mergeCell ref="AD955:AE955"/>
    <mergeCell ref="AR955:AS955"/>
    <mergeCell ref="A962:B962"/>
    <mergeCell ref="BV889:BY889"/>
    <mergeCell ref="CJ889:CM889"/>
    <mergeCell ref="CX889:DA889"/>
    <mergeCell ref="DL889:DO889"/>
    <mergeCell ref="BZ951:CA951"/>
    <mergeCell ref="CN951:CO951"/>
    <mergeCell ref="DB951:DC951"/>
    <mergeCell ref="BV957:BW957"/>
    <mergeCell ref="CJ957:CK957"/>
    <mergeCell ref="AR667:AT667"/>
    <mergeCell ref="BV667:BY667"/>
    <mergeCell ref="CJ667:CM667"/>
    <mergeCell ref="CX667:DA667"/>
    <mergeCell ref="DL667:DO667"/>
    <mergeCell ref="J725:K725"/>
    <mergeCell ref="DP729:DQ729"/>
    <mergeCell ref="A730:B730"/>
    <mergeCell ref="C730:D730"/>
    <mergeCell ref="E730:F730"/>
    <mergeCell ref="A733:C733"/>
    <mergeCell ref="P733:Q733"/>
    <mergeCell ref="AD733:AE733"/>
    <mergeCell ref="AR733:AS733"/>
    <mergeCell ref="BV733:BW733"/>
    <mergeCell ref="CJ733:CK733"/>
    <mergeCell ref="CX733:CY733"/>
    <mergeCell ref="DL733:DM733"/>
    <mergeCell ref="CJ734:CK734"/>
    <mergeCell ref="CX734:CY734"/>
    <mergeCell ref="DL734:DM734"/>
    <mergeCell ref="X725:Y725"/>
    <mergeCell ref="AL725:AM725"/>
    <mergeCell ref="AZ725:BA725"/>
    <mergeCell ref="J728:K728"/>
    <mergeCell ref="X728:Y728"/>
    <mergeCell ref="AL728:AM728"/>
    <mergeCell ref="AZ728:BA728"/>
    <mergeCell ref="A729:B729"/>
    <mergeCell ref="C729:D729"/>
    <mergeCell ref="E729:F729"/>
    <mergeCell ref="J726:K726"/>
    <mergeCell ref="X726:Y726"/>
    <mergeCell ref="AL726:AM726"/>
    <mergeCell ref="AZ726:BA726"/>
    <mergeCell ref="J727:K727"/>
    <mergeCell ref="X727:Y727"/>
    <mergeCell ref="AL727:AM727"/>
    <mergeCell ref="AD519:AF519"/>
    <mergeCell ref="A740:B740"/>
    <mergeCell ref="AZ737:BA737"/>
    <mergeCell ref="BV737:BW737"/>
    <mergeCell ref="CJ737:CK737"/>
    <mergeCell ref="CX737:CY737"/>
    <mergeCell ref="DL737:DM737"/>
    <mergeCell ref="A739:B739"/>
    <mergeCell ref="C739:D739"/>
    <mergeCell ref="E739:F739"/>
    <mergeCell ref="BV739:BW739"/>
    <mergeCell ref="CJ739:CK739"/>
    <mergeCell ref="CX739:CY739"/>
    <mergeCell ref="DL739:DM739"/>
    <mergeCell ref="A736:C736"/>
    <mergeCell ref="P736:Q736"/>
    <mergeCell ref="AD736:AE736"/>
    <mergeCell ref="AR736:AS736"/>
    <mergeCell ref="BZ729:CA729"/>
    <mergeCell ref="CN729:CO729"/>
    <mergeCell ref="DB729:DC729"/>
    <mergeCell ref="AZ727:BA727"/>
    <mergeCell ref="A593:D593"/>
    <mergeCell ref="P593:R593"/>
    <mergeCell ref="AD593:AF593"/>
    <mergeCell ref="AR593:AT593"/>
    <mergeCell ref="BV593:BY593"/>
    <mergeCell ref="CJ593:CM593"/>
    <mergeCell ref="CX593:DA593"/>
    <mergeCell ref="DL593:DO593"/>
    <mergeCell ref="J651:K651"/>
    <mergeCell ref="X651:Y651"/>
    <mergeCell ref="DP581:DQ581"/>
    <mergeCell ref="A582:B582"/>
    <mergeCell ref="C582:D582"/>
    <mergeCell ref="E582:F582"/>
    <mergeCell ref="A585:C585"/>
    <mergeCell ref="P585:Q585"/>
    <mergeCell ref="AD585:AE585"/>
    <mergeCell ref="AR585:AS585"/>
    <mergeCell ref="BV585:BW585"/>
    <mergeCell ref="CJ585:CK585"/>
    <mergeCell ref="CX585:CY585"/>
    <mergeCell ref="DL585:DM585"/>
    <mergeCell ref="A583:B583"/>
    <mergeCell ref="CX586:CY586"/>
    <mergeCell ref="DL586:DM586"/>
    <mergeCell ref="AZ577:BA577"/>
    <mergeCell ref="J580:K580"/>
    <mergeCell ref="X580:Y580"/>
    <mergeCell ref="AL580:AM580"/>
    <mergeCell ref="AZ580:BA580"/>
    <mergeCell ref="AZ579:BA579"/>
    <mergeCell ref="BZ581:CA581"/>
    <mergeCell ref="DL587:DM587"/>
    <mergeCell ref="A586:C586"/>
    <mergeCell ref="P586:Q586"/>
    <mergeCell ref="AD586:AE586"/>
    <mergeCell ref="AR586:AS586"/>
    <mergeCell ref="J737:K737"/>
    <mergeCell ref="X737:Y737"/>
    <mergeCell ref="AL737:AM737"/>
    <mergeCell ref="BV734:BW734"/>
    <mergeCell ref="AR519:AT519"/>
    <mergeCell ref="BV519:BY519"/>
    <mergeCell ref="CJ519:CM519"/>
    <mergeCell ref="CX519:DA519"/>
    <mergeCell ref="DL519:DO519"/>
    <mergeCell ref="J577:K577"/>
    <mergeCell ref="X577:Y577"/>
    <mergeCell ref="AL577:AM577"/>
    <mergeCell ref="A735:C735"/>
    <mergeCell ref="P735:Q735"/>
    <mergeCell ref="AD735:AE735"/>
    <mergeCell ref="AR735:AS735"/>
    <mergeCell ref="BV735:BW735"/>
    <mergeCell ref="CJ735:CK735"/>
    <mergeCell ref="CX735:CY735"/>
    <mergeCell ref="DL735:DM735"/>
    <mergeCell ref="A734:C734"/>
    <mergeCell ref="P734:Q734"/>
    <mergeCell ref="AD734:AE734"/>
    <mergeCell ref="AR734:AS734"/>
    <mergeCell ref="AR588:AS588"/>
    <mergeCell ref="J589:K589"/>
    <mergeCell ref="A519:D519"/>
    <mergeCell ref="X589:Y589"/>
    <mergeCell ref="AL589:AM589"/>
    <mergeCell ref="BV586:BW586"/>
    <mergeCell ref="CJ586:CK586"/>
    <mergeCell ref="CN581:CO581"/>
    <mergeCell ref="DB581:DC581"/>
    <mergeCell ref="A297:D297"/>
    <mergeCell ref="P297:R297"/>
    <mergeCell ref="AD297:AF297"/>
    <mergeCell ref="AR297:AT297"/>
    <mergeCell ref="BV297:BY297"/>
    <mergeCell ref="CJ297:CM297"/>
    <mergeCell ref="CX297:DA297"/>
    <mergeCell ref="A363:C363"/>
    <mergeCell ref="P363:Q363"/>
    <mergeCell ref="AD363:AE363"/>
    <mergeCell ref="AR363:AS363"/>
    <mergeCell ref="BV363:BW363"/>
    <mergeCell ref="CJ363:CK363"/>
    <mergeCell ref="CX363:CY363"/>
    <mergeCell ref="A581:B581"/>
    <mergeCell ref="C581:D581"/>
    <mergeCell ref="E581:F581"/>
    <mergeCell ref="J578:K578"/>
    <mergeCell ref="X578:Y578"/>
    <mergeCell ref="AL578:AM578"/>
    <mergeCell ref="AZ578:BA578"/>
    <mergeCell ref="J579:K579"/>
    <mergeCell ref="X579:Y579"/>
    <mergeCell ref="AL579:AM579"/>
    <mergeCell ref="CX587:CY587"/>
    <mergeCell ref="P519:R519"/>
    <mergeCell ref="DL297:DO297"/>
    <mergeCell ref="J355:K355"/>
    <mergeCell ref="X355:Y355"/>
    <mergeCell ref="AL355:AM355"/>
    <mergeCell ref="AZ355:BA355"/>
    <mergeCell ref="J356:K356"/>
    <mergeCell ref="X356:Y356"/>
    <mergeCell ref="AL356:AM356"/>
    <mergeCell ref="AZ356:BA356"/>
    <mergeCell ref="J357:K357"/>
    <mergeCell ref="X357:Y357"/>
    <mergeCell ref="AL357:AM357"/>
    <mergeCell ref="DP359:DQ359"/>
    <mergeCell ref="A360:B360"/>
    <mergeCell ref="C360:D360"/>
    <mergeCell ref="E360:F360"/>
    <mergeCell ref="A361:B361"/>
    <mergeCell ref="AZ357:BA357"/>
    <mergeCell ref="J358:K358"/>
    <mergeCell ref="X358:Y358"/>
    <mergeCell ref="AL358:AM358"/>
    <mergeCell ref="AZ358:BA358"/>
    <mergeCell ref="A359:B359"/>
    <mergeCell ref="C359:D359"/>
    <mergeCell ref="E359:F359"/>
    <mergeCell ref="BZ359:CA359"/>
    <mergeCell ref="CN359:CO359"/>
    <mergeCell ref="DB359:DC359"/>
    <mergeCell ref="DL363:DM363"/>
    <mergeCell ref="A592:B592"/>
    <mergeCell ref="AZ589:BA589"/>
    <mergeCell ref="BV589:BW589"/>
    <mergeCell ref="CJ589:CK589"/>
    <mergeCell ref="CX589:CY589"/>
    <mergeCell ref="DL589:DM589"/>
    <mergeCell ref="A591:B591"/>
    <mergeCell ref="C591:D591"/>
    <mergeCell ref="E591:F591"/>
    <mergeCell ref="BV591:BW591"/>
    <mergeCell ref="CJ591:CK591"/>
    <mergeCell ref="CX591:CY591"/>
    <mergeCell ref="DL591:DM591"/>
    <mergeCell ref="A587:C587"/>
    <mergeCell ref="P587:Q587"/>
    <mergeCell ref="AD587:AE587"/>
    <mergeCell ref="AR587:AS587"/>
    <mergeCell ref="BV587:BW587"/>
    <mergeCell ref="CJ587:CK587"/>
    <mergeCell ref="DL364:DM364"/>
    <mergeCell ref="A365:C365"/>
    <mergeCell ref="P365:Q365"/>
    <mergeCell ref="AD365:AE365"/>
    <mergeCell ref="AR365:AS365"/>
    <mergeCell ref="BV365:BW365"/>
    <mergeCell ref="CJ365:CK365"/>
    <mergeCell ref="CX365:CY365"/>
    <mergeCell ref="DL365:DM365"/>
    <mergeCell ref="A588:C588"/>
    <mergeCell ref="P588:Q588"/>
    <mergeCell ref="AD588:AE588"/>
    <mergeCell ref="DZ297:EC297"/>
    <mergeCell ref="ED359:EE359"/>
    <mergeCell ref="DZ363:EA363"/>
    <mergeCell ref="DZ364:EA364"/>
    <mergeCell ref="DZ365:EA365"/>
    <mergeCell ref="A370:B370"/>
    <mergeCell ref="CJ367:CK367"/>
    <mergeCell ref="CX367:CY367"/>
    <mergeCell ref="DL367:DM367"/>
    <mergeCell ref="A369:B369"/>
    <mergeCell ref="C369:D369"/>
    <mergeCell ref="E369:F369"/>
    <mergeCell ref="BV369:BW369"/>
    <mergeCell ref="CJ369:CK369"/>
    <mergeCell ref="CX369:CY369"/>
    <mergeCell ref="DL369:DM369"/>
    <mergeCell ref="A366:C366"/>
    <mergeCell ref="P366:Q366"/>
    <mergeCell ref="AD366:AE366"/>
    <mergeCell ref="AR366:AS366"/>
    <mergeCell ref="J367:K367"/>
    <mergeCell ref="X367:Y367"/>
    <mergeCell ref="AL367:AM367"/>
    <mergeCell ref="AZ367:BA367"/>
    <mergeCell ref="BV367:BW367"/>
    <mergeCell ref="A364:C364"/>
    <mergeCell ref="P364:Q364"/>
    <mergeCell ref="AD364:AE364"/>
    <mergeCell ref="AR364:AS364"/>
    <mergeCell ref="BV364:BW364"/>
    <mergeCell ref="CJ364:CK364"/>
    <mergeCell ref="CX364:CY364"/>
    <mergeCell ref="A149:D149"/>
    <mergeCell ref="P149:R149"/>
    <mergeCell ref="AD149:AF149"/>
    <mergeCell ref="AR149:AT149"/>
    <mergeCell ref="BV149:BY149"/>
    <mergeCell ref="CJ149:CM149"/>
    <mergeCell ref="CX149:DA149"/>
    <mergeCell ref="DL149:DO149"/>
    <mergeCell ref="DZ149:EC149"/>
    <mergeCell ref="BF149:BI149"/>
    <mergeCell ref="BJ149:BL149"/>
    <mergeCell ref="J207:K207"/>
    <mergeCell ref="X207:Y207"/>
    <mergeCell ref="AL207:AM207"/>
    <mergeCell ref="AZ207:BA207"/>
    <mergeCell ref="BO207:BP207"/>
    <mergeCell ref="J208:K208"/>
    <mergeCell ref="X208:Y208"/>
    <mergeCell ref="AL208:AM208"/>
    <mergeCell ref="AZ208:BA208"/>
    <mergeCell ref="BO208:BP208"/>
    <mergeCell ref="J209:K209"/>
    <mergeCell ref="X209:Y209"/>
    <mergeCell ref="AL209:AM209"/>
    <mergeCell ref="AZ209:BA209"/>
    <mergeCell ref="BO209:BP209"/>
    <mergeCell ref="J210:K210"/>
    <mergeCell ref="X210:Y210"/>
    <mergeCell ref="AL210:AM210"/>
    <mergeCell ref="AZ210:BA210"/>
    <mergeCell ref="BO210:BP210"/>
    <mergeCell ref="A211:B211"/>
    <mergeCell ref="C211:D211"/>
    <mergeCell ref="E211:F211"/>
    <mergeCell ref="BZ211:CA211"/>
    <mergeCell ref="CN211:CO211"/>
    <mergeCell ref="DB211:DC211"/>
    <mergeCell ref="DP211:DQ211"/>
    <mergeCell ref="ED211:EE211"/>
    <mergeCell ref="A212:B212"/>
    <mergeCell ref="C212:D212"/>
    <mergeCell ref="E212:F212"/>
    <mergeCell ref="A213:B213"/>
    <mergeCell ref="A215:C215"/>
    <mergeCell ref="P215:Q215"/>
    <mergeCell ref="AD215:AE215"/>
    <mergeCell ref="AR215:AS215"/>
    <mergeCell ref="BV215:BW215"/>
    <mergeCell ref="CJ215:CK215"/>
    <mergeCell ref="CX215:CY215"/>
    <mergeCell ref="DL215:DM215"/>
    <mergeCell ref="BV217:BW217"/>
    <mergeCell ref="CJ217:CK217"/>
    <mergeCell ref="CX217:CY217"/>
    <mergeCell ref="DL217:DM217"/>
    <mergeCell ref="DZ217:EA217"/>
    <mergeCell ref="DZ215:EA215"/>
    <mergeCell ref="BF215:BH215"/>
    <mergeCell ref="A216:C216"/>
    <mergeCell ref="P216:Q216"/>
    <mergeCell ref="AD216:AE216"/>
    <mergeCell ref="AR216:AS216"/>
    <mergeCell ref="BV216:BW216"/>
    <mergeCell ref="CJ216:CK216"/>
    <mergeCell ref="CX216:CY216"/>
    <mergeCell ref="DL216:DM216"/>
    <mergeCell ref="DZ216:EA216"/>
    <mergeCell ref="BF216:BH216"/>
    <mergeCell ref="BF217:BH217"/>
    <mergeCell ref="A217:C217"/>
    <mergeCell ref="CJ221:CK221"/>
    <mergeCell ref="CX221:CY221"/>
    <mergeCell ref="DL221:DM221"/>
    <mergeCell ref="A222:B222"/>
    <mergeCell ref="BV219:BW219"/>
    <mergeCell ref="CJ219:CK219"/>
    <mergeCell ref="CX219:CY219"/>
    <mergeCell ref="DL219:DM219"/>
    <mergeCell ref="P217:Q217"/>
    <mergeCell ref="AD217:AE217"/>
    <mergeCell ref="AR217:AS217"/>
    <mergeCell ref="A218:C218"/>
    <mergeCell ref="P218:Q218"/>
    <mergeCell ref="AD218:AE218"/>
    <mergeCell ref="AR218:AS218"/>
    <mergeCell ref="BF218:BH218"/>
    <mergeCell ref="J219:K219"/>
    <mergeCell ref="X219:Y219"/>
    <mergeCell ref="AL219:AM219"/>
    <mergeCell ref="AZ219:BA219"/>
    <mergeCell ref="BO219:BP219"/>
    <mergeCell ref="A221:B221"/>
    <mergeCell ref="C221:D221"/>
    <mergeCell ref="E221:F221"/>
    <mergeCell ref="BV221:BW221"/>
  </mergeCells>
  <phoneticPr fontId="16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唐津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</dc:creator>
  <cp:lastModifiedBy>浩一 坂本</cp:lastModifiedBy>
  <dcterms:created xsi:type="dcterms:W3CDTF">2022-10-04T13:26:53Z</dcterms:created>
  <dcterms:modified xsi:type="dcterms:W3CDTF">2026-05-14T13:33:52Z</dcterms:modified>
</cp:coreProperties>
</file>